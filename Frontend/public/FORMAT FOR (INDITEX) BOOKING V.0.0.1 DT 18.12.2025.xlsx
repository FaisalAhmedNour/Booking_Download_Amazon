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e Tool\Modules\PartnersProductPortal\Booking-Inditex-Zara\Frontend\public\"/>
    </mc:Choice>
  </mc:AlternateContent>
  <xr:revisionPtr revIDLastSave="0" documentId="13_ncr:1_{E59BAB29-54B3-4C0F-8D35-23A3A18C3890}" xr6:coauthVersionLast="47" xr6:coauthVersionMax="47" xr10:uidLastSave="{00000000-0000-0000-0000-000000000000}"/>
  <bookViews>
    <workbookView xWindow="-120" yWindow="-120" windowWidth="20730" windowHeight="11760" xr2:uid="{2507B285-A3E3-4DF2-8CFF-7F16623E9CCF}"/>
  </bookViews>
  <sheets>
    <sheet name="BOOKING FORMAT IND" sheetId="1" r:id="rId1"/>
    <sheet name="SAMPLE" sheetId="4" r:id="rId2"/>
    <sheet name="BOX TYPE" sheetId="2" state="hidden" r:id="rId3"/>
    <sheet name="ARTICLE WISE BOX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" i="4" l="1"/>
  <c r="A11" i="4"/>
  <c r="L10" i="4"/>
  <c r="A10" i="4"/>
  <c r="L9" i="4"/>
  <c r="A9" i="4"/>
  <c r="L8" i="4"/>
  <c r="A8" i="4"/>
  <c r="L7" i="4"/>
  <c r="A7" i="4"/>
  <c r="L6" i="4"/>
  <c r="A6" i="4"/>
  <c r="L5" i="4"/>
  <c r="A5" i="4"/>
  <c r="L4" i="4"/>
  <c r="A4" i="4"/>
  <c r="L3" i="4"/>
  <c r="A3" i="4"/>
  <c r="L2" i="4"/>
  <c r="A2" i="4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<sst xmlns="http://schemas.openxmlformats.org/spreadsheetml/2006/main" count="139" uniqueCount="63">
  <si>
    <t>SL NO</t>
  </si>
  <si>
    <t>Box type</t>
  </si>
  <si>
    <t>Bundles</t>
  </si>
  <si>
    <t>Type A (40 x 38 x 58)</t>
  </si>
  <si>
    <t>TYPE B (30 x 60 x 80)</t>
  </si>
  <si>
    <t>TYPE C (30 x 38 x 58)</t>
  </si>
  <si>
    <t>Type D (40 x 59 x 79)</t>
  </si>
  <si>
    <t>Type K (20 x 39 x 59)</t>
  </si>
  <si>
    <t>WIDTH CM (W)*</t>
  </si>
  <si>
    <t>LENGTH CM (L)*</t>
  </si>
  <si>
    <t>HIGHT CM (H)*</t>
  </si>
  <si>
    <t>CUSTOM BOX</t>
  </si>
  <si>
    <t>Custom Box (1 x 1 x 1)</t>
  </si>
  <si>
    <t>Units</t>
  </si>
  <si>
    <t>Net weight (KG)</t>
  </si>
  <si>
    <t>Order</t>
  </si>
  <si>
    <t>DESCRIPTION</t>
  </si>
  <si>
    <t>ARTICLE</t>
  </si>
  <si>
    <t>M.T. BERMUDA LINO HUNDRED V26</t>
  </si>
  <si>
    <t>4410/903</t>
  </si>
  <si>
    <t>Purchaser</t>
  </si>
  <si>
    <t>EMEA ASPIRE TRADING FZE</t>
  </si>
  <si>
    <t>Purchaser Code</t>
  </si>
  <si>
    <t>UML-001</t>
  </si>
  <si>
    <t>BOX SIZE</t>
  </si>
  <si>
    <t>Description</t>
  </si>
  <si>
    <t>Article No</t>
  </si>
  <si>
    <t>SIZE OF PRODUCT</t>
  </si>
  <si>
    <t>S</t>
  </si>
  <si>
    <t>M</t>
  </si>
  <si>
    <t>L</t>
  </si>
  <si>
    <t>XL</t>
  </si>
  <si>
    <t>M.T. PANTALON LINO HUNDRED V26</t>
  </si>
  <si>
    <t>4410/902</t>
  </si>
  <si>
    <t>M.F. PANT. MELANGE SLIM STRETCH SUSTAINABLE FIBERS</t>
  </si>
  <si>
    <t>4410/020</t>
  </si>
  <si>
    <t>PANTALON SEMIJOGGER WITH WOOL</t>
  </si>
  <si>
    <t>4410/235</t>
  </si>
  <si>
    <t>M.F. PANTALON LINO 100</t>
  </si>
  <si>
    <t>4410/012</t>
  </si>
  <si>
    <t>M.F. BLAZER CONJUNTO MEDIO FORRO 100% LINO</t>
  </si>
  <si>
    <t>M.F. PANTALON CONJUNTO 100% LINO</t>
  </si>
  <si>
    <t>4410/411</t>
  </si>
  <si>
    <t>4410/410</t>
  </si>
  <si>
    <t>BLANK</t>
  </si>
  <si>
    <t>16323-D</t>
  </si>
  <si>
    <t>16460-D</t>
  </si>
  <si>
    <t>16465-D</t>
  </si>
  <si>
    <t>17045-D</t>
  </si>
  <si>
    <t>17047-D</t>
  </si>
  <si>
    <t>17050-D</t>
  </si>
  <si>
    <t>17053-D</t>
  </si>
  <si>
    <t>17055-D</t>
  </si>
  <si>
    <t>Gross weight (KG)</t>
  </si>
  <si>
    <t>WIDTH CM (W)</t>
  </si>
  <si>
    <t>LENGTH CM (L)</t>
  </si>
  <si>
    <t>HIGHT CM (H)</t>
  </si>
  <si>
    <t>Handover Date</t>
  </si>
  <si>
    <t>Handover Point</t>
  </si>
  <si>
    <t>Pickup Address</t>
  </si>
  <si>
    <t>Supplier Facilities</t>
  </si>
  <si>
    <t>PLOT # 234-238 and 252-254, ADAMJEE EPZ, SIDDHIRGONJ, NARAYANGANJ, NARAYANGANJ, 1431 - BANGLADESH</t>
  </si>
  <si>
    <t>Handover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</si>
</sst>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4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h:mm:ss;@"/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h:mm:ss;@"/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F03A39-D006-4B9B-B6CE-791D04B4021B}" name="Table256" displayName="Table256" ref="A1:O11" totalsRowShown="0" headerRowDxfId="20">
  <autoFilter ref="A1:O11" xr:uid="{05F03A39-D006-4B9B-B6CE-791D04B4021B}"/>
  <tableColumns count="15">
    <tableColumn id="1" xr3:uid="{F50D4C4B-B824-46D4-9151-89DE255AD215}" name="SL NO" dataDxfId="19">
      <calculatedColumnFormula>IF(B2&lt;&gt;"",ROWS($B$2:B2),"")</calculatedColumnFormula>
    </tableColumn>
    <tableColumn id="2" xr3:uid="{748D8603-6BA6-4419-8EE5-A90F998CC5A1}" name="Order" dataDxfId="18"/>
    <tableColumn id="13" xr3:uid="{45E409BF-B44D-4B4B-9150-261D7E6C3EB0}" name="ARTICLE" dataDxfId="17"/>
    <tableColumn id="11" xr3:uid="{C00E87E3-589D-44CB-AF4A-9C650D84E737}" name="Handover Date" dataDxfId="16"/>
    <tableColumn id="8" xr3:uid="{3ABB4140-A8D0-497C-AD3B-59A20278D397}" name="Handover Time" dataDxfId="15"/>
    <tableColumn id="10" xr3:uid="{E9BC1F30-8331-409E-B6D8-EFABF7A1AC8D}" name="Handover Point" dataDxfId="14"/>
    <tableColumn id="9" xr3:uid="{AA59091E-436C-4C35-8E09-4227AD09734A}" name="Pickup Address" dataDxfId="13"/>
    <tableColumn id="3" xr3:uid="{98185A16-8F4D-4442-A9ED-E995A16D9A94}" name="Box type"/>
    <tableColumn id="14" xr3:uid="{5B2F8865-29CE-4D82-806D-C0E79D180B32}" name="WIDTH CM (W)"/>
    <tableColumn id="15" xr3:uid="{EB5636A6-D99A-4B3C-A3FC-FA60FC5BCA73}" name="LENGTH CM (L)"/>
    <tableColumn id="16" xr3:uid="{03A869C7-3483-4CC3-B2EF-F736847BE636}" name="HIGHT CM (H)"/>
    <tableColumn id="4" xr3:uid="{AA2161AE-B94D-417A-8C99-171AF0312CEF}" name="Bundles" dataDxfId="12"/>
    <tableColumn id="5" xr3:uid="{4975B412-DCD2-432D-AB01-63140C0FCE21}" name="Units" dataDxfId="11"/>
    <tableColumn id="6" xr3:uid="{6E5D1B01-4FC1-4B6F-9446-54591146B9E1}" name="Gross weight (KG)"/>
    <tableColumn id="7" xr3:uid="{B1C4A234-0878-4121-A35B-5C306EBD8C30}" name="Net weight (KG)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D243F9-776B-4A20-8293-ED8EB73B2336}" name="Table2563" displayName="Table2563" ref="A1:O11" totalsRowShown="0" headerRowDxfId="10">
  <autoFilter ref="A1:O11" xr:uid="{72D243F9-776B-4A20-8293-ED8EB73B2336}"/>
  <tableColumns count="15">
    <tableColumn id="1" xr3:uid="{0FC71F76-690F-4D6A-BF89-EE5D7B133E26}" name="SL NO" dataDxfId="9">
      <calculatedColumnFormula>IF(B2&lt;&gt;"",ROWS($B$2:B2),"")</calculatedColumnFormula>
    </tableColumn>
    <tableColumn id="2" xr3:uid="{85D8EF21-0D50-4CCA-B572-CCD7402B5DA7}" name="Order" dataDxfId="8"/>
    <tableColumn id="13" xr3:uid="{3BF405A9-DF3B-415C-A457-57D575F5F1B1}" name="ARTICLE" dataDxfId="7"/>
    <tableColumn id="11" xr3:uid="{89EB9DC2-B798-4A3E-A4C5-C21848ECC072}" name="Handover Date" dataDxfId="6"/>
    <tableColumn id="8" xr3:uid="{0C6CAE6C-06B2-4B3D-851C-883E10BBB7A2}" name="Handover Time" dataDxfId="5"/>
    <tableColumn id="10" xr3:uid="{D4F552FE-520F-413E-8FB3-90828BF38424}" name="Handover Point" dataDxfId="4"/>
    <tableColumn id="9" xr3:uid="{7AB6B3A1-2623-4141-B5EB-0C603AE602AC}" name="Pickup Address" dataDxfId="3"/>
    <tableColumn id="3" xr3:uid="{6852C31E-22D3-4E5E-B619-5AF024CE5B76}" name="Box type"/>
    <tableColumn id="14" xr3:uid="{BC8FF233-BF96-4431-B4BB-3E5333829472}" name="WIDTH CM (W)"/>
    <tableColumn id="15" xr3:uid="{9144812E-F61B-4E08-8CBA-24CB5A582AC5}" name="LENGTH CM (L)"/>
    <tableColumn id="16" xr3:uid="{B5D01B0F-5D5F-4082-B018-3AC24866F9A6}" name="HIGHT CM (H)"/>
    <tableColumn id="4" xr3:uid="{563D9A3E-2E7F-483A-9E60-50106475123A}" name="Bundles" dataDxfId="2">
      <calculatedColumnFormula>IF(Table2563[[#This Row],[Order]]&lt;&gt;"",FIXED(Table2563[[#This Row],[Units]]/35,0),"")</calculatedColumnFormula>
    </tableColumn>
    <tableColumn id="5" xr3:uid="{76C55A0A-519B-4BA5-B841-1A1E8A7C2CB4}" name="Units" dataDxfId="1"/>
    <tableColumn id="6" xr3:uid="{ECBC9B32-E2B8-4799-ACBA-E8EDB476DF59}" name="Gross weight (KG)"/>
    <tableColumn id="7" xr3:uid="{D20E52AA-7DEB-4DE9-8371-D6E17A3385D2}" name="Net weight (KG)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234589-AD54-47F7-B557-57A1A452B6A5}" name="Table3" displayName="Table3" ref="A1:I8" totalsRowShown="0">
  <autoFilter ref="A1:I8" xr:uid="{DB234589-AD54-47F7-B557-57A1A452B6A5}"/>
  <tableColumns count="9">
    <tableColumn id="1" xr3:uid="{E75A43A2-4CBE-4E45-811A-B0926D211AB9}" name="SL NO" dataDxfId="0"/>
    <tableColumn id="2" xr3:uid="{16B23A55-78B4-4ACC-BB3C-9F90B5F226AA}" name="BOX SIZE"/>
    <tableColumn id="3" xr3:uid="{7812A3EA-402C-4F95-992F-D392EF60FACD}" name="WIDTH CM (W)*"/>
    <tableColumn id="4" xr3:uid="{8C22A284-0AC9-42DB-85BE-C003C2A10F9D}" name="LENGTH CM (L)*"/>
    <tableColumn id="5" xr3:uid="{CBCF7FDD-1CF5-447C-8514-A82F000C518E}" name="HIGHT CM (H)*"/>
    <tableColumn id="6" xr3:uid="{C9528BB3-0D76-4D4D-AC31-6600497BAB7C}" name="DESCRIPTION"/>
    <tableColumn id="7" xr3:uid="{006C3D58-1A5D-4B37-8C19-CE9AD2975714}" name="ARTICLE"/>
    <tableColumn id="8" xr3:uid="{E31FB46D-7785-4849-A414-887CDEF3C956}" name="Purchaser"/>
    <tableColumn id="9" xr3:uid="{C0D1E973-06E3-4579-8711-48131E626C46}" name="Purchaser 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DB256-2BD8-4B02-97F5-C5A3E0056889}" name="Table1" displayName="Table1" ref="A1:G13" totalsRowShown="0">
  <autoFilter ref="A1:G13" xr:uid="{B3FDB256-2BD8-4B02-97F5-C5A3E0056889}"/>
  <tableColumns count="7">
    <tableColumn id="1" xr3:uid="{2FF3BE20-3247-4633-95F1-04A17A29C409}" name="Description"/>
    <tableColumn id="2" xr3:uid="{EC5609D8-0E44-42FA-9586-A3BE42F111F0}" name="Article No"/>
    <tableColumn id="3" xr3:uid="{62CD486E-236E-48FF-BBFF-19420C6C776D}" name="SIZE OF PRODUCT"/>
    <tableColumn id="4" xr3:uid="{A5E7F909-7442-4941-B4F0-31308CAB0CFE}" name="WIDTH CM (W)*"/>
    <tableColumn id="5" xr3:uid="{D37163D8-EB9C-4DE6-96C6-4EDD499DDE66}" name="LENGTH CM (L)*"/>
    <tableColumn id="6" xr3:uid="{2869918A-E62B-474E-8E2C-44B89F389C6D}" name="HIGHT CM (H)*"/>
    <tableColumn id="7" xr3:uid="{C5BA247A-4889-41F9-B00A-DCCFAD7A79B6}" name="BOX 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2464-10DE-40BE-A80C-66BFB154FBDC}">
  <sheetPr>
    <tabColor rgb="FF00B0F0"/>
  </sheetPr>
  <dimension ref="A1:O11"/>
  <sheetViews>
    <sheetView tabSelected="1" workbookViewId="0">
      <selection activeCell="B2" sqref="B2"/>
    </sheetView>
  </sheetViews>
  <sheetFormatPr defaultRowHeight="15" x14ac:dyDescent="0.25"/>
  <cols>
    <col min="1" max="1" width="11.7109375" customWidth="1"/>
    <col min="2" max="3" width="12.7109375" customWidth="1"/>
    <col min="4" max="4" width="17.7109375" style="8" bestFit="1" customWidth="1"/>
    <col min="5" max="5" width="17.7109375" style="11" customWidth="1"/>
    <col min="6" max="6" width="15" bestFit="1" customWidth="1"/>
    <col min="7" max="7" width="95" customWidth="1"/>
    <col min="8" max="8" width="17.85546875" bestFit="1" customWidth="1"/>
    <col min="9" max="9" width="14.85546875" customWidth="1"/>
    <col min="10" max="10" width="15.28515625" customWidth="1"/>
    <col min="11" max="12" width="19.28515625" bestFit="1" customWidth="1"/>
    <col min="13" max="13" width="18.140625" bestFit="1" customWidth="1"/>
  </cols>
  <sheetData>
    <row r="1" spans="1:15" ht="45" x14ac:dyDescent="0.25">
      <c r="A1" s="2" t="s">
        <v>0</v>
      </c>
      <c r="B1" s="3" t="s">
        <v>15</v>
      </c>
      <c r="C1" s="3" t="s">
        <v>17</v>
      </c>
      <c r="D1" s="6" t="s">
        <v>57</v>
      </c>
      <c r="E1" s="9" t="s">
        <v>62</v>
      </c>
      <c r="F1" s="3" t="s">
        <v>58</v>
      </c>
      <c r="G1" s="3" t="s">
        <v>59</v>
      </c>
      <c r="H1" s="4" t="s">
        <v>1</v>
      </c>
      <c r="I1" s="5" t="s">
        <v>54</v>
      </c>
      <c r="J1" s="5" t="s">
        <v>55</v>
      </c>
      <c r="K1" s="5" t="s">
        <v>56</v>
      </c>
      <c r="L1" s="2" t="s">
        <v>2</v>
      </c>
      <c r="M1" s="3" t="s">
        <v>13</v>
      </c>
      <c r="N1" s="3" t="s">
        <v>53</v>
      </c>
      <c r="O1" s="3" t="s">
        <v>14</v>
      </c>
    </row>
    <row r="2" spans="1:15" x14ac:dyDescent="0.25">
      <c r="A2" s="1" t="str">
        <f>IF(B2&lt;&gt;"",ROWS($B$2:B2),"")</f>
        <v/>
      </c>
      <c r="B2" s="1"/>
      <c r="C2" s="1"/>
      <c r="D2" s="7"/>
      <c r="E2" s="10"/>
      <c r="F2" s="1"/>
      <c r="G2" s="1"/>
      <c r="L2" s="1"/>
      <c r="M2" s="1"/>
    </row>
    <row r="3" spans="1:15" x14ac:dyDescent="0.25">
      <c r="A3" s="1" t="str">
        <f>IF(B3&lt;&gt;"",ROWS($B$2:B3),"")</f>
        <v/>
      </c>
      <c r="B3" s="1"/>
      <c r="C3" s="1"/>
      <c r="D3" s="7"/>
      <c r="E3" s="10"/>
      <c r="F3" s="1"/>
      <c r="G3" s="1"/>
      <c r="L3" s="1"/>
      <c r="M3" s="1"/>
    </row>
    <row r="4" spans="1:15" x14ac:dyDescent="0.25">
      <c r="A4" s="1" t="str">
        <f>IF(B4&lt;&gt;"",ROWS($B$2:B4),"")</f>
        <v/>
      </c>
      <c r="B4" s="1"/>
      <c r="C4" s="1"/>
      <c r="D4" s="7"/>
      <c r="E4" s="10"/>
      <c r="F4" s="1"/>
      <c r="G4" s="1"/>
      <c r="L4" s="1"/>
      <c r="M4" s="1"/>
    </row>
    <row r="5" spans="1:15" x14ac:dyDescent="0.25">
      <c r="A5" s="1" t="str">
        <f>IF(B5&lt;&gt;"",ROWS($B$2:B5),"")</f>
        <v/>
      </c>
      <c r="B5" s="1"/>
      <c r="C5" s="1"/>
      <c r="D5" s="7"/>
      <c r="E5" s="10"/>
      <c r="F5" s="1"/>
      <c r="G5" s="1"/>
      <c r="L5" s="1"/>
      <c r="M5" s="1"/>
    </row>
    <row r="6" spans="1:15" x14ac:dyDescent="0.25">
      <c r="A6" s="1" t="str">
        <f>IF(B6&lt;&gt;"",ROWS($B$2:B6),"")</f>
        <v/>
      </c>
      <c r="B6" s="1"/>
      <c r="C6" s="1"/>
      <c r="D6" s="7"/>
      <c r="E6" s="10"/>
      <c r="F6" s="1"/>
      <c r="G6" s="1"/>
      <c r="L6" s="1"/>
      <c r="M6" s="1"/>
    </row>
    <row r="7" spans="1:15" x14ac:dyDescent="0.25">
      <c r="A7" s="1" t="str">
        <f>IF(B7&lt;&gt;"",ROWS($B$2:B7),"")</f>
        <v/>
      </c>
      <c r="B7" s="1"/>
      <c r="C7" s="1"/>
      <c r="D7" s="7"/>
      <c r="E7" s="10"/>
      <c r="F7" s="1"/>
      <c r="G7" s="1"/>
      <c r="L7" s="1"/>
      <c r="M7" s="1"/>
    </row>
    <row r="8" spans="1:15" x14ac:dyDescent="0.25">
      <c r="A8" s="1" t="str">
        <f>IF(B8&lt;&gt;"",ROWS($B$2:B8),"")</f>
        <v/>
      </c>
      <c r="B8" s="1"/>
      <c r="C8" s="1"/>
      <c r="D8" s="7"/>
      <c r="E8" s="10"/>
      <c r="F8" s="1"/>
      <c r="G8" s="1"/>
      <c r="L8" s="1"/>
      <c r="M8" s="1"/>
    </row>
    <row r="9" spans="1:15" x14ac:dyDescent="0.25">
      <c r="A9" s="1" t="str">
        <f>IF(B9&lt;&gt;"",ROWS($B$2:B9),"")</f>
        <v/>
      </c>
      <c r="B9" s="1"/>
      <c r="C9" s="1"/>
      <c r="D9" s="7"/>
      <c r="E9" s="10"/>
      <c r="F9" s="1"/>
      <c r="G9" s="1"/>
      <c r="L9" s="1"/>
      <c r="M9" s="1"/>
    </row>
    <row r="10" spans="1:15" x14ac:dyDescent="0.25">
      <c r="A10" s="1" t="str">
        <f>IF(B10&lt;&gt;"",ROWS($B$2:B10),"")</f>
        <v/>
      </c>
      <c r="B10" s="1"/>
      <c r="C10" s="1"/>
      <c r="D10" s="7"/>
      <c r="E10" s="10"/>
      <c r="F10" s="1"/>
      <c r="G10" s="1"/>
      <c r="L10" s="1"/>
      <c r="M10" s="1"/>
    </row>
    <row r="11" spans="1:15" x14ac:dyDescent="0.25">
      <c r="A11" s="1" t="str">
        <f>IF(B11&lt;&gt;"",ROWS($B$2:B11),"")</f>
        <v/>
      </c>
      <c r="B11" s="1"/>
      <c r="C11" s="1"/>
      <c r="D11" s="7"/>
      <c r="E11" s="10"/>
      <c r="F11" s="1"/>
      <c r="G11" s="1"/>
      <c r="L11" s="1"/>
      <c r="M11" s="1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D5F994-F649-4098-8510-17D7BADE09F3}">
          <x14:formula1>
            <xm:f>'BOX TYPE'!$B$2:$B$8</xm:f>
          </x14:formula1>
          <xm:sqref>H2:H11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EF90-7E04-4729-8B55-C970F0915F9C}">
  <sheetPr>
    <tabColor rgb="FF00FF00"/>
  </sheetPr>
  <dimension ref="A1:O11"/>
  <sheetViews>
    <sheetView workbookViewId="0">
      <selection activeCell="E10" sqref="E10"/>
    </sheetView>
  </sheetViews>
  <sheetFormatPr defaultRowHeight="15" x14ac:dyDescent="0.25"/>
  <cols>
    <col min="1" max="1" width="11.7109375" customWidth="1"/>
    <col min="2" max="6" width="12.7109375" customWidth="1"/>
    <col min="7" max="7" width="17.7109375" bestFit="1" customWidth="1"/>
    <col min="8" max="8" width="12.42578125" bestFit="1" customWidth="1"/>
    <col min="9" max="9" width="12.5703125" bestFit="1" customWidth="1"/>
    <col min="10" max="10" width="14.5703125" bestFit="1" customWidth="1"/>
    <col min="11" max="11" width="14.85546875" customWidth="1"/>
    <col min="12" max="12" width="15.28515625" customWidth="1"/>
    <col min="13" max="14" width="19.28515625" bestFit="1" customWidth="1"/>
    <col min="15" max="15" width="11.7109375" bestFit="1" customWidth="1"/>
  </cols>
  <sheetData>
    <row r="1" spans="1:15" ht="45" x14ac:dyDescent="0.25">
      <c r="A1" s="2" t="s">
        <v>0</v>
      </c>
      <c r="B1" s="3" t="s">
        <v>15</v>
      </c>
      <c r="C1" s="3" t="s">
        <v>17</v>
      </c>
      <c r="D1" s="6" t="s">
        <v>57</v>
      </c>
      <c r="E1" s="9" t="s">
        <v>62</v>
      </c>
      <c r="F1" s="3" t="s">
        <v>58</v>
      </c>
      <c r="G1" s="3" t="s">
        <v>59</v>
      </c>
      <c r="H1" s="4" t="s">
        <v>1</v>
      </c>
      <c r="I1" s="5" t="s">
        <v>54</v>
      </c>
      <c r="J1" s="5" t="s">
        <v>55</v>
      </c>
      <c r="K1" s="5" t="s">
        <v>56</v>
      </c>
      <c r="L1" s="2" t="s">
        <v>2</v>
      </c>
      <c r="M1" s="3" t="s">
        <v>13</v>
      </c>
      <c r="N1" s="3" t="s">
        <v>53</v>
      </c>
      <c r="O1" s="3" t="s">
        <v>14</v>
      </c>
    </row>
    <row r="2" spans="1:15" x14ac:dyDescent="0.25">
      <c r="A2" s="1">
        <f>IF(B2&lt;&gt;"",ROWS($B$2:B2),"")</f>
        <v>1</v>
      </c>
      <c r="B2" s="1" t="s">
        <v>45</v>
      </c>
      <c r="C2" s="1" t="s">
        <v>19</v>
      </c>
      <c r="D2" s="7">
        <v>46041</v>
      </c>
      <c r="E2" s="10">
        <v>0.83333333333333337</v>
      </c>
      <c r="F2" s="1" t="s">
        <v>60</v>
      </c>
      <c r="G2" s="1" t="s">
        <v>61</v>
      </c>
      <c r="H2" t="s">
        <v>11</v>
      </c>
      <c r="I2">
        <v>40</v>
      </c>
      <c r="J2">
        <v>38</v>
      </c>
      <c r="K2">
        <v>58</v>
      </c>
      <c r="L2" s="1" t="str">
        <f>IF(Table2563[[#This Row],[Order]]&lt;&gt;"",FIXED(Table2563[[#This Row],[Units]]/35,0),"")</f>
        <v>29</v>
      </c>
      <c r="M2" s="1">
        <v>1000</v>
      </c>
      <c r="N2">
        <v>500</v>
      </c>
      <c r="O2">
        <v>450</v>
      </c>
    </row>
    <row r="3" spans="1:15" x14ac:dyDescent="0.25">
      <c r="A3" s="1">
        <f>IF(B3&lt;&gt;"",ROWS($B$2:B3),"")</f>
        <v>2</v>
      </c>
      <c r="B3" s="1" t="s">
        <v>46</v>
      </c>
      <c r="C3" s="1" t="s">
        <v>19</v>
      </c>
      <c r="D3" s="7">
        <v>46041</v>
      </c>
      <c r="E3" s="10">
        <v>0.83333333333333337</v>
      </c>
      <c r="F3" s="1" t="s">
        <v>60</v>
      </c>
      <c r="G3" s="1" t="s">
        <v>61</v>
      </c>
      <c r="H3" t="s">
        <v>3</v>
      </c>
      <c r="L3" s="1" t="str">
        <f>IF(Table2563[[#This Row],[Order]]&lt;&gt;"",FIXED(Table2563[[#This Row],[Units]]/35,0),"")</f>
        <v>29</v>
      </c>
      <c r="M3" s="1">
        <v>1000</v>
      </c>
      <c r="N3">
        <v>500</v>
      </c>
      <c r="O3">
        <v>450</v>
      </c>
    </row>
    <row r="4" spans="1:15" x14ac:dyDescent="0.25">
      <c r="A4" s="1">
        <f>IF(B4&lt;&gt;"",ROWS($B$2:B4),"")</f>
        <v>3</v>
      </c>
      <c r="B4" s="1" t="s">
        <v>47</v>
      </c>
      <c r="C4" s="1" t="s">
        <v>19</v>
      </c>
      <c r="D4" s="7">
        <v>46041</v>
      </c>
      <c r="E4" s="10">
        <v>0.83333333333333304</v>
      </c>
      <c r="F4" s="1" t="s">
        <v>60</v>
      </c>
      <c r="G4" s="1" t="s">
        <v>61</v>
      </c>
      <c r="H4" t="s">
        <v>3</v>
      </c>
      <c r="L4" s="1" t="str">
        <f>IF(Table2563[[#This Row],[Order]]&lt;&gt;"",FIXED(Table2563[[#This Row],[Units]]/35,0),"")</f>
        <v>29</v>
      </c>
      <c r="M4" s="1">
        <v>1000</v>
      </c>
      <c r="N4">
        <v>500</v>
      </c>
      <c r="O4">
        <v>450</v>
      </c>
    </row>
    <row r="5" spans="1:15" x14ac:dyDescent="0.25">
      <c r="A5" s="1">
        <f>IF(B5&lt;&gt;"",ROWS($B$2:B5),"")</f>
        <v>4</v>
      </c>
      <c r="B5" s="1" t="s">
        <v>48</v>
      </c>
      <c r="C5" s="1" t="s">
        <v>33</v>
      </c>
      <c r="D5" s="7">
        <v>46041</v>
      </c>
      <c r="E5" s="10">
        <v>0.83333333333333304</v>
      </c>
      <c r="F5" s="1" t="s">
        <v>60</v>
      </c>
      <c r="G5" s="1" t="s">
        <v>61</v>
      </c>
      <c r="H5" t="s">
        <v>11</v>
      </c>
      <c r="I5">
        <v>38</v>
      </c>
      <c r="J5">
        <v>36</v>
      </c>
      <c r="K5">
        <v>56</v>
      </c>
      <c r="L5" s="1" t="str">
        <f>IF(Table2563[[#This Row],[Order]]&lt;&gt;"",FIXED(Table2563[[#This Row],[Units]]/35,0),"")</f>
        <v>29</v>
      </c>
      <c r="M5" s="1">
        <v>1000</v>
      </c>
      <c r="N5">
        <v>500</v>
      </c>
      <c r="O5">
        <v>450</v>
      </c>
    </row>
    <row r="6" spans="1:15" x14ac:dyDescent="0.25">
      <c r="A6" s="1">
        <f>IF(B6&lt;&gt;"",ROWS($B$2:B6),"")</f>
        <v>5</v>
      </c>
      <c r="B6" s="1" t="s">
        <v>49</v>
      </c>
      <c r="C6" s="1" t="s">
        <v>33</v>
      </c>
      <c r="D6" s="7">
        <v>46041</v>
      </c>
      <c r="E6" s="10">
        <v>0.83333333333333304</v>
      </c>
      <c r="F6" s="1" t="s">
        <v>60</v>
      </c>
      <c r="G6" s="1" t="s">
        <v>61</v>
      </c>
      <c r="H6" t="s">
        <v>3</v>
      </c>
      <c r="L6" s="1" t="str">
        <f>IF(Table2563[[#This Row],[Order]]&lt;&gt;"",FIXED(Table2563[[#This Row],[Units]]/35,0),"")</f>
        <v>57</v>
      </c>
      <c r="M6" s="1">
        <v>2000</v>
      </c>
      <c r="N6">
        <v>985</v>
      </c>
      <c r="O6">
        <v>890</v>
      </c>
    </row>
    <row r="7" spans="1:15" x14ac:dyDescent="0.25">
      <c r="A7" s="1">
        <f>IF(B7&lt;&gt;"",ROWS($B$2:B7),"")</f>
        <v>6</v>
      </c>
      <c r="B7" s="1" t="s">
        <v>50</v>
      </c>
      <c r="C7" s="1" t="s">
        <v>33</v>
      </c>
      <c r="D7" s="7">
        <v>46041</v>
      </c>
      <c r="E7" s="10">
        <v>0.83333333333333304</v>
      </c>
      <c r="F7" s="1" t="s">
        <v>60</v>
      </c>
      <c r="G7" s="1" t="s">
        <v>61</v>
      </c>
      <c r="H7" t="s">
        <v>3</v>
      </c>
      <c r="L7" s="1" t="str">
        <f>IF(Table2563[[#This Row],[Order]]&lt;&gt;"",FIXED(Table2563[[#This Row],[Units]]/35,0),"")</f>
        <v>86</v>
      </c>
      <c r="M7" s="1">
        <v>3000</v>
      </c>
      <c r="N7">
        <v>1665</v>
      </c>
      <c r="O7">
        <v>1560</v>
      </c>
    </row>
    <row r="8" spans="1:15" x14ac:dyDescent="0.25">
      <c r="A8" s="1">
        <f>IF(B8&lt;&gt;"",ROWS($B$2:B8),"")</f>
        <v>7</v>
      </c>
      <c r="B8" s="1" t="s">
        <v>51</v>
      </c>
      <c r="C8" s="1" t="s">
        <v>33</v>
      </c>
      <c r="D8" s="7">
        <v>46041</v>
      </c>
      <c r="E8" s="10">
        <v>0.83333333333333304</v>
      </c>
      <c r="F8" s="1" t="s">
        <v>60</v>
      </c>
      <c r="G8" s="1" t="s">
        <v>61</v>
      </c>
      <c r="H8" t="s">
        <v>3</v>
      </c>
      <c r="L8" s="1" t="str">
        <f>IF(Table2563[[#This Row],[Order]]&lt;&gt;"",FIXED(Table2563[[#This Row],[Units]]/35,0),"")</f>
        <v>57</v>
      </c>
      <c r="M8" s="1">
        <v>2000</v>
      </c>
      <c r="N8">
        <v>985</v>
      </c>
      <c r="O8">
        <v>890</v>
      </c>
    </row>
    <row r="9" spans="1:15" x14ac:dyDescent="0.25">
      <c r="A9" s="1">
        <f>IF(B9&lt;&gt;"",ROWS($B$2:B9),"")</f>
        <v>8</v>
      </c>
      <c r="B9" s="1" t="s">
        <v>51</v>
      </c>
      <c r="C9" s="1" t="s">
        <v>33</v>
      </c>
      <c r="D9" s="7">
        <v>46041</v>
      </c>
      <c r="E9" s="10">
        <v>0.83333333333333304</v>
      </c>
      <c r="F9" s="1" t="s">
        <v>60</v>
      </c>
      <c r="G9" s="1" t="s">
        <v>61</v>
      </c>
      <c r="H9" t="s">
        <v>3</v>
      </c>
      <c r="L9" s="1" t="str">
        <f>IF(Table2563[[#This Row],[Order]]&lt;&gt;"",FIXED(Table2563[[#This Row],[Units]]/35,0),"")</f>
        <v>29</v>
      </c>
      <c r="M9" s="1">
        <v>1000</v>
      </c>
      <c r="N9">
        <v>485</v>
      </c>
      <c r="O9">
        <v>425</v>
      </c>
    </row>
    <row r="10" spans="1:15" x14ac:dyDescent="0.25">
      <c r="A10" s="1">
        <f>IF(B10&lt;&gt;"",ROWS($B$2:B10),"")</f>
        <v>9</v>
      </c>
      <c r="B10" s="1" t="s">
        <v>52</v>
      </c>
      <c r="C10" s="1" t="s">
        <v>33</v>
      </c>
      <c r="D10" s="7">
        <v>46041</v>
      </c>
      <c r="E10" s="10">
        <v>0.83333333333333304</v>
      </c>
      <c r="F10" s="1" t="s">
        <v>60</v>
      </c>
      <c r="G10" s="1" t="s">
        <v>61</v>
      </c>
      <c r="H10" t="s">
        <v>3</v>
      </c>
      <c r="L10" s="1" t="str">
        <f>IF(Table2563[[#This Row],[Order]]&lt;&gt;"",FIXED(Table2563[[#This Row],[Units]]/35,0),"")</f>
        <v>29</v>
      </c>
      <c r="M10" s="1">
        <v>1000</v>
      </c>
      <c r="N10">
        <v>485</v>
      </c>
      <c r="O10">
        <v>425</v>
      </c>
    </row>
    <row r="11" spans="1:15" x14ac:dyDescent="0.25">
      <c r="A11" s="1">
        <f>IF(B11&lt;&gt;"",ROWS($B$2:B11),"")</f>
        <v>10</v>
      </c>
      <c r="B11" s="1" t="s">
        <v>52</v>
      </c>
      <c r="C11" s="1" t="s">
        <v>33</v>
      </c>
      <c r="D11" s="7">
        <v>46041</v>
      </c>
      <c r="E11" s="10">
        <v>0.83333333333333304</v>
      </c>
      <c r="F11" s="1" t="s">
        <v>60</v>
      </c>
      <c r="G11" s="1" t="s">
        <v>61</v>
      </c>
      <c r="H11" t="s">
        <v>3</v>
      </c>
      <c r="L11" s="1" t="str">
        <f>IF(Table2563[[#This Row],[Order]]&lt;&gt;"",FIXED(Table2563[[#This Row],[Units]]/35,0),"")</f>
        <v>57</v>
      </c>
      <c r="M11" s="1">
        <v>2000</v>
      </c>
      <c r="N11">
        <v>985</v>
      </c>
      <c r="O11">
        <v>890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BE2262-B0F6-4489-ABB8-9A574928E86B}">
          <x14:formula1>
            <xm:f>'BOX TYPE'!$B$2:$B$8</xm:f>
          </x14:formula1>
          <xm:sqref>H2:H11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428D-A940-458E-A567-E4DD8C4936B0}">
  <dimension ref="A1:I8"/>
  <sheetViews>
    <sheetView workbookViewId="0">
      <selection activeCell="C1" sqref="C1:E1"/>
    </sheetView>
  </sheetViews>
  <sheetFormatPr defaultRowHeight="15" x14ac:dyDescent="0.25"/>
  <cols>
    <col min="2" max="2" width="21.140625" customWidth="1"/>
    <col min="3" max="4" width="16.5703125" customWidth="1"/>
    <col min="5" max="5" width="15.42578125" customWidth="1"/>
    <col min="6" max="6" width="31.28515625" bestFit="1" customWidth="1"/>
    <col min="7" max="7" width="8.7109375" bestFit="1" customWidth="1"/>
    <col min="8" max="8" width="23.42578125" bestFit="1" customWidth="1"/>
    <col min="9" max="9" width="13.7109375" bestFit="1" customWidth="1"/>
  </cols>
  <sheetData>
    <row r="1" spans="1:9" x14ac:dyDescent="0.25">
      <c r="A1" t="s">
        <v>0</v>
      </c>
      <c r="B1" t="s">
        <v>24</v>
      </c>
      <c r="C1" t="s">
        <v>8</v>
      </c>
      <c r="D1" t="s">
        <v>9</v>
      </c>
      <c r="E1" t="s">
        <v>10</v>
      </c>
      <c r="F1" t="s">
        <v>16</v>
      </c>
      <c r="G1" t="s">
        <v>17</v>
      </c>
      <c r="H1" t="s">
        <v>20</v>
      </c>
      <c r="I1" t="s">
        <v>22</v>
      </c>
    </row>
    <row r="2" spans="1:9" x14ac:dyDescent="0.25">
      <c r="A2" s="1">
        <v>1</v>
      </c>
      <c r="B2" t="s">
        <v>44</v>
      </c>
      <c r="G2">
        <v>1</v>
      </c>
    </row>
    <row r="3" spans="1:9" x14ac:dyDescent="0.25">
      <c r="A3" s="1">
        <v>2</v>
      </c>
      <c r="B3" t="s">
        <v>3</v>
      </c>
      <c r="F3" t="s">
        <v>18</v>
      </c>
      <c r="G3" t="s">
        <v>33</v>
      </c>
      <c r="H3" t="s">
        <v>21</v>
      </c>
      <c r="I3" t="s">
        <v>23</v>
      </c>
    </row>
    <row r="4" spans="1:9" x14ac:dyDescent="0.25">
      <c r="A4" s="1">
        <v>3</v>
      </c>
      <c r="B4" t="s">
        <v>4</v>
      </c>
      <c r="G4" t="s">
        <v>19</v>
      </c>
    </row>
    <row r="5" spans="1:9" x14ac:dyDescent="0.25">
      <c r="A5" s="1">
        <v>4</v>
      </c>
      <c r="B5" t="s">
        <v>5</v>
      </c>
      <c r="G5" t="s">
        <v>35</v>
      </c>
    </row>
    <row r="6" spans="1:9" x14ac:dyDescent="0.25">
      <c r="A6" s="1">
        <v>5</v>
      </c>
      <c r="B6" t="s">
        <v>6</v>
      </c>
      <c r="G6" t="s">
        <v>39</v>
      </c>
    </row>
    <row r="7" spans="1:9" x14ac:dyDescent="0.25">
      <c r="A7" s="1">
        <v>6</v>
      </c>
      <c r="B7" t="s">
        <v>7</v>
      </c>
      <c r="G7">
        <v>6</v>
      </c>
    </row>
    <row r="8" spans="1:9" x14ac:dyDescent="0.25">
      <c r="A8" s="1">
        <v>7</v>
      </c>
      <c r="B8" t="s">
        <v>11</v>
      </c>
      <c r="G8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A81F-8E46-45D8-94A7-22C45CD8F439}">
  <dimension ref="A1:G13"/>
  <sheetViews>
    <sheetView workbookViewId="0">
      <selection activeCell="E15" sqref="E15"/>
    </sheetView>
  </sheetViews>
  <sheetFormatPr defaultRowHeight="15" x14ac:dyDescent="0.25"/>
  <cols>
    <col min="1" max="1" width="12.28515625" customWidth="1"/>
    <col min="2" max="2" width="11.140625" customWidth="1"/>
    <col min="3" max="3" width="17.7109375" customWidth="1"/>
    <col min="4" max="5" width="16.5703125" customWidth="1"/>
    <col min="6" max="6" width="15.42578125" customWidth="1"/>
    <col min="7" max="7" width="19.140625" bestFit="1" customWidth="1"/>
  </cols>
  <sheetData>
    <row r="1" spans="1:7" x14ac:dyDescent="0.25">
      <c r="A1" t="s">
        <v>25</v>
      </c>
      <c r="B1" t="s">
        <v>26</v>
      </c>
      <c r="C1" t="s">
        <v>27</v>
      </c>
      <c r="D1" t="s">
        <v>8</v>
      </c>
      <c r="E1" t="s">
        <v>9</v>
      </c>
      <c r="F1" t="s">
        <v>10</v>
      </c>
      <c r="G1" t="s">
        <v>24</v>
      </c>
    </row>
    <row r="2" spans="1:7" x14ac:dyDescent="0.25">
      <c r="A2" t="s">
        <v>18</v>
      </c>
      <c r="B2" t="s">
        <v>19</v>
      </c>
      <c r="C2" t="s">
        <v>28</v>
      </c>
      <c r="G2" t="s">
        <v>3</v>
      </c>
    </row>
    <row r="3" spans="1:7" x14ac:dyDescent="0.25">
      <c r="B3" t="s">
        <v>19</v>
      </c>
      <c r="C3" t="s">
        <v>29</v>
      </c>
      <c r="G3" t="s">
        <v>4</v>
      </c>
    </row>
    <row r="4" spans="1:7" x14ac:dyDescent="0.25">
      <c r="B4" t="s">
        <v>19</v>
      </c>
      <c r="C4" t="s">
        <v>30</v>
      </c>
      <c r="G4" t="s">
        <v>5</v>
      </c>
    </row>
    <row r="5" spans="1:7" x14ac:dyDescent="0.25">
      <c r="B5" t="s">
        <v>19</v>
      </c>
      <c r="C5" t="s">
        <v>31</v>
      </c>
      <c r="G5" t="s">
        <v>6</v>
      </c>
    </row>
    <row r="6" spans="1:7" x14ac:dyDescent="0.25">
      <c r="G6" t="s">
        <v>7</v>
      </c>
    </row>
    <row r="7" spans="1:7" x14ac:dyDescent="0.25">
      <c r="A7" t="s">
        <v>32</v>
      </c>
      <c r="B7" t="s">
        <v>33</v>
      </c>
      <c r="G7" t="s">
        <v>12</v>
      </c>
    </row>
    <row r="8" spans="1:7" x14ac:dyDescent="0.25">
      <c r="A8" t="s">
        <v>34</v>
      </c>
      <c r="B8" t="s">
        <v>35</v>
      </c>
      <c r="G8" t="s">
        <v>12</v>
      </c>
    </row>
    <row r="9" spans="1:7" x14ac:dyDescent="0.25">
      <c r="A9" t="s">
        <v>36</v>
      </c>
      <c r="B9" t="s">
        <v>37</v>
      </c>
    </row>
    <row r="10" spans="1:7" x14ac:dyDescent="0.25">
      <c r="A10" t="s">
        <v>38</v>
      </c>
      <c r="B10" t="s">
        <v>39</v>
      </c>
    </row>
    <row r="11" spans="1:7" x14ac:dyDescent="0.25">
      <c r="A11" t="s">
        <v>40</v>
      </c>
    </row>
    <row r="12" spans="1:7" x14ac:dyDescent="0.25">
      <c r="A12" t="s">
        <v>41</v>
      </c>
      <c r="B12" t="s">
        <v>42</v>
      </c>
    </row>
    <row r="13" spans="1:7" x14ac:dyDescent="0.25">
      <c r="A13" t="s">
        <v>40</v>
      </c>
      <c r="B13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BOOKING FORMAT IND</vt:lpstr>
      <vt:lpstr>SAMPLE</vt:lpstr>
      <vt:lpstr>BOX TYPE</vt:lpstr>
      <vt:lpstr>ARTICLE WISE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Ahsanul Islam</cp:lastModifiedBy>
  <dcterms:created xsi:type="dcterms:W3CDTF">2025-12-05T18:12:43Z</dcterms:created>
  <dcterms:modified xsi:type="dcterms:W3CDTF">2025-12-17T20:29:24Z</dcterms:modified>
</cp:coreProperties>
</file>