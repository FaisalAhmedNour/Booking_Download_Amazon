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jumana\AppData\Local\Microsoft\Windows\INetCache\Content.Outlook\Y50AG5OU\"/>
    </mc:Choice>
  </mc:AlternateContent>
  <xr:revisionPtr revIDLastSave="0" documentId="13_ncr:1_{A5B9BEDB-6A89-440F-8B77-DBE092E7AC4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1" sheetId="2" state="hidden" r:id="rId1"/>
    <sheet name="BK" sheetId="3" r:id="rId2"/>
    <sheet name="all PO" sheetId="1" state="hidden" r:id="rId3"/>
    <sheet name="PO Data" sheetId="4" r:id="rId4"/>
  </sheets>
  <definedNames>
    <definedName name="_xlnm._FilterDatabase" localSheetId="2" hidden="1">'all PO'!$A$2:$AW$2</definedName>
    <definedName name="_xlnm._FilterDatabase" localSheetId="1" hidden="1">BK!$A$3:$Q$51</definedName>
    <definedName name="_xlnm._FilterDatabase" localSheetId="3" hidden="1">'PO Data'!$A$2:$AW$1129</definedName>
    <definedName name="_xlnm._FilterDatabase" localSheetId="0" hidden="1">Sheet1!$A$3:$G$11</definedName>
  </definedNames>
  <calcPr calcId="191029"/>
  <pivotCaches>
    <pivotCache cacheId="21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481" i="1" l="1"/>
  <c r="AH1481" i="1"/>
  <c r="Y1481" i="1"/>
  <c r="AO1480" i="1"/>
  <c r="AH1480" i="1"/>
  <c r="Y1480" i="1"/>
  <c r="AO1479" i="1"/>
  <c r="AH1479" i="1"/>
  <c r="Y1479" i="1"/>
  <c r="AO1478" i="1"/>
  <c r="AH1478" i="1"/>
  <c r="Y1478" i="1"/>
  <c r="AO1477" i="1"/>
  <c r="AH1477" i="1"/>
  <c r="Y1477" i="1"/>
  <c r="AO1476" i="1"/>
  <c r="AH1476" i="1"/>
  <c r="Y1476" i="1"/>
  <c r="AO1475" i="1"/>
  <c r="AH1475" i="1"/>
  <c r="Y1475" i="1"/>
  <c r="AO1474" i="1"/>
  <c r="AH1474" i="1"/>
  <c r="Y1474" i="1"/>
  <c r="AO1473" i="1"/>
  <c r="AH1473" i="1"/>
  <c r="Y1473" i="1"/>
  <c r="AO1472" i="1"/>
  <c r="AH1472" i="1"/>
  <c r="Y1472" i="1"/>
  <c r="AO1471" i="1"/>
  <c r="AH1471" i="1"/>
  <c r="Y1471" i="1"/>
  <c r="AO1470" i="1"/>
  <c r="AH1470" i="1"/>
  <c r="Y1470" i="1"/>
  <c r="AO1469" i="1"/>
  <c r="AH1469" i="1"/>
  <c r="Y1469" i="1"/>
  <c r="AO1468" i="1"/>
  <c r="AH1468" i="1"/>
  <c r="Y1468" i="1"/>
  <c r="AO1467" i="1"/>
  <c r="AH1467" i="1"/>
  <c r="Y1467" i="1"/>
  <c r="AO1466" i="1"/>
  <c r="AH1466" i="1"/>
  <c r="Y1466" i="1"/>
  <c r="AO1465" i="1"/>
  <c r="AH1465" i="1"/>
  <c r="Y1465" i="1"/>
  <c r="AO1464" i="1"/>
  <c r="AH1464" i="1"/>
  <c r="Y1464" i="1"/>
  <c r="AO1463" i="1"/>
  <c r="AH1463" i="1"/>
  <c r="Y1463" i="1"/>
  <c r="AO1462" i="1"/>
  <c r="AH1462" i="1"/>
  <c r="Y1462" i="1"/>
  <c r="AO1461" i="1"/>
  <c r="AH1461" i="1"/>
  <c r="Y1461" i="1"/>
  <c r="AO1460" i="1"/>
  <c r="AH1460" i="1"/>
  <c r="Y1460" i="1"/>
  <c r="AO1459" i="1"/>
  <c r="AH1459" i="1"/>
  <c r="Y1459" i="1"/>
  <c r="AO1458" i="1"/>
  <c r="AH1458" i="1"/>
  <c r="Y1458" i="1"/>
  <c r="AO1457" i="1"/>
  <c r="AH1457" i="1"/>
  <c r="Y1457" i="1"/>
  <c r="AO1456" i="1"/>
  <c r="AH1456" i="1"/>
  <c r="Y1456" i="1"/>
  <c r="AO1455" i="1"/>
  <c r="AH1455" i="1"/>
  <c r="Y1455" i="1"/>
  <c r="AO1454" i="1"/>
  <c r="AH1454" i="1"/>
  <c r="Y1454" i="1"/>
  <c r="AO1453" i="1"/>
  <c r="AH1453" i="1"/>
  <c r="Y1453" i="1"/>
  <c r="AO1452" i="1"/>
  <c r="AH1452" i="1"/>
  <c r="Y1452" i="1"/>
  <c r="AO1451" i="1"/>
  <c r="AH1451" i="1"/>
  <c r="Y1451" i="1"/>
  <c r="AO1450" i="1"/>
  <c r="AH1450" i="1"/>
  <c r="Y1450" i="1"/>
  <c r="AO1449" i="1"/>
  <c r="AH1449" i="1"/>
  <c r="Y1449" i="1"/>
  <c r="AO1448" i="1"/>
  <c r="AH1448" i="1"/>
  <c r="Y1448" i="1"/>
  <c r="AO1447" i="1"/>
  <c r="AH1447" i="1"/>
  <c r="Y1447" i="1"/>
  <c r="AO1446" i="1"/>
  <c r="AH1446" i="1"/>
  <c r="Y1446" i="1"/>
  <c r="AO1445" i="1"/>
  <c r="AH1445" i="1"/>
  <c r="Y1445" i="1"/>
  <c r="AO1444" i="1"/>
  <c r="AH1444" i="1"/>
  <c r="Y1444" i="1"/>
  <c r="AO1443" i="1"/>
  <c r="AH1443" i="1"/>
  <c r="Y1443" i="1"/>
  <c r="AO1442" i="1"/>
  <c r="AH1442" i="1"/>
  <c r="Y1442" i="1"/>
  <c r="AO1441" i="1"/>
  <c r="AH1441" i="1"/>
  <c r="Y1441" i="1"/>
  <c r="AO1440" i="1"/>
  <c r="AH1440" i="1"/>
  <c r="Y1440" i="1"/>
  <c r="AO1439" i="1"/>
  <c r="AH1439" i="1"/>
  <c r="Y1439" i="1"/>
  <c r="AO1438" i="1"/>
  <c r="AH1438" i="1"/>
  <c r="Y1438" i="1"/>
  <c r="AO1437" i="1"/>
  <c r="AH1437" i="1"/>
  <c r="Y1437" i="1"/>
  <c r="AO1436" i="1"/>
  <c r="AH1436" i="1"/>
  <c r="Y1436" i="1"/>
  <c r="AO1435" i="1"/>
  <c r="AH1435" i="1"/>
  <c r="Y1435" i="1"/>
  <c r="AO1434" i="1"/>
  <c r="AH1434" i="1"/>
  <c r="Y1434" i="1"/>
  <c r="AO1433" i="1"/>
  <c r="AH1433" i="1"/>
  <c r="Y1433" i="1"/>
  <c r="AO1432" i="1"/>
  <c r="AH1432" i="1"/>
  <c r="Y1432" i="1"/>
  <c r="AO1431" i="1"/>
  <c r="AH1431" i="1"/>
  <c r="Y1431" i="1"/>
  <c r="AO1430" i="1"/>
  <c r="AH1430" i="1"/>
  <c r="Y1430" i="1"/>
  <c r="AO1429" i="1"/>
  <c r="AH1429" i="1"/>
  <c r="Y1429" i="1"/>
  <c r="AO1428" i="1"/>
  <c r="AH1428" i="1"/>
  <c r="Y1428" i="1"/>
  <c r="AO1427" i="1"/>
  <c r="AH1427" i="1"/>
  <c r="Y1427" i="1"/>
  <c r="AO1426" i="1"/>
  <c r="AH1426" i="1"/>
  <c r="Y1426" i="1"/>
  <c r="AO1425" i="1"/>
  <c r="AH1425" i="1"/>
  <c r="Y1425" i="1"/>
  <c r="AO1424" i="1"/>
  <c r="AH1424" i="1"/>
  <c r="Y1424" i="1"/>
  <c r="AO1423" i="1"/>
  <c r="AH1423" i="1"/>
  <c r="Y1423" i="1"/>
  <c r="AO1422" i="1"/>
  <c r="AH1422" i="1"/>
  <c r="Y1422" i="1"/>
  <c r="AO1421" i="1"/>
  <c r="AH1421" i="1"/>
  <c r="Y1421" i="1"/>
  <c r="AO1420" i="1"/>
  <c r="AH1420" i="1"/>
  <c r="Y1420" i="1"/>
  <c r="AO1419" i="1"/>
  <c r="AH1419" i="1"/>
  <c r="Y1419" i="1"/>
  <c r="AO1418" i="1"/>
  <c r="AH1418" i="1"/>
  <c r="Y1418" i="1"/>
  <c r="AO1417" i="1"/>
  <c r="AH1417" i="1"/>
  <c r="Y1417" i="1"/>
  <c r="AO1416" i="1"/>
  <c r="AH1416" i="1"/>
  <c r="Y1416" i="1"/>
  <c r="AO1415" i="1"/>
  <c r="AH1415" i="1"/>
  <c r="Y1415" i="1"/>
  <c r="AO1414" i="1"/>
  <c r="AH1414" i="1"/>
  <c r="Y1414" i="1"/>
  <c r="AO1413" i="1"/>
  <c r="AH1413" i="1"/>
  <c r="Y1413" i="1"/>
  <c r="AO1412" i="1"/>
  <c r="AH1412" i="1"/>
  <c r="Y1412" i="1"/>
  <c r="AO1411" i="1"/>
  <c r="AH1411" i="1"/>
  <c r="Y1411" i="1"/>
  <c r="AO1410" i="1"/>
  <c r="AH1410" i="1"/>
  <c r="Y1410" i="1"/>
  <c r="AO1409" i="1"/>
  <c r="AH1409" i="1"/>
  <c r="Y1409" i="1"/>
  <c r="AO1408" i="1"/>
  <c r="AH1408" i="1"/>
  <c r="Y1408" i="1"/>
  <c r="AO1407" i="1"/>
  <c r="AH1407" i="1"/>
  <c r="Y1407" i="1"/>
  <c r="AO1406" i="1"/>
  <c r="AH1406" i="1"/>
  <c r="Y1406" i="1"/>
  <c r="AO1405" i="1"/>
  <c r="AH1405" i="1"/>
  <c r="Y1405" i="1"/>
  <c r="AO1404" i="1"/>
  <c r="AH1404" i="1"/>
  <c r="Y1404" i="1"/>
  <c r="AO1403" i="1"/>
  <c r="AH1403" i="1"/>
  <c r="Y1403" i="1"/>
  <c r="AO1402" i="1"/>
  <c r="AH1402" i="1"/>
  <c r="Y1402" i="1"/>
  <c r="AO1401" i="1"/>
  <c r="AH1401" i="1"/>
  <c r="Y1401" i="1"/>
  <c r="AO1400" i="1"/>
  <c r="AH1400" i="1"/>
  <c r="Y1400" i="1"/>
  <c r="AO1399" i="1"/>
  <c r="AH1399" i="1"/>
  <c r="Y1399" i="1"/>
  <c r="AO1398" i="1"/>
  <c r="AH1398" i="1"/>
  <c r="Y1398" i="1"/>
  <c r="AO1397" i="1"/>
  <c r="AH1397" i="1"/>
  <c r="Y1397" i="1"/>
  <c r="AO1396" i="1"/>
  <c r="AH1396" i="1"/>
  <c r="Y1396" i="1"/>
  <c r="AO1395" i="1"/>
  <c r="AH1395" i="1"/>
  <c r="Y1395" i="1"/>
  <c r="AO1394" i="1"/>
  <c r="AH1394" i="1"/>
  <c r="Y1394" i="1"/>
  <c r="AO1393" i="1"/>
  <c r="AH1393" i="1"/>
  <c r="Y1393" i="1"/>
  <c r="AO1392" i="1"/>
  <c r="AH1392" i="1"/>
  <c r="Y1392" i="1"/>
  <c r="AO1391" i="1"/>
  <c r="AH1391" i="1"/>
  <c r="Y1391" i="1"/>
  <c r="AO1390" i="1"/>
  <c r="AH1390" i="1"/>
  <c r="Y1390" i="1"/>
  <c r="AO1389" i="1"/>
  <c r="AH1389" i="1"/>
  <c r="Y1389" i="1"/>
  <c r="AO1388" i="1"/>
  <c r="AH1388" i="1"/>
  <c r="Y1388" i="1"/>
  <c r="AO1387" i="1"/>
  <c r="AH1387" i="1"/>
  <c r="Y1387" i="1"/>
  <c r="AO1386" i="1"/>
  <c r="AH1386" i="1"/>
  <c r="Y1386" i="1"/>
  <c r="AO1385" i="1"/>
  <c r="AH1385" i="1"/>
  <c r="Y1385" i="1"/>
  <c r="AO1384" i="1"/>
  <c r="AH1384" i="1"/>
  <c r="Y1384" i="1"/>
  <c r="AO1383" i="1"/>
  <c r="AH1383" i="1"/>
  <c r="Y1383" i="1"/>
  <c r="AO1382" i="1"/>
  <c r="AH1382" i="1"/>
  <c r="Y1382" i="1"/>
  <c r="AO1381" i="1"/>
  <c r="AH1381" i="1"/>
  <c r="Y1381" i="1"/>
  <c r="AO1380" i="1"/>
  <c r="AH1380" i="1"/>
  <c r="Y1380" i="1"/>
  <c r="AO1379" i="1"/>
  <c r="AH1379" i="1"/>
  <c r="Y1379" i="1"/>
  <c r="AO1378" i="1"/>
  <c r="AH1378" i="1"/>
  <c r="Y1378" i="1"/>
  <c r="AO1377" i="1"/>
  <c r="AH1377" i="1"/>
  <c r="Y1377" i="1"/>
  <c r="AO1376" i="1"/>
  <c r="AH1376" i="1"/>
  <c r="Y1376" i="1"/>
  <c r="AO1375" i="1"/>
  <c r="AH1375" i="1"/>
  <c r="Y1375" i="1"/>
  <c r="AO1374" i="1"/>
  <c r="AH1374" i="1"/>
  <c r="Y1374" i="1"/>
  <c r="AO1373" i="1"/>
  <c r="AH1373" i="1"/>
  <c r="Y1373" i="1"/>
  <c r="AO1372" i="1"/>
  <c r="AH1372" i="1"/>
  <c r="Y1372" i="1"/>
  <c r="AO1371" i="1"/>
  <c r="AH1371" i="1"/>
  <c r="Y1371" i="1"/>
  <c r="AO1370" i="1"/>
  <c r="AH1370" i="1"/>
  <c r="Y1370" i="1"/>
  <c r="AO1369" i="1"/>
  <c r="AH1369" i="1"/>
  <c r="Y1369" i="1"/>
  <c r="AO1368" i="1"/>
  <c r="AH1368" i="1"/>
  <c r="Y1368" i="1"/>
  <c r="AO1367" i="1"/>
  <c r="AH1367" i="1"/>
  <c r="Y1367" i="1"/>
  <c r="AO1366" i="1"/>
  <c r="AH1366" i="1"/>
  <c r="Y1366" i="1"/>
  <c r="AO1365" i="1"/>
  <c r="AH1365" i="1"/>
  <c r="Y1365" i="1"/>
  <c r="AO1364" i="1"/>
  <c r="AH1364" i="1"/>
  <c r="Y1364" i="1"/>
  <c r="AO1363" i="1"/>
  <c r="AH1363" i="1"/>
  <c r="Y1363" i="1"/>
  <c r="AO1362" i="1"/>
  <c r="AH1362" i="1"/>
  <c r="Y1362" i="1"/>
  <c r="AO1361" i="1"/>
  <c r="AH1361" i="1"/>
  <c r="Y1361" i="1"/>
  <c r="AO1360" i="1"/>
  <c r="AH1360" i="1"/>
  <c r="Y1360" i="1"/>
  <c r="AO1359" i="1"/>
  <c r="AH1359" i="1"/>
  <c r="Y1359" i="1"/>
  <c r="AO1358" i="1"/>
  <c r="AH1358" i="1"/>
  <c r="Y1358" i="1"/>
  <c r="AO1357" i="1"/>
  <c r="AH1357" i="1"/>
  <c r="Y1357" i="1"/>
  <c r="AO1356" i="1"/>
  <c r="AH1356" i="1"/>
  <c r="Y1356" i="1"/>
  <c r="AO1355" i="1"/>
  <c r="AH1355" i="1"/>
  <c r="Y1355" i="1"/>
  <c r="AO1354" i="1"/>
  <c r="AH1354" i="1"/>
  <c r="Y1354" i="1"/>
  <c r="AO1353" i="1"/>
  <c r="AH1353" i="1"/>
  <c r="Y1353" i="1"/>
  <c r="AO1352" i="1"/>
  <c r="AH1352" i="1"/>
  <c r="Y1352" i="1"/>
  <c r="AO1351" i="1"/>
  <c r="AH1351" i="1"/>
  <c r="Y1351" i="1"/>
  <c r="AO1350" i="1"/>
  <c r="AH1350" i="1"/>
  <c r="Y1350" i="1"/>
  <c r="AO1349" i="1"/>
  <c r="AH1349" i="1"/>
  <c r="Y1349" i="1"/>
  <c r="AO1348" i="1"/>
  <c r="AH1348" i="1"/>
  <c r="Y1348" i="1"/>
  <c r="AO1347" i="1"/>
  <c r="AH1347" i="1"/>
  <c r="Y1347" i="1"/>
  <c r="AO1346" i="1"/>
  <c r="AH1346" i="1"/>
  <c r="Y1346" i="1"/>
  <c r="AO1345" i="1"/>
  <c r="AH1345" i="1"/>
  <c r="Y1345" i="1"/>
  <c r="AO1344" i="1"/>
  <c r="AH1344" i="1"/>
  <c r="Y1344" i="1"/>
  <c r="AO1343" i="1"/>
  <c r="AH1343" i="1"/>
  <c r="Y1343" i="1"/>
  <c r="AO1342" i="1"/>
  <c r="AH1342" i="1"/>
  <c r="Y1342" i="1"/>
  <c r="AO1341" i="1"/>
  <c r="AH1341" i="1"/>
  <c r="Y1341" i="1"/>
  <c r="AO1340" i="1"/>
  <c r="AH1340" i="1"/>
  <c r="Y1340" i="1"/>
  <c r="AO1339" i="1"/>
  <c r="AH1339" i="1"/>
  <c r="Y1339" i="1"/>
  <c r="AO1338" i="1"/>
  <c r="AH1338" i="1"/>
  <c r="Y1338" i="1"/>
  <c r="AO1337" i="1"/>
  <c r="AH1337" i="1"/>
  <c r="Y1337" i="1"/>
  <c r="AO1336" i="1"/>
  <c r="AH1336" i="1"/>
  <c r="Y1336" i="1"/>
  <c r="AO1335" i="1"/>
  <c r="AH1335" i="1"/>
  <c r="Y1335" i="1"/>
  <c r="AO1334" i="1"/>
  <c r="AH1334" i="1"/>
  <c r="Y1334" i="1"/>
  <c r="AO1333" i="1"/>
  <c r="AH1333" i="1"/>
  <c r="Y1333" i="1"/>
  <c r="AO1332" i="1"/>
  <c r="AH1332" i="1"/>
  <c r="Y1332" i="1"/>
  <c r="AO1003" i="4"/>
  <c r="AO1001" i="4"/>
  <c r="AO1000" i="4"/>
  <c r="AO999" i="4"/>
  <c r="AO980" i="4"/>
  <c r="AO981" i="4"/>
  <c r="AO982" i="4"/>
  <c r="AO983" i="4"/>
  <c r="AO984" i="4"/>
  <c r="AO985" i="4"/>
  <c r="AO986" i="4"/>
  <c r="AO987" i="4"/>
  <c r="AO988" i="4"/>
  <c r="AO989" i="4"/>
  <c r="AO990" i="4"/>
  <c r="AO991" i="4"/>
  <c r="AO992" i="4"/>
  <c r="AO993" i="4"/>
  <c r="AO994" i="4"/>
  <c r="AO995" i="4"/>
  <c r="AO996" i="4"/>
  <c r="AO997" i="4"/>
  <c r="AO998" i="4"/>
  <c r="AO1002" i="4"/>
  <c r="AO1004" i="4"/>
  <c r="AO1005" i="4"/>
  <c r="AO1006" i="4"/>
  <c r="AO1007" i="4"/>
  <c r="AO1008" i="4"/>
  <c r="AO1009" i="4"/>
  <c r="AO1010" i="4"/>
  <c r="AO1011" i="4"/>
  <c r="AO1012" i="4"/>
  <c r="AO1013" i="4"/>
  <c r="AO1014" i="4"/>
  <c r="AO1015" i="4"/>
  <c r="AO1016" i="4"/>
  <c r="AO1017" i="4"/>
  <c r="AO1018" i="4"/>
  <c r="AO1019" i="4"/>
  <c r="AO1020" i="4"/>
  <c r="AO1021" i="4"/>
  <c r="AO1022" i="4"/>
  <c r="AO1023" i="4"/>
  <c r="AO1024" i="4"/>
  <c r="AO1025" i="4"/>
  <c r="AO1026" i="4"/>
  <c r="AO1027" i="4"/>
  <c r="AO1028" i="4"/>
  <c r="AO1029" i="4"/>
  <c r="AO1030" i="4"/>
  <c r="AO1031" i="4"/>
  <c r="AO1032" i="4"/>
  <c r="AO1033" i="4"/>
  <c r="AO1034" i="4"/>
  <c r="AO1035" i="4"/>
  <c r="AO1036" i="4"/>
  <c r="AO1037" i="4"/>
  <c r="AO1038" i="4"/>
  <c r="AO1039" i="4"/>
  <c r="AO1040" i="4"/>
  <c r="AO1041" i="4"/>
  <c r="AO1042" i="4"/>
  <c r="AO1043" i="4"/>
  <c r="AO1044" i="4"/>
  <c r="AO1045" i="4"/>
  <c r="AO1046" i="4"/>
  <c r="AO1047" i="4"/>
  <c r="AO1048" i="4"/>
  <c r="AO1049" i="4"/>
  <c r="AO1050" i="4"/>
  <c r="AO1051" i="4"/>
  <c r="AO1052" i="4"/>
  <c r="AO1053" i="4"/>
  <c r="AO1054" i="4"/>
  <c r="AO1055" i="4"/>
  <c r="AO1056" i="4"/>
  <c r="AO1057" i="4"/>
  <c r="AO1058" i="4"/>
  <c r="AO1059" i="4"/>
  <c r="AO1060" i="4"/>
  <c r="AO1061" i="4"/>
  <c r="AO1062" i="4"/>
  <c r="AO1063" i="4"/>
  <c r="AO1064" i="4"/>
  <c r="AO1065" i="4"/>
  <c r="AO1066" i="4"/>
  <c r="AO1067" i="4"/>
  <c r="AO1068" i="4"/>
  <c r="AO1069" i="4"/>
  <c r="AO1070" i="4"/>
  <c r="AO1071" i="4"/>
  <c r="AO1072" i="4"/>
  <c r="AO1073" i="4"/>
  <c r="AO1074" i="4"/>
  <c r="AO1075" i="4"/>
  <c r="AO1076" i="4"/>
  <c r="AO1077" i="4"/>
  <c r="AO1078" i="4"/>
  <c r="AO1079" i="4"/>
  <c r="AO1080" i="4"/>
  <c r="AO1081" i="4"/>
  <c r="AO1082" i="4"/>
  <c r="AO1083" i="4"/>
  <c r="AO1084" i="4"/>
  <c r="AO1085" i="4"/>
  <c r="AO1086" i="4"/>
  <c r="AO1087" i="4"/>
  <c r="AO1088" i="4"/>
  <c r="AO1089" i="4"/>
  <c r="AO1090" i="4"/>
  <c r="AO1091" i="4"/>
  <c r="AO1092" i="4"/>
  <c r="AO1093" i="4"/>
  <c r="AO1094" i="4"/>
  <c r="AO1095" i="4"/>
  <c r="AO1096" i="4"/>
  <c r="AO1097" i="4"/>
  <c r="AO1098" i="4"/>
  <c r="AO1099" i="4"/>
  <c r="AO1100" i="4"/>
  <c r="AO1101" i="4"/>
  <c r="AO1102" i="4"/>
  <c r="AO1103" i="4"/>
  <c r="AO1104" i="4"/>
  <c r="AO1105" i="4"/>
  <c r="AO1106" i="4"/>
  <c r="AO1107" i="4"/>
  <c r="AO1108" i="4"/>
  <c r="AO1109" i="4"/>
  <c r="AO1110" i="4"/>
  <c r="AO1111" i="4"/>
  <c r="AO1112" i="4"/>
  <c r="AO1113" i="4"/>
  <c r="AO1114" i="4"/>
  <c r="AO1115" i="4"/>
  <c r="AO1116" i="4"/>
  <c r="AO1117" i="4"/>
  <c r="AO1118" i="4"/>
  <c r="AO1119" i="4"/>
  <c r="AO1120" i="4"/>
  <c r="AO1121" i="4"/>
  <c r="AO1122" i="4"/>
  <c r="AO1123" i="4"/>
  <c r="AO1124" i="4"/>
  <c r="AO1125" i="4"/>
  <c r="AO1126" i="4"/>
  <c r="AO1127" i="4"/>
  <c r="AO1128" i="4"/>
  <c r="AO112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AH1119" i="4"/>
  <c r="AH1120" i="4"/>
  <c r="AH1126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21" i="4"/>
  <c r="AH1122" i="4"/>
  <c r="AH1123" i="4"/>
  <c r="AH1124" i="4"/>
  <c r="AH1125" i="4"/>
  <c r="AH1127" i="4"/>
  <c r="AH1128" i="4"/>
  <c r="AH1129" i="4"/>
  <c r="E18" i="2"/>
  <c r="AO979" i="4"/>
  <c r="AF979" i="4"/>
  <c r="AH979" i="4" s="1"/>
  <c r="Z979" i="4"/>
  <c r="AA979" i="4" s="1"/>
  <c r="Y979" i="4"/>
  <c r="AO978" i="4"/>
  <c r="AF978" i="4"/>
  <c r="AH978" i="4" s="1"/>
  <c r="Z978" i="4"/>
  <c r="Y978" i="4"/>
  <c r="AO977" i="4"/>
  <c r="AF977" i="4"/>
  <c r="AH977" i="4" s="1"/>
  <c r="Z977" i="4"/>
  <c r="Y977" i="4"/>
  <c r="AO976" i="4"/>
  <c r="AF976" i="4"/>
  <c r="AH976" i="4" s="1"/>
  <c r="Z976" i="4"/>
  <c r="Y976" i="4"/>
  <c r="AO975" i="4"/>
  <c r="AF975" i="4"/>
  <c r="AH975" i="4" s="1"/>
  <c r="Z975" i="4"/>
  <c r="Y975" i="4"/>
  <c r="AO974" i="4"/>
  <c r="AF974" i="4"/>
  <c r="AH974" i="4" s="1"/>
  <c r="Z974" i="4"/>
  <c r="Y974" i="4"/>
  <c r="AO973" i="4"/>
  <c r="AF973" i="4"/>
  <c r="AH973" i="4" s="1"/>
  <c r="Z973" i="4"/>
  <c r="Y973" i="4"/>
  <c r="AO972" i="4"/>
  <c r="AF972" i="4"/>
  <c r="AH972" i="4" s="1"/>
  <c r="Z972" i="4"/>
  <c r="AA972" i="4" s="1"/>
  <c r="Y972" i="4"/>
  <c r="AO971" i="4"/>
  <c r="AF971" i="4"/>
  <c r="AH971" i="4" s="1"/>
  <c r="Z971" i="4"/>
  <c r="Y971" i="4"/>
  <c r="AO970" i="4"/>
  <c r="AF970" i="4"/>
  <c r="AH970" i="4" s="1"/>
  <c r="Z970" i="4"/>
  <c r="Y970" i="4"/>
  <c r="AO969" i="4"/>
  <c r="AF969" i="4"/>
  <c r="AH969" i="4" s="1"/>
  <c r="Z969" i="4"/>
  <c r="Y969" i="4"/>
  <c r="AO968" i="4"/>
  <c r="AF968" i="4"/>
  <c r="AH968" i="4" s="1"/>
  <c r="Z968" i="4"/>
  <c r="Y968" i="4"/>
  <c r="AO967" i="4"/>
  <c r="AF967" i="4"/>
  <c r="AH967" i="4" s="1"/>
  <c r="Z967" i="4"/>
  <c r="AA967" i="4" s="1"/>
  <c r="Y967" i="4"/>
  <c r="AO966" i="4"/>
  <c r="AF966" i="4"/>
  <c r="AH966" i="4" s="1"/>
  <c r="Z966" i="4"/>
  <c r="Y966" i="4"/>
  <c r="AO965" i="4"/>
  <c r="AF965" i="4"/>
  <c r="AH965" i="4" s="1"/>
  <c r="Z965" i="4"/>
  <c r="Y965" i="4"/>
  <c r="AO964" i="4"/>
  <c r="AF964" i="4"/>
  <c r="AH964" i="4" s="1"/>
  <c r="Z964" i="4"/>
  <c r="Y964" i="4"/>
  <c r="AO963" i="4"/>
  <c r="AF963" i="4"/>
  <c r="AH963" i="4" s="1"/>
  <c r="Z963" i="4"/>
  <c r="Y963" i="4"/>
  <c r="AO962" i="4"/>
  <c r="AF962" i="4"/>
  <c r="AH962" i="4" s="1"/>
  <c r="Z962" i="4"/>
  <c r="Y962" i="4"/>
  <c r="AO961" i="4"/>
  <c r="AF961" i="4"/>
  <c r="AH961" i="4" s="1"/>
  <c r="Z961" i="4"/>
  <c r="Y961" i="4"/>
  <c r="AO960" i="4"/>
  <c r="AF960" i="4"/>
  <c r="AH960" i="4" s="1"/>
  <c r="Z960" i="4"/>
  <c r="Y960" i="4"/>
  <c r="AO959" i="4"/>
  <c r="AF959" i="4"/>
  <c r="AH959" i="4" s="1"/>
  <c r="Z959" i="4"/>
  <c r="Y959" i="4"/>
  <c r="AO958" i="4"/>
  <c r="AF958" i="4"/>
  <c r="AH958" i="4" s="1"/>
  <c r="Z958" i="4"/>
  <c r="AA958" i="4" s="1"/>
  <c r="Y958" i="4"/>
  <c r="AO957" i="4"/>
  <c r="AF957" i="4"/>
  <c r="AH957" i="4" s="1"/>
  <c r="Z957" i="4"/>
  <c r="Y957" i="4"/>
  <c r="AO956" i="4"/>
  <c r="AF956" i="4"/>
  <c r="AH956" i="4" s="1"/>
  <c r="Z956" i="4"/>
  <c r="AA956" i="4" s="1"/>
  <c r="Y956" i="4"/>
  <c r="AO955" i="4"/>
  <c r="AF955" i="4"/>
  <c r="AH955" i="4" s="1"/>
  <c r="Z955" i="4"/>
  <c r="Y955" i="4"/>
  <c r="AO954" i="4"/>
  <c r="AF954" i="4"/>
  <c r="AH954" i="4" s="1"/>
  <c r="Z954" i="4"/>
  <c r="Y954" i="4"/>
  <c r="AO953" i="4"/>
  <c r="AF953" i="4"/>
  <c r="AH953" i="4" s="1"/>
  <c r="Z953" i="4"/>
  <c r="Y953" i="4"/>
  <c r="AO952" i="4"/>
  <c r="AF952" i="4"/>
  <c r="AH952" i="4" s="1"/>
  <c r="Z952" i="4"/>
  <c r="Y952" i="4"/>
  <c r="AO951" i="4"/>
  <c r="AF951" i="4"/>
  <c r="AH951" i="4" s="1"/>
  <c r="Z951" i="4"/>
  <c r="Y951" i="4"/>
  <c r="AO950" i="4"/>
  <c r="AF950" i="4"/>
  <c r="AH950" i="4" s="1"/>
  <c r="Z950" i="4"/>
  <c r="Y950" i="4"/>
  <c r="AO949" i="4"/>
  <c r="AF949" i="4"/>
  <c r="AH949" i="4" s="1"/>
  <c r="Z949" i="4"/>
  <c r="Y949" i="4"/>
  <c r="AO948" i="4"/>
  <c r="AF948" i="4"/>
  <c r="AH948" i="4" s="1"/>
  <c r="Z948" i="4"/>
  <c r="Y948" i="4"/>
  <c r="AO947" i="4"/>
  <c r="AF947" i="4"/>
  <c r="AH947" i="4" s="1"/>
  <c r="Z947" i="4"/>
  <c r="AA947" i="4" s="1"/>
  <c r="Y947" i="4"/>
  <c r="AO946" i="4"/>
  <c r="AF946" i="4"/>
  <c r="AH946" i="4" s="1"/>
  <c r="Z946" i="4"/>
  <c r="Y946" i="4"/>
  <c r="AO945" i="4"/>
  <c r="AF945" i="4"/>
  <c r="AH945" i="4" s="1"/>
  <c r="Z945" i="4"/>
  <c r="Y945" i="4"/>
  <c r="AO944" i="4"/>
  <c r="AF944" i="4"/>
  <c r="AH944" i="4" s="1"/>
  <c r="Z944" i="4"/>
  <c r="AA944" i="4" s="1"/>
  <c r="Y944" i="4"/>
  <c r="AO943" i="4"/>
  <c r="AF943" i="4"/>
  <c r="AH943" i="4" s="1"/>
  <c r="Z943" i="4"/>
  <c r="Y943" i="4"/>
  <c r="AO942" i="4"/>
  <c r="AF942" i="4"/>
  <c r="AH942" i="4" s="1"/>
  <c r="Z942" i="4"/>
  <c r="Y942" i="4"/>
  <c r="AO941" i="4"/>
  <c r="AF941" i="4"/>
  <c r="AH941" i="4" s="1"/>
  <c r="Z941" i="4"/>
  <c r="Y941" i="4"/>
  <c r="AO940" i="4"/>
  <c r="AF940" i="4"/>
  <c r="AH940" i="4" s="1"/>
  <c r="Z940" i="4"/>
  <c r="Y940" i="4"/>
  <c r="AO939" i="4"/>
  <c r="AF939" i="4"/>
  <c r="AH939" i="4" s="1"/>
  <c r="Z939" i="4"/>
  <c r="Y939" i="4"/>
  <c r="AO938" i="4"/>
  <c r="AF938" i="4"/>
  <c r="AH938" i="4" s="1"/>
  <c r="Z938" i="4"/>
  <c r="Y938" i="4"/>
  <c r="AO937" i="4"/>
  <c r="AF937" i="4"/>
  <c r="AH937" i="4" s="1"/>
  <c r="Z937" i="4"/>
  <c r="Y937" i="4"/>
  <c r="AO936" i="4"/>
  <c r="AF936" i="4"/>
  <c r="AH936" i="4" s="1"/>
  <c r="Z936" i="4"/>
  <c r="AA936" i="4" s="1"/>
  <c r="Y936" i="4"/>
  <c r="AO935" i="4"/>
  <c r="AF935" i="4"/>
  <c r="AH935" i="4" s="1"/>
  <c r="Z935" i="4"/>
  <c r="Y935" i="4"/>
  <c r="AO934" i="4"/>
  <c r="AF934" i="4"/>
  <c r="AH934" i="4" s="1"/>
  <c r="Z934" i="4"/>
  <c r="Y934" i="4"/>
  <c r="AO933" i="4"/>
  <c r="AF933" i="4"/>
  <c r="AH933" i="4" s="1"/>
  <c r="Z933" i="4"/>
  <c r="Y933" i="4"/>
  <c r="AO932" i="4"/>
  <c r="AF932" i="4"/>
  <c r="AH932" i="4" s="1"/>
  <c r="Z932" i="4"/>
  <c r="Y932" i="4"/>
  <c r="AO931" i="4"/>
  <c r="AF931" i="4"/>
  <c r="AH931" i="4" s="1"/>
  <c r="Z931" i="4"/>
  <c r="AA931" i="4" s="1"/>
  <c r="Y931" i="4"/>
  <c r="AO930" i="4"/>
  <c r="AF930" i="4"/>
  <c r="AH930" i="4" s="1"/>
  <c r="Z930" i="4"/>
  <c r="Y930" i="4"/>
  <c r="AO929" i="4"/>
  <c r="AF929" i="4"/>
  <c r="AH929" i="4" s="1"/>
  <c r="Z929" i="4"/>
  <c r="Y929" i="4"/>
  <c r="AO928" i="4"/>
  <c r="AF928" i="4"/>
  <c r="AH928" i="4" s="1"/>
  <c r="Z928" i="4"/>
  <c r="Y928" i="4"/>
  <c r="AO927" i="4"/>
  <c r="AF927" i="4"/>
  <c r="AH927" i="4" s="1"/>
  <c r="Z927" i="4"/>
  <c r="Y927" i="4"/>
  <c r="AO926" i="4"/>
  <c r="AF926" i="4"/>
  <c r="AH926" i="4" s="1"/>
  <c r="Z926" i="4"/>
  <c r="Y926" i="4"/>
  <c r="AO925" i="4"/>
  <c r="AF925" i="4"/>
  <c r="AH925" i="4" s="1"/>
  <c r="Z925" i="4"/>
  <c r="AA925" i="4" s="1"/>
  <c r="Y925" i="4"/>
  <c r="AO924" i="4"/>
  <c r="AF924" i="4"/>
  <c r="AH924" i="4" s="1"/>
  <c r="Z924" i="4"/>
  <c r="Y924" i="4"/>
  <c r="AO923" i="4"/>
  <c r="AF923" i="4"/>
  <c r="AH923" i="4" s="1"/>
  <c r="Z923" i="4"/>
  <c r="Y923" i="4"/>
  <c r="AO922" i="4"/>
  <c r="AF922" i="4"/>
  <c r="AH922" i="4" s="1"/>
  <c r="Z922" i="4"/>
  <c r="AA922" i="4" s="1"/>
  <c r="Y922" i="4"/>
  <c r="AO921" i="4"/>
  <c r="AF921" i="4"/>
  <c r="AH921" i="4" s="1"/>
  <c r="Z921" i="4"/>
  <c r="Y921" i="4"/>
  <c r="AO920" i="4"/>
  <c r="AF920" i="4"/>
  <c r="AH920" i="4" s="1"/>
  <c r="Z920" i="4"/>
  <c r="Y920" i="4"/>
  <c r="AO919" i="4"/>
  <c r="AF919" i="4"/>
  <c r="AH919" i="4" s="1"/>
  <c r="Z919" i="4"/>
  <c r="Y919" i="4"/>
  <c r="AO918" i="4"/>
  <c r="AF918" i="4"/>
  <c r="AH918" i="4" s="1"/>
  <c r="Z918" i="4"/>
  <c r="Y918" i="4"/>
  <c r="AO917" i="4"/>
  <c r="AF917" i="4"/>
  <c r="AH917" i="4" s="1"/>
  <c r="Z917" i="4"/>
  <c r="AA917" i="4" s="1"/>
  <c r="Y917" i="4"/>
  <c r="AO916" i="4"/>
  <c r="AF916" i="4"/>
  <c r="AH916" i="4" s="1"/>
  <c r="Z916" i="4"/>
  <c r="Y916" i="4"/>
  <c r="AO915" i="4"/>
  <c r="AF915" i="4"/>
  <c r="AH915" i="4" s="1"/>
  <c r="Z915" i="4"/>
  <c r="AA915" i="4" s="1"/>
  <c r="Y915" i="4"/>
  <c r="AO914" i="4"/>
  <c r="AF914" i="4"/>
  <c r="AH914" i="4" s="1"/>
  <c r="Z914" i="4"/>
  <c r="Y914" i="4"/>
  <c r="AO913" i="4"/>
  <c r="AF913" i="4"/>
  <c r="AH913" i="4" s="1"/>
  <c r="Z913" i="4"/>
  <c r="Y913" i="4"/>
  <c r="AO912" i="4"/>
  <c r="AF912" i="4"/>
  <c r="AH912" i="4" s="1"/>
  <c r="Z912" i="4"/>
  <c r="Y912" i="4"/>
  <c r="AO911" i="4"/>
  <c r="AF911" i="4"/>
  <c r="AH911" i="4" s="1"/>
  <c r="Z911" i="4"/>
  <c r="Y911" i="4"/>
  <c r="AO910" i="4"/>
  <c r="AF910" i="4"/>
  <c r="AH910" i="4" s="1"/>
  <c r="Z910" i="4"/>
  <c r="Y910" i="4"/>
  <c r="AO909" i="4"/>
  <c r="AF909" i="4"/>
  <c r="AH909" i="4" s="1"/>
  <c r="Z909" i="4"/>
  <c r="Y909" i="4"/>
  <c r="AO908" i="4"/>
  <c r="AF908" i="4"/>
  <c r="AH908" i="4" s="1"/>
  <c r="Z908" i="4"/>
  <c r="Y908" i="4"/>
  <c r="AO907" i="4"/>
  <c r="AF907" i="4"/>
  <c r="AH907" i="4" s="1"/>
  <c r="Z907" i="4"/>
  <c r="Y907" i="4"/>
  <c r="AO906" i="4"/>
  <c r="AF906" i="4"/>
  <c r="AH906" i="4" s="1"/>
  <c r="Z906" i="4"/>
  <c r="Y906" i="4"/>
  <c r="AO905" i="4"/>
  <c r="AF905" i="4"/>
  <c r="AH905" i="4" s="1"/>
  <c r="Z905" i="4"/>
  <c r="Y905" i="4"/>
  <c r="AO904" i="4"/>
  <c r="AF904" i="4"/>
  <c r="AH904" i="4" s="1"/>
  <c r="Z904" i="4"/>
  <c r="AA904" i="4" s="1"/>
  <c r="Y904" i="4"/>
  <c r="AO903" i="4"/>
  <c r="AF903" i="4"/>
  <c r="AH903" i="4" s="1"/>
  <c r="Z903" i="4"/>
  <c r="AA903" i="4" s="1"/>
  <c r="Y903" i="4"/>
  <c r="AO902" i="4"/>
  <c r="AF902" i="4"/>
  <c r="AH902" i="4" s="1"/>
  <c r="Z902" i="4"/>
  <c r="Y902" i="4"/>
  <c r="AO901" i="4"/>
  <c r="AF901" i="4"/>
  <c r="AH901" i="4" s="1"/>
  <c r="Z901" i="4"/>
  <c r="Y901" i="4"/>
  <c r="AO900" i="4"/>
  <c r="AF900" i="4"/>
  <c r="AH900" i="4" s="1"/>
  <c r="Z900" i="4"/>
  <c r="Y900" i="4"/>
  <c r="AO899" i="4"/>
  <c r="AF899" i="4"/>
  <c r="AH899" i="4" s="1"/>
  <c r="Z899" i="4"/>
  <c r="Y899" i="4"/>
  <c r="AO898" i="4"/>
  <c r="AF898" i="4"/>
  <c r="AH898" i="4" s="1"/>
  <c r="Z898" i="4"/>
  <c r="Y898" i="4"/>
  <c r="AO897" i="4"/>
  <c r="AF897" i="4"/>
  <c r="AH897" i="4" s="1"/>
  <c r="Z897" i="4"/>
  <c r="Y897" i="4"/>
  <c r="AO896" i="4"/>
  <c r="AF896" i="4"/>
  <c r="AH896" i="4" s="1"/>
  <c r="Z896" i="4"/>
  <c r="Y896" i="4"/>
  <c r="AO895" i="4"/>
  <c r="AF895" i="4"/>
  <c r="AH895" i="4" s="1"/>
  <c r="Z895" i="4"/>
  <c r="Y895" i="4"/>
  <c r="AO894" i="4"/>
  <c r="AF894" i="4"/>
  <c r="AH894" i="4" s="1"/>
  <c r="Z894" i="4"/>
  <c r="AA894" i="4" s="1"/>
  <c r="Y894" i="4"/>
  <c r="AO893" i="4"/>
  <c r="AF893" i="4"/>
  <c r="AH893" i="4" s="1"/>
  <c r="Z893" i="4"/>
  <c r="Y893" i="4"/>
  <c r="AO892" i="4"/>
  <c r="AF892" i="4"/>
  <c r="AH892" i="4" s="1"/>
  <c r="Z892" i="4"/>
  <c r="Y892" i="4"/>
  <c r="AO891" i="4"/>
  <c r="AF891" i="4"/>
  <c r="AH891" i="4" s="1"/>
  <c r="Z891" i="4"/>
  <c r="Y891" i="4"/>
  <c r="AO890" i="4"/>
  <c r="AF890" i="4"/>
  <c r="AH890" i="4" s="1"/>
  <c r="Z890" i="4"/>
  <c r="Y890" i="4"/>
  <c r="AO889" i="4"/>
  <c r="AF889" i="4"/>
  <c r="AH889" i="4" s="1"/>
  <c r="Z889" i="4"/>
  <c r="Y889" i="4"/>
  <c r="AO888" i="4"/>
  <c r="AF888" i="4"/>
  <c r="AH888" i="4" s="1"/>
  <c r="Z888" i="4"/>
  <c r="Y888" i="4"/>
  <c r="AO887" i="4"/>
  <c r="AF887" i="4"/>
  <c r="AH887" i="4" s="1"/>
  <c r="Z887" i="4"/>
  <c r="Y887" i="4"/>
  <c r="AO886" i="4"/>
  <c r="AF886" i="4"/>
  <c r="AH886" i="4" s="1"/>
  <c r="Z886" i="4"/>
  <c r="Y886" i="4"/>
  <c r="AO885" i="4"/>
  <c r="AF885" i="4"/>
  <c r="AH885" i="4" s="1"/>
  <c r="Z885" i="4"/>
  <c r="AA885" i="4" s="1"/>
  <c r="Y885" i="4"/>
  <c r="AO884" i="4"/>
  <c r="AF884" i="4"/>
  <c r="AH884" i="4" s="1"/>
  <c r="Z884" i="4"/>
  <c r="Y884" i="4"/>
  <c r="AO883" i="4"/>
  <c r="AF883" i="4"/>
  <c r="AH883" i="4" s="1"/>
  <c r="Z883" i="4"/>
  <c r="Y883" i="4"/>
  <c r="AO882" i="4"/>
  <c r="AF882" i="4"/>
  <c r="AH882" i="4" s="1"/>
  <c r="Z882" i="4"/>
  <c r="Y882" i="4"/>
  <c r="AO881" i="4"/>
  <c r="AF881" i="4"/>
  <c r="AH881" i="4" s="1"/>
  <c r="Z881" i="4"/>
  <c r="Y881" i="4"/>
  <c r="AO880" i="4"/>
  <c r="AF880" i="4"/>
  <c r="AH880" i="4" s="1"/>
  <c r="Z880" i="4"/>
  <c r="Y880" i="4"/>
  <c r="AO879" i="4"/>
  <c r="AF879" i="4"/>
  <c r="AH879" i="4" s="1"/>
  <c r="Z879" i="4"/>
  <c r="Y879" i="4"/>
  <c r="AO878" i="4"/>
  <c r="AF878" i="4"/>
  <c r="AH878" i="4" s="1"/>
  <c r="Z878" i="4"/>
  <c r="Y878" i="4"/>
  <c r="AO877" i="4"/>
  <c r="AF877" i="4"/>
  <c r="AH877" i="4" s="1"/>
  <c r="Z877" i="4"/>
  <c r="Y877" i="4"/>
  <c r="AO876" i="4"/>
  <c r="AF876" i="4"/>
  <c r="AH876" i="4" s="1"/>
  <c r="Z876" i="4"/>
  <c r="AA876" i="4" s="1"/>
  <c r="Y876" i="4"/>
  <c r="AO875" i="4"/>
  <c r="AF875" i="4"/>
  <c r="AH875" i="4" s="1"/>
  <c r="Z875" i="4"/>
  <c r="Y875" i="4"/>
  <c r="AO874" i="4"/>
  <c r="AF874" i="4"/>
  <c r="AH874" i="4" s="1"/>
  <c r="Z874" i="4"/>
  <c r="Y874" i="4"/>
  <c r="AO873" i="4"/>
  <c r="AF873" i="4"/>
  <c r="AH873" i="4" s="1"/>
  <c r="Z873" i="4"/>
  <c r="Y873" i="4"/>
  <c r="AO872" i="4"/>
  <c r="AF872" i="4"/>
  <c r="AH872" i="4" s="1"/>
  <c r="Z872" i="4"/>
  <c r="Y872" i="4"/>
  <c r="AO871" i="4"/>
  <c r="AF871" i="4"/>
  <c r="AH871" i="4" s="1"/>
  <c r="Z871" i="4"/>
  <c r="Y871" i="4"/>
  <c r="AO870" i="4"/>
  <c r="AF870" i="4"/>
  <c r="AH870" i="4" s="1"/>
  <c r="Z870" i="4"/>
  <c r="AA870" i="4" s="1"/>
  <c r="Y870" i="4"/>
  <c r="AO869" i="4"/>
  <c r="AF869" i="4"/>
  <c r="AH869" i="4" s="1"/>
  <c r="Z869" i="4"/>
  <c r="Y869" i="4"/>
  <c r="AO868" i="4"/>
  <c r="AF868" i="4"/>
  <c r="AH868" i="4" s="1"/>
  <c r="Z868" i="4"/>
  <c r="Y868" i="4"/>
  <c r="AO867" i="4"/>
  <c r="AF867" i="4"/>
  <c r="AH867" i="4" s="1"/>
  <c r="Z867" i="4"/>
  <c r="AA867" i="4" s="1"/>
  <c r="Y867" i="4"/>
  <c r="AO866" i="4"/>
  <c r="AF866" i="4"/>
  <c r="AH866" i="4" s="1"/>
  <c r="Z866" i="4"/>
  <c r="Y866" i="4"/>
  <c r="AO865" i="4"/>
  <c r="AF865" i="4"/>
  <c r="AH865" i="4" s="1"/>
  <c r="Z865" i="4"/>
  <c r="AA865" i="4" s="1"/>
  <c r="Y865" i="4"/>
  <c r="AO864" i="4"/>
  <c r="AF864" i="4"/>
  <c r="AH864" i="4" s="1"/>
  <c r="Z864" i="4"/>
  <c r="AA864" i="4" s="1"/>
  <c r="Y864" i="4"/>
  <c r="AO863" i="4"/>
  <c r="AF863" i="4"/>
  <c r="AH863" i="4" s="1"/>
  <c r="Z863" i="4"/>
  <c r="Y863" i="4"/>
  <c r="AO862" i="4"/>
  <c r="AF862" i="4"/>
  <c r="AH862" i="4" s="1"/>
  <c r="Z862" i="4"/>
  <c r="Y862" i="4"/>
  <c r="AO861" i="4"/>
  <c r="AF861" i="4"/>
  <c r="AH861" i="4" s="1"/>
  <c r="Z861" i="4"/>
  <c r="Y861" i="4"/>
  <c r="AO860" i="4"/>
  <c r="AF860" i="4"/>
  <c r="AH860" i="4" s="1"/>
  <c r="Z860" i="4"/>
  <c r="Y860" i="4"/>
  <c r="AO859" i="4"/>
  <c r="AF859" i="4"/>
  <c r="AH859" i="4" s="1"/>
  <c r="Z859" i="4"/>
  <c r="AA859" i="4" s="1"/>
  <c r="Y859" i="4"/>
  <c r="AO858" i="4"/>
  <c r="AF858" i="4"/>
  <c r="AH858" i="4" s="1"/>
  <c r="Z858" i="4"/>
  <c r="Y858" i="4"/>
  <c r="AO857" i="4"/>
  <c r="AF857" i="4"/>
  <c r="AH857" i="4" s="1"/>
  <c r="Z857" i="4"/>
  <c r="Y857" i="4"/>
  <c r="AO856" i="4"/>
  <c r="AF856" i="4"/>
  <c r="AH856" i="4" s="1"/>
  <c r="Z856" i="4"/>
  <c r="AA856" i="4" s="1"/>
  <c r="Y856" i="4"/>
  <c r="AO855" i="4"/>
  <c r="AF855" i="4"/>
  <c r="AH855" i="4" s="1"/>
  <c r="Z855" i="4"/>
  <c r="Y855" i="4"/>
  <c r="AO854" i="4"/>
  <c r="AF854" i="4"/>
  <c r="AH854" i="4" s="1"/>
  <c r="Z854" i="4"/>
  <c r="Y854" i="4"/>
  <c r="AO853" i="4"/>
  <c r="AF853" i="4"/>
  <c r="AH853" i="4" s="1"/>
  <c r="Z853" i="4"/>
  <c r="Y853" i="4"/>
  <c r="AO852" i="4"/>
  <c r="AF852" i="4"/>
  <c r="AH852" i="4" s="1"/>
  <c r="Z852" i="4"/>
  <c r="Y852" i="4"/>
  <c r="AO851" i="4"/>
  <c r="AF851" i="4"/>
  <c r="AH851" i="4" s="1"/>
  <c r="Z851" i="4"/>
  <c r="Y851" i="4"/>
  <c r="AO850" i="4"/>
  <c r="AF850" i="4"/>
  <c r="AH850" i="4" s="1"/>
  <c r="Z850" i="4"/>
  <c r="AA850" i="4" s="1"/>
  <c r="Y850" i="4"/>
  <c r="AO849" i="4"/>
  <c r="AF849" i="4"/>
  <c r="AH849" i="4" s="1"/>
  <c r="Z849" i="4"/>
  <c r="Y849" i="4"/>
  <c r="AO848" i="4"/>
  <c r="AF848" i="4"/>
  <c r="AH848" i="4" s="1"/>
  <c r="Z848" i="4"/>
  <c r="Y848" i="4"/>
  <c r="AO847" i="4"/>
  <c r="AF847" i="4"/>
  <c r="AH847" i="4" s="1"/>
  <c r="Z847" i="4"/>
  <c r="AA847" i="4" s="1"/>
  <c r="Y847" i="4"/>
  <c r="AO846" i="4"/>
  <c r="AF846" i="4"/>
  <c r="AH846" i="4" s="1"/>
  <c r="Z846" i="4"/>
  <c r="Y846" i="4"/>
  <c r="AO845" i="4"/>
  <c r="AF845" i="4"/>
  <c r="AH845" i="4" s="1"/>
  <c r="Z845" i="4"/>
  <c r="Y845" i="4"/>
  <c r="AO844" i="4"/>
  <c r="AF844" i="4"/>
  <c r="AH844" i="4" s="1"/>
  <c r="Z844" i="4"/>
  <c r="Y844" i="4"/>
  <c r="AO843" i="4"/>
  <c r="AF843" i="4"/>
  <c r="AH843" i="4" s="1"/>
  <c r="Z843" i="4"/>
  <c r="Y843" i="4"/>
  <c r="AO842" i="4"/>
  <c r="AF842" i="4"/>
  <c r="AH842" i="4" s="1"/>
  <c r="Z842" i="4"/>
  <c r="Y842" i="4"/>
  <c r="AO841" i="4"/>
  <c r="AF841" i="4"/>
  <c r="AH841" i="4" s="1"/>
  <c r="Z841" i="4"/>
  <c r="Y841" i="4"/>
  <c r="AO840" i="4"/>
  <c r="AF840" i="4"/>
  <c r="AH840" i="4" s="1"/>
  <c r="Z840" i="4"/>
  <c r="Y840" i="4"/>
  <c r="AO839" i="4"/>
  <c r="AF839" i="4"/>
  <c r="AH839" i="4" s="1"/>
  <c r="Z839" i="4"/>
  <c r="Y839" i="4"/>
  <c r="AO838" i="4"/>
  <c r="AF838" i="4"/>
  <c r="AH838" i="4" s="1"/>
  <c r="Z838" i="4"/>
  <c r="AA838" i="4" s="1"/>
  <c r="Y838" i="4"/>
  <c r="AO837" i="4"/>
  <c r="AF837" i="4"/>
  <c r="AH837" i="4" s="1"/>
  <c r="Z837" i="4"/>
  <c r="Y837" i="4"/>
  <c r="AO836" i="4"/>
  <c r="AF836" i="4"/>
  <c r="AH836" i="4" s="1"/>
  <c r="Z836" i="4"/>
  <c r="Y836" i="4"/>
  <c r="AO835" i="4"/>
  <c r="AF835" i="4"/>
  <c r="AH835" i="4" s="1"/>
  <c r="Z835" i="4"/>
  <c r="Y835" i="4"/>
  <c r="AO834" i="4"/>
  <c r="AF834" i="4"/>
  <c r="AH834" i="4" s="1"/>
  <c r="Z834" i="4"/>
  <c r="Y834" i="4"/>
  <c r="AO833" i="4"/>
  <c r="AF833" i="4"/>
  <c r="AH833" i="4" s="1"/>
  <c r="Z833" i="4"/>
  <c r="Y833" i="4"/>
  <c r="AO832" i="4"/>
  <c r="AF832" i="4"/>
  <c r="AH832" i="4" s="1"/>
  <c r="Z832" i="4"/>
  <c r="Y832" i="4"/>
  <c r="AO831" i="4"/>
  <c r="AF831" i="4"/>
  <c r="AH831" i="4" s="1"/>
  <c r="Z831" i="4"/>
  <c r="Y831" i="4"/>
  <c r="AO830" i="4"/>
  <c r="AF830" i="4"/>
  <c r="AH830" i="4" s="1"/>
  <c r="Z830" i="4"/>
  <c r="Y830" i="4"/>
  <c r="AO829" i="4"/>
  <c r="AF829" i="4"/>
  <c r="AH829" i="4" s="1"/>
  <c r="Z829" i="4"/>
  <c r="Y829" i="4"/>
  <c r="AO828" i="4"/>
  <c r="AF828" i="4"/>
  <c r="AH828" i="4" s="1"/>
  <c r="Z828" i="4"/>
  <c r="Y828" i="4"/>
  <c r="AO827" i="4"/>
  <c r="AF827" i="4"/>
  <c r="AH827" i="4" s="1"/>
  <c r="Z827" i="4"/>
  <c r="Y827" i="4"/>
  <c r="AO826" i="4"/>
  <c r="AF826" i="4"/>
  <c r="AH826" i="4" s="1"/>
  <c r="Z826" i="4"/>
  <c r="Y826" i="4"/>
  <c r="AO825" i="4"/>
  <c r="AF825" i="4"/>
  <c r="AH825" i="4" s="1"/>
  <c r="Z825" i="4"/>
  <c r="AA825" i="4" s="1"/>
  <c r="Y825" i="4"/>
  <c r="AO824" i="4"/>
  <c r="AF824" i="4"/>
  <c r="AH824" i="4" s="1"/>
  <c r="Z824" i="4"/>
  <c r="Y824" i="4"/>
  <c r="AO823" i="4"/>
  <c r="AF823" i="4"/>
  <c r="AH823" i="4" s="1"/>
  <c r="Z823" i="4"/>
  <c r="Y823" i="4"/>
  <c r="AO822" i="4"/>
  <c r="AF822" i="4"/>
  <c r="AH822" i="4" s="1"/>
  <c r="Z822" i="4"/>
  <c r="Y822" i="4"/>
  <c r="AO821" i="4"/>
  <c r="AF821" i="4"/>
  <c r="AH821" i="4" s="1"/>
  <c r="Z821" i="4"/>
  <c r="Y821" i="4"/>
  <c r="AO820" i="4"/>
  <c r="AF820" i="4"/>
  <c r="AH820" i="4" s="1"/>
  <c r="Z820" i="4"/>
  <c r="Y820" i="4"/>
  <c r="AO819" i="4"/>
  <c r="AF819" i="4"/>
  <c r="AH819" i="4" s="1"/>
  <c r="Z819" i="4"/>
  <c r="Y819" i="4"/>
  <c r="AO818" i="4"/>
  <c r="AF818" i="4"/>
  <c r="AH818" i="4" s="1"/>
  <c r="Z818" i="4"/>
  <c r="AA818" i="4" s="1"/>
  <c r="Y818" i="4"/>
  <c r="AO817" i="4"/>
  <c r="AF817" i="4"/>
  <c r="AH817" i="4" s="1"/>
  <c r="Z817" i="4"/>
  <c r="Y817" i="4"/>
  <c r="AO816" i="4"/>
  <c r="AF816" i="4"/>
  <c r="AH816" i="4" s="1"/>
  <c r="Z816" i="4"/>
  <c r="AA816" i="4" s="1"/>
  <c r="Y816" i="4"/>
  <c r="AO815" i="4"/>
  <c r="AF815" i="4"/>
  <c r="AH815" i="4" s="1"/>
  <c r="Z815" i="4"/>
  <c r="Y815" i="4"/>
  <c r="AO814" i="4"/>
  <c r="AF814" i="4"/>
  <c r="AH814" i="4" s="1"/>
  <c r="Z814" i="4"/>
  <c r="Y814" i="4"/>
  <c r="AO813" i="4"/>
  <c r="AF813" i="4"/>
  <c r="AH813" i="4" s="1"/>
  <c r="Z813" i="4"/>
  <c r="AA813" i="4" s="1"/>
  <c r="Y813" i="4"/>
  <c r="AO812" i="4"/>
  <c r="AF812" i="4"/>
  <c r="AH812" i="4" s="1"/>
  <c r="Z812" i="4"/>
  <c r="Y812" i="4"/>
  <c r="AO811" i="4"/>
  <c r="AF811" i="4"/>
  <c r="AH811" i="4" s="1"/>
  <c r="Z811" i="4"/>
  <c r="Y811" i="4"/>
  <c r="AO810" i="4"/>
  <c r="AF810" i="4"/>
  <c r="AH810" i="4" s="1"/>
  <c r="Z810" i="4"/>
  <c r="Y810" i="4"/>
  <c r="AO809" i="4"/>
  <c r="AF809" i="4"/>
  <c r="AH809" i="4" s="1"/>
  <c r="Z809" i="4"/>
  <c r="Y809" i="4"/>
  <c r="AO808" i="4"/>
  <c r="AF808" i="4"/>
  <c r="AH808" i="4" s="1"/>
  <c r="Z808" i="4"/>
  <c r="Y808" i="4"/>
  <c r="AO807" i="4"/>
  <c r="AF807" i="4"/>
  <c r="AH807" i="4" s="1"/>
  <c r="Z807" i="4"/>
  <c r="Y807" i="4"/>
  <c r="AO806" i="4"/>
  <c r="AF806" i="4"/>
  <c r="AH806" i="4" s="1"/>
  <c r="Z806" i="4"/>
  <c r="Y806" i="4"/>
  <c r="AO805" i="4"/>
  <c r="AF805" i="4"/>
  <c r="AH805" i="4" s="1"/>
  <c r="Z805" i="4"/>
  <c r="AA805" i="4" s="1"/>
  <c r="Y805" i="4"/>
  <c r="AO804" i="4"/>
  <c r="AF804" i="4"/>
  <c r="AH804" i="4" s="1"/>
  <c r="Z804" i="4"/>
  <c r="Y804" i="4"/>
  <c r="AO803" i="4"/>
  <c r="AF803" i="4"/>
  <c r="AH803" i="4" s="1"/>
  <c r="Z803" i="4"/>
  <c r="Y803" i="4"/>
  <c r="AO802" i="4"/>
  <c r="AF802" i="4"/>
  <c r="AH802" i="4" s="1"/>
  <c r="Z802" i="4"/>
  <c r="Y802" i="4"/>
  <c r="AO801" i="4"/>
  <c r="AF801" i="4"/>
  <c r="AH801" i="4" s="1"/>
  <c r="Z801" i="4"/>
  <c r="Y801" i="4"/>
  <c r="AO800" i="4"/>
  <c r="AF800" i="4"/>
  <c r="AH800" i="4" s="1"/>
  <c r="Z800" i="4"/>
  <c r="Y800" i="4"/>
  <c r="AO799" i="4"/>
  <c r="AF799" i="4"/>
  <c r="AH799" i="4" s="1"/>
  <c r="Z799" i="4"/>
  <c r="Y799" i="4"/>
  <c r="AO798" i="4"/>
  <c r="AF798" i="4"/>
  <c r="AH798" i="4" s="1"/>
  <c r="Z798" i="4"/>
  <c r="Y798" i="4"/>
  <c r="AO797" i="4"/>
  <c r="AF797" i="4"/>
  <c r="AH797" i="4" s="1"/>
  <c r="Z797" i="4"/>
  <c r="Y797" i="4"/>
  <c r="AO796" i="4"/>
  <c r="AF796" i="4"/>
  <c r="AH796" i="4" s="1"/>
  <c r="Z796" i="4"/>
  <c r="Y796" i="4"/>
  <c r="AO795" i="4"/>
  <c r="AF795" i="4"/>
  <c r="AH795" i="4" s="1"/>
  <c r="Z795" i="4"/>
  <c r="Y795" i="4"/>
  <c r="AO794" i="4"/>
  <c r="AF794" i="4"/>
  <c r="AH794" i="4" s="1"/>
  <c r="Z794" i="4"/>
  <c r="Y794" i="4"/>
  <c r="AO793" i="4"/>
  <c r="AF793" i="4"/>
  <c r="AH793" i="4" s="1"/>
  <c r="Z793" i="4"/>
  <c r="Y793" i="4"/>
  <c r="AO792" i="4"/>
  <c r="AF792" i="4"/>
  <c r="AH792" i="4" s="1"/>
  <c r="Z792" i="4"/>
  <c r="Y792" i="4"/>
  <c r="AO791" i="4"/>
  <c r="AF791" i="4"/>
  <c r="AH791" i="4" s="1"/>
  <c r="Z791" i="4"/>
  <c r="Y791" i="4"/>
  <c r="AO790" i="4"/>
  <c r="AF790" i="4"/>
  <c r="AH790" i="4" s="1"/>
  <c r="Z790" i="4"/>
  <c r="Y790" i="4"/>
  <c r="AO789" i="4"/>
  <c r="AF789" i="4"/>
  <c r="AH789" i="4" s="1"/>
  <c r="Z789" i="4"/>
  <c r="AA789" i="4" s="1"/>
  <c r="Y789" i="4"/>
  <c r="AO788" i="4"/>
  <c r="AF788" i="4"/>
  <c r="AH788" i="4" s="1"/>
  <c r="Z788" i="4"/>
  <c r="Y788" i="4"/>
  <c r="AO787" i="4"/>
  <c r="AF787" i="4"/>
  <c r="AH787" i="4" s="1"/>
  <c r="Z787" i="4"/>
  <c r="Y787" i="4"/>
  <c r="AO786" i="4"/>
  <c r="AF786" i="4"/>
  <c r="AH786" i="4" s="1"/>
  <c r="Z786" i="4"/>
  <c r="Y786" i="4"/>
  <c r="AO785" i="4"/>
  <c r="AF785" i="4"/>
  <c r="AH785" i="4" s="1"/>
  <c r="Z785" i="4"/>
  <c r="Y785" i="4"/>
  <c r="AO784" i="4"/>
  <c r="AF784" i="4"/>
  <c r="AH784" i="4" s="1"/>
  <c r="Z784" i="4"/>
  <c r="Y784" i="4"/>
  <c r="AO783" i="4"/>
  <c r="AF783" i="4"/>
  <c r="AH783" i="4" s="1"/>
  <c r="Z783" i="4"/>
  <c r="Y783" i="4"/>
  <c r="AO782" i="4"/>
  <c r="AF782" i="4"/>
  <c r="AH782" i="4" s="1"/>
  <c r="Z782" i="4"/>
  <c r="Y782" i="4"/>
  <c r="AO781" i="4"/>
  <c r="AF781" i="4"/>
  <c r="AH781" i="4" s="1"/>
  <c r="Z781" i="4"/>
  <c r="Y781" i="4"/>
  <c r="AO780" i="4"/>
  <c r="AF780" i="4"/>
  <c r="AH780" i="4" s="1"/>
  <c r="Z780" i="4"/>
  <c r="AA780" i="4" s="1"/>
  <c r="Y780" i="4"/>
  <c r="AO779" i="4"/>
  <c r="AF779" i="4"/>
  <c r="AH779" i="4" s="1"/>
  <c r="Z779" i="4"/>
  <c r="Y779" i="4"/>
  <c r="AO778" i="4"/>
  <c r="AF778" i="4"/>
  <c r="AH778" i="4" s="1"/>
  <c r="Z778" i="4"/>
  <c r="Y778" i="4"/>
  <c r="AO777" i="4"/>
  <c r="AF777" i="4"/>
  <c r="AH777" i="4" s="1"/>
  <c r="Z777" i="4"/>
  <c r="Y777" i="4"/>
  <c r="AO776" i="4"/>
  <c r="AF776" i="4"/>
  <c r="AH776" i="4" s="1"/>
  <c r="Z776" i="4"/>
  <c r="Y776" i="4"/>
  <c r="AO775" i="4"/>
  <c r="AF775" i="4"/>
  <c r="AH775" i="4" s="1"/>
  <c r="Z775" i="4"/>
  <c r="Y775" i="4"/>
  <c r="AO774" i="4"/>
  <c r="AF774" i="4"/>
  <c r="AH774" i="4" s="1"/>
  <c r="Z774" i="4"/>
  <c r="AA774" i="4" s="1"/>
  <c r="Y774" i="4"/>
  <c r="AO773" i="4"/>
  <c r="AF773" i="4"/>
  <c r="AH773" i="4" s="1"/>
  <c r="Z773" i="4"/>
  <c r="Y773" i="4"/>
  <c r="AO772" i="4"/>
  <c r="AF772" i="4"/>
  <c r="AH772" i="4" s="1"/>
  <c r="Z772" i="4"/>
  <c r="Y772" i="4"/>
  <c r="AO771" i="4"/>
  <c r="AF771" i="4"/>
  <c r="AH771" i="4" s="1"/>
  <c r="Z771" i="4"/>
  <c r="Y771" i="4"/>
  <c r="AO770" i="4"/>
  <c r="AF770" i="4"/>
  <c r="AH770" i="4" s="1"/>
  <c r="Z770" i="4"/>
  <c r="Y770" i="4"/>
  <c r="AO769" i="4"/>
  <c r="AF769" i="4"/>
  <c r="AH769" i="4" s="1"/>
  <c r="Z769" i="4"/>
  <c r="Y769" i="4"/>
  <c r="AO768" i="4"/>
  <c r="AF768" i="4"/>
  <c r="AH768" i="4" s="1"/>
  <c r="Z768" i="4"/>
  <c r="Y768" i="4"/>
  <c r="AO767" i="4"/>
  <c r="AF767" i="4"/>
  <c r="AH767" i="4" s="1"/>
  <c r="Z767" i="4"/>
  <c r="Y767" i="4"/>
  <c r="AO766" i="4"/>
  <c r="AF766" i="4"/>
  <c r="AH766" i="4" s="1"/>
  <c r="Z766" i="4"/>
  <c r="Y766" i="4"/>
  <c r="AO765" i="4"/>
  <c r="AF765" i="4"/>
  <c r="AH765" i="4" s="1"/>
  <c r="Z765" i="4"/>
  <c r="Y765" i="4"/>
  <c r="AO764" i="4"/>
  <c r="AF764" i="4"/>
  <c r="AH764" i="4" s="1"/>
  <c r="Z764" i="4"/>
  <c r="Y764" i="4"/>
  <c r="AO763" i="4"/>
  <c r="AF763" i="4"/>
  <c r="AH763" i="4" s="1"/>
  <c r="Z763" i="4"/>
  <c r="Y763" i="4"/>
  <c r="AO762" i="4"/>
  <c r="AF762" i="4"/>
  <c r="AH762" i="4" s="1"/>
  <c r="Z762" i="4"/>
  <c r="AA762" i="4" s="1"/>
  <c r="Y762" i="4"/>
  <c r="AO761" i="4"/>
  <c r="AF761" i="4"/>
  <c r="AH761" i="4" s="1"/>
  <c r="Z761" i="4"/>
  <c r="Y761" i="4"/>
  <c r="AO760" i="4"/>
  <c r="AF760" i="4"/>
  <c r="AH760" i="4" s="1"/>
  <c r="Z760" i="4"/>
  <c r="Y760" i="4"/>
  <c r="AO759" i="4"/>
  <c r="AF759" i="4"/>
  <c r="AH759" i="4" s="1"/>
  <c r="Z759" i="4"/>
  <c r="Y759" i="4"/>
  <c r="AO758" i="4"/>
  <c r="AF758" i="4"/>
  <c r="AH758" i="4" s="1"/>
  <c r="Z758" i="4"/>
  <c r="Y758" i="4"/>
  <c r="AO757" i="4"/>
  <c r="AF757" i="4"/>
  <c r="AH757" i="4" s="1"/>
  <c r="Z757" i="4"/>
  <c r="AA757" i="4" s="1"/>
  <c r="Y757" i="4"/>
  <c r="AO756" i="4"/>
  <c r="AF756" i="4"/>
  <c r="AH756" i="4" s="1"/>
  <c r="Z756" i="4"/>
  <c r="Y756" i="4"/>
  <c r="AO755" i="4"/>
  <c r="AF755" i="4"/>
  <c r="AH755" i="4" s="1"/>
  <c r="Z755" i="4"/>
  <c r="Y755" i="4"/>
  <c r="AO754" i="4"/>
  <c r="AF754" i="4"/>
  <c r="AH754" i="4" s="1"/>
  <c r="Z754" i="4"/>
  <c r="Y754" i="4"/>
  <c r="AO753" i="4"/>
  <c r="AF753" i="4"/>
  <c r="AH753" i="4" s="1"/>
  <c r="Z753" i="4"/>
  <c r="AA753" i="4" s="1"/>
  <c r="Y753" i="4"/>
  <c r="AO752" i="4"/>
  <c r="AF752" i="4"/>
  <c r="AH752" i="4" s="1"/>
  <c r="Z752" i="4"/>
  <c r="Y752" i="4"/>
  <c r="AO751" i="4"/>
  <c r="AF751" i="4"/>
  <c r="AH751" i="4" s="1"/>
  <c r="Z751" i="4"/>
  <c r="Y751" i="4"/>
  <c r="AO750" i="4"/>
  <c r="AF750" i="4"/>
  <c r="AH750" i="4" s="1"/>
  <c r="Z750" i="4"/>
  <c r="Y750" i="4"/>
  <c r="AO749" i="4"/>
  <c r="AF749" i="4"/>
  <c r="AH749" i="4" s="1"/>
  <c r="Z749" i="4"/>
  <c r="Y749" i="4"/>
  <c r="AO748" i="4"/>
  <c r="AF748" i="4"/>
  <c r="AH748" i="4" s="1"/>
  <c r="Z748" i="4"/>
  <c r="Y748" i="4"/>
  <c r="AO747" i="4"/>
  <c r="AF747" i="4"/>
  <c r="AH747" i="4" s="1"/>
  <c r="Z747" i="4"/>
  <c r="Y747" i="4"/>
  <c r="AO746" i="4"/>
  <c r="AF746" i="4"/>
  <c r="AH746" i="4" s="1"/>
  <c r="Z746" i="4"/>
  <c r="Y746" i="4"/>
  <c r="AO745" i="4"/>
  <c r="AF745" i="4"/>
  <c r="AH745" i="4" s="1"/>
  <c r="Z745" i="4"/>
  <c r="Y745" i="4"/>
  <c r="AO744" i="4"/>
  <c r="AF744" i="4"/>
  <c r="AH744" i="4" s="1"/>
  <c r="Z744" i="4"/>
  <c r="Y744" i="4"/>
  <c r="AO743" i="4"/>
  <c r="AF743" i="4"/>
  <c r="AH743" i="4" s="1"/>
  <c r="Z743" i="4"/>
  <c r="Y743" i="4"/>
  <c r="AO742" i="4"/>
  <c r="AF742" i="4"/>
  <c r="AH742" i="4" s="1"/>
  <c r="Z742" i="4"/>
  <c r="Y742" i="4"/>
  <c r="AO741" i="4"/>
  <c r="AF741" i="4"/>
  <c r="AH741" i="4" s="1"/>
  <c r="Z741" i="4"/>
  <c r="AA741" i="4" s="1"/>
  <c r="Y741" i="4"/>
  <c r="AO740" i="4"/>
  <c r="AF740" i="4"/>
  <c r="AH740" i="4" s="1"/>
  <c r="Z740" i="4"/>
  <c r="Y740" i="4"/>
  <c r="AO739" i="4"/>
  <c r="AF739" i="4"/>
  <c r="AH739" i="4" s="1"/>
  <c r="Z739" i="4"/>
  <c r="Y739" i="4"/>
  <c r="AO738" i="4"/>
  <c r="AF738" i="4"/>
  <c r="AH738" i="4" s="1"/>
  <c r="Z738" i="4"/>
  <c r="Y738" i="4"/>
  <c r="AO737" i="4"/>
  <c r="AF737" i="4"/>
  <c r="AH737" i="4" s="1"/>
  <c r="Z737" i="4"/>
  <c r="Y737" i="4"/>
  <c r="AO736" i="4"/>
  <c r="AF736" i="4"/>
  <c r="AH736" i="4" s="1"/>
  <c r="Z736" i="4"/>
  <c r="AA736" i="4" s="1"/>
  <c r="Y736" i="4"/>
  <c r="AO735" i="4"/>
  <c r="AF735" i="4"/>
  <c r="AH735" i="4" s="1"/>
  <c r="Z735" i="4"/>
  <c r="Y735" i="4"/>
  <c r="AO734" i="4"/>
  <c r="AF734" i="4"/>
  <c r="AH734" i="4" s="1"/>
  <c r="Z734" i="4"/>
  <c r="AA734" i="4" s="1"/>
  <c r="Y734" i="4"/>
  <c r="AO733" i="4"/>
  <c r="AF733" i="4"/>
  <c r="AH733" i="4" s="1"/>
  <c r="Z733" i="4"/>
  <c r="Y733" i="4"/>
  <c r="AO732" i="4"/>
  <c r="AF732" i="4"/>
  <c r="AH732" i="4" s="1"/>
  <c r="Z732" i="4"/>
  <c r="Y732" i="4"/>
  <c r="AO731" i="4"/>
  <c r="AF731" i="4"/>
  <c r="AH731" i="4" s="1"/>
  <c r="Z731" i="4"/>
  <c r="Y731" i="4"/>
  <c r="AO730" i="4"/>
  <c r="AF730" i="4"/>
  <c r="AH730" i="4" s="1"/>
  <c r="Z730" i="4"/>
  <c r="Y730" i="4"/>
  <c r="AO729" i="4"/>
  <c r="AF729" i="4"/>
  <c r="AH729" i="4" s="1"/>
  <c r="Z729" i="4"/>
  <c r="Y729" i="4"/>
  <c r="AO728" i="4"/>
  <c r="AF728" i="4"/>
  <c r="AH728" i="4" s="1"/>
  <c r="Z728" i="4"/>
  <c r="Y728" i="4"/>
  <c r="AO727" i="4"/>
  <c r="AF727" i="4"/>
  <c r="AH727" i="4" s="1"/>
  <c r="Z727" i="4"/>
  <c r="Y727" i="4"/>
  <c r="AO726" i="4"/>
  <c r="AF726" i="4"/>
  <c r="AH726" i="4" s="1"/>
  <c r="Z726" i="4"/>
  <c r="Y726" i="4"/>
  <c r="AO725" i="4"/>
  <c r="AF725" i="4"/>
  <c r="AH725" i="4" s="1"/>
  <c r="Z725" i="4"/>
  <c r="AA725" i="4" s="1"/>
  <c r="Y725" i="4"/>
  <c r="AO724" i="4"/>
  <c r="AF724" i="4"/>
  <c r="AH724" i="4" s="1"/>
  <c r="Z724" i="4"/>
  <c r="Y724" i="4"/>
  <c r="AO723" i="4"/>
  <c r="AF723" i="4"/>
  <c r="AH723" i="4" s="1"/>
  <c r="Z723" i="4"/>
  <c r="AA723" i="4" s="1"/>
  <c r="Y723" i="4"/>
  <c r="AO722" i="4"/>
  <c r="AF722" i="4"/>
  <c r="AH722" i="4" s="1"/>
  <c r="Z722" i="4"/>
  <c r="Y722" i="4"/>
  <c r="AO721" i="4"/>
  <c r="AF721" i="4"/>
  <c r="AH721" i="4" s="1"/>
  <c r="Z721" i="4"/>
  <c r="Y721" i="4"/>
  <c r="AO720" i="4"/>
  <c r="AF720" i="4"/>
  <c r="AH720" i="4" s="1"/>
  <c r="Z720" i="4"/>
  <c r="Y720" i="4"/>
  <c r="AO719" i="4"/>
  <c r="AF719" i="4"/>
  <c r="AH719" i="4" s="1"/>
  <c r="Z719" i="4"/>
  <c r="Y719" i="4"/>
  <c r="AO718" i="4"/>
  <c r="AF718" i="4"/>
  <c r="AH718" i="4" s="1"/>
  <c r="Z718" i="4"/>
  <c r="Y718" i="4"/>
  <c r="AO717" i="4"/>
  <c r="AF717" i="4"/>
  <c r="AH717" i="4" s="1"/>
  <c r="Z717" i="4"/>
  <c r="Y717" i="4"/>
  <c r="AO716" i="4"/>
  <c r="AF716" i="4"/>
  <c r="AH716" i="4" s="1"/>
  <c r="Z716" i="4"/>
  <c r="Y716" i="4"/>
  <c r="AO715" i="4"/>
  <c r="AF715" i="4"/>
  <c r="AH715" i="4" s="1"/>
  <c r="Z715" i="4"/>
  <c r="AA715" i="4" s="1"/>
  <c r="Y715" i="4"/>
  <c r="AO714" i="4"/>
  <c r="AF714" i="4"/>
  <c r="AH714" i="4" s="1"/>
  <c r="Z714" i="4"/>
  <c r="Y714" i="4"/>
  <c r="AO713" i="4"/>
  <c r="AF713" i="4"/>
  <c r="AH713" i="4" s="1"/>
  <c r="Z713" i="4"/>
  <c r="Y713" i="4"/>
  <c r="AO712" i="4"/>
  <c r="AF712" i="4"/>
  <c r="AH712" i="4" s="1"/>
  <c r="Z712" i="4"/>
  <c r="Y712" i="4"/>
  <c r="AO711" i="4"/>
  <c r="AF711" i="4"/>
  <c r="AH711" i="4" s="1"/>
  <c r="Z711" i="4"/>
  <c r="Y711" i="4"/>
  <c r="AO710" i="4"/>
  <c r="AF710" i="4"/>
  <c r="AH710" i="4" s="1"/>
  <c r="Z710" i="4"/>
  <c r="Y710" i="4"/>
  <c r="AO709" i="4"/>
  <c r="AF709" i="4"/>
  <c r="AH709" i="4" s="1"/>
  <c r="Z709" i="4"/>
  <c r="Y709" i="4"/>
  <c r="AO708" i="4"/>
  <c r="AF708" i="4"/>
  <c r="AH708" i="4" s="1"/>
  <c r="Z708" i="4"/>
  <c r="AA708" i="4" s="1"/>
  <c r="Y708" i="4"/>
  <c r="AO707" i="4"/>
  <c r="AF707" i="4"/>
  <c r="AH707" i="4" s="1"/>
  <c r="Z707" i="4"/>
  <c r="AA707" i="4" s="1"/>
  <c r="Y707" i="4"/>
  <c r="AO706" i="4"/>
  <c r="AF706" i="4"/>
  <c r="AH706" i="4" s="1"/>
  <c r="Z706" i="4"/>
  <c r="Y706" i="4"/>
  <c r="AO705" i="4"/>
  <c r="AF705" i="4"/>
  <c r="AH705" i="4" s="1"/>
  <c r="Z705" i="4"/>
  <c r="Y705" i="4"/>
  <c r="AO704" i="4"/>
  <c r="AF704" i="4"/>
  <c r="AH704" i="4" s="1"/>
  <c r="Z704" i="4"/>
  <c r="Y704" i="4"/>
  <c r="AO703" i="4"/>
  <c r="AF703" i="4"/>
  <c r="AH703" i="4" s="1"/>
  <c r="Z703" i="4"/>
  <c r="Y703" i="4"/>
  <c r="AO702" i="4"/>
  <c r="AF702" i="4"/>
  <c r="AH702" i="4" s="1"/>
  <c r="Z702" i="4"/>
  <c r="Y702" i="4"/>
  <c r="AO701" i="4"/>
  <c r="AF701" i="4"/>
  <c r="AH701" i="4" s="1"/>
  <c r="Z701" i="4"/>
  <c r="Y701" i="4"/>
  <c r="AO700" i="4"/>
  <c r="AF700" i="4"/>
  <c r="AH700" i="4" s="1"/>
  <c r="Z700" i="4"/>
  <c r="AA700" i="4" s="1"/>
  <c r="Y700" i="4"/>
  <c r="AO699" i="4"/>
  <c r="AF699" i="4"/>
  <c r="AH699" i="4" s="1"/>
  <c r="Z699" i="4"/>
  <c r="Y699" i="4"/>
  <c r="AO698" i="4"/>
  <c r="AF698" i="4"/>
  <c r="AH698" i="4" s="1"/>
  <c r="Z698" i="4"/>
  <c r="Y698" i="4"/>
  <c r="AO697" i="4"/>
  <c r="AF697" i="4"/>
  <c r="AH697" i="4" s="1"/>
  <c r="Z697" i="4"/>
  <c r="Y697" i="4"/>
  <c r="AO696" i="4"/>
  <c r="AF696" i="4"/>
  <c r="AH696" i="4" s="1"/>
  <c r="Z696" i="4"/>
  <c r="AA696" i="4" s="1"/>
  <c r="Y696" i="4"/>
  <c r="AO695" i="4"/>
  <c r="AF695" i="4"/>
  <c r="AH695" i="4" s="1"/>
  <c r="Z695" i="4"/>
  <c r="Y695" i="4"/>
  <c r="AO694" i="4"/>
  <c r="AF694" i="4"/>
  <c r="AH694" i="4" s="1"/>
  <c r="Z694" i="4"/>
  <c r="Y694" i="4"/>
  <c r="AO693" i="4"/>
  <c r="AF693" i="4"/>
  <c r="AH693" i="4" s="1"/>
  <c r="Z693" i="4"/>
  <c r="AA693" i="4" s="1"/>
  <c r="Y693" i="4"/>
  <c r="AO692" i="4"/>
  <c r="AF692" i="4"/>
  <c r="AH692" i="4" s="1"/>
  <c r="Z692" i="4"/>
  <c r="AA692" i="4" s="1"/>
  <c r="Y692" i="4"/>
  <c r="AO691" i="4"/>
  <c r="AF691" i="4"/>
  <c r="AH691" i="4" s="1"/>
  <c r="Z691" i="4"/>
  <c r="Y691" i="4"/>
  <c r="AO690" i="4"/>
  <c r="AF690" i="4"/>
  <c r="AH690" i="4" s="1"/>
  <c r="Z690" i="4"/>
  <c r="Y690" i="4"/>
  <c r="AO689" i="4"/>
  <c r="AF689" i="4"/>
  <c r="AH689" i="4" s="1"/>
  <c r="Z689" i="4"/>
  <c r="AA689" i="4" s="1"/>
  <c r="Y689" i="4"/>
  <c r="AO688" i="4"/>
  <c r="AF688" i="4"/>
  <c r="AH688" i="4" s="1"/>
  <c r="Z688" i="4"/>
  <c r="Y688" i="4"/>
  <c r="AO687" i="4"/>
  <c r="AF687" i="4"/>
  <c r="AH687" i="4" s="1"/>
  <c r="Z687" i="4"/>
  <c r="Y687" i="4"/>
  <c r="AO686" i="4"/>
  <c r="AF686" i="4"/>
  <c r="AH686" i="4" s="1"/>
  <c r="Z686" i="4"/>
  <c r="Y686" i="4"/>
  <c r="AO685" i="4"/>
  <c r="AF685" i="4"/>
  <c r="AH685" i="4" s="1"/>
  <c r="Z685" i="4"/>
  <c r="Y685" i="4"/>
  <c r="AO684" i="4"/>
  <c r="AF684" i="4"/>
  <c r="AH684" i="4" s="1"/>
  <c r="Z684" i="4"/>
  <c r="Y684" i="4"/>
  <c r="AO683" i="4"/>
  <c r="AF683" i="4"/>
  <c r="AH683" i="4" s="1"/>
  <c r="Z683" i="4"/>
  <c r="Y683" i="4"/>
  <c r="AO682" i="4"/>
  <c r="AF682" i="4"/>
  <c r="AH682" i="4" s="1"/>
  <c r="Z682" i="4"/>
  <c r="Y682" i="4"/>
  <c r="AO681" i="4"/>
  <c r="AF681" i="4"/>
  <c r="AH681" i="4" s="1"/>
  <c r="Z681" i="4"/>
  <c r="Y681" i="4"/>
  <c r="AO680" i="4"/>
  <c r="AF680" i="4"/>
  <c r="AH680" i="4" s="1"/>
  <c r="Z680" i="4"/>
  <c r="Y680" i="4"/>
  <c r="AO679" i="4"/>
  <c r="AF679" i="4"/>
  <c r="AH679" i="4" s="1"/>
  <c r="Z679" i="4"/>
  <c r="Y679" i="4"/>
  <c r="AO678" i="4"/>
  <c r="AF678" i="4"/>
  <c r="AH678" i="4" s="1"/>
  <c r="Z678" i="4"/>
  <c r="Y678" i="4"/>
  <c r="AO677" i="4"/>
  <c r="AF677" i="4"/>
  <c r="AH677" i="4" s="1"/>
  <c r="Z677" i="4"/>
  <c r="Y677" i="4"/>
  <c r="AO676" i="4"/>
  <c r="AF676" i="4"/>
  <c r="AH676" i="4" s="1"/>
  <c r="Z676" i="4"/>
  <c r="Y676" i="4"/>
  <c r="AO675" i="4"/>
  <c r="AF675" i="4"/>
  <c r="AH675" i="4" s="1"/>
  <c r="Z675" i="4"/>
  <c r="Y675" i="4"/>
  <c r="AO674" i="4"/>
  <c r="AF674" i="4"/>
  <c r="AH674" i="4" s="1"/>
  <c r="Z674" i="4"/>
  <c r="Y674" i="4"/>
  <c r="AO673" i="4"/>
  <c r="AF673" i="4"/>
  <c r="AH673" i="4" s="1"/>
  <c r="Z673" i="4"/>
  <c r="Y673" i="4"/>
  <c r="AO672" i="4"/>
  <c r="AF672" i="4"/>
  <c r="AH672" i="4" s="1"/>
  <c r="Z672" i="4"/>
  <c r="Y672" i="4"/>
  <c r="AO671" i="4"/>
  <c r="AF671" i="4"/>
  <c r="AH671" i="4" s="1"/>
  <c r="Z671" i="4"/>
  <c r="Y671" i="4"/>
  <c r="AO670" i="4"/>
  <c r="AF670" i="4"/>
  <c r="AH670" i="4" s="1"/>
  <c r="Z670" i="4"/>
  <c r="Y670" i="4"/>
  <c r="AO669" i="4"/>
  <c r="AF669" i="4"/>
  <c r="AH669" i="4" s="1"/>
  <c r="Z669" i="4"/>
  <c r="Y669" i="4"/>
  <c r="AO668" i="4"/>
  <c r="AF668" i="4"/>
  <c r="AH668" i="4" s="1"/>
  <c r="Z668" i="4"/>
  <c r="Y668" i="4"/>
  <c r="AO667" i="4"/>
  <c r="AF667" i="4"/>
  <c r="AH667" i="4" s="1"/>
  <c r="Z667" i="4"/>
  <c r="Y667" i="4"/>
  <c r="AO666" i="4"/>
  <c r="AF666" i="4"/>
  <c r="AH666" i="4" s="1"/>
  <c r="Z666" i="4"/>
  <c r="Y666" i="4"/>
  <c r="AO665" i="4"/>
  <c r="AF665" i="4"/>
  <c r="AH665" i="4" s="1"/>
  <c r="Z665" i="4"/>
  <c r="Y665" i="4"/>
  <c r="AO664" i="4"/>
  <c r="AF664" i="4"/>
  <c r="AH664" i="4" s="1"/>
  <c r="Z664" i="4"/>
  <c r="Y664" i="4"/>
  <c r="AO663" i="4"/>
  <c r="AF663" i="4"/>
  <c r="AH663" i="4" s="1"/>
  <c r="Z663" i="4"/>
  <c r="Y663" i="4"/>
  <c r="AO662" i="4"/>
  <c r="AF662" i="4"/>
  <c r="AH662" i="4" s="1"/>
  <c r="Z662" i="4"/>
  <c r="Y662" i="4"/>
  <c r="AO661" i="4"/>
  <c r="AF661" i="4"/>
  <c r="AH661" i="4" s="1"/>
  <c r="Z661" i="4"/>
  <c r="Y661" i="4"/>
  <c r="AO660" i="4"/>
  <c r="AF660" i="4"/>
  <c r="AH660" i="4" s="1"/>
  <c r="Z660" i="4"/>
  <c r="Y660" i="4"/>
  <c r="AO659" i="4"/>
  <c r="AF659" i="4"/>
  <c r="AH659" i="4" s="1"/>
  <c r="Z659" i="4"/>
  <c r="Y659" i="4"/>
  <c r="AO658" i="4"/>
  <c r="AF658" i="4"/>
  <c r="AH658" i="4" s="1"/>
  <c r="Z658" i="4"/>
  <c r="Y658" i="4"/>
  <c r="AO657" i="4"/>
  <c r="AF657" i="4"/>
  <c r="AH657" i="4" s="1"/>
  <c r="Z657" i="4"/>
  <c r="Y657" i="4"/>
  <c r="AO656" i="4"/>
  <c r="AF656" i="4"/>
  <c r="AH656" i="4" s="1"/>
  <c r="Z656" i="4"/>
  <c r="Y656" i="4"/>
  <c r="AO655" i="4"/>
  <c r="AF655" i="4"/>
  <c r="AH655" i="4" s="1"/>
  <c r="Z655" i="4"/>
  <c r="Y655" i="4"/>
  <c r="AO654" i="4"/>
  <c r="AF654" i="4"/>
  <c r="AH654" i="4" s="1"/>
  <c r="Z654" i="4"/>
  <c r="Y654" i="4"/>
  <c r="AO653" i="4"/>
  <c r="AF653" i="4"/>
  <c r="AH653" i="4" s="1"/>
  <c r="Z653" i="4"/>
  <c r="Y653" i="4"/>
  <c r="AO652" i="4"/>
  <c r="AF652" i="4"/>
  <c r="AH652" i="4" s="1"/>
  <c r="Z652" i="4"/>
  <c r="Y652" i="4"/>
  <c r="AO651" i="4"/>
  <c r="AF651" i="4"/>
  <c r="AH651" i="4" s="1"/>
  <c r="Z651" i="4"/>
  <c r="Y651" i="4"/>
  <c r="AO650" i="4"/>
  <c r="AF650" i="4"/>
  <c r="AH650" i="4" s="1"/>
  <c r="Z650" i="4"/>
  <c r="AA650" i="4" s="1"/>
  <c r="Y650" i="4"/>
  <c r="AO649" i="4"/>
  <c r="AF649" i="4"/>
  <c r="AH649" i="4" s="1"/>
  <c r="Z649" i="4"/>
  <c r="AA649" i="4" s="1"/>
  <c r="Y649" i="4"/>
  <c r="AO648" i="4"/>
  <c r="AF648" i="4"/>
  <c r="AH648" i="4" s="1"/>
  <c r="Z648" i="4"/>
  <c r="Y648" i="4"/>
  <c r="AO647" i="4"/>
  <c r="AF647" i="4"/>
  <c r="AH647" i="4" s="1"/>
  <c r="Z647" i="4"/>
  <c r="Y647" i="4"/>
  <c r="AO646" i="4"/>
  <c r="AF646" i="4"/>
  <c r="AH646" i="4" s="1"/>
  <c r="Z646" i="4"/>
  <c r="Y646" i="4"/>
  <c r="AO645" i="4"/>
  <c r="AF645" i="4"/>
  <c r="AH645" i="4" s="1"/>
  <c r="Z645" i="4"/>
  <c r="Y645" i="4"/>
  <c r="AO644" i="4"/>
  <c r="AF644" i="4"/>
  <c r="AH644" i="4" s="1"/>
  <c r="Z644" i="4"/>
  <c r="Y644" i="4"/>
  <c r="AO643" i="4"/>
  <c r="AF643" i="4"/>
  <c r="AH643" i="4" s="1"/>
  <c r="Z643" i="4"/>
  <c r="Y643" i="4"/>
  <c r="AO642" i="4"/>
  <c r="AF642" i="4"/>
  <c r="AH642" i="4" s="1"/>
  <c r="Z642" i="4"/>
  <c r="Y642" i="4"/>
  <c r="AO641" i="4"/>
  <c r="AF641" i="4"/>
  <c r="AH641" i="4" s="1"/>
  <c r="Z641" i="4"/>
  <c r="Y641" i="4"/>
  <c r="AO640" i="4"/>
  <c r="AF640" i="4"/>
  <c r="AH640" i="4" s="1"/>
  <c r="Z640" i="4"/>
  <c r="Y640" i="4"/>
  <c r="AO639" i="4"/>
  <c r="AF639" i="4"/>
  <c r="AH639" i="4" s="1"/>
  <c r="Z639" i="4"/>
  <c r="Y639" i="4"/>
  <c r="AO638" i="4"/>
  <c r="AF638" i="4"/>
  <c r="AH638" i="4" s="1"/>
  <c r="Z638" i="4"/>
  <c r="Y638" i="4"/>
  <c r="AO637" i="4"/>
  <c r="AF637" i="4"/>
  <c r="AH637" i="4" s="1"/>
  <c r="Z637" i="4"/>
  <c r="Y637" i="4"/>
  <c r="AO636" i="4"/>
  <c r="AF636" i="4"/>
  <c r="AH636" i="4" s="1"/>
  <c r="Z636" i="4"/>
  <c r="Y636" i="4"/>
  <c r="AO635" i="4"/>
  <c r="AF635" i="4"/>
  <c r="AH635" i="4" s="1"/>
  <c r="Z635" i="4"/>
  <c r="Y635" i="4"/>
  <c r="AO634" i="4"/>
  <c r="AF634" i="4"/>
  <c r="AH634" i="4" s="1"/>
  <c r="Z634" i="4"/>
  <c r="Y634" i="4"/>
  <c r="AO633" i="4"/>
  <c r="AF633" i="4"/>
  <c r="AH633" i="4" s="1"/>
  <c r="Z633" i="4"/>
  <c r="AA633" i="4" s="1"/>
  <c r="Y633" i="4"/>
  <c r="AO632" i="4"/>
  <c r="AF632" i="4"/>
  <c r="AH632" i="4" s="1"/>
  <c r="Z632" i="4"/>
  <c r="Y632" i="4"/>
  <c r="AO631" i="4"/>
  <c r="AF631" i="4"/>
  <c r="AH631" i="4" s="1"/>
  <c r="Z631" i="4"/>
  <c r="Y631" i="4"/>
  <c r="AO630" i="4"/>
  <c r="AF630" i="4"/>
  <c r="AH630" i="4" s="1"/>
  <c r="Z630" i="4"/>
  <c r="Y630" i="4"/>
  <c r="AO629" i="4"/>
  <c r="AF629" i="4"/>
  <c r="AH629" i="4" s="1"/>
  <c r="Z629" i="4"/>
  <c r="AA629" i="4" s="1"/>
  <c r="Y629" i="4"/>
  <c r="AO628" i="4"/>
  <c r="AF628" i="4"/>
  <c r="AH628" i="4" s="1"/>
  <c r="Z628" i="4"/>
  <c r="Y628" i="4"/>
  <c r="AO627" i="4"/>
  <c r="AF627" i="4"/>
  <c r="AH627" i="4" s="1"/>
  <c r="Z627" i="4"/>
  <c r="AA627" i="4" s="1"/>
  <c r="Y627" i="4"/>
  <c r="AO626" i="4"/>
  <c r="AF626" i="4"/>
  <c r="AH626" i="4" s="1"/>
  <c r="Z626" i="4"/>
  <c r="AA626" i="4" s="1"/>
  <c r="Y626" i="4"/>
  <c r="AO625" i="4"/>
  <c r="AF625" i="4"/>
  <c r="AH625" i="4" s="1"/>
  <c r="Z625" i="4"/>
  <c r="AA625" i="4" s="1"/>
  <c r="Y625" i="4"/>
  <c r="AO624" i="4"/>
  <c r="AF624" i="4"/>
  <c r="AH624" i="4" s="1"/>
  <c r="Z624" i="4"/>
  <c r="AA624" i="4" s="1"/>
  <c r="Y624" i="4"/>
  <c r="AO623" i="4"/>
  <c r="AF623" i="4"/>
  <c r="AH623" i="4" s="1"/>
  <c r="Z623" i="4"/>
  <c r="AA623" i="4" s="1"/>
  <c r="Y623" i="4"/>
  <c r="AO622" i="4"/>
  <c r="AF622" i="4"/>
  <c r="AH622" i="4" s="1"/>
  <c r="Z622" i="4"/>
  <c r="AA622" i="4" s="1"/>
  <c r="Y622" i="4"/>
  <c r="AO621" i="4"/>
  <c r="AF621" i="4"/>
  <c r="AH621" i="4" s="1"/>
  <c r="Z621" i="4"/>
  <c r="AA621" i="4" s="1"/>
  <c r="Y621" i="4"/>
  <c r="AO620" i="4"/>
  <c r="AF620" i="4"/>
  <c r="AH620" i="4" s="1"/>
  <c r="Z620" i="4"/>
  <c r="AA620" i="4" s="1"/>
  <c r="Y620" i="4"/>
  <c r="AO619" i="4"/>
  <c r="AF619" i="4"/>
  <c r="AH619" i="4" s="1"/>
  <c r="Z619" i="4"/>
  <c r="AA619" i="4" s="1"/>
  <c r="Y619" i="4"/>
  <c r="AO618" i="4"/>
  <c r="AF618" i="4"/>
  <c r="AH618" i="4" s="1"/>
  <c r="Z618" i="4"/>
  <c r="Y618" i="4"/>
  <c r="AO617" i="4"/>
  <c r="AF617" i="4"/>
  <c r="AH617" i="4" s="1"/>
  <c r="Z617" i="4"/>
  <c r="AA617" i="4" s="1"/>
  <c r="Y617" i="4"/>
  <c r="AO616" i="4"/>
  <c r="AF616" i="4"/>
  <c r="AH616" i="4" s="1"/>
  <c r="Z616" i="4"/>
  <c r="AA616" i="4" s="1"/>
  <c r="Y616" i="4"/>
  <c r="AO615" i="4"/>
  <c r="AF615" i="4"/>
  <c r="AH615" i="4" s="1"/>
  <c r="Z615" i="4"/>
  <c r="AA615" i="4" s="1"/>
  <c r="Y615" i="4"/>
  <c r="AO614" i="4"/>
  <c r="AF614" i="4"/>
  <c r="AH614" i="4" s="1"/>
  <c r="Z614" i="4"/>
  <c r="AA614" i="4" s="1"/>
  <c r="Y614" i="4"/>
  <c r="AO613" i="4"/>
  <c r="AF613" i="4"/>
  <c r="AH613" i="4" s="1"/>
  <c r="Z613" i="4"/>
  <c r="AA613" i="4" s="1"/>
  <c r="Y613" i="4"/>
  <c r="AO612" i="4"/>
  <c r="AF612" i="4"/>
  <c r="AH612" i="4" s="1"/>
  <c r="Z612" i="4"/>
  <c r="AA612" i="4" s="1"/>
  <c r="Y612" i="4"/>
  <c r="AO611" i="4"/>
  <c r="AF611" i="4"/>
  <c r="AH611" i="4" s="1"/>
  <c r="Z611" i="4"/>
  <c r="AA611" i="4" s="1"/>
  <c r="Y611" i="4"/>
  <c r="AO610" i="4"/>
  <c r="AF610" i="4"/>
  <c r="AH610" i="4" s="1"/>
  <c r="Z610" i="4"/>
  <c r="Y610" i="4"/>
  <c r="AO609" i="4"/>
  <c r="AF609" i="4"/>
  <c r="AH609" i="4" s="1"/>
  <c r="Z609" i="4"/>
  <c r="AA609" i="4" s="1"/>
  <c r="Y609" i="4"/>
  <c r="AO608" i="4"/>
  <c r="AF608" i="4"/>
  <c r="AH608" i="4" s="1"/>
  <c r="Z608" i="4"/>
  <c r="Y608" i="4"/>
  <c r="AO607" i="4"/>
  <c r="AF607" i="4"/>
  <c r="AH607" i="4" s="1"/>
  <c r="Z607" i="4"/>
  <c r="Y607" i="4"/>
  <c r="AO606" i="4"/>
  <c r="AF606" i="4"/>
  <c r="AH606" i="4" s="1"/>
  <c r="Z606" i="4"/>
  <c r="Y606" i="4"/>
  <c r="AO605" i="4"/>
  <c r="AF605" i="4"/>
  <c r="AH605" i="4" s="1"/>
  <c r="Z605" i="4"/>
  <c r="Y605" i="4"/>
  <c r="AO604" i="4"/>
  <c r="AF604" i="4"/>
  <c r="AH604" i="4" s="1"/>
  <c r="Z604" i="4"/>
  <c r="Y604" i="4"/>
  <c r="AO603" i="4"/>
  <c r="AF603" i="4"/>
  <c r="AH603" i="4" s="1"/>
  <c r="Z603" i="4"/>
  <c r="Y603" i="4"/>
  <c r="AO602" i="4"/>
  <c r="AF602" i="4"/>
  <c r="AH602" i="4" s="1"/>
  <c r="Z602" i="4"/>
  <c r="Y602" i="4"/>
  <c r="AO601" i="4"/>
  <c r="AF601" i="4"/>
  <c r="AH601" i="4" s="1"/>
  <c r="Z601" i="4"/>
  <c r="Y601" i="4"/>
  <c r="AO600" i="4"/>
  <c r="AF600" i="4"/>
  <c r="AH600" i="4" s="1"/>
  <c r="Z600" i="4"/>
  <c r="Y600" i="4"/>
  <c r="AO599" i="4"/>
  <c r="AF599" i="4"/>
  <c r="AH599" i="4" s="1"/>
  <c r="Z599" i="4"/>
  <c r="Y599" i="4"/>
  <c r="AO598" i="4"/>
  <c r="AF598" i="4"/>
  <c r="AH598" i="4" s="1"/>
  <c r="Z598" i="4"/>
  <c r="Y598" i="4"/>
  <c r="AO597" i="4"/>
  <c r="AF597" i="4"/>
  <c r="AH597" i="4" s="1"/>
  <c r="Z597" i="4"/>
  <c r="Y597" i="4"/>
  <c r="AO596" i="4"/>
  <c r="AF596" i="4"/>
  <c r="AH596" i="4" s="1"/>
  <c r="Z596" i="4"/>
  <c r="Y596" i="4"/>
  <c r="AO595" i="4"/>
  <c r="AF595" i="4"/>
  <c r="AH595" i="4" s="1"/>
  <c r="Z595" i="4"/>
  <c r="Y595" i="4"/>
  <c r="AO594" i="4"/>
  <c r="AF594" i="4"/>
  <c r="AH594" i="4" s="1"/>
  <c r="Z594" i="4"/>
  <c r="Y594" i="4"/>
  <c r="AO593" i="4"/>
  <c r="AF593" i="4"/>
  <c r="AH593" i="4" s="1"/>
  <c r="Z593" i="4"/>
  <c r="Y593" i="4"/>
  <c r="AO592" i="4"/>
  <c r="AF592" i="4"/>
  <c r="AH592" i="4" s="1"/>
  <c r="Z592" i="4"/>
  <c r="Y592" i="4"/>
  <c r="AO591" i="4"/>
  <c r="AF591" i="4"/>
  <c r="AH591" i="4" s="1"/>
  <c r="Z591" i="4"/>
  <c r="Y591" i="4"/>
  <c r="AO590" i="4"/>
  <c r="AF590" i="4"/>
  <c r="AH590" i="4" s="1"/>
  <c r="Z590" i="4"/>
  <c r="Y590" i="4"/>
  <c r="AO589" i="4"/>
  <c r="AF589" i="4"/>
  <c r="AH589" i="4" s="1"/>
  <c r="Z589" i="4"/>
  <c r="Y589" i="4"/>
  <c r="AO588" i="4"/>
  <c r="AF588" i="4"/>
  <c r="AH588" i="4" s="1"/>
  <c r="Z588" i="4"/>
  <c r="Y588" i="4"/>
  <c r="AO587" i="4"/>
  <c r="AF587" i="4"/>
  <c r="AH587" i="4" s="1"/>
  <c r="Z587" i="4"/>
  <c r="Y587" i="4"/>
  <c r="AO586" i="4"/>
  <c r="AF586" i="4"/>
  <c r="AH586" i="4" s="1"/>
  <c r="Z586" i="4"/>
  <c r="AA586" i="4" s="1"/>
  <c r="Y586" i="4"/>
  <c r="AO585" i="4"/>
  <c r="AF585" i="4"/>
  <c r="AH585" i="4" s="1"/>
  <c r="Z585" i="4"/>
  <c r="Y585" i="4"/>
  <c r="AO584" i="4"/>
  <c r="AF584" i="4"/>
  <c r="AH584" i="4" s="1"/>
  <c r="Z584" i="4"/>
  <c r="Y584" i="4"/>
  <c r="AO583" i="4"/>
  <c r="AF583" i="4"/>
  <c r="AH583" i="4" s="1"/>
  <c r="Z583" i="4"/>
  <c r="AA583" i="4" s="1"/>
  <c r="Y583" i="4"/>
  <c r="AO582" i="4"/>
  <c r="AF582" i="4"/>
  <c r="AH582" i="4" s="1"/>
  <c r="Z582" i="4"/>
  <c r="Y582" i="4"/>
  <c r="AO581" i="4"/>
  <c r="AF581" i="4"/>
  <c r="AH581" i="4" s="1"/>
  <c r="Z581" i="4"/>
  <c r="Y581" i="4"/>
  <c r="AO580" i="4"/>
  <c r="AF580" i="4"/>
  <c r="AH580" i="4" s="1"/>
  <c r="Z580" i="4"/>
  <c r="Y580" i="4"/>
  <c r="AO579" i="4"/>
  <c r="AF579" i="4"/>
  <c r="AH579" i="4" s="1"/>
  <c r="Z579" i="4"/>
  <c r="Y579" i="4"/>
  <c r="AO578" i="4"/>
  <c r="AF578" i="4"/>
  <c r="AH578" i="4" s="1"/>
  <c r="Z578" i="4"/>
  <c r="Y578" i="4"/>
  <c r="AO577" i="4"/>
  <c r="AF577" i="4"/>
  <c r="AH577" i="4" s="1"/>
  <c r="Z577" i="4"/>
  <c r="Y577" i="4"/>
  <c r="AO576" i="4"/>
  <c r="AF576" i="4"/>
  <c r="AH576" i="4" s="1"/>
  <c r="Z576" i="4"/>
  <c r="Y576" i="4"/>
  <c r="AO575" i="4"/>
  <c r="AF575" i="4"/>
  <c r="AH575" i="4" s="1"/>
  <c r="Z575" i="4"/>
  <c r="Y575" i="4"/>
  <c r="AO574" i="4"/>
  <c r="AF574" i="4"/>
  <c r="AH574" i="4" s="1"/>
  <c r="Z574" i="4"/>
  <c r="Y574" i="4"/>
  <c r="AO573" i="4"/>
  <c r="AF573" i="4"/>
  <c r="AH573" i="4" s="1"/>
  <c r="Z573" i="4"/>
  <c r="Y573" i="4"/>
  <c r="AO572" i="4"/>
  <c r="AF572" i="4"/>
  <c r="AH572" i="4" s="1"/>
  <c r="Z572" i="4"/>
  <c r="Y572" i="4"/>
  <c r="AO571" i="4"/>
  <c r="AF571" i="4"/>
  <c r="AH571" i="4" s="1"/>
  <c r="Z571" i="4"/>
  <c r="Y571" i="4"/>
  <c r="AO570" i="4"/>
  <c r="AF570" i="4"/>
  <c r="AH570" i="4" s="1"/>
  <c r="Z570" i="4"/>
  <c r="Y570" i="4"/>
  <c r="AO569" i="4"/>
  <c r="AF569" i="4"/>
  <c r="AH569" i="4" s="1"/>
  <c r="Z569" i="4"/>
  <c r="Y569" i="4"/>
  <c r="AO568" i="4"/>
  <c r="AF568" i="4"/>
  <c r="AH568" i="4" s="1"/>
  <c r="Z568" i="4"/>
  <c r="Y568" i="4"/>
  <c r="AO567" i="4"/>
  <c r="AF567" i="4"/>
  <c r="AH567" i="4" s="1"/>
  <c r="Z567" i="4"/>
  <c r="Y567" i="4"/>
  <c r="AO566" i="4"/>
  <c r="AF566" i="4"/>
  <c r="AH566" i="4" s="1"/>
  <c r="Z566" i="4"/>
  <c r="Y566" i="4"/>
  <c r="AO565" i="4"/>
  <c r="AF565" i="4"/>
  <c r="AH565" i="4" s="1"/>
  <c r="Z565" i="4"/>
  <c r="Y565" i="4"/>
  <c r="AO564" i="4"/>
  <c r="AF564" i="4"/>
  <c r="AH564" i="4" s="1"/>
  <c r="Z564" i="4"/>
  <c r="Y564" i="4"/>
  <c r="AO563" i="4"/>
  <c r="AF563" i="4"/>
  <c r="AH563" i="4" s="1"/>
  <c r="Z563" i="4"/>
  <c r="Y563" i="4"/>
  <c r="AO562" i="4"/>
  <c r="AF562" i="4"/>
  <c r="AH562" i="4" s="1"/>
  <c r="Z562" i="4"/>
  <c r="Y562" i="4"/>
  <c r="AO561" i="4"/>
  <c r="AF561" i="4"/>
  <c r="AH561" i="4" s="1"/>
  <c r="Z561" i="4"/>
  <c r="Y561" i="4"/>
  <c r="AO560" i="4"/>
  <c r="AF560" i="4"/>
  <c r="AH560" i="4" s="1"/>
  <c r="Z560" i="4"/>
  <c r="Y560" i="4"/>
  <c r="AO559" i="4"/>
  <c r="AF559" i="4"/>
  <c r="AH559" i="4" s="1"/>
  <c r="Z559" i="4"/>
  <c r="Y559" i="4"/>
  <c r="AO558" i="4"/>
  <c r="AF558" i="4"/>
  <c r="AH558" i="4" s="1"/>
  <c r="Z558" i="4"/>
  <c r="Y558" i="4"/>
  <c r="AO557" i="4"/>
  <c r="AF557" i="4"/>
  <c r="AH557" i="4" s="1"/>
  <c r="Z557" i="4"/>
  <c r="Y557" i="4"/>
  <c r="AO556" i="4"/>
  <c r="AF556" i="4"/>
  <c r="AH556" i="4" s="1"/>
  <c r="Z556" i="4"/>
  <c r="Y556" i="4"/>
  <c r="AO555" i="4"/>
  <c r="AF555" i="4"/>
  <c r="AH555" i="4" s="1"/>
  <c r="Z555" i="4"/>
  <c r="Y555" i="4"/>
  <c r="AO554" i="4"/>
  <c r="AF554" i="4"/>
  <c r="AH554" i="4" s="1"/>
  <c r="Z554" i="4"/>
  <c r="Y554" i="4"/>
  <c r="AO553" i="4"/>
  <c r="AF553" i="4"/>
  <c r="AH553" i="4" s="1"/>
  <c r="Z553" i="4"/>
  <c r="Y553" i="4"/>
  <c r="AO552" i="4"/>
  <c r="AF552" i="4"/>
  <c r="AH552" i="4" s="1"/>
  <c r="Z552" i="4"/>
  <c r="Y552" i="4"/>
  <c r="AO551" i="4"/>
  <c r="AF551" i="4"/>
  <c r="AH551" i="4" s="1"/>
  <c r="Z551" i="4"/>
  <c r="Y551" i="4"/>
  <c r="AO550" i="4"/>
  <c r="AF550" i="4"/>
  <c r="AH550" i="4" s="1"/>
  <c r="Z550" i="4"/>
  <c r="Y550" i="4"/>
  <c r="AO549" i="4"/>
  <c r="AF549" i="4"/>
  <c r="AH549" i="4" s="1"/>
  <c r="Z549" i="4"/>
  <c r="Y549" i="4"/>
  <c r="AO548" i="4"/>
  <c r="AF548" i="4"/>
  <c r="AH548" i="4" s="1"/>
  <c r="Z548" i="4"/>
  <c r="Y548" i="4"/>
  <c r="AO547" i="4"/>
  <c r="AF547" i="4"/>
  <c r="AH547" i="4" s="1"/>
  <c r="Z547" i="4"/>
  <c r="Y547" i="4"/>
  <c r="AO546" i="4"/>
  <c r="AF546" i="4"/>
  <c r="AH546" i="4" s="1"/>
  <c r="Z546" i="4"/>
  <c r="Y546" i="4"/>
  <c r="AO545" i="4"/>
  <c r="AF545" i="4"/>
  <c r="AH545" i="4" s="1"/>
  <c r="Z545" i="4"/>
  <c r="Y545" i="4"/>
  <c r="AO544" i="4"/>
  <c r="AF544" i="4"/>
  <c r="AH544" i="4" s="1"/>
  <c r="Z544" i="4"/>
  <c r="Y544" i="4"/>
  <c r="AO543" i="4"/>
  <c r="AF543" i="4"/>
  <c r="AH543" i="4" s="1"/>
  <c r="Z543" i="4"/>
  <c r="Y543" i="4"/>
  <c r="AO542" i="4"/>
  <c r="AF542" i="4"/>
  <c r="AH542" i="4" s="1"/>
  <c r="Z542" i="4"/>
  <c r="Y542" i="4"/>
  <c r="AO541" i="4"/>
  <c r="AF541" i="4"/>
  <c r="AH541" i="4" s="1"/>
  <c r="Z541" i="4"/>
  <c r="Y541" i="4"/>
  <c r="AO540" i="4"/>
  <c r="AF540" i="4"/>
  <c r="AH540" i="4" s="1"/>
  <c r="Z540" i="4"/>
  <c r="Y540" i="4"/>
  <c r="AO539" i="4"/>
  <c r="AF539" i="4"/>
  <c r="AH539" i="4" s="1"/>
  <c r="Z539" i="4"/>
  <c r="Y539" i="4"/>
  <c r="AO538" i="4"/>
  <c r="AF538" i="4"/>
  <c r="AH538" i="4" s="1"/>
  <c r="Z538" i="4"/>
  <c r="Y538" i="4"/>
  <c r="AO537" i="4"/>
  <c r="AF537" i="4"/>
  <c r="AH537" i="4" s="1"/>
  <c r="Z537" i="4"/>
  <c r="AA537" i="4" s="1"/>
  <c r="Y537" i="4"/>
  <c r="AO536" i="4"/>
  <c r="AF536" i="4"/>
  <c r="AH536" i="4" s="1"/>
  <c r="Z536" i="4"/>
  <c r="Y536" i="4"/>
  <c r="AO535" i="4"/>
  <c r="AF535" i="4"/>
  <c r="AH535" i="4" s="1"/>
  <c r="Z535" i="4"/>
  <c r="Y535" i="4"/>
  <c r="AO534" i="4"/>
  <c r="AF534" i="4"/>
  <c r="AH534" i="4" s="1"/>
  <c r="Z534" i="4"/>
  <c r="Y534" i="4"/>
  <c r="AO533" i="4"/>
  <c r="AF533" i="4"/>
  <c r="AH533" i="4" s="1"/>
  <c r="Z533" i="4"/>
  <c r="Y533" i="4"/>
  <c r="AO532" i="4"/>
  <c r="AF532" i="4"/>
  <c r="AH532" i="4" s="1"/>
  <c r="Z532" i="4"/>
  <c r="Y532" i="4"/>
  <c r="AO531" i="4"/>
  <c r="AF531" i="4"/>
  <c r="AH531" i="4" s="1"/>
  <c r="Z531" i="4"/>
  <c r="Y531" i="4"/>
  <c r="AO530" i="4"/>
  <c r="AF530" i="4"/>
  <c r="AH530" i="4" s="1"/>
  <c r="Z530" i="4"/>
  <c r="Y530" i="4"/>
  <c r="AO529" i="4"/>
  <c r="AF529" i="4"/>
  <c r="AH529" i="4" s="1"/>
  <c r="Z529" i="4"/>
  <c r="Y529" i="4"/>
  <c r="AO528" i="4"/>
  <c r="AF528" i="4"/>
  <c r="AH528" i="4" s="1"/>
  <c r="Z528" i="4"/>
  <c r="Y528" i="4"/>
  <c r="AO527" i="4"/>
  <c r="AF527" i="4"/>
  <c r="AH527" i="4" s="1"/>
  <c r="Z527" i="4"/>
  <c r="Y527" i="4"/>
  <c r="AO526" i="4"/>
  <c r="AF526" i="4"/>
  <c r="AH526" i="4" s="1"/>
  <c r="Z526" i="4"/>
  <c r="Y526" i="4"/>
  <c r="AO525" i="4"/>
  <c r="AF525" i="4"/>
  <c r="AH525" i="4" s="1"/>
  <c r="Z525" i="4"/>
  <c r="Y525" i="4"/>
  <c r="AO524" i="4"/>
  <c r="AF524" i="4"/>
  <c r="AH524" i="4" s="1"/>
  <c r="Z524" i="4"/>
  <c r="Y524" i="4"/>
  <c r="AO523" i="4"/>
  <c r="AF523" i="4"/>
  <c r="AH523" i="4" s="1"/>
  <c r="Z523" i="4"/>
  <c r="Y523" i="4"/>
  <c r="AO522" i="4"/>
  <c r="AF522" i="4"/>
  <c r="AH522" i="4" s="1"/>
  <c r="Z522" i="4"/>
  <c r="Y522" i="4"/>
  <c r="AO521" i="4"/>
  <c r="AF521" i="4"/>
  <c r="AH521" i="4" s="1"/>
  <c r="Z521" i="4"/>
  <c r="Y521" i="4"/>
  <c r="AO520" i="4"/>
  <c r="AF520" i="4"/>
  <c r="AH520" i="4" s="1"/>
  <c r="Z520" i="4"/>
  <c r="Y520" i="4"/>
  <c r="AO519" i="4"/>
  <c r="AF519" i="4"/>
  <c r="AH519" i="4" s="1"/>
  <c r="Z519" i="4"/>
  <c r="Y519" i="4"/>
  <c r="AO518" i="4"/>
  <c r="AF518" i="4"/>
  <c r="AH518" i="4" s="1"/>
  <c r="Z518" i="4"/>
  <c r="Y518" i="4"/>
  <c r="AO517" i="4"/>
  <c r="AF517" i="4"/>
  <c r="AH517" i="4" s="1"/>
  <c r="Z517" i="4"/>
  <c r="Y517" i="4"/>
  <c r="AO516" i="4"/>
  <c r="AF516" i="4"/>
  <c r="AH516" i="4" s="1"/>
  <c r="Z516" i="4"/>
  <c r="Y516" i="4"/>
  <c r="AO515" i="4"/>
  <c r="AF515" i="4"/>
  <c r="AH515" i="4" s="1"/>
  <c r="Z515" i="4"/>
  <c r="Y515" i="4"/>
  <c r="AO514" i="4"/>
  <c r="AF514" i="4"/>
  <c r="AH514" i="4" s="1"/>
  <c r="Z514" i="4"/>
  <c r="Y514" i="4"/>
  <c r="AO513" i="4"/>
  <c r="AF513" i="4"/>
  <c r="AH513" i="4" s="1"/>
  <c r="Z513" i="4"/>
  <c r="Y513" i="4"/>
  <c r="AO512" i="4"/>
  <c r="AF512" i="4"/>
  <c r="AH512" i="4" s="1"/>
  <c r="Z512" i="4"/>
  <c r="Y512" i="4"/>
  <c r="AO511" i="4"/>
  <c r="AF511" i="4"/>
  <c r="AH511" i="4" s="1"/>
  <c r="Z511" i="4"/>
  <c r="Y511" i="4"/>
  <c r="AO510" i="4"/>
  <c r="AF510" i="4"/>
  <c r="AH510" i="4" s="1"/>
  <c r="Z510" i="4"/>
  <c r="Y510" i="4"/>
  <c r="AO509" i="4"/>
  <c r="AF509" i="4"/>
  <c r="AH509" i="4" s="1"/>
  <c r="Z509" i="4"/>
  <c r="Y509" i="4"/>
  <c r="AO508" i="4"/>
  <c r="AF508" i="4"/>
  <c r="AH508" i="4" s="1"/>
  <c r="Z508" i="4"/>
  <c r="Y508" i="4"/>
  <c r="AO507" i="4"/>
  <c r="AF507" i="4"/>
  <c r="AH507" i="4" s="1"/>
  <c r="Z507" i="4"/>
  <c r="Y507" i="4"/>
  <c r="AO506" i="4"/>
  <c r="AF506" i="4"/>
  <c r="AH506" i="4" s="1"/>
  <c r="Z506" i="4"/>
  <c r="Y506" i="4"/>
  <c r="AO505" i="4"/>
  <c r="AF505" i="4"/>
  <c r="AH505" i="4" s="1"/>
  <c r="Z505" i="4"/>
  <c r="Y505" i="4"/>
  <c r="AO504" i="4"/>
  <c r="AF504" i="4"/>
  <c r="AH504" i="4" s="1"/>
  <c r="Z504" i="4"/>
  <c r="Y504" i="4"/>
  <c r="AO503" i="4"/>
  <c r="AF503" i="4"/>
  <c r="AH503" i="4" s="1"/>
  <c r="Z503" i="4"/>
  <c r="Y503" i="4"/>
  <c r="AO502" i="4"/>
  <c r="AF502" i="4"/>
  <c r="AH502" i="4" s="1"/>
  <c r="Z502" i="4"/>
  <c r="Y502" i="4"/>
  <c r="AO501" i="4"/>
  <c r="AF501" i="4"/>
  <c r="AH501" i="4" s="1"/>
  <c r="Z501" i="4"/>
  <c r="Y501" i="4"/>
  <c r="AO500" i="4"/>
  <c r="AF500" i="4"/>
  <c r="AH500" i="4" s="1"/>
  <c r="Z500" i="4"/>
  <c r="Y500" i="4"/>
  <c r="AO499" i="4"/>
  <c r="AF499" i="4"/>
  <c r="AH499" i="4" s="1"/>
  <c r="Z499" i="4"/>
  <c r="Y499" i="4"/>
  <c r="AO498" i="4"/>
  <c r="AF498" i="4"/>
  <c r="AH498" i="4" s="1"/>
  <c r="Z498" i="4"/>
  <c r="Y498" i="4"/>
  <c r="AO497" i="4"/>
  <c r="AF497" i="4"/>
  <c r="AH497" i="4" s="1"/>
  <c r="Z497" i="4"/>
  <c r="Y497" i="4"/>
  <c r="AO496" i="4"/>
  <c r="AF496" i="4"/>
  <c r="AH496" i="4" s="1"/>
  <c r="Z496" i="4"/>
  <c r="Y496" i="4"/>
  <c r="AO495" i="4"/>
  <c r="AF495" i="4"/>
  <c r="AH495" i="4" s="1"/>
  <c r="Z495" i="4"/>
  <c r="Y495" i="4"/>
  <c r="AO494" i="4"/>
  <c r="AF494" i="4"/>
  <c r="AH494" i="4" s="1"/>
  <c r="Z494" i="4"/>
  <c r="Y494" i="4"/>
  <c r="AO493" i="4"/>
  <c r="AF493" i="4"/>
  <c r="AH493" i="4" s="1"/>
  <c r="Z493" i="4"/>
  <c r="Y493" i="4"/>
  <c r="AO492" i="4"/>
  <c r="AF492" i="4"/>
  <c r="AH492" i="4" s="1"/>
  <c r="Z492" i="4"/>
  <c r="Y492" i="4"/>
  <c r="AO491" i="4"/>
  <c r="AF491" i="4"/>
  <c r="AH491" i="4" s="1"/>
  <c r="Z491" i="4"/>
  <c r="Y491" i="4"/>
  <c r="AO490" i="4"/>
  <c r="AF490" i="4"/>
  <c r="AH490" i="4" s="1"/>
  <c r="Z490" i="4"/>
  <c r="Y490" i="4"/>
  <c r="AO489" i="4"/>
  <c r="AF489" i="4"/>
  <c r="AH489" i="4" s="1"/>
  <c r="Z489" i="4"/>
  <c r="Y489" i="4"/>
  <c r="AO488" i="4"/>
  <c r="AF488" i="4"/>
  <c r="AH488" i="4" s="1"/>
  <c r="Z488" i="4"/>
  <c r="Y488" i="4"/>
  <c r="AO487" i="4"/>
  <c r="AF487" i="4"/>
  <c r="AH487" i="4" s="1"/>
  <c r="Z487" i="4"/>
  <c r="Y487" i="4"/>
  <c r="AO486" i="4"/>
  <c r="AF486" i="4"/>
  <c r="AH486" i="4" s="1"/>
  <c r="Z486" i="4"/>
  <c r="Y486" i="4"/>
  <c r="AO485" i="4"/>
  <c r="AF485" i="4"/>
  <c r="AH485" i="4" s="1"/>
  <c r="Z485" i="4"/>
  <c r="Y485" i="4"/>
  <c r="AO484" i="4"/>
  <c r="AF484" i="4"/>
  <c r="AH484" i="4" s="1"/>
  <c r="Z484" i="4"/>
  <c r="Y484" i="4"/>
  <c r="AO483" i="4"/>
  <c r="AF483" i="4"/>
  <c r="AH483" i="4" s="1"/>
  <c r="Z483" i="4"/>
  <c r="Y483" i="4"/>
  <c r="AO482" i="4"/>
  <c r="AF482" i="4"/>
  <c r="AH482" i="4" s="1"/>
  <c r="Z482" i="4"/>
  <c r="AA482" i="4" s="1"/>
  <c r="Y482" i="4"/>
  <c r="AO481" i="4"/>
  <c r="AF481" i="4"/>
  <c r="AH481" i="4" s="1"/>
  <c r="Z481" i="4"/>
  <c r="Y481" i="4"/>
  <c r="AO480" i="4"/>
  <c r="AF480" i="4"/>
  <c r="AH480" i="4" s="1"/>
  <c r="Z480" i="4"/>
  <c r="Y480" i="4"/>
  <c r="AO479" i="4"/>
  <c r="AF479" i="4"/>
  <c r="AH479" i="4" s="1"/>
  <c r="Z479" i="4"/>
  <c r="Y479" i="4"/>
  <c r="AO478" i="4"/>
  <c r="AF478" i="4"/>
  <c r="AH478" i="4" s="1"/>
  <c r="Z478" i="4"/>
  <c r="Y478" i="4"/>
  <c r="AO477" i="4"/>
  <c r="AF477" i="4"/>
  <c r="AH477" i="4" s="1"/>
  <c r="Z477" i="4"/>
  <c r="Y477" i="4"/>
  <c r="AO476" i="4"/>
  <c r="AF476" i="4"/>
  <c r="AH476" i="4" s="1"/>
  <c r="Z476" i="4"/>
  <c r="AA476" i="4" s="1"/>
  <c r="Y476" i="4"/>
  <c r="AO475" i="4"/>
  <c r="AF475" i="4"/>
  <c r="AH475" i="4" s="1"/>
  <c r="Z475" i="4"/>
  <c r="Y475" i="4"/>
  <c r="AO474" i="4"/>
  <c r="AF474" i="4"/>
  <c r="AH474" i="4" s="1"/>
  <c r="Z474" i="4"/>
  <c r="AA474" i="4" s="1"/>
  <c r="Y474" i="4"/>
  <c r="AO473" i="4"/>
  <c r="AF473" i="4"/>
  <c r="AH473" i="4" s="1"/>
  <c r="Z473" i="4"/>
  <c r="Y473" i="4"/>
  <c r="AO472" i="4"/>
  <c r="AF472" i="4"/>
  <c r="AH472" i="4" s="1"/>
  <c r="Z472" i="4"/>
  <c r="Y472" i="4"/>
  <c r="AO471" i="4"/>
  <c r="AF471" i="4"/>
  <c r="AH471" i="4" s="1"/>
  <c r="Z471" i="4"/>
  <c r="Y471" i="4"/>
  <c r="AO470" i="4"/>
  <c r="AF470" i="4"/>
  <c r="AH470" i="4" s="1"/>
  <c r="Z470" i="4"/>
  <c r="Y470" i="4"/>
  <c r="AO469" i="4"/>
  <c r="AF469" i="4"/>
  <c r="AH469" i="4" s="1"/>
  <c r="Z469" i="4"/>
  <c r="Y469" i="4"/>
  <c r="AO468" i="4"/>
  <c r="AF468" i="4"/>
  <c r="AH468" i="4" s="1"/>
  <c r="Z468" i="4"/>
  <c r="Y468" i="4"/>
  <c r="AO467" i="4"/>
  <c r="AF467" i="4"/>
  <c r="AH467" i="4" s="1"/>
  <c r="Z467" i="4"/>
  <c r="AA467" i="4" s="1"/>
  <c r="Y467" i="4"/>
  <c r="AO466" i="4"/>
  <c r="AF466" i="4"/>
  <c r="AH466" i="4" s="1"/>
  <c r="Z466" i="4"/>
  <c r="AA466" i="4" s="1"/>
  <c r="Y466" i="4"/>
  <c r="AO465" i="4"/>
  <c r="AF465" i="4"/>
  <c r="AH465" i="4" s="1"/>
  <c r="Z465" i="4"/>
  <c r="AA465" i="4" s="1"/>
  <c r="Y465" i="4"/>
  <c r="AO464" i="4"/>
  <c r="AF464" i="4"/>
  <c r="AH464" i="4" s="1"/>
  <c r="Z464" i="4"/>
  <c r="Y464" i="4"/>
  <c r="AO463" i="4"/>
  <c r="AF463" i="4"/>
  <c r="AH463" i="4" s="1"/>
  <c r="Z463" i="4"/>
  <c r="Y463" i="4"/>
  <c r="AO462" i="4"/>
  <c r="AF462" i="4"/>
  <c r="AH462" i="4" s="1"/>
  <c r="Z462" i="4"/>
  <c r="AA462" i="4" s="1"/>
  <c r="Y462" i="4"/>
  <c r="AO461" i="4"/>
  <c r="AF461" i="4"/>
  <c r="AH461" i="4" s="1"/>
  <c r="Z461" i="4"/>
  <c r="Y461" i="4"/>
  <c r="AO460" i="4"/>
  <c r="AF460" i="4"/>
  <c r="AH460" i="4" s="1"/>
  <c r="Z460" i="4"/>
  <c r="Y460" i="4"/>
  <c r="AO459" i="4"/>
  <c r="AF459" i="4"/>
  <c r="AH459" i="4" s="1"/>
  <c r="Z459" i="4"/>
  <c r="AA459" i="4" s="1"/>
  <c r="Y459" i="4"/>
  <c r="AO458" i="4"/>
  <c r="AF458" i="4"/>
  <c r="AH458" i="4" s="1"/>
  <c r="Z458" i="4"/>
  <c r="Y458" i="4"/>
  <c r="AO457" i="4"/>
  <c r="AF457" i="4"/>
  <c r="AH457" i="4" s="1"/>
  <c r="Z457" i="4"/>
  <c r="Y457" i="4"/>
  <c r="AO456" i="4"/>
  <c r="AF456" i="4"/>
  <c r="AH456" i="4" s="1"/>
  <c r="Z456" i="4"/>
  <c r="Y456" i="4"/>
  <c r="AO455" i="4"/>
  <c r="AF455" i="4"/>
  <c r="AH455" i="4" s="1"/>
  <c r="Z455" i="4"/>
  <c r="Y455" i="4"/>
  <c r="AO454" i="4"/>
  <c r="AF454" i="4"/>
  <c r="AH454" i="4" s="1"/>
  <c r="Z454" i="4"/>
  <c r="AA454" i="4" s="1"/>
  <c r="Y454" i="4"/>
  <c r="AO453" i="4"/>
  <c r="AF453" i="4"/>
  <c r="AH453" i="4" s="1"/>
  <c r="Z453" i="4"/>
  <c r="Y453" i="4"/>
  <c r="AO452" i="4"/>
  <c r="AF452" i="4"/>
  <c r="AH452" i="4" s="1"/>
  <c r="Z452" i="4"/>
  <c r="Y452" i="4"/>
  <c r="AO451" i="4"/>
  <c r="AF451" i="4"/>
  <c r="AH451" i="4" s="1"/>
  <c r="Z451" i="4"/>
  <c r="AA451" i="4" s="1"/>
  <c r="Y451" i="4"/>
  <c r="AO450" i="4"/>
  <c r="AF450" i="4"/>
  <c r="AH450" i="4" s="1"/>
  <c r="Z450" i="4"/>
  <c r="Y450" i="4"/>
  <c r="AO449" i="4"/>
  <c r="AF449" i="4"/>
  <c r="AH449" i="4" s="1"/>
  <c r="Z449" i="4"/>
  <c r="Y449" i="4"/>
  <c r="AO448" i="4"/>
  <c r="AF448" i="4"/>
  <c r="AH448" i="4" s="1"/>
  <c r="Z448" i="4"/>
  <c r="Y448" i="4"/>
  <c r="AO447" i="4"/>
  <c r="AF447" i="4"/>
  <c r="AH447" i="4" s="1"/>
  <c r="Z447" i="4"/>
  <c r="Y447" i="4"/>
  <c r="AO446" i="4"/>
  <c r="AF446" i="4"/>
  <c r="AH446" i="4" s="1"/>
  <c r="Z446" i="4"/>
  <c r="Y446" i="4"/>
  <c r="AO445" i="4"/>
  <c r="AF445" i="4"/>
  <c r="AH445" i="4" s="1"/>
  <c r="Z445" i="4"/>
  <c r="Y445" i="4"/>
  <c r="AO444" i="4"/>
  <c r="AF444" i="4"/>
  <c r="AH444" i="4" s="1"/>
  <c r="Z444" i="4"/>
  <c r="AA444" i="4" s="1"/>
  <c r="Y444" i="4"/>
  <c r="AO443" i="4"/>
  <c r="AF443" i="4"/>
  <c r="AH443" i="4" s="1"/>
  <c r="Z443" i="4"/>
  <c r="Y443" i="4"/>
  <c r="AO442" i="4"/>
  <c r="AF442" i="4"/>
  <c r="AH442" i="4" s="1"/>
  <c r="Z442" i="4"/>
  <c r="Y442" i="4"/>
  <c r="AO441" i="4"/>
  <c r="AF441" i="4"/>
  <c r="AH441" i="4" s="1"/>
  <c r="Z441" i="4"/>
  <c r="AA441" i="4" s="1"/>
  <c r="Y441" i="4"/>
  <c r="AO440" i="4"/>
  <c r="AF440" i="4"/>
  <c r="AH440" i="4" s="1"/>
  <c r="Z440" i="4"/>
  <c r="AA440" i="4" s="1"/>
  <c r="Y440" i="4"/>
  <c r="AO439" i="4"/>
  <c r="AF439" i="4"/>
  <c r="AH439" i="4" s="1"/>
  <c r="Z439" i="4"/>
  <c r="AA439" i="4" s="1"/>
  <c r="Y439" i="4"/>
  <c r="AO438" i="4"/>
  <c r="AF438" i="4"/>
  <c r="AH438" i="4" s="1"/>
  <c r="Z438" i="4"/>
  <c r="Y438" i="4"/>
  <c r="AO437" i="4"/>
  <c r="AF437" i="4"/>
  <c r="AH437" i="4" s="1"/>
  <c r="Z437" i="4"/>
  <c r="AA437" i="4" s="1"/>
  <c r="Y437" i="4"/>
  <c r="AO436" i="4"/>
  <c r="AF436" i="4"/>
  <c r="AH436" i="4" s="1"/>
  <c r="Z436" i="4"/>
  <c r="Y436" i="4"/>
  <c r="AO435" i="4"/>
  <c r="AF435" i="4"/>
  <c r="AH435" i="4" s="1"/>
  <c r="Z435" i="4"/>
  <c r="Y435" i="4"/>
  <c r="AO434" i="4"/>
  <c r="AF434" i="4"/>
  <c r="AH434" i="4" s="1"/>
  <c r="Z434" i="4"/>
  <c r="Y434" i="4"/>
  <c r="AO433" i="4"/>
  <c r="AF433" i="4"/>
  <c r="AH433" i="4" s="1"/>
  <c r="Z433" i="4"/>
  <c r="Y433" i="4"/>
  <c r="AO432" i="4"/>
  <c r="AF432" i="4"/>
  <c r="AH432" i="4" s="1"/>
  <c r="Z432" i="4"/>
  <c r="Y432" i="4"/>
  <c r="AO431" i="4"/>
  <c r="AF431" i="4"/>
  <c r="AH431" i="4" s="1"/>
  <c r="Z431" i="4"/>
  <c r="Y431" i="4"/>
  <c r="AO430" i="4"/>
  <c r="AF430" i="4"/>
  <c r="AH430" i="4" s="1"/>
  <c r="Z430" i="4"/>
  <c r="Y430" i="4"/>
  <c r="AO429" i="4"/>
  <c r="AF429" i="4"/>
  <c r="AH429" i="4" s="1"/>
  <c r="Z429" i="4"/>
  <c r="Y429" i="4"/>
  <c r="AO428" i="4"/>
  <c r="AF428" i="4"/>
  <c r="AH428" i="4" s="1"/>
  <c r="Z428" i="4"/>
  <c r="Y428" i="4"/>
  <c r="AO427" i="4"/>
  <c r="AF427" i="4"/>
  <c r="AH427" i="4" s="1"/>
  <c r="Z427" i="4"/>
  <c r="AA427" i="4" s="1"/>
  <c r="Y427" i="4"/>
  <c r="AO426" i="4"/>
  <c r="AF426" i="4"/>
  <c r="AH426" i="4" s="1"/>
  <c r="Z426" i="4"/>
  <c r="Y426" i="4"/>
  <c r="AO425" i="4"/>
  <c r="AF425" i="4"/>
  <c r="AH425" i="4" s="1"/>
  <c r="Z425" i="4"/>
  <c r="Y425" i="4"/>
  <c r="AO424" i="4"/>
  <c r="AF424" i="4"/>
  <c r="AH424" i="4" s="1"/>
  <c r="Z424" i="4"/>
  <c r="Y424" i="4"/>
  <c r="AO423" i="4"/>
  <c r="AF423" i="4"/>
  <c r="AH423" i="4" s="1"/>
  <c r="Z423" i="4"/>
  <c r="AA423" i="4" s="1"/>
  <c r="Y423" i="4"/>
  <c r="AO422" i="4"/>
  <c r="AF422" i="4"/>
  <c r="AH422" i="4" s="1"/>
  <c r="Z422" i="4"/>
  <c r="Y422" i="4"/>
  <c r="AO421" i="4"/>
  <c r="AF421" i="4"/>
  <c r="AH421" i="4" s="1"/>
  <c r="Z421" i="4"/>
  <c r="Y421" i="4"/>
  <c r="AO420" i="4"/>
  <c r="AF420" i="4"/>
  <c r="AH420" i="4" s="1"/>
  <c r="Z420" i="4"/>
  <c r="Y420" i="4"/>
  <c r="AO419" i="4"/>
  <c r="AF419" i="4"/>
  <c r="AH419" i="4" s="1"/>
  <c r="Z419" i="4"/>
  <c r="Y419" i="4"/>
  <c r="AO418" i="4"/>
  <c r="AF418" i="4"/>
  <c r="AH418" i="4" s="1"/>
  <c r="Z418" i="4"/>
  <c r="AA418" i="4" s="1"/>
  <c r="Y418" i="4"/>
  <c r="AO417" i="4"/>
  <c r="AF417" i="4"/>
  <c r="AH417" i="4" s="1"/>
  <c r="Z417" i="4"/>
  <c r="AA417" i="4" s="1"/>
  <c r="Y417" i="4"/>
  <c r="AO416" i="4"/>
  <c r="AF416" i="4"/>
  <c r="AH416" i="4" s="1"/>
  <c r="Z416" i="4"/>
  <c r="Y416" i="4"/>
  <c r="AO415" i="4"/>
  <c r="AF415" i="4"/>
  <c r="AH415" i="4" s="1"/>
  <c r="Z415" i="4"/>
  <c r="Y415" i="4"/>
  <c r="AO414" i="4"/>
  <c r="AF414" i="4"/>
  <c r="AH414" i="4" s="1"/>
  <c r="Z414" i="4"/>
  <c r="AA414" i="4" s="1"/>
  <c r="Y414" i="4"/>
  <c r="AO413" i="4"/>
  <c r="AF413" i="4"/>
  <c r="AH413" i="4" s="1"/>
  <c r="Z413" i="4"/>
  <c r="AA413" i="4" s="1"/>
  <c r="Y413" i="4"/>
  <c r="AO412" i="4"/>
  <c r="AF412" i="4"/>
  <c r="AH412" i="4" s="1"/>
  <c r="Z412" i="4"/>
  <c r="AA412" i="4" s="1"/>
  <c r="Y412" i="4"/>
  <c r="AO411" i="4"/>
  <c r="AF411" i="4"/>
  <c r="AH411" i="4" s="1"/>
  <c r="Z411" i="4"/>
  <c r="Y411" i="4"/>
  <c r="AO410" i="4"/>
  <c r="AF410" i="4"/>
  <c r="AH410" i="4" s="1"/>
  <c r="Z410" i="4"/>
  <c r="AA410" i="4" s="1"/>
  <c r="Y410" i="4"/>
  <c r="AO409" i="4"/>
  <c r="AF409" i="4"/>
  <c r="AH409" i="4" s="1"/>
  <c r="Z409" i="4"/>
  <c r="Y409" i="4"/>
  <c r="AO408" i="4"/>
  <c r="AF408" i="4"/>
  <c r="AH408" i="4" s="1"/>
  <c r="Z408" i="4"/>
  <c r="Y408" i="4"/>
  <c r="AO407" i="4"/>
  <c r="AF407" i="4"/>
  <c r="AH407" i="4" s="1"/>
  <c r="Z407" i="4"/>
  <c r="Y407" i="4"/>
  <c r="AO406" i="4"/>
  <c r="AF406" i="4"/>
  <c r="AH406" i="4" s="1"/>
  <c r="Z406" i="4"/>
  <c r="AA406" i="4" s="1"/>
  <c r="Y406" i="4"/>
  <c r="AO405" i="4"/>
  <c r="AF405" i="4"/>
  <c r="AH405" i="4" s="1"/>
  <c r="Z405" i="4"/>
  <c r="Y405" i="4"/>
  <c r="AO404" i="4"/>
  <c r="AF404" i="4"/>
  <c r="AH404" i="4" s="1"/>
  <c r="Z404" i="4"/>
  <c r="AA404" i="4" s="1"/>
  <c r="Y404" i="4"/>
  <c r="AO403" i="4"/>
  <c r="AF403" i="4"/>
  <c r="AH403" i="4" s="1"/>
  <c r="Z403" i="4"/>
  <c r="Y403" i="4"/>
  <c r="AO402" i="4"/>
  <c r="AF402" i="4"/>
  <c r="AH402" i="4" s="1"/>
  <c r="Z402" i="4"/>
  <c r="AA402" i="4" s="1"/>
  <c r="Y402" i="4"/>
  <c r="AO401" i="4"/>
  <c r="AF401" i="4"/>
  <c r="AH401" i="4" s="1"/>
  <c r="Z401" i="4"/>
  <c r="AA401" i="4" s="1"/>
  <c r="Y401" i="4"/>
  <c r="AO400" i="4"/>
  <c r="AF400" i="4"/>
  <c r="AH400" i="4" s="1"/>
  <c r="Z400" i="4"/>
  <c r="AA400" i="4" s="1"/>
  <c r="Y400" i="4"/>
  <c r="AO399" i="4"/>
  <c r="AF399" i="4"/>
  <c r="AH399" i="4" s="1"/>
  <c r="Z399" i="4"/>
  <c r="Y399" i="4"/>
  <c r="AO398" i="4"/>
  <c r="AF398" i="4"/>
  <c r="AH398" i="4" s="1"/>
  <c r="Z398" i="4"/>
  <c r="Y398" i="4"/>
  <c r="AO397" i="4"/>
  <c r="AF397" i="4"/>
  <c r="AH397" i="4" s="1"/>
  <c r="Z397" i="4"/>
  <c r="Y397" i="4"/>
  <c r="AO396" i="4"/>
  <c r="AF396" i="4"/>
  <c r="AH396" i="4" s="1"/>
  <c r="Z396" i="4"/>
  <c r="Y396" i="4"/>
  <c r="AO395" i="4"/>
  <c r="AF395" i="4"/>
  <c r="AH395" i="4" s="1"/>
  <c r="Z395" i="4"/>
  <c r="Y395" i="4"/>
  <c r="AO394" i="4"/>
  <c r="AF394" i="4"/>
  <c r="AH394" i="4" s="1"/>
  <c r="Z394" i="4"/>
  <c r="Y394" i="4"/>
  <c r="AO393" i="4"/>
  <c r="AF393" i="4"/>
  <c r="AH393" i="4" s="1"/>
  <c r="Z393" i="4"/>
  <c r="Y393" i="4"/>
  <c r="AO392" i="4"/>
  <c r="AF392" i="4"/>
  <c r="AH392" i="4" s="1"/>
  <c r="Z392" i="4"/>
  <c r="AA392" i="4" s="1"/>
  <c r="Y392" i="4"/>
  <c r="AO391" i="4"/>
  <c r="AF391" i="4"/>
  <c r="AH391" i="4" s="1"/>
  <c r="Z391" i="4"/>
  <c r="Y391" i="4"/>
  <c r="AO390" i="4"/>
  <c r="AF390" i="4"/>
  <c r="AH390" i="4" s="1"/>
  <c r="Z390" i="4"/>
  <c r="AA390" i="4" s="1"/>
  <c r="Y390" i="4"/>
  <c r="AO389" i="4"/>
  <c r="AF389" i="4"/>
  <c r="AH389" i="4" s="1"/>
  <c r="Z389" i="4"/>
  <c r="Y389" i="4"/>
  <c r="AO388" i="4"/>
  <c r="AF388" i="4"/>
  <c r="AH388" i="4" s="1"/>
  <c r="Z388" i="4"/>
  <c r="Y388" i="4"/>
  <c r="AO387" i="4"/>
  <c r="AF387" i="4"/>
  <c r="AH387" i="4" s="1"/>
  <c r="Z387" i="4"/>
  <c r="Y387" i="4"/>
  <c r="AO386" i="4"/>
  <c r="AF386" i="4"/>
  <c r="AH386" i="4" s="1"/>
  <c r="Z386" i="4"/>
  <c r="AA386" i="4" s="1"/>
  <c r="Y386" i="4"/>
  <c r="AO385" i="4"/>
  <c r="AF385" i="4"/>
  <c r="AH385" i="4" s="1"/>
  <c r="Z385" i="4"/>
  <c r="Y385" i="4"/>
  <c r="AO384" i="4"/>
  <c r="AF384" i="4"/>
  <c r="AH384" i="4" s="1"/>
  <c r="Z384" i="4"/>
  <c r="Y384" i="4"/>
  <c r="AO383" i="4"/>
  <c r="AF383" i="4"/>
  <c r="AH383" i="4" s="1"/>
  <c r="Z383" i="4"/>
  <c r="Y383" i="4"/>
  <c r="AO382" i="4"/>
  <c r="AF382" i="4"/>
  <c r="AH382" i="4" s="1"/>
  <c r="Z382" i="4"/>
  <c r="AA382" i="4" s="1"/>
  <c r="Y382" i="4"/>
  <c r="AO381" i="4"/>
  <c r="AF381" i="4"/>
  <c r="AH381" i="4" s="1"/>
  <c r="Z381" i="4"/>
  <c r="AA381" i="4" s="1"/>
  <c r="Y381" i="4"/>
  <c r="AO380" i="4"/>
  <c r="AF380" i="4"/>
  <c r="AH380" i="4" s="1"/>
  <c r="Z380" i="4"/>
  <c r="AA380" i="4" s="1"/>
  <c r="Y380" i="4"/>
  <c r="AO379" i="4"/>
  <c r="AF379" i="4"/>
  <c r="AH379" i="4" s="1"/>
  <c r="Z379" i="4"/>
  <c r="Y379" i="4"/>
  <c r="AO378" i="4"/>
  <c r="AF378" i="4"/>
  <c r="AH378" i="4" s="1"/>
  <c r="Z378" i="4"/>
  <c r="AA378" i="4" s="1"/>
  <c r="Y378" i="4"/>
  <c r="AO377" i="4"/>
  <c r="AF377" i="4"/>
  <c r="AH377" i="4" s="1"/>
  <c r="Z377" i="4"/>
  <c r="Y377" i="4"/>
  <c r="AO376" i="4"/>
  <c r="AF376" i="4"/>
  <c r="AH376" i="4" s="1"/>
  <c r="Z376" i="4"/>
  <c r="Y376" i="4"/>
  <c r="AO375" i="4"/>
  <c r="AF375" i="4"/>
  <c r="AH375" i="4" s="1"/>
  <c r="Z375" i="4"/>
  <c r="Y375" i="4"/>
  <c r="AO374" i="4"/>
  <c r="AF374" i="4"/>
  <c r="AH374" i="4" s="1"/>
  <c r="Z374" i="4"/>
  <c r="AA374" i="4" s="1"/>
  <c r="Y374" i="4"/>
  <c r="AO373" i="4"/>
  <c r="AF373" i="4"/>
  <c r="AH373" i="4" s="1"/>
  <c r="Z373" i="4"/>
  <c r="AA373" i="4" s="1"/>
  <c r="Y373" i="4"/>
  <c r="AO372" i="4"/>
  <c r="AF372" i="4"/>
  <c r="AH372" i="4" s="1"/>
  <c r="Z372" i="4"/>
  <c r="AA372" i="4" s="1"/>
  <c r="Y372" i="4"/>
  <c r="AO371" i="4"/>
  <c r="AF371" i="4"/>
  <c r="AH371" i="4" s="1"/>
  <c r="Z371" i="4"/>
  <c r="AA371" i="4" s="1"/>
  <c r="Y371" i="4"/>
  <c r="AO370" i="4"/>
  <c r="AF370" i="4"/>
  <c r="AH370" i="4" s="1"/>
  <c r="Z370" i="4"/>
  <c r="Y370" i="4"/>
  <c r="AO369" i="4"/>
  <c r="AF369" i="4"/>
  <c r="AH369" i="4" s="1"/>
  <c r="Z369" i="4"/>
  <c r="Y369" i="4"/>
  <c r="AO368" i="4"/>
  <c r="AF368" i="4"/>
  <c r="AH368" i="4" s="1"/>
  <c r="Z368" i="4"/>
  <c r="Y368" i="4"/>
  <c r="AO367" i="4"/>
  <c r="AF367" i="4"/>
  <c r="AH367" i="4" s="1"/>
  <c r="Z367" i="4"/>
  <c r="Y367" i="4"/>
  <c r="AO366" i="4"/>
  <c r="AF366" i="4"/>
  <c r="AH366" i="4" s="1"/>
  <c r="Z366" i="4"/>
  <c r="Y366" i="4"/>
  <c r="AO365" i="4"/>
  <c r="AF365" i="4"/>
  <c r="AH365" i="4" s="1"/>
  <c r="Z365" i="4"/>
  <c r="Y365" i="4"/>
  <c r="AO364" i="4"/>
  <c r="AF364" i="4"/>
  <c r="AH364" i="4" s="1"/>
  <c r="Z364" i="4"/>
  <c r="AA364" i="4" s="1"/>
  <c r="Y364" i="4"/>
  <c r="AO363" i="4"/>
  <c r="AF363" i="4"/>
  <c r="AH363" i="4" s="1"/>
  <c r="Z363" i="4"/>
  <c r="Y363" i="4"/>
  <c r="AO362" i="4"/>
  <c r="AF362" i="4"/>
  <c r="AH362" i="4" s="1"/>
  <c r="Z362" i="4"/>
  <c r="Y362" i="4"/>
  <c r="AO361" i="4"/>
  <c r="AF361" i="4"/>
  <c r="AH361" i="4" s="1"/>
  <c r="Z361" i="4"/>
  <c r="Y361" i="4"/>
  <c r="AO360" i="4"/>
  <c r="AF360" i="4"/>
  <c r="AH360" i="4" s="1"/>
  <c r="Z360" i="4"/>
  <c r="AA360" i="4" s="1"/>
  <c r="Y360" i="4"/>
  <c r="AO359" i="4"/>
  <c r="AF359" i="4"/>
  <c r="AH359" i="4" s="1"/>
  <c r="Z359" i="4"/>
  <c r="Y359" i="4"/>
  <c r="AO358" i="4"/>
  <c r="AF358" i="4"/>
  <c r="AH358" i="4" s="1"/>
  <c r="Z358" i="4"/>
  <c r="Y358" i="4"/>
  <c r="AO357" i="4"/>
  <c r="AF357" i="4"/>
  <c r="AH357" i="4" s="1"/>
  <c r="Z357" i="4"/>
  <c r="AA357" i="4" s="1"/>
  <c r="Y357" i="4"/>
  <c r="AO356" i="4"/>
  <c r="AF356" i="4"/>
  <c r="AH356" i="4" s="1"/>
  <c r="Z356" i="4"/>
  <c r="Y356" i="4"/>
  <c r="AO355" i="4"/>
  <c r="AF355" i="4"/>
  <c r="AH355" i="4" s="1"/>
  <c r="Z355" i="4"/>
  <c r="Y355" i="4"/>
  <c r="AO354" i="4"/>
  <c r="AF354" i="4"/>
  <c r="AH354" i="4" s="1"/>
  <c r="Z354" i="4"/>
  <c r="Y354" i="4"/>
  <c r="AO353" i="4"/>
  <c r="AF353" i="4"/>
  <c r="AH353" i="4" s="1"/>
  <c r="Z353" i="4"/>
  <c r="Y353" i="4"/>
  <c r="AO352" i="4"/>
  <c r="AF352" i="4"/>
  <c r="AH352" i="4" s="1"/>
  <c r="Z352" i="4"/>
  <c r="Y352" i="4"/>
  <c r="AO351" i="4"/>
  <c r="AF351" i="4"/>
  <c r="AH351" i="4" s="1"/>
  <c r="Z351" i="4"/>
  <c r="Y351" i="4"/>
  <c r="AO350" i="4"/>
  <c r="AF350" i="4"/>
  <c r="AH350" i="4" s="1"/>
  <c r="Z350" i="4"/>
  <c r="Y350" i="4"/>
  <c r="AO349" i="4"/>
  <c r="AF349" i="4"/>
  <c r="AH349" i="4" s="1"/>
  <c r="Z349" i="4"/>
  <c r="Y349" i="4"/>
  <c r="AO348" i="4"/>
  <c r="AF348" i="4"/>
  <c r="AH348" i="4" s="1"/>
  <c r="Z348" i="4"/>
  <c r="Y348" i="4"/>
  <c r="AO347" i="4"/>
  <c r="AF347" i="4"/>
  <c r="AH347" i="4" s="1"/>
  <c r="Z347" i="4"/>
  <c r="AA347" i="4" s="1"/>
  <c r="Y347" i="4"/>
  <c r="AO346" i="4"/>
  <c r="AF346" i="4"/>
  <c r="AH346" i="4" s="1"/>
  <c r="Z346" i="4"/>
  <c r="Y346" i="4"/>
  <c r="AO345" i="4"/>
  <c r="AF345" i="4"/>
  <c r="AH345" i="4" s="1"/>
  <c r="Z345" i="4"/>
  <c r="AA345" i="4" s="1"/>
  <c r="Y345" i="4"/>
  <c r="AO344" i="4"/>
  <c r="AF344" i="4"/>
  <c r="AH344" i="4" s="1"/>
  <c r="Z344" i="4"/>
  <c r="Y344" i="4"/>
  <c r="AO343" i="4"/>
  <c r="AF343" i="4"/>
  <c r="AH343" i="4" s="1"/>
  <c r="Z343" i="4"/>
  <c r="Y343" i="4"/>
  <c r="AO342" i="4"/>
  <c r="AF342" i="4"/>
  <c r="AH342" i="4" s="1"/>
  <c r="Z342" i="4"/>
  <c r="Y342" i="4"/>
  <c r="AO341" i="4"/>
  <c r="AF341" i="4"/>
  <c r="AH341" i="4" s="1"/>
  <c r="Z341" i="4"/>
  <c r="AA341" i="4" s="1"/>
  <c r="Y341" i="4"/>
  <c r="AO340" i="4"/>
  <c r="AF340" i="4"/>
  <c r="AH340" i="4" s="1"/>
  <c r="Z340" i="4"/>
  <c r="Y340" i="4"/>
  <c r="AO339" i="4"/>
  <c r="AF339" i="4"/>
  <c r="AH339" i="4" s="1"/>
  <c r="Z339" i="4"/>
  <c r="Y339" i="4"/>
  <c r="AO338" i="4"/>
  <c r="AF338" i="4"/>
  <c r="AH338" i="4" s="1"/>
  <c r="Z338" i="4"/>
  <c r="Y338" i="4"/>
  <c r="AO337" i="4"/>
  <c r="AF337" i="4"/>
  <c r="AH337" i="4" s="1"/>
  <c r="Z337" i="4"/>
  <c r="Y337" i="4"/>
  <c r="AO336" i="4"/>
  <c r="AF336" i="4"/>
  <c r="AH336" i="4" s="1"/>
  <c r="Z336" i="4"/>
  <c r="Y336" i="4"/>
  <c r="AO335" i="4"/>
  <c r="AF335" i="4"/>
  <c r="AH335" i="4" s="1"/>
  <c r="Z335" i="4"/>
  <c r="Y335" i="4"/>
  <c r="AO334" i="4"/>
  <c r="AF334" i="4"/>
  <c r="AH334" i="4" s="1"/>
  <c r="Z334" i="4"/>
  <c r="AA334" i="4" s="1"/>
  <c r="Y334" i="4"/>
  <c r="AO333" i="4"/>
  <c r="AF333" i="4"/>
  <c r="AH333" i="4" s="1"/>
  <c r="Z333" i="4"/>
  <c r="Y333" i="4"/>
  <c r="AO332" i="4"/>
  <c r="AF332" i="4"/>
  <c r="AH332" i="4" s="1"/>
  <c r="Z332" i="4"/>
  <c r="Y332" i="4"/>
  <c r="AO331" i="4"/>
  <c r="AF331" i="4"/>
  <c r="AH331" i="4" s="1"/>
  <c r="Z331" i="4"/>
  <c r="Y331" i="4"/>
  <c r="AO330" i="4"/>
  <c r="AF330" i="4"/>
  <c r="AH330" i="4" s="1"/>
  <c r="Z330" i="4"/>
  <c r="Y330" i="4"/>
  <c r="AO329" i="4"/>
  <c r="AF329" i="4"/>
  <c r="AH329" i="4" s="1"/>
  <c r="Z329" i="4"/>
  <c r="Y329" i="4"/>
  <c r="AO328" i="4"/>
  <c r="AF328" i="4"/>
  <c r="AH328" i="4" s="1"/>
  <c r="Z328" i="4"/>
  <c r="Y328" i="4"/>
  <c r="AO327" i="4"/>
  <c r="AF327" i="4"/>
  <c r="AH327" i="4" s="1"/>
  <c r="Z327" i="4"/>
  <c r="Y327" i="4"/>
  <c r="AO326" i="4"/>
  <c r="AF326" i="4"/>
  <c r="AH326" i="4" s="1"/>
  <c r="Z326" i="4"/>
  <c r="Y326" i="4"/>
  <c r="AO325" i="4"/>
  <c r="AF325" i="4"/>
  <c r="AH325" i="4" s="1"/>
  <c r="Z325" i="4"/>
  <c r="AA325" i="4" s="1"/>
  <c r="Y325" i="4"/>
  <c r="AO324" i="4"/>
  <c r="AF324" i="4"/>
  <c r="AH324" i="4" s="1"/>
  <c r="Z324" i="4"/>
  <c r="Y324" i="4"/>
  <c r="AO323" i="4"/>
  <c r="AF323" i="4"/>
  <c r="AH323" i="4" s="1"/>
  <c r="Z323" i="4"/>
  <c r="Y323" i="4"/>
  <c r="AO322" i="4"/>
  <c r="AF322" i="4"/>
  <c r="AH322" i="4" s="1"/>
  <c r="Z322" i="4"/>
  <c r="Y322" i="4"/>
  <c r="AO321" i="4"/>
  <c r="AF321" i="4"/>
  <c r="AH321" i="4" s="1"/>
  <c r="Z321" i="4"/>
  <c r="Y321" i="4"/>
  <c r="AO320" i="4"/>
  <c r="AF320" i="4"/>
  <c r="AH320" i="4" s="1"/>
  <c r="Z320" i="4"/>
  <c r="Y320" i="4"/>
  <c r="AO319" i="4"/>
  <c r="AF319" i="4"/>
  <c r="AH319" i="4" s="1"/>
  <c r="Z319" i="4"/>
  <c r="Y319" i="4"/>
  <c r="AO318" i="4"/>
  <c r="AF318" i="4"/>
  <c r="AH318" i="4" s="1"/>
  <c r="Z318" i="4"/>
  <c r="AA318" i="4" s="1"/>
  <c r="Y318" i="4"/>
  <c r="AO317" i="4"/>
  <c r="AF317" i="4"/>
  <c r="AH317" i="4" s="1"/>
  <c r="Z317" i="4"/>
  <c r="Y317" i="4"/>
  <c r="AO316" i="4"/>
  <c r="AF316" i="4"/>
  <c r="AH316" i="4" s="1"/>
  <c r="Z316" i="4"/>
  <c r="Y316" i="4"/>
  <c r="AO315" i="4"/>
  <c r="AF315" i="4"/>
  <c r="AH315" i="4" s="1"/>
  <c r="Z315" i="4"/>
  <c r="Y315" i="4"/>
  <c r="AO314" i="4"/>
  <c r="AF314" i="4"/>
  <c r="AH314" i="4" s="1"/>
  <c r="Z314" i="4"/>
  <c r="Y314" i="4"/>
  <c r="AO313" i="4"/>
  <c r="AF313" i="4"/>
  <c r="AH313" i="4" s="1"/>
  <c r="Z313" i="4"/>
  <c r="AA313" i="4" s="1"/>
  <c r="Y313" i="4"/>
  <c r="AO312" i="4"/>
  <c r="AF312" i="4"/>
  <c r="AH312" i="4" s="1"/>
  <c r="Z312" i="4"/>
  <c r="Y312" i="4"/>
  <c r="AO311" i="4"/>
  <c r="AF311" i="4"/>
  <c r="AH311" i="4" s="1"/>
  <c r="Z311" i="4"/>
  <c r="Y311" i="4"/>
  <c r="AO310" i="4"/>
  <c r="AF310" i="4"/>
  <c r="AH310" i="4" s="1"/>
  <c r="Z310" i="4"/>
  <c r="AA310" i="4" s="1"/>
  <c r="Y310" i="4"/>
  <c r="AO309" i="4"/>
  <c r="AF309" i="4"/>
  <c r="AH309" i="4" s="1"/>
  <c r="Z309" i="4"/>
  <c r="Y309" i="4"/>
  <c r="AO308" i="4"/>
  <c r="AF308" i="4"/>
  <c r="AH308" i="4" s="1"/>
  <c r="Z308" i="4"/>
  <c r="Y308" i="4"/>
  <c r="AO307" i="4"/>
  <c r="AF307" i="4"/>
  <c r="AH307" i="4" s="1"/>
  <c r="Z307" i="4"/>
  <c r="Y307" i="4"/>
  <c r="AO306" i="4"/>
  <c r="AF306" i="4"/>
  <c r="AH306" i="4" s="1"/>
  <c r="Z306" i="4"/>
  <c r="Y306" i="4"/>
  <c r="AO305" i="4"/>
  <c r="AF305" i="4"/>
  <c r="AH305" i="4" s="1"/>
  <c r="Z305" i="4"/>
  <c r="Y305" i="4"/>
  <c r="AO304" i="4"/>
  <c r="AF304" i="4"/>
  <c r="AH304" i="4" s="1"/>
  <c r="Z304" i="4"/>
  <c r="AA304" i="4" s="1"/>
  <c r="Y304" i="4"/>
  <c r="AO303" i="4"/>
  <c r="AF303" i="4"/>
  <c r="AH303" i="4" s="1"/>
  <c r="Z303" i="4"/>
  <c r="AA303" i="4" s="1"/>
  <c r="Y303" i="4"/>
  <c r="AO302" i="4"/>
  <c r="AF302" i="4"/>
  <c r="AH302" i="4" s="1"/>
  <c r="Z302" i="4"/>
  <c r="Y302" i="4"/>
  <c r="AO301" i="4"/>
  <c r="AF301" i="4"/>
  <c r="AH301" i="4" s="1"/>
  <c r="Z301" i="4"/>
  <c r="Y301" i="4"/>
  <c r="AO300" i="4"/>
  <c r="AF300" i="4"/>
  <c r="AH300" i="4" s="1"/>
  <c r="Z300" i="4"/>
  <c r="Y300" i="4"/>
  <c r="AO299" i="4"/>
  <c r="AF299" i="4"/>
  <c r="AH299" i="4" s="1"/>
  <c r="Z299" i="4"/>
  <c r="Y299" i="4"/>
  <c r="AO298" i="4"/>
  <c r="AF298" i="4"/>
  <c r="AH298" i="4" s="1"/>
  <c r="Z298" i="4"/>
  <c r="Y298" i="4"/>
  <c r="AO297" i="4"/>
  <c r="AF297" i="4"/>
  <c r="AH297" i="4" s="1"/>
  <c r="Z297" i="4"/>
  <c r="Y297" i="4"/>
  <c r="AO296" i="4"/>
  <c r="AF296" i="4"/>
  <c r="AH296" i="4" s="1"/>
  <c r="Z296" i="4"/>
  <c r="Y296" i="4"/>
  <c r="AO295" i="4"/>
  <c r="AF295" i="4"/>
  <c r="AH295" i="4" s="1"/>
  <c r="Z295" i="4"/>
  <c r="AA295" i="4" s="1"/>
  <c r="Y295" i="4"/>
  <c r="AO294" i="4"/>
  <c r="AF294" i="4"/>
  <c r="AH294" i="4" s="1"/>
  <c r="Z294" i="4"/>
  <c r="Y294" i="4"/>
  <c r="AO293" i="4"/>
  <c r="AF293" i="4"/>
  <c r="AH293" i="4" s="1"/>
  <c r="Z293" i="4"/>
  <c r="AA293" i="4" s="1"/>
  <c r="Y293" i="4"/>
  <c r="AO292" i="4"/>
  <c r="AF292" i="4"/>
  <c r="AH292" i="4" s="1"/>
  <c r="Z292" i="4"/>
  <c r="Y292" i="4"/>
  <c r="AO291" i="4"/>
  <c r="AF291" i="4"/>
  <c r="AH291" i="4" s="1"/>
  <c r="Z291" i="4"/>
  <c r="Y291" i="4"/>
  <c r="AO290" i="4"/>
  <c r="AF290" i="4"/>
  <c r="AH290" i="4" s="1"/>
  <c r="Z290" i="4"/>
  <c r="Y290" i="4"/>
  <c r="AO289" i="4"/>
  <c r="AF289" i="4"/>
  <c r="AH289" i="4" s="1"/>
  <c r="Z289" i="4"/>
  <c r="AA289" i="4" s="1"/>
  <c r="Y289" i="4"/>
  <c r="AO288" i="4"/>
  <c r="AF288" i="4"/>
  <c r="AH288" i="4" s="1"/>
  <c r="Z288" i="4"/>
  <c r="Y288" i="4"/>
  <c r="AO287" i="4"/>
  <c r="AF287" i="4"/>
  <c r="AH287" i="4" s="1"/>
  <c r="Z287" i="4"/>
  <c r="Y287" i="4"/>
  <c r="AO286" i="4"/>
  <c r="AF286" i="4"/>
  <c r="AH286" i="4" s="1"/>
  <c r="Z286" i="4"/>
  <c r="AA286" i="4" s="1"/>
  <c r="Y286" i="4"/>
  <c r="AO285" i="4"/>
  <c r="AF285" i="4"/>
  <c r="AH285" i="4" s="1"/>
  <c r="Z285" i="4"/>
  <c r="Y285" i="4"/>
  <c r="AO284" i="4"/>
  <c r="AF284" i="4"/>
  <c r="AH284" i="4" s="1"/>
  <c r="Z284" i="4"/>
  <c r="AA284" i="4" s="1"/>
  <c r="Y284" i="4"/>
  <c r="AO283" i="4"/>
  <c r="AF283" i="4"/>
  <c r="AH283" i="4" s="1"/>
  <c r="Z283" i="4"/>
  <c r="Y283" i="4"/>
  <c r="AO282" i="4"/>
  <c r="AF282" i="4"/>
  <c r="AH282" i="4" s="1"/>
  <c r="Z282" i="4"/>
  <c r="AA282" i="4" s="1"/>
  <c r="Y282" i="4"/>
  <c r="AO281" i="4"/>
  <c r="AF281" i="4"/>
  <c r="AH281" i="4" s="1"/>
  <c r="Z281" i="4"/>
  <c r="Y281" i="4"/>
  <c r="AO280" i="4"/>
  <c r="AF280" i="4"/>
  <c r="AH280" i="4" s="1"/>
  <c r="Z280" i="4"/>
  <c r="Y280" i="4"/>
  <c r="AO279" i="4"/>
  <c r="AF279" i="4"/>
  <c r="AH279" i="4" s="1"/>
  <c r="Z279" i="4"/>
  <c r="Y279" i="4"/>
  <c r="AO278" i="4"/>
  <c r="AF278" i="4"/>
  <c r="AH278" i="4" s="1"/>
  <c r="Z278" i="4"/>
  <c r="Y278" i="4"/>
  <c r="AO277" i="4"/>
  <c r="AF277" i="4"/>
  <c r="AH277" i="4" s="1"/>
  <c r="Z277" i="4"/>
  <c r="Y277" i="4"/>
  <c r="AO276" i="4"/>
  <c r="AF276" i="4"/>
  <c r="AH276" i="4" s="1"/>
  <c r="Z276" i="4"/>
  <c r="Y276" i="4"/>
  <c r="AO275" i="4"/>
  <c r="AF275" i="4"/>
  <c r="AH275" i="4" s="1"/>
  <c r="Z275" i="4"/>
  <c r="Y275" i="4"/>
  <c r="AO274" i="4"/>
  <c r="AF274" i="4"/>
  <c r="AH274" i="4" s="1"/>
  <c r="Z274" i="4"/>
  <c r="Y274" i="4"/>
  <c r="AO273" i="4"/>
  <c r="AF273" i="4"/>
  <c r="AH273" i="4" s="1"/>
  <c r="Z273" i="4"/>
  <c r="AA273" i="4" s="1"/>
  <c r="Y273" i="4"/>
  <c r="AO272" i="4"/>
  <c r="AF272" i="4"/>
  <c r="AH272" i="4" s="1"/>
  <c r="Z272" i="4"/>
  <c r="AA272" i="4" s="1"/>
  <c r="Y272" i="4"/>
  <c r="AO271" i="4"/>
  <c r="AF271" i="4"/>
  <c r="AH271" i="4" s="1"/>
  <c r="Z271" i="4"/>
  <c r="AA271" i="4" s="1"/>
  <c r="Y271" i="4"/>
  <c r="AO270" i="4"/>
  <c r="AF270" i="4"/>
  <c r="AH270" i="4" s="1"/>
  <c r="Z270" i="4"/>
  <c r="Y270" i="4"/>
  <c r="AO269" i="4"/>
  <c r="AF269" i="4"/>
  <c r="AH269" i="4" s="1"/>
  <c r="Z269" i="4"/>
  <c r="Y269" i="4"/>
  <c r="AO268" i="4"/>
  <c r="AF268" i="4"/>
  <c r="AH268" i="4" s="1"/>
  <c r="Z268" i="4"/>
  <c r="Y268" i="4"/>
  <c r="AO267" i="4"/>
  <c r="AF267" i="4"/>
  <c r="AH267" i="4" s="1"/>
  <c r="Z267" i="4"/>
  <c r="AA267" i="4" s="1"/>
  <c r="Y267" i="4"/>
  <c r="AO266" i="4"/>
  <c r="AF266" i="4"/>
  <c r="AH266" i="4" s="1"/>
  <c r="Z266" i="4"/>
  <c r="Y266" i="4"/>
  <c r="AO265" i="4"/>
  <c r="AF265" i="4"/>
  <c r="AH265" i="4" s="1"/>
  <c r="Z265" i="4"/>
  <c r="AA265" i="4" s="1"/>
  <c r="Y265" i="4"/>
  <c r="AO264" i="4"/>
  <c r="AF264" i="4"/>
  <c r="AH264" i="4" s="1"/>
  <c r="Z264" i="4"/>
  <c r="AA264" i="4" s="1"/>
  <c r="Y264" i="4"/>
  <c r="AO263" i="4"/>
  <c r="AF263" i="4"/>
  <c r="AH263" i="4" s="1"/>
  <c r="Z263" i="4"/>
  <c r="Y263" i="4"/>
  <c r="AO262" i="4"/>
  <c r="AF262" i="4"/>
  <c r="AH262" i="4" s="1"/>
  <c r="Z262" i="4"/>
  <c r="Y262" i="4"/>
  <c r="AO261" i="4"/>
  <c r="AF261" i="4"/>
  <c r="AH261" i="4" s="1"/>
  <c r="Z261" i="4"/>
  <c r="Y261" i="4"/>
  <c r="AO260" i="4"/>
  <c r="AF260" i="4"/>
  <c r="AH260" i="4" s="1"/>
  <c r="Z260" i="4"/>
  <c r="Y260" i="4"/>
  <c r="AO259" i="4"/>
  <c r="AF259" i="4"/>
  <c r="AH259" i="4" s="1"/>
  <c r="Z259" i="4"/>
  <c r="AA259" i="4" s="1"/>
  <c r="Y259" i="4"/>
  <c r="AO258" i="4"/>
  <c r="AF258" i="4"/>
  <c r="AH258" i="4" s="1"/>
  <c r="Z258" i="4"/>
  <c r="Y258" i="4"/>
  <c r="AO257" i="4"/>
  <c r="AF257" i="4"/>
  <c r="AH257" i="4" s="1"/>
  <c r="Z257" i="4"/>
  <c r="Y257" i="4"/>
  <c r="AO256" i="4"/>
  <c r="AF256" i="4"/>
  <c r="AH256" i="4" s="1"/>
  <c r="Z256" i="4"/>
  <c r="Y256" i="4"/>
  <c r="AO255" i="4"/>
  <c r="AF255" i="4"/>
  <c r="AH255" i="4" s="1"/>
  <c r="Z255" i="4"/>
  <c r="Y255" i="4"/>
  <c r="AO254" i="4"/>
  <c r="AF254" i="4"/>
  <c r="AH254" i="4" s="1"/>
  <c r="Z254" i="4"/>
  <c r="Y254" i="4"/>
  <c r="AO253" i="4"/>
  <c r="AF253" i="4"/>
  <c r="AH253" i="4" s="1"/>
  <c r="Z253" i="4"/>
  <c r="Y253" i="4"/>
  <c r="AO252" i="4"/>
  <c r="AF252" i="4"/>
  <c r="AH252" i="4" s="1"/>
  <c r="Z252" i="4"/>
  <c r="Y252" i="4"/>
  <c r="AO251" i="4"/>
  <c r="AF251" i="4"/>
  <c r="AH251" i="4" s="1"/>
  <c r="Z251" i="4"/>
  <c r="Y251" i="4"/>
  <c r="AO250" i="4"/>
  <c r="AF250" i="4"/>
  <c r="AH250" i="4" s="1"/>
  <c r="Z250" i="4"/>
  <c r="AA250" i="4" s="1"/>
  <c r="Y250" i="4"/>
  <c r="AO249" i="4"/>
  <c r="AF249" i="4"/>
  <c r="AH249" i="4" s="1"/>
  <c r="Z249" i="4"/>
  <c r="Y249" i="4"/>
  <c r="AO248" i="4"/>
  <c r="AF248" i="4"/>
  <c r="AH248" i="4" s="1"/>
  <c r="Z248" i="4"/>
  <c r="Y248" i="4"/>
  <c r="AO247" i="4"/>
  <c r="AF247" i="4"/>
  <c r="AH247" i="4" s="1"/>
  <c r="Z247" i="4"/>
  <c r="AA247" i="4" s="1"/>
  <c r="Y247" i="4"/>
  <c r="AO246" i="4"/>
  <c r="AF246" i="4"/>
  <c r="AH246" i="4" s="1"/>
  <c r="Z246" i="4"/>
  <c r="Y246" i="4"/>
  <c r="AO245" i="4"/>
  <c r="AF245" i="4"/>
  <c r="AH245" i="4" s="1"/>
  <c r="Z245" i="4"/>
  <c r="AA245" i="4" s="1"/>
  <c r="Y245" i="4"/>
  <c r="AO244" i="4"/>
  <c r="AF244" i="4"/>
  <c r="AH244" i="4" s="1"/>
  <c r="Z244" i="4"/>
  <c r="Y244" i="4"/>
  <c r="AO243" i="4"/>
  <c r="AF243" i="4"/>
  <c r="AH243" i="4" s="1"/>
  <c r="Z243" i="4"/>
  <c r="Y243" i="4"/>
  <c r="AO242" i="4"/>
  <c r="AF242" i="4"/>
  <c r="AH242" i="4" s="1"/>
  <c r="Z242" i="4"/>
  <c r="Y242" i="4"/>
  <c r="AO241" i="4"/>
  <c r="AF241" i="4"/>
  <c r="AH241" i="4" s="1"/>
  <c r="Z241" i="4"/>
  <c r="Y241" i="4"/>
  <c r="AO240" i="4"/>
  <c r="AF240" i="4"/>
  <c r="AH240" i="4" s="1"/>
  <c r="Z240" i="4"/>
  <c r="Y240" i="4"/>
  <c r="AO239" i="4"/>
  <c r="AF239" i="4"/>
  <c r="AH239" i="4" s="1"/>
  <c r="Z239" i="4"/>
  <c r="AA239" i="4" s="1"/>
  <c r="Y239" i="4"/>
  <c r="AO238" i="4"/>
  <c r="AF238" i="4"/>
  <c r="AH238" i="4" s="1"/>
  <c r="Z238" i="4"/>
  <c r="AA238" i="4" s="1"/>
  <c r="Y238" i="4"/>
  <c r="AO237" i="4"/>
  <c r="AF237" i="4"/>
  <c r="AH237" i="4" s="1"/>
  <c r="Z237" i="4"/>
  <c r="Y237" i="4"/>
  <c r="AO236" i="4"/>
  <c r="AF236" i="4"/>
  <c r="AH236" i="4" s="1"/>
  <c r="Z236" i="4"/>
  <c r="Y236" i="4"/>
  <c r="AO235" i="4"/>
  <c r="AF235" i="4"/>
  <c r="AH235" i="4" s="1"/>
  <c r="Z235" i="4"/>
  <c r="Y235" i="4"/>
  <c r="AO234" i="4"/>
  <c r="AF234" i="4"/>
  <c r="AH234" i="4" s="1"/>
  <c r="Z234" i="4"/>
  <c r="Y234" i="4"/>
  <c r="AO233" i="4"/>
  <c r="AF233" i="4"/>
  <c r="AH233" i="4" s="1"/>
  <c r="Z233" i="4"/>
  <c r="AA233" i="4" s="1"/>
  <c r="Y233" i="4"/>
  <c r="AO232" i="4"/>
  <c r="AF232" i="4"/>
  <c r="AH232" i="4" s="1"/>
  <c r="Z232" i="4"/>
  <c r="Y232" i="4"/>
  <c r="AO231" i="4"/>
  <c r="AF231" i="4"/>
  <c r="AH231" i="4" s="1"/>
  <c r="Z231" i="4"/>
  <c r="Y231" i="4"/>
  <c r="AO230" i="4"/>
  <c r="AF230" i="4"/>
  <c r="AH230" i="4" s="1"/>
  <c r="Z230" i="4"/>
  <c r="AA230" i="4" s="1"/>
  <c r="Y230" i="4"/>
  <c r="AO229" i="4"/>
  <c r="AF229" i="4"/>
  <c r="AH229" i="4" s="1"/>
  <c r="Z229" i="4"/>
  <c r="AA229" i="4" s="1"/>
  <c r="Y229" i="4"/>
  <c r="AO228" i="4"/>
  <c r="AF228" i="4"/>
  <c r="AH228" i="4" s="1"/>
  <c r="Z228" i="4"/>
  <c r="Y228" i="4"/>
  <c r="AO227" i="4"/>
  <c r="AF227" i="4"/>
  <c r="AH227" i="4" s="1"/>
  <c r="Z227" i="4"/>
  <c r="AA227" i="4" s="1"/>
  <c r="Y227" i="4"/>
  <c r="AO226" i="4"/>
  <c r="AF226" i="4"/>
  <c r="AH226" i="4" s="1"/>
  <c r="Z226" i="4"/>
  <c r="AA226" i="4" s="1"/>
  <c r="Y226" i="4"/>
  <c r="AO225" i="4"/>
  <c r="AF225" i="4"/>
  <c r="AH225" i="4" s="1"/>
  <c r="Z225" i="4"/>
  <c r="AA225" i="4" s="1"/>
  <c r="Y225" i="4"/>
  <c r="AO224" i="4"/>
  <c r="AF224" i="4"/>
  <c r="AH224" i="4" s="1"/>
  <c r="Z224" i="4"/>
  <c r="Y224" i="4"/>
  <c r="AO223" i="4"/>
  <c r="AF223" i="4"/>
  <c r="AH223" i="4" s="1"/>
  <c r="Z223" i="4"/>
  <c r="Y223" i="4"/>
  <c r="AO222" i="4"/>
  <c r="AF222" i="4"/>
  <c r="AH222" i="4" s="1"/>
  <c r="Z222" i="4"/>
  <c r="Y222" i="4"/>
  <c r="AO221" i="4"/>
  <c r="AF221" i="4"/>
  <c r="AH221" i="4" s="1"/>
  <c r="Z221" i="4"/>
  <c r="Y221" i="4"/>
  <c r="AO220" i="4"/>
  <c r="AF220" i="4"/>
  <c r="AH220" i="4" s="1"/>
  <c r="Z220" i="4"/>
  <c r="Y220" i="4"/>
  <c r="AO219" i="4"/>
  <c r="AF219" i="4"/>
  <c r="AH219" i="4" s="1"/>
  <c r="Z219" i="4"/>
  <c r="AA219" i="4" s="1"/>
  <c r="Y219" i="4"/>
  <c r="AO218" i="4"/>
  <c r="AF218" i="4"/>
  <c r="AH218" i="4" s="1"/>
  <c r="Z218" i="4"/>
  <c r="Y218" i="4"/>
  <c r="AO217" i="4"/>
  <c r="AF217" i="4"/>
  <c r="AH217" i="4" s="1"/>
  <c r="Z217" i="4"/>
  <c r="AA217" i="4" s="1"/>
  <c r="Y217" i="4"/>
  <c r="AO216" i="4"/>
  <c r="AF216" i="4"/>
  <c r="AH216" i="4" s="1"/>
  <c r="Z216" i="4"/>
  <c r="Y216" i="4"/>
  <c r="AO215" i="4"/>
  <c r="AF215" i="4"/>
  <c r="AH215" i="4" s="1"/>
  <c r="Z215" i="4"/>
  <c r="AA215" i="4" s="1"/>
  <c r="Y215" i="4"/>
  <c r="AO214" i="4"/>
  <c r="AF214" i="4"/>
  <c r="AH214" i="4" s="1"/>
  <c r="Z214" i="4"/>
  <c r="Y214" i="4"/>
  <c r="AO213" i="4"/>
  <c r="AF213" i="4"/>
  <c r="AH213" i="4" s="1"/>
  <c r="Z213" i="4"/>
  <c r="Y213" i="4"/>
  <c r="AO212" i="4"/>
  <c r="AF212" i="4"/>
  <c r="AH212" i="4" s="1"/>
  <c r="Z212" i="4"/>
  <c r="AA212" i="4" s="1"/>
  <c r="Y212" i="4"/>
  <c r="AO211" i="4"/>
  <c r="AF211" i="4"/>
  <c r="AH211" i="4" s="1"/>
  <c r="Z211" i="4"/>
  <c r="Y211" i="4"/>
  <c r="AO210" i="4"/>
  <c r="AF210" i="4"/>
  <c r="AH210" i="4" s="1"/>
  <c r="Z210" i="4"/>
  <c r="Y210" i="4"/>
  <c r="AO209" i="4"/>
  <c r="AF209" i="4"/>
  <c r="AH209" i="4" s="1"/>
  <c r="Z209" i="4"/>
  <c r="Y209" i="4"/>
  <c r="AO208" i="4"/>
  <c r="AF208" i="4"/>
  <c r="AH208" i="4" s="1"/>
  <c r="Z208" i="4"/>
  <c r="Y208" i="4"/>
  <c r="AO207" i="4"/>
  <c r="AF207" i="4"/>
  <c r="AH207" i="4" s="1"/>
  <c r="Z207" i="4"/>
  <c r="Y207" i="4"/>
  <c r="AO206" i="4"/>
  <c r="AF206" i="4"/>
  <c r="AH206" i="4" s="1"/>
  <c r="Z206" i="4"/>
  <c r="Y206" i="4"/>
  <c r="AO205" i="4"/>
  <c r="AF205" i="4"/>
  <c r="AH205" i="4" s="1"/>
  <c r="Z205" i="4"/>
  <c r="AA205" i="4" s="1"/>
  <c r="Y205" i="4"/>
  <c r="AO204" i="4"/>
  <c r="AF204" i="4"/>
  <c r="AH204" i="4" s="1"/>
  <c r="Z204" i="4"/>
  <c r="Y204" i="4"/>
  <c r="AO203" i="4"/>
  <c r="AF203" i="4"/>
  <c r="AH203" i="4" s="1"/>
  <c r="Z203" i="4"/>
  <c r="AA203" i="4" s="1"/>
  <c r="Y203" i="4"/>
  <c r="AO202" i="4"/>
  <c r="AF202" i="4"/>
  <c r="AH202" i="4" s="1"/>
  <c r="Z202" i="4"/>
  <c r="Y202" i="4"/>
  <c r="AO201" i="4"/>
  <c r="AF201" i="4"/>
  <c r="AH201" i="4" s="1"/>
  <c r="Z201" i="4"/>
  <c r="Y201" i="4"/>
  <c r="AO200" i="4"/>
  <c r="AF200" i="4"/>
  <c r="AH200" i="4" s="1"/>
  <c r="Z200" i="4"/>
  <c r="Y200" i="4"/>
  <c r="AO199" i="4"/>
  <c r="AF199" i="4"/>
  <c r="AH199" i="4" s="1"/>
  <c r="Z199" i="4"/>
  <c r="AA199" i="4" s="1"/>
  <c r="Y199" i="4"/>
  <c r="AO198" i="4"/>
  <c r="AF198" i="4"/>
  <c r="AH198" i="4" s="1"/>
  <c r="Z198" i="4"/>
  <c r="AA198" i="4" s="1"/>
  <c r="Y198" i="4"/>
  <c r="AO197" i="4"/>
  <c r="AF197" i="4"/>
  <c r="AH197" i="4" s="1"/>
  <c r="Z197" i="4"/>
  <c r="AA197" i="4" s="1"/>
  <c r="Y197" i="4"/>
  <c r="AO196" i="4"/>
  <c r="AF196" i="4"/>
  <c r="AH196" i="4" s="1"/>
  <c r="Z196" i="4"/>
  <c r="Y196" i="4"/>
  <c r="AO195" i="4"/>
  <c r="AF195" i="4"/>
  <c r="AH195" i="4" s="1"/>
  <c r="Z195" i="4"/>
  <c r="Y195" i="4"/>
  <c r="AO194" i="4"/>
  <c r="AF194" i="4"/>
  <c r="AH194" i="4" s="1"/>
  <c r="Z194" i="4"/>
  <c r="Y194" i="4"/>
  <c r="AO193" i="4"/>
  <c r="AF193" i="4"/>
  <c r="AH193" i="4" s="1"/>
  <c r="Z193" i="4"/>
  <c r="Y193" i="4"/>
  <c r="AO192" i="4"/>
  <c r="AF192" i="4"/>
  <c r="AH192" i="4" s="1"/>
  <c r="Z192" i="4"/>
  <c r="Y192" i="4"/>
  <c r="AO191" i="4"/>
  <c r="AF191" i="4"/>
  <c r="AH191" i="4" s="1"/>
  <c r="Z191" i="4"/>
  <c r="Y191" i="4"/>
  <c r="AO190" i="4"/>
  <c r="AF190" i="4"/>
  <c r="AH190" i="4" s="1"/>
  <c r="Z190" i="4"/>
  <c r="Y190" i="4"/>
  <c r="AO189" i="4"/>
  <c r="AF189" i="4"/>
  <c r="AH189" i="4" s="1"/>
  <c r="Z189" i="4"/>
  <c r="AA189" i="4" s="1"/>
  <c r="Y189" i="4"/>
  <c r="AO188" i="4"/>
  <c r="AF188" i="4"/>
  <c r="AH188" i="4" s="1"/>
  <c r="Z188" i="4"/>
  <c r="AA188" i="4" s="1"/>
  <c r="Y188" i="4"/>
  <c r="AO187" i="4"/>
  <c r="AF187" i="4"/>
  <c r="AH187" i="4" s="1"/>
  <c r="Z187" i="4"/>
  <c r="Y187" i="4"/>
  <c r="AO186" i="4"/>
  <c r="AF186" i="4"/>
  <c r="AH186" i="4" s="1"/>
  <c r="Z186" i="4"/>
  <c r="AA186" i="4" s="1"/>
  <c r="Y186" i="4"/>
  <c r="AO185" i="4"/>
  <c r="AF185" i="4"/>
  <c r="AH185" i="4" s="1"/>
  <c r="Z185" i="4"/>
  <c r="Y185" i="4"/>
  <c r="AO184" i="4"/>
  <c r="AF184" i="4"/>
  <c r="AH184" i="4" s="1"/>
  <c r="Z184" i="4"/>
  <c r="Y184" i="4"/>
  <c r="AO183" i="4"/>
  <c r="AF183" i="4"/>
  <c r="AH183" i="4" s="1"/>
  <c r="Z183" i="4"/>
  <c r="AA183" i="4" s="1"/>
  <c r="Y183" i="4"/>
  <c r="AO182" i="4"/>
  <c r="AF182" i="4"/>
  <c r="AH182" i="4" s="1"/>
  <c r="Z182" i="4"/>
  <c r="Y182" i="4"/>
  <c r="AO181" i="4"/>
  <c r="AF181" i="4"/>
  <c r="AH181" i="4" s="1"/>
  <c r="Z181" i="4"/>
  <c r="Y181" i="4"/>
  <c r="AO180" i="4"/>
  <c r="AF180" i="4"/>
  <c r="AH180" i="4" s="1"/>
  <c r="Z180" i="4"/>
  <c r="AA180" i="4" s="1"/>
  <c r="Y180" i="4"/>
  <c r="AO179" i="4"/>
  <c r="AF179" i="4"/>
  <c r="AH179" i="4" s="1"/>
  <c r="Z179" i="4"/>
  <c r="AA179" i="4" s="1"/>
  <c r="Y179" i="4"/>
  <c r="AO178" i="4"/>
  <c r="AF178" i="4"/>
  <c r="AH178" i="4" s="1"/>
  <c r="Z178" i="4"/>
  <c r="Y178" i="4"/>
  <c r="AO177" i="4"/>
  <c r="AF177" i="4"/>
  <c r="AH177" i="4" s="1"/>
  <c r="Z177" i="4"/>
  <c r="Y177" i="4"/>
  <c r="AO176" i="4"/>
  <c r="AF176" i="4"/>
  <c r="AH176" i="4" s="1"/>
  <c r="Z176" i="4"/>
  <c r="Y176" i="4"/>
  <c r="AO175" i="4"/>
  <c r="AF175" i="4"/>
  <c r="AH175" i="4" s="1"/>
  <c r="Z175" i="4"/>
  <c r="Y175" i="4"/>
  <c r="AO174" i="4"/>
  <c r="AF174" i="4"/>
  <c r="AH174" i="4" s="1"/>
  <c r="Z174" i="4"/>
  <c r="Y174" i="4"/>
  <c r="AO173" i="4"/>
  <c r="AF173" i="4"/>
  <c r="AH173" i="4" s="1"/>
  <c r="Z173" i="4"/>
  <c r="Y173" i="4"/>
  <c r="AO172" i="4"/>
  <c r="AF172" i="4"/>
  <c r="AH172" i="4" s="1"/>
  <c r="Z172" i="4"/>
  <c r="AA172" i="4" s="1"/>
  <c r="Y172" i="4"/>
  <c r="AO171" i="4"/>
  <c r="AF171" i="4"/>
  <c r="AH171" i="4" s="1"/>
  <c r="Z171" i="4"/>
  <c r="AA171" i="4" s="1"/>
  <c r="Y171" i="4"/>
  <c r="AO170" i="4"/>
  <c r="AF170" i="4"/>
  <c r="AH170" i="4" s="1"/>
  <c r="Z170" i="4"/>
  <c r="AA170" i="4" s="1"/>
  <c r="Y170" i="4"/>
  <c r="AO169" i="4"/>
  <c r="AF169" i="4"/>
  <c r="AH169" i="4" s="1"/>
  <c r="Z169" i="4"/>
  <c r="AA169" i="4" s="1"/>
  <c r="Y169" i="4"/>
  <c r="AO168" i="4"/>
  <c r="AF168" i="4"/>
  <c r="AH168" i="4" s="1"/>
  <c r="Z168" i="4"/>
  <c r="Y168" i="4"/>
  <c r="AO167" i="4"/>
  <c r="AF167" i="4"/>
  <c r="AH167" i="4" s="1"/>
  <c r="Z167" i="4"/>
  <c r="Y167" i="4"/>
  <c r="AO166" i="4"/>
  <c r="AF166" i="4"/>
  <c r="AH166" i="4" s="1"/>
  <c r="Z166" i="4"/>
  <c r="AA166" i="4" s="1"/>
  <c r="Y166" i="4"/>
  <c r="AO165" i="4"/>
  <c r="AF165" i="4"/>
  <c r="AH165" i="4" s="1"/>
  <c r="Z165" i="4"/>
  <c r="Y165" i="4"/>
  <c r="AO164" i="4"/>
  <c r="AF164" i="4"/>
  <c r="AH164" i="4" s="1"/>
  <c r="Z164" i="4"/>
  <c r="Y164" i="4"/>
  <c r="AO163" i="4"/>
  <c r="AF163" i="4"/>
  <c r="AH163" i="4" s="1"/>
  <c r="Z163" i="4"/>
  <c r="Y163" i="4"/>
  <c r="AO162" i="4"/>
  <c r="AF162" i="4"/>
  <c r="AH162" i="4" s="1"/>
  <c r="Z162" i="4"/>
  <c r="Y162" i="4"/>
  <c r="AO161" i="4"/>
  <c r="AF161" i="4"/>
  <c r="AH161" i="4" s="1"/>
  <c r="Z161" i="4"/>
  <c r="AA161" i="4" s="1"/>
  <c r="Y161" i="4"/>
  <c r="AO160" i="4"/>
  <c r="AF160" i="4"/>
  <c r="AH160" i="4" s="1"/>
  <c r="Z160" i="4"/>
  <c r="AA160" i="4" s="1"/>
  <c r="Y160" i="4"/>
  <c r="AO159" i="4"/>
  <c r="AF159" i="4"/>
  <c r="AH159" i="4" s="1"/>
  <c r="Z159" i="4"/>
  <c r="Y159" i="4"/>
  <c r="AO158" i="4"/>
  <c r="AF158" i="4"/>
  <c r="AH158" i="4" s="1"/>
  <c r="Z158" i="4"/>
  <c r="Y158" i="4"/>
  <c r="AO157" i="4"/>
  <c r="AF157" i="4"/>
  <c r="AH157" i="4" s="1"/>
  <c r="Z157" i="4"/>
  <c r="AA157" i="4" s="1"/>
  <c r="Y157" i="4"/>
  <c r="AO156" i="4"/>
  <c r="AF156" i="4"/>
  <c r="AH156" i="4" s="1"/>
  <c r="Z156" i="4"/>
  <c r="AA156" i="4" s="1"/>
  <c r="Y156" i="4"/>
  <c r="AO155" i="4"/>
  <c r="AF155" i="4"/>
  <c r="AH155" i="4" s="1"/>
  <c r="Z155" i="4"/>
  <c r="Y155" i="4"/>
  <c r="AO154" i="4"/>
  <c r="AF154" i="4"/>
  <c r="AH154" i="4" s="1"/>
  <c r="Z154" i="4"/>
  <c r="AA154" i="4" s="1"/>
  <c r="Y154" i="4"/>
  <c r="AO153" i="4"/>
  <c r="AF153" i="4"/>
  <c r="AH153" i="4" s="1"/>
  <c r="Z153" i="4"/>
  <c r="Y153" i="4"/>
  <c r="AO152" i="4"/>
  <c r="AF152" i="4"/>
  <c r="AH152" i="4" s="1"/>
  <c r="Z152" i="4"/>
  <c r="AA152" i="4" s="1"/>
  <c r="Y152" i="4"/>
  <c r="AO151" i="4"/>
  <c r="AF151" i="4"/>
  <c r="AH151" i="4" s="1"/>
  <c r="Z151" i="4"/>
  <c r="Y151" i="4"/>
  <c r="AO150" i="4"/>
  <c r="AF150" i="4"/>
  <c r="AH150" i="4" s="1"/>
  <c r="Z150" i="4"/>
  <c r="AA150" i="4" s="1"/>
  <c r="Y150" i="4"/>
  <c r="AO149" i="4"/>
  <c r="AF149" i="4"/>
  <c r="AH149" i="4" s="1"/>
  <c r="Z149" i="4"/>
  <c r="Y149" i="4"/>
  <c r="AO148" i="4"/>
  <c r="AF148" i="4"/>
  <c r="AH148" i="4" s="1"/>
  <c r="Z148" i="4"/>
  <c r="AA148" i="4" s="1"/>
  <c r="Y148" i="4"/>
  <c r="AO147" i="4"/>
  <c r="AF147" i="4"/>
  <c r="AH147" i="4" s="1"/>
  <c r="Z147" i="4"/>
  <c r="Y147" i="4"/>
  <c r="AO146" i="4"/>
  <c r="AF146" i="4"/>
  <c r="AH146" i="4" s="1"/>
  <c r="Z146" i="4"/>
  <c r="Y146" i="4"/>
  <c r="AO145" i="4"/>
  <c r="AF145" i="4"/>
  <c r="AH145" i="4" s="1"/>
  <c r="Z145" i="4"/>
  <c r="AA145" i="4" s="1"/>
  <c r="Y145" i="4"/>
  <c r="AO144" i="4"/>
  <c r="AF144" i="4"/>
  <c r="AH144" i="4" s="1"/>
  <c r="Z144" i="4"/>
  <c r="Y144" i="4"/>
  <c r="AO143" i="4"/>
  <c r="AF143" i="4"/>
  <c r="AH143" i="4" s="1"/>
  <c r="Z143" i="4"/>
  <c r="AA143" i="4" s="1"/>
  <c r="Y143" i="4"/>
  <c r="AO142" i="4"/>
  <c r="AF142" i="4"/>
  <c r="AH142" i="4" s="1"/>
  <c r="Z142" i="4"/>
  <c r="Y142" i="4"/>
  <c r="AO141" i="4"/>
  <c r="AF141" i="4"/>
  <c r="AH141" i="4" s="1"/>
  <c r="Z141" i="4"/>
  <c r="AA141" i="4" s="1"/>
  <c r="Y141" i="4"/>
  <c r="AO140" i="4"/>
  <c r="AF140" i="4"/>
  <c r="AH140" i="4" s="1"/>
  <c r="Z140" i="4"/>
  <c r="Y140" i="4"/>
  <c r="AO139" i="4"/>
  <c r="AF139" i="4"/>
  <c r="AH139" i="4" s="1"/>
  <c r="Z139" i="4"/>
  <c r="Y139" i="4"/>
  <c r="AO138" i="4"/>
  <c r="AF138" i="4"/>
  <c r="AH138" i="4" s="1"/>
  <c r="Z138" i="4"/>
  <c r="Y138" i="4"/>
  <c r="AO137" i="4"/>
  <c r="AF137" i="4"/>
  <c r="AH137" i="4" s="1"/>
  <c r="Z137" i="4"/>
  <c r="Y137" i="4"/>
  <c r="AO136" i="4"/>
  <c r="AF136" i="4"/>
  <c r="AH136" i="4" s="1"/>
  <c r="Z136" i="4"/>
  <c r="Y136" i="4"/>
  <c r="AO135" i="4"/>
  <c r="AF135" i="4"/>
  <c r="AH135" i="4" s="1"/>
  <c r="Z135" i="4"/>
  <c r="AA135" i="4" s="1"/>
  <c r="Y135" i="4"/>
  <c r="AO134" i="4"/>
  <c r="AF134" i="4"/>
  <c r="AH134" i="4" s="1"/>
  <c r="Z134" i="4"/>
  <c r="Y134" i="4"/>
  <c r="AO133" i="4"/>
  <c r="AF133" i="4"/>
  <c r="AH133" i="4" s="1"/>
  <c r="Z133" i="4"/>
  <c r="AA133" i="4" s="1"/>
  <c r="Y133" i="4"/>
  <c r="AO132" i="4"/>
  <c r="AF132" i="4"/>
  <c r="AH132" i="4" s="1"/>
  <c r="Z132" i="4"/>
  <c r="Y132" i="4"/>
  <c r="AO131" i="4"/>
  <c r="AF131" i="4"/>
  <c r="AH131" i="4" s="1"/>
  <c r="Z131" i="4"/>
  <c r="Y131" i="4"/>
  <c r="AO130" i="4"/>
  <c r="AF130" i="4"/>
  <c r="AH130" i="4" s="1"/>
  <c r="Z130" i="4"/>
  <c r="AA130" i="4" s="1"/>
  <c r="Y130" i="4"/>
  <c r="AO129" i="4"/>
  <c r="AF129" i="4"/>
  <c r="AH129" i="4" s="1"/>
  <c r="Z129" i="4"/>
  <c r="Y129" i="4"/>
  <c r="AO128" i="4"/>
  <c r="AF128" i="4"/>
  <c r="AH128" i="4" s="1"/>
  <c r="Z128" i="4"/>
  <c r="Y128" i="4"/>
  <c r="AO127" i="4"/>
  <c r="AF127" i="4"/>
  <c r="AH127" i="4" s="1"/>
  <c r="Z127" i="4"/>
  <c r="Y127" i="4"/>
  <c r="AO126" i="4"/>
  <c r="AF126" i="4"/>
  <c r="AH126" i="4" s="1"/>
  <c r="Z126" i="4"/>
  <c r="Y126" i="4"/>
  <c r="AO125" i="4"/>
  <c r="AF125" i="4"/>
  <c r="AH125" i="4" s="1"/>
  <c r="Z125" i="4"/>
  <c r="AA125" i="4" s="1"/>
  <c r="Y125" i="4"/>
  <c r="AO124" i="4"/>
  <c r="AF124" i="4"/>
  <c r="AH124" i="4" s="1"/>
  <c r="Z124" i="4"/>
  <c r="AA124" i="4" s="1"/>
  <c r="Y124" i="4"/>
  <c r="AO123" i="4"/>
  <c r="AF123" i="4"/>
  <c r="AH123" i="4" s="1"/>
  <c r="Z123" i="4"/>
  <c r="Y123" i="4"/>
  <c r="AO122" i="4"/>
  <c r="AF122" i="4"/>
  <c r="AH122" i="4" s="1"/>
  <c r="Z122" i="4"/>
  <c r="Y122" i="4"/>
  <c r="AO121" i="4"/>
  <c r="AF121" i="4"/>
  <c r="AH121" i="4" s="1"/>
  <c r="Z121" i="4"/>
  <c r="Y121" i="4"/>
  <c r="AO120" i="4"/>
  <c r="AF120" i="4"/>
  <c r="AH120" i="4" s="1"/>
  <c r="Z120" i="4"/>
  <c r="Y120" i="4"/>
  <c r="AO119" i="4"/>
  <c r="AF119" i="4"/>
  <c r="AH119" i="4" s="1"/>
  <c r="Z119" i="4"/>
  <c r="AA119" i="4" s="1"/>
  <c r="Y119" i="4"/>
  <c r="AO118" i="4"/>
  <c r="AF118" i="4"/>
  <c r="AH118" i="4" s="1"/>
  <c r="Z118" i="4"/>
  <c r="Y118" i="4"/>
  <c r="AO117" i="4"/>
  <c r="AF117" i="4"/>
  <c r="AH117" i="4" s="1"/>
  <c r="Z117" i="4"/>
  <c r="Y117" i="4"/>
  <c r="AO116" i="4"/>
  <c r="AF116" i="4"/>
  <c r="AH116" i="4" s="1"/>
  <c r="Z116" i="4"/>
  <c r="Y116" i="4"/>
  <c r="AO115" i="4"/>
  <c r="AF115" i="4"/>
  <c r="AH115" i="4" s="1"/>
  <c r="Z115" i="4"/>
  <c r="Y115" i="4"/>
  <c r="AO114" i="4"/>
  <c r="AF114" i="4"/>
  <c r="AH114" i="4" s="1"/>
  <c r="Z114" i="4"/>
  <c r="AA114" i="4" s="1"/>
  <c r="Y114" i="4"/>
  <c r="AO113" i="4"/>
  <c r="AF113" i="4"/>
  <c r="AH113" i="4" s="1"/>
  <c r="Z113" i="4"/>
  <c r="AA113" i="4" s="1"/>
  <c r="Y113" i="4"/>
  <c r="AO112" i="4"/>
  <c r="AF112" i="4"/>
  <c r="AH112" i="4" s="1"/>
  <c r="Z112" i="4"/>
  <c r="Y112" i="4"/>
  <c r="AO111" i="4"/>
  <c r="AF111" i="4"/>
  <c r="AH111" i="4" s="1"/>
  <c r="Z111" i="4"/>
  <c r="Y111" i="4"/>
  <c r="AO110" i="4"/>
  <c r="AF110" i="4"/>
  <c r="AH110" i="4" s="1"/>
  <c r="Z110" i="4"/>
  <c r="AA110" i="4" s="1"/>
  <c r="Y110" i="4"/>
  <c r="AO109" i="4"/>
  <c r="AF109" i="4"/>
  <c r="AH109" i="4" s="1"/>
  <c r="Z109" i="4"/>
  <c r="Y109" i="4"/>
  <c r="AO108" i="4"/>
  <c r="AF108" i="4"/>
  <c r="AH108" i="4" s="1"/>
  <c r="Z108" i="4"/>
  <c r="AA108" i="4" s="1"/>
  <c r="Y108" i="4"/>
  <c r="AO107" i="4"/>
  <c r="AF107" i="4"/>
  <c r="AH107" i="4" s="1"/>
  <c r="Z107" i="4"/>
  <c r="Y107" i="4"/>
  <c r="AO106" i="4"/>
  <c r="AF106" i="4"/>
  <c r="AH106" i="4" s="1"/>
  <c r="Z106" i="4"/>
  <c r="AA106" i="4" s="1"/>
  <c r="Y106" i="4"/>
  <c r="AO105" i="4"/>
  <c r="AF105" i="4"/>
  <c r="AH105" i="4" s="1"/>
  <c r="Z105" i="4"/>
  <c r="AA105" i="4" s="1"/>
  <c r="AA1" i="4" s="1"/>
  <c r="Y105" i="4"/>
  <c r="AO104" i="4"/>
  <c r="AF104" i="4"/>
  <c r="AH104" i="4" s="1"/>
  <c r="Z104" i="4"/>
  <c r="Y104" i="4"/>
  <c r="AO103" i="4"/>
  <c r="AF103" i="4"/>
  <c r="AH103" i="4" s="1"/>
  <c r="Z103" i="4"/>
  <c r="Y103" i="4"/>
  <c r="AO102" i="4"/>
  <c r="AF102" i="4"/>
  <c r="AH102" i="4" s="1"/>
  <c r="Z102" i="4"/>
  <c r="Y102" i="4"/>
  <c r="AO101" i="4"/>
  <c r="AF101" i="4"/>
  <c r="AH101" i="4" s="1"/>
  <c r="Z101" i="4"/>
  <c r="Y101" i="4"/>
  <c r="AO100" i="4"/>
  <c r="AF100" i="4"/>
  <c r="AH100" i="4" s="1"/>
  <c r="Z100" i="4"/>
  <c r="Y100" i="4"/>
  <c r="AO99" i="4"/>
  <c r="AF99" i="4"/>
  <c r="AH99" i="4" s="1"/>
  <c r="Z99" i="4"/>
  <c r="Y99" i="4"/>
  <c r="AO98" i="4"/>
  <c r="AF98" i="4"/>
  <c r="AH98" i="4" s="1"/>
  <c r="Z98" i="4"/>
  <c r="Y98" i="4"/>
  <c r="AO97" i="4"/>
  <c r="AF97" i="4"/>
  <c r="AH97" i="4" s="1"/>
  <c r="Z97" i="4"/>
  <c r="Y97" i="4"/>
  <c r="AO96" i="4"/>
  <c r="AF96" i="4"/>
  <c r="AH96" i="4" s="1"/>
  <c r="Z96" i="4"/>
  <c r="Y96" i="4"/>
  <c r="AO95" i="4"/>
  <c r="AF95" i="4"/>
  <c r="AH95" i="4" s="1"/>
  <c r="Z95" i="4"/>
  <c r="Y95" i="4"/>
  <c r="AO94" i="4"/>
  <c r="AF94" i="4"/>
  <c r="AH94" i="4" s="1"/>
  <c r="Z94" i="4"/>
  <c r="Y94" i="4"/>
  <c r="AO93" i="4"/>
  <c r="AF93" i="4"/>
  <c r="AH93" i="4" s="1"/>
  <c r="Z93" i="4"/>
  <c r="Y93" i="4"/>
  <c r="AO92" i="4"/>
  <c r="AF92" i="4"/>
  <c r="AH92" i="4" s="1"/>
  <c r="Z92" i="4"/>
  <c r="Y92" i="4"/>
  <c r="AO91" i="4"/>
  <c r="AF91" i="4"/>
  <c r="AH91" i="4" s="1"/>
  <c r="Z91" i="4"/>
  <c r="Y91" i="4"/>
  <c r="AO90" i="4"/>
  <c r="AF90" i="4"/>
  <c r="AH90" i="4" s="1"/>
  <c r="Z90" i="4"/>
  <c r="Y90" i="4"/>
  <c r="AO89" i="4"/>
  <c r="AF89" i="4"/>
  <c r="AH89" i="4" s="1"/>
  <c r="Z89" i="4"/>
  <c r="Y89" i="4"/>
  <c r="AO88" i="4"/>
  <c r="AF88" i="4"/>
  <c r="AH88" i="4" s="1"/>
  <c r="Z88" i="4"/>
  <c r="Y88" i="4"/>
  <c r="AO87" i="4"/>
  <c r="AF87" i="4"/>
  <c r="AH87" i="4" s="1"/>
  <c r="Z87" i="4"/>
  <c r="Y87" i="4"/>
  <c r="AO86" i="4"/>
  <c r="AF86" i="4"/>
  <c r="AH86" i="4" s="1"/>
  <c r="Z86" i="4"/>
  <c r="Y86" i="4"/>
  <c r="AO85" i="4"/>
  <c r="AF85" i="4"/>
  <c r="AH85" i="4" s="1"/>
  <c r="Z85" i="4"/>
  <c r="Y85" i="4"/>
  <c r="AO84" i="4"/>
  <c r="AF84" i="4"/>
  <c r="AH84" i="4" s="1"/>
  <c r="Z84" i="4"/>
  <c r="Y84" i="4"/>
  <c r="AO83" i="4"/>
  <c r="AF83" i="4"/>
  <c r="AH83" i="4" s="1"/>
  <c r="Z83" i="4"/>
  <c r="Y83" i="4"/>
  <c r="AO82" i="4"/>
  <c r="AF82" i="4"/>
  <c r="AH82" i="4" s="1"/>
  <c r="Z82" i="4"/>
  <c r="Y82" i="4"/>
  <c r="AO81" i="4"/>
  <c r="AF81" i="4"/>
  <c r="AH81" i="4" s="1"/>
  <c r="Z81" i="4"/>
  <c r="Y81" i="4"/>
  <c r="AO80" i="4"/>
  <c r="AF80" i="4"/>
  <c r="AH80" i="4" s="1"/>
  <c r="Z80" i="4"/>
  <c r="Y80" i="4"/>
  <c r="AO79" i="4"/>
  <c r="AF79" i="4"/>
  <c r="AH79" i="4" s="1"/>
  <c r="Z79" i="4"/>
  <c r="Y79" i="4"/>
  <c r="AO78" i="4"/>
  <c r="AF78" i="4"/>
  <c r="AH78" i="4" s="1"/>
  <c r="Z78" i="4"/>
  <c r="Y78" i="4"/>
  <c r="AO77" i="4"/>
  <c r="AF77" i="4"/>
  <c r="AH77" i="4" s="1"/>
  <c r="Z77" i="4"/>
  <c r="Y77" i="4"/>
  <c r="AO76" i="4"/>
  <c r="AF76" i="4"/>
  <c r="AH76" i="4" s="1"/>
  <c r="Z76" i="4"/>
  <c r="Y76" i="4"/>
  <c r="AO75" i="4"/>
  <c r="AF75" i="4"/>
  <c r="AH75" i="4" s="1"/>
  <c r="Z75" i="4"/>
  <c r="Y75" i="4"/>
  <c r="AO74" i="4"/>
  <c r="AF74" i="4"/>
  <c r="AH74" i="4" s="1"/>
  <c r="Z74" i="4"/>
  <c r="Y74" i="4"/>
  <c r="AO73" i="4"/>
  <c r="AF73" i="4"/>
  <c r="AH73" i="4" s="1"/>
  <c r="Z73" i="4"/>
  <c r="Y73" i="4"/>
  <c r="AO72" i="4"/>
  <c r="AF72" i="4"/>
  <c r="AH72" i="4" s="1"/>
  <c r="Z72" i="4"/>
  <c r="Y72" i="4"/>
  <c r="AO71" i="4"/>
  <c r="AF71" i="4"/>
  <c r="AH71" i="4" s="1"/>
  <c r="Z71" i="4"/>
  <c r="Y71" i="4"/>
  <c r="AO70" i="4"/>
  <c r="AF70" i="4"/>
  <c r="AH70" i="4" s="1"/>
  <c r="Z70" i="4"/>
  <c r="Y70" i="4"/>
  <c r="AO69" i="4"/>
  <c r="AF69" i="4"/>
  <c r="AH69" i="4" s="1"/>
  <c r="Z69" i="4"/>
  <c r="Y69" i="4"/>
  <c r="AO68" i="4"/>
  <c r="AF68" i="4"/>
  <c r="AH68" i="4" s="1"/>
  <c r="Z68" i="4"/>
  <c r="Y68" i="4"/>
  <c r="AO67" i="4"/>
  <c r="AF67" i="4"/>
  <c r="AH67" i="4" s="1"/>
  <c r="Z67" i="4"/>
  <c r="Y67" i="4"/>
  <c r="AO66" i="4"/>
  <c r="AF66" i="4"/>
  <c r="AH66" i="4" s="1"/>
  <c r="Z66" i="4"/>
  <c r="Y66" i="4"/>
  <c r="AO65" i="4"/>
  <c r="AF65" i="4"/>
  <c r="AH65" i="4" s="1"/>
  <c r="Z65" i="4"/>
  <c r="Y65" i="4"/>
  <c r="AO64" i="4"/>
  <c r="AF64" i="4"/>
  <c r="AH64" i="4" s="1"/>
  <c r="Z64" i="4"/>
  <c r="Y64" i="4"/>
  <c r="AO63" i="4"/>
  <c r="AF63" i="4"/>
  <c r="AH63" i="4" s="1"/>
  <c r="Z63" i="4"/>
  <c r="Y63" i="4"/>
  <c r="AO62" i="4"/>
  <c r="AF62" i="4"/>
  <c r="AH62" i="4" s="1"/>
  <c r="Z62" i="4"/>
  <c r="Y62" i="4"/>
  <c r="AO61" i="4"/>
  <c r="AF61" i="4"/>
  <c r="AH61" i="4" s="1"/>
  <c r="Z61" i="4"/>
  <c r="Y61" i="4"/>
  <c r="AO60" i="4"/>
  <c r="AF60" i="4"/>
  <c r="AH60" i="4" s="1"/>
  <c r="Z60" i="4"/>
  <c r="Y60" i="4"/>
  <c r="AO59" i="4"/>
  <c r="AF59" i="4"/>
  <c r="AH59" i="4" s="1"/>
  <c r="Z59" i="4"/>
  <c r="Y59" i="4"/>
  <c r="AO58" i="4"/>
  <c r="AF58" i="4"/>
  <c r="AH58" i="4" s="1"/>
  <c r="Z58" i="4"/>
  <c r="Y58" i="4"/>
  <c r="AO57" i="4"/>
  <c r="AF57" i="4"/>
  <c r="AH57" i="4" s="1"/>
  <c r="Z57" i="4"/>
  <c r="Y57" i="4"/>
  <c r="AO56" i="4"/>
  <c r="AF56" i="4"/>
  <c r="AH56" i="4" s="1"/>
  <c r="Z56" i="4"/>
  <c r="Y56" i="4"/>
  <c r="AO55" i="4"/>
  <c r="AF55" i="4"/>
  <c r="AH55" i="4" s="1"/>
  <c r="Z55" i="4"/>
  <c r="Y55" i="4"/>
  <c r="AO54" i="4"/>
  <c r="AF54" i="4"/>
  <c r="AH54" i="4" s="1"/>
  <c r="Z54" i="4"/>
  <c r="Y54" i="4"/>
  <c r="AO53" i="4"/>
  <c r="AF53" i="4"/>
  <c r="AH53" i="4" s="1"/>
  <c r="Z53" i="4"/>
  <c r="Y53" i="4"/>
  <c r="AO52" i="4"/>
  <c r="AF52" i="4"/>
  <c r="AH52" i="4" s="1"/>
  <c r="Z52" i="4"/>
  <c r="Y52" i="4"/>
  <c r="AO51" i="4"/>
  <c r="AF51" i="4"/>
  <c r="AH51" i="4" s="1"/>
  <c r="Z51" i="4"/>
  <c r="Y51" i="4"/>
  <c r="AO50" i="4"/>
  <c r="AF50" i="4"/>
  <c r="AH50" i="4" s="1"/>
  <c r="Z50" i="4"/>
  <c r="Y50" i="4"/>
  <c r="AO49" i="4"/>
  <c r="AF49" i="4"/>
  <c r="AH49" i="4" s="1"/>
  <c r="Z49" i="4"/>
  <c r="Y49" i="4"/>
  <c r="AO48" i="4"/>
  <c r="AF48" i="4"/>
  <c r="AH48" i="4" s="1"/>
  <c r="Z48" i="4"/>
  <c r="Y48" i="4"/>
  <c r="AO47" i="4"/>
  <c r="AF47" i="4"/>
  <c r="AH47" i="4" s="1"/>
  <c r="Z47" i="4"/>
  <c r="Y47" i="4"/>
  <c r="AO46" i="4"/>
  <c r="AF46" i="4"/>
  <c r="AH46" i="4" s="1"/>
  <c r="Z46" i="4"/>
  <c r="Y46" i="4"/>
  <c r="AO45" i="4"/>
  <c r="AF45" i="4"/>
  <c r="AH45" i="4" s="1"/>
  <c r="Z45" i="4"/>
  <c r="Y45" i="4"/>
  <c r="AO44" i="4"/>
  <c r="AF44" i="4"/>
  <c r="AH44" i="4" s="1"/>
  <c r="Z44" i="4"/>
  <c r="Y44" i="4"/>
  <c r="AO43" i="4"/>
  <c r="AF43" i="4"/>
  <c r="AH43" i="4" s="1"/>
  <c r="Z43" i="4"/>
  <c r="Y43" i="4"/>
  <c r="AO42" i="4"/>
  <c r="AF42" i="4"/>
  <c r="AH42" i="4" s="1"/>
  <c r="Z42" i="4"/>
  <c r="Y42" i="4"/>
  <c r="AO41" i="4"/>
  <c r="AF41" i="4"/>
  <c r="AH41" i="4" s="1"/>
  <c r="Z41" i="4"/>
  <c r="Y41" i="4"/>
  <c r="AO40" i="4"/>
  <c r="AF40" i="4"/>
  <c r="AH40" i="4" s="1"/>
  <c r="Z40" i="4"/>
  <c r="Y40" i="4"/>
  <c r="AO39" i="4"/>
  <c r="AF39" i="4"/>
  <c r="AH39" i="4" s="1"/>
  <c r="Z39" i="4"/>
  <c r="Y39" i="4"/>
  <c r="AO38" i="4"/>
  <c r="AF38" i="4"/>
  <c r="AH38" i="4" s="1"/>
  <c r="Z38" i="4"/>
  <c r="Y38" i="4"/>
  <c r="AO37" i="4"/>
  <c r="AF37" i="4"/>
  <c r="AH37" i="4" s="1"/>
  <c r="Z37" i="4"/>
  <c r="Y37" i="4"/>
  <c r="AO36" i="4"/>
  <c r="AF36" i="4"/>
  <c r="AH36" i="4" s="1"/>
  <c r="Z36" i="4"/>
  <c r="Y36" i="4"/>
  <c r="AO35" i="4"/>
  <c r="AF35" i="4"/>
  <c r="AH35" i="4" s="1"/>
  <c r="Z35" i="4"/>
  <c r="Y35" i="4"/>
  <c r="AO34" i="4"/>
  <c r="AF34" i="4"/>
  <c r="AH34" i="4" s="1"/>
  <c r="Z34" i="4"/>
  <c r="Y34" i="4"/>
  <c r="AO33" i="4"/>
  <c r="AF33" i="4"/>
  <c r="AH33" i="4" s="1"/>
  <c r="Z33" i="4"/>
  <c r="Y33" i="4"/>
  <c r="AO32" i="4"/>
  <c r="AF32" i="4"/>
  <c r="AH32" i="4" s="1"/>
  <c r="Z32" i="4"/>
  <c r="Y32" i="4"/>
  <c r="AO31" i="4"/>
  <c r="AF31" i="4"/>
  <c r="AH31" i="4" s="1"/>
  <c r="Z31" i="4"/>
  <c r="Y31" i="4"/>
  <c r="AO30" i="4"/>
  <c r="AF30" i="4"/>
  <c r="AH30" i="4" s="1"/>
  <c r="Z30" i="4"/>
  <c r="Y30" i="4"/>
  <c r="AO29" i="4"/>
  <c r="AF29" i="4"/>
  <c r="AH29" i="4" s="1"/>
  <c r="Z29" i="4"/>
  <c r="Y29" i="4"/>
  <c r="AO28" i="4"/>
  <c r="AF28" i="4"/>
  <c r="AH28" i="4" s="1"/>
  <c r="Z28" i="4"/>
  <c r="Y28" i="4"/>
  <c r="AO27" i="4"/>
  <c r="AF27" i="4"/>
  <c r="AH27" i="4" s="1"/>
  <c r="Z27" i="4"/>
  <c r="Y27" i="4"/>
  <c r="AO26" i="4"/>
  <c r="AF26" i="4"/>
  <c r="AH26" i="4" s="1"/>
  <c r="Z26" i="4"/>
  <c r="Y26" i="4"/>
  <c r="AO25" i="4"/>
  <c r="AF25" i="4"/>
  <c r="AH25" i="4" s="1"/>
  <c r="Z25" i="4"/>
  <c r="Y25" i="4"/>
  <c r="AO24" i="4"/>
  <c r="AF24" i="4"/>
  <c r="AH24" i="4" s="1"/>
  <c r="Z24" i="4"/>
  <c r="Y24" i="4"/>
  <c r="AO23" i="4"/>
  <c r="AF23" i="4"/>
  <c r="AH23" i="4" s="1"/>
  <c r="Z23" i="4"/>
  <c r="Y23" i="4"/>
  <c r="AO22" i="4"/>
  <c r="AF22" i="4"/>
  <c r="AH22" i="4" s="1"/>
  <c r="Z22" i="4"/>
  <c r="Y22" i="4"/>
  <c r="AO21" i="4"/>
  <c r="AF21" i="4"/>
  <c r="AH21" i="4" s="1"/>
  <c r="Z21" i="4"/>
  <c r="Y21" i="4"/>
  <c r="AO20" i="4"/>
  <c r="AF20" i="4"/>
  <c r="AH20" i="4" s="1"/>
  <c r="Z20" i="4"/>
  <c r="Y20" i="4"/>
  <c r="AO19" i="4"/>
  <c r="AF19" i="4"/>
  <c r="AH19" i="4" s="1"/>
  <c r="Z19" i="4"/>
  <c r="Y19" i="4"/>
  <c r="AO18" i="4"/>
  <c r="AF18" i="4"/>
  <c r="AH18" i="4" s="1"/>
  <c r="Z18" i="4"/>
  <c r="Y18" i="4"/>
  <c r="AO17" i="4"/>
  <c r="AF17" i="4"/>
  <c r="AH17" i="4" s="1"/>
  <c r="Z17" i="4"/>
  <c r="Y17" i="4"/>
  <c r="AO16" i="4"/>
  <c r="AF16" i="4"/>
  <c r="AH16" i="4" s="1"/>
  <c r="Z16" i="4"/>
  <c r="Y16" i="4"/>
  <c r="AO15" i="4"/>
  <c r="AF15" i="4"/>
  <c r="AH15" i="4" s="1"/>
  <c r="Z15" i="4"/>
  <c r="Y15" i="4"/>
  <c r="AO14" i="4"/>
  <c r="AF14" i="4"/>
  <c r="AH14" i="4" s="1"/>
  <c r="Z14" i="4"/>
  <c r="Y14" i="4"/>
  <c r="AO13" i="4"/>
  <c r="AF13" i="4"/>
  <c r="AH13" i="4" s="1"/>
  <c r="Z13" i="4"/>
  <c r="Y13" i="4"/>
  <c r="AO12" i="4"/>
  <c r="AF12" i="4"/>
  <c r="AH12" i="4" s="1"/>
  <c r="Z12" i="4"/>
  <c r="Y12" i="4"/>
  <c r="AO11" i="4"/>
  <c r="AF11" i="4"/>
  <c r="AH11" i="4" s="1"/>
  <c r="Z11" i="4"/>
  <c r="Y11" i="4"/>
  <c r="AO10" i="4"/>
  <c r="AF10" i="4"/>
  <c r="AH10" i="4" s="1"/>
  <c r="Z10" i="4"/>
  <c r="Y10" i="4"/>
  <c r="AO9" i="4"/>
  <c r="AF9" i="4"/>
  <c r="AH9" i="4" s="1"/>
  <c r="Z9" i="4"/>
  <c r="Y9" i="4"/>
  <c r="AO8" i="4"/>
  <c r="AF8" i="4"/>
  <c r="AH8" i="4" s="1"/>
  <c r="Z8" i="4"/>
  <c r="Y8" i="4"/>
  <c r="AO7" i="4"/>
  <c r="AF7" i="4"/>
  <c r="AH7" i="4" s="1"/>
  <c r="Z7" i="4"/>
  <c r="Y7" i="4"/>
  <c r="AO6" i="4"/>
  <c r="AF6" i="4"/>
  <c r="AH6" i="4" s="1"/>
  <c r="Z6" i="4"/>
  <c r="Y6" i="4"/>
  <c r="AO5" i="4"/>
  <c r="AF5" i="4"/>
  <c r="AH5" i="4" s="1"/>
  <c r="Z5" i="4"/>
  <c r="Y5" i="4"/>
  <c r="AO4" i="4"/>
  <c r="AF4" i="4"/>
  <c r="AH4" i="4" s="1"/>
  <c r="Z4" i="4"/>
  <c r="Y4" i="4"/>
  <c r="AO3" i="4"/>
  <c r="AF3" i="4"/>
  <c r="AH3" i="4" s="1"/>
  <c r="Z3" i="4"/>
  <c r="Y3" i="4"/>
  <c r="AJ1" i="4"/>
  <c r="AF1" i="4"/>
  <c r="AE1" i="4"/>
  <c r="AD1" i="4"/>
  <c r="AC1" i="4"/>
  <c r="AB1" i="4"/>
  <c r="Z1" i="4"/>
  <c r="V1" i="4"/>
  <c r="AO967" i="1"/>
  <c r="AO774" i="1"/>
  <c r="AO773" i="1"/>
  <c r="AO772" i="1"/>
  <c r="AO771" i="1"/>
  <c r="AO136" i="1"/>
  <c r="AO19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3" i="1"/>
  <c r="AF1326" i="1"/>
  <c r="AF1324" i="1"/>
  <c r="AF1317" i="1"/>
  <c r="AF1314" i="1"/>
  <c r="AF1313" i="1"/>
  <c r="AF1298" i="1"/>
  <c r="AF1281" i="1"/>
  <c r="AF1272" i="1"/>
  <c r="AF1270" i="1"/>
  <c r="AF1263" i="1"/>
  <c r="AF1260" i="1"/>
  <c r="AF1244" i="1"/>
  <c r="AF1239" i="1"/>
  <c r="AF1229" i="1"/>
  <c r="AF1194" i="1"/>
  <c r="AF1193" i="1"/>
  <c r="AF1182" i="1"/>
  <c r="AF1170" i="1"/>
  <c r="AF1164" i="1"/>
  <c r="AF1163" i="1"/>
  <c r="AF1162" i="1"/>
  <c r="AF1157" i="1"/>
  <c r="AF1152" i="1"/>
  <c r="AF1140" i="1"/>
  <c r="AF1128" i="1"/>
  <c r="AF1122" i="1"/>
  <c r="AF1108" i="1"/>
  <c r="AF1106" i="1"/>
  <c r="AF1104" i="1"/>
  <c r="AF1101" i="1"/>
  <c r="AF1099" i="1"/>
  <c r="AF1094" i="1"/>
  <c r="AF1087" i="1"/>
  <c r="AF1082" i="1"/>
  <c r="AF1073" i="1"/>
  <c r="AF1071" i="1"/>
  <c r="AF1062" i="1"/>
  <c r="AF1059" i="1"/>
  <c r="AF1051" i="1"/>
  <c r="AF1046" i="1"/>
  <c r="AF1040" i="1"/>
  <c r="AF1037" i="1"/>
  <c r="AF1032" i="1"/>
  <c r="AF1030" i="1"/>
  <c r="AF1019" i="1"/>
  <c r="AF1018" i="1"/>
  <c r="AF1009" i="1"/>
  <c r="AF1000" i="1"/>
  <c r="AF991" i="1"/>
  <c r="AF985" i="1"/>
  <c r="AF982" i="1"/>
  <c r="AF980" i="1"/>
  <c r="AF979" i="1"/>
  <c r="AF974" i="1"/>
  <c r="AF971" i="1"/>
  <c r="AF965" i="1"/>
  <c r="AF962" i="1"/>
  <c r="AF953" i="1"/>
  <c r="AF940" i="1"/>
  <c r="AF933" i="1"/>
  <c r="AF931" i="1"/>
  <c r="AF928" i="1"/>
  <c r="AF920" i="1"/>
  <c r="AF904" i="1"/>
  <c r="AF895" i="1"/>
  <c r="AF889" i="1"/>
  <c r="AF877" i="1"/>
  <c r="AF872" i="1"/>
  <c r="AF868" i="1"/>
  <c r="AF856" i="1"/>
  <c r="AF851" i="1"/>
  <c r="AF849" i="1"/>
  <c r="AF840" i="1"/>
  <c r="AF838" i="1"/>
  <c r="AF830" i="1"/>
  <c r="AF823" i="1"/>
  <c r="AF822" i="1"/>
  <c r="AF815" i="1"/>
  <c r="AF811" i="1"/>
  <c r="AF808" i="1"/>
  <c r="AF807" i="1"/>
  <c r="AF804" i="1"/>
  <c r="AF765" i="1"/>
  <c r="AF764" i="1"/>
  <c r="AF748" i="1"/>
  <c r="AF744" i="1"/>
  <c r="AF742" i="1"/>
  <c r="AF741" i="1"/>
  <c r="AF740" i="1"/>
  <c r="AF739" i="1"/>
  <c r="AF738" i="1"/>
  <c r="AF737" i="1"/>
  <c r="AF736" i="1"/>
  <c r="AF735" i="1"/>
  <c r="AF734" i="1"/>
  <c r="AF732" i="1"/>
  <c r="AF731" i="1"/>
  <c r="AF730" i="1"/>
  <c r="AF729" i="1"/>
  <c r="AF728" i="1"/>
  <c r="AF727" i="1"/>
  <c r="AF726" i="1"/>
  <c r="AF724" i="1"/>
  <c r="AF701" i="1"/>
  <c r="AF698" i="1"/>
  <c r="AF652" i="1"/>
  <c r="AF597" i="1"/>
  <c r="AF591" i="1"/>
  <c r="AF589" i="1"/>
  <c r="AF582" i="1"/>
  <c r="AF581" i="1"/>
  <c r="AF580" i="1"/>
  <c r="AF577" i="1"/>
  <c r="AF574" i="1"/>
  <c r="AF569" i="1"/>
  <c r="AF566" i="1"/>
  <c r="AF559" i="1"/>
  <c r="AF556" i="1"/>
  <c r="AF555" i="1"/>
  <c r="AF554" i="1"/>
  <c r="AF552" i="1"/>
  <c r="AF542" i="1"/>
  <c r="AF538" i="1"/>
  <c r="AF533" i="1"/>
  <c r="AF532" i="1"/>
  <c r="AF529" i="1"/>
  <c r="AF528" i="1"/>
  <c r="AF527" i="1"/>
  <c r="AF525" i="1"/>
  <c r="AF521" i="1"/>
  <c r="AF519" i="1"/>
  <c r="AF517" i="1"/>
  <c r="AF516" i="1"/>
  <c r="AF515" i="1"/>
  <c r="AF507" i="1"/>
  <c r="AF505" i="1"/>
  <c r="AF501" i="1"/>
  <c r="AF497" i="1"/>
  <c r="AF496" i="1"/>
  <c r="AF495" i="1"/>
  <c r="AF493" i="1"/>
  <c r="AF489" i="1"/>
  <c r="AF488" i="1"/>
  <c r="AF487" i="1"/>
  <c r="AF486" i="1"/>
  <c r="AF479" i="1"/>
  <c r="AF475" i="1"/>
  <c r="AF472" i="1"/>
  <c r="AF462" i="1"/>
  <c r="AF460" i="1"/>
  <c r="AF456" i="1"/>
  <c r="AF449" i="1"/>
  <c r="AF440" i="1"/>
  <c r="AF433" i="1"/>
  <c r="AF428" i="1"/>
  <c r="AF425" i="1"/>
  <c r="AF419" i="1"/>
  <c r="AF418" i="1"/>
  <c r="AF410" i="1"/>
  <c r="AF408" i="1"/>
  <c r="AF404" i="1"/>
  <c r="AF401" i="1"/>
  <c r="AF399" i="1"/>
  <c r="AF397" i="1"/>
  <c r="AF388" i="1"/>
  <c r="AF387" i="1"/>
  <c r="AF386" i="1"/>
  <c r="AF382" i="1"/>
  <c r="AF380" i="1"/>
  <c r="AF379" i="1"/>
  <c r="AF374" i="1"/>
  <c r="AF365" i="1"/>
  <c r="AF362" i="1"/>
  <c r="AF360" i="1"/>
  <c r="AF354" i="1"/>
  <c r="AF353" i="1"/>
  <c r="AF348" i="1"/>
  <c r="AF345" i="1"/>
  <c r="AF344" i="1"/>
  <c r="AF342" i="1"/>
  <c r="AF341" i="1"/>
  <c r="AF340" i="1"/>
  <c r="AF334" i="1"/>
  <c r="AF332" i="1"/>
  <c r="AF330" i="1"/>
  <c r="AF327" i="1"/>
  <c r="AF320" i="1"/>
  <c r="AF318" i="1"/>
  <c r="AF314" i="1"/>
  <c r="AF313" i="1"/>
  <c r="AF312" i="1"/>
  <c r="AF304" i="1"/>
  <c r="AF303" i="1"/>
  <c r="AF301" i="1"/>
  <c r="AF298" i="1"/>
  <c r="AF295" i="1"/>
  <c r="AF294" i="1"/>
  <c r="AF287" i="1"/>
  <c r="AF286" i="1"/>
  <c r="AF285" i="1"/>
  <c r="AF284" i="1"/>
  <c r="AF281" i="1"/>
  <c r="AF276" i="1"/>
  <c r="AF275" i="1"/>
  <c r="AF272" i="1"/>
  <c r="AF271" i="1"/>
  <c r="AF269" i="1"/>
  <c r="AF267" i="1"/>
  <c r="AF265" i="1"/>
  <c r="AF263" i="1"/>
  <c r="AF260" i="1"/>
  <c r="AF258" i="1"/>
  <c r="AF256" i="1"/>
  <c r="AF250" i="1"/>
  <c r="AF248" i="1"/>
  <c r="AF245" i="1"/>
  <c r="AF240" i="1"/>
  <c r="AF239" i="1"/>
  <c r="AF234" i="1"/>
  <c r="AF229" i="1"/>
  <c r="AF228" i="1"/>
  <c r="AF225" i="1"/>
  <c r="AF223" i="1"/>
  <c r="AF221" i="1"/>
  <c r="AF220" i="1"/>
  <c r="AF13" i="1"/>
  <c r="AH19" i="1"/>
  <c r="AH20" i="1"/>
  <c r="AH23" i="1"/>
  <c r="AH24" i="1"/>
  <c r="AH25" i="1"/>
  <c r="AH27" i="1"/>
  <c r="AH28" i="1"/>
  <c r="AH31" i="1"/>
  <c r="AH34" i="1"/>
  <c r="AH35" i="1"/>
  <c r="AH36" i="1"/>
  <c r="AH38" i="1"/>
  <c r="AH43" i="1"/>
  <c r="AH45" i="1"/>
  <c r="AH46" i="1"/>
  <c r="AH50" i="1"/>
  <c r="AH52" i="1"/>
  <c r="AH54" i="1"/>
  <c r="AH55" i="1"/>
  <c r="AH56" i="1"/>
  <c r="AH57" i="1"/>
  <c r="AH59" i="1"/>
  <c r="AH60" i="1"/>
  <c r="AH63" i="1"/>
  <c r="AH65" i="1"/>
  <c r="AH66" i="1"/>
  <c r="AH68" i="1"/>
  <c r="AH69" i="1"/>
  <c r="AH73" i="1"/>
  <c r="AH74" i="1"/>
  <c r="AH76" i="1"/>
  <c r="AH81" i="1"/>
  <c r="AH82" i="1"/>
  <c r="AH84" i="1"/>
  <c r="AH86" i="1"/>
  <c r="AH87" i="1"/>
  <c r="AH89" i="1"/>
  <c r="AH95" i="1"/>
  <c r="AH96" i="1"/>
  <c r="AH98" i="1"/>
  <c r="AH99" i="1"/>
  <c r="AH100" i="1"/>
  <c r="AH102" i="1"/>
  <c r="AH107" i="1"/>
  <c r="AH108" i="1"/>
  <c r="AH109" i="1"/>
  <c r="AH111" i="1"/>
  <c r="AH114" i="1"/>
  <c r="AH115" i="1"/>
  <c r="AH116" i="1"/>
  <c r="AH117" i="1"/>
  <c r="AH118" i="1"/>
  <c r="AH120" i="1"/>
  <c r="AH124" i="1"/>
  <c r="AH125" i="1"/>
  <c r="AH127" i="1"/>
  <c r="AH129" i="1"/>
  <c r="AH133" i="1"/>
  <c r="AH134" i="1"/>
  <c r="AH138" i="1"/>
  <c r="AH139" i="1"/>
  <c r="AH144" i="1"/>
  <c r="AH146" i="1"/>
  <c r="AH148" i="1"/>
  <c r="AH150" i="1"/>
  <c r="AH154" i="1"/>
  <c r="AH155" i="1"/>
  <c r="AH158" i="1"/>
  <c r="AH161" i="1"/>
  <c r="AH163" i="1"/>
  <c r="AH164" i="1"/>
  <c r="AH165" i="1"/>
  <c r="AH166" i="1"/>
  <c r="AH169" i="1"/>
  <c r="AH170" i="1"/>
  <c r="AH173" i="1"/>
  <c r="AH175" i="1"/>
  <c r="AH176" i="1"/>
  <c r="AH177" i="1"/>
  <c r="AH178" i="1"/>
  <c r="AH180" i="1"/>
  <c r="AH186" i="1"/>
  <c r="AH187" i="1"/>
  <c r="AH190" i="1"/>
  <c r="AH191" i="1"/>
  <c r="AH195" i="1"/>
  <c r="AH196" i="1"/>
  <c r="AH199" i="1"/>
  <c r="AH200" i="1"/>
  <c r="AH201" i="1"/>
  <c r="AH203" i="1"/>
  <c r="AH204" i="1"/>
  <c r="AH207" i="1"/>
  <c r="AH208" i="1"/>
  <c r="AH209" i="1"/>
  <c r="AH210" i="1"/>
  <c r="AH211" i="1"/>
  <c r="AH214" i="1"/>
  <c r="AH215" i="1"/>
  <c r="AF3" i="1"/>
  <c r="AF4" i="1"/>
  <c r="AH4" i="1" s="1"/>
  <c r="AK4" i="1" s="1"/>
  <c r="AF5" i="1"/>
  <c r="AH5" i="1" s="1"/>
  <c r="AK5" i="1" s="1"/>
  <c r="AF6" i="1"/>
  <c r="AH6" i="1" s="1"/>
  <c r="AK6" i="1" s="1"/>
  <c r="AF7" i="1"/>
  <c r="AH7" i="1" s="1"/>
  <c r="AK7" i="1" s="1"/>
  <c r="AF8" i="1"/>
  <c r="AH8" i="1" s="1"/>
  <c r="AK8" i="1" s="1"/>
  <c r="AF9" i="1"/>
  <c r="AH9" i="1" s="1"/>
  <c r="AK9" i="1" s="1"/>
  <c r="AF10" i="1"/>
  <c r="AH10" i="1" s="1"/>
  <c r="AK10" i="1" s="1"/>
  <c r="AF11" i="1"/>
  <c r="AH11" i="1" s="1"/>
  <c r="AK11" i="1" s="1"/>
  <c r="AF12" i="1"/>
  <c r="AH12" i="1" s="1"/>
  <c r="AK12" i="1" s="1"/>
  <c r="AH13" i="1"/>
  <c r="AK13" i="1" s="1"/>
  <c r="AF14" i="1"/>
  <c r="AH14" i="1" s="1"/>
  <c r="AK14" i="1" s="1"/>
  <c r="AF15" i="1"/>
  <c r="AH15" i="1" s="1"/>
  <c r="AK15" i="1" s="1"/>
  <c r="AF16" i="1"/>
  <c r="AH16" i="1" s="1"/>
  <c r="AK16" i="1" s="1"/>
  <c r="AF17" i="1"/>
  <c r="AH17" i="1" s="1"/>
  <c r="AK17" i="1" s="1"/>
  <c r="AF18" i="1"/>
  <c r="AH18" i="1" s="1"/>
  <c r="AK18" i="1" s="1"/>
  <c r="AF21" i="1"/>
  <c r="AH21" i="1" s="1"/>
  <c r="AF22" i="1"/>
  <c r="AH22" i="1" s="1"/>
  <c r="AF26" i="1"/>
  <c r="AH26" i="1" s="1"/>
  <c r="AF29" i="1"/>
  <c r="AH29" i="1" s="1"/>
  <c r="AF30" i="1"/>
  <c r="AH30" i="1" s="1"/>
  <c r="AF32" i="1"/>
  <c r="AH32" i="1" s="1"/>
  <c r="AF33" i="1"/>
  <c r="AH33" i="1" s="1"/>
  <c r="AF37" i="1"/>
  <c r="AH37" i="1" s="1"/>
  <c r="AF39" i="1"/>
  <c r="AH39" i="1" s="1"/>
  <c r="AF40" i="1"/>
  <c r="AH40" i="1" s="1"/>
  <c r="AF41" i="1"/>
  <c r="AH41" i="1" s="1"/>
  <c r="AF42" i="1"/>
  <c r="AH42" i="1" s="1"/>
  <c r="AF44" i="1"/>
  <c r="AH44" i="1" s="1"/>
  <c r="AF47" i="1"/>
  <c r="AH47" i="1" s="1"/>
  <c r="AF48" i="1"/>
  <c r="AH48" i="1" s="1"/>
  <c r="AF49" i="1"/>
  <c r="AH49" i="1" s="1"/>
  <c r="AF51" i="1"/>
  <c r="AH51" i="1" s="1"/>
  <c r="AF53" i="1"/>
  <c r="AH53" i="1" s="1"/>
  <c r="AF58" i="1"/>
  <c r="AH58" i="1" s="1"/>
  <c r="AF61" i="1"/>
  <c r="AH61" i="1" s="1"/>
  <c r="AF62" i="1"/>
  <c r="AH62" i="1" s="1"/>
  <c r="AF64" i="1"/>
  <c r="AH64" i="1" s="1"/>
  <c r="AF67" i="1"/>
  <c r="AH67" i="1" s="1"/>
  <c r="AF70" i="1"/>
  <c r="AH70" i="1" s="1"/>
  <c r="AF71" i="1"/>
  <c r="AH71" i="1" s="1"/>
  <c r="AF72" i="1"/>
  <c r="AH72" i="1" s="1"/>
  <c r="AF75" i="1"/>
  <c r="AH75" i="1" s="1"/>
  <c r="AF77" i="1"/>
  <c r="AH77" i="1" s="1"/>
  <c r="AF78" i="1"/>
  <c r="AH78" i="1" s="1"/>
  <c r="AF79" i="1"/>
  <c r="AH79" i="1" s="1"/>
  <c r="AF80" i="1"/>
  <c r="AH80" i="1" s="1"/>
  <c r="AF83" i="1"/>
  <c r="AH83" i="1" s="1"/>
  <c r="AF85" i="1"/>
  <c r="AH85" i="1" s="1"/>
  <c r="AF88" i="1"/>
  <c r="AH88" i="1" s="1"/>
  <c r="AF90" i="1"/>
  <c r="AH90" i="1" s="1"/>
  <c r="AF91" i="1"/>
  <c r="AH91" i="1" s="1"/>
  <c r="AF92" i="1"/>
  <c r="AH92" i="1" s="1"/>
  <c r="AF93" i="1"/>
  <c r="AH93" i="1" s="1"/>
  <c r="AF94" i="1"/>
  <c r="AH94" i="1" s="1"/>
  <c r="AF97" i="1"/>
  <c r="AH97" i="1" s="1"/>
  <c r="AF101" i="1"/>
  <c r="AH101" i="1" s="1"/>
  <c r="AF103" i="1"/>
  <c r="AH103" i="1" s="1"/>
  <c r="AF104" i="1"/>
  <c r="AH104" i="1" s="1"/>
  <c r="AF105" i="1"/>
  <c r="AH105" i="1" s="1"/>
  <c r="AF106" i="1"/>
  <c r="AH106" i="1" s="1"/>
  <c r="AF110" i="1"/>
  <c r="AH110" i="1" s="1"/>
  <c r="AF112" i="1"/>
  <c r="AH112" i="1" s="1"/>
  <c r="AF113" i="1"/>
  <c r="AH113" i="1" s="1"/>
  <c r="AF119" i="1"/>
  <c r="AH119" i="1" s="1"/>
  <c r="AF121" i="1"/>
  <c r="AH121" i="1" s="1"/>
  <c r="AF122" i="1"/>
  <c r="AH122" i="1" s="1"/>
  <c r="AF123" i="1"/>
  <c r="AH123" i="1" s="1"/>
  <c r="AF126" i="1"/>
  <c r="AH126" i="1" s="1"/>
  <c r="AF128" i="1"/>
  <c r="AH128" i="1" s="1"/>
  <c r="AF130" i="1"/>
  <c r="AH130" i="1" s="1"/>
  <c r="AF131" i="1"/>
  <c r="AH131" i="1" s="1"/>
  <c r="AF132" i="1"/>
  <c r="AH132" i="1" s="1"/>
  <c r="AF135" i="1"/>
  <c r="AH135" i="1" s="1"/>
  <c r="AF136" i="1"/>
  <c r="AH136" i="1" s="1"/>
  <c r="AF137" i="1"/>
  <c r="AH137" i="1" s="1"/>
  <c r="AF140" i="1"/>
  <c r="AH140" i="1" s="1"/>
  <c r="AF141" i="1"/>
  <c r="AH141" i="1" s="1"/>
  <c r="AF142" i="1"/>
  <c r="AH142" i="1" s="1"/>
  <c r="AF143" i="1"/>
  <c r="AH143" i="1" s="1"/>
  <c r="AF145" i="1"/>
  <c r="AH145" i="1" s="1"/>
  <c r="AF147" i="1"/>
  <c r="AH147" i="1" s="1"/>
  <c r="AF149" i="1"/>
  <c r="AH149" i="1" s="1"/>
  <c r="AF151" i="1"/>
  <c r="AH151" i="1" s="1"/>
  <c r="AF152" i="1"/>
  <c r="AH152" i="1" s="1"/>
  <c r="AF153" i="1"/>
  <c r="AH153" i="1" s="1"/>
  <c r="AF156" i="1"/>
  <c r="AH156" i="1" s="1"/>
  <c r="AF157" i="1"/>
  <c r="AH157" i="1" s="1"/>
  <c r="AF159" i="1"/>
  <c r="AH159" i="1" s="1"/>
  <c r="AF160" i="1"/>
  <c r="AH160" i="1" s="1"/>
  <c r="AF162" i="1"/>
  <c r="AH162" i="1" s="1"/>
  <c r="AF167" i="1"/>
  <c r="AH167" i="1" s="1"/>
  <c r="AF168" i="1"/>
  <c r="AH168" i="1" s="1"/>
  <c r="AF171" i="1"/>
  <c r="AH171" i="1" s="1"/>
  <c r="AF172" i="1"/>
  <c r="AH172" i="1" s="1"/>
  <c r="AF174" i="1"/>
  <c r="AH174" i="1" s="1"/>
  <c r="AF179" i="1"/>
  <c r="AH179" i="1" s="1"/>
  <c r="AF181" i="1"/>
  <c r="AH181" i="1" s="1"/>
  <c r="AF182" i="1"/>
  <c r="AH182" i="1" s="1"/>
  <c r="AF183" i="1"/>
  <c r="AH183" i="1" s="1"/>
  <c r="AF184" i="1"/>
  <c r="AH184" i="1" s="1"/>
  <c r="AF185" i="1"/>
  <c r="AH185" i="1" s="1"/>
  <c r="AF188" i="1"/>
  <c r="AH188" i="1" s="1"/>
  <c r="AF189" i="1"/>
  <c r="AH189" i="1" s="1"/>
  <c r="AF192" i="1"/>
  <c r="AH192" i="1" s="1"/>
  <c r="AF193" i="1"/>
  <c r="AH193" i="1" s="1"/>
  <c r="AF194" i="1"/>
  <c r="AH194" i="1" s="1"/>
  <c r="AF197" i="1"/>
  <c r="AH197" i="1" s="1"/>
  <c r="AF198" i="1"/>
  <c r="AH198" i="1" s="1"/>
  <c r="AF202" i="1"/>
  <c r="AH202" i="1" s="1"/>
  <c r="AF205" i="1"/>
  <c r="AH205" i="1" s="1"/>
  <c r="AF206" i="1"/>
  <c r="AH206" i="1" s="1"/>
  <c r="AF212" i="1"/>
  <c r="AH212" i="1" s="1"/>
  <c r="AF213" i="1"/>
  <c r="AH213" i="1" s="1"/>
  <c r="AF216" i="1"/>
  <c r="AH216" i="1" s="1"/>
  <c r="AF217" i="1"/>
  <c r="AH217" i="1" s="1"/>
  <c r="AF218" i="1"/>
  <c r="AH218" i="1" s="1"/>
  <c r="AF219" i="1"/>
  <c r="AH219" i="1" s="1"/>
  <c r="AH220" i="1"/>
  <c r="AH221" i="1"/>
  <c r="AF222" i="1"/>
  <c r="AH222" i="1" s="1"/>
  <c r="AH223" i="1"/>
  <c r="AF224" i="1"/>
  <c r="AH224" i="1" s="1"/>
  <c r="AH225" i="1"/>
  <c r="AF226" i="1"/>
  <c r="AH226" i="1" s="1"/>
  <c r="AF227" i="1"/>
  <c r="AH227" i="1" s="1"/>
  <c r="AH228" i="1"/>
  <c r="AH229" i="1"/>
  <c r="AF230" i="1"/>
  <c r="AH230" i="1" s="1"/>
  <c r="AF231" i="1"/>
  <c r="AH231" i="1" s="1"/>
  <c r="AF232" i="1"/>
  <c r="AH232" i="1" s="1"/>
  <c r="AF233" i="1"/>
  <c r="AH233" i="1" s="1"/>
  <c r="AH234" i="1"/>
  <c r="AF235" i="1"/>
  <c r="AH235" i="1" s="1"/>
  <c r="AF236" i="1"/>
  <c r="AH236" i="1" s="1"/>
  <c r="AF237" i="1"/>
  <c r="AH237" i="1" s="1"/>
  <c r="AF238" i="1"/>
  <c r="AH238" i="1" s="1"/>
  <c r="AH239" i="1"/>
  <c r="AH240" i="1"/>
  <c r="AF241" i="1"/>
  <c r="AH241" i="1" s="1"/>
  <c r="AF242" i="1"/>
  <c r="AH242" i="1" s="1"/>
  <c r="AF243" i="1"/>
  <c r="AH243" i="1" s="1"/>
  <c r="AF244" i="1"/>
  <c r="AH244" i="1" s="1"/>
  <c r="AH245" i="1"/>
  <c r="AF246" i="1"/>
  <c r="AH246" i="1" s="1"/>
  <c r="AF247" i="1"/>
  <c r="AH247" i="1" s="1"/>
  <c r="AH248" i="1"/>
  <c r="AF249" i="1"/>
  <c r="AH249" i="1" s="1"/>
  <c r="AH250" i="1"/>
  <c r="AF251" i="1"/>
  <c r="AH251" i="1" s="1"/>
  <c r="AF252" i="1"/>
  <c r="AH252" i="1" s="1"/>
  <c r="AF253" i="1"/>
  <c r="AH253" i="1" s="1"/>
  <c r="AF254" i="1"/>
  <c r="AH254" i="1" s="1"/>
  <c r="AF255" i="1"/>
  <c r="AH255" i="1" s="1"/>
  <c r="AH256" i="1"/>
  <c r="AF257" i="1"/>
  <c r="AH257" i="1" s="1"/>
  <c r="AH258" i="1"/>
  <c r="AF259" i="1"/>
  <c r="AH259" i="1" s="1"/>
  <c r="AH260" i="1"/>
  <c r="AF261" i="1"/>
  <c r="AH261" i="1" s="1"/>
  <c r="AF262" i="1"/>
  <c r="AH262" i="1" s="1"/>
  <c r="AH263" i="1"/>
  <c r="AF264" i="1"/>
  <c r="AH264" i="1" s="1"/>
  <c r="AH265" i="1"/>
  <c r="AF266" i="1"/>
  <c r="AH266" i="1" s="1"/>
  <c r="AH267" i="1"/>
  <c r="AF268" i="1"/>
  <c r="AH268" i="1" s="1"/>
  <c r="AH269" i="1"/>
  <c r="AF270" i="1"/>
  <c r="AH270" i="1" s="1"/>
  <c r="AH271" i="1"/>
  <c r="AH272" i="1"/>
  <c r="AF273" i="1"/>
  <c r="AH273" i="1" s="1"/>
  <c r="AF274" i="1"/>
  <c r="AH274" i="1" s="1"/>
  <c r="AH275" i="1"/>
  <c r="AH276" i="1"/>
  <c r="AF277" i="1"/>
  <c r="AH277" i="1" s="1"/>
  <c r="AF278" i="1"/>
  <c r="AH278" i="1" s="1"/>
  <c r="AF279" i="1"/>
  <c r="AH279" i="1" s="1"/>
  <c r="AF280" i="1"/>
  <c r="AH280" i="1" s="1"/>
  <c r="AH281" i="1"/>
  <c r="AF282" i="1"/>
  <c r="AH282" i="1" s="1"/>
  <c r="AF283" i="1"/>
  <c r="AH283" i="1" s="1"/>
  <c r="AH284" i="1"/>
  <c r="AH285" i="1"/>
  <c r="AH286" i="1"/>
  <c r="AH287" i="1"/>
  <c r="AF288" i="1"/>
  <c r="AH288" i="1" s="1"/>
  <c r="AF289" i="1"/>
  <c r="AH289" i="1" s="1"/>
  <c r="AF290" i="1"/>
  <c r="AH290" i="1" s="1"/>
  <c r="AF291" i="1"/>
  <c r="AH291" i="1" s="1"/>
  <c r="AF292" i="1"/>
  <c r="AH292" i="1" s="1"/>
  <c r="AF293" i="1"/>
  <c r="AH293" i="1" s="1"/>
  <c r="AH294" i="1"/>
  <c r="AH295" i="1"/>
  <c r="AF296" i="1"/>
  <c r="AH296" i="1" s="1"/>
  <c r="AF297" i="1"/>
  <c r="AH297" i="1" s="1"/>
  <c r="AH298" i="1"/>
  <c r="AF299" i="1"/>
  <c r="AH299" i="1" s="1"/>
  <c r="AF300" i="1"/>
  <c r="AH300" i="1" s="1"/>
  <c r="AH301" i="1"/>
  <c r="AF302" i="1"/>
  <c r="AH302" i="1" s="1"/>
  <c r="AH303" i="1"/>
  <c r="AH304" i="1"/>
  <c r="AF305" i="1"/>
  <c r="AH305" i="1" s="1"/>
  <c r="AF306" i="1"/>
  <c r="AH306" i="1" s="1"/>
  <c r="AF307" i="1"/>
  <c r="AH307" i="1" s="1"/>
  <c r="AF308" i="1"/>
  <c r="AH308" i="1" s="1"/>
  <c r="AF309" i="1"/>
  <c r="AH309" i="1" s="1"/>
  <c r="AF310" i="1"/>
  <c r="AH310" i="1" s="1"/>
  <c r="AF311" i="1"/>
  <c r="AH311" i="1" s="1"/>
  <c r="AH312" i="1"/>
  <c r="AH313" i="1"/>
  <c r="AH314" i="1"/>
  <c r="AF315" i="1"/>
  <c r="AH315" i="1" s="1"/>
  <c r="AF316" i="1"/>
  <c r="AH316" i="1" s="1"/>
  <c r="AF317" i="1"/>
  <c r="AH317" i="1" s="1"/>
  <c r="AH318" i="1"/>
  <c r="AF319" i="1"/>
  <c r="AH319" i="1" s="1"/>
  <c r="AH320" i="1"/>
  <c r="AF321" i="1"/>
  <c r="AH321" i="1" s="1"/>
  <c r="AF322" i="1"/>
  <c r="AH322" i="1" s="1"/>
  <c r="AF323" i="1"/>
  <c r="AH323" i="1" s="1"/>
  <c r="AF324" i="1"/>
  <c r="AH324" i="1" s="1"/>
  <c r="AF325" i="1"/>
  <c r="AH325" i="1" s="1"/>
  <c r="AF326" i="1"/>
  <c r="AH326" i="1" s="1"/>
  <c r="AH327" i="1"/>
  <c r="AF328" i="1"/>
  <c r="AH328" i="1" s="1"/>
  <c r="AF329" i="1"/>
  <c r="AH329" i="1" s="1"/>
  <c r="AH330" i="1"/>
  <c r="AF331" i="1"/>
  <c r="AH331" i="1" s="1"/>
  <c r="AH332" i="1"/>
  <c r="AF333" i="1"/>
  <c r="AH333" i="1" s="1"/>
  <c r="AH334" i="1"/>
  <c r="AF335" i="1"/>
  <c r="AH335" i="1" s="1"/>
  <c r="AF336" i="1"/>
  <c r="AH336" i="1" s="1"/>
  <c r="AF337" i="1"/>
  <c r="AH337" i="1" s="1"/>
  <c r="AF338" i="1"/>
  <c r="AH338" i="1" s="1"/>
  <c r="AF339" i="1"/>
  <c r="AH339" i="1" s="1"/>
  <c r="AH340" i="1"/>
  <c r="AH341" i="1"/>
  <c r="AH342" i="1"/>
  <c r="AF343" i="1"/>
  <c r="AH343" i="1" s="1"/>
  <c r="AH344" i="1"/>
  <c r="AH345" i="1"/>
  <c r="AF346" i="1"/>
  <c r="AH346" i="1" s="1"/>
  <c r="AF347" i="1"/>
  <c r="AH347" i="1" s="1"/>
  <c r="AH348" i="1"/>
  <c r="AF349" i="1"/>
  <c r="AH349" i="1" s="1"/>
  <c r="AF350" i="1"/>
  <c r="AH350" i="1" s="1"/>
  <c r="AF351" i="1"/>
  <c r="AH351" i="1" s="1"/>
  <c r="AF352" i="1"/>
  <c r="AH352" i="1" s="1"/>
  <c r="AH353" i="1"/>
  <c r="AH354" i="1"/>
  <c r="AF355" i="1"/>
  <c r="AH355" i="1" s="1"/>
  <c r="AF356" i="1"/>
  <c r="AH356" i="1" s="1"/>
  <c r="AF357" i="1"/>
  <c r="AH357" i="1" s="1"/>
  <c r="AF358" i="1"/>
  <c r="AH358" i="1" s="1"/>
  <c r="AF359" i="1"/>
  <c r="AH359" i="1" s="1"/>
  <c r="AH360" i="1"/>
  <c r="AF361" i="1"/>
  <c r="AH361" i="1" s="1"/>
  <c r="AH362" i="1"/>
  <c r="AF363" i="1"/>
  <c r="AH363" i="1" s="1"/>
  <c r="AF364" i="1"/>
  <c r="AH364" i="1" s="1"/>
  <c r="AH365" i="1"/>
  <c r="AF366" i="1"/>
  <c r="AH366" i="1" s="1"/>
  <c r="AF367" i="1"/>
  <c r="AH367" i="1" s="1"/>
  <c r="AF368" i="1"/>
  <c r="AH368" i="1" s="1"/>
  <c r="AF369" i="1"/>
  <c r="AH369" i="1" s="1"/>
  <c r="AF370" i="1"/>
  <c r="AH370" i="1" s="1"/>
  <c r="AF371" i="1"/>
  <c r="AH371" i="1" s="1"/>
  <c r="AF372" i="1"/>
  <c r="AH372" i="1" s="1"/>
  <c r="AF373" i="1"/>
  <c r="AH373" i="1" s="1"/>
  <c r="AH374" i="1"/>
  <c r="AF375" i="1"/>
  <c r="AH375" i="1" s="1"/>
  <c r="AF376" i="1"/>
  <c r="AH376" i="1" s="1"/>
  <c r="AF377" i="1"/>
  <c r="AH377" i="1" s="1"/>
  <c r="AF378" i="1"/>
  <c r="AH378" i="1" s="1"/>
  <c r="AH379" i="1"/>
  <c r="AH380" i="1"/>
  <c r="AF381" i="1"/>
  <c r="AH381" i="1" s="1"/>
  <c r="AH382" i="1"/>
  <c r="AF383" i="1"/>
  <c r="AH383" i="1" s="1"/>
  <c r="AF384" i="1"/>
  <c r="AH384" i="1" s="1"/>
  <c r="AF385" i="1"/>
  <c r="AH385" i="1" s="1"/>
  <c r="AH386" i="1"/>
  <c r="AH387" i="1"/>
  <c r="AH388" i="1"/>
  <c r="AF389" i="1"/>
  <c r="AH389" i="1" s="1"/>
  <c r="AF390" i="1"/>
  <c r="AH390" i="1" s="1"/>
  <c r="AF391" i="1"/>
  <c r="AH391" i="1" s="1"/>
  <c r="AF392" i="1"/>
  <c r="AH392" i="1" s="1"/>
  <c r="AF393" i="1"/>
  <c r="AH393" i="1" s="1"/>
  <c r="AF394" i="1"/>
  <c r="AH394" i="1" s="1"/>
  <c r="AF395" i="1"/>
  <c r="AH395" i="1" s="1"/>
  <c r="AF396" i="1"/>
  <c r="AH396" i="1" s="1"/>
  <c r="AH397" i="1"/>
  <c r="AF398" i="1"/>
  <c r="AH398" i="1" s="1"/>
  <c r="AH399" i="1"/>
  <c r="AF400" i="1"/>
  <c r="AH400" i="1" s="1"/>
  <c r="AH401" i="1"/>
  <c r="AF402" i="1"/>
  <c r="AH402" i="1" s="1"/>
  <c r="AF403" i="1"/>
  <c r="AH403" i="1" s="1"/>
  <c r="AH404" i="1"/>
  <c r="AF405" i="1"/>
  <c r="AH405" i="1" s="1"/>
  <c r="AF406" i="1"/>
  <c r="AH406" i="1" s="1"/>
  <c r="AF407" i="1"/>
  <c r="AH407" i="1" s="1"/>
  <c r="AH408" i="1"/>
  <c r="AF409" i="1"/>
  <c r="AH409" i="1" s="1"/>
  <c r="AH410" i="1"/>
  <c r="AF411" i="1"/>
  <c r="AH411" i="1" s="1"/>
  <c r="AF412" i="1"/>
  <c r="AH412" i="1" s="1"/>
  <c r="AF413" i="1"/>
  <c r="AH413" i="1" s="1"/>
  <c r="AF414" i="1"/>
  <c r="AH414" i="1" s="1"/>
  <c r="AF415" i="1"/>
  <c r="AH415" i="1" s="1"/>
  <c r="AF416" i="1"/>
  <c r="AH416" i="1" s="1"/>
  <c r="AF417" i="1"/>
  <c r="AH417" i="1" s="1"/>
  <c r="AH418" i="1"/>
  <c r="AH419" i="1"/>
  <c r="AF420" i="1"/>
  <c r="AH420" i="1" s="1"/>
  <c r="AF421" i="1"/>
  <c r="AH421" i="1" s="1"/>
  <c r="AF422" i="1"/>
  <c r="AH422" i="1" s="1"/>
  <c r="AF423" i="1"/>
  <c r="AH423" i="1" s="1"/>
  <c r="AF424" i="1"/>
  <c r="AH424" i="1" s="1"/>
  <c r="AH425" i="1"/>
  <c r="AF426" i="1"/>
  <c r="AH426" i="1" s="1"/>
  <c r="AF427" i="1"/>
  <c r="AH427" i="1" s="1"/>
  <c r="AH428" i="1"/>
  <c r="AF429" i="1"/>
  <c r="AH429" i="1" s="1"/>
  <c r="AF430" i="1"/>
  <c r="AH430" i="1" s="1"/>
  <c r="AF431" i="1"/>
  <c r="AH431" i="1" s="1"/>
  <c r="AF432" i="1"/>
  <c r="AH432" i="1" s="1"/>
  <c r="AH433" i="1"/>
  <c r="AF434" i="1"/>
  <c r="AH434" i="1" s="1"/>
  <c r="AF435" i="1"/>
  <c r="AH435" i="1" s="1"/>
  <c r="AF436" i="1"/>
  <c r="AH436" i="1" s="1"/>
  <c r="AF437" i="1"/>
  <c r="AH437" i="1" s="1"/>
  <c r="AF438" i="1"/>
  <c r="AH438" i="1" s="1"/>
  <c r="AF439" i="1"/>
  <c r="AH439" i="1" s="1"/>
  <c r="AH440" i="1"/>
  <c r="AF441" i="1"/>
  <c r="AH441" i="1" s="1"/>
  <c r="AF442" i="1"/>
  <c r="AH442" i="1" s="1"/>
  <c r="AF443" i="1"/>
  <c r="AH443" i="1" s="1"/>
  <c r="AF444" i="1"/>
  <c r="AH444" i="1" s="1"/>
  <c r="AF445" i="1"/>
  <c r="AH445" i="1" s="1"/>
  <c r="AF446" i="1"/>
  <c r="AH446" i="1" s="1"/>
  <c r="AF447" i="1"/>
  <c r="AH447" i="1" s="1"/>
  <c r="AF448" i="1"/>
  <c r="AH448" i="1" s="1"/>
  <c r="AH449" i="1"/>
  <c r="AF450" i="1"/>
  <c r="AH450" i="1" s="1"/>
  <c r="AF451" i="1"/>
  <c r="AH451" i="1" s="1"/>
  <c r="AF452" i="1"/>
  <c r="AH452" i="1" s="1"/>
  <c r="AF453" i="1"/>
  <c r="AH453" i="1" s="1"/>
  <c r="AF454" i="1"/>
  <c r="AH454" i="1" s="1"/>
  <c r="AF455" i="1"/>
  <c r="AH455" i="1" s="1"/>
  <c r="AH456" i="1"/>
  <c r="AF457" i="1"/>
  <c r="AH457" i="1" s="1"/>
  <c r="AF458" i="1"/>
  <c r="AH458" i="1" s="1"/>
  <c r="AF459" i="1"/>
  <c r="AH459" i="1" s="1"/>
  <c r="AH460" i="1"/>
  <c r="AF461" i="1"/>
  <c r="AH461" i="1" s="1"/>
  <c r="AH462" i="1"/>
  <c r="AF463" i="1"/>
  <c r="AH463" i="1" s="1"/>
  <c r="AF464" i="1"/>
  <c r="AH464" i="1" s="1"/>
  <c r="AF465" i="1"/>
  <c r="AH465" i="1" s="1"/>
  <c r="AF466" i="1"/>
  <c r="AH466" i="1" s="1"/>
  <c r="AF467" i="1"/>
  <c r="AH467" i="1" s="1"/>
  <c r="AF468" i="1"/>
  <c r="AH468" i="1" s="1"/>
  <c r="AF469" i="1"/>
  <c r="AH469" i="1" s="1"/>
  <c r="AF470" i="1"/>
  <c r="AH470" i="1" s="1"/>
  <c r="AF471" i="1"/>
  <c r="AH471" i="1" s="1"/>
  <c r="AH472" i="1"/>
  <c r="AF473" i="1"/>
  <c r="AH473" i="1" s="1"/>
  <c r="AF474" i="1"/>
  <c r="AH474" i="1" s="1"/>
  <c r="AH475" i="1"/>
  <c r="AF476" i="1"/>
  <c r="AH476" i="1" s="1"/>
  <c r="AF477" i="1"/>
  <c r="AH477" i="1" s="1"/>
  <c r="AF478" i="1"/>
  <c r="AH478" i="1" s="1"/>
  <c r="AH479" i="1"/>
  <c r="AF480" i="1"/>
  <c r="AH480" i="1" s="1"/>
  <c r="AF481" i="1"/>
  <c r="AH481" i="1" s="1"/>
  <c r="AF482" i="1"/>
  <c r="AH482" i="1" s="1"/>
  <c r="AF483" i="1"/>
  <c r="AH483" i="1" s="1"/>
  <c r="AF484" i="1"/>
  <c r="AH484" i="1" s="1"/>
  <c r="AF485" i="1"/>
  <c r="AH485" i="1" s="1"/>
  <c r="AH486" i="1"/>
  <c r="AH487" i="1"/>
  <c r="AH488" i="1"/>
  <c r="AH489" i="1"/>
  <c r="AF490" i="1"/>
  <c r="AH490" i="1" s="1"/>
  <c r="AF491" i="1"/>
  <c r="AH491" i="1" s="1"/>
  <c r="AF492" i="1"/>
  <c r="AH492" i="1" s="1"/>
  <c r="AH493" i="1"/>
  <c r="AF494" i="1"/>
  <c r="AH494" i="1" s="1"/>
  <c r="AH495" i="1"/>
  <c r="AH496" i="1"/>
  <c r="AH497" i="1"/>
  <c r="AF498" i="1"/>
  <c r="AH498" i="1" s="1"/>
  <c r="AF499" i="1"/>
  <c r="AH499" i="1" s="1"/>
  <c r="AF500" i="1"/>
  <c r="AH500" i="1" s="1"/>
  <c r="AH501" i="1"/>
  <c r="AF502" i="1"/>
  <c r="AH502" i="1" s="1"/>
  <c r="AF503" i="1"/>
  <c r="AH503" i="1" s="1"/>
  <c r="AF504" i="1"/>
  <c r="AH504" i="1" s="1"/>
  <c r="AH505" i="1"/>
  <c r="AF506" i="1"/>
  <c r="AH506" i="1" s="1"/>
  <c r="AH507" i="1"/>
  <c r="AF508" i="1"/>
  <c r="AH508" i="1" s="1"/>
  <c r="AF509" i="1"/>
  <c r="AH509" i="1" s="1"/>
  <c r="AF510" i="1"/>
  <c r="AH510" i="1" s="1"/>
  <c r="AF511" i="1"/>
  <c r="AH511" i="1" s="1"/>
  <c r="AF512" i="1"/>
  <c r="AH512" i="1" s="1"/>
  <c r="AF513" i="1"/>
  <c r="AH513" i="1" s="1"/>
  <c r="AF514" i="1"/>
  <c r="AH514" i="1" s="1"/>
  <c r="AH515" i="1"/>
  <c r="AH516" i="1"/>
  <c r="AH517" i="1"/>
  <c r="AF518" i="1"/>
  <c r="AH518" i="1" s="1"/>
  <c r="AH519" i="1"/>
  <c r="AF520" i="1"/>
  <c r="AH520" i="1" s="1"/>
  <c r="AH521" i="1"/>
  <c r="AF522" i="1"/>
  <c r="AH522" i="1" s="1"/>
  <c r="AF523" i="1"/>
  <c r="AH523" i="1" s="1"/>
  <c r="AF524" i="1"/>
  <c r="AH524" i="1" s="1"/>
  <c r="AH525" i="1"/>
  <c r="AF526" i="1"/>
  <c r="AH526" i="1" s="1"/>
  <c r="AH527" i="1"/>
  <c r="AH528" i="1"/>
  <c r="AH529" i="1"/>
  <c r="AF530" i="1"/>
  <c r="AH530" i="1" s="1"/>
  <c r="AF531" i="1"/>
  <c r="AH531" i="1" s="1"/>
  <c r="AH532" i="1"/>
  <c r="AH533" i="1"/>
  <c r="AF534" i="1"/>
  <c r="AH534" i="1" s="1"/>
  <c r="AF535" i="1"/>
  <c r="AH535" i="1" s="1"/>
  <c r="AF536" i="1"/>
  <c r="AH536" i="1" s="1"/>
  <c r="AF537" i="1"/>
  <c r="AH537" i="1" s="1"/>
  <c r="AH538" i="1"/>
  <c r="AF539" i="1"/>
  <c r="AH539" i="1" s="1"/>
  <c r="AF540" i="1"/>
  <c r="AH540" i="1" s="1"/>
  <c r="AF541" i="1"/>
  <c r="AH541" i="1" s="1"/>
  <c r="AH542" i="1"/>
  <c r="AF543" i="1"/>
  <c r="AH543" i="1" s="1"/>
  <c r="AF544" i="1"/>
  <c r="AH544" i="1" s="1"/>
  <c r="AF545" i="1"/>
  <c r="AH545" i="1" s="1"/>
  <c r="AF546" i="1"/>
  <c r="AH546" i="1" s="1"/>
  <c r="AF547" i="1"/>
  <c r="AH547" i="1" s="1"/>
  <c r="AF548" i="1"/>
  <c r="AH548" i="1" s="1"/>
  <c r="AF549" i="1"/>
  <c r="AH549" i="1" s="1"/>
  <c r="AF550" i="1"/>
  <c r="AH550" i="1" s="1"/>
  <c r="AF551" i="1"/>
  <c r="AH551" i="1" s="1"/>
  <c r="AH552" i="1"/>
  <c r="AF553" i="1"/>
  <c r="AH553" i="1" s="1"/>
  <c r="AH554" i="1"/>
  <c r="AH555" i="1"/>
  <c r="AH556" i="1"/>
  <c r="AF557" i="1"/>
  <c r="AH557" i="1" s="1"/>
  <c r="AF558" i="1"/>
  <c r="AH558" i="1" s="1"/>
  <c r="AH559" i="1"/>
  <c r="AF560" i="1"/>
  <c r="AH560" i="1" s="1"/>
  <c r="AF561" i="1"/>
  <c r="AH561" i="1" s="1"/>
  <c r="AF562" i="1"/>
  <c r="AH562" i="1" s="1"/>
  <c r="AF563" i="1"/>
  <c r="AH563" i="1" s="1"/>
  <c r="AF564" i="1"/>
  <c r="AH564" i="1" s="1"/>
  <c r="AF565" i="1"/>
  <c r="AH565" i="1" s="1"/>
  <c r="AH566" i="1"/>
  <c r="AF567" i="1"/>
  <c r="AH567" i="1" s="1"/>
  <c r="AF568" i="1"/>
  <c r="AH568" i="1" s="1"/>
  <c r="AH569" i="1"/>
  <c r="AF570" i="1"/>
  <c r="AH570" i="1" s="1"/>
  <c r="AF571" i="1"/>
  <c r="AH571" i="1" s="1"/>
  <c r="AF572" i="1"/>
  <c r="AH572" i="1" s="1"/>
  <c r="AF573" i="1"/>
  <c r="AH573" i="1" s="1"/>
  <c r="AH574" i="1"/>
  <c r="AF575" i="1"/>
  <c r="AH575" i="1" s="1"/>
  <c r="AF576" i="1"/>
  <c r="AH576" i="1" s="1"/>
  <c r="AH577" i="1"/>
  <c r="AF578" i="1"/>
  <c r="AH578" i="1" s="1"/>
  <c r="AF579" i="1"/>
  <c r="AH579" i="1" s="1"/>
  <c r="AH580" i="1"/>
  <c r="AH581" i="1"/>
  <c r="AH582" i="1"/>
  <c r="AF583" i="1"/>
  <c r="AH583" i="1" s="1"/>
  <c r="AF584" i="1"/>
  <c r="AH584" i="1" s="1"/>
  <c r="AF585" i="1"/>
  <c r="AH585" i="1" s="1"/>
  <c r="AF586" i="1"/>
  <c r="AH586" i="1" s="1"/>
  <c r="AF587" i="1"/>
  <c r="AH587" i="1" s="1"/>
  <c r="AF588" i="1"/>
  <c r="AH588" i="1" s="1"/>
  <c r="AH589" i="1"/>
  <c r="AF590" i="1"/>
  <c r="AH590" i="1" s="1"/>
  <c r="AH591" i="1"/>
  <c r="AF592" i="1"/>
  <c r="AH592" i="1" s="1"/>
  <c r="AF593" i="1"/>
  <c r="AH593" i="1" s="1"/>
  <c r="AF594" i="1"/>
  <c r="AH594" i="1" s="1"/>
  <c r="AF595" i="1"/>
  <c r="AH595" i="1" s="1"/>
  <c r="AF596" i="1"/>
  <c r="AH596" i="1" s="1"/>
  <c r="AH597" i="1"/>
  <c r="AF598" i="1"/>
  <c r="AH598" i="1" s="1"/>
  <c r="AF599" i="1"/>
  <c r="AH599" i="1" s="1"/>
  <c r="AF600" i="1"/>
  <c r="AH600" i="1" s="1"/>
  <c r="AF601" i="1"/>
  <c r="AH601" i="1" s="1"/>
  <c r="AF602" i="1"/>
  <c r="AH602" i="1" s="1"/>
  <c r="AF603" i="1"/>
  <c r="AH603" i="1" s="1"/>
  <c r="AF604" i="1"/>
  <c r="AH604" i="1" s="1"/>
  <c r="AF605" i="1"/>
  <c r="AH605" i="1" s="1"/>
  <c r="AF606" i="1"/>
  <c r="AH606" i="1" s="1"/>
  <c r="AF607" i="1"/>
  <c r="AH607" i="1" s="1"/>
  <c r="AF608" i="1"/>
  <c r="AH608" i="1" s="1"/>
  <c r="AF609" i="1"/>
  <c r="AH609" i="1" s="1"/>
  <c r="AF610" i="1"/>
  <c r="AH610" i="1" s="1"/>
  <c r="AF611" i="1"/>
  <c r="AH611" i="1" s="1"/>
  <c r="AF612" i="1"/>
  <c r="AH612" i="1" s="1"/>
  <c r="AF613" i="1"/>
  <c r="AH613" i="1" s="1"/>
  <c r="AF614" i="1"/>
  <c r="AH614" i="1" s="1"/>
  <c r="AF615" i="1"/>
  <c r="AH615" i="1" s="1"/>
  <c r="AF616" i="1"/>
  <c r="AH616" i="1" s="1"/>
  <c r="AF617" i="1"/>
  <c r="AH617" i="1" s="1"/>
  <c r="AF618" i="1"/>
  <c r="AH618" i="1" s="1"/>
  <c r="AF619" i="1"/>
  <c r="AH619" i="1" s="1"/>
  <c r="AF620" i="1"/>
  <c r="AH620" i="1" s="1"/>
  <c r="AF621" i="1"/>
  <c r="AH621" i="1" s="1"/>
  <c r="AF622" i="1"/>
  <c r="AH622" i="1" s="1"/>
  <c r="AF623" i="1"/>
  <c r="AH623" i="1" s="1"/>
  <c r="AF624" i="1"/>
  <c r="AH624" i="1" s="1"/>
  <c r="AF625" i="1"/>
  <c r="AH625" i="1" s="1"/>
  <c r="AF626" i="1"/>
  <c r="AH626" i="1" s="1"/>
  <c r="AF627" i="1"/>
  <c r="AH627" i="1" s="1"/>
  <c r="AF628" i="1"/>
  <c r="AH628" i="1" s="1"/>
  <c r="AF629" i="1"/>
  <c r="AH629" i="1" s="1"/>
  <c r="AF630" i="1"/>
  <c r="AH630" i="1" s="1"/>
  <c r="AF631" i="1"/>
  <c r="AH631" i="1" s="1"/>
  <c r="AF632" i="1"/>
  <c r="AH632" i="1" s="1"/>
  <c r="AF633" i="1"/>
  <c r="AH633" i="1" s="1"/>
  <c r="AF634" i="1"/>
  <c r="AH634" i="1" s="1"/>
  <c r="AF635" i="1"/>
  <c r="AH635" i="1" s="1"/>
  <c r="AF636" i="1"/>
  <c r="AH636" i="1" s="1"/>
  <c r="AF637" i="1"/>
  <c r="AH637" i="1" s="1"/>
  <c r="AF638" i="1"/>
  <c r="AH638" i="1" s="1"/>
  <c r="AF639" i="1"/>
  <c r="AH639" i="1" s="1"/>
  <c r="AF640" i="1"/>
  <c r="AH640" i="1" s="1"/>
  <c r="AF641" i="1"/>
  <c r="AH641" i="1" s="1"/>
  <c r="AF642" i="1"/>
  <c r="AH642" i="1" s="1"/>
  <c r="AF643" i="1"/>
  <c r="AH643" i="1" s="1"/>
  <c r="AF644" i="1"/>
  <c r="AH644" i="1" s="1"/>
  <c r="AF645" i="1"/>
  <c r="AH645" i="1" s="1"/>
  <c r="AF646" i="1"/>
  <c r="AH646" i="1" s="1"/>
  <c r="AF647" i="1"/>
  <c r="AH647" i="1" s="1"/>
  <c r="AF648" i="1"/>
  <c r="AH648" i="1" s="1"/>
  <c r="AF649" i="1"/>
  <c r="AH649" i="1" s="1"/>
  <c r="AF650" i="1"/>
  <c r="AH650" i="1" s="1"/>
  <c r="AF651" i="1"/>
  <c r="AH651" i="1" s="1"/>
  <c r="AH652" i="1"/>
  <c r="AF653" i="1"/>
  <c r="AH653" i="1" s="1"/>
  <c r="AF654" i="1"/>
  <c r="AH654" i="1" s="1"/>
  <c r="AF655" i="1"/>
  <c r="AH655" i="1" s="1"/>
  <c r="AF656" i="1"/>
  <c r="AH656" i="1" s="1"/>
  <c r="AF657" i="1"/>
  <c r="AH657" i="1" s="1"/>
  <c r="AF658" i="1"/>
  <c r="AH658" i="1" s="1"/>
  <c r="AF659" i="1"/>
  <c r="AH659" i="1" s="1"/>
  <c r="AF660" i="1"/>
  <c r="AH660" i="1" s="1"/>
  <c r="AF661" i="1"/>
  <c r="AH661" i="1" s="1"/>
  <c r="AF662" i="1"/>
  <c r="AH662" i="1" s="1"/>
  <c r="AF663" i="1"/>
  <c r="AH663" i="1" s="1"/>
  <c r="AF664" i="1"/>
  <c r="AH664" i="1" s="1"/>
  <c r="AF665" i="1"/>
  <c r="AH665" i="1" s="1"/>
  <c r="AF666" i="1"/>
  <c r="AH666" i="1" s="1"/>
  <c r="AF667" i="1"/>
  <c r="AH667" i="1" s="1"/>
  <c r="AF668" i="1"/>
  <c r="AH668" i="1" s="1"/>
  <c r="AF669" i="1"/>
  <c r="AH669" i="1" s="1"/>
  <c r="AF670" i="1"/>
  <c r="AH670" i="1" s="1"/>
  <c r="AF671" i="1"/>
  <c r="AH671" i="1" s="1"/>
  <c r="AF672" i="1"/>
  <c r="AH672" i="1" s="1"/>
  <c r="AF673" i="1"/>
  <c r="AH673" i="1" s="1"/>
  <c r="AF674" i="1"/>
  <c r="AH674" i="1" s="1"/>
  <c r="AF675" i="1"/>
  <c r="AH675" i="1" s="1"/>
  <c r="AF676" i="1"/>
  <c r="AH676" i="1" s="1"/>
  <c r="AF677" i="1"/>
  <c r="AH677" i="1" s="1"/>
  <c r="AF678" i="1"/>
  <c r="AH678" i="1" s="1"/>
  <c r="AF679" i="1"/>
  <c r="AH679" i="1" s="1"/>
  <c r="AF680" i="1"/>
  <c r="AH680" i="1" s="1"/>
  <c r="AF681" i="1"/>
  <c r="AH681" i="1" s="1"/>
  <c r="AF682" i="1"/>
  <c r="AH682" i="1" s="1"/>
  <c r="AF683" i="1"/>
  <c r="AH683" i="1" s="1"/>
  <c r="AF684" i="1"/>
  <c r="AH684" i="1" s="1"/>
  <c r="AF685" i="1"/>
  <c r="AH685" i="1" s="1"/>
  <c r="AF686" i="1"/>
  <c r="AH686" i="1" s="1"/>
  <c r="AF687" i="1"/>
  <c r="AH687" i="1" s="1"/>
  <c r="AF688" i="1"/>
  <c r="AH688" i="1" s="1"/>
  <c r="AF689" i="1"/>
  <c r="AH689" i="1" s="1"/>
  <c r="AF690" i="1"/>
  <c r="AH690" i="1" s="1"/>
  <c r="AF691" i="1"/>
  <c r="AH691" i="1" s="1"/>
  <c r="AF692" i="1"/>
  <c r="AH692" i="1" s="1"/>
  <c r="AF693" i="1"/>
  <c r="AH693" i="1" s="1"/>
  <c r="AF694" i="1"/>
  <c r="AH694" i="1" s="1"/>
  <c r="AF695" i="1"/>
  <c r="AH695" i="1" s="1"/>
  <c r="AF696" i="1"/>
  <c r="AH696" i="1" s="1"/>
  <c r="AF697" i="1"/>
  <c r="AH697" i="1" s="1"/>
  <c r="AH698" i="1"/>
  <c r="AF699" i="1"/>
  <c r="AH699" i="1" s="1"/>
  <c r="AF700" i="1"/>
  <c r="AH700" i="1" s="1"/>
  <c r="AH701" i="1"/>
  <c r="AF702" i="1"/>
  <c r="AH702" i="1" s="1"/>
  <c r="AF703" i="1"/>
  <c r="AH703" i="1" s="1"/>
  <c r="AF704" i="1"/>
  <c r="AH704" i="1" s="1"/>
  <c r="AF705" i="1"/>
  <c r="AH705" i="1" s="1"/>
  <c r="AF706" i="1"/>
  <c r="AH706" i="1" s="1"/>
  <c r="AF707" i="1"/>
  <c r="AH707" i="1" s="1"/>
  <c r="AF708" i="1"/>
  <c r="AH708" i="1" s="1"/>
  <c r="AF709" i="1"/>
  <c r="AH709" i="1" s="1"/>
  <c r="AF710" i="1"/>
  <c r="AH710" i="1" s="1"/>
  <c r="AF711" i="1"/>
  <c r="AH711" i="1" s="1"/>
  <c r="AF712" i="1"/>
  <c r="AH712" i="1" s="1"/>
  <c r="AF713" i="1"/>
  <c r="AH713" i="1" s="1"/>
  <c r="AF714" i="1"/>
  <c r="AH714" i="1" s="1"/>
  <c r="AF715" i="1"/>
  <c r="AH715" i="1" s="1"/>
  <c r="AF716" i="1"/>
  <c r="AH716" i="1" s="1"/>
  <c r="AF717" i="1"/>
  <c r="AH717" i="1" s="1"/>
  <c r="AF718" i="1"/>
  <c r="AH718" i="1" s="1"/>
  <c r="AF719" i="1"/>
  <c r="AH719" i="1" s="1"/>
  <c r="AF720" i="1"/>
  <c r="AH720" i="1" s="1"/>
  <c r="AF721" i="1"/>
  <c r="AH721" i="1" s="1"/>
  <c r="AF722" i="1"/>
  <c r="AH722" i="1" s="1"/>
  <c r="AF723" i="1"/>
  <c r="AH723" i="1" s="1"/>
  <c r="AH724" i="1"/>
  <c r="AF725" i="1"/>
  <c r="AH725" i="1" s="1"/>
  <c r="AH726" i="1"/>
  <c r="AH727" i="1"/>
  <c r="AH728" i="1"/>
  <c r="AH729" i="1"/>
  <c r="AH730" i="1"/>
  <c r="AH731" i="1"/>
  <c r="AH732" i="1"/>
  <c r="AF733" i="1"/>
  <c r="AH733" i="1" s="1"/>
  <c r="AH734" i="1"/>
  <c r="AH735" i="1"/>
  <c r="AH736" i="1"/>
  <c r="AH737" i="1"/>
  <c r="AH738" i="1"/>
  <c r="AH739" i="1"/>
  <c r="AH740" i="1"/>
  <c r="AH741" i="1"/>
  <c r="AH742" i="1"/>
  <c r="AF743" i="1"/>
  <c r="AH743" i="1" s="1"/>
  <c r="AH744" i="1"/>
  <c r="AF745" i="1"/>
  <c r="AH745" i="1" s="1"/>
  <c r="AF746" i="1"/>
  <c r="AH746" i="1" s="1"/>
  <c r="AF747" i="1"/>
  <c r="AH747" i="1" s="1"/>
  <c r="AH748" i="1"/>
  <c r="AF749" i="1"/>
  <c r="AH749" i="1" s="1"/>
  <c r="AF750" i="1"/>
  <c r="AH750" i="1" s="1"/>
  <c r="AF751" i="1"/>
  <c r="AH751" i="1" s="1"/>
  <c r="AF752" i="1"/>
  <c r="AH752" i="1" s="1"/>
  <c r="AF753" i="1"/>
  <c r="AH753" i="1" s="1"/>
  <c r="AF754" i="1"/>
  <c r="AH754" i="1" s="1"/>
  <c r="AF755" i="1"/>
  <c r="AH755" i="1" s="1"/>
  <c r="AF756" i="1"/>
  <c r="AH756" i="1" s="1"/>
  <c r="AF757" i="1"/>
  <c r="AH757" i="1" s="1"/>
  <c r="AF758" i="1"/>
  <c r="AH758" i="1" s="1"/>
  <c r="AF759" i="1"/>
  <c r="AH759" i="1" s="1"/>
  <c r="AF760" i="1"/>
  <c r="AH760" i="1" s="1"/>
  <c r="AF761" i="1"/>
  <c r="AH761" i="1" s="1"/>
  <c r="AF762" i="1"/>
  <c r="AH762" i="1" s="1"/>
  <c r="AF763" i="1"/>
  <c r="AH763" i="1" s="1"/>
  <c r="AH764" i="1"/>
  <c r="AH765" i="1"/>
  <c r="AF766" i="1"/>
  <c r="AH766" i="1" s="1"/>
  <c r="AF767" i="1"/>
  <c r="AH767" i="1" s="1"/>
  <c r="AF768" i="1"/>
  <c r="AH768" i="1" s="1"/>
  <c r="AF769" i="1"/>
  <c r="AH769" i="1" s="1"/>
  <c r="AF770" i="1"/>
  <c r="AH770" i="1" s="1"/>
  <c r="AF771" i="1"/>
  <c r="AH771" i="1" s="1"/>
  <c r="AF772" i="1"/>
  <c r="AH772" i="1" s="1"/>
  <c r="AF773" i="1"/>
  <c r="AH773" i="1" s="1"/>
  <c r="AF774" i="1"/>
  <c r="AH774" i="1" s="1"/>
  <c r="AF775" i="1"/>
  <c r="AH775" i="1" s="1"/>
  <c r="AF776" i="1"/>
  <c r="AH776" i="1" s="1"/>
  <c r="AF777" i="1"/>
  <c r="AH777" i="1" s="1"/>
  <c r="AF778" i="1"/>
  <c r="AH778" i="1" s="1"/>
  <c r="AF779" i="1"/>
  <c r="AH779" i="1" s="1"/>
  <c r="AF780" i="1"/>
  <c r="AH780" i="1" s="1"/>
  <c r="AF781" i="1"/>
  <c r="AH781" i="1" s="1"/>
  <c r="AF782" i="1"/>
  <c r="AH782" i="1" s="1"/>
  <c r="AF783" i="1"/>
  <c r="AH783" i="1" s="1"/>
  <c r="AF784" i="1"/>
  <c r="AH784" i="1" s="1"/>
  <c r="AF785" i="1"/>
  <c r="AH785" i="1" s="1"/>
  <c r="AF786" i="1"/>
  <c r="AH786" i="1" s="1"/>
  <c r="AF787" i="1"/>
  <c r="AH787" i="1" s="1"/>
  <c r="AF788" i="1"/>
  <c r="AH788" i="1" s="1"/>
  <c r="AF789" i="1"/>
  <c r="AH789" i="1" s="1"/>
  <c r="AF790" i="1"/>
  <c r="AH790" i="1" s="1"/>
  <c r="AF791" i="1"/>
  <c r="AH791" i="1" s="1"/>
  <c r="AF792" i="1"/>
  <c r="AH792" i="1" s="1"/>
  <c r="AF793" i="1"/>
  <c r="AH793" i="1" s="1"/>
  <c r="AF794" i="1"/>
  <c r="AH794" i="1" s="1"/>
  <c r="AF795" i="1"/>
  <c r="AH795" i="1" s="1"/>
  <c r="AF796" i="1"/>
  <c r="AH796" i="1" s="1"/>
  <c r="AF797" i="1"/>
  <c r="AH797" i="1" s="1"/>
  <c r="AF798" i="1"/>
  <c r="AH798" i="1" s="1"/>
  <c r="AF799" i="1"/>
  <c r="AH799" i="1" s="1"/>
  <c r="AF800" i="1"/>
  <c r="AH800" i="1" s="1"/>
  <c r="AF801" i="1"/>
  <c r="AH801" i="1" s="1"/>
  <c r="AF802" i="1"/>
  <c r="AH802" i="1" s="1"/>
  <c r="AF803" i="1"/>
  <c r="AH803" i="1" s="1"/>
  <c r="AH804" i="1"/>
  <c r="AF805" i="1"/>
  <c r="AH805" i="1" s="1"/>
  <c r="AF806" i="1"/>
  <c r="AH806" i="1" s="1"/>
  <c r="AH807" i="1"/>
  <c r="AH808" i="1"/>
  <c r="AF809" i="1"/>
  <c r="AH809" i="1" s="1"/>
  <c r="AF810" i="1"/>
  <c r="AH810" i="1" s="1"/>
  <c r="AH811" i="1"/>
  <c r="AF812" i="1"/>
  <c r="AH812" i="1" s="1"/>
  <c r="AF813" i="1"/>
  <c r="AH813" i="1" s="1"/>
  <c r="AF814" i="1"/>
  <c r="AH814" i="1" s="1"/>
  <c r="AH815" i="1"/>
  <c r="AF816" i="1"/>
  <c r="AH816" i="1" s="1"/>
  <c r="AF817" i="1"/>
  <c r="AH817" i="1" s="1"/>
  <c r="AF818" i="1"/>
  <c r="AH818" i="1" s="1"/>
  <c r="AF819" i="1"/>
  <c r="AH819" i="1" s="1"/>
  <c r="AF820" i="1"/>
  <c r="AH820" i="1" s="1"/>
  <c r="AF821" i="1"/>
  <c r="AH821" i="1" s="1"/>
  <c r="AH822" i="1"/>
  <c r="AH823" i="1"/>
  <c r="AF824" i="1"/>
  <c r="AH824" i="1" s="1"/>
  <c r="AF825" i="1"/>
  <c r="AH825" i="1" s="1"/>
  <c r="AF826" i="1"/>
  <c r="AH826" i="1" s="1"/>
  <c r="AF827" i="1"/>
  <c r="AH827" i="1" s="1"/>
  <c r="AF828" i="1"/>
  <c r="AH828" i="1" s="1"/>
  <c r="AF829" i="1"/>
  <c r="AH829" i="1" s="1"/>
  <c r="AH830" i="1"/>
  <c r="AF831" i="1"/>
  <c r="AH831" i="1" s="1"/>
  <c r="AF832" i="1"/>
  <c r="AH832" i="1" s="1"/>
  <c r="AF833" i="1"/>
  <c r="AH833" i="1" s="1"/>
  <c r="AF834" i="1"/>
  <c r="AH834" i="1" s="1"/>
  <c r="AF835" i="1"/>
  <c r="AH835" i="1" s="1"/>
  <c r="AF836" i="1"/>
  <c r="AH836" i="1" s="1"/>
  <c r="AF837" i="1"/>
  <c r="AH837" i="1" s="1"/>
  <c r="AH838" i="1"/>
  <c r="AF839" i="1"/>
  <c r="AH839" i="1" s="1"/>
  <c r="AH840" i="1"/>
  <c r="AF841" i="1"/>
  <c r="AH841" i="1" s="1"/>
  <c r="AF842" i="1"/>
  <c r="AH842" i="1" s="1"/>
  <c r="AF843" i="1"/>
  <c r="AH843" i="1" s="1"/>
  <c r="AF844" i="1"/>
  <c r="AH844" i="1" s="1"/>
  <c r="AF845" i="1"/>
  <c r="AH845" i="1" s="1"/>
  <c r="AF846" i="1"/>
  <c r="AH846" i="1" s="1"/>
  <c r="AF847" i="1"/>
  <c r="AH847" i="1" s="1"/>
  <c r="AF848" i="1"/>
  <c r="AH848" i="1" s="1"/>
  <c r="AH849" i="1"/>
  <c r="AF850" i="1"/>
  <c r="AH850" i="1" s="1"/>
  <c r="AH851" i="1"/>
  <c r="AF852" i="1"/>
  <c r="AH852" i="1" s="1"/>
  <c r="AF853" i="1"/>
  <c r="AH853" i="1" s="1"/>
  <c r="AF854" i="1"/>
  <c r="AH854" i="1" s="1"/>
  <c r="AF855" i="1"/>
  <c r="AH855" i="1" s="1"/>
  <c r="AH856" i="1"/>
  <c r="AF857" i="1"/>
  <c r="AH857" i="1" s="1"/>
  <c r="AF858" i="1"/>
  <c r="AH858" i="1" s="1"/>
  <c r="AF859" i="1"/>
  <c r="AH859" i="1" s="1"/>
  <c r="AF860" i="1"/>
  <c r="AH860" i="1" s="1"/>
  <c r="AF861" i="1"/>
  <c r="AH861" i="1" s="1"/>
  <c r="AF862" i="1"/>
  <c r="AH862" i="1" s="1"/>
  <c r="AF863" i="1"/>
  <c r="AH863" i="1" s="1"/>
  <c r="AF864" i="1"/>
  <c r="AH864" i="1" s="1"/>
  <c r="AF865" i="1"/>
  <c r="AH865" i="1" s="1"/>
  <c r="AF866" i="1"/>
  <c r="AH866" i="1" s="1"/>
  <c r="AF867" i="1"/>
  <c r="AH867" i="1" s="1"/>
  <c r="AH868" i="1"/>
  <c r="AF869" i="1"/>
  <c r="AH869" i="1" s="1"/>
  <c r="AF870" i="1"/>
  <c r="AH870" i="1" s="1"/>
  <c r="AF871" i="1"/>
  <c r="AH871" i="1" s="1"/>
  <c r="AH872" i="1"/>
  <c r="AF873" i="1"/>
  <c r="AH873" i="1" s="1"/>
  <c r="AF874" i="1"/>
  <c r="AH874" i="1" s="1"/>
  <c r="AF875" i="1"/>
  <c r="AH875" i="1" s="1"/>
  <c r="AF876" i="1"/>
  <c r="AH876" i="1" s="1"/>
  <c r="AH877" i="1"/>
  <c r="AF878" i="1"/>
  <c r="AH878" i="1" s="1"/>
  <c r="AF879" i="1"/>
  <c r="AH879" i="1" s="1"/>
  <c r="AF880" i="1"/>
  <c r="AH880" i="1" s="1"/>
  <c r="AF881" i="1"/>
  <c r="AH881" i="1" s="1"/>
  <c r="AF882" i="1"/>
  <c r="AH882" i="1" s="1"/>
  <c r="AF883" i="1"/>
  <c r="AH883" i="1" s="1"/>
  <c r="AF884" i="1"/>
  <c r="AH884" i="1" s="1"/>
  <c r="AF885" i="1"/>
  <c r="AH885" i="1" s="1"/>
  <c r="AF886" i="1"/>
  <c r="AH886" i="1" s="1"/>
  <c r="AF887" i="1"/>
  <c r="AH887" i="1" s="1"/>
  <c r="AF888" i="1"/>
  <c r="AH888" i="1" s="1"/>
  <c r="AH889" i="1"/>
  <c r="AF890" i="1"/>
  <c r="AH890" i="1" s="1"/>
  <c r="AF891" i="1"/>
  <c r="AH891" i="1" s="1"/>
  <c r="AF892" i="1"/>
  <c r="AH892" i="1" s="1"/>
  <c r="AF893" i="1"/>
  <c r="AH893" i="1" s="1"/>
  <c r="AF894" i="1"/>
  <c r="AH894" i="1" s="1"/>
  <c r="AH895" i="1"/>
  <c r="AF896" i="1"/>
  <c r="AH896" i="1" s="1"/>
  <c r="AF897" i="1"/>
  <c r="AH897" i="1" s="1"/>
  <c r="AF898" i="1"/>
  <c r="AH898" i="1" s="1"/>
  <c r="AF899" i="1"/>
  <c r="AH899" i="1" s="1"/>
  <c r="AF900" i="1"/>
  <c r="AH900" i="1" s="1"/>
  <c r="AF901" i="1"/>
  <c r="AH901" i="1" s="1"/>
  <c r="AF902" i="1"/>
  <c r="AH902" i="1" s="1"/>
  <c r="AF903" i="1"/>
  <c r="AH903" i="1" s="1"/>
  <c r="AH904" i="1"/>
  <c r="AF905" i="1"/>
  <c r="AH905" i="1" s="1"/>
  <c r="AF906" i="1"/>
  <c r="AH906" i="1" s="1"/>
  <c r="AF907" i="1"/>
  <c r="AH907" i="1" s="1"/>
  <c r="AF908" i="1"/>
  <c r="AH908" i="1" s="1"/>
  <c r="AF909" i="1"/>
  <c r="AH909" i="1" s="1"/>
  <c r="AF910" i="1"/>
  <c r="AH910" i="1" s="1"/>
  <c r="AF911" i="1"/>
  <c r="AH911" i="1" s="1"/>
  <c r="AF912" i="1"/>
  <c r="AH912" i="1" s="1"/>
  <c r="AF913" i="1"/>
  <c r="AH913" i="1" s="1"/>
  <c r="AF914" i="1"/>
  <c r="AH914" i="1" s="1"/>
  <c r="AF915" i="1"/>
  <c r="AH915" i="1" s="1"/>
  <c r="AF916" i="1"/>
  <c r="AH916" i="1" s="1"/>
  <c r="AF917" i="1"/>
  <c r="AH917" i="1" s="1"/>
  <c r="AF918" i="1"/>
  <c r="AH918" i="1" s="1"/>
  <c r="AF919" i="1"/>
  <c r="AH919" i="1" s="1"/>
  <c r="AH920" i="1"/>
  <c r="AF921" i="1"/>
  <c r="AH921" i="1" s="1"/>
  <c r="AF922" i="1"/>
  <c r="AH922" i="1" s="1"/>
  <c r="AF923" i="1"/>
  <c r="AH923" i="1" s="1"/>
  <c r="AF924" i="1"/>
  <c r="AH924" i="1" s="1"/>
  <c r="AF925" i="1"/>
  <c r="AH925" i="1" s="1"/>
  <c r="AF926" i="1"/>
  <c r="AH926" i="1" s="1"/>
  <c r="AF927" i="1"/>
  <c r="AH927" i="1" s="1"/>
  <c r="AH928" i="1"/>
  <c r="AF929" i="1"/>
  <c r="AH929" i="1" s="1"/>
  <c r="AF930" i="1"/>
  <c r="AH930" i="1" s="1"/>
  <c r="AH931" i="1"/>
  <c r="AF932" i="1"/>
  <c r="AH932" i="1" s="1"/>
  <c r="AH933" i="1"/>
  <c r="AF934" i="1"/>
  <c r="AH934" i="1" s="1"/>
  <c r="AF935" i="1"/>
  <c r="AH935" i="1" s="1"/>
  <c r="AF936" i="1"/>
  <c r="AH936" i="1" s="1"/>
  <c r="AF937" i="1"/>
  <c r="AH937" i="1" s="1"/>
  <c r="AF938" i="1"/>
  <c r="AH938" i="1" s="1"/>
  <c r="AF939" i="1"/>
  <c r="AH939" i="1" s="1"/>
  <c r="AH940" i="1"/>
  <c r="AF941" i="1"/>
  <c r="AH941" i="1" s="1"/>
  <c r="AF942" i="1"/>
  <c r="AH942" i="1" s="1"/>
  <c r="AF943" i="1"/>
  <c r="AH943" i="1" s="1"/>
  <c r="AF944" i="1"/>
  <c r="AH944" i="1" s="1"/>
  <c r="AF945" i="1"/>
  <c r="AH945" i="1" s="1"/>
  <c r="AF946" i="1"/>
  <c r="AH946" i="1" s="1"/>
  <c r="AF947" i="1"/>
  <c r="AH947" i="1" s="1"/>
  <c r="AF948" i="1"/>
  <c r="AH948" i="1" s="1"/>
  <c r="AF949" i="1"/>
  <c r="AH949" i="1" s="1"/>
  <c r="AF950" i="1"/>
  <c r="AH950" i="1" s="1"/>
  <c r="AF951" i="1"/>
  <c r="AH951" i="1" s="1"/>
  <c r="AF952" i="1"/>
  <c r="AH952" i="1" s="1"/>
  <c r="AH953" i="1"/>
  <c r="AF954" i="1"/>
  <c r="AH954" i="1" s="1"/>
  <c r="AF955" i="1"/>
  <c r="AH955" i="1" s="1"/>
  <c r="AF956" i="1"/>
  <c r="AH956" i="1" s="1"/>
  <c r="AF957" i="1"/>
  <c r="AH957" i="1" s="1"/>
  <c r="AF958" i="1"/>
  <c r="AH958" i="1" s="1"/>
  <c r="AF959" i="1"/>
  <c r="AH959" i="1" s="1"/>
  <c r="AF960" i="1"/>
  <c r="AH960" i="1" s="1"/>
  <c r="AF961" i="1"/>
  <c r="AH961" i="1" s="1"/>
  <c r="AH962" i="1"/>
  <c r="AF963" i="1"/>
  <c r="AH963" i="1" s="1"/>
  <c r="AF964" i="1"/>
  <c r="AH964" i="1" s="1"/>
  <c r="AH965" i="1"/>
  <c r="AF966" i="1"/>
  <c r="AH966" i="1" s="1"/>
  <c r="AF967" i="1"/>
  <c r="AH967" i="1" s="1"/>
  <c r="AF968" i="1"/>
  <c r="AH968" i="1" s="1"/>
  <c r="AF969" i="1"/>
  <c r="AH969" i="1" s="1"/>
  <c r="AF970" i="1"/>
  <c r="AH970" i="1" s="1"/>
  <c r="AH971" i="1"/>
  <c r="AF972" i="1"/>
  <c r="AH972" i="1" s="1"/>
  <c r="AF973" i="1"/>
  <c r="AH973" i="1" s="1"/>
  <c r="AH974" i="1"/>
  <c r="AF975" i="1"/>
  <c r="AH975" i="1" s="1"/>
  <c r="AF976" i="1"/>
  <c r="AH976" i="1" s="1"/>
  <c r="AF977" i="1"/>
  <c r="AH977" i="1" s="1"/>
  <c r="AF978" i="1"/>
  <c r="AH978" i="1" s="1"/>
  <c r="AH979" i="1"/>
  <c r="AH980" i="1"/>
  <c r="AF981" i="1"/>
  <c r="AH981" i="1" s="1"/>
  <c r="AH982" i="1"/>
  <c r="AF983" i="1"/>
  <c r="AH983" i="1" s="1"/>
  <c r="AF984" i="1"/>
  <c r="AH984" i="1" s="1"/>
  <c r="AH985" i="1"/>
  <c r="AF986" i="1"/>
  <c r="AH986" i="1" s="1"/>
  <c r="AF987" i="1"/>
  <c r="AH987" i="1" s="1"/>
  <c r="AF988" i="1"/>
  <c r="AH988" i="1" s="1"/>
  <c r="AF989" i="1"/>
  <c r="AH989" i="1" s="1"/>
  <c r="AF990" i="1"/>
  <c r="AH990" i="1" s="1"/>
  <c r="AH991" i="1"/>
  <c r="AF992" i="1"/>
  <c r="AH992" i="1" s="1"/>
  <c r="AF993" i="1"/>
  <c r="AH993" i="1" s="1"/>
  <c r="AF994" i="1"/>
  <c r="AH994" i="1" s="1"/>
  <c r="AF995" i="1"/>
  <c r="AH995" i="1" s="1"/>
  <c r="AF996" i="1"/>
  <c r="AH996" i="1" s="1"/>
  <c r="AF997" i="1"/>
  <c r="AH997" i="1" s="1"/>
  <c r="AF998" i="1"/>
  <c r="AH998" i="1" s="1"/>
  <c r="AF999" i="1"/>
  <c r="AH999" i="1" s="1"/>
  <c r="AH1000" i="1"/>
  <c r="AF1001" i="1"/>
  <c r="AH1001" i="1" s="1"/>
  <c r="AF1002" i="1"/>
  <c r="AH1002" i="1" s="1"/>
  <c r="AF1003" i="1"/>
  <c r="AH1003" i="1" s="1"/>
  <c r="AF1004" i="1"/>
  <c r="AH1004" i="1" s="1"/>
  <c r="AF1005" i="1"/>
  <c r="AH1005" i="1" s="1"/>
  <c r="AF1006" i="1"/>
  <c r="AH1006" i="1" s="1"/>
  <c r="AF1007" i="1"/>
  <c r="AH1007" i="1" s="1"/>
  <c r="AF1008" i="1"/>
  <c r="AH1008" i="1" s="1"/>
  <c r="AH1009" i="1"/>
  <c r="AF1010" i="1"/>
  <c r="AH1010" i="1" s="1"/>
  <c r="AF1011" i="1"/>
  <c r="AH1011" i="1" s="1"/>
  <c r="AF1012" i="1"/>
  <c r="AH1012" i="1" s="1"/>
  <c r="AF1013" i="1"/>
  <c r="AH1013" i="1" s="1"/>
  <c r="AF1014" i="1"/>
  <c r="AH1014" i="1" s="1"/>
  <c r="AF1015" i="1"/>
  <c r="AH1015" i="1" s="1"/>
  <c r="AF1016" i="1"/>
  <c r="AH1016" i="1" s="1"/>
  <c r="AF1017" i="1"/>
  <c r="AH1017" i="1" s="1"/>
  <c r="AH1018" i="1"/>
  <c r="AH1019" i="1"/>
  <c r="AF1020" i="1"/>
  <c r="AH1020" i="1" s="1"/>
  <c r="AF1021" i="1"/>
  <c r="AH1021" i="1" s="1"/>
  <c r="AF1022" i="1"/>
  <c r="AH1022" i="1" s="1"/>
  <c r="AF1023" i="1"/>
  <c r="AH1023" i="1" s="1"/>
  <c r="AF1024" i="1"/>
  <c r="AH1024" i="1" s="1"/>
  <c r="AF1025" i="1"/>
  <c r="AH1025" i="1" s="1"/>
  <c r="AF1026" i="1"/>
  <c r="AH1026" i="1" s="1"/>
  <c r="AF1027" i="1"/>
  <c r="AH1027" i="1" s="1"/>
  <c r="AF1028" i="1"/>
  <c r="AH1028" i="1" s="1"/>
  <c r="AF1029" i="1"/>
  <c r="AH1029" i="1" s="1"/>
  <c r="AH1030" i="1"/>
  <c r="AF1031" i="1"/>
  <c r="AH1031" i="1" s="1"/>
  <c r="AH1032" i="1"/>
  <c r="AF1033" i="1"/>
  <c r="AH1033" i="1" s="1"/>
  <c r="AF1034" i="1"/>
  <c r="AH1034" i="1" s="1"/>
  <c r="AF1035" i="1"/>
  <c r="AH1035" i="1" s="1"/>
  <c r="AF1036" i="1"/>
  <c r="AH1036" i="1" s="1"/>
  <c r="AH1037" i="1"/>
  <c r="AF1038" i="1"/>
  <c r="AH1038" i="1" s="1"/>
  <c r="AF1039" i="1"/>
  <c r="AH1039" i="1" s="1"/>
  <c r="AH1040" i="1"/>
  <c r="AF1041" i="1"/>
  <c r="AH1041" i="1" s="1"/>
  <c r="AF1042" i="1"/>
  <c r="AH1042" i="1" s="1"/>
  <c r="AF1043" i="1"/>
  <c r="AH1043" i="1" s="1"/>
  <c r="AF1044" i="1"/>
  <c r="AH1044" i="1" s="1"/>
  <c r="AF1045" i="1"/>
  <c r="AH1045" i="1" s="1"/>
  <c r="AH1046" i="1"/>
  <c r="AF1047" i="1"/>
  <c r="AH1047" i="1" s="1"/>
  <c r="AF1048" i="1"/>
  <c r="AH1048" i="1" s="1"/>
  <c r="AF1049" i="1"/>
  <c r="AH1049" i="1" s="1"/>
  <c r="AF1050" i="1"/>
  <c r="AH1050" i="1" s="1"/>
  <c r="AH1051" i="1"/>
  <c r="AF1052" i="1"/>
  <c r="AH1052" i="1" s="1"/>
  <c r="AF1053" i="1"/>
  <c r="AH1053" i="1" s="1"/>
  <c r="AF1054" i="1"/>
  <c r="AH1054" i="1" s="1"/>
  <c r="AF1055" i="1"/>
  <c r="AH1055" i="1" s="1"/>
  <c r="AF1056" i="1"/>
  <c r="AH1056" i="1" s="1"/>
  <c r="AF1057" i="1"/>
  <c r="AH1057" i="1" s="1"/>
  <c r="AF1058" i="1"/>
  <c r="AH1058" i="1" s="1"/>
  <c r="AH1059" i="1"/>
  <c r="AF1060" i="1"/>
  <c r="AH1060" i="1" s="1"/>
  <c r="AF1061" i="1"/>
  <c r="AH1061" i="1" s="1"/>
  <c r="AH1062" i="1"/>
  <c r="AF1063" i="1"/>
  <c r="AH1063" i="1" s="1"/>
  <c r="AF1064" i="1"/>
  <c r="AH1064" i="1" s="1"/>
  <c r="AF1065" i="1"/>
  <c r="AH1065" i="1" s="1"/>
  <c r="AF1066" i="1"/>
  <c r="AH1066" i="1" s="1"/>
  <c r="AF1067" i="1"/>
  <c r="AH1067" i="1" s="1"/>
  <c r="AF1068" i="1"/>
  <c r="AH1068" i="1" s="1"/>
  <c r="AF1069" i="1"/>
  <c r="AH1069" i="1" s="1"/>
  <c r="AF1070" i="1"/>
  <c r="AH1070" i="1" s="1"/>
  <c r="AH1071" i="1"/>
  <c r="AF1072" i="1"/>
  <c r="AH1072" i="1" s="1"/>
  <c r="AH1073" i="1"/>
  <c r="AF1074" i="1"/>
  <c r="AH1074" i="1" s="1"/>
  <c r="AF1075" i="1"/>
  <c r="AH1075" i="1" s="1"/>
  <c r="AF1076" i="1"/>
  <c r="AH1076" i="1" s="1"/>
  <c r="AF1077" i="1"/>
  <c r="AH1077" i="1" s="1"/>
  <c r="AF1078" i="1"/>
  <c r="AH1078" i="1" s="1"/>
  <c r="AF1079" i="1"/>
  <c r="AH1079" i="1" s="1"/>
  <c r="AF1080" i="1"/>
  <c r="AH1080" i="1" s="1"/>
  <c r="AF1081" i="1"/>
  <c r="AH1081" i="1" s="1"/>
  <c r="AH1082" i="1"/>
  <c r="AF1083" i="1"/>
  <c r="AH1083" i="1" s="1"/>
  <c r="AF1084" i="1"/>
  <c r="AH1084" i="1" s="1"/>
  <c r="AF1085" i="1"/>
  <c r="AH1085" i="1" s="1"/>
  <c r="AF1086" i="1"/>
  <c r="AH1086" i="1" s="1"/>
  <c r="AH1087" i="1"/>
  <c r="AF1088" i="1"/>
  <c r="AH1088" i="1" s="1"/>
  <c r="AF1089" i="1"/>
  <c r="AH1089" i="1" s="1"/>
  <c r="AF1090" i="1"/>
  <c r="AH1090" i="1" s="1"/>
  <c r="AF1091" i="1"/>
  <c r="AH1091" i="1" s="1"/>
  <c r="AF1092" i="1"/>
  <c r="AH1092" i="1" s="1"/>
  <c r="AF1093" i="1"/>
  <c r="AH1093" i="1" s="1"/>
  <c r="AH1094" i="1"/>
  <c r="AF1095" i="1"/>
  <c r="AH1095" i="1" s="1"/>
  <c r="AK1095" i="1" s="1"/>
  <c r="AF1096" i="1"/>
  <c r="AH1096" i="1" s="1"/>
  <c r="AK1096" i="1" s="1"/>
  <c r="AF1097" i="1"/>
  <c r="AH1097" i="1" s="1"/>
  <c r="AK1097" i="1" s="1"/>
  <c r="AF1098" i="1"/>
  <c r="AH1098" i="1" s="1"/>
  <c r="AK1098" i="1" s="1"/>
  <c r="AH1099" i="1"/>
  <c r="AK1099" i="1" s="1"/>
  <c r="AF1100" i="1"/>
  <c r="AH1100" i="1" s="1"/>
  <c r="AK1100" i="1" s="1"/>
  <c r="AH1101" i="1"/>
  <c r="AK1101" i="1" s="1"/>
  <c r="AF1102" i="1"/>
  <c r="AH1102" i="1" s="1"/>
  <c r="AK1102" i="1" s="1"/>
  <c r="AF1103" i="1"/>
  <c r="AH1103" i="1" s="1"/>
  <c r="AK1103" i="1" s="1"/>
  <c r="AH1104" i="1"/>
  <c r="AK1104" i="1" s="1"/>
  <c r="AF1105" i="1"/>
  <c r="AH1105" i="1" s="1"/>
  <c r="AK1105" i="1" s="1"/>
  <c r="AH1106" i="1"/>
  <c r="AK1106" i="1" s="1"/>
  <c r="AF1107" i="1"/>
  <c r="AH1107" i="1" s="1"/>
  <c r="AK1107" i="1" s="1"/>
  <c r="AH1108" i="1"/>
  <c r="AK1108" i="1" s="1"/>
  <c r="AF1109" i="1"/>
  <c r="AH1109" i="1" s="1"/>
  <c r="AK1109" i="1" s="1"/>
  <c r="AF1110" i="1"/>
  <c r="AH1110" i="1" s="1"/>
  <c r="AK1110" i="1" s="1"/>
  <c r="AF1111" i="1"/>
  <c r="AH1111" i="1" s="1"/>
  <c r="AK1111" i="1" s="1"/>
  <c r="AF1112" i="1"/>
  <c r="AH1112" i="1" s="1"/>
  <c r="AK1112" i="1" s="1"/>
  <c r="AF1113" i="1"/>
  <c r="AH1113" i="1" s="1"/>
  <c r="AK1113" i="1" s="1"/>
  <c r="AF1114" i="1"/>
  <c r="AH1114" i="1" s="1"/>
  <c r="AK1114" i="1" s="1"/>
  <c r="AF1115" i="1"/>
  <c r="AH1115" i="1" s="1"/>
  <c r="AK1115" i="1" s="1"/>
  <c r="AF1116" i="1"/>
  <c r="AH1116" i="1" s="1"/>
  <c r="AK1116" i="1" s="1"/>
  <c r="AF1117" i="1"/>
  <c r="AH1117" i="1" s="1"/>
  <c r="AK1117" i="1" s="1"/>
  <c r="AF1118" i="1"/>
  <c r="AH1118" i="1" s="1"/>
  <c r="AK1118" i="1" s="1"/>
  <c r="AF1119" i="1"/>
  <c r="AH1119" i="1" s="1"/>
  <c r="AK1119" i="1" s="1"/>
  <c r="AF1120" i="1"/>
  <c r="AH1120" i="1" s="1"/>
  <c r="AK1120" i="1" s="1"/>
  <c r="AF1121" i="1"/>
  <c r="AH1121" i="1" s="1"/>
  <c r="AK1121" i="1" s="1"/>
  <c r="AH1122" i="1"/>
  <c r="AK1122" i="1" s="1"/>
  <c r="AF1123" i="1"/>
  <c r="AH1123" i="1" s="1"/>
  <c r="AK1123" i="1" s="1"/>
  <c r="AF1124" i="1"/>
  <c r="AH1124" i="1" s="1"/>
  <c r="AK1124" i="1" s="1"/>
  <c r="AF1125" i="1"/>
  <c r="AH1125" i="1" s="1"/>
  <c r="AK1125" i="1" s="1"/>
  <c r="AF1126" i="1"/>
  <c r="AH1126" i="1" s="1"/>
  <c r="AK1126" i="1" s="1"/>
  <c r="AF1127" i="1"/>
  <c r="AH1127" i="1" s="1"/>
  <c r="AK1127" i="1" s="1"/>
  <c r="AH1128" i="1"/>
  <c r="AK1128" i="1" s="1"/>
  <c r="AF1129" i="1"/>
  <c r="AH1129" i="1" s="1"/>
  <c r="AK1129" i="1" s="1"/>
  <c r="AF1130" i="1"/>
  <c r="AH1130" i="1" s="1"/>
  <c r="AK1130" i="1" s="1"/>
  <c r="AF1131" i="1"/>
  <c r="AH1131" i="1" s="1"/>
  <c r="AK1131" i="1" s="1"/>
  <c r="AF1132" i="1"/>
  <c r="AH1132" i="1" s="1"/>
  <c r="AK1132" i="1" s="1"/>
  <c r="AF1133" i="1"/>
  <c r="AH1133" i="1" s="1"/>
  <c r="AK1133" i="1" s="1"/>
  <c r="AF1134" i="1"/>
  <c r="AH1134" i="1" s="1"/>
  <c r="AK1134" i="1" s="1"/>
  <c r="AF1135" i="1"/>
  <c r="AH1135" i="1" s="1"/>
  <c r="AK1135" i="1" s="1"/>
  <c r="AF1136" i="1"/>
  <c r="AH1136" i="1" s="1"/>
  <c r="AK1136" i="1" s="1"/>
  <c r="AF1137" i="1"/>
  <c r="AH1137" i="1" s="1"/>
  <c r="AK1137" i="1" s="1"/>
  <c r="AF1138" i="1"/>
  <c r="AH1138" i="1" s="1"/>
  <c r="AK1138" i="1" s="1"/>
  <c r="AF1139" i="1"/>
  <c r="AH1139" i="1" s="1"/>
  <c r="AK1139" i="1" s="1"/>
  <c r="AH1140" i="1"/>
  <c r="AK1140" i="1" s="1"/>
  <c r="AF1141" i="1"/>
  <c r="AH1141" i="1" s="1"/>
  <c r="AK1141" i="1" s="1"/>
  <c r="AF1142" i="1"/>
  <c r="AH1142" i="1" s="1"/>
  <c r="AK1142" i="1" s="1"/>
  <c r="AF1143" i="1"/>
  <c r="AH1143" i="1" s="1"/>
  <c r="AK1143" i="1" s="1"/>
  <c r="AF1144" i="1"/>
  <c r="AH1144" i="1" s="1"/>
  <c r="AK1144" i="1" s="1"/>
  <c r="AF1145" i="1"/>
  <c r="AH1145" i="1" s="1"/>
  <c r="AK1145" i="1" s="1"/>
  <c r="AF1146" i="1"/>
  <c r="AH1146" i="1" s="1"/>
  <c r="AK1146" i="1" s="1"/>
  <c r="AF1147" i="1"/>
  <c r="AH1147" i="1" s="1"/>
  <c r="AK1147" i="1" s="1"/>
  <c r="AF1148" i="1"/>
  <c r="AH1148" i="1" s="1"/>
  <c r="AK1148" i="1" s="1"/>
  <c r="AF1149" i="1"/>
  <c r="AH1149" i="1" s="1"/>
  <c r="AK1149" i="1" s="1"/>
  <c r="AF1150" i="1"/>
  <c r="AH1150" i="1" s="1"/>
  <c r="AK1150" i="1" s="1"/>
  <c r="AF1151" i="1"/>
  <c r="AH1151" i="1" s="1"/>
  <c r="AK1151" i="1" s="1"/>
  <c r="AH1152" i="1"/>
  <c r="AK1152" i="1" s="1"/>
  <c r="AF1153" i="1"/>
  <c r="AH1153" i="1" s="1"/>
  <c r="AK1153" i="1" s="1"/>
  <c r="AF1154" i="1"/>
  <c r="AH1154" i="1" s="1"/>
  <c r="AK1154" i="1" s="1"/>
  <c r="AF1155" i="1"/>
  <c r="AH1155" i="1" s="1"/>
  <c r="AK1155" i="1" s="1"/>
  <c r="AF1156" i="1"/>
  <c r="AH1156" i="1" s="1"/>
  <c r="AK1156" i="1" s="1"/>
  <c r="AH1157" i="1"/>
  <c r="AK1157" i="1" s="1"/>
  <c r="AF1158" i="1"/>
  <c r="AH1158" i="1" s="1"/>
  <c r="AK1158" i="1" s="1"/>
  <c r="AF1159" i="1"/>
  <c r="AH1159" i="1" s="1"/>
  <c r="AK1159" i="1" s="1"/>
  <c r="AF1160" i="1"/>
  <c r="AH1160" i="1" s="1"/>
  <c r="AK1160" i="1" s="1"/>
  <c r="AF1161" i="1"/>
  <c r="AH1161" i="1" s="1"/>
  <c r="AK1161" i="1" s="1"/>
  <c r="AH1162" i="1"/>
  <c r="AK1162" i="1" s="1"/>
  <c r="AH1163" i="1"/>
  <c r="AK1163" i="1" s="1"/>
  <c r="AH1164" i="1"/>
  <c r="AK1164" i="1" s="1"/>
  <c r="AF1165" i="1"/>
  <c r="AH1165" i="1" s="1"/>
  <c r="AK1165" i="1" s="1"/>
  <c r="AF1166" i="1"/>
  <c r="AH1166" i="1" s="1"/>
  <c r="AK1166" i="1" s="1"/>
  <c r="AF1167" i="1"/>
  <c r="AH1167" i="1" s="1"/>
  <c r="AK1167" i="1" s="1"/>
  <c r="AF1168" i="1"/>
  <c r="AH1168" i="1" s="1"/>
  <c r="AK1168" i="1" s="1"/>
  <c r="AF1169" i="1"/>
  <c r="AH1169" i="1" s="1"/>
  <c r="AK1169" i="1" s="1"/>
  <c r="AH1170" i="1"/>
  <c r="AK1170" i="1" s="1"/>
  <c r="AF1171" i="1"/>
  <c r="AH1171" i="1" s="1"/>
  <c r="AK1171" i="1" s="1"/>
  <c r="AF1172" i="1"/>
  <c r="AH1172" i="1" s="1"/>
  <c r="AK1172" i="1" s="1"/>
  <c r="AF1173" i="1"/>
  <c r="AH1173" i="1" s="1"/>
  <c r="AK1173" i="1" s="1"/>
  <c r="AF1174" i="1"/>
  <c r="AH1174" i="1" s="1"/>
  <c r="AK1174" i="1" s="1"/>
  <c r="AF1175" i="1"/>
  <c r="AH1175" i="1" s="1"/>
  <c r="AK1175" i="1" s="1"/>
  <c r="AF1176" i="1"/>
  <c r="AH1176" i="1" s="1"/>
  <c r="AK1176" i="1" s="1"/>
  <c r="AF1177" i="1"/>
  <c r="AH1177" i="1" s="1"/>
  <c r="AK1177" i="1" s="1"/>
  <c r="AF1178" i="1"/>
  <c r="AH1178" i="1" s="1"/>
  <c r="AK1178" i="1" s="1"/>
  <c r="AF1179" i="1"/>
  <c r="AH1179" i="1" s="1"/>
  <c r="AK1179" i="1" s="1"/>
  <c r="AF1180" i="1"/>
  <c r="AH1180" i="1" s="1"/>
  <c r="AK1180" i="1" s="1"/>
  <c r="AF1181" i="1"/>
  <c r="AH1181" i="1" s="1"/>
  <c r="AK1181" i="1" s="1"/>
  <c r="AH1182" i="1"/>
  <c r="AK1182" i="1" s="1"/>
  <c r="AF1183" i="1"/>
  <c r="AH1183" i="1" s="1"/>
  <c r="AK1183" i="1" s="1"/>
  <c r="AF1184" i="1"/>
  <c r="AH1184" i="1" s="1"/>
  <c r="AK1184" i="1" s="1"/>
  <c r="AF1185" i="1"/>
  <c r="AH1185" i="1" s="1"/>
  <c r="AK1185" i="1" s="1"/>
  <c r="AF1186" i="1"/>
  <c r="AH1186" i="1" s="1"/>
  <c r="AK1186" i="1" s="1"/>
  <c r="AF1187" i="1"/>
  <c r="AH1187" i="1" s="1"/>
  <c r="AK1187" i="1" s="1"/>
  <c r="AF1188" i="1"/>
  <c r="AH1188" i="1" s="1"/>
  <c r="AK1188" i="1" s="1"/>
  <c r="AF1189" i="1"/>
  <c r="AH1189" i="1" s="1"/>
  <c r="AK1189" i="1" s="1"/>
  <c r="AF1190" i="1"/>
  <c r="AH1190" i="1" s="1"/>
  <c r="AK1190" i="1" s="1"/>
  <c r="AF1191" i="1"/>
  <c r="AH1191" i="1" s="1"/>
  <c r="AK1191" i="1" s="1"/>
  <c r="AF1192" i="1"/>
  <c r="AH1192" i="1" s="1"/>
  <c r="AK1192" i="1" s="1"/>
  <c r="AH1193" i="1"/>
  <c r="AK1193" i="1" s="1"/>
  <c r="AH1194" i="1"/>
  <c r="AK1194" i="1" s="1"/>
  <c r="AF1195" i="1"/>
  <c r="AH1195" i="1" s="1"/>
  <c r="AK1195" i="1" s="1"/>
  <c r="AF1196" i="1"/>
  <c r="AH1196" i="1" s="1"/>
  <c r="AK1196" i="1" s="1"/>
  <c r="AF1197" i="1"/>
  <c r="AH1197" i="1" s="1"/>
  <c r="AK1197" i="1" s="1"/>
  <c r="AF1198" i="1"/>
  <c r="AH1198" i="1" s="1"/>
  <c r="AK1198" i="1" s="1"/>
  <c r="AF1199" i="1"/>
  <c r="AH1199" i="1" s="1"/>
  <c r="AK1199" i="1" s="1"/>
  <c r="AF1200" i="1"/>
  <c r="AH1200" i="1" s="1"/>
  <c r="AK1200" i="1" s="1"/>
  <c r="AF1201" i="1"/>
  <c r="AH1201" i="1" s="1"/>
  <c r="AK1201" i="1" s="1"/>
  <c r="AF1202" i="1"/>
  <c r="AH1202" i="1" s="1"/>
  <c r="AK1202" i="1" s="1"/>
  <c r="AF1203" i="1"/>
  <c r="AH1203" i="1" s="1"/>
  <c r="AK1203" i="1" s="1"/>
  <c r="AF1204" i="1"/>
  <c r="AH1204" i="1" s="1"/>
  <c r="AK1204" i="1" s="1"/>
  <c r="AF1205" i="1"/>
  <c r="AH1205" i="1" s="1"/>
  <c r="AK1205" i="1" s="1"/>
  <c r="AF1206" i="1"/>
  <c r="AH1206" i="1" s="1"/>
  <c r="AK1206" i="1" s="1"/>
  <c r="AF1207" i="1"/>
  <c r="AH1207" i="1" s="1"/>
  <c r="AK1207" i="1" s="1"/>
  <c r="AF1208" i="1"/>
  <c r="AH1208" i="1" s="1"/>
  <c r="AK1208" i="1" s="1"/>
  <c r="AF1209" i="1"/>
  <c r="AH1209" i="1" s="1"/>
  <c r="AK1209" i="1" s="1"/>
  <c r="AF1210" i="1"/>
  <c r="AH1210" i="1" s="1"/>
  <c r="AK1210" i="1" s="1"/>
  <c r="AF1211" i="1"/>
  <c r="AH1211" i="1" s="1"/>
  <c r="AK1211" i="1" s="1"/>
  <c r="AF1212" i="1"/>
  <c r="AH1212" i="1" s="1"/>
  <c r="AK1212" i="1" s="1"/>
  <c r="AF1213" i="1"/>
  <c r="AH1213" i="1" s="1"/>
  <c r="AK1213" i="1" s="1"/>
  <c r="AF1214" i="1"/>
  <c r="AH1214" i="1" s="1"/>
  <c r="AK1214" i="1" s="1"/>
  <c r="AF1215" i="1"/>
  <c r="AH1215" i="1" s="1"/>
  <c r="AK1215" i="1" s="1"/>
  <c r="AF1216" i="1"/>
  <c r="AH1216" i="1" s="1"/>
  <c r="AK1216" i="1" s="1"/>
  <c r="AF1217" i="1"/>
  <c r="AH1217" i="1" s="1"/>
  <c r="AK1217" i="1" s="1"/>
  <c r="AF1218" i="1"/>
  <c r="AH1218" i="1" s="1"/>
  <c r="AK1218" i="1" s="1"/>
  <c r="AF1219" i="1"/>
  <c r="AH1219" i="1" s="1"/>
  <c r="AK1219" i="1" s="1"/>
  <c r="AF1220" i="1"/>
  <c r="AH1220" i="1" s="1"/>
  <c r="AK1220" i="1" s="1"/>
  <c r="AF1221" i="1"/>
  <c r="AH1221" i="1" s="1"/>
  <c r="AK1221" i="1" s="1"/>
  <c r="AF1222" i="1"/>
  <c r="AH1222" i="1" s="1"/>
  <c r="AK1222" i="1" s="1"/>
  <c r="AF1223" i="1"/>
  <c r="AH1223" i="1" s="1"/>
  <c r="AK1223" i="1" s="1"/>
  <c r="AF1224" i="1"/>
  <c r="AH1224" i="1" s="1"/>
  <c r="AK1224" i="1" s="1"/>
  <c r="AF1225" i="1"/>
  <c r="AH1225" i="1" s="1"/>
  <c r="AK1225" i="1" s="1"/>
  <c r="AF1226" i="1"/>
  <c r="AH1226" i="1" s="1"/>
  <c r="AK1226" i="1" s="1"/>
  <c r="AF1227" i="1"/>
  <c r="AH1227" i="1" s="1"/>
  <c r="AK1227" i="1" s="1"/>
  <c r="AF1228" i="1"/>
  <c r="AH1228" i="1" s="1"/>
  <c r="AK1228" i="1" s="1"/>
  <c r="AH1229" i="1"/>
  <c r="AK1229" i="1" s="1"/>
  <c r="AF1230" i="1"/>
  <c r="AH1230" i="1" s="1"/>
  <c r="AK1230" i="1" s="1"/>
  <c r="AF1231" i="1"/>
  <c r="AH1231" i="1" s="1"/>
  <c r="AK1231" i="1" s="1"/>
  <c r="AF1232" i="1"/>
  <c r="AH1232" i="1" s="1"/>
  <c r="AK1232" i="1" s="1"/>
  <c r="AF1233" i="1"/>
  <c r="AH1233" i="1" s="1"/>
  <c r="AK1233" i="1" s="1"/>
  <c r="AF1234" i="1"/>
  <c r="AH1234" i="1" s="1"/>
  <c r="AK1234" i="1" s="1"/>
  <c r="AF1235" i="1"/>
  <c r="AH1235" i="1" s="1"/>
  <c r="AK1235" i="1" s="1"/>
  <c r="AF1236" i="1"/>
  <c r="AH1236" i="1" s="1"/>
  <c r="AK1236" i="1" s="1"/>
  <c r="AF1237" i="1"/>
  <c r="AH1237" i="1" s="1"/>
  <c r="AK1237" i="1" s="1"/>
  <c r="AF1238" i="1"/>
  <c r="AH1238" i="1" s="1"/>
  <c r="AK1238" i="1" s="1"/>
  <c r="AH1239" i="1"/>
  <c r="AK1239" i="1" s="1"/>
  <c r="AF1240" i="1"/>
  <c r="AH1240" i="1" s="1"/>
  <c r="AK1240" i="1" s="1"/>
  <c r="AF1241" i="1"/>
  <c r="AH1241" i="1" s="1"/>
  <c r="AK1241" i="1" s="1"/>
  <c r="AF1242" i="1"/>
  <c r="AH1242" i="1" s="1"/>
  <c r="AK1242" i="1" s="1"/>
  <c r="AF1243" i="1"/>
  <c r="AH1243" i="1" s="1"/>
  <c r="AK1243" i="1" s="1"/>
  <c r="AH1244" i="1"/>
  <c r="AK1244" i="1" s="1"/>
  <c r="AF1245" i="1"/>
  <c r="AH1245" i="1" s="1"/>
  <c r="AK1245" i="1" s="1"/>
  <c r="AF1246" i="1"/>
  <c r="AH1246" i="1" s="1"/>
  <c r="AK1246" i="1" s="1"/>
  <c r="AF1247" i="1"/>
  <c r="AH1247" i="1" s="1"/>
  <c r="AK1247" i="1" s="1"/>
  <c r="AF1248" i="1"/>
  <c r="AH1248" i="1" s="1"/>
  <c r="AK1248" i="1" s="1"/>
  <c r="AF1249" i="1"/>
  <c r="AH1249" i="1" s="1"/>
  <c r="AK1249" i="1" s="1"/>
  <c r="AF1250" i="1"/>
  <c r="AH1250" i="1" s="1"/>
  <c r="AK1250" i="1" s="1"/>
  <c r="AF1251" i="1"/>
  <c r="AH1251" i="1" s="1"/>
  <c r="AK1251" i="1" s="1"/>
  <c r="AF1252" i="1"/>
  <c r="AH1252" i="1" s="1"/>
  <c r="AK1252" i="1" s="1"/>
  <c r="AF1253" i="1"/>
  <c r="AH1253" i="1" s="1"/>
  <c r="AK1253" i="1" s="1"/>
  <c r="AF1254" i="1"/>
  <c r="AH1254" i="1" s="1"/>
  <c r="AK1254" i="1" s="1"/>
  <c r="AF1255" i="1"/>
  <c r="AH1255" i="1" s="1"/>
  <c r="AK1255" i="1" s="1"/>
  <c r="AF1256" i="1"/>
  <c r="AH1256" i="1" s="1"/>
  <c r="AK1256" i="1" s="1"/>
  <c r="AF1257" i="1"/>
  <c r="AH1257" i="1" s="1"/>
  <c r="AK1257" i="1" s="1"/>
  <c r="AF1258" i="1"/>
  <c r="AH1258" i="1" s="1"/>
  <c r="AK1258" i="1" s="1"/>
  <c r="AF1259" i="1"/>
  <c r="AH1259" i="1" s="1"/>
  <c r="AK1259" i="1" s="1"/>
  <c r="AH1260" i="1"/>
  <c r="AK1260" i="1" s="1"/>
  <c r="AF1261" i="1"/>
  <c r="AH1261" i="1" s="1"/>
  <c r="AK1261" i="1" s="1"/>
  <c r="AF1262" i="1"/>
  <c r="AH1262" i="1" s="1"/>
  <c r="AK1262" i="1" s="1"/>
  <c r="AH1263" i="1"/>
  <c r="AK1263" i="1" s="1"/>
  <c r="AF1264" i="1"/>
  <c r="AH1264" i="1" s="1"/>
  <c r="AK1264" i="1" s="1"/>
  <c r="AF1265" i="1"/>
  <c r="AH1265" i="1" s="1"/>
  <c r="AK1265" i="1" s="1"/>
  <c r="AF1266" i="1"/>
  <c r="AH1266" i="1" s="1"/>
  <c r="AK1266" i="1" s="1"/>
  <c r="AF1267" i="1"/>
  <c r="AH1267" i="1" s="1"/>
  <c r="AK1267" i="1" s="1"/>
  <c r="AF1268" i="1"/>
  <c r="AH1268" i="1" s="1"/>
  <c r="AK1268" i="1" s="1"/>
  <c r="AF1269" i="1"/>
  <c r="AH1269" i="1" s="1"/>
  <c r="AK1269" i="1" s="1"/>
  <c r="AH1270" i="1"/>
  <c r="AK1270" i="1" s="1"/>
  <c r="AF1271" i="1"/>
  <c r="AH1271" i="1" s="1"/>
  <c r="AK1271" i="1" s="1"/>
  <c r="AH1272" i="1"/>
  <c r="AK1272" i="1" s="1"/>
  <c r="AF1273" i="1"/>
  <c r="AH1273" i="1" s="1"/>
  <c r="AK1273" i="1" s="1"/>
  <c r="AF1274" i="1"/>
  <c r="AH1274" i="1" s="1"/>
  <c r="AK1274" i="1" s="1"/>
  <c r="AF1275" i="1"/>
  <c r="AH1275" i="1" s="1"/>
  <c r="AK1275" i="1" s="1"/>
  <c r="AF1276" i="1"/>
  <c r="AH1276" i="1" s="1"/>
  <c r="AK1276" i="1" s="1"/>
  <c r="AF1277" i="1"/>
  <c r="AH1277" i="1" s="1"/>
  <c r="AK1277" i="1" s="1"/>
  <c r="AF1278" i="1"/>
  <c r="AH1278" i="1" s="1"/>
  <c r="AK1278" i="1" s="1"/>
  <c r="AF1279" i="1"/>
  <c r="AH1279" i="1" s="1"/>
  <c r="AK1279" i="1" s="1"/>
  <c r="AF1280" i="1"/>
  <c r="AH1280" i="1" s="1"/>
  <c r="AK1280" i="1" s="1"/>
  <c r="AH1281" i="1"/>
  <c r="AK1281" i="1" s="1"/>
  <c r="AF1282" i="1"/>
  <c r="AH1282" i="1" s="1"/>
  <c r="AK1282" i="1" s="1"/>
  <c r="AF1283" i="1"/>
  <c r="AH1283" i="1" s="1"/>
  <c r="AK1283" i="1" s="1"/>
  <c r="AF1284" i="1"/>
  <c r="AH1284" i="1" s="1"/>
  <c r="AK1284" i="1" s="1"/>
  <c r="AF1285" i="1"/>
  <c r="AH1285" i="1" s="1"/>
  <c r="AK1285" i="1" s="1"/>
  <c r="AF1286" i="1"/>
  <c r="AH1286" i="1" s="1"/>
  <c r="AK1286" i="1" s="1"/>
  <c r="AF1287" i="1"/>
  <c r="AH1287" i="1" s="1"/>
  <c r="AK1287" i="1" s="1"/>
  <c r="AF1288" i="1"/>
  <c r="AH1288" i="1" s="1"/>
  <c r="AK1288" i="1" s="1"/>
  <c r="AF1289" i="1"/>
  <c r="AH1289" i="1" s="1"/>
  <c r="AK1289" i="1" s="1"/>
  <c r="AF1290" i="1"/>
  <c r="AH1290" i="1" s="1"/>
  <c r="AK1290" i="1" s="1"/>
  <c r="AF1291" i="1"/>
  <c r="AH1291" i="1" s="1"/>
  <c r="AK1291" i="1" s="1"/>
  <c r="AF1292" i="1"/>
  <c r="AH1292" i="1" s="1"/>
  <c r="AK1292" i="1" s="1"/>
  <c r="AF1293" i="1"/>
  <c r="AH1293" i="1" s="1"/>
  <c r="AK1293" i="1" s="1"/>
  <c r="AF1294" i="1"/>
  <c r="AH1294" i="1" s="1"/>
  <c r="AK1294" i="1" s="1"/>
  <c r="AF1295" i="1"/>
  <c r="AH1295" i="1" s="1"/>
  <c r="AK1295" i="1" s="1"/>
  <c r="AF1296" i="1"/>
  <c r="AH1296" i="1" s="1"/>
  <c r="AK1296" i="1" s="1"/>
  <c r="AF1297" i="1"/>
  <c r="AH1297" i="1" s="1"/>
  <c r="AK1297" i="1" s="1"/>
  <c r="AH1298" i="1"/>
  <c r="AK1298" i="1" s="1"/>
  <c r="AF1299" i="1"/>
  <c r="AH1299" i="1" s="1"/>
  <c r="AK1299" i="1" s="1"/>
  <c r="AF1300" i="1"/>
  <c r="AH1300" i="1" s="1"/>
  <c r="AK1300" i="1" s="1"/>
  <c r="AF1301" i="1"/>
  <c r="AH1301" i="1" s="1"/>
  <c r="AK1301" i="1" s="1"/>
  <c r="AF1302" i="1"/>
  <c r="AH1302" i="1" s="1"/>
  <c r="AK1302" i="1" s="1"/>
  <c r="AF1303" i="1"/>
  <c r="AH1303" i="1" s="1"/>
  <c r="AK1303" i="1" s="1"/>
  <c r="AF1304" i="1"/>
  <c r="AH1304" i="1" s="1"/>
  <c r="AK1304" i="1" s="1"/>
  <c r="AF1305" i="1"/>
  <c r="AH1305" i="1" s="1"/>
  <c r="AK1305" i="1" s="1"/>
  <c r="AF1306" i="1"/>
  <c r="AH1306" i="1" s="1"/>
  <c r="AK1306" i="1" s="1"/>
  <c r="AF1307" i="1"/>
  <c r="AH1307" i="1" s="1"/>
  <c r="AK1307" i="1" s="1"/>
  <c r="AF1308" i="1"/>
  <c r="AH1308" i="1" s="1"/>
  <c r="AK1308" i="1" s="1"/>
  <c r="AF1309" i="1"/>
  <c r="AH1309" i="1" s="1"/>
  <c r="AK1309" i="1" s="1"/>
  <c r="AF1310" i="1"/>
  <c r="AH1310" i="1" s="1"/>
  <c r="AK1310" i="1" s="1"/>
  <c r="AF1311" i="1"/>
  <c r="AH1311" i="1" s="1"/>
  <c r="AK1311" i="1" s="1"/>
  <c r="AF1312" i="1"/>
  <c r="AH1312" i="1" s="1"/>
  <c r="AK1312" i="1" s="1"/>
  <c r="AH1313" i="1"/>
  <c r="AK1313" i="1" s="1"/>
  <c r="AH1314" i="1"/>
  <c r="AK1314" i="1" s="1"/>
  <c r="AF1315" i="1"/>
  <c r="AH1315" i="1" s="1"/>
  <c r="AK1315" i="1" s="1"/>
  <c r="AF1316" i="1"/>
  <c r="AH1316" i="1" s="1"/>
  <c r="AK1316" i="1" s="1"/>
  <c r="AH1317" i="1"/>
  <c r="AK1317" i="1" s="1"/>
  <c r="AF1318" i="1"/>
  <c r="AH1318" i="1" s="1"/>
  <c r="AK1318" i="1" s="1"/>
  <c r="AF1319" i="1"/>
  <c r="AH1319" i="1" s="1"/>
  <c r="AK1319" i="1" s="1"/>
  <c r="AF1320" i="1"/>
  <c r="AH1320" i="1" s="1"/>
  <c r="AK1320" i="1" s="1"/>
  <c r="AF1321" i="1"/>
  <c r="AH1321" i="1" s="1"/>
  <c r="AK1321" i="1" s="1"/>
  <c r="AF1322" i="1"/>
  <c r="AH1322" i="1" s="1"/>
  <c r="AK1322" i="1" s="1"/>
  <c r="AF1323" i="1"/>
  <c r="AH1323" i="1" s="1"/>
  <c r="AK1323" i="1" s="1"/>
  <c r="AH1324" i="1"/>
  <c r="AK1324" i="1" s="1"/>
  <c r="AF1325" i="1"/>
  <c r="AH1325" i="1" s="1"/>
  <c r="AK1325" i="1" s="1"/>
  <c r="AH1326" i="1"/>
  <c r="AK1326" i="1" s="1"/>
  <c r="AF1327" i="1"/>
  <c r="AH1327" i="1" s="1"/>
  <c r="AK1327" i="1" s="1"/>
  <c r="AF1328" i="1"/>
  <c r="AH1328" i="1" s="1"/>
  <c r="AK1328" i="1" s="1"/>
  <c r="AF1329" i="1"/>
  <c r="AH1329" i="1" s="1"/>
  <c r="AK1329" i="1" s="1"/>
  <c r="AF1330" i="1"/>
  <c r="AH1330" i="1" s="1"/>
  <c r="AK1330" i="1" s="1"/>
  <c r="AF1331" i="1"/>
  <c r="AH1331" i="1" s="1"/>
  <c r="AK1331" i="1" s="1"/>
  <c r="AH3" i="1"/>
  <c r="Z4" i="1"/>
  <c r="Z5" i="1"/>
  <c r="Z6" i="1"/>
  <c r="Z7" i="1"/>
  <c r="Z8" i="1"/>
  <c r="Z9" i="1"/>
  <c r="Z10" i="1"/>
  <c r="Z11" i="1"/>
  <c r="Z12" i="1"/>
  <c r="Z13" i="1"/>
  <c r="AA13" i="1" s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AA220" i="1" s="1"/>
  <c r="Z221" i="1"/>
  <c r="AA221" i="1" s="1"/>
  <c r="Z222" i="1"/>
  <c r="Z223" i="1"/>
  <c r="AA223" i="1" s="1"/>
  <c r="Z224" i="1"/>
  <c r="Z225" i="1"/>
  <c r="AA225" i="1" s="1"/>
  <c r="Z226" i="1"/>
  <c r="Z227" i="1"/>
  <c r="Z228" i="1"/>
  <c r="AA228" i="1" s="1"/>
  <c r="Z229" i="1"/>
  <c r="AA229" i="1" s="1"/>
  <c r="Z230" i="1"/>
  <c r="Z231" i="1"/>
  <c r="Z232" i="1"/>
  <c r="Z233" i="1"/>
  <c r="Z234" i="1"/>
  <c r="AA234" i="1" s="1"/>
  <c r="Z235" i="1"/>
  <c r="Z236" i="1"/>
  <c r="Z237" i="1"/>
  <c r="Z238" i="1"/>
  <c r="Z239" i="1"/>
  <c r="AA239" i="1" s="1"/>
  <c r="Z240" i="1"/>
  <c r="AA240" i="1" s="1"/>
  <c r="Z241" i="1"/>
  <c r="Z242" i="1"/>
  <c r="Z243" i="1"/>
  <c r="Z244" i="1"/>
  <c r="Z245" i="1"/>
  <c r="AA245" i="1" s="1"/>
  <c r="Z246" i="1"/>
  <c r="Z247" i="1"/>
  <c r="Z248" i="1"/>
  <c r="AA248" i="1" s="1"/>
  <c r="Z249" i="1"/>
  <c r="Z250" i="1"/>
  <c r="AA250" i="1" s="1"/>
  <c r="Z251" i="1"/>
  <c r="Z252" i="1"/>
  <c r="Z253" i="1"/>
  <c r="Z254" i="1"/>
  <c r="Z255" i="1"/>
  <c r="Z256" i="1"/>
  <c r="AA256" i="1" s="1"/>
  <c r="Z257" i="1"/>
  <c r="Z258" i="1"/>
  <c r="AA258" i="1" s="1"/>
  <c r="Z259" i="1"/>
  <c r="Z260" i="1"/>
  <c r="AA260" i="1" s="1"/>
  <c r="Z261" i="1"/>
  <c r="Z262" i="1"/>
  <c r="Z263" i="1"/>
  <c r="AA263" i="1" s="1"/>
  <c r="Z264" i="1"/>
  <c r="Z265" i="1"/>
  <c r="AA265" i="1" s="1"/>
  <c r="Z266" i="1"/>
  <c r="Z267" i="1"/>
  <c r="AA267" i="1" s="1"/>
  <c r="Z268" i="1"/>
  <c r="Z269" i="1"/>
  <c r="AA269" i="1" s="1"/>
  <c r="Z270" i="1"/>
  <c r="Z271" i="1"/>
  <c r="AA271" i="1" s="1"/>
  <c r="Z272" i="1"/>
  <c r="AA272" i="1" s="1"/>
  <c r="Z273" i="1"/>
  <c r="Z274" i="1"/>
  <c r="Z275" i="1"/>
  <c r="AA275" i="1" s="1"/>
  <c r="Z276" i="1"/>
  <c r="AA276" i="1" s="1"/>
  <c r="Z277" i="1"/>
  <c r="Z278" i="1"/>
  <c r="Z279" i="1"/>
  <c r="Z280" i="1"/>
  <c r="Z281" i="1"/>
  <c r="AA281" i="1" s="1"/>
  <c r="Z282" i="1"/>
  <c r="Z283" i="1"/>
  <c r="Z284" i="1"/>
  <c r="AA284" i="1" s="1"/>
  <c r="Z285" i="1"/>
  <c r="AA285" i="1" s="1"/>
  <c r="Z286" i="1"/>
  <c r="AA286" i="1" s="1"/>
  <c r="Z287" i="1"/>
  <c r="AA287" i="1" s="1"/>
  <c r="Z288" i="1"/>
  <c r="Z289" i="1"/>
  <c r="Z290" i="1"/>
  <c r="Z291" i="1"/>
  <c r="Z292" i="1"/>
  <c r="Z293" i="1"/>
  <c r="Z294" i="1"/>
  <c r="AA294" i="1" s="1"/>
  <c r="Z295" i="1"/>
  <c r="AA295" i="1" s="1"/>
  <c r="Z296" i="1"/>
  <c r="Z297" i="1"/>
  <c r="Z298" i="1"/>
  <c r="AA298" i="1" s="1"/>
  <c r="Z299" i="1"/>
  <c r="Z300" i="1"/>
  <c r="Z301" i="1"/>
  <c r="AA301" i="1" s="1"/>
  <c r="Z302" i="1"/>
  <c r="Z303" i="1"/>
  <c r="AA303" i="1" s="1"/>
  <c r="Z304" i="1"/>
  <c r="AA304" i="1" s="1"/>
  <c r="Z305" i="1"/>
  <c r="Z306" i="1"/>
  <c r="Z307" i="1"/>
  <c r="Z308" i="1"/>
  <c r="Z309" i="1"/>
  <c r="Z310" i="1"/>
  <c r="Z311" i="1"/>
  <c r="Z312" i="1"/>
  <c r="AA312" i="1" s="1"/>
  <c r="Z313" i="1"/>
  <c r="AA313" i="1" s="1"/>
  <c r="Z314" i="1"/>
  <c r="AA314" i="1" s="1"/>
  <c r="Z315" i="1"/>
  <c r="Z316" i="1"/>
  <c r="Z317" i="1"/>
  <c r="Z318" i="1"/>
  <c r="AA318" i="1" s="1"/>
  <c r="Z319" i="1"/>
  <c r="Z320" i="1"/>
  <c r="AA320" i="1" s="1"/>
  <c r="Z321" i="1"/>
  <c r="Z322" i="1"/>
  <c r="Z323" i="1"/>
  <c r="Z324" i="1"/>
  <c r="Z325" i="1"/>
  <c r="Z326" i="1"/>
  <c r="Z327" i="1"/>
  <c r="AA327" i="1" s="1"/>
  <c r="Z328" i="1"/>
  <c r="Z329" i="1"/>
  <c r="Z330" i="1"/>
  <c r="AA330" i="1" s="1"/>
  <c r="Z331" i="1"/>
  <c r="Z332" i="1"/>
  <c r="AA332" i="1" s="1"/>
  <c r="Z333" i="1"/>
  <c r="Z334" i="1"/>
  <c r="AA334" i="1" s="1"/>
  <c r="Z335" i="1"/>
  <c r="Z336" i="1"/>
  <c r="Z337" i="1"/>
  <c r="Z338" i="1"/>
  <c r="Z339" i="1"/>
  <c r="Z340" i="1"/>
  <c r="AA340" i="1" s="1"/>
  <c r="Z341" i="1"/>
  <c r="AA341" i="1" s="1"/>
  <c r="Z342" i="1"/>
  <c r="AA342" i="1" s="1"/>
  <c r="Z343" i="1"/>
  <c r="Z344" i="1"/>
  <c r="AA344" i="1" s="1"/>
  <c r="Z345" i="1"/>
  <c r="AA345" i="1" s="1"/>
  <c r="Z346" i="1"/>
  <c r="Z347" i="1"/>
  <c r="Z348" i="1"/>
  <c r="AA348" i="1" s="1"/>
  <c r="Z349" i="1"/>
  <c r="Z350" i="1"/>
  <c r="Z351" i="1"/>
  <c r="Z352" i="1"/>
  <c r="Z353" i="1"/>
  <c r="AA353" i="1" s="1"/>
  <c r="Z354" i="1"/>
  <c r="AA354" i="1" s="1"/>
  <c r="Z355" i="1"/>
  <c r="Z356" i="1"/>
  <c r="Z357" i="1"/>
  <c r="Z358" i="1"/>
  <c r="Z359" i="1"/>
  <c r="Z360" i="1"/>
  <c r="AA360" i="1" s="1"/>
  <c r="Z361" i="1"/>
  <c r="Z362" i="1"/>
  <c r="AA362" i="1" s="1"/>
  <c r="Z363" i="1"/>
  <c r="Z364" i="1"/>
  <c r="Z365" i="1"/>
  <c r="AA365" i="1" s="1"/>
  <c r="Z366" i="1"/>
  <c r="Z367" i="1"/>
  <c r="Z368" i="1"/>
  <c r="Z369" i="1"/>
  <c r="Z370" i="1"/>
  <c r="Z371" i="1"/>
  <c r="Z372" i="1"/>
  <c r="Z373" i="1"/>
  <c r="Z374" i="1"/>
  <c r="AA374" i="1" s="1"/>
  <c r="Z375" i="1"/>
  <c r="Z376" i="1"/>
  <c r="Z377" i="1"/>
  <c r="Z378" i="1"/>
  <c r="Z379" i="1"/>
  <c r="AA379" i="1" s="1"/>
  <c r="Z380" i="1"/>
  <c r="AA380" i="1" s="1"/>
  <c r="Z381" i="1"/>
  <c r="Z382" i="1"/>
  <c r="AA382" i="1" s="1"/>
  <c r="Z383" i="1"/>
  <c r="Z384" i="1"/>
  <c r="Z385" i="1"/>
  <c r="Z386" i="1"/>
  <c r="AA386" i="1" s="1"/>
  <c r="Z387" i="1"/>
  <c r="AA387" i="1" s="1"/>
  <c r="Z388" i="1"/>
  <c r="AA388" i="1" s="1"/>
  <c r="Z389" i="1"/>
  <c r="Z390" i="1"/>
  <c r="Z391" i="1"/>
  <c r="Z392" i="1"/>
  <c r="Z393" i="1"/>
  <c r="Z394" i="1"/>
  <c r="Z395" i="1"/>
  <c r="Z396" i="1"/>
  <c r="Z397" i="1"/>
  <c r="AA397" i="1" s="1"/>
  <c r="Z398" i="1"/>
  <c r="Z399" i="1"/>
  <c r="AA399" i="1" s="1"/>
  <c r="Z400" i="1"/>
  <c r="Z401" i="1"/>
  <c r="AA401" i="1" s="1"/>
  <c r="Z402" i="1"/>
  <c r="Z403" i="1"/>
  <c r="Z404" i="1"/>
  <c r="AA404" i="1" s="1"/>
  <c r="Z405" i="1"/>
  <c r="Z406" i="1"/>
  <c r="Z407" i="1"/>
  <c r="Z408" i="1"/>
  <c r="AA408" i="1" s="1"/>
  <c r="Z409" i="1"/>
  <c r="Z410" i="1"/>
  <c r="AA410" i="1" s="1"/>
  <c r="Z411" i="1"/>
  <c r="Z412" i="1"/>
  <c r="Z413" i="1"/>
  <c r="Z414" i="1"/>
  <c r="Z415" i="1"/>
  <c r="Z416" i="1"/>
  <c r="Z417" i="1"/>
  <c r="Z418" i="1"/>
  <c r="AA418" i="1" s="1"/>
  <c r="Z419" i="1"/>
  <c r="AA419" i="1" s="1"/>
  <c r="Z420" i="1"/>
  <c r="Z421" i="1"/>
  <c r="Z422" i="1"/>
  <c r="Z423" i="1"/>
  <c r="Z424" i="1"/>
  <c r="Z425" i="1"/>
  <c r="AA425" i="1" s="1"/>
  <c r="Z426" i="1"/>
  <c r="Z427" i="1"/>
  <c r="Z428" i="1"/>
  <c r="AA428" i="1" s="1"/>
  <c r="Z429" i="1"/>
  <c r="Z430" i="1"/>
  <c r="Z431" i="1"/>
  <c r="Z432" i="1"/>
  <c r="Z433" i="1"/>
  <c r="AA433" i="1" s="1"/>
  <c r="Z434" i="1"/>
  <c r="Z435" i="1"/>
  <c r="Z436" i="1"/>
  <c r="Z437" i="1"/>
  <c r="Z438" i="1"/>
  <c r="Z439" i="1"/>
  <c r="Z440" i="1"/>
  <c r="AA440" i="1" s="1"/>
  <c r="Z441" i="1"/>
  <c r="Z442" i="1"/>
  <c r="Z443" i="1"/>
  <c r="Z444" i="1"/>
  <c r="Z445" i="1"/>
  <c r="Z446" i="1"/>
  <c r="Z447" i="1"/>
  <c r="Z448" i="1"/>
  <c r="Z449" i="1"/>
  <c r="AA449" i="1" s="1"/>
  <c r="Z450" i="1"/>
  <c r="Z451" i="1"/>
  <c r="Z452" i="1"/>
  <c r="Z453" i="1"/>
  <c r="Z454" i="1"/>
  <c r="Z455" i="1"/>
  <c r="Z456" i="1"/>
  <c r="AA456" i="1" s="1"/>
  <c r="Z457" i="1"/>
  <c r="Z458" i="1"/>
  <c r="Z459" i="1"/>
  <c r="Z460" i="1"/>
  <c r="AA460" i="1" s="1"/>
  <c r="Z461" i="1"/>
  <c r="Z462" i="1"/>
  <c r="AA462" i="1" s="1"/>
  <c r="Z463" i="1"/>
  <c r="Z464" i="1"/>
  <c r="Z465" i="1"/>
  <c r="Z466" i="1"/>
  <c r="Z467" i="1"/>
  <c r="Z468" i="1"/>
  <c r="Z469" i="1"/>
  <c r="Z470" i="1"/>
  <c r="Z471" i="1"/>
  <c r="Z472" i="1"/>
  <c r="AA472" i="1" s="1"/>
  <c r="Z473" i="1"/>
  <c r="Z474" i="1"/>
  <c r="Z475" i="1"/>
  <c r="AA475" i="1" s="1"/>
  <c r="Z476" i="1"/>
  <c r="Z477" i="1"/>
  <c r="Z478" i="1"/>
  <c r="Z479" i="1"/>
  <c r="AA479" i="1" s="1"/>
  <c r="Z480" i="1"/>
  <c r="Z481" i="1"/>
  <c r="Z482" i="1"/>
  <c r="Z483" i="1"/>
  <c r="Z484" i="1"/>
  <c r="Z485" i="1"/>
  <c r="Z486" i="1"/>
  <c r="AA486" i="1" s="1"/>
  <c r="Z487" i="1"/>
  <c r="AA487" i="1" s="1"/>
  <c r="Z488" i="1"/>
  <c r="AA488" i="1" s="1"/>
  <c r="Z489" i="1"/>
  <c r="AA489" i="1" s="1"/>
  <c r="Z490" i="1"/>
  <c r="Z491" i="1"/>
  <c r="Z492" i="1"/>
  <c r="Z493" i="1"/>
  <c r="AA493" i="1" s="1"/>
  <c r="Z494" i="1"/>
  <c r="Z495" i="1"/>
  <c r="AA495" i="1" s="1"/>
  <c r="Z496" i="1"/>
  <c r="AA496" i="1" s="1"/>
  <c r="Z497" i="1"/>
  <c r="AA497" i="1" s="1"/>
  <c r="Z498" i="1"/>
  <c r="Z499" i="1"/>
  <c r="Z500" i="1"/>
  <c r="Z501" i="1"/>
  <c r="AA501" i="1" s="1"/>
  <c r="Z502" i="1"/>
  <c r="Z503" i="1"/>
  <c r="Z504" i="1"/>
  <c r="Z505" i="1"/>
  <c r="AA505" i="1" s="1"/>
  <c r="Z506" i="1"/>
  <c r="Z507" i="1"/>
  <c r="AA507" i="1" s="1"/>
  <c r="Z508" i="1"/>
  <c r="Z509" i="1"/>
  <c r="Z510" i="1"/>
  <c r="Z511" i="1"/>
  <c r="Z512" i="1"/>
  <c r="Z513" i="1"/>
  <c r="Z514" i="1"/>
  <c r="Z515" i="1"/>
  <c r="AA515" i="1" s="1"/>
  <c r="Z516" i="1"/>
  <c r="AA516" i="1" s="1"/>
  <c r="Z517" i="1"/>
  <c r="AA517" i="1" s="1"/>
  <c r="Z518" i="1"/>
  <c r="Z519" i="1"/>
  <c r="AA519" i="1" s="1"/>
  <c r="Z520" i="1"/>
  <c r="Z521" i="1"/>
  <c r="AA521" i="1" s="1"/>
  <c r="Z522" i="1"/>
  <c r="Z523" i="1"/>
  <c r="Z524" i="1"/>
  <c r="Z525" i="1"/>
  <c r="AA525" i="1" s="1"/>
  <c r="Z526" i="1"/>
  <c r="Z527" i="1"/>
  <c r="AA527" i="1" s="1"/>
  <c r="Z528" i="1"/>
  <c r="AA528" i="1" s="1"/>
  <c r="Z529" i="1"/>
  <c r="AA529" i="1" s="1"/>
  <c r="Z530" i="1"/>
  <c r="Z531" i="1"/>
  <c r="Z532" i="1"/>
  <c r="AA532" i="1" s="1"/>
  <c r="Z533" i="1"/>
  <c r="AA533" i="1" s="1"/>
  <c r="Z534" i="1"/>
  <c r="Z535" i="1"/>
  <c r="Z536" i="1"/>
  <c r="Z537" i="1"/>
  <c r="Z538" i="1"/>
  <c r="AA538" i="1" s="1"/>
  <c r="Z539" i="1"/>
  <c r="Z540" i="1"/>
  <c r="Z541" i="1"/>
  <c r="Z542" i="1"/>
  <c r="AA542" i="1" s="1"/>
  <c r="Z543" i="1"/>
  <c r="Z544" i="1"/>
  <c r="Z545" i="1"/>
  <c r="Z546" i="1"/>
  <c r="Z547" i="1"/>
  <c r="Z548" i="1"/>
  <c r="Z549" i="1"/>
  <c r="Z550" i="1"/>
  <c r="Z551" i="1"/>
  <c r="Z552" i="1"/>
  <c r="AA552" i="1" s="1"/>
  <c r="Z553" i="1"/>
  <c r="Z554" i="1"/>
  <c r="AA554" i="1" s="1"/>
  <c r="Z555" i="1"/>
  <c r="AA555" i="1" s="1"/>
  <c r="Z556" i="1"/>
  <c r="AA556" i="1" s="1"/>
  <c r="Z557" i="1"/>
  <c r="Z558" i="1"/>
  <c r="Z559" i="1"/>
  <c r="AA559" i="1" s="1"/>
  <c r="Z560" i="1"/>
  <c r="Z561" i="1"/>
  <c r="Z562" i="1"/>
  <c r="Z563" i="1"/>
  <c r="Z564" i="1"/>
  <c r="Z565" i="1"/>
  <c r="Z566" i="1"/>
  <c r="AA566" i="1" s="1"/>
  <c r="Z567" i="1"/>
  <c r="Z568" i="1"/>
  <c r="Z569" i="1"/>
  <c r="AA569" i="1" s="1"/>
  <c r="Z570" i="1"/>
  <c r="Z571" i="1"/>
  <c r="Z572" i="1"/>
  <c r="Z573" i="1"/>
  <c r="Z574" i="1"/>
  <c r="AA574" i="1" s="1"/>
  <c r="Z575" i="1"/>
  <c r="Z576" i="1"/>
  <c r="Z577" i="1"/>
  <c r="AA577" i="1" s="1"/>
  <c r="Z578" i="1"/>
  <c r="Z579" i="1"/>
  <c r="Z580" i="1"/>
  <c r="AA580" i="1" s="1"/>
  <c r="Z581" i="1"/>
  <c r="AA581" i="1" s="1"/>
  <c r="Z582" i="1"/>
  <c r="AA582" i="1" s="1"/>
  <c r="Z583" i="1"/>
  <c r="Z584" i="1"/>
  <c r="Z585" i="1"/>
  <c r="Z586" i="1"/>
  <c r="Z587" i="1"/>
  <c r="Z588" i="1"/>
  <c r="Z589" i="1"/>
  <c r="AA589" i="1" s="1"/>
  <c r="Z590" i="1"/>
  <c r="Z591" i="1"/>
  <c r="AA591" i="1" s="1"/>
  <c r="Z592" i="1"/>
  <c r="Z593" i="1"/>
  <c r="Z594" i="1"/>
  <c r="Z595" i="1"/>
  <c r="Z596" i="1"/>
  <c r="Z597" i="1"/>
  <c r="AA597" i="1" s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AA652" i="1" s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AA698" i="1" s="1"/>
  <c r="Z699" i="1"/>
  <c r="Z700" i="1"/>
  <c r="Z701" i="1"/>
  <c r="AA701" i="1" s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AA724" i="1" s="1"/>
  <c r="Z725" i="1"/>
  <c r="Z726" i="1"/>
  <c r="AA726" i="1" s="1"/>
  <c r="Z727" i="1"/>
  <c r="AA727" i="1" s="1"/>
  <c r="Z728" i="1"/>
  <c r="AA728" i="1" s="1"/>
  <c r="Z729" i="1"/>
  <c r="AA729" i="1" s="1"/>
  <c r="Z730" i="1"/>
  <c r="AA730" i="1" s="1"/>
  <c r="Z731" i="1"/>
  <c r="AA731" i="1" s="1"/>
  <c r="Z732" i="1"/>
  <c r="AA732" i="1" s="1"/>
  <c r="Z733" i="1"/>
  <c r="Z734" i="1"/>
  <c r="AA734" i="1" s="1"/>
  <c r="Z735" i="1"/>
  <c r="AA735" i="1" s="1"/>
  <c r="Z736" i="1"/>
  <c r="AA736" i="1" s="1"/>
  <c r="Z737" i="1"/>
  <c r="AA737" i="1" s="1"/>
  <c r="Z738" i="1"/>
  <c r="AA738" i="1" s="1"/>
  <c r="Z739" i="1"/>
  <c r="AA739" i="1" s="1"/>
  <c r="Z740" i="1"/>
  <c r="AA740" i="1" s="1"/>
  <c r="Z741" i="1"/>
  <c r="AA741" i="1" s="1"/>
  <c r="Z742" i="1"/>
  <c r="AA742" i="1" s="1"/>
  <c r="Z743" i="1"/>
  <c r="Z744" i="1"/>
  <c r="AA744" i="1" s="1"/>
  <c r="Z745" i="1"/>
  <c r="Z746" i="1"/>
  <c r="Z747" i="1"/>
  <c r="Z748" i="1"/>
  <c r="AA748" i="1" s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AA764" i="1" s="1"/>
  <c r="Z765" i="1"/>
  <c r="AA765" i="1" s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AA804" i="1" s="1"/>
  <c r="Z805" i="1"/>
  <c r="Z806" i="1"/>
  <c r="Z807" i="1"/>
  <c r="AA807" i="1" s="1"/>
  <c r="Z808" i="1"/>
  <c r="AA808" i="1" s="1"/>
  <c r="Z809" i="1"/>
  <c r="Z810" i="1"/>
  <c r="Z811" i="1"/>
  <c r="AA811" i="1" s="1"/>
  <c r="Z812" i="1"/>
  <c r="Z813" i="1"/>
  <c r="Z814" i="1"/>
  <c r="Z815" i="1"/>
  <c r="AA815" i="1" s="1"/>
  <c r="Z816" i="1"/>
  <c r="Z817" i="1"/>
  <c r="Z818" i="1"/>
  <c r="Z819" i="1"/>
  <c r="Z820" i="1"/>
  <c r="Z821" i="1"/>
  <c r="Z822" i="1"/>
  <c r="AA822" i="1" s="1"/>
  <c r="Z823" i="1"/>
  <c r="AA823" i="1" s="1"/>
  <c r="Z824" i="1"/>
  <c r="Z825" i="1"/>
  <c r="Z826" i="1"/>
  <c r="Z827" i="1"/>
  <c r="Z828" i="1"/>
  <c r="Z829" i="1"/>
  <c r="Z830" i="1"/>
  <c r="AA830" i="1" s="1"/>
  <c r="Z831" i="1"/>
  <c r="Z832" i="1"/>
  <c r="Z833" i="1"/>
  <c r="Z834" i="1"/>
  <c r="Z835" i="1"/>
  <c r="Z836" i="1"/>
  <c r="Z837" i="1"/>
  <c r="Z838" i="1"/>
  <c r="AA838" i="1" s="1"/>
  <c r="Z839" i="1"/>
  <c r="Z840" i="1"/>
  <c r="AA840" i="1" s="1"/>
  <c r="Z841" i="1"/>
  <c r="Z842" i="1"/>
  <c r="Z843" i="1"/>
  <c r="Z844" i="1"/>
  <c r="Z845" i="1"/>
  <c r="Z846" i="1"/>
  <c r="Z847" i="1"/>
  <c r="Z848" i="1"/>
  <c r="Z849" i="1"/>
  <c r="AA849" i="1" s="1"/>
  <c r="Z850" i="1"/>
  <c r="Z851" i="1"/>
  <c r="AA851" i="1" s="1"/>
  <c r="Z852" i="1"/>
  <c r="Z853" i="1"/>
  <c r="Z854" i="1"/>
  <c r="Z855" i="1"/>
  <c r="Z856" i="1"/>
  <c r="AA856" i="1" s="1"/>
  <c r="Z857" i="1"/>
  <c r="Z858" i="1"/>
  <c r="Z859" i="1"/>
  <c r="Z860" i="1"/>
  <c r="Z861" i="1"/>
  <c r="Z862" i="1"/>
  <c r="Z863" i="1"/>
  <c r="Z864" i="1"/>
  <c r="Z865" i="1"/>
  <c r="Z866" i="1"/>
  <c r="Z867" i="1"/>
  <c r="Z868" i="1"/>
  <c r="AA868" i="1" s="1"/>
  <c r="Z869" i="1"/>
  <c r="Z870" i="1"/>
  <c r="Z871" i="1"/>
  <c r="Z872" i="1"/>
  <c r="AA872" i="1" s="1"/>
  <c r="Z873" i="1"/>
  <c r="Z874" i="1"/>
  <c r="Z875" i="1"/>
  <c r="Z876" i="1"/>
  <c r="Z877" i="1"/>
  <c r="AA877" i="1" s="1"/>
  <c r="Z878" i="1"/>
  <c r="Z879" i="1"/>
  <c r="Z880" i="1"/>
  <c r="Z881" i="1"/>
  <c r="Z882" i="1"/>
  <c r="Z883" i="1"/>
  <c r="Z884" i="1"/>
  <c r="Z885" i="1"/>
  <c r="Z886" i="1"/>
  <c r="Z887" i="1"/>
  <c r="Z888" i="1"/>
  <c r="Z889" i="1"/>
  <c r="AA889" i="1" s="1"/>
  <c r="Z890" i="1"/>
  <c r="Z891" i="1"/>
  <c r="Z892" i="1"/>
  <c r="Z893" i="1"/>
  <c r="Z894" i="1"/>
  <c r="Z895" i="1"/>
  <c r="AA895" i="1" s="1"/>
  <c r="Z896" i="1"/>
  <c r="Z897" i="1"/>
  <c r="Z898" i="1"/>
  <c r="Z899" i="1"/>
  <c r="Z900" i="1"/>
  <c r="Z901" i="1"/>
  <c r="Z902" i="1"/>
  <c r="Z903" i="1"/>
  <c r="Z904" i="1"/>
  <c r="AA904" i="1" s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AA920" i="1" s="1"/>
  <c r="Z921" i="1"/>
  <c r="Z922" i="1"/>
  <c r="Z923" i="1"/>
  <c r="Z924" i="1"/>
  <c r="Z925" i="1"/>
  <c r="Z926" i="1"/>
  <c r="Z927" i="1"/>
  <c r="Z928" i="1"/>
  <c r="AA928" i="1" s="1"/>
  <c r="Z929" i="1"/>
  <c r="Z930" i="1"/>
  <c r="Z931" i="1"/>
  <c r="AA931" i="1" s="1"/>
  <c r="Z932" i="1"/>
  <c r="Z933" i="1"/>
  <c r="AA933" i="1" s="1"/>
  <c r="Z934" i="1"/>
  <c r="Z935" i="1"/>
  <c r="Z936" i="1"/>
  <c r="Z937" i="1"/>
  <c r="Z938" i="1"/>
  <c r="Z939" i="1"/>
  <c r="Z940" i="1"/>
  <c r="AA940" i="1" s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AA953" i="1" s="1"/>
  <c r="Z954" i="1"/>
  <c r="Z955" i="1"/>
  <c r="Z956" i="1"/>
  <c r="Z957" i="1"/>
  <c r="Z958" i="1"/>
  <c r="Z959" i="1"/>
  <c r="Z960" i="1"/>
  <c r="Z961" i="1"/>
  <c r="Z962" i="1"/>
  <c r="AA962" i="1" s="1"/>
  <c r="Z963" i="1"/>
  <c r="Z964" i="1"/>
  <c r="Z965" i="1"/>
  <c r="AA965" i="1" s="1"/>
  <c r="Z966" i="1"/>
  <c r="Z967" i="1"/>
  <c r="Z968" i="1"/>
  <c r="Z969" i="1"/>
  <c r="Z970" i="1"/>
  <c r="Z971" i="1"/>
  <c r="AA971" i="1" s="1"/>
  <c r="Z972" i="1"/>
  <c r="Z973" i="1"/>
  <c r="Z974" i="1"/>
  <c r="AA974" i="1" s="1"/>
  <c r="Z975" i="1"/>
  <c r="Z976" i="1"/>
  <c r="Z977" i="1"/>
  <c r="Z978" i="1"/>
  <c r="Z979" i="1"/>
  <c r="AA979" i="1" s="1"/>
  <c r="Z980" i="1"/>
  <c r="AA980" i="1" s="1"/>
  <c r="Z981" i="1"/>
  <c r="Z982" i="1"/>
  <c r="AA982" i="1" s="1"/>
  <c r="Z983" i="1"/>
  <c r="Z984" i="1"/>
  <c r="Z985" i="1"/>
  <c r="AA985" i="1" s="1"/>
  <c r="Z986" i="1"/>
  <c r="Z987" i="1"/>
  <c r="Z988" i="1"/>
  <c r="Z989" i="1"/>
  <c r="Z990" i="1"/>
  <c r="Z991" i="1"/>
  <c r="AA991" i="1" s="1"/>
  <c r="Z992" i="1"/>
  <c r="Z993" i="1"/>
  <c r="Z994" i="1"/>
  <c r="Z995" i="1"/>
  <c r="Z996" i="1"/>
  <c r="Z997" i="1"/>
  <c r="Z998" i="1"/>
  <c r="Z999" i="1"/>
  <c r="Z1000" i="1"/>
  <c r="AA1000" i="1" s="1"/>
  <c r="Z1001" i="1"/>
  <c r="Z1002" i="1"/>
  <c r="Z1003" i="1"/>
  <c r="Z1004" i="1"/>
  <c r="Z1005" i="1"/>
  <c r="Z1006" i="1"/>
  <c r="Z1007" i="1"/>
  <c r="Z1008" i="1"/>
  <c r="Z1009" i="1"/>
  <c r="AA1009" i="1" s="1"/>
  <c r="Z1010" i="1"/>
  <c r="Z1011" i="1"/>
  <c r="Z1012" i="1"/>
  <c r="Z1013" i="1"/>
  <c r="Z1014" i="1"/>
  <c r="Z1015" i="1"/>
  <c r="Z1016" i="1"/>
  <c r="Z1017" i="1"/>
  <c r="Z1018" i="1"/>
  <c r="AA1018" i="1" s="1"/>
  <c r="Z1019" i="1"/>
  <c r="AA1019" i="1" s="1"/>
  <c r="Z1020" i="1"/>
  <c r="Z1021" i="1"/>
  <c r="Z1022" i="1"/>
  <c r="Z1023" i="1"/>
  <c r="Z1024" i="1"/>
  <c r="Z1025" i="1"/>
  <c r="Z1026" i="1"/>
  <c r="Z1027" i="1"/>
  <c r="Z1028" i="1"/>
  <c r="Z1029" i="1"/>
  <c r="Z1030" i="1"/>
  <c r="AA1030" i="1" s="1"/>
  <c r="Z1031" i="1"/>
  <c r="Z1032" i="1"/>
  <c r="AA1032" i="1" s="1"/>
  <c r="Z1033" i="1"/>
  <c r="Z1034" i="1"/>
  <c r="Z1035" i="1"/>
  <c r="Z1036" i="1"/>
  <c r="Z1037" i="1"/>
  <c r="AA1037" i="1" s="1"/>
  <c r="Z1038" i="1"/>
  <c r="Z1039" i="1"/>
  <c r="Z1040" i="1"/>
  <c r="AA1040" i="1" s="1"/>
  <c r="Z1041" i="1"/>
  <c r="Z1042" i="1"/>
  <c r="Z1043" i="1"/>
  <c r="Z1044" i="1"/>
  <c r="Z1045" i="1"/>
  <c r="Z1046" i="1"/>
  <c r="AA1046" i="1" s="1"/>
  <c r="Z1047" i="1"/>
  <c r="Z1048" i="1"/>
  <c r="Z1049" i="1"/>
  <c r="Z1050" i="1"/>
  <c r="Z1051" i="1"/>
  <c r="AA1051" i="1" s="1"/>
  <c r="Z1052" i="1"/>
  <c r="Z1053" i="1"/>
  <c r="Z1054" i="1"/>
  <c r="Z1055" i="1"/>
  <c r="Z1056" i="1"/>
  <c r="Z1057" i="1"/>
  <c r="Z1058" i="1"/>
  <c r="Z1059" i="1"/>
  <c r="AA1059" i="1" s="1"/>
  <c r="Z1060" i="1"/>
  <c r="Z1061" i="1"/>
  <c r="Z1062" i="1"/>
  <c r="AA1062" i="1" s="1"/>
  <c r="Z1063" i="1"/>
  <c r="Z1064" i="1"/>
  <c r="Z1065" i="1"/>
  <c r="Z1066" i="1"/>
  <c r="Z1067" i="1"/>
  <c r="Z1068" i="1"/>
  <c r="Z1069" i="1"/>
  <c r="Z1070" i="1"/>
  <c r="Z1071" i="1"/>
  <c r="AA1071" i="1" s="1"/>
  <c r="Z1072" i="1"/>
  <c r="Z1073" i="1"/>
  <c r="AA1073" i="1" s="1"/>
  <c r="Z1074" i="1"/>
  <c r="Z1075" i="1"/>
  <c r="Z1076" i="1"/>
  <c r="Z1077" i="1"/>
  <c r="Z1078" i="1"/>
  <c r="Z1079" i="1"/>
  <c r="Z1080" i="1"/>
  <c r="Z1081" i="1"/>
  <c r="Z1082" i="1"/>
  <c r="AA1082" i="1" s="1"/>
  <c r="Z1083" i="1"/>
  <c r="Z1084" i="1"/>
  <c r="Z1085" i="1"/>
  <c r="Z1086" i="1"/>
  <c r="Z1087" i="1"/>
  <c r="AA1087" i="1" s="1"/>
  <c r="Z1088" i="1"/>
  <c r="Z1089" i="1"/>
  <c r="Z1090" i="1"/>
  <c r="Z1091" i="1"/>
  <c r="Z1092" i="1"/>
  <c r="Z1093" i="1"/>
  <c r="Z1094" i="1"/>
  <c r="AA1094" i="1" s="1"/>
  <c r="Z1095" i="1"/>
  <c r="Z1096" i="1"/>
  <c r="Z1097" i="1"/>
  <c r="Z1098" i="1"/>
  <c r="Z1099" i="1"/>
  <c r="AA1099" i="1" s="1"/>
  <c r="Z1100" i="1"/>
  <c r="Z1101" i="1"/>
  <c r="AA1101" i="1" s="1"/>
  <c r="Z1102" i="1"/>
  <c r="Z1103" i="1"/>
  <c r="Z1104" i="1"/>
  <c r="AA1104" i="1" s="1"/>
  <c r="Z1105" i="1"/>
  <c r="Z1106" i="1"/>
  <c r="AA1106" i="1" s="1"/>
  <c r="Z1107" i="1"/>
  <c r="Z1108" i="1"/>
  <c r="AA1108" i="1" s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AA1122" i="1" s="1"/>
  <c r="Z1123" i="1"/>
  <c r="Z1124" i="1"/>
  <c r="Z1125" i="1"/>
  <c r="Z1126" i="1"/>
  <c r="Z1127" i="1"/>
  <c r="Z1128" i="1"/>
  <c r="AA1128" i="1" s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AA1140" i="1" s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AA1152" i="1" s="1"/>
  <c r="Z1153" i="1"/>
  <c r="Z1154" i="1"/>
  <c r="Z1155" i="1"/>
  <c r="Z1156" i="1"/>
  <c r="Z1157" i="1"/>
  <c r="AA1157" i="1" s="1"/>
  <c r="Z1158" i="1"/>
  <c r="Z1159" i="1"/>
  <c r="Z1160" i="1"/>
  <c r="Z1161" i="1"/>
  <c r="Z1162" i="1"/>
  <c r="AA1162" i="1" s="1"/>
  <c r="Z1163" i="1"/>
  <c r="AA1163" i="1" s="1"/>
  <c r="Z1164" i="1"/>
  <c r="AA1164" i="1" s="1"/>
  <c r="Z1165" i="1"/>
  <c r="Z1166" i="1"/>
  <c r="Z1167" i="1"/>
  <c r="Z1168" i="1"/>
  <c r="Z1169" i="1"/>
  <c r="Z1170" i="1"/>
  <c r="AA1170" i="1" s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AA1182" i="1" s="1"/>
  <c r="Z1183" i="1"/>
  <c r="Z1184" i="1"/>
  <c r="Z1185" i="1"/>
  <c r="Z1186" i="1"/>
  <c r="Z1187" i="1"/>
  <c r="Z1188" i="1"/>
  <c r="Z1189" i="1"/>
  <c r="Z1190" i="1"/>
  <c r="Z1191" i="1"/>
  <c r="Z1192" i="1"/>
  <c r="Z1193" i="1"/>
  <c r="AA1193" i="1" s="1"/>
  <c r="Z1194" i="1"/>
  <c r="AA1194" i="1" s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AA1229" i="1" s="1"/>
  <c r="Z1230" i="1"/>
  <c r="Z1231" i="1"/>
  <c r="Z1232" i="1"/>
  <c r="Z1233" i="1"/>
  <c r="Z1234" i="1"/>
  <c r="Z1235" i="1"/>
  <c r="Z1236" i="1"/>
  <c r="Z1237" i="1"/>
  <c r="Z1238" i="1"/>
  <c r="Z1239" i="1"/>
  <c r="AA1239" i="1" s="1"/>
  <c r="Z1240" i="1"/>
  <c r="Z1241" i="1"/>
  <c r="Z1242" i="1"/>
  <c r="Z1243" i="1"/>
  <c r="Z1244" i="1"/>
  <c r="AA1244" i="1" s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AA1260" i="1" s="1"/>
  <c r="Z1261" i="1"/>
  <c r="Z1262" i="1"/>
  <c r="Z1263" i="1"/>
  <c r="AA1263" i="1" s="1"/>
  <c r="Z1264" i="1"/>
  <c r="Z1265" i="1"/>
  <c r="Z1266" i="1"/>
  <c r="Z1267" i="1"/>
  <c r="Z1268" i="1"/>
  <c r="Z1269" i="1"/>
  <c r="Z1270" i="1"/>
  <c r="AA1270" i="1" s="1"/>
  <c r="Z1271" i="1"/>
  <c r="Z1272" i="1"/>
  <c r="AA1272" i="1" s="1"/>
  <c r="Z1273" i="1"/>
  <c r="Z1274" i="1"/>
  <c r="Z1275" i="1"/>
  <c r="Z1276" i="1"/>
  <c r="Z1277" i="1"/>
  <c r="Z1278" i="1"/>
  <c r="Z1279" i="1"/>
  <c r="Z1280" i="1"/>
  <c r="Z1281" i="1"/>
  <c r="AA1281" i="1" s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AA1298" i="1" s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AA1313" i="1" s="1"/>
  <c r="Z1314" i="1"/>
  <c r="AA1314" i="1" s="1"/>
  <c r="Z1315" i="1"/>
  <c r="Z1316" i="1"/>
  <c r="Z1317" i="1"/>
  <c r="AA1317" i="1" s="1"/>
  <c r="Z1318" i="1"/>
  <c r="Z1319" i="1"/>
  <c r="Z1320" i="1"/>
  <c r="Z1321" i="1"/>
  <c r="Z1322" i="1"/>
  <c r="Z1323" i="1"/>
  <c r="Z1324" i="1"/>
  <c r="AA1324" i="1" s="1"/>
  <c r="Z1325" i="1"/>
  <c r="Z1326" i="1"/>
  <c r="AA1326" i="1" s="1"/>
  <c r="Z1327" i="1"/>
  <c r="Z1328" i="1"/>
  <c r="Z1329" i="1"/>
  <c r="Z1330" i="1"/>
  <c r="Z1331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3" i="1"/>
  <c r="W1" i="1"/>
  <c r="X1" i="1"/>
  <c r="Y1" i="1"/>
  <c r="Z1" i="1"/>
  <c r="AB1" i="1"/>
  <c r="AD1" i="1"/>
  <c r="AE1" i="1"/>
  <c r="AF1" i="1"/>
  <c r="AH1" i="1"/>
  <c r="AJ1" i="1"/>
  <c r="V1" i="1"/>
  <c r="AK1481" i="1" l="1"/>
  <c r="AI1481" i="1"/>
  <c r="AK1480" i="1"/>
  <c r="AI1480" i="1"/>
  <c r="AK1479" i="1"/>
  <c r="AI1479" i="1"/>
  <c r="AK1478" i="1"/>
  <c r="AI1478" i="1"/>
  <c r="AK1477" i="1"/>
  <c r="AI1477" i="1"/>
  <c r="AK1476" i="1"/>
  <c r="AI1476" i="1"/>
  <c r="AK1475" i="1"/>
  <c r="AI1475" i="1"/>
  <c r="AK1474" i="1"/>
  <c r="AI1474" i="1"/>
  <c r="AK1473" i="1"/>
  <c r="AI1473" i="1"/>
  <c r="AK1472" i="1"/>
  <c r="AI1472" i="1"/>
  <c r="AK1471" i="1"/>
  <c r="AI1471" i="1"/>
  <c r="AK1470" i="1"/>
  <c r="AI1470" i="1"/>
  <c r="AK1469" i="1"/>
  <c r="AI1469" i="1"/>
  <c r="AK1468" i="1"/>
  <c r="AI1468" i="1"/>
  <c r="AK1467" i="1"/>
  <c r="AI1467" i="1"/>
  <c r="AK1466" i="1"/>
  <c r="AI1466" i="1"/>
  <c r="AK1465" i="1"/>
  <c r="AI1465" i="1"/>
  <c r="AK1464" i="1"/>
  <c r="AI1464" i="1"/>
  <c r="AK1463" i="1"/>
  <c r="AI1463" i="1"/>
  <c r="AK1462" i="1"/>
  <c r="AI1462" i="1"/>
  <c r="AK1461" i="1"/>
  <c r="AI1461" i="1"/>
  <c r="AK1460" i="1"/>
  <c r="AI1460" i="1"/>
  <c r="AK1459" i="1"/>
  <c r="AI1459" i="1"/>
  <c r="AK1458" i="1"/>
  <c r="AI1458" i="1"/>
  <c r="AK1457" i="1"/>
  <c r="AI1457" i="1"/>
  <c r="AK1456" i="1"/>
  <c r="AI1456" i="1"/>
  <c r="AK1455" i="1"/>
  <c r="AI1455" i="1"/>
  <c r="AK1454" i="1"/>
  <c r="AI1454" i="1"/>
  <c r="AK1453" i="1"/>
  <c r="AI1453" i="1"/>
  <c r="AK1452" i="1"/>
  <c r="AI1452" i="1"/>
  <c r="AK1451" i="1"/>
  <c r="AI1451" i="1"/>
  <c r="AK1450" i="1"/>
  <c r="AI1450" i="1"/>
  <c r="AK1449" i="1"/>
  <c r="AI1449" i="1"/>
  <c r="AK1448" i="1"/>
  <c r="AI1448" i="1"/>
  <c r="AK1447" i="1"/>
  <c r="AI1447" i="1"/>
  <c r="AK1446" i="1"/>
  <c r="AI1446" i="1"/>
  <c r="AK1445" i="1"/>
  <c r="AI1445" i="1"/>
  <c r="AK1444" i="1"/>
  <c r="AI1444" i="1"/>
  <c r="AK1443" i="1"/>
  <c r="AI1443" i="1"/>
  <c r="AK1442" i="1"/>
  <c r="AI1442" i="1"/>
  <c r="AK1441" i="1"/>
  <c r="AI1441" i="1"/>
  <c r="AK1440" i="1"/>
  <c r="AI1440" i="1"/>
  <c r="AK1439" i="1"/>
  <c r="AI1439" i="1"/>
  <c r="AK1438" i="1"/>
  <c r="AI1438" i="1"/>
  <c r="AK1437" i="1"/>
  <c r="AI1437" i="1"/>
  <c r="AK1436" i="1"/>
  <c r="AI1436" i="1"/>
  <c r="AK1435" i="1"/>
  <c r="AI1435" i="1"/>
  <c r="AK1434" i="1"/>
  <c r="AI1434" i="1"/>
  <c r="AK1433" i="1"/>
  <c r="AI1433" i="1"/>
  <c r="AK1432" i="1"/>
  <c r="AI1432" i="1"/>
  <c r="AK1431" i="1"/>
  <c r="AI1431" i="1"/>
  <c r="AK1430" i="1"/>
  <c r="AI1430" i="1"/>
  <c r="AK1429" i="1"/>
  <c r="AI1429" i="1"/>
  <c r="AK1428" i="1"/>
  <c r="AI1428" i="1"/>
  <c r="AK1427" i="1"/>
  <c r="AI1427" i="1"/>
  <c r="AK1426" i="1"/>
  <c r="AI1426" i="1"/>
  <c r="AK1425" i="1"/>
  <c r="AI1425" i="1"/>
  <c r="AK1424" i="1"/>
  <c r="AI1424" i="1"/>
  <c r="AK1423" i="1"/>
  <c r="AI1423" i="1"/>
  <c r="AK1422" i="1"/>
  <c r="AI1422" i="1"/>
  <c r="AK1421" i="1"/>
  <c r="AI1421" i="1"/>
  <c r="AK1420" i="1"/>
  <c r="AI1420" i="1"/>
  <c r="AK1419" i="1"/>
  <c r="AI1419" i="1"/>
  <c r="AK1418" i="1"/>
  <c r="AI1418" i="1"/>
  <c r="AK1417" i="1"/>
  <c r="AI1417" i="1"/>
  <c r="AK1416" i="1"/>
  <c r="AI1416" i="1"/>
  <c r="AK1415" i="1"/>
  <c r="AI1415" i="1"/>
  <c r="AK1414" i="1"/>
  <c r="AI1414" i="1"/>
  <c r="AK1413" i="1"/>
  <c r="AI1413" i="1"/>
  <c r="AK1412" i="1"/>
  <c r="AI1412" i="1"/>
  <c r="AK1411" i="1"/>
  <c r="AI1411" i="1"/>
  <c r="AK1410" i="1"/>
  <c r="AI1410" i="1"/>
  <c r="AK1409" i="1"/>
  <c r="AI1409" i="1"/>
  <c r="AK1408" i="1"/>
  <c r="AI1408" i="1"/>
  <c r="AK1407" i="1"/>
  <c r="AI1407" i="1"/>
  <c r="AK1406" i="1"/>
  <c r="AI1406" i="1"/>
  <c r="AK1405" i="1"/>
  <c r="AI1405" i="1"/>
  <c r="AK1404" i="1"/>
  <c r="AI1404" i="1"/>
  <c r="AK1403" i="1"/>
  <c r="AI1403" i="1"/>
  <c r="AK1402" i="1"/>
  <c r="AI1402" i="1"/>
  <c r="AK1401" i="1"/>
  <c r="AI1401" i="1"/>
  <c r="AK1400" i="1"/>
  <c r="AI1400" i="1"/>
  <c r="AK1399" i="1"/>
  <c r="AI1399" i="1"/>
  <c r="AK1398" i="1"/>
  <c r="AI1398" i="1"/>
  <c r="AK1397" i="1"/>
  <c r="AI1397" i="1"/>
  <c r="AK1396" i="1"/>
  <c r="AI1396" i="1"/>
  <c r="AK1395" i="1"/>
  <c r="AI1395" i="1"/>
  <c r="AK1394" i="1"/>
  <c r="AI1394" i="1"/>
  <c r="AK1393" i="1"/>
  <c r="AI1393" i="1"/>
  <c r="AK1392" i="1"/>
  <c r="AI1392" i="1"/>
  <c r="AK1391" i="1"/>
  <c r="AI1391" i="1"/>
  <c r="AK1390" i="1"/>
  <c r="AI1390" i="1"/>
  <c r="AK1389" i="1"/>
  <c r="AI1389" i="1"/>
  <c r="AK1388" i="1"/>
  <c r="AI1388" i="1"/>
  <c r="AK1387" i="1"/>
  <c r="AI1387" i="1"/>
  <c r="AK1386" i="1"/>
  <c r="AI1386" i="1"/>
  <c r="AK1385" i="1"/>
  <c r="AI1385" i="1"/>
  <c r="AK1384" i="1"/>
  <c r="AI1384" i="1"/>
  <c r="AK1383" i="1"/>
  <c r="AI1383" i="1"/>
  <c r="AK1382" i="1"/>
  <c r="AI1382" i="1"/>
  <c r="AK1381" i="1"/>
  <c r="AI1381" i="1"/>
  <c r="AK1380" i="1"/>
  <c r="AI1380" i="1"/>
  <c r="AK1379" i="1"/>
  <c r="AI1379" i="1"/>
  <c r="AK1378" i="1"/>
  <c r="AI1378" i="1"/>
  <c r="AK1377" i="1"/>
  <c r="AI1377" i="1"/>
  <c r="AK1376" i="1"/>
  <c r="AI1376" i="1"/>
  <c r="AK1375" i="1"/>
  <c r="AI1375" i="1"/>
  <c r="AK1374" i="1"/>
  <c r="AI1374" i="1"/>
  <c r="AK1373" i="1"/>
  <c r="AI1373" i="1"/>
  <c r="AK1372" i="1"/>
  <c r="AI1372" i="1"/>
  <c r="AK1371" i="1"/>
  <c r="AI1371" i="1"/>
  <c r="AK1370" i="1"/>
  <c r="AI1370" i="1"/>
  <c r="AK1369" i="1"/>
  <c r="AI1369" i="1"/>
  <c r="AK1368" i="1"/>
  <c r="AI1368" i="1"/>
  <c r="AK1367" i="1"/>
  <c r="AI1367" i="1"/>
  <c r="AK1366" i="1"/>
  <c r="AI1366" i="1"/>
  <c r="AK1365" i="1"/>
  <c r="AI1365" i="1"/>
  <c r="AK1364" i="1"/>
  <c r="AI1364" i="1"/>
  <c r="AK1363" i="1"/>
  <c r="AI1363" i="1"/>
  <c r="AK1362" i="1"/>
  <c r="AI1362" i="1"/>
  <c r="AK1361" i="1"/>
  <c r="AI1361" i="1"/>
  <c r="AK1360" i="1"/>
  <c r="AI1360" i="1"/>
  <c r="AK1359" i="1"/>
  <c r="AI1359" i="1"/>
  <c r="AK1358" i="1"/>
  <c r="AI1358" i="1"/>
  <c r="AK1357" i="1"/>
  <c r="AI1357" i="1"/>
  <c r="AK1356" i="1"/>
  <c r="AI1356" i="1"/>
  <c r="AK1355" i="1"/>
  <c r="AI1355" i="1"/>
  <c r="AK1354" i="1"/>
  <c r="AI1354" i="1"/>
  <c r="AK1353" i="1"/>
  <c r="AI1353" i="1"/>
  <c r="AK1352" i="1"/>
  <c r="AI1352" i="1"/>
  <c r="AK1351" i="1"/>
  <c r="AI1351" i="1"/>
  <c r="AK1350" i="1"/>
  <c r="AI1350" i="1"/>
  <c r="AK1349" i="1"/>
  <c r="AI1349" i="1"/>
  <c r="AK1348" i="1"/>
  <c r="AI1348" i="1"/>
  <c r="AK1347" i="1"/>
  <c r="AI1347" i="1"/>
  <c r="AK1346" i="1"/>
  <c r="AI1346" i="1"/>
  <c r="AK1345" i="1"/>
  <c r="AI1345" i="1"/>
  <c r="AK1344" i="1"/>
  <c r="AI1344" i="1"/>
  <c r="AK1343" i="1"/>
  <c r="AI1343" i="1"/>
  <c r="AK1342" i="1"/>
  <c r="AI1342" i="1"/>
  <c r="AK1341" i="1"/>
  <c r="AI1341" i="1"/>
  <c r="AK1340" i="1"/>
  <c r="AI1340" i="1"/>
  <c r="AK1339" i="1"/>
  <c r="AI1339" i="1"/>
  <c r="AK1338" i="1"/>
  <c r="AI1338" i="1"/>
  <c r="AK1337" i="1"/>
  <c r="AI1337" i="1"/>
  <c r="AK1336" i="1"/>
  <c r="AI1336" i="1"/>
  <c r="AK1335" i="1"/>
  <c r="AI1335" i="1"/>
  <c r="AK1334" i="1"/>
  <c r="AI1334" i="1"/>
  <c r="AK1333" i="1"/>
  <c r="AI1333" i="1"/>
  <c r="AK1332" i="1"/>
  <c r="AI1332" i="1"/>
  <c r="Y1" i="4"/>
  <c r="AK1119" i="4"/>
  <c r="AI1119" i="4"/>
  <c r="AK1120" i="4"/>
  <c r="AI1120" i="4"/>
  <c r="AI1126" i="4"/>
  <c r="AK1126" i="4"/>
  <c r="AK980" i="4"/>
  <c r="AI980" i="4"/>
  <c r="AK981" i="4"/>
  <c r="AI981" i="4"/>
  <c r="AK982" i="4"/>
  <c r="AI982" i="4"/>
  <c r="AK983" i="4"/>
  <c r="AI983" i="4"/>
  <c r="AK984" i="4"/>
  <c r="AI984" i="4"/>
  <c r="AK985" i="4"/>
  <c r="AI985" i="4"/>
  <c r="AK986" i="4"/>
  <c r="AI986" i="4"/>
  <c r="AK987" i="4"/>
  <c r="AI987" i="4"/>
  <c r="AK988" i="4"/>
  <c r="AI988" i="4"/>
  <c r="AK989" i="4"/>
  <c r="AI989" i="4"/>
  <c r="AK990" i="4"/>
  <c r="AI990" i="4"/>
  <c r="AK991" i="4"/>
  <c r="AI991" i="4"/>
  <c r="AI992" i="4"/>
  <c r="AK992" i="4"/>
  <c r="AI993" i="4"/>
  <c r="AK993" i="4"/>
  <c r="AI994" i="4"/>
  <c r="AK994" i="4"/>
  <c r="AI995" i="4"/>
  <c r="AK995" i="4"/>
  <c r="AK996" i="4"/>
  <c r="AI996" i="4"/>
  <c r="AI997" i="4"/>
  <c r="AK997" i="4"/>
  <c r="AK998" i="4"/>
  <c r="AI998" i="4"/>
  <c r="AK999" i="4"/>
  <c r="AI999" i="4"/>
  <c r="AI1000" i="4"/>
  <c r="AK1000" i="4"/>
  <c r="AI1001" i="4"/>
  <c r="AK1001" i="4"/>
  <c r="AK1002" i="4"/>
  <c r="AI1002" i="4"/>
  <c r="AK1003" i="4"/>
  <c r="AI1003" i="4"/>
  <c r="AK1004" i="4"/>
  <c r="AI1004" i="4"/>
  <c r="AK1005" i="4"/>
  <c r="AI1005" i="4"/>
  <c r="AK1006" i="4"/>
  <c r="AI1006" i="4"/>
  <c r="AK1007" i="4"/>
  <c r="AI1007" i="4"/>
  <c r="AK1008" i="4"/>
  <c r="AI1008" i="4"/>
  <c r="AK1009" i="4"/>
  <c r="AI1009" i="4"/>
  <c r="AK1010" i="4"/>
  <c r="AI1010" i="4"/>
  <c r="AK1011" i="4"/>
  <c r="AI1011" i="4"/>
  <c r="AK1012" i="4"/>
  <c r="AI1012" i="4"/>
  <c r="AK1013" i="4"/>
  <c r="AI1013" i="4"/>
  <c r="AK1014" i="4"/>
  <c r="AI1014" i="4"/>
  <c r="AK1015" i="4"/>
  <c r="AI1015" i="4"/>
  <c r="AK1016" i="4"/>
  <c r="AI1016" i="4"/>
  <c r="AK1017" i="4"/>
  <c r="AI1017" i="4"/>
  <c r="AK1018" i="4"/>
  <c r="AI1018" i="4"/>
  <c r="AK1019" i="4"/>
  <c r="AI1019" i="4"/>
  <c r="AK1020" i="4"/>
  <c r="AI1020" i="4"/>
  <c r="AK1021" i="4"/>
  <c r="AI1021" i="4"/>
  <c r="AK1022" i="4"/>
  <c r="AI1022" i="4"/>
  <c r="AK1023" i="4"/>
  <c r="AI1023" i="4"/>
  <c r="AK1024" i="4"/>
  <c r="AI1024" i="4"/>
  <c r="AK1025" i="4"/>
  <c r="AI1025" i="4"/>
  <c r="AK1026" i="4"/>
  <c r="AI1026" i="4"/>
  <c r="AK1027" i="4"/>
  <c r="AI1027" i="4"/>
  <c r="AK1028" i="4"/>
  <c r="AI1028" i="4"/>
  <c r="AK1029" i="4"/>
  <c r="AI1029" i="4"/>
  <c r="AK1030" i="4"/>
  <c r="AI1030" i="4"/>
  <c r="AK1031" i="4"/>
  <c r="AI1031" i="4"/>
  <c r="AK1032" i="4"/>
  <c r="AI1032" i="4"/>
  <c r="AK1033" i="4"/>
  <c r="AI1033" i="4"/>
  <c r="AK1034" i="4"/>
  <c r="AI1034" i="4"/>
  <c r="AK1035" i="4"/>
  <c r="AI1035" i="4"/>
  <c r="AK1036" i="4"/>
  <c r="AI1036" i="4"/>
  <c r="AK1037" i="4"/>
  <c r="AI1037" i="4"/>
  <c r="AK1038" i="4"/>
  <c r="AI1038" i="4"/>
  <c r="AK1039" i="4"/>
  <c r="AI1039" i="4"/>
  <c r="AK1040" i="4"/>
  <c r="AI1040" i="4"/>
  <c r="AK1041" i="4"/>
  <c r="AI1041" i="4"/>
  <c r="AK1042" i="4"/>
  <c r="AI1042" i="4"/>
  <c r="AK1043" i="4"/>
  <c r="AI1043" i="4"/>
  <c r="AK1044" i="4"/>
  <c r="AI1044" i="4"/>
  <c r="AK1045" i="4"/>
  <c r="AI1045" i="4"/>
  <c r="AK1046" i="4"/>
  <c r="AI1046" i="4"/>
  <c r="AK1047" i="4"/>
  <c r="AI1047" i="4"/>
  <c r="AK1048" i="4"/>
  <c r="AI1048" i="4"/>
  <c r="AK1049" i="4"/>
  <c r="AI1049" i="4"/>
  <c r="AK1050" i="4"/>
  <c r="AI1050" i="4"/>
  <c r="AK1051" i="4"/>
  <c r="AI1051" i="4"/>
  <c r="AK1052" i="4"/>
  <c r="AI1052" i="4"/>
  <c r="AK1053" i="4"/>
  <c r="AI1053" i="4"/>
  <c r="AK1054" i="4"/>
  <c r="AI1054" i="4"/>
  <c r="AK1055" i="4"/>
  <c r="AI1055" i="4"/>
  <c r="AK1056" i="4"/>
  <c r="AI1056" i="4"/>
  <c r="AK1057" i="4"/>
  <c r="AI1057" i="4"/>
  <c r="AK1058" i="4"/>
  <c r="AI1058" i="4"/>
  <c r="AK1059" i="4"/>
  <c r="AI1059" i="4"/>
  <c r="AK1060" i="4"/>
  <c r="AI1060" i="4"/>
  <c r="AI1061" i="4"/>
  <c r="AK1061" i="4"/>
  <c r="AK1062" i="4"/>
  <c r="AI1062" i="4"/>
  <c r="AK1063" i="4"/>
  <c r="AI1063" i="4"/>
  <c r="AK1064" i="4"/>
  <c r="AI1064" i="4"/>
  <c r="AK1065" i="4"/>
  <c r="AI1065" i="4"/>
  <c r="AK1066" i="4"/>
  <c r="AI1066" i="4"/>
  <c r="AK1067" i="4"/>
  <c r="AI1067" i="4"/>
  <c r="AI1068" i="4"/>
  <c r="AK1068" i="4"/>
  <c r="AK1069" i="4"/>
  <c r="AI1069" i="4"/>
  <c r="AK1070" i="4"/>
  <c r="AI1070" i="4"/>
  <c r="AK1071" i="4"/>
  <c r="AI1071" i="4"/>
  <c r="AK1072" i="4"/>
  <c r="AI1072" i="4"/>
  <c r="AK1073" i="4"/>
  <c r="AI1073" i="4"/>
  <c r="AK1074" i="4"/>
  <c r="AI1074" i="4"/>
  <c r="AK1075" i="4"/>
  <c r="AI1075" i="4"/>
  <c r="AK1076" i="4"/>
  <c r="AI1076" i="4"/>
  <c r="AK1077" i="4"/>
  <c r="AI1077" i="4"/>
  <c r="AK1078" i="4"/>
  <c r="AI1078" i="4"/>
  <c r="AK1079" i="4"/>
  <c r="AI1079" i="4"/>
  <c r="AK1080" i="4"/>
  <c r="AI1080" i="4"/>
  <c r="AK1081" i="4"/>
  <c r="AI1081" i="4"/>
  <c r="AK1082" i="4"/>
  <c r="AI1082" i="4"/>
  <c r="AK1083" i="4"/>
  <c r="AI1083" i="4"/>
  <c r="AK1084" i="4"/>
  <c r="AI1084" i="4"/>
  <c r="AK1085" i="4"/>
  <c r="AI1085" i="4"/>
  <c r="AK1086" i="4"/>
  <c r="AI1086" i="4"/>
  <c r="AK1087" i="4"/>
  <c r="AI1087" i="4"/>
  <c r="AK1088" i="4"/>
  <c r="AI1088" i="4"/>
  <c r="AK1089" i="4"/>
  <c r="AI1089" i="4"/>
  <c r="AK1090" i="4"/>
  <c r="AI1090" i="4"/>
  <c r="AK1091" i="4"/>
  <c r="AI1091" i="4"/>
  <c r="AK1092" i="4"/>
  <c r="AI1092" i="4"/>
  <c r="AK1093" i="4"/>
  <c r="AI1093" i="4"/>
  <c r="AI1094" i="4"/>
  <c r="AK1094" i="4"/>
  <c r="AK1095" i="4"/>
  <c r="AI1095" i="4"/>
  <c r="AK1096" i="4"/>
  <c r="AI1096" i="4"/>
  <c r="AK1097" i="4"/>
  <c r="AI1097" i="4"/>
  <c r="AI1098" i="4"/>
  <c r="AK1098" i="4"/>
  <c r="AI1099" i="4"/>
  <c r="AK1099" i="4"/>
  <c r="AI1100" i="4"/>
  <c r="AK1100" i="4"/>
  <c r="AI1101" i="4"/>
  <c r="AK1101" i="4"/>
  <c r="AI1102" i="4"/>
  <c r="AK1102" i="4"/>
  <c r="AI1103" i="4"/>
  <c r="AK1103" i="4"/>
  <c r="AI1104" i="4"/>
  <c r="AK1104" i="4"/>
  <c r="AK1105" i="4"/>
  <c r="AI1105" i="4"/>
  <c r="AK1106" i="4"/>
  <c r="AI1106" i="4"/>
  <c r="AK1107" i="4"/>
  <c r="AI1107" i="4"/>
  <c r="AK1108" i="4"/>
  <c r="AI1108" i="4"/>
  <c r="AK1109" i="4"/>
  <c r="AI1109" i="4"/>
  <c r="AI1110" i="4"/>
  <c r="AK1110" i="4"/>
  <c r="AI1111" i="4"/>
  <c r="AK1111" i="4"/>
  <c r="AK1112" i="4"/>
  <c r="AI1112" i="4"/>
  <c r="AK1113" i="4"/>
  <c r="AI1113" i="4"/>
  <c r="AK1114" i="4"/>
  <c r="AI1114" i="4"/>
  <c r="AK1115" i="4"/>
  <c r="AI1115" i="4"/>
  <c r="AK1116" i="4"/>
  <c r="AI1116" i="4"/>
  <c r="AI1117" i="4"/>
  <c r="AK1117" i="4"/>
  <c r="AI1118" i="4"/>
  <c r="AK1118" i="4"/>
  <c r="AI1121" i="4"/>
  <c r="AK1121" i="4"/>
  <c r="AK1122" i="4"/>
  <c r="AI1122" i="4"/>
  <c r="AK1123" i="4"/>
  <c r="AI1123" i="4"/>
  <c r="AK1124" i="4"/>
  <c r="AI1124" i="4"/>
  <c r="AK1125" i="4"/>
  <c r="AI1125" i="4"/>
  <c r="AK1127" i="4"/>
  <c r="AI1127" i="4"/>
  <c r="AK1128" i="4"/>
  <c r="AI1128" i="4"/>
  <c r="AK1129" i="4"/>
  <c r="AI1129" i="4"/>
  <c r="X1" i="4"/>
  <c r="W1" i="4"/>
  <c r="AI979" i="4"/>
  <c r="AK979" i="4"/>
  <c r="AI978" i="4"/>
  <c r="AK978" i="4"/>
  <c r="AI977" i="4"/>
  <c r="AK977" i="4"/>
  <c r="AI976" i="4"/>
  <c r="AK976" i="4"/>
  <c r="AI975" i="4"/>
  <c r="AK975" i="4"/>
  <c r="AI974" i="4"/>
  <c r="AK974" i="4"/>
  <c r="AI973" i="4"/>
  <c r="AK973" i="4"/>
  <c r="AI972" i="4"/>
  <c r="AK972" i="4"/>
  <c r="AI971" i="4"/>
  <c r="AK971" i="4"/>
  <c r="AI970" i="4"/>
  <c r="AK970" i="4"/>
  <c r="AI969" i="4"/>
  <c r="AK969" i="4"/>
  <c r="AI968" i="4"/>
  <c r="AK968" i="4"/>
  <c r="AI967" i="4"/>
  <c r="AK967" i="4"/>
  <c r="AI966" i="4"/>
  <c r="AK966" i="4"/>
  <c r="AI965" i="4"/>
  <c r="AK965" i="4"/>
  <c r="AI964" i="4"/>
  <c r="AK964" i="4"/>
  <c r="AI963" i="4"/>
  <c r="AK963" i="4"/>
  <c r="AI962" i="4"/>
  <c r="AK962" i="4"/>
  <c r="AI961" i="4"/>
  <c r="AK961" i="4"/>
  <c r="AI960" i="4"/>
  <c r="AK960" i="4"/>
  <c r="AI959" i="4"/>
  <c r="AK959" i="4"/>
  <c r="AI958" i="4"/>
  <c r="AK958" i="4"/>
  <c r="AI957" i="4"/>
  <c r="AK957" i="4"/>
  <c r="AI956" i="4"/>
  <c r="AK956" i="4"/>
  <c r="AI955" i="4"/>
  <c r="AK955" i="4"/>
  <c r="AI954" i="4"/>
  <c r="AK954" i="4"/>
  <c r="AI953" i="4"/>
  <c r="AK953" i="4"/>
  <c r="AI952" i="4"/>
  <c r="AK952" i="4"/>
  <c r="AI951" i="4"/>
  <c r="AK951" i="4"/>
  <c r="AI950" i="4"/>
  <c r="AK950" i="4"/>
  <c r="AI949" i="4"/>
  <c r="AK949" i="4"/>
  <c r="AI948" i="4"/>
  <c r="AK948" i="4"/>
  <c r="AI947" i="4"/>
  <c r="AK947" i="4"/>
  <c r="AI946" i="4"/>
  <c r="AK946" i="4"/>
  <c r="AI945" i="4"/>
  <c r="AK945" i="4"/>
  <c r="AI944" i="4"/>
  <c r="AK944" i="4"/>
  <c r="AI943" i="4"/>
  <c r="AK943" i="4"/>
  <c r="AI942" i="4"/>
  <c r="AK942" i="4"/>
  <c r="AI941" i="4"/>
  <c r="AK941" i="4"/>
  <c r="AI940" i="4"/>
  <c r="AK940" i="4"/>
  <c r="AI939" i="4"/>
  <c r="AK939" i="4"/>
  <c r="AI938" i="4"/>
  <c r="AK938" i="4"/>
  <c r="AI937" i="4"/>
  <c r="AK937" i="4"/>
  <c r="AI936" i="4"/>
  <c r="AK936" i="4"/>
  <c r="AI935" i="4"/>
  <c r="AK935" i="4"/>
  <c r="AI934" i="4"/>
  <c r="AK934" i="4"/>
  <c r="AI933" i="4"/>
  <c r="AK933" i="4"/>
  <c r="AI932" i="4"/>
  <c r="AK932" i="4"/>
  <c r="AI931" i="4"/>
  <c r="AK931" i="4"/>
  <c r="AI930" i="4"/>
  <c r="AK930" i="4"/>
  <c r="AI929" i="4"/>
  <c r="AK929" i="4"/>
  <c r="AI928" i="4"/>
  <c r="AK928" i="4"/>
  <c r="AI927" i="4"/>
  <c r="AK927" i="4"/>
  <c r="AI926" i="4"/>
  <c r="AK926" i="4"/>
  <c r="AI925" i="4"/>
  <c r="AK925" i="4"/>
  <c r="AI924" i="4"/>
  <c r="AK924" i="4"/>
  <c r="AI923" i="4"/>
  <c r="AK923" i="4"/>
  <c r="AI922" i="4"/>
  <c r="AK922" i="4"/>
  <c r="AI921" i="4"/>
  <c r="AK921" i="4"/>
  <c r="AI920" i="4"/>
  <c r="AK920" i="4"/>
  <c r="AI919" i="4"/>
  <c r="AK919" i="4"/>
  <c r="AI918" i="4"/>
  <c r="AK918" i="4"/>
  <c r="AI917" i="4"/>
  <c r="AK917" i="4"/>
  <c r="AI916" i="4"/>
  <c r="AK916" i="4"/>
  <c r="AI915" i="4"/>
  <c r="AK915" i="4"/>
  <c r="AI914" i="4"/>
  <c r="AK914" i="4"/>
  <c r="AI913" i="4"/>
  <c r="AK913" i="4"/>
  <c r="AI912" i="4"/>
  <c r="AK912" i="4"/>
  <c r="AI911" i="4"/>
  <c r="AK911" i="4"/>
  <c r="AI910" i="4"/>
  <c r="AK910" i="4"/>
  <c r="AI909" i="4"/>
  <c r="AK909" i="4"/>
  <c r="AI908" i="4"/>
  <c r="AK908" i="4"/>
  <c r="AI907" i="4"/>
  <c r="AK907" i="4"/>
  <c r="AI906" i="4"/>
  <c r="AK906" i="4"/>
  <c r="AI905" i="4"/>
  <c r="AK905" i="4"/>
  <c r="AI904" i="4"/>
  <c r="AK904" i="4"/>
  <c r="AI903" i="4"/>
  <c r="AK903" i="4"/>
  <c r="AI902" i="4"/>
  <c r="AK902" i="4"/>
  <c r="AI901" i="4"/>
  <c r="AK901" i="4"/>
  <c r="AI900" i="4"/>
  <c r="AK900" i="4"/>
  <c r="AI899" i="4"/>
  <c r="AK899" i="4"/>
  <c r="AI898" i="4"/>
  <c r="AK898" i="4"/>
  <c r="AI897" i="4"/>
  <c r="AK897" i="4"/>
  <c r="AI896" i="4"/>
  <c r="AK896" i="4"/>
  <c r="AI895" i="4"/>
  <c r="AK895" i="4"/>
  <c r="AI894" i="4"/>
  <c r="AK894" i="4"/>
  <c r="AI893" i="4"/>
  <c r="AK893" i="4"/>
  <c r="AI892" i="4"/>
  <c r="AK892" i="4"/>
  <c r="AI891" i="4"/>
  <c r="AK891" i="4"/>
  <c r="AI890" i="4"/>
  <c r="AK890" i="4"/>
  <c r="AI889" i="4"/>
  <c r="AK889" i="4"/>
  <c r="AI888" i="4"/>
  <c r="AK888" i="4"/>
  <c r="AI887" i="4"/>
  <c r="AK887" i="4"/>
  <c r="AI886" i="4"/>
  <c r="AK886" i="4"/>
  <c r="AI885" i="4"/>
  <c r="AK885" i="4"/>
  <c r="AI884" i="4"/>
  <c r="AK884" i="4"/>
  <c r="AI883" i="4"/>
  <c r="AK883" i="4"/>
  <c r="AI882" i="4"/>
  <c r="AK882" i="4"/>
  <c r="AI881" i="4"/>
  <c r="AK881" i="4"/>
  <c r="AI880" i="4"/>
  <c r="AK880" i="4"/>
  <c r="AI879" i="4"/>
  <c r="AK879" i="4"/>
  <c r="AI878" i="4"/>
  <c r="AK878" i="4"/>
  <c r="AI877" i="4"/>
  <c r="AK877" i="4"/>
  <c r="AI876" i="4"/>
  <c r="AK876" i="4"/>
  <c r="AI875" i="4"/>
  <c r="AK875" i="4"/>
  <c r="AI874" i="4"/>
  <c r="AK874" i="4"/>
  <c r="AI873" i="4"/>
  <c r="AK873" i="4"/>
  <c r="AI872" i="4"/>
  <c r="AK872" i="4"/>
  <c r="AI871" i="4"/>
  <c r="AK871" i="4"/>
  <c r="AI870" i="4"/>
  <c r="AK870" i="4"/>
  <c r="AI869" i="4"/>
  <c r="AK869" i="4"/>
  <c r="AI868" i="4"/>
  <c r="AK868" i="4"/>
  <c r="AI867" i="4"/>
  <c r="AK867" i="4"/>
  <c r="AI866" i="4"/>
  <c r="AK866" i="4"/>
  <c r="AI865" i="4"/>
  <c r="AK865" i="4"/>
  <c r="AI864" i="4"/>
  <c r="AK864" i="4"/>
  <c r="AI863" i="4"/>
  <c r="AK863" i="4"/>
  <c r="AI862" i="4"/>
  <c r="AK862" i="4"/>
  <c r="AI861" i="4"/>
  <c r="AK861" i="4"/>
  <c r="AI860" i="4"/>
  <c r="AK860" i="4"/>
  <c r="AI859" i="4"/>
  <c r="AK859" i="4"/>
  <c r="AI858" i="4"/>
  <c r="AK858" i="4"/>
  <c r="AI857" i="4"/>
  <c r="AK857" i="4"/>
  <c r="AI856" i="4"/>
  <c r="AK856" i="4"/>
  <c r="AI855" i="4"/>
  <c r="AK855" i="4"/>
  <c r="AI854" i="4"/>
  <c r="AK854" i="4"/>
  <c r="AI853" i="4"/>
  <c r="AK853" i="4"/>
  <c r="AI852" i="4"/>
  <c r="AK852" i="4"/>
  <c r="AI851" i="4"/>
  <c r="AK851" i="4"/>
  <c r="AI850" i="4"/>
  <c r="AK850" i="4"/>
  <c r="AI849" i="4"/>
  <c r="AK849" i="4"/>
  <c r="AI848" i="4"/>
  <c r="AK848" i="4"/>
  <c r="AI847" i="4"/>
  <c r="AK847" i="4"/>
  <c r="AI846" i="4"/>
  <c r="AK846" i="4"/>
  <c r="AI845" i="4"/>
  <c r="AK845" i="4"/>
  <c r="AI844" i="4"/>
  <c r="AK844" i="4"/>
  <c r="AI843" i="4"/>
  <c r="AK843" i="4"/>
  <c r="AI842" i="4"/>
  <c r="AK842" i="4"/>
  <c r="AI841" i="4"/>
  <c r="AK841" i="4"/>
  <c r="AI840" i="4"/>
  <c r="AK840" i="4"/>
  <c r="AI839" i="4"/>
  <c r="AK839" i="4"/>
  <c r="AI838" i="4"/>
  <c r="AK838" i="4"/>
  <c r="AI837" i="4"/>
  <c r="AK837" i="4"/>
  <c r="AI836" i="4"/>
  <c r="AK836" i="4"/>
  <c r="AI835" i="4"/>
  <c r="AK835" i="4"/>
  <c r="AI834" i="4"/>
  <c r="AK834" i="4"/>
  <c r="AI833" i="4"/>
  <c r="AK833" i="4"/>
  <c r="AI832" i="4"/>
  <c r="AK832" i="4"/>
  <c r="AI831" i="4"/>
  <c r="AK831" i="4"/>
  <c r="AI830" i="4"/>
  <c r="AK830" i="4"/>
  <c r="AI829" i="4"/>
  <c r="AK829" i="4"/>
  <c r="AI828" i="4"/>
  <c r="AK828" i="4"/>
  <c r="AI827" i="4"/>
  <c r="AK827" i="4"/>
  <c r="AI826" i="4"/>
  <c r="AK826" i="4"/>
  <c r="AI825" i="4"/>
  <c r="AK825" i="4"/>
  <c r="AI824" i="4"/>
  <c r="AK824" i="4"/>
  <c r="AI823" i="4"/>
  <c r="AK823" i="4"/>
  <c r="AI822" i="4"/>
  <c r="AK822" i="4"/>
  <c r="AI821" i="4"/>
  <c r="AK821" i="4"/>
  <c r="AI820" i="4"/>
  <c r="AK820" i="4"/>
  <c r="AI819" i="4"/>
  <c r="AK819" i="4"/>
  <c r="AI818" i="4"/>
  <c r="AK818" i="4"/>
  <c r="AI817" i="4"/>
  <c r="AK817" i="4"/>
  <c r="AI816" i="4"/>
  <c r="AK816" i="4"/>
  <c r="AI815" i="4"/>
  <c r="AK815" i="4"/>
  <c r="AI814" i="4"/>
  <c r="AK814" i="4"/>
  <c r="AI813" i="4"/>
  <c r="AK813" i="4"/>
  <c r="AI812" i="4"/>
  <c r="AK812" i="4"/>
  <c r="AI811" i="4"/>
  <c r="AK811" i="4"/>
  <c r="AI810" i="4"/>
  <c r="AK810" i="4"/>
  <c r="AI809" i="4"/>
  <c r="AK809" i="4"/>
  <c r="AI808" i="4"/>
  <c r="AK808" i="4"/>
  <c r="AI807" i="4"/>
  <c r="AK807" i="4"/>
  <c r="AI806" i="4"/>
  <c r="AK806" i="4"/>
  <c r="AI805" i="4"/>
  <c r="AK805" i="4"/>
  <c r="AI804" i="4"/>
  <c r="AK804" i="4"/>
  <c r="AI803" i="4"/>
  <c r="AK803" i="4"/>
  <c r="AI802" i="4"/>
  <c r="AK802" i="4"/>
  <c r="AI801" i="4"/>
  <c r="AK801" i="4"/>
  <c r="AI800" i="4"/>
  <c r="AK800" i="4"/>
  <c r="AI799" i="4"/>
  <c r="AK799" i="4"/>
  <c r="AI798" i="4"/>
  <c r="AK798" i="4"/>
  <c r="AI797" i="4"/>
  <c r="AK797" i="4"/>
  <c r="AI796" i="4"/>
  <c r="AK796" i="4"/>
  <c r="AI795" i="4"/>
  <c r="AK795" i="4"/>
  <c r="AI794" i="4"/>
  <c r="AK794" i="4"/>
  <c r="AI793" i="4"/>
  <c r="AK793" i="4"/>
  <c r="AI792" i="4"/>
  <c r="AK792" i="4"/>
  <c r="AI791" i="4"/>
  <c r="AK791" i="4"/>
  <c r="AI790" i="4"/>
  <c r="AK790" i="4"/>
  <c r="AI789" i="4"/>
  <c r="AK789" i="4"/>
  <c r="AI788" i="4"/>
  <c r="AK788" i="4"/>
  <c r="AI787" i="4"/>
  <c r="AK787" i="4"/>
  <c r="AI786" i="4"/>
  <c r="AK786" i="4"/>
  <c r="AI785" i="4"/>
  <c r="AK785" i="4"/>
  <c r="AI784" i="4"/>
  <c r="AK784" i="4"/>
  <c r="AI783" i="4"/>
  <c r="AK783" i="4"/>
  <c r="AI782" i="4"/>
  <c r="AK782" i="4"/>
  <c r="AI781" i="4"/>
  <c r="AK781" i="4"/>
  <c r="AI780" i="4"/>
  <c r="AK780" i="4"/>
  <c r="AI779" i="4"/>
  <c r="AK779" i="4"/>
  <c r="AI778" i="4"/>
  <c r="AK778" i="4"/>
  <c r="AI777" i="4"/>
  <c r="AK777" i="4"/>
  <c r="AI776" i="4"/>
  <c r="AK776" i="4"/>
  <c r="AI775" i="4"/>
  <c r="AK775" i="4"/>
  <c r="AI774" i="4"/>
  <c r="AK774" i="4"/>
  <c r="AI773" i="4"/>
  <c r="AK773" i="4"/>
  <c r="AI772" i="4"/>
  <c r="AK772" i="4"/>
  <c r="AI771" i="4"/>
  <c r="AK771" i="4"/>
  <c r="AI770" i="4"/>
  <c r="AK770" i="4"/>
  <c r="AI769" i="4"/>
  <c r="AK769" i="4"/>
  <c r="AI768" i="4"/>
  <c r="AK768" i="4"/>
  <c r="AI767" i="4"/>
  <c r="AK767" i="4"/>
  <c r="AI766" i="4"/>
  <c r="AK766" i="4"/>
  <c r="AI765" i="4"/>
  <c r="AK765" i="4"/>
  <c r="AI764" i="4"/>
  <c r="AK764" i="4"/>
  <c r="AI763" i="4"/>
  <c r="AK763" i="4"/>
  <c r="AI762" i="4"/>
  <c r="AK762" i="4"/>
  <c r="AI761" i="4"/>
  <c r="AK761" i="4"/>
  <c r="AI760" i="4"/>
  <c r="AK760" i="4"/>
  <c r="AI759" i="4"/>
  <c r="AK759" i="4"/>
  <c r="AI758" i="4"/>
  <c r="AK758" i="4"/>
  <c r="AI757" i="4"/>
  <c r="AK757" i="4"/>
  <c r="AI756" i="4"/>
  <c r="AK756" i="4"/>
  <c r="AI755" i="4"/>
  <c r="AK755" i="4"/>
  <c r="AI754" i="4"/>
  <c r="AK754" i="4"/>
  <c r="AI753" i="4"/>
  <c r="AK753" i="4"/>
  <c r="AI752" i="4"/>
  <c r="AK752" i="4"/>
  <c r="AI751" i="4"/>
  <c r="AK751" i="4"/>
  <c r="AI750" i="4"/>
  <c r="AK750" i="4"/>
  <c r="AI749" i="4"/>
  <c r="AK749" i="4"/>
  <c r="AI748" i="4"/>
  <c r="AK748" i="4"/>
  <c r="AI747" i="4"/>
  <c r="AK747" i="4"/>
  <c r="AI746" i="4"/>
  <c r="AK746" i="4"/>
  <c r="AI745" i="4"/>
  <c r="AK745" i="4"/>
  <c r="AI744" i="4"/>
  <c r="AK744" i="4"/>
  <c r="AI743" i="4"/>
  <c r="AK743" i="4"/>
  <c r="AI742" i="4"/>
  <c r="AK742" i="4"/>
  <c r="AI741" i="4"/>
  <c r="AK741" i="4"/>
  <c r="AI740" i="4"/>
  <c r="AK740" i="4"/>
  <c r="AI739" i="4"/>
  <c r="AK739" i="4"/>
  <c r="AI738" i="4"/>
  <c r="AK738" i="4"/>
  <c r="AI737" i="4"/>
  <c r="AK737" i="4"/>
  <c r="AI736" i="4"/>
  <c r="AK736" i="4"/>
  <c r="AI735" i="4"/>
  <c r="AK735" i="4"/>
  <c r="AI734" i="4"/>
  <c r="AK734" i="4"/>
  <c r="AI733" i="4"/>
  <c r="AK733" i="4"/>
  <c r="AI732" i="4"/>
  <c r="AK732" i="4"/>
  <c r="AI731" i="4"/>
  <c r="AK731" i="4"/>
  <c r="AI730" i="4"/>
  <c r="AK730" i="4"/>
  <c r="AI729" i="4"/>
  <c r="AK729" i="4"/>
  <c r="AI728" i="4"/>
  <c r="AK728" i="4"/>
  <c r="AI727" i="4"/>
  <c r="AK727" i="4"/>
  <c r="AI726" i="4"/>
  <c r="AK726" i="4"/>
  <c r="AI725" i="4"/>
  <c r="AK725" i="4"/>
  <c r="AI724" i="4"/>
  <c r="AK724" i="4"/>
  <c r="AI723" i="4"/>
  <c r="AK723" i="4"/>
  <c r="AI722" i="4"/>
  <c r="AK722" i="4"/>
  <c r="AI721" i="4"/>
  <c r="AK721" i="4"/>
  <c r="AI720" i="4"/>
  <c r="AK720" i="4"/>
  <c r="AI719" i="4"/>
  <c r="AK719" i="4"/>
  <c r="AI718" i="4"/>
  <c r="AK718" i="4"/>
  <c r="AI717" i="4"/>
  <c r="AK717" i="4"/>
  <c r="AI716" i="4"/>
  <c r="AK716" i="4"/>
  <c r="AI715" i="4"/>
  <c r="AK715" i="4"/>
  <c r="AI714" i="4"/>
  <c r="AK714" i="4"/>
  <c r="AI713" i="4"/>
  <c r="AK713" i="4"/>
  <c r="AI712" i="4"/>
  <c r="AK712" i="4"/>
  <c r="AI711" i="4"/>
  <c r="AK711" i="4"/>
  <c r="AI710" i="4"/>
  <c r="AK710" i="4"/>
  <c r="AI709" i="4"/>
  <c r="AK709" i="4"/>
  <c r="AI708" i="4"/>
  <c r="AK708" i="4"/>
  <c r="AI707" i="4"/>
  <c r="AK707" i="4"/>
  <c r="AI706" i="4"/>
  <c r="AK706" i="4"/>
  <c r="AI705" i="4"/>
  <c r="AK705" i="4"/>
  <c r="AI704" i="4"/>
  <c r="AK704" i="4"/>
  <c r="AI703" i="4"/>
  <c r="AK703" i="4"/>
  <c r="AI702" i="4"/>
  <c r="AK702" i="4"/>
  <c r="AI701" i="4"/>
  <c r="AK701" i="4"/>
  <c r="AI700" i="4"/>
  <c r="AK700" i="4"/>
  <c r="AI699" i="4"/>
  <c r="AK699" i="4"/>
  <c r="AI698" i="4"/>
  <c r="AK698" i="4"/>
  <c r="AI697" i="4"/>
  <c r="AK697" i="4"/>
  <c r="AI696" i="4"/>
  <c r="AK696" i="4"/>
  <c r="AI695" i="4"/>
  <c r="AK695" i="4"/>
  <c r="AI694" i="4"/>
  <c r="AK694" i="4"/>
  <c r="AI693" i="4"/>
  <c r="AK693" i="4"/>
  <c r="AI692" i="4"/>
  <c r="AK692" i="4"/>
  <c r="AI691" i="4"/>
  <c r="AK691" i="4"/>
  <c r="AI690" i="4"/>
  <c r="AK690" i="4"/>
  <c r="AI689" i="4"/>
  <c r="AK689" i="4"/>
  <c r="AI688" i="4"/>
  <c r="AK688" i="4"/>
  <c r="AI687" i="4"/>
  <c r="AK687" i="4"/>
  <c r="AI686" i="4"/>
  <c r="AK686" i="4"/>
  <c r="AI685" i="4"/>
  <c r="AK685" i="4"/>
  <c r="AI684" i="4"/>
  <c r="AK684" i="4"/>
  <c r="AI683" i="4"/>
  <c r="AK683" i="4"/>
  <c r="AI682" i="4"/>
  <c r="AK682" i="4"/>
  <c r="AI681" i="4"/>
  <c r="AK681" i="4"/>
  <c r="AI680" i="4"/>
  <c r="AK680" i="4"/>
  <c r="AI679" i="4"/>
  <c r="AK679" i="4"/>
  <c r="AI678" i="4"/>
  <c r="AK678" i="4"/>
  <c r="AI677" i="4"/>
  <c r="AK677" i="4"/>
  <c r="AI676" i="4"/>
  <c r="AK676" i="4"/>
  <c r="AI675" i="4"/>
  <c r="AK675" i="4"/>
  <c r="AI674" i="4"/>
  <c r="AK674" i="4"/>
  <c r="AI673" i="4"/>
  <c r="AK673" i="4"/>
  <c r="AI672" i="4"/>
  <c r="AK672" i="4"/>
  <c r="AI671" i="4"/>
  <c r="AK671" i="4"/>
  <c r="AI670" i="4"/>
  <c r="AK670" i="4"/>
  <c r="AI669" i="4"/>
  <c r="AK669" i="4"/>
  <c r="AI668" i="4"/>
  <c r="AK668" i="4"/>
  <c r="AI667" i="4"/>
  <c r="AK667" i="4"/>
  <c r="AI666" i="4"/>
  <c r="AK666" i="4"/>
  <c r="AI665" i="4"/>
  <c r="AK665" i="4"/>
  <c r="AI664" i="4"/>
  <c r="AK664" i="4"/>
  <c r="AI663" i="4"/>
  <c r="AK663" i="4"/>
  <c r="AI662" i="4"/>
  <c r="AK662" i="4"/>
  <c r="AI661" i="4"/>
  <c r="AK661" i="4"/>
  <c r="AI660" i="4"/>
  <c r="AK660" i="4"/>
  <c r="AK659" i="4"/>
  <c r="AI659" i="4"/>
  <c r="AI658" i="4"/>
  <c r="AK658" i="4"/>
  <c r="AI657" i="4"/>
  <c r="AK657" i="4"/>
  <c r="AI656" i="4"/>
  <c r="AK656" i="4"/>
  <c r="AK655" i="4"/>
  <c r="AI655" i="4"/>
  <c r="AK654" i="4"/>
  <c r="AI654" i="4"/>
  <c r="AK653" i="4"/>
  <c r="AI653" i="4"/>
  <c r="AK652" i="4"/>
  <c r="AI652" i="4"/>
  <c r="AI651" i="4"/>
  <c r="AK651" i="4"/>
  <c r="AI650" i="4"/>
  <c r="AK650" i="4"/>
  <c r="AI649" i="4"/>
  <c r="AK649" i="4"/>
  <c r="AK648" i="4"/>
  <c r="AI648" i="4"/>
  <c r="AI647" i="4"/>
  <c r="AK647" i="4"/>
  <c r="AI646" i="4"/>
  <c r="AK646" i="4"/>
  <c r="AK645" i="4"/>
  <c r="AI645" i="4"/>
  <c r="AK644" i="4"/>
  <c r="AI644" i="4"/>
  <c r="AI643" i="4"/>
  <c r="AK643" i="4"/>
  <c r="AI642" i="4"/>
  <c r="AK642" i="4"/>
  <c r="AI641" i="4"/>
  <c r="AK641" i="4"/>
  <c r="AK640" i="4"/>
  <c r="AI640" i="4"/>
  <c r="AI639" i="4"/>
  <c r="AK639" i="4"/>
  <c r="AK638" i="4"/>
  <c r="AI638" i="4"/>
  <c r="AI637" i="4"/>
  <c r="AK637" i="4"/>
  <c r="AI636" i="4"/>
  <c r="AK636" i="4"/>
  <c r="AK635" i="4"/>
  <c r="AI635" i="4"/>
  <c r="AK634" i="4"/>
  <c r="AI634" i="4"/>
  <c r="AI633" i="4"/>
  <c r="AK633" i="4"/>
  <c r="AI632" i="4"/>
  <c r="AK632" i="4"/>
  <c r="AI631" i="4"/>
  <c r="AK631" i="4"/>
  <c r="AK630" i="4"/>
  <c r="AI630" i="4"/>
  <c r="AK629" i="4"/>
  <c r="AI629" i="4"/>
  <c r="AK628" i="4"/>
  <c r="AI628" i="4"/>
  <c r="AI627" i="4"/>
  <c r="AK627" i="4"/>
  <c r="AK626" i="4"/>
  <c r="AI626" i="4"/>
  <c r="AK625" i="4"/>
  <c r="AI625" i="4"/>
  <c r="AI624" i="4"/>
  <c r="AK624" i="4"/>
  <c r="AK623" i="4"/>
  <c r="AI623" i="4"/>
  <c r="AI622" i="4"/>
  <c r="AK622" i="4"/>
  <c r="AI621" i="4"/>
  <c r="AK621" i="4"/>
  <c r="AK620" i="4"/>
  <c r="AI620" i="4"/>
  <c r="AK619" i="4"/>
  <c r="AI619" i="4"/>
  <c r="AK618" i="4"/>
  <c r="AI618" i="4"/>
  <c r="AI617" i="4"/>
  <c r="AK617" i="4"/>
  <c r="AK616" i="4"/>
  <c r="AI616" i="4"/>
  <c r="AI615" i="4"/>
  <c r="AK615" i="4"/>
  <c r="AK614" i="4"/>
  <c r="AI614" i="4"/>
  <c r="AK613" i="4"/>
  <c r="AI613" i="4"/>
  <c r="AK612" i="4"/>
  <c r="AI612" i="4"/>
  <c r="AK611" i="4"/>
  <c r="AI611" i="4"/>
  <c r="AI610" i="4"/>
  <c r="AK610" i="4"/>
  <c r="AK609" i="4"/>
  <c r="AI609" i="4"/>
  <c r="AK608" i="4"/>
  <c r="AI608" i="4"/>
  <c r="AK607" i="4"/>
  <c r="AI607" i="4"/>
  <c r="AK606" i="4"/>
  <c r="AI606" i="4"/>
  <c r="AK605" i="4"/>
  <c r="AI605" i="4"/>
  <c r="AK604" i="4"/>
  <c r="AI604" i="4"/>
  <c r="AK603" i="4"/>
  <c r="AI603" i="4"/>
  <c r="AI602" i="4"/>
  <c r="AK602" i="4"/>
  <c r="AK601" i="4"/>
  <c r="AI601" i="4"/>
  <c r="AI600" i="4"/>
  <c r="AK600" i="4"/>
  <c r="AK599" i="4"/>
  <c r="AI599" i="4"/>
  <c r="AI598" i="4"/>
  <c r="AK598" i="4"/>
  <c r="AK597" i="4"/>
  <c r="AI597" i="4"/>
  <c r="AI596" i="4"/>
  <c r="AK596" i="4"/>
  <c r="AK595" i="4"/>
  <c r="AI595" i="4"/>
  <c r="AI594" i="4"/>
  <c r="AK594" i="4"/>
  <c r="AK593" i="4"/>
  <c r="AI593" i="4"/>
  <c r="AK592" i="4"/>
  <c r="AI592" i="4"/>
  <c r="AI591" i="4"/>
  <c r="AK591" i="4"/>
  <c r="AI590" i="4"/>
  <c r="AK590" i="4"/>
  <c r="AK589" i="4"/>
  <c r="AI589" i="4"/>
  <c r="AI588" i="4"/>
  <c r="AK588" i="4"/>
  <c r="AK587" i="4"/>
  <c r="AI587" i="4"/>
  <c r="AI586" i="4"/>
  <c r="AK586" i="4"/>
  <c r="AI585" i="4"/>
  <c r="AK585" i="4"/>
  <c r="AK584" i="4"/>
  <c r="AI584" i="4"/>
  <c r="AK583" i="4"/>
  <c r="AI583" i="4"/>
  <c r="AK582" i="4"/>
  <c r="AI582" i="4"/>
  <c r="AK581" i="4"/>
  <c r="AI581" i="4"/>
  <c r="AK580" i="4"/>
  <c r="AI580" i="4"/>
  <c r="AK579" i="4"/>
  <c r="AI579" i="4"/>
  <c r="AK578" i="4"/>
  <c r="AI578" i="4"/>
  <c r="AI577" i="4"/>
  <c r="AK577" i="4"/>
  <c r="AI576" i="4"/>
  <c r="AK576" i="4"/>
  <c r="AI575" i="4"/>
  <c r="AK575" i="4"/>
  <c r="AI574" i="4"/>
  <c r="AK574" i="4"/>
  <c r="AI573" i="4"/>
  <c r="AK573" i="4"/>
  <c r="AK572" i="4"/>
  <c r="AI572" i="4"/>
  <c r="AI571" i="4"/>
  <c r="AK571" i="4"/>
  <c r="AI570" i="4"/>
  <c r="AK570" i="4"/>
  <c r="AK569" i="4"/>
  <c r="AI569" i="4"/>
  <c r="AK568" i="4"/>
  <c r="AI568" i="4"/>
  <c r="AK567" i="4"/>
  <c r="AI567" i="4"/>
  <c r="AI566" i="4"/>
  <c r="AK566" i="4"/>
  <c r="AI565" i="4"/>
  <c r="AK565" i="4"/>
  <c r="AK564" i="4"/>
  <c r="AI564" i="4"/>
  <c r="AI563" i="4"/>
  <c r="AK563" i="4"/>
  <c r="AK562" i="4"/>
  <c r="AI562" i="4"/>
  <c r="AK561" i="4"/>
  <c r="AI561" i="4"/>
  <c r="AK560" i="4"/>
  <c r="AI560" i="4"/>
  <c r="AK559" i="4"/>
  <c r="AI559" i="4"/>
  <c r="AK558" i="4"/>
  <c r="AI558" i="4"/>
  <c r="AK557" i="4"/>
  <c r="AI557" i="4"/>
  <c r="AI556" i="4"/>
  <c r="AK556" i="4"/>
  <c r="AK555" i="4"/>
  <c r="AI555" i="4"/>
  <c r="AK554" i="4"/>
  <c r="AI554" i="4"/>
  <c r="AK553" i="4"/>
  <c r="AI553" i="4"/>
  <c r="AK552" i="4"/>
  <c r="AI552" i="4"/>
  <c r="AK551" i="4"/>
  <c r="AI551" i="4"/>
  <c r="AK550" i="4"/>
  <c r="AI550" i="4"/>
  <c r="AK549" i="4"/>
  <c r="AI549" i="4"/>
  <c r="AK548" i="4"/>
  <c r="AI548" i="4"/>
  <c r="AK547" i="4"/>
  <c r="AI547" i="4"/>
  <c r="AK546" i="4"/>
  <c r="AI546" i="4"/>
  <c r="AK545" i="4"/>
  <c r="AI545" i="4"/>
  <c r="AK544" i="4"/>
  <c r="AI544" i="4"/>
  <c r="AK543" i="4"/>
  <c r="AI543" i="4"/>
  <c r="AI542" i="4"/>
  <c r="AK542" i="4"/>
  <c r="AI541" i="4"/>
  <c r="AK541" i="4"/>
  <c r="AI540" i="4"/>
  <c r="AK540" i="4"/>
  <c r="AI539" i="4"/>
  <c r="AK539" i="4"/>
  <c r="AK538" i="4"/>
  <c r="AI538" i="4"/>
  <c r="AK537" i="4"/>
  <c r="AI537" i="4"/>
  <c r="AK536" i="4"/>
  <c r="AI536" i="4"/>
  <c r="AI535" i="4"/>
  <c r="AK535" i="4"/>
  <c r="AI534" i="4"/>
  <c r="AK534" i="4"/>
  <c r="AK533" i="4"/>
  <c r="AI533" i="4"/>
  <c r="AI532" i="4"/>
  <c r="AK532" i="4"/>
  <c r="AK531" i="4"/>
  <c r="AI531" i="4"/>
  <c r="AK530" i="4"/>
  <c r="AI530" i="4"/>
  <c r="AI529" i="4"/>
  <c r="AK529" i="4"/>
  <c r="AI528" i="4"/>
  <c r="AK528" i="4"/>
  <c r="AK527" i="4"/>
  <c r="AI527" i="4"/>
  <c r="AI526" i="4"/>
  <c r="AK526" i="4"/>
  <c r="AI525" i="4"/>
  <c r="AK525" i="4"/>
  <c r="AK524" i="4"/>
  <c r="AI524" i="4"/>
  <c r="AI523" i="4"/>
  <c r="AK523" i="4"/>
  <c r="AK522" i="4"/>
  <c r="AI522" i="4"/>
  <c r="AI521" i="4"/>
  <c r="AK521" i="4"/>
  <c r="AI520" i="4"/>
  <c r="AK520" i="4"/>
  <c r="AI519" i="4"/>
  <c r="AK519" i="4"/>
  <c r="AK518" i="4"/>
  <c r="AI518" i="4"/>
  <c r="AI517" i="4"/>
  <c r="AK517" i="4"/>
  <c r="AI516" i="4"/>
  <c r="AK516" i="4"/>
  <c r="AK515" i="4"/>
  <c r="AI515" i="4"/>
  <c r="AI514" i="4"/>
  <c r="AK514" i="4"/>
  <c r="AI513" i="4"/>
  <c r="AK513" i="4"/>
  <c r="AI512" i="4"/>
  <c r="AK512" i="4"/>
  <c r="AK511" i="4"/>
  <c r="AI511" i="4"/>
  <c r="AK510" i="4"/>
  <c r="AI510" i="4"/>
  <c r="AI509" i="4"/>
  <c r="AK509" i="4"/>
  <c r="AI508" i="4"/>
  <c r="AK508" i="4"/>
  <c r="AI507" i="4"/>
  <c r="AK507" i="4"/>
  <c r="AI506" i="4"/>
  <c r="AK506" i="4"/>
  <c r="AK505" i="4"/>
  <c r="AI505" i="4"/>
  <c r="AK504" i="4"/>
  <c r="AI504" i="4"/>
  <c r="AK503" i="4"/>
  <c r="AI503" i="4"/>
  <c r="AI502" i="4"/>
  <c r="AK502" i="4"/>
  <c r="AI501" i="4"/>
  <c r="AK501" i="4"/>
  <c r="AK500" i="4"/>
  <c r="AI500" i="4"/>
  <c r="AI499" i="4"/>
  <c r="AK499" i="4"/>
  <c r="AI498" i="4"/>
  <c r="AK498" i="4"/>
  <c r="AK497" i="4"/>
  <c r="AI497" i="4"/>
  <c r="AI496" i="4"/>
  <c r="AK496" i="4"/>
  <c r="AI495" i="4"/>
  <c r="AK495" i="4"/>
  <c r="AI494" i="4"/>
  <c r="AK494" i="4"/>
  <c r="AK493" i="4"/>
  <c r="AI493" i="4"/>
  <c r="AK492" i="4"/>
  <c r="AI492" i="4"/>
  <c r="AK491" i="4"/>
  <c r="AI491" i="4"/>
  <c r="AI490" i="4"/>
  <c r="AK490" i="4"/>
  <c r="AK489" i="4"/>
  <c r="AI489" i="4"/>
  <c r="AK488" i="4"/>
  <c r="AI488" i="4"/>
  <c r="AK487" i="4"/>
  <c r="AI487" i="4"/>
  <c r="AK486" i="4"/>
  <c r="AI486" i="4"/>
  <c r="AI485" i="4"/>
  <c r="AK485" i="4"/>
  <c r="AK484" i="4"/>
  <c r="AI484" i="4"/>
  <c r="AI483" i="4"/>
  <c r="AK483" i="4"/>
  <c r="AI482" i="4"/>
  <c r="AK482" i="4"/>
  <c r="AK481" i="4"/>
  <c r="AI481" i="4"/>
  <c r="AI480" i="4"/>
  <c r="AK480" i="4"/>
  <c r="AK479" i="4"/>
  <c r="AI479" i="4"/>
  <c r="AK478" i="4"/>
  <c r="AI478" i="4"/>
  <c r="AK477" i="4"/>
  <c r="AI477" i="4"/>
  <c r="AK476" i="4"/>
  <c r="AI476" i="4"/>
  <c r="AI475" i="4"/>
  <c r="AK475" i="4"/>
  <c r="AK474" i="4"/>
  <c r="AI474" i="4"/>
  <c r="AI473" i="4"/>
  <c r="AK473" i="4"/>
  <c r="AI472" i="4"/>
  <c r="AK472" i="4"/>
  <c r="AK471" i="4"/>
  <c r="AI471" i="4"/>
  <c r="AK470" i="4"/>
  <c r="AI470" i="4"/>
  <c r="AK469" i="4"/>
  <c r="AI469" i="4"/>
  <c r="AK468" i="4"/>
  <c r="AI468" i="4"/>
  <c r="AK467" i="4"/>
  <c r="AI467" i="4"/>
  <c r="AK466" i="4"/>
  <c r="AI466" i="4"/>
  <c r="AI465" i="4"/>
  <c r="AK465" i="4"/>
  <c r="AK464" i="4"/>
  <c r="AI464" i="4"/>
  <c r="AI463" i="4"/>
  <c r="AK463" i="4"/>
  <c r="AK462" i="4"/>
  <c r="AI462" i="4"/>
  <c r="AI461" i="4"/>
  <c r="AK461" i="4"/>
  <c r="AI460" i="4"/>
  <c r="AK460" i="4"/>
  <c r="AK459" i="4"/>
  <c r="AI459" i="4"/>
  <c r="AK458" i="4"/>
  <c r="AI458" i="4"/>
  <c r="AI457" i="4"/>
  <c r="AK457" i="4"/>
  <c r="AI456" i="4"/>
  <c r="AK456" i="4"/>
  <c r="AI455" i="4"/>
  <c r="AK455" i="4"/>
  <c r="AK454" i="4"/>
  <c r="AI454" i="4"/>
  <c r="AK453" i="4"/>
  <c r="AI453" i="4"/>
  <c r="AI452" i="4"/>
  <c r="AK452" i="4"/>
  <c r="AK451" i="4"/>
  <c r="AI451" i="4"/>
  <c r="AK450" i="4"/>
  <c r="AI450" i="4"/>
  <c r="AI449" i="4"/>
  <c r="AK449" i="4"/>
  <c r="AI448" i="4"/>
  <c r="AK448" i="4"/>
  <c r="AI447" i="4"/>
  <c r="AK447" i="4"/>
  <c r="AK446" i="4"/>
  <c r="AI446" i="4"/>
  <c r="AK445" i="4"/>
  <c r="AI445" i="4"/>
  <c r="AI444" i="4"/>
  <c r="AK444" i="4"/>
  <c r="AI443" i="4"/>
  <c r="AK443" i="4"/>
  <c r="AK442" i="4"/>
  <c r="AI442" i="4"/>
  <c r="AK441" i="4"/>
  <c r="AI441" i="4"/>
  <c r="AK440" i="4"/>
  <c r="AI440" i="4"/>
  <c r="AK439" i="4"/>
  <c r="AI439" i="4"/>
  <c r="AI438" i="4"/>
  <c r="AK438" i="4"/>
  <c r="AK437" i="4"/>
  <c r="AI437" i="4"/>
  <c r="AK436" i="4"/>
  <c r="AI436" i="4"/>
  <c r="AI435" i="4"/>
  <c r="AK435" i="4"/>
  <c r="AI434" i="4"/>
  <c r="AK434" i="4"/>
  <c r="AI433" i="4"/>
  <c r="AK433" i="4"/>
  <c r="AI432" i="4"/>
  <c r="AK432" i="4"/>
  <c r="AI431" i="4"/>
  <c r="AK431" i="4"/>
  <c r="AK430" i="4"/>
  <c r="AI430" i="4"/>
  <c r="AI429" i="4"/>
  <c r="AK429" i="4"/>
  <c r="AI428" i="4"/>
  <c r="AK428" i="4"/>
  <c r="AK427" i="4"/>
  <c r="AI427" i="4"/>
  <c r="AK426" i="4"/>
  <c r="AI426" i="4"/>
  <c r="AK425" i="4"/>
  <c r="AI425" i="4"/>
  <c r="AI424" i="4"/>
  <c r="AK424" i="4"/>
  <c r="AK423" i="4"/>
  <c r="AI423" i="4"/>
  <c r="AK422" i="4"/>
  <c r="AI422" i="4"/>
  <c r="AI421" i="4"/>
  <c r="AK421" i="4"/>
  <c r="AK420" i="4"/>
  <c r="AI420" i="4"/>
  <c r="AI419" i="4"/>
  <c r="AK419" i="4"/>
  <c r="AI418" i="4"/>
  <c r="AK418" i="4"/>
  <c r="AI417" i="4"/>
  <c r="AK417" i="4"/>
  <c r="AI416" i="4"/>
  <c r="AK416" i="4"/>
  <c r="AI415" i="4"/>
  <c r="AK415" i="4"/>
  <c r="AI414" i="4"/>
  <c r="AK414" i="4"/>
  <c r="AI413" i="4"/>
  <c r="AK413" i="4"/>
  <c r="AK412" i="4"/>
  <c r="AI412" i="4"/>
  <c r="AK411" i="4"/>
  <c r="AI411" i="4"/>
  <c r="AK410" i="4"/>
  <c r="AI410" i="4"/>
  <c r="AI409" i="4"/>
  <c r="AK409" i="4"/>
  <c r="AK408" i="4"/>
  <c r="AI408" i="4"/>
  <c r="AK407" i="4"/>
  <c r="AI407" i="4"/>
  <c r="AI406" i="4"/>
  <c r="AK406" i="4"/>
  <c r="AK405" i="4"/>
  <c r="AI405" i="4"/>
  <c r="AI404" i="4"/>
  <c r="AK404" i="4"/>
  <c r="AK403" i="4"/>
  <c r="AI403" i="4"/>
  <c r="AI402" i="4"/>
  <c r="AK402" i="4"/>
  <c r="AI401" i="4"/>
  <c r="AK401" i="4"/>
  <c r="AK400" i="4"/>
  <c r="AI400" i="4"/>
  <c r="AK399" i="4"/>
  <c r="AI399" i="4"/>
  <c r="AK398" i="4"/>
  <c r="AI398" i="4"/>
  <c r="AI397" i="4"/>
  <c r="AK397" i="4"/>
  <c r="AI396" i="4"/>
  <c r="AK396" i="4"/>
  <c r="AI395" i="4"/>
  <c r="AK395" i="4"/>
  <c r="AK394" i="4"/>
  <c r="AI394" i="4"/>
  <c r="AI393" i="4"/>
  <c r="AK393" i="4"/>
  <c r="AI392" i="4"/>
  <c r="AK392" i="4"/>
  <c r="AK391" i="4"/>
  <c r="AI391" i="4"/>
  <c r="AI390" i="4"/>
  <c r="AK390" i="4"/>
  <c r="AI389" i="4"/>
  <c r="AK389" i="4"/>
  <c r="AI388" i="4"/>
  <c r="AK388" i="4"/>
  <c r="AK387" i="4"/>
  <c r="AI387" i="4"/>
  <c r="AK386" i="4"/>
  <c r="AI386" i="4"/>
  <c r="AI385" i="4"/>
  <c r="AK385" i="4"/>
  <c r="AK384" i="4"/>
  <c r="AI384" i="4"/>
  <c r="AI383" i="4"/>
  <c r="AK383" i="4"/>
  <c r="AK382" i="4"/>
  <c r="AI382" i="4"/>
  <c r="AI381" i="4"/>
  <c r="AK381" i="4"/>
  <c r="AI380" i="4"/>
  <c r="AK380" i="4"/>
  <c r="AI379" i="4"/>
  <c r="AK379" i="4"/>
  <c r="AI378" i="4"/>
  <c r="AK378" i="4"/>
  <c r="AK377" i="4"/>
  <c r="AI377" i="4"/>
  <c r="AI376" i="4"/>
  <c r="AK376" i="4"/>
  <c r="AK375" i="4"/>
  <c r="AI375" i="4"/>
  <c r="AK374" i="4"/>
  <c r="AI374" i="4"/>
  <c r="AI373" i="4"/>
  <c r="AK373" i="4"/>
  <c r="AI372" i="4"/>
  <c r="AK372" i="4"/>
  <c r="AI371" i="4"/>
  <c r="AK371" i="4"/>
  <c r="AK370" i="4"/>
  <c r="AI370" i="4"/>
  <c r="AK369" i="4"/>
  <c r="AI369" i="4"/>
  <c r="AI368" i="4"/>
  <c r="AK368" i="4"/>
  <c r="AI367" i="4"/>
  <c r="AK367" i="4"/>
  <c r="AI366" i="4"/>
  <c r="AK366" i="4"/>
  <c r="AI365" i="4"/>
  <c r="AK365" i="4"/>
  <c r="AK364" i="4"/>
  <c r="AI364" i="4"/>
  <c r="AK363" i="4"/>
  <c r="AI363" i="4"/>
  <c r="AK362" i="4"/>
  <c r="AI362" i="4"/>
  <c r="AI361" i="4"/>
  <c r="AK361" i="4"/>
  <c r="AK360" i="4"/>
  <c r="AI360" i="4"/>
  <c r="AI359" i="4"/>
  <c r="AK359" i="4"/>
  <c r="AI358" i="4"/>
  <c r="AK358" i="4"/>
  <c r="AI357" i="4"/>
  <c r="AK357" i="4"/>
  <c r="AI356" i="4"/>
  <c r="AK356" i="4"/>
  <c r="AK355" i="4"/>
  <c r="AI355" i="4"/>
  <c r="AK354" i="4"/>
  <c r="AI354" i="4"/>
  <c r="AK353" i="4"/>
  <c r="AI353" i="4"/>
  <c r="AK352" i="4"/>
  <c r="AI352" i="4"/>
  <c r="AI351" i="4"/>
  <c r="AK351" i="4"/>
  <c r="AI350" i="4"/>
  <c r="AK350" i="4"/>
  <c r="AI349" i="4"/>
  <c r="AK349" i="4"/>
  <c r="AK348" i="4"/>
  <c r="AI348" i="4"/>
  <c r="AK347" i="4"/>
  <c r="AI347" i="4"/>
  <c r="AK346" i="4"/>
  <c r="AI346" i="4"/>
  <c r="AK345" i="4"/>
  <c r="AI345" i="4"/>
  <c r="AK344" i="4"/>
  <c r="AI344" i="4"/>
  <c r="AK343" i="4"/>
  <c r="AI343" i="4"/>
  <c r="AK342" i="4"/>
  <c r="AI342" i="4"/>
  <c r="AI341" i="4"/>
  <c r="AK341" i="4"/>
  <c r="AI340" i="4"/>
  <c r="AK340" i="4"/>
  <c r="AK339" i="4"/>
  <c r="AI339" i="4"/>
  <c r="AI338" i="4"/>
  <c r="AK338" i="4"/>
  <c r="AK337" i="4"/>
  <c r="AI337" i="4"/>
  <c r="AI336" i="4"/>
  <c r="AK336" i="4"/>
  <c r="AK335" i="4"/>
  <c r="AI335" i="4"/>
  <c r="AI334" i="4"/>
  <c r="AK334" i="4"/>
  <c r="AK333" i="4"/>
  <c r="AI333" i="4"/>
  <c r="AI332" i="4"/>
  <c r="AK332" i="4"/>
  <c r="AK331" i="4"/>
  <c r="AI331" i="4"/>
  <c r="AK330" i="4"/>
  <c r="AI330" i="4"/>
  <c r="AI329" i="4"/>
  <c r="AK329" i="4"/>
  <c r="AI328" i="4"/>
  <c r="AK328" i="4"/>
  <c r="AI327" i="4"/>
  <c r="AK327" i="4"/>
  <c r="AI326" i="4"/>
  <c r="AK326" i="4"/>
  <c r="AI325" i="4"/>
  <c r="AK325" i="4"/>
  <c r="AK324" i="4"/>
  <c r="AI324" i="4"/>
  <c r="AI323" i="4"/>
  <c r="AK323" i="4"/>
  <c r="AK322" i="4"/>
  <c r="AI322" i="4"/>
  <c r="AK321" i="4"/>
  <c r="AI321" i="4"/>
  <c r="AK320" i="4"/>
  <c r="AI320" i="4"/>
  <c r="AI319" i="4"/>
  <c r="AK319" i="4"/>
  <c r="AI318" i="4"/>
  <c r="AK318" i="4"/>
  <c r="AK317" i="4"/>
  <c r="AI317" i="4"/>
  <c r="AI316" i="4"/>
  <c r="AK316" i="4"/>
  <c r="AI315" i="4"/>
  <c r="AK315" i="4"/>
  <c r="AK314" i="4"/>
  <c r="AI314" i="4"/>
  <c r="AK313" i="4"/>
  <c r="AI313" i="4"/>
  <c r="AK312" i="4"/>
  <c r="AI312" i="4"/>
  <c r="AI311" i="4"/>
  <c r="AK311" i="4"/>
  <c r="AK310" i="4"/>
  <c r="AI310" i="4"/>
  <c r="AK309" i="4"/>
  <c r="AI309" i="4"/>
  <c r="AK308" i="4"/>
  <c r="AI308" i="4"/>
  <c r="AK307" i="4"/>
  <c r="AI307" i="4"/>
  <c r="AK306" i="4"/>
  <c r="AI306" i="4"/>
  <c r="AI305" i="4"/>
  <c r="AK305" i="4"/>
  <c r="AI304" i="4"/>
  <c r="AK304" i="4"/>
  <c r="AK303" i="4"/>
  <c r="AI303" i="4"/>
  <c r="AI302" i="4"/>
  <c r="AK302" i="4"/>
  <c r="AK301" i="4"/>
  <c r="AI301" i="4"/>
  <c r="AI300" i="4"/>
  <c r="AK300" i="4"/>
  <c r="AI299" i="4"/>
  <c r="AK299" i="4"/>
  <c r="AK298" i="4"/>
  <c r="AI298" i="4"/>
  <c r="AK297" i="4"/>
  <c r="AI297" i="4"/>
  <c r="AI296" i="4"/>
  <c r="AK296" i="4"/>
  <c r="AI295" i="4"/>
  <c r="AK295" i="4"/>
  <c r="AK294" i="4"/>
  <c r="AI294" i="4"/>
  <c r="AK293" i="4"/>
  <c r="AI293" i="4"/>
  <c r="AK292" i="4"/>
  <c r="AI292" i="4"/>
  <c r="AI291" i="4"/>
  <c r="AK291" i="4"/>
  <c r="AI290" i="4"/>
  <c r="AK290" i="4"/>
  <c r="AI289" i="4"/>
  <c r="AK289" i="4"/>
  <c r="AK288" i="4"/>
  <c r="AI288" i="4"/>
  <c r="AI287" i="4"/>
  <c r="AK287" i="4"/>
  <c r="AK286" i="4"/>
  <c r="AI286" i="4"/>
  <c r="AI285" i="4"/>
  <c r="AK285" i="4"/>
  <c r="AK284" i="4"/>
  <c r="AI284" i="4"/>
  <c r="AK283" i="4"/>
  <c r="AI283" i="4"/>
  <c r="AI282" i="4"/>
  <c r="AK282" i="4"/>
  <c r="AI281" i="4"/>
  <c r="AK281" i="4"/>
  <c r="AI280" i="4"/>
  <c r="AK280" i="4"/>
  <c r="AK279" i="4"/>
  <c r="AI279" i="4"/>
  <c r="AI278" i="4"/>
  <c r="AK278" i="4"/>
  <c r="AI277" i="4"/>
  <c r="AK277" i="4"/>
  <c r="AI276" i="4"/>
  <c r="AK276" i="4"/>
  <c r="AK275" i="4"/>
  <c r="AI275" i="4"/>
  <c r="AI274" i="4"/>
  <c r="AK274" i="4"/>
  <c r="AI273" i="4"/>
  <c r="AK273" i="4"/>
  <c r="AI272" i="4"/>
  <c r="AK272" i="4"/>
  <c r="AI271" i="4"/>
  <c r="AK271" i="4"/>
  <c r="AK270" i="4"/>
  <c r="AI270" i="4"/>
  <c r="AK269" i="4"/>
  <c r="AI269" i="4"/>
  <c r="AK268" i="4"/>
  <c r="AI268" i="4"/>
  <c r="AI267" i="4"/>
  <c r="AK267" i="4"/>
  <c r="AI266" i="4"/>
  <c r="AK266" i="4"/>
  <c r="AK265" i="4"/>
  <c r="AI265" i="4"/>
  <c r="AI264" i="4"/>
  <c r="AK264" i="4"/>
  <c r="AI263" i="4"/>
  <c r="AK263" i="4"/>
  <c r="AI262" i="4"/>
  <c r="AK262" i="4"/>
  <c r="AI261" i="4"/>
  <c r="AK261" i="4"/>
  <c r="AK260" i="4"/>
  <c r="AI260" i="4"/>
  <c r="AI259" i="4"/>
  <c r="AK259" i="4"/>
  <c r="AK258" i="4"/>
  <c r="AI258" i="4"/>
  <c r="AI257" i="4"/>
  <c r="AK257" i="4"/>
  <c r="AI256" i="4"/>
  <c r="AK256" i="4"/>
  <c r="AK255" i="4"/>
  <c r="AI255" i="4"/>
  <c r="AK254" i="4"/>
  <c r="AI254" i="4"/>
  <c r="AI253" i="4"/>
  <c r="AK253" i="4"/>
  <c r="AK252" i="4"/>
  <c r="AI252" i="4"/>
  <c r="AI251" i="4"/>
  <c r="AK251" i="4"/>
  <c r="AI250" i="4"/>
  <c r="AK250" i="4"/>
  <c r="AK249" i="4"/>
  <c r="AI249" i="4"/>
  <c r="AI248" i="4"/>
  <c r="AK248" i="4"/>
  <c r="AK247" i="4"/>
  <c r="AI247" i="4"/>
  <c r="AK246" i="4"/>
  <c r="AI246" i="4"/>
  <c r="AK245" i="4"/>
  <c r="AI245" i="4"/>
  <c r="AK244" i="4"/>
  <c r="AI244" i="4"/>
  <c r="AK243" i="4"/>
  <c r="AI243" i="4"/>
  <c r="AI242" i="4"/>
  <c r="AK242" i="4"/>
  <c r="AK241" i="4"/>
  <c r="AI241" i="4"/>
  <c r="AK240" i="4"/>
  <c r="AI240" i="4"/>
  <c r="AI239" i="4"/>
  <c r="AK239" i="4"/>
  <c r="AI238" i="4"/>
  <c r="AK238" i="4"/>
  <c r="AI237" i="4"/>
  <c r="AK237" i="4"/>
  <c r="AK236" i="4"/>
  <c r="AI236" i="4"/>
  <c r="AI235" i="4"/>
  <c r="AK235" i="4"/>
  <c r="AK234" i="4"/>
  <c r="AI234" i="4"/>
  <c r="AK233" i="4"/>
  <c r="AI233" i="4"/>
  <c r="AI232" i="4"/>
  <c r="AK232" i="4"/>
  <c r="AI231" i="4"/>
  <c r="AK231" i="4"/>
  <c r="AI230" i="4"/>
  <c r="AK230" i="4"/>
  <c r="AI229" i="4"/>
  <c r="AK229" i="4"/>
  <c r="AK228" i="4"/>
  <c r="AI228" i="4"/>
  <c r="AI227" i="4"/>
  <c r="AK227" i="4"/>
  <c r="AK226" i="4"/>
  <c r="AI226" i="4"/>
  <c r="AK225" i="4"/>
  <c r="AI225" i="4"/>
  <c r="AK224" i="4"/>
  <c r="AI224" i="4"/>
  <c r="AK223" i="4"/>
  <c r="AI223" i="4"/>
  <c r="AI222" i="4"/>
  <c r="AK222" i="4"/>
  <c r="AK221" i="4"/>
  <c r="AI221" i="4"/>
  <c r="AK220" i="4"/>
  <c r="AI220" i="4"/>
  <c r="AI219" i="4"/>
  <c r="AK219" i="4"/>
  <c r="AI218" i="4"/>
  <c r="AK218" i="4"/>
  <c r="AK217" i="4"/>
  <c r="AI217" i="4"/>
  <c r="AI216" i="4"/>
  <c r="AK216" i="4"/>
  <c r="AK215" i="4"/>
  <c r="AI215" i="4"/>
  <c r="AI214" i="4"/>
  <c r="AK214" i="4"/>
  <c r="AK213" i="4"/>
  <c r="AI213" i="4"/>
  <c r="AI212" i="4"/>
  <c r="AK212" i="4"/>
  <c r="AK211" i="4"/>
  <c r="AI211" i="4"/>
  <c r="AI210" i="4"/>
  <c r="AK210" i="4"/>
  <c r="AK209" i="4"/>
  <c r="AI209" i="4"/>
  <c r="AI208" i="4"/>
  <c r="AK208" i="4"/>
  <c r="AI207" i="4"/>
  <c r="AK207" i="4"/>
  <c r="AK206" i="4"/>
  <c r="AI206" i="4"/>
  <c r="AI205" i="4"/>
  <c r="AK205" i="4"/>
  <c r="AK204" i="4"/>
  <c r="AI204" i="4"/>
  <c r="AI203" i="4"/>
  <c r="AK203" i="4"/>
  <c r="AI202" i="4"/>
  <c r="AK202" i="4"/>
  <c r="AK201" i="4"/>
  <c r="AI201" i="4"/>
  <c r="AI200" i="4"/>
  <c r="AK200" i="4"/>
  <c r="AI199" i="4"/>
  <c r="AK199" i="4"/>
  <c r="AI198" i="4"/>
  <c r="AK198" i="4"/>
  <c r="AK197" i="4"/>
  <c r="AI197" i="4"/>
  <c r="AI196" i="4"/>
  <c r="AK196" i="4"/>
  <c r="AI195" i="4"/>
  <c r="AK195" i="4"/>
  <c r="AK194" i="4"/>
  <c r="AI194" i="4"/>
  <c r="AK193" i="4"/>
  <c r="AI193" i="4"/>
  <c r="AK192" i="4"/>
  <c r="AI192" i="4"/>
  <c r="AK191" i="4"/>
  <c r="AI191" i="4"/>
  <c r="AK190" i="4"/>
  <c r="AI190" i="4"/>
  <c r="AK189" i="4"/>
  <c r="AI189" i="4"/>
  <c r="AI188" i="4"/>
  <c r="AK188" i="4"/>
  <c r="AI187" i="4"/>
  <c r="AK187" i="4"/>
  <c r="AI186" i="4"/>
  <c r="AK186" i="4"/>
  <c r="AK185" i="4"/>
  <c r="AI185" i="4"/>
  <c r="AI184" i="4"/>
  <c r="AK184" i="4"/>
  <c r="AI183" i="4"/>
  <c r="AK183" i="4"/>
  <c r="AI182" i="4"/>
  <c r="AK182" i="4"/>
  <c r="AK181" i="4"/>
  <c r="AI181" i="4"/>
  <c r="AI180" i="4"/>
  <c r="AK180" i="4"/>
  <c r="AK179" i="4"/>
  <c r="AI179" i="4"/>
  <c r="AK178" i="4"/>
  <c r="AI178" i="4"/>
  <c r="AK177" i="4"/>
  <c r="AI177" i="4"/>
  <c r="AK176" i="4"/>
  <c r="AI176" i="4"/>
  <c r="AK175" i="4"/>
  <c r="AI175" i="4"/>
  <c r="AI174" i="4"/>
  <c r="AK174" i="4"/>
  <c r="AI173" i="4"/>
  <c r="AK173" i="4"/>
  <c r="AI172" i="4"/>
  <c r="AK172" i="4"/>
  <c r="AI171" i="4"/>
  <c r="AK171" i="4"/>
  <c r="AK170" i="4"/>
  <c r="AI170" i="4"/>
  <c r="AI169" i="4"/>
  <c r="AK169" i="4"/>
  <c r="AK168" i="4"/>
  <c r="AI168" i="4"/>
  <c r="AI167" i="4"/>
  <c r="AK167" i="4"/>
  <c r="AK166" i="4"/>
  <c r="AI166" i="4"/>
  <c r="AI165" i="4"/>
  <c r="AK165" i="4"/>
  <c r="AI164" i="4"/>
  <c r="AK164" i="4"/>
  <c r="AK163" i="4"/>
  <c r="AI163" i="4"/>
  <c r="AK162" i="4"/>
  <c r="AI162" i="4"/>
  <c r="AI161" i="4"/>
  <c r="AK161" i="4"/>
  <c r="AK160" i="4"/>
  <c r="AI160" i="4"/>
  <c r="AK159" i="4"/>
  <c r="AI159" i="4"/>
  <c r="AK158" i="4"/>
  <c r="AI158" i="4"/>
  <c r="AK157" i="4"/>
  <c r="AI157" i="4"/>
  <c r="AK156" i="4"/>
  <c r="AI156" i="4"/>
  <c r="AK155" i="4"/>
  <c r="AI155" i="4"/>
  <c r="AK154" i="4"/>
  <c r="AI154" i="4"/>
  <c r="AI153" i="4"/>
  <c r="AK153" i="4"/>
  <c r="AI152" i="4"/>
  <c r="AK152" i="4"/>
  <c r="AI151" i="4"/>
  <c r="AK151" i="4"/>
  <c r="AI150" i="4"/>
  <c r="AK150" i="4"/>
  <c r="AI149" i="4"/>
  <c r="AK149" i="4"/>
  <c r="AI148" i="4"/>
  <c r="AK148" i="4"/>
  <c r="AI147" i="4"/>
  <c r="AK147" i="4"/>
  <c r="AI146" i="4"/>
  <c r="AK146" i="4"/>
  <c r="AI145" i="4"/>
  <c r="AK145" i="4"/>
  <c r="AK144" i="4"/>
  <c r="AI144" i="4"/>
  <c r="AK143" i="4"/>
  <c r="AI143" i="4"/>
  <c r="AI142" i="4"/>
  <c r="AK142" i="4"/>
  <c r="AK141" i="4"/>
  <c r="AI141" i="4"/>
  <c r="AI140" i="4"/>
  <c r="AK140" i="4"/>
  <c r="AK139" i="4"/>
  <c r="AI139" i="4"/>
  <c r="AK138" i="4"/>
  <c r="AI138" i="4"/>
  <c r="AK137" i="4"/>
  <c r="AI137" i="4"/>
  <c r="AK136" i="4"/>
  <c r="AI136" i="4"/>
  <c r="AI135" i="4"/>
  <c r="AK135" i="4"/>
  <c r="AI134" i="4"/>
  <c r="AK134" i="4"/>
  <c r="AK133" i="4"/>
  <c r="AI133" i="4"/>
  <c r="AK132" i="4"/>
  <c r="AI132" i="4"/>
  <c r="AI131" i="4"/>
  <c r="AK131" i="4"/>
  <c r="AI130" i="4"/>
  <c r="AK130" i="4"/>
  <c r="AK129" i="4"/>
  <c r="AI129" i="4"/>
  <c r="AI128" i="4"/>
  <c r="AK128" i="4"/>
  <c r="AI127" i="4"/>
  <c r="AK127" i="4"/>
  <c r="AI126" i="4"/>
  <c r="AK126" i="4"/>
  <c r="AI125" i="4"/>
  <c r="AK125" i="4"/>
  <c r="AK124" i="4"/>
  <c r="AI124" i="4"/>
  <c r="AK123" i="4"/>
  <c r="AI123" i="4"/>
  <c r="AI122" i="4"/>
  <c r="AK122" i="4"/>
  <c r="AK121" i="4"/>
  <c r="AI121" i="4"/>
  <c r="AI120" i="4"/>
  <c r="AK120" i="4"/>
  <c r="AI119" i="4"/>
  <c r="AK119" i="4"/>
  <c r="AK118" i="4"/>
  <c r="AI118" i="4"/>
  <c r="AK117" i="4"/>
  <c r="AI117" i="4"/>
  <c r="AI116" i="4"/>
  <c r="AK116" i="4"/>
  <c r="AK115" i="4"/>
  <c r="AI115" i="4"/>
  <c r="AI114" i="4"/>
  <c r="AK114" i="4"/>
  <c r="AK113" i="4"/>
  <c r="AI113" i="4"/>
  <c r="AI112" i="4"/>
  <c r="AK112" i="4"/>
  <c r="AI111" i="4"/>
  <c r="AK111" i="4"/>
  <c r="AI110" i="4"/>
  <c r="AK110" i="4"/>
  <c r="AK109" i="4"/>
  <c r="AI109" i="4"/>
  <c r="AI108" i="4"/>
  <c r="AK108" i="4"/>
  <c r="AK107" i="4"/>
  <c r="AI107" i="4"/>
  <c r="AI106" i="4"/>
  <c r="AK106" i="4"/>
  <c r="AI105" i="4"/>
  <c r="AK105" i="4"/>
  <c r="AK104" i="4"/>
  <c r="AI104" i="4"/>
  <c r="AI103" i="4"/>
  <c r="AK103" i="4"/>
  <c r="AK102" i="4"/>
  <c r="AI102" i="4"/>
  <c r="AK101" i="4"/>
  <c r="AI101" i="4"/>
  <c r="AK100" i="4"/>
  <c r="AI100" i="4"/>
  <c r="AI99" i="4"/>
  <c r="AK99" i="4"/>
  <c r="AI98" i="4"/>
  <c r="AK98" i="4"/>
  <c r="AI97" i="4"/>
  <c r="AK97" i="4"/>
  <c r="AK96" i="4"/>
  <c r="AI96" i="4"/>
  <c r="AK95" i="4"/>
  <c r="AI95" i="4"/>
  <c r="AK94" i="4"/>
  <c r="AI94" i="4"/>
  <c r="AK93" i="4"/>
  <c r="AI93" i="4"/>
  <c r="AK92" i="4"/>
  <c r="AI92" i="4"/>
  <c r="AK91" i="4"/>
  <c r="AI91" i="4"/>
  <c r="AI90" i="4"/>
  <c r="AK90" i="4"/>
  <c r="AK89" i="4"/>
  <c r="AI89" i="4"/>
  <c r="AK88" i="4"/>
  <c r="AI88" i="4"/>
  <c r="AK87" i="4"/>
  <c r="AI87" i="4"/>
  <c r="AI86" i="4"/>
  <c r="AK86" i="4"/>
  <c r="AK85" i="4"/>
  <c r="AI85" i="4"/>
  <c r="AI84" i="4"/>
  <c r="AK84" i="4"/>
  <c r="AI83" i="4"/>
  <c r="AK83" i="4"/>
  <c r="AI82" i="4"/>
  <c r="AK82" i="4"/>
  <c r="AI81" i="4"/>
  <c r="AK81" i="4"/>
  <c r="AI80" i="4"/>
  <c r="AK80" i="4"/>
  <c r="AI79" i="4"/>
  <c r="AK79" i="4"/>
  <c r="AK78" i="4"/>
  <c r="AI78" i="4"/>
  <c r="AK77" i="4"/>
  <c r="AI77" i="4"/>
  <c r="AK76" i="4"/>
  <c r="AI76" i="4"/>
  <c r="AI75" i="4"/>
  <c r="AK75" i="4"/>
  <c r="AI74" i="4"/>
  <c r="AK74" i="4"/>
  <c r="AK73" i="4"/>
  <c r="AI73" i="4"/>
  <c r="AK72" i="4"/>
  <c r="AI72" i="4"/>
  <c r="AK71" i="4"/>
  <c r="AI71" i="4"/>
  <c r="AI70" i="4"/>
  <c r="AK70" i="4"/>
  <c r="AI69" i="4"/>
  <c r="AK69" i="4"/>
  <c r="AI68" i="4"/>
  <c r="AK68" i="4"/>
  <c r="AI67" i="4"/>
  <c r="AK67" i="4"/>
  <c r="AI66" i="4"/>
  <c r="AK66" i="4"/>
  <c r="AK65" i="4"/>
  <c r="AI65" i="4"/>
  <c r="AK64" i="4"/>
  <c r="AI64" i="4"/>
  <c r="AI63" i="4"/>
  <c r="AK63" i="4"/>
  <c r="AI62" i="4"/>
  <c r="AK62" i="4"/>
  <c r="AI61" i="4"/>
  <c r="AK61" i="4"/>
  <c r="AK60" i="4"/>
  <c r="AI60" i="4"/>
  <c r="AI59" i="4"/>
  <c r="AK59" i="4"/>
  <c r="AI58" i="4"/>
  <c r="AK58" i="4"/>
  <c r="AI57" i="4"/>
  <c r="AK57" i="4"/>
  <c r="AI56" i="4"/>
  <c r="AK56" i="4"/>
  <c r="AK55" i="4"/>
  <c r="AI55" i="4"/>
  <c r="AK54" i="4"/>
  <c r="AI54" i="4"/>
  <c r="AI53" i="4"/>
  <c r="AK53" i="4"/>
  <c r="AI52" i="4"/>
  <c r="AK52" i="4"/>
  <c r="AI51" i="4"/>
  <c r="AK51" i="4"/>
  <c r="AI50" i="4"/>
  <c r="AK50" i="4"/>
  <c r="AK49" i="4"/>
  <c r="AI49" i="4"/>
  <c r="AI48" i="4"/>
  <c r="AK48" i="4"/>
  <c r="AK47" i="4"/>
  <c r="AI47" i="4"/>
  <c r="AK46" i="4"/>
  <c r="AI46" i="4"/>
  <c r="AI45" i="4"/>
  <c r="AK45" i="4"/>
  <c r="AI44" i="4"/>
  <c r="AK44" i="4"/>
  <c r="AI43" i="4"/>
  <c r="AK43" i="4"/>
  <c r="AI42" i="4"/>
  <c r="AK42" i="4"/>
  <c r="AI41" i="4"/>
  <c r="AK41" i="4"/>
  <c r="AK40" i="4"/>
  <c r="AI40" i="4"/>
  <c r="AK39" i="4"/>
  <c r="AI39" i="4"/>
  <c r="AI38" i="4"/>
  <c r="AK38" i="4"/>
  <c r="AI37" i="4"/>
  <c r="AK37" i="4"/>
  <c r="AK36" i="4"/>
  <c r="AI36" i="4"/>
  <c r="AI35" i="4"/>
  <c r="AK35" i="4"/>
  <c r="AK34" i="4"/>
  <c r="AI34" i="4"/>
  <c r="AK33" i="4"/>
  <c r="AI33" i="4"/>
  <c r="AK32" i="4"/>
  <c r="AI32" i="4"/>
  <c r="AI31" i="4"/>
  <c r="AK31" i="4"/>
  <c r="AK30" i="4"/>
  <c r="AI30" i="4"/>
  <c r="AI29" i="4"/>
  <c r="AK29" i="4"/>
  <c r="AI28" i="4"/>
  <c r="AK28" i="4"/>
  <c r="AI27" i="4"/>
  <c r="AK27" i="4"/>
  <c r="AK26" i="4"/>
  <c r="AI26" i="4"/>
  <c r="AI25" i="4"/>
  <c r="AK25" i="4"/>
  <c r="AI24" i="4"/>
  <c r="AK24" i="4"/>
  <c r="AK23" i="4"/>
  <c r="AI23" i="4"/>
  <c r="AK22" i="4"/>
  <c r="AI22" i="4"/>
  <c r="AI21" i="4"/>
  <c r="AK21" i="4"/>
  <c r="AI20" i="4"/>
  <c r="AK20" i="4"/>
  <c r="AI19" i="4"/>
  <c r="AK19" i="4"/>
  <c r="AK18" i="4"/>
  <c r="AI18" i="4"/>
  <c r="AK17" i="4"/>
  <c r="AI17" i="4"/>
  <c r="AI16" i="4"/>
  <c r="AK16" i="4"/>
  <c r="AK15" i="4"/>
  <c r="AI15" i="4"/>
  <c r="AI14" i="4"/>
  <c r="AK14" i="4"/>
  <c r="AK13" i="4"/>
  <c r="AI13" i="4"/>
  <c r="AK12" i="4"/>
  <c r="AI12" i="4"/>
  <c r="AK11" i="4"/>
  <c r="AI11" i="4"/>
  <c r="AK10" i="4"/>
  <c r="AI10" i="4"/>
  <c r="AI9" i="4"/>
  <c r="AK9" i="4"/>
  <c r="AI8" i="4"/>
  <c r="AK8" i="4"/>
  <c r="AK7" i="4"/>
  <c r="AI7" i="4"/>
  <c r="AK6" i="4"/>
  <c r="AI6" i="4"/>
  <c r="AI5" i="4"/>
  <c r="AK5" i="4"/>
  <c r="AI4" i="4"/>
  <c r="AK4" i="4"/>
  <c r="AH1" i="4"/>
  <c r="AI3" i="4"/>
  <c r="AK3" i="4"/>
  <c r="AI19" i="1"/>
  <c r="AK19" i="1"/>
  <c r="AI20" i="1"/>
  <c r="AK20" i="1"/>
  <c r="AI23" i="1"/>
  <c r="AK23" i="1"/>
  <c r="AI24" i="1"/>
  <c r="AK24" i="1"/>
  <c r="AI25" i="1"/>
  <c r="AK25" i="1"/>
  <c r="AI27" i="1"/>
  <c r="AK27" i="1"/>
  <c r="AI28" i="1"/>
  <c r="AK28" i="1"/>
  <c r="AI31" i="1"/>
  <c r="AK31" i="1"/>
  <c r="AI34" i="1"/>
  <c r="AK34" i="1"/>
  <c r="AI35" i="1"/>
  <c r="AK35" i="1"/>
  <c r="AI36" i="1"/>
  <c r="AK36" i="1"/>
  <c r="AI38" i="1"/>
  <c r="AK38" i="1"/>
  <c r="AI43" i="1"/>
  <c r="AK43" i="1"/>
  <c r="AI45" i="1"/>
  <c r="AK45" i="1"/>
  <c r="AI46" i="1"/>
  <c r="AK46" i="1"/>
  <c r="AI50" i="1"/>
  <c r="AK50" i="1"/>
  <c r="AI52" i="1"/>
  <c r="AK52" i="1"/>
  <c r="AI54" i="1"/>
  <c r="AK54" i="1"/>
  <c r="AI55" i="1"/>
  <c r="AK55" i="1"/>
  <c r="AI56" i="1"/>
  <c r="AK56" i="1"/>
  <c r="AI57" i="1"/>
  <c r="AK57" i="1"/>
  <c r="AI59" i="1"/>
  <c r="AK59" i="1"/>
  <c r="AI60" i="1"/>
  <c r="AK60" i="1"/>
  <c r="AI63" i="1"/>
  <c r="AK63" i="1"/>
  <c r="AI65" i="1"/>
  <c r="AK65" i="1"/>
  <c r="AI66" i="1"/>
  <c r="AK66" i="1"/>
  <c r="AI68" i="1"/>
  <c r="AK68" i="1"/>
  <c r="AI69" i="1"/>
  <c r="AK69" i="1"/>
  <c r="AI73" i="1"/>
  <c r="AK73" i="1"/>
  <c r="AI74" i="1"/>
  <c r="AK74" i="1"/>
  <c r="AI76" i="1"/>
  <c r="AK76" i="1"/>
  <c r="AI81" i="1"/>
  <c r="AK81" i="1"/>
  <c r="AI82" i="1"/>
  <c r="AK82" i="1"/>
  <c r="AI84" i="1"/>
  <c r="AK84" i="1"/>
  <c r="AI86" i="1"/>
  <c r="AK86" i="1"/>
  <c r="AI87" i="1"/>
  <c r="AK87" i="1"/>
  <c r="AI89" i="1"/>
  <c r="AK89" i="1"/>
  <c r="AI95" i="1"/>
  <c r="AK95" i="1"/>
  <c r="AI96" i="1"/>
  <c r="AK96" i="1"/>
  <c r="AI98" i="1"/>
  <c r="AK98" i="1"/>
  <c r="AI99" i="1"/>
  <c r="AK99" i="1"/>
  <c r="AI100" i="1"/>
  <c r="AK100" i="1"/>
  <c r="AI102" i="1"/>
  <c r="AK102" i="1"/>
  <c r="AI107" i="1"/>
  <c r="AK107" i="1"/>
  <c r="AI108" i="1"/>
  <c r="AK108" i="1"/>
  <c r="AI109" i="1"/>
  <c r="AK109" i="1"/>
  <c r="AI111" i="1"/>
  <c r="AK111" i="1"/>
  <c r="AI114" i="1"/>
  <c r="AK114" i="1"/>
  <c r="AI115" i="1"/>
  <c r="AK115" i="1"/>
  <c r="AI116" i="1"/>
  <c r="AK116" i="1"/>
  <c r="AI117" i="1"/>
  <c r="AK117" i="1"/>
  <c r="AI118" i="1"/>
  <c r="AK118" i="1"/>
  <c r="AI120" i="1"/>
  <c r="AK120" i="1"/>
  <c r="AI124" i="1"/>
  <c r="AK124" i="1"/>
  <c r="AI125" i="1"/>
  <c r="AK125" i="1"/>
  <c r="AI127" i="1"/>
  <c r="AK127" i="1"/>
  <c r="AI129" i="1"/>
  <c r="AK129" i="1"/>
  <c r="AI133" i="1"/>
  <c r="AK133" i="1"/>
  <c r="AI134" i="1"/>
  <c r="AK134" i="1"/>
  <c r="AI138" i="1"/>
  <c r="AK138" i="1"/>
  <c r="AI139" i="1"/>
  <c r="AK139" i="1"/>
  <c r="AI144" i="1"/>
  <c r="AK144" i="1"/>
  <c r="AI146" i="1"/>
  <c r="AK146" i="1"/>
  <c r="AI148" i="1"/>
  <c r="AK148" i="1"/>
  <c r="AI150" i="1"/>
  <c r="AK150" i="1"/>
  <c r="AI154" i="1"/>
  <c r="AK154" i="1"/>
  <c r="AI155" i="1"/>
  <c r="AK155" i="1"/>
  <c r="AI158" i="1"/>
  <c r="AK158" i="1"/>
  <c r="AI161" i="1"/>
  <c r="AK161" i="1"/>
  <c r="AI163" i="1"/>
  <c r="AK163" i="1"/>
  <c r="AI164" i="1"/>
  <c r="AK164" i="1"/>
  <c r="AI165" i="1"/>
  <c r="AK165" i="1"/>
  <c r="AI166" i="1"/>
  <c r="AK166" i="1"/>
  <c r="AI169" i="1"/>
  <c r="AK169" i="1"/>
  <c r="AI170" i="1"/>
  <c r="AK170" i="1"/>
  <c r="AI173" i="1"/>
  <c r="AK173" i="1"/>
  <c r="AI175" i="1"/>
  <c r="AK175" i="1"/>
  <c r="AI176" i="1"/>
  <c r="AK176" i="1"/>
  <c r="AI177" i="1"/>
  <c r="AK177" i="1"/>
  <c r="AI178" i="1"/>
  <c r="AK178" i="1"/>
  <c r="AI180" i="1"/>
  <c r="AK180" i="1"/>
  <c r="AI186" i="1"/>
  <c r="AK186" i="1"/>
  <c r="AI187" i="1"/>
  <c r="AK187" i="1"/>
  <c r="AI190" i="1"/>
  <c r="AK190" i="1"/>
  <c r="AI191" i="1"/>
  <c r="AK191" i="1"/>
  <c r="AI195" i="1"/>
  <c r="AK195" i="1"/>
  <c r="AI196" i="1"/>
  <c r="AK196" i="1"/>
  <c r="AI199" i="1"/>
  <c r="AK199" i="1"/>
  <c r="AI200" i="1"/>
  <c r="AK200" i="1"/>
  <c r="AI201" i="1"/>
  <c r="AK201" i="1"/>
  <c r="AI203" i="1"/>
  <c r="AK203" i="1"/>
  <c r="AI204" i="1"/>
  <c r="AK204" i="1"/>
  <c r="AI207" i="1"/>
  <c r="AK207" i="1"/>
  <c r="AI208" i="1"/>
  <c r="AK208" i="1"/>
  <c r="AI209" i="1"/>
  <c r="AK209" i="1"/>
  <c r="AI210" i="1"/>
  <c r="AK210" i="1"/>
  <c r="AI211" i="1"/>
  <c r="AK211" i="1"/>
  <c r="AI214" i="1"/>
  <c r="AK214" i="1"/>
  <c r="AI215" i="1"/>
  <c r="AK215" i="1"/>
  <c r="AI21" i="1"/>
  <c r="AK21" i="1"/>
  <c r="AI22" i="1"/>
  <c r="AK22" i="1"/>
  <c r="AI26" i="1"/>
  <c r="AK26" i="1"/>
  <c r="AI29" i="1"/>
  <c r="AK29" i="1"/>
  <c r="AI30" i="1"/>
  <c r="AK30" i="1"/>
  <c r="AI32" i="1"/>
  <c r="AK32" i="1"/>
  <c r="AI33" i="1"/>
  <c r="AK33" i="1"/>
  <c r="AI37" i="1"/>
  <c r="AK37" i="1"/>
  <c r="AI39" i="1"/>
  <c r="AK39" i="1"/>
  <c r="AI40" i="1"/>
  <c r="AK40" i="1"/>
  <c r="AI41" i="1"/>
  <c r="AK41" i="1"/>
  <c r="AI42" i="1"/>
  <c r="AK42" i="1"/>
  <c r="AI44" i="1"/>
  <c r="AK44" i="1"/>
  <c r="AI47" i="1"/>
  <c r="AK47" i="1"/>
  <c r="AI48" i="1"/>
  <c r="AK48" i="1"/>
  <c r="AI49" i="1"/>
  <c r="AK49" i="1"/>
  <c r="AI51" i="1"/>
  <c r="AK51" i="1"/>
  <c r="AI53" i="1"/>
  <c r="AK53" i="1"/>
  <c r="AI58" i="1"/>
  <c r="AK58" i="1"/>
  <c r="AI61" i="1"/>
  <c r="AK61" i="1"/>
  <c r="AI62" i="1"/>
  <c r="AK62" i="1"/>
  <c r="AI64" i="1"/>
  <c r="AK64" i="1"/>
  <c r="AI67" i="1"/>
  <c r="AK67" i="1"/>
  <c r="AI70" i="1"/>
  <c r="AK70" i="1"/>
  <c r="AI71" i="1"/>
  <c r="AK71" i="1"/>
  <c r="AI72" i="1"/>
  <c r="AK72" i="1"/>
  <c r="AI75" i="1"/>
  <c r="AK75" i="1"/>
  <c r="AI77" i="1"/>
  <c r="AK77" i="1"/>
  <c r="AI78" i="1"/>
  <c r="AK78" i="1"/>
  <c r="AI79" i="1"/>
  <c r="AK79" i="1"/>
  <c r="AI80" i="1"/>
  <c r="AK80" i="1"/>
  <c r="AI83" i="1"/>
  <c r="AK83" i="1"/>
  <c r="AI85" i="1"/>
  <c r="AK85" i="1"/>
  <c r="AI88" i="1"/>
  <c r="AK88" i="1"/>
  <c r="AI90" i="1"/>
  <c r="AK90" i="1"/>
  <c r="AI91" i="1"/>
  <c r="AK91" i="1"/>
  <c r="AI92" i="1"/>
  <c r="AK92" i="1"/>
  <c r="AI93" i="1"/>
  <c r="AK93" i="1"/>
  <c r="AI94" i="1"/>
  <c r="AK94" i="1"/>
  <c r="AI97" i="1"/>
  <c r="AK97" i="1"/>
  <c r="AI101" i="1"/>
  <c r="AK101" i="1"/>
  <c r="AI103" i="1"/>
  <c r="AK103" i="1"/>
  <c r="AI104" i="1"/>
  <c r="AK104" i="1"/>
  <c r="AI105" i="1"/>
  <c r="AK105" i="1"/>
  <c r="AI106" i="1"/>
  <c r="AK106" i="1"/>
  <c r="AI110" i="1"/>
  <c r="AK110" i="1"/>
  <c r="AI112" i="1"/>
  <c r="AK112" i="1"/>
  <c r="AI113" i="1"/>
  <c r="AK113" i="1"/>
  <c r="AI119" i="1"/>
  <c r="AK119" i="1"/>
  <c r="AI121" i="1"/>
  <c r="AK121" i="1"/>
  <c r="AI122" i="1"/>
  <c r="AK122" i="1"/>
  <c r="AI123" i="1"/>
  <c r="AK123" i="1"/>
  <c r="AI126" i="1"/>
  <c r="AK126" i="1"/>
  <c r="AI128" i="1"/>
  <c r="AK128" i="1"/>
  <c r="AI130" i="1"/>
  <c r="AK130" i="1"/>
  <c r="AI131" i="1"/>
  <c r="AK131" i="1"/>
  <c r="AI132" i="1"/>
  <c r="AK132" i="1"/>
  <c r="AI135" i="1"/>
  <c r="AK135" i="1"/>
  <c r="AI136" i="1"/>
  <c r="AK136" i="1"/>
  <c r="AI137" i="1"/>
  <c r="AK137" i="1"/>
  <c r="AI140" i="1"/>
  <c r="AK140" i="1"/>
  <c r="AI141" i="1"/>
  <c r="AK141" i="1"/>
  <c r="AI142" i="1"/>
  <c r="AK142" i="1"/>
  <c r="AI143" i="1"/>
  <c r="AK143" i="1"/>
  <c r="AI145" i="1"/>
  <c r="AK145" i="1"/>
  <c r="AI147" i="1"/>
  <c r="AK147" i="1"/>
  <c r="AI149" i="1"/>
  <c r="AK149" i="1"/>
  <c r="AI151" i="1"/>
  <c r="AK151" i="1"/>
  <c r="AI152" i="1"/>
  <c r="AK152" i="1"/>
  <c r="AI153" i="1"/>
  <c r="AK153" i="1"/>
  <c r="AI156" i="1"/>
  <c r="AK156" i="1"/>
  <c r="AI157" i="1"/>
  <c r="AK157" i="1"/>
  <c r="AI159" i="1"/>
  <c r="AK159" i="1"/>
  <c r="AI160" i="1"/>
  <c r="AK160" i="1"/>
  <c r="AI162" i="1"/>
  <c r="AK162" i="1"/>
  <c r="AI167" i="1"/>
  <c r="AK167" i="1"/>
  <c r="AI168" i="1"/>
  <c r="AK168" i="1"/>
  <c r="AI171" i="1"/>
  <c r="AK171" i="1"/>
  <c r="AI172" i="1"/>
  <c r="AK172" i="1"/>
  <c r="AI174" i="1"/>
  <c r="AK174" i="1"/>
  <c r="AI179" i="1"/>
  <c r="AK179" i="1"/>
  <c r="AI181" i="1"/>
  <c r="AK181" i="1"/>
  <c r="AI182" i="1"/>
  <c r="AK182" i="1"/>
  <c r="AI183" i="1"/>
  <c r="AK183" i="1"/>
  <c r="AI184" i="1"/>
  <c r="AK184" i="1"/>
  <c r="AI185" i="1"/>
  <c r="AK185" i="1"/>
  <c r="AI188" i="1"/>
  <c r="AK188" i="1"/>
  <c r="AI189" i="1"/>
  <c r="AK189" i="1"/>
  <c r="AI192" i="1"/>
  <c r="AK192" i="1"/>
  <c r="AI193" i="1"/>
  <c r="AK193" i="1"/>
  <c r="AI194" i="1"/>
  <c r="AK194" i="1"/>
  <c r="AI197" i="1"/>
  <c r="AK197" i="1"/>
  <c r="AI198" i="1"/>
  <c r="AK198" i="1"/>
  <c r="AI202" i="1"/>
  <c r="AK202" i="1"/>
  <c r="AI205" i="1"/>
  <c r="AK205" i="1"/>
  <c r="AI206" i="1"/>
  <c r="AK206" i="1"/>
  <c r="AI212" i="1"/>
  <c r="AK212" i="1"/>
  <c r="AI213" i="1"/>
  <c r="AK213" i="1"/>
  <c r="AI216" i="1"/>
  <c r="AK216" i="1"/>
  <c r="AI217" i="1"/>
  <c r="AK217" i="1"/>
  <c r="AI218" i="1"/>
  <c r="AK218" i="1"/>
  <c r="AI219" i="1"/>
  <c r="AK219" i="1"/>
  <c r="AI220" i="1"/>
  <c r="AK220" i="1"/>
  <c r="AI221" i="1"/>
  <c r="AK221" i="1"/>
  <c r="AI222" i="1"/>
  <c r="AK222" i="1"/>
  <c r="AI223" i="1"/>
  <c r="AK223" i="1"/>
  <c r="AI224" i="1"/>
  <c r="AK224" i="1"/>
  <c r="AI225" i="1"/>
  <c r="AK225" i="1"/>
  <c r="AI226" i="1"/>
  <c r="AK226" i="1"/>
  <c r="AI227" i="1"/>
  <c r="AK227" i="1"/>
  <c r="AI228" i="1"/>
  <c r="AK228" i="1"/>
  <c r="AI229" i="1"/>
  <c r="AK229" i="1"/>
  <c r="AI230" i="1"/>
  <c r="AK230" i="1"/>
  <c r="AI231" i="1"/>
  <c r="AK231" i="1"/>
  <c r="AI232" i="1"/>
  <c r="AK232" i="1"/>
  <c r="AI233" i="1"/>
  <c r="AK233" i="1"/>
  <c r="AI234" i="1"/>
  <c r="AK234" i="1"/>
  <c r="AI235" i="1"/>
  <c r="AK235" i="1"/>
  <c r="AI236" i="1"/>
  <c r="AK236" i="1"/>
  <c r="AI237" i="1"/>
  <c r="AK237" i="1"/>
  <c r="AI238" i="1"/>
  <c r="AK238" i="1"/>
  <c r="AI239" i="1"/>
  <c r="AK239" i="1"/>
  <c r="AI240" i="1"/>
  <c r="AK240" i="1"/>
  <c r="AI241" i="1"/>
  <c r="AK241" i="1"/>
  <c r="AI242" i="1"/>
  <c r="AK242" i="1"/>
  <c r="AI243" i="1"/>
  <c r="AK243" i="1"/>
  <c r="AI244" i="1"/>
  <c r="AK244" i="1"/>
  <c r="AI245" i="1"/>
  <c r="AK245" i="1"/>
  <c r="AI246" i="1"/>
  <c r="AK246" i="1"/>
  <c r="AI247" i="1"/>
  <c r="AK247" i="1"/>
  <c r="AI248" i="1"/>
  <c r="AK248" i="1"/>
  <c r="AI249" i="1"/>
  <c r="AK249" i="1"/>
  <c r="AI250" i="1"/>
  <c r="AK250" i="1"/>
  <c r="AI251" i="1"/>
  <c r="AK251" i="1"/>
  <c r="AI252" i="1"/>
  <c r="AK252" i="1"/>
  <c r="AI253" i="1"/>
  <c r="AK253" i="1"/>
  <c r="AI254" i="1"/>
  <c r="AK254" i="1"/>
  <c r="AI255" i="1"/>
  <c r="AK255" i="1"/>
  <c r="AI256" i="1"/>
  <c r="AK256" i="1"/>
  <c r="AI257" i="1"/>
  <c r="AK257" i="1"/>
  <c r="AI258" i="1"/>
  <c r="AK258" i="1"/>
  <c r="AI259" i="1"/>
  <c r="AK259" i="1"/>
  <c r="AI260" i="1"/>
  <c r="AK260" i="1"/>
  <c r="AI261" i="1"/>
  <c r="AK261" i="1"/>
  <c r="AI262" i="1"/>
  <c r="AK262" i="1"/>
  <c r="AI263" i="1"/>
  <c r="AK263" i="1"/>
  <c r="AI264" i="1"/>
  <c r="AK264" i="1"/>
  <c r="AI265" i="1"/>
  <c r="AK265" i="1"/>
  <c r="AI266" i="1"/>
  <c r="AK266" i="1"/>
  <c r="AI267" i="1"/>
  <c r="AK267" i="1"/>
  <c r="AI268" i="1"/>
  <c r="AK268" i="1"/>
  <c r="AI269" i="1"/>
  <c r="AK269" i="1"/>
  <c r="AI270" i="1"/>
  <c r="AK270" i="1"/>
  <c r="AI271" i="1"/>
  <c r="AK271" i="1"/>
  <c r="AI272" i="1"/>
  <c r="AK272" i="1"/>
  <c r="AI273" i="1"/>
  <c r="AK273" i="1"/>
  <c r="AI274" i="1"/>
  <c r="AK274" i="1"/>
  <c r="AI275" i="1"/>
  <c r="AK275" i="1"/>
  <c r="AI276" i="1"/>
  <c r="AK276" i="1"/>
  <c r="AI277" i="1"/>
  <c r="AK277" i="1"/>
  <c r="AI278" i="1"/>
  <c r="AK278" i="1"/>
  <c r="AI279" i="1"/>
  <c r="AK279" i="1"/>
  <c r="AI280" i="1"/>
  <c r="AK280" i="1"/>
  <c r="AI281" i="1"/>
  <c r="AK281" i="1"/>
  <c r="AI282" i="1"/>
  <c r="AK282" i="1"/>
  <c r="AI283" i="1"/>
  <c r="AK283" i="1"/>
  <c r="AI284" i="1"/>
  <c r="AK284" i="1"/>
  <c r="AI285" i="1"/>
  <c r="AK285" i="1"/>
  <c r="AI286" i="1"/>
  <c r="AK286" i="1"/>
  <c r="AI287" i="1"/>
  <c r="AK287" i="1"/>
  <c r="AI288" i="1"/>
  <c r="AK288" i="1"/>
  <c r="AI289" i="1"/>
  <c r="AK289" i="1"/>
  <c r="AI290" i="1"/>
  <c r="AK290" i="1"/>
  <c r="AI291" i="1"/>
  <c r="AK291" i="1"/>
  <c r="AI292" i="1"/>
  <c r="AK292" i="1"/>
  <c r="AI293" i="1"/>
  <c r="AK293" i="1"/>
  <c r="AI294" i="1"/>
  <c r="AK294" i="1"/>
  <c r="AI295" i="1"/>
  <c r="AK295" i="1"/>
  <c r="AI296" i="1"/>
  <c r="AK296" i="1"/>
  <c r="AI297" i="1"/>
  <c r="AK297" i="1"/>
  <c r="AI298" i="1"/>
  <c r="AK298" i="1"/>
  <c r="AI299" i="1"/>
  <c r="AK299" i="1"/>
  <c r="AI300" i="1"/>
  <c r="AK300" i="1"/>
  <c r="AI301" i="1"/>
  <c r="AK301" i="1"/>
  <c r="AI302" i="1"/>
  <c r="AK302" i="1"/>
  <c r="AI303" i="1"/>
  <c r="AK303" i="1"/>
  <c r="AI304" i="1"/>
  <c r="AK304" i="1"/>
  <c r="AI305" i="1"/>
  <c r="AK305" i="1"/>
  <c r="AI306" i="1"/>
  <c r="AK306" i="1"/>
  <c r="AI307" i="1"/>
  <c r="AK307" i="1"/>
  <c r="AI308" i="1"/>
  <c r="AK308" i="1"/>
  <c r="AI309" i="1"/>
  <c r="AK309" i="1"/>
  <c r="AI310" i="1"/>
  <c r="AK310" i="1"/>
  <c r="AI311" i="1"/>
  <c r="AK311" i="1"/>
  <c r="AI312" i="1"/>
  <c r="AK312" i="1"/>
  <c r="AI313" i="1"/>
  <c r="AK313" i="1"/>
  <c r="AI314" i="1"/>
  <c r="AK314" i="1"/>
  <c r="AI315" i="1"/>
  <c r="AK315" i="1"/>
  <c r="AI316" i="1"/>
  <c r="AK316" i="1"/>
  <c r="AI317" i="1"/>
  <c r="AK317" i="1"/>
  <c r="AI318" i="1"/>
  <c r="AK318" i="1"/>
  <c r="AI319" i="1"/>
  <c r="AK319" i="1"/>
  <c r="AI320" i="1"/>
  <c r="AK320" i="1"/>
  <c r="AI321" i="1"/>
  <c r="AK321" i="1"/>
  <c r="AI322" i="1"/>
  <c r="AK322" i="1"/>
  <c r="AI323" i="1"/>
  <c r="AK323" i="1"/>
  <c r="AI324" i="1"/>
  <c r="AK324" i="1"/>
  <c r="AI325" i="1"/>
  <c r="AK325" i="1"/>
  <c r="AI326" i="1"/>
  <c r="AK326" i="1"/>
  <c r="AI327" i="1"/>
  <c r="AK327" i="1"/>
  <c r="AI328" i="1"/>
  <c r="AK328" i="1"/>
  <c r="AI329" i="1"/>
  <c r="AK329" i="1"/>
  <c r="AI330" i="1"/>
  <c r="AK330" i="1"/>
  <c r="AI331" i="1"/>
  <c r="AK331" i="1"/>
  <c r="AI332" i="1"/>
  <c r="AK332" i="1"/>
  <c r="AI333" i="1"/>
  <c r="AK333" i="1"/>
  <c r="AI334" i="1"/>
  <c r="AK334" i="1"/>
  <c r="AI335" i="1"/>
  <c r="AK335" i="1"/>
  <c r="AI336" i="1"/>
  <c r="AK336" i="1"/>
  <c r="AI337" i="1"/>
  <c r="AK337" i="1"/>
  <c r="AI338" i="1"/>
  <c r="AK338" i="1"/>
  <c r="AI339" i="1"/>
  <c r="AK339" i="1"/>
  <c r="AI340" i="1"/>
  <c r="AK340" i="1"/>
  <c r="AI341" i="1"/>
  <c r="AK341" i="1"/>
  <c r="AI342" i="1"/>
  <c r="AK342" i="1"/>
  <c r="AI343" i="1"/>
  <c r="AK343" i="1"/>
  <c r="AI344" i="1"/>
  <c r="AK344" i="1"/>
  <c r="AI345" i="1"/>
  <c r="AK345" i="1"/>
  <c r="AI346" i="1"/>
  <c r="AK346" i="1"/>
  <c r="AI347" i="1"/>
  <c r="AK347" i="1"/>
  <c r="AI348" i="1"/>
  <c r="AK348" i="1"/>
  <c r="AI349" i="1"/>
  <c r="AK349" i="1"/>
  <c r="AI350" i="1"/>
  <c r="AK350" i="1"/>
  <c r="AI351" i="1"/>
  <c r="AK351" i="1"/>
  <c r="AI352" i="1"/>
  <c r="AK352" i="1"/>
  <c r="AI353" i="1"/>
  <c r="AK353" i="1"/>
  <c r="AI354" i="1"/>
  <c r="AK354" i="1"/>
  <c r="AI355" i="1"/>
  <c r="AK355" i="1"/>
  <c r="AI356" i="1"/>
  <c r="AK356" i="1"/>
  <c r="AI357" i="1"/>
  <c r="AK357" i="1"/>
  <c r="AI358" i="1"/>
  <c r="AK358" i="1"/>
  <c r="AI359" i="1"/>
  <c r="AK359" i="1"/>
  <c r="AI360" i="1"/>
  <c r="AK360" i="1"/>
  <c r="AI361" i="1"/>
  <c r="AK361" i="1"/>
  <c r="AI362" i="1"/>
  <c r="AK362" i="1"/>
  <c r="AI363" i="1"/>
  <c r="AK363" i="1"/>
  <c r="AI364" i="1"/>
  <c r="AK364" i="1"/>
  <c r="AI365" i="1"/>
  <c r="AK365" i="1"/>
  <c r="AI366" i="1"/>
  <c r="AK366" i="1"/>
  <c r="AI367" i="1"/>
  <c r="AK367" i="1"/>
  <c r="AI368" i="1"/>
  <c r="AK368" i="1"/>
  <c r="AI369" i="1"/>
  <c r="AK369" i="1"/>
  <c r="AI370" i="1"/>
  <c r="AK370" i="1"/>
  <c r="AI371" i="1"/>
  <c r="AK371" i="1"/>
  <c r="AI372" i="1"/>
  <c r="AK372" i="1"/>
  <c r="AI373" i="1"/>
  <c r="AK373" i="1"/>
  <c r="AI374" i="1"/>
  <c r="AK374" i="1"/>
  <c r="AI375" i="1"/>
  <c r="AK375" i="1"/>
  <c r="AI376" i="1"/>
  <c r="AK376" i="1"/>
  <c r="AI377" i="1"/>
  <c r="AK377" i="1"/>
  <c r="AI378" i="1"/>
  <c r="AK378" i="1"/>
  <c r="AI379" i="1"/>
  <c r="AK379" i="1"/>
  <c r="AI380" i="1"/>
  <c r="AK380" i="1"/>
  <c r="AI381" i="1"/>
  <c r="AK381" i="1"/>
  <c r="AI382" i="1"/>
  <c r="AK382" i="1"/>
  <c r="AI383" i="1"/>
  <c r="AK383" i="1"/>
  <c r="AI384" i="1"/>
  <c r="AK384" i="1"/>
  <c r="AI385" i="1"/>
  <c r="AK385" i="1"/>
  <c r="AI386" i="1"/>
  <c r="AK386" i="1"/>
  <c r="AI387" i="1"/>
  <c r="AK387" i="1"/>
  <c r="AI388" i="1"/>
  <c r="AK388" i="1"/>
  <c r="AI389" i="1"/>
  <c r="AK389" i="1"/>
  <c r="AI390" i="1"/>
  <c r="AK390" i="1"/>
  <c r="AI391" i="1"/>
  <c r="AK391" i="1"/>
  <c r="AI392" i="1"/>
  <c r="AK392" i="1"/>
  <c r="AI393" i="1"/>
  <c r="AK393" i="1"/>
  <c r="AI394" i="1"/>
  <c r="AK394" i="1"/>
  <c r="AI395" i="1"/>
  <c r="AK395" i="1"/>
  <c r="AI396" i="1"/>
  <c r="AK396" i="1"/>
  <c r="AI397" i="1"/>
  <c r="AK397" i="1"/>
  <c r="AI398" i="1"/>
  <c r="AK398" i="1"/>
  <c r="AI399" i="1"/>
  <c r="AK399" i="1"/>
  <c r="AI400" i="1"/>
  <c r="AK400" i="1"/>
  <c r="AI401" i="1"/>
  <c r="AK401" i="1"/>
  <c r="AI402" i="1"/>
  <c r="AK402" i="1"/>
  <c r="AI403" i="1"/>
  <c r="AK403" i="1"/>
  <c r="AI404" i="1"/>
  <c r="AK404" i="1"/>
  <c r="AI405" i="1"/>
  <c r="AK405" i="1"/>
  <c r="AI406" i="1"/>
  <c r="AK406" i="1"/>
  <c r="AI407" i="1"/>
  <c r="AK407" i="1"/>
  <c r="AI408" i="1"/>
  <c r="AK408" i="1"/>
  <c r="AI409" i="1"/>
  <c r="AK409" i="1"/>
  <c r="AI410" i="1"/>
  <c r="AK410" i="1"/>
  <c r="AI411" i="1"/>
  <c r="AK411" i="1"/>
  <c r="AI412" i="1"/>
  <c r="AK412" i="1"/>
  <c r="AI413" i="1"/>
  <c r="AK413" i="1"/>
  <c r="AI414" i="1"/>
  <c r="AK414" i="1"/>
  <c r="AI415" i="1"/>
  <c r="AK415" i="1"/>
  <c r="AI416" i="1"/>
  <c r="AK416" i="1"/>
  <c r="AI417" i="1"/>
  <c r="AK417" i="1"/>
  <c r="AI418" i="1"/>
  <c r="AK418" i="1"/>
  <c r="AI419" i="1"/>
  <c r="AK419" i="1"/>
  <c r="AI420" i="1"/>
  <c r="AK420" i="1"/>
  <c r="AI421" i="1"/>
  <c r="AK421" i="1"/>
  <c r="AI422" i="1"/>
  <c r="AK422" i="1"/>
  <c r="AI423" i="1"/>
  <c r="AK423" i="1"/>
  <c r="AI424" i="1"/>
  <c r="AK424" i="1"/>
  <c r="AI425" i="1"/>
  <c r="AK425" i="1"/>
  <c r="AI426" i="1"/>
  <c r="AK426" i="1"/>
  <c r="AI427" i="1"/>
  <c r="AK427" i="1"/>
  <c r="AI428" i="1"/>
  <c r="AK428" i="1"/>
  <c r="AI429" i="1"/>
  <c r="AK429" i="1"/>
  <c r="AI430" i="1"/>
  <c r="AK430" i="1"/>
  <c r="AI431" i="1"/>
  <c r="AK431" i="1"/>
  <c r="AI432" i="1"/>
  <c r="AK432" i="1"/>
  <c r="AI433" i="1"/>
  <c r="AK433" i="1"/>
  <c r="AI434" i="1"/>
  <c r="AK434" i="1"/>
  <c r="AI435" i="1"/>
  <c r="AK435" i="1"/>
  <c r="AI436" i="1"/>
  <c r="AK436" i="1"/>
  <c r="AI437" i="1"/>
  <c r="AK437" i="1"/>
  <c r="AI438" i="1"/>
  <c r="AK438" i="1"/>
  <c r="AI439" i="1"/>
  <c r="AK439" i="1"/>
  <c r="AI440" i="1"/>
  <c r="AK440" i="1"/>
  <c r="AI441" i="1"/>
  <c r="AK441" i="1"/>
  <c r="AI442" i="1"/>
  <c r="AK442" i="1"/>
  <c r="AI443" i="1"/>
  <c r="AK443" i="1"/>
  <c r="AI444" i="1"/>
  <c r="AK444" i="1"/>
  <c r="AI445" i="1"/>
  <c r="AK445" i="1"/>
  <c r="AI446" i="1"/>
  <c r="AK446" i="1"/>
  <c r="AI447" i="1"/>
  <c r="AK447" i="1"/>
  <c r="AI448" i="1"/>
  <c r="AK448" i="1"/>
  <c r="AI449" i="1"/>
  <c r="AK449" i="1"/>
  <c r="AI450" i="1"/>
  <c r="AK450" i="1"/>
  <c r="AI451" i="1"/>
  <c r="AK451" i="1"/>
  <c r="AI452" i="1"/>
  <c r="AK452" i="1"/>
  <c r="AI453" i="1"/>
  <c r="AK453" i="1"/>
  <c r="AI454" i="1"/>
  <c r="AK454" i="1"/>
  <c r="AI455" i="1"/>
  <c r="AK455" i="1"/>
  <c r="AI456" i="1"/>
  <c r="AK456" i="1"/>
  <c r="AI457" i="1"/>
  <c r="AK457" i="1"/>
  <c r="AI458" i="1"/>
  <c r="AK458" i="1"/>
  <c r="AI459" i="1"/>
  <c r="AK459" i="1"/>
  <c r="AI460" i="1"/>
  <c r="AK460" i="1"/>
  <c r="AI461" i="1"/>
  <c r="AK461" i="1"/>
  <c r="AI462" i="1"/>
  <c r="AK462" i="1"/>
  <c r="AI463" i="1"/>
  <c r="AK463" i="1"/>
  <c r="AI464" i="1"/>
  <c r="AK464" i="1"/>
  <c r="AI465" i="1"/>
  <c r="AK465" i="1"/>
  <c r="AI466" i="1"/>
  <c r="AK466" i="1"/>
  <c r="AI467" i="1"/>
  <c r="AK467" i="1"/>
  <c r="AI468" i="1"/>
  <c r="AK468" i="1"/>
  <c r="AI469" i="1"/>
  <c r="AK469" i="1"/>
  <c r="AI470" i="1"/>
  <c r="AK470" i="1"/>
  <c r="AI471" i="1"/>
  <c r="AK471" i="1"/>
  <c r="AI472" i="1"/>
  <c r="AK472" i="1"/>
  <c r="AI473" i="1"/>
  <c r="AK473" i="1"/>
  <c r="AI474" i="1"/>
  <c r="AK474" i="1"/>
  <c r="AI475" i="1"/>
  <c r="AK475" i="1"/>
  <c r="AI476" i="1"/>
  <c r="AK476" i="1"/>
  <c r="AI477" i="1"/>
  <c r="AK477" i="1"/>
  <c r="AI478" i="1"/>
  <c r="AK478" i="1"/>
  <c r="AI479" i="1"/>
  <c r="AK479" i="1"/>
  <c r="AI480" i="1"/>
  <c r="AK480" i="1"/>
  <c r="AI481" i="1"/>
  <c r="AK481" i="1"/>
  <c r="AI482" i="1"/>
  <c r="AK482" i="1"/>
  <c r="AI483" i="1"/>
  <c r="AK483" i="1"/>
  <c r="AI484" i="1"/>
  <c r="AK484" i="1"/>
  <c r="AI485" i="1"/>
  <c r="AK485" i="1"/>
  <c r="AI486" i="1"/>
  <c r="AK486" i="1"/>
  <c r="AI487" i="1"/>
  <c r="AK487" i="1"/>
  <c r="AI488" i="1"/>
  <c r="AK488" i="1"/>
  <c r="AI489" i="1"/>
  <c r="AK489" i="1"/>
  <c r="AI490" i="1"/>
  <c r="AK490" i="1"/>
  <c r="AI491" i="1"/>
  <c r="AK491" i="1"/>
  <c r="AI492" i="1"/>
  <c r="AK492" i="1"/>
  <c r="AI493" i="1"/>
  <c r="AK493" i="1"/>
  <c r="AI494" i="1"/>
  <c r="AK494" i="1"/>
  <c r="AI495" i="1"/>
  <c r="AK495" i="1"/>
  <c r="AI496" i="1"/>
  <c r="AK496" i="1"/>
  <c r="AI497" i="1"/>
  <c r="AK497" i="1"/>
  <c r="AI498" i="1"/>
  <c r="AK498" i="1"/>
  <c r="AI499" i="1"/>
  <c r="AK499" i="1"/>
  <c r="AI500" i="1"/>
  <c r="AK500" i="1"/>
  <c r="AI501" i="1"/>
  <c r="AK501" i="1"/>
  <c r="AI502" i="1"/>
  <c r="AK502" i="1"/>
  <c r="AI503" i="1"/>
  <c r="AK503" i="1"/>
  <c r="AI504" i="1"/>
  <c r="AK504" i="1"/>
  <c r="AI505" i="1"/>
  <c r="AK505" i="1"/>
  <c r="AI506" i="1"/>
  <c r="AK506" i="1"/>
  <c r="AI507" i="1"/>
  <c r="AK507" i="1"/>
  <c r="AI508" i="1"/>
  <c r="AK508" i="1"/>
  <c r="AI509" i="1"/>
  <c r="AK509" i="1"/>
  <c r="AI510" i="1"/>
  <c r="AK510" i="1"/>
  <c r="AI511" i="1"/>
  <c r="AK511" i="1"/>
  <c r="AI512" i="1"/>
  <c r="AK512" i="1"/>
  <c r="AI513" i="1"/>
  <c r="AK513" i="1"/>
  <c r="AI514" i="1"/>
  <c r="AK514" i="1"/>
  <c r="AI515" i="1"/>
  <c r="AK515" i="1"/>
  <c r="AI516" i="1"/>
  <c r="AK516" i="1"/>
  <c r="AI517" i="1"/>
  <c r="AK517" i="1"/>
  <c r="AI518" i="1"/>
  <c r="AK518" i="1"/>
  <c r="AI519" i="1"/>
  <c r="AK519" i="1"/>
  <c r="AI520" i="1"/>
  <c r="AK520" i="1"/>
  <c r="AI521" i="1"/>
  <c r="AK521" i="1"/>
  <c r="AI522" i="1"/>
  <c r="AK522" i="1"/>
  <c r="AI523" i="1"/>
  <c r="AK523" i="1"/>
  <c r="AI524" i="1"/>
  <c r="AK524" i="1"/>
  <c r="AI525" i="1"/>
  <c r="AK525" i="1"/>
  <c r="AI526" i="1"/>
  <c r="AK526" i="1"/>
  <c r="AI527" i="1"/>
  <c r="AK527" i="1"/>
  <c r="AI528" i="1"/>
  <c r="AK528" i="1"/>
  <c r="AI529" i="1"/>
  <c r="AK529" i="1"/>
  <c r="AI530" i="1"/>
  <c r="AK530" i="1"/>
  <c r="AI531" i="1"/>
  <c r="AK531" i="1"/>
  <c r="AI532" i="1"/>
  <c r="AK532" i="1"/>
  <c r="AI533" i="1"/>
  <c r="AK533" i="1"/>
  <c r="AI534" i="1"/>
  <c r="AK534" i="1"/>
  <c r="AI535" i="1"/>
  <c r="AK535" i="1"/>
  <c r="AI536" i="1"/>
  <c r="AK536" i="1"/>
  <c r="AI537" i="1"/>
  <c r="AK537" i="1"/>
  <c r="AI538" i="1"/>
  <c r="AK538" i="1"/>
  <c r="AI539" i="1"/>
  <c r="AK539" i="1"/>
  <c r="AI540" i="1"/>
  <c r="AK540" i="1"/>
  <c r="AI541" i="1"/>
  <c r="AK541" i="1"/>
  <c r="AI542" i="1"/>
  <c r="AK542" i="1"/>
  <c r="AI543" i="1"/>
  <c r="AK543" i="1"/>
  <c r="AI544" i="1"/>
  <c r="AK544" i="1"/>
  <c r="AI545" i="1"/>
  <c r="AK545" i="1"/>
  <c r="AI546" i="1"/>
  <c r="AK546" i="1"/>
  <c r="AI547" i="1"/>
  <c r="AK547" i="1"/>
  <c r="AI548" i="1"/>
  <c r="AK548" i="1"/>
  <c r="AI549" i="1"/>
  <c r="AK549" i="1"/>
  <c r="AI550" i="1"/>
  <c r="AK550" i="1"/>
  <c r="AI551" i="1"/>
  <c r="AK551" i="1"/>
  <c r="AI552" i="1"/>
  <c r="AK552" i="1"/>
  <c r="AI553" i="1"/>
  <c r="AK553" i="1"/>
  <c r="AI554" i="1"/>
  <c r="AK554" i="1"/>
  <c r="AI555" i="1"/>
  <c r="AK555" i="1"/>
  <c r="AI556" i="1"/>
  <c r="AK556" i="1"/>
  <c r="AI557" i="1"/>
  <c r="AK557" i="1"/>
  <c r="AI558" i="1"/>
  <c r="AK558" i="1"/>
  <c r="AI559" i="1"/>
  <c r="AK559" i="1"/>
  <c r="AI560" i="1"/>
  <c r="AK560" i="1"/>
  <c r="AI561" i="1"/>
  <c r="AK561" i="1"/>
  <c r="AI562" i="1"/>
  <c r="AK562" i="1"/>
  <c r="AI563" i="1"/>
  <c r="AK563" i="1"/>
  <c r="AI564" i="1"/>
  <c r="AK564" i="1"/>
  <c r="AI565" i="1"/>
  <c r="AK565" i="1"/>
  <c r="AI566" i="1"/>
  <c r="AK566" i="1"/>
  <c r="AI567" i="1"/>
  <c r="AK567" i="1"/>
  <c r="AI568" i="1"/>
  <c r="AK568" i="1"/>
  <c r="AI569" i="1"/>
  <c r="AK569" i="1"/>
  <c r="AI570" i="1"/>
  <c r="AK570" i="1"/>
  <c r="AI571" i="1"/>
  <c r="AK571" i="1"/>
  <c r="AI572" i="1"/>
  <c r="AK572" i="1"/>
  <c r="AI573" i="1"/>
  <c r="AK573" i="1"/>
  <c r="AI574" i="1"/>
  <c r="AK574" i="1"/>
  <c r="AI575" i="1"/>
  <c r="AK575" i="1"/>
  <c r="AI576" i="1"/>
  <c r="AK576" i="1"/>
  <c r="AI577" i="1"/>
  <c r="AK577" i="1"/>
  <c r="AI578" i="1"/>
  <c r="AK578" i="1"/>
  <c r="AI579" i="1"/>
  <c r="AK579" i="1"/>
  <c r="AI580" i="1"/>
  <c r="AK580" i="1"/>
  <c r="AI581" i="1"/>
  <c r="AK581" i="1"/>
  <c r="AI582" i="1"/>
  <c r="AK582" i="1"/>
  <c r="AI583" i="1"/>
  <c r="AK583" i="1"/>
  <c r="AI584" i="1"/>
  <c r="AK584" i="1"/>
  <c r="AI585" i="1"/>
  <c r="AK585" i="1"/>
  <c r="AI586" i="1"/>
  <c r="AK586" i="1"/>
  <c r="AI587" i="1"/>
  <c r="AK587" i="1"/>
  <c r="AI588" i="1"/>
  <c r="AK588" i="1"/>
  <c r="AI589" i="1"/>
  <c r="AK589" i="1"/>
  <c r="AI590" i="1"/>
  <c r="AK590" i="1"/>
  <c r="AI591" i="1"/>
  <c r="AK591" i="1"/>
  <c r="AI592" i="1"/>
  <c r="AK592" i="1"/>
  <c r="AI593" i="1"/>
  <c r="AK593" i="1"/>
  <c r="AI594" i="1"/>
  <c r="AK594" i="1"/>
  <c r="AI595" i="1"/>
  <c r="AK595" i="1"/>
  <c r="AI596" i="1"/>
  <c r="AK596" i="1"/>
  <c r="AI597" i="1"/>
  <c r="AK597" i="1"/>
  <c r="AI598" i="1"/>
  <c r="AK598" i="1"/>
  <c r="AI599" i="1"/>
  <c r="AK599" i="1"/>
  <c r="AI600" i="1"/>
  <c r="AK600" i="1"/>
  <c r="AI601" i="1"/>
  <c r="AK601" i="1"/>
  <c r="AI602" i="1"/>
  <c r="AK602" i="1"/>
  <c r="AI603" i="1"/>
  <c r="AK603" i="1"/>
  <c r="AI604" i="1"/>
  <c r="AK604" i="1"/>
  <c r="AI605" i="1"/>
  <c r="AK605" i="1"/>
  <c r="AI606" i="1"/>
  <c r="AK606" i="1"/>
  <c r="AI607" i="1"/>
  <c r="AK607" i="1"/>
  <c r="AI608" i="1"/>
  <c r="AK608" i="1"/>
  <c r="AI609" i="1"/>
  <c r="AK609" i="1"/>
  <c r="AI610" i="1"/>
  <c r="AK610" i="1"/>
  <c r="AI611" i="1"/>
  <c r="AK611" i="1"/>
  <c r="AI612" i="1"/>
  <c r="AK612" i="1"/>
  <c r="AI613" i="1"/>
  <c r="AK613" i="1"/>
  <c r="AI614" i="1"/>
  <c r="AK614" i="1"/>
  <c r="AI615" i="1"/>
  <c r="AK615" i="1"/>
  <c r="AI616" i="1"/>
  <c r="AK616" i="1"/>
  <c r="AI617" i="1"/>
  <c r="AK617" i="1"/>
  <c r="AI618" i="1"/>
  <c r="AK618" i="1"/>
  <c r="AI619" i="1"/>
  <c r="AK619" i="1"/>
  <c r="AI620" i="1"/>
  <c r="AK620" i="1"/>
  <c r="AI621" i="1"/>
  <c r="AK621" i="1"/>
  <c r="AI622" i="1"/>
  <c r="AK622" i="1"/>
  <c r="AI623" i="1"/>
  <c r="AK623" i="1"/>
  <c r="AI624" i="1"/>
  <c r="AK624" i="1"/>
  <c r="AI625" i="1"/>
  <c r="AK625" i="1"/>
  <c r="AI626" i="1"/>
  <c r="AK626" i="1"/>
  <c r="AI627" i="1"/>
  <c r="AK627" i="1"/>
  <c r="AI628" i="1"/>
  <c r="AK628" i="1"/>
  <c r="AI629" i="1"/>
  <c r="AK629" i="1"/>
  <c r="AI630" i="1"/>
  <c r="AK630" i="1"/>
  <c r="AI631" i="1"/>
  <c r="AK631" i="1"/>
  <c r="AI632" i="1"/>
  <c r="AK632" i="1"/>
  <c r="AI633" i="1"/>
  <c r="AK633" i="1"/>
  <c r="AI634" i="1"/>
  <c r="AK634" i="1"/>
  <c r="AI635" i="1"/>
  <c r="AK635" i="1"/>
  <c r="AI636" i="1"/>
  <c r="AK636" i="1"/>
  <c r="AI637" i="1"/>
  <c r="AK637" i="1"/>
  <c r="AI638" i="1"/>
  <c r="AK638" i="1"/>
  <c r="AI639" i="1"/>
  <c r="AK639" i="1"/>
  <c r="AI640" i="1"/>
  <c r="AK640" i="1"/>
  <c r="AI641" i="1"/>
  <c r="AK641" i="1"/>
  <c r="AI642" i="1"/>
  <c r="AK642" i="1"/>
  <c r="AI643" i="1"/>
  <c r="AK643" i="1"/>
  <c r="AI644" i="1"/>
  <c r="AK644" i="1"/>
  <c r="AI645" i="1"/>
  <c r="AK645" i="1"/>
  <c r="AI646" i="1"/>
  <c r="AK646" i="1"/>
  <c r="AI647" i="1"/>
  <c r="AK647" i="1"/>
  <c r="AI648" i="1"/>
  <c r="AK648" i="1"/>
  <c r="AI649" i="1"/>
  <c r="AK649" i="1"/>
  <c r="AI650" i="1"/>
  <c r="AK650" i="1"/>
  <c r="AI651" i="1"/>
  <c r="AK651" i="1"/>
  <c r="AI652" i="1"/>
  <c r="AK652" i="1"/>
  <c r="AI653" i="1"/>
  <c r="AK653" i="1"/>
  <c r="AI654" i="1"/>
  <c r="AK654" i="1"/>
  <c r="AI655" i="1"/>
  <c r="AK655" i="1"/>
  <c r="AI656" i="1"/>
  <c r="AK656" i="1"/>
  <c r="AI657" i="1"/>
  <c r="AK657" i="1"/>
  <c r="AI658" i="1"/>
  <c r="AK658" i="1"/>
  <c r="AI659" i="1"/>
  <c r="AK659" i="1"/>
  <c r="AI660" i="1"/>
  <c r="AK660" i="1"/>
  <c r="AI661" i="1"/>
  <c r="AK661" i="1"/>
  <c r="AI662" i="1"/>
  <c r="AK662" i="1"/>
  <c r="AI663" i="1"/>
  <c r="AK663" i="1"/>
  <c r="AI664" i="1"/>
  <c r="AK664" i="1"/>
  <c r="AI665" i="1"/>
  <c r="AK665" i="1"/>
  <c r="AI666" i="1"/>
  <c r="AK666" i="1"/>
  <c r="AI667" i="1"/>
  <c r="AK667" i="1"/>
  <c r="AI668" i="1"/>
  <c r="AK668" i="1"/>
  <c r="AI669" i="1"/>
  <c r="AK669" i="1"/>
  <c r="AI670" i="1"/>
  <c r="AK670" i="1"/>
  <c r="AI671" i="1"/>
  <c r="AK671" i="1"/>
  <c r="AI672" i="1"/>
  <c r="AK672" i="1"/>
  <c r="AI673" i="1"/>
  <c r="AK673" i="1"/>
  <c r="AI674" i="1"/>
  <c r="AK674" i="1"/>
  <c r="AI675" i="1"/>
  <c r="AK675" i="1"/>
  <c r="AI676" i="1"/>
  <c r="AK676" i="1"/>
  <c r="AI677" i="1"/>
  <c r="AK677" i="1"/>
  <c r="AI678" i="1"/>
  <c r="AK678" i="1"/>
  <c r="AI679" i="1"/>
  <c r="AK679" i="1"/>
  <c r="AI680" i="1"/>
  <c r="AK680" i="1"/>
  <c r="AI681" i="1"/>
  <c r="AK681" i="1"/>
  <c r="AI682" i="1"/>
  <c r="AK682" i="1"/>
  <c r="AI683" i="1"/>
  <c r="AK683" i="1"/>
  <c r="AI684" i="1"/>
  <c r="AK684" i="1"/>
  <c r="AI685" i="1"/>
  <c r="AK685" i="1"/>
  <c r="AI686" i="1"/>
  <c r="AK686" i="1"/>
  <c r="AI687" i="1"/>
  <c r="AK687" i="1"/>
  <c r="AI688" i="1"/>
  <c r="AK688" i="1"/>
  <c r="AI689" i="1"/>
  <c r="AK689" i="1"/>
  <c r="AI690" i="1"/>
  <c r="AK690" i="1"/>
  <c r="AI691" i="1"/>
  <c r="AK691" i="1"/>
  <c r="AI692" i="1"/>
  <c r="AK692" i="1"/>
  <c r="AI693" i="1"/>
  <c r="AK693" i="1"/>
  <c r="AI694" i="1"/>
  <c r="AK694" i="1"/>
  <c r="AI695" i="1"/>
  <c r="AK695" i="1"/>
  <c r="AI696" i="1"/>
  <c r="AK696" i="1"/>
  <c r="AI697" i="1"/>
  <c r="AK697" i="1"/>
  <c r="AI698" i="1"/>
  <c r="AK698" i="1"/>
  <c r="AI699" i="1"/>
  <c r="AK699" i="1"/>
  <c r="AI700" i="1"/>
  <c r="AK700" i="1"/>
  <c r="AI701" i="1"/>
  <c r="AK701" i="1"/>
  <c r="AI702" i="1"/>
  <c r="AK702" i="1"/>
  <c r="AI703" i="1"/>
  <c r="AK703" i="1"/>
  <c r="AI704" i="1"/>
  <c r="AK704" i="1"/>
  <c r="AI705" i="1"/>
  <c r="AK705" i="1"/>
  <c r="AI706" i="1"/>
  <c r="AK706" i="1"/>
  <c r="AI707" i="1"/>
  <c r="AK707" i="1"/>
  <c r="AI708" i="1"/>
  <c r="AK708" i="1"/>
  <c r="AI709" i="1"/>
  <c r="AK709" i="1"/>
  <c r="AI710" i="1"/>
  <c r="AK710" i="1"/>
  <c r="AI711" i="1"/>
  <c r="AK711" i="1"/>
  <c r="AI712" i="1"/>
  <c r="AK712" i="1"/>
  <c r="AI713" i="1"/>
  <c r="AK713" i="1"/>
  <c r="AI714" i="1"/>
  <c r="AK714" i="1"/>
  <c r="AI715" i="1"/>
  <c r="AK715" i="1"/>
  <c r="AI716" i="1"/>
  <c r="AK716" i="1"/>
  <c r="AI717" i="1"/>
  <c r="AK717" i="1"/>
  <c r="AI718" i="1"/>
  <c r="AK718" i="1"/>
  <c r="AI719" i="1"/>
  <c r="AK719" i="1"/>
  <c r="AI720" i="1"/>
  <c r="AK720" i="1"/>
  <c r="AI721" i="1"/>
  <c r="AK721" i="1"/>
  <c r="AI722" i="1"/>
  <c r="AK722" i="1"/>
  <c r="AI723" i="1"/>
  <c r="AK723" i="1"/>
  <c r="AI724" i="1"/>
  <c r="AK724" i="1"/>
  <c r="AI725" i="1"/>
  <c r="AK725" i="1"/>
  <c r="AI726" i="1"/>
  <c r="AK726" i="1"/>
  <c r="AI727" i="1"/>
  <c r="AK727" i="1"/>
  <c r="AI728" i="1"/>
  <c r="AK728" i="1"/>
  <c r="AI729" i="1"/>
  <c r="AK729" i="1"/>
  <c r="AI730" i="1"/>
  <c r="AK730" i="1"/>
  <c r="AI731" i="1"/>
  <c r="AK731" i="1"/>
  <c r="AI732" i="1"/>
  <c r="AK732" i="1"/>
  <c r="AI733" i="1"/>
  <c r="AK733" i="1"/>
  <c r="AI734" i="1"/>
  <c r="AK734" i="1"/>
  <c r="AI735" i="1"/>
  <c r="AK735" i="1"/>
  <c r="AI736" i="1"/>
  <c r="AK736" i="1"/>
  <c r="AI737" i="1"/>
  <c r="AK737" i="1"/>
  <c r="AI738" i="1"/>
  <c r="AK738" i="1"/>
  <c r="AI739" i="1"/>
  <c r="AK739" i="1"/>
  <c r="AI740" i="1"/>
  <c r="AK740" i="1"/>
  <c r="AI741" i="1"/>
  <c r="AK741" i="1"/>
  <c r="AI742" i="1"/>
  <c r="AK742" i="1"/>
  <c r="AI743" i="1"/>
  <c r="AK743" i="1"/>
  <c r="AI744" i="1"/>
  <c r="AK744" i="1"/>
  <c r="AI745" i="1"/>
  <c r="AK745" i="1"/>
  <c r="AI746" i="1"/>
  <c r="AK746" i="1"/>
  <c r="AI747" i="1"/>
  <c r="AK747" i="1"/>
  <c r="AI748" i="1"/>
  <c r="AK748" i="1"/>
  <c r="AI749" i="1"/>
  <c r="AK749" i="1"/>
  <c r="AI750" i="1"/>
  <c r="AK750" i="1"/>
  <c r="AI751" i="1"/>
  <c r="AK751" i="1"/>
  <c r="AI752" i="1"/>
  <c r="AK752" i="1"/>
  <c r="AI753" i="1"/>
  <c r="AK753" i="1"/>
  <c r="AI754" i="1"/>
  <c r="AK754" i="1"/>
  <c r="AI755" i="1"/>
  <c r="AK755" i="1"/>
  <c r="AI756" i="1"/>
  <c r="AK756" i="1"/>
  <c r="AI757" i="1"/>
  <c r="AK757" i="1"/>
  <c r="AI758" i="1"/>
  <c r="AK758" i="1"/>
  <c r="AI759" i="1"/>
  <c r="AK759" i="1"/>
  <c r="AI760" i="1"/>
  <c r="AK760" i="1"/>
  <c r="AI761" i="1"/>
  <c r="AK761" i="1"/>
  <c r="AI762" i="1"/>
  <c r="AK762" i="1"/>
  <c r="AI763" i="1"/>
  <c r="AK763" i="1"/>
  <c r="AI764" i="1"/>
  <c r="AK764" i="1"/>
  <c r="AI765" i="1"/>
  <c r="AK765" i="1"/>
  <c r="AI766" i="1"/>
  <c r="AK766" i="1"/>
  <c r="AI767" i="1"/>
  <c r="AK767" i="1"/>
  <c r="AI768" i="1"/>
  <c r="AK768" i="1"/>
  <c r="AI769" i="1"/>
  <c r="AK769" i="1"/>
  <c r="AI770" i="1"/>
  <c r="AK770" i="1"/>
  <c r="AI771" i="1"/>
  <c r="AK771" i="1"/>
  <c r="AI772" i="1"/>
  <c r="AK772" i="1"/>
  <c r="AI773" i="1"/>
  <c r="AK773" i="1"/>
  <c r="AI774" i="1"/>
  <c r="AK774" i="1"/>
  <c r="AI775" i="1"/>
  <c r="AK775" i="1"/>
  <c r="AI776" i="1"/>
  <c r="AK776" i="1"/>
  <c r="AI777" i="1"/>
  <c r="AK777" i="1"/>
  <c r="AI778" i="1"/>
  <c r="AK778" i="1"/>
  <c r="AI779" i="1"/>
  <c r="AK779" i="1"/>
  <c r="AI780" i="1"/>
  <c r="AK780" i="1"/>
  <c r="AI781" i="1"/>
  <c r="AK781" i="1"/>
  <c r="AI782" i="1"/>
  <c r="AK782" i="1"/>
  <c r="AI783" i="1"/>
  <c r="AK783" i="1"/>
  <c r="AI784" i="1"/>
  <c r="AK784" i="1"/>
  <c r="AI785" i="1"/>
  <c r="AK785" i="1"/>
  <c r="AI786" i="1"/>
  <c r="AK786" i="1"/>
  <c r="AI787" i="1"/>
  <c r="AK787" i="1"/>
  <c r="AI788" i="1"/>
  <c r="AK788" i="1"/>
  <c r="AI789" i="1"/>
  <c r="AK789" i="1"/>
  <c r="AI790" i="1"/>
  <c r="AK790" i="1"/>
  <c r="AI791" i="1"/>
  <c r="AK791" i="1"/>
  <c r="AI792" i="1"/>
  <c r="AK792" i="1"/>
  <c r="AI793" i="1"/>
  <c r="AK793" i="1"/>
  <c r="AI794" i="1"/>
  <c r="AK794" i="1"/>
  <c r="AI795" i="1"/>
  <c r="AK795" i="1"/>
  <c r="AI796" i="1"/>
  <c r="AK796" i="1"/>
  <c r="AI797" i="1"/>
  <c r="AK797" i="1"/>
  <c r="AI798" i="1"/>
  <c r="AK798" i="1"/>
  <c r="AI799" i="1"/>
  <c r="AK799" i="1"/>
  <c r="AI800" i="1"/>
  <c r="AK800" i="1"/>
  <c r="AI801" i="1"/>
  <c r="AK801" i="1"/>
  <c r="AI802" i="1"/>
  <c r="AK802" i="1"/>
  <c r="AI803" i="1"/>
  <c r="AK803" i="1"/>
  <c r="AI804" i="1"/>
  <c r="AK804" i="1"/>
  <c r="AI805" i="1"/>
  <c r="AK805" i="1"/>
  <c r="AI806" i="1"/>
  <c r="AK806" i="1"/>
  <c r="AI807" i="1"/>
  <c r="AK807" i="1"/>
  <c r="AI808" i="1"/>
  <c r="AK808" i="1"/>
  <c r="AI809" i="1"/>
  <c r="AK809" i="1"/>
  <c r="AI810" i="1"/>
  <c r="AK810" i="1"/>
  <c r="AI811" i="1"/>
  <c r="AK811" i="1"/>
  <c r="AI812" i="1"/>
  <c r="AK812" i="1"/>
  <c r="AI813" i="1"/>
  <c r="AK813" i="1"/>
  <c r="AI814" i="1"/>
  <c r="AK814" i="1"/>
  <c r="AI815" i="1"/>
  <c r="AK815" i="1"/>
  <c r="AI816" i="1"/>
  <c r="AK816" i="1"/>
  <c r="AI817" i="1"/>
  <c r="AK817" i="1"/>
  <c r="AI818" i="1"/>
  <c r="AK818" i="1"/>
  <c r="AI819" i="1"/>
  <c r="AK819" i="1"/>
  <c r="AI820" i="1"/>
  <c r="AK820" i="1"/>
  <c r="AI821" i="1"/>
  <c r="AK821" i="1"/>
  <c r="AI822" i="1"/>
  <c r="AK822" i="1"/>
  <c r="AI823" i="1"/>
  <c r="AK823" i="1"/>
  <c r="AI824" i="1"/>
  <c r="AK824" i="1"/>
  <c r="AI825" i="1"/>
  <c r="AK825" i="1"/>
  <c r="AI826" i="1"/>
  <c r="AK826" i="1"/>
  <c r="AI827" i="1"/>
  <c r="AK827" i="1"/>
  <c r="AI828" i="1"/>
  <c r="AK828" i="1"/>
  <c r="AI829" i="1"/>
  <c r="AK829" i="1"/>
  <c r="AI830" i="1"/>
  <c r="AK830" i="1"/>
  <c r="AI831" i="1"/>
  <c r="AK831" i="1"/>
  <c r="AI832" i="1"/>
  <c r="AK832" i="1"/>
  <c r="AI833" i="1"/>
  <c r="AK833" i="1"/>
  <c r="AI834" i="1"/>
  <c r="AK834" i="1"/>
  <c r="AI835" i="1"/>
  <c r="AK835" i="1"/>
  <c r="AI836" i="1"/>
  <c r="AK836" i="1"/>
  <c r="AI837" i="1"/>
  <c r="AK837" i="1"/>
  <c r="AI838" i="1"/>
  <c r="AK838" i="1"/>
  <c r="AI839" i="1"/>
  <c r="AK839" i="1"/>
  <c r="AI840" i="1"/>
  <c r="AK840" i="1"/>
  <c r="AI841" i="1"/>
  <c r="AK841" i="1"/>
  <c r="AI842" i="1"/>
  <c r="AK842" i="1"/>
  <c r="AI843" i="1"/>
  <c r="AK843" i="1"/>
  <c r="AI844" i="1"/>
  <c r="AK844" i="1"/>
  <c r="AI845" i="1"/>
  <c r="AK845" i="1"/>
  <c r="AI846" i="1"/>
  <c r="AK846" i="1"/>
  <c r="AI847" i="1"/>
  <c r="AK847" i="1"/>
  <c r="AI848" i="1"/>
  <c r="AK848" i="1"/>
  <c r="AI849" i="1"/>
  <c r="AK849" i="1"/>
  <c r="AI850" i="1"/>
  <c r="AK850" i="1"/>
  <c r="AI851" i="1"/>
  <c r="AK851" i="1"/>
  <c r="AI852" i="1"/>
  <c r="AK852" i="1"/>
  <c r="AI853" i="1"/>
  <c r="AK853" i="1"/>
  <c r="AI854" i="1"/>
  <c r="AK854" i="1"/>
  <c r="AI855" i="1"/>
  <c r="AK855" i="1"/>
  <c r="AI856" i="1"/>
  <c r="AK856" i="1"/>
  <c r="AI857" i="1"/>
  <c r="AK857" i="1"/>
  <c r="AI858" i="1"/>
  <c r="AK858" i="1"/>
  <c r="AI859" i="1"/>
  <c r="AK859" i="1"/>
  <c r="AI860" i="1"/>
  <c r="AK860" i="1"/>
  <c r="AI861" i="1"/>
  <c r="AK861" i="1"/>
  <c r="AI862" i="1"/>
  <c r="AK862" i="1"/>
  <c r="AI863" i="1"/>
  <c r="AK863" i="1"/>
  <c r="AI864" i="1"/>
  <c r="AK864" i="1"/>
  <c r="AI865" i="1"/>
  <c r="AK865" i="1"/>
  <c r="AI866" i="1"/>
  <c r="AK866" i="1"/>
  <c r="AI867" i="1"/>
  <c r="AK867" i="1"/>
  <c r="AI868" i="1"/>
  <c r="AK868" i="1"/>
  <c r="AI869" i="1"/>
  <c r="AK869" i="1"/>
  <c r="AI870" i="1"/>
  <c r="AK870" i="1"/>
  <c r="AI871" i="1"/>
  <c r="AK871" i="1"/>
  <c r="AI872" i="1"/>
  <c r="AK872" i="1"/>
  <c r="AI873" i="1"/>
  <c r="AK873" i="1"/>
  <c r="AI874" i="1"/>
  <c r="AK874" i="1"/>
  <c r="AI875" i="1"/>
  <c r="AK875" i="1"/>
  <c r="AI876" i="1"/>
  <c r="AK876" i="1"/>
  <c r="AI877" i="1"/>
  <c r="AK877" i="1"/>
  <c r="AI878" i="1"/>
  <c r="AK878" i="1"/>
  <c r="AI879" i="1"/>
  <c r="AK879" i="1"/>
  <c r="AI880" i="1"/>
  <c r="AK880" i="1"/>
  <c r="AI881" i="1"/>
  <c r="AK881" i="1"/>
  <c r="AI882" i="1"/>
  <c r="AK882" i="1"/>
  <c r="AI883" i="1"/>
  <c r="AK883" i="1"/>
  <c r="AI884" i="1"/>
  <c r="AK884" i="1"/>
  <c r="AI885" i="1"/>
  <c r="AK885" i="1"/>
  <c r="AI886" i="1"/>
  <c r="AK886" i="1"/>
  <c r="AI887" i="1"/>
  <c r="AK887" i="1"/>
  <c r="AI888" i="1"/>
  <c r="AK888" i="1"/>
  <c r="AI889" i="1"/>
  <c r="AK889" i="1"/>
  <c r="AI890" i="1"/>
  <c r="AK890" i="1"/>
  <c r="AI891" i="1"/>
  <c r="AK891" i="1"/>
  <c r="AI892" i="1"/>
  <c r="AK892" i="1"/>
  <c r="AI893" i="1"/>
  <c r="AK893" i="1"/>
  <c r="AI894" i="1"/>
  <c r="AK894" i="1"/>
  <c r="AI895" i="1"/>
  <c r="AK895" i="1"/>
  <c r="AI896" i="1"/>
  <c r="AK896" i="1"/>
  <c r="AI897" i="1"/>
  <c r="AK897" i="1"/>
  <c r="AI898" i="1"/>
  <c r="AK898" i="1"/>
  <c r="AI899" i="1"/>
  <c r="AK899" i="1"/>
  <c r="AI900" i="1"/>
  <c r="AK900" i="1"/>
  <c r="AI901" i="1"/>
  <c r="AK901" i="1"/>
  <c r="AI902" i="1"/>
  <c r="AK902" i="1"/>
  <c r="AI903" i="1"/>
  <c r="AK903" i="1"/>
  <c r="AI904" i="1"/>
  <c r="AK904" i="1"/>
  <c r="AI905" i="1"/>
  <c r="AK905" i="1"/>
  <c r="AI906" i="1"/>
  <c r="AK906" i="1"/>
  <c r="AI907" i="1"/>
  <c r="AK907" i="1"/>
  <c r="AI908" i="1"/>
  <c r="AK908" i="1"/>
  <c r="AI909" i="1"/>
  <c r="AK909" i="1"/>
  <c r="AI910" i="1"/>
  <c r="AK910" i="1"/>
  <c r="AI911" i="1"/>
  <c r="AK911" i="1"/>
  <c r="AI912" i="1"/>
  <c r="AK912" i="1"/>
  <c r="AI913" i="1"/>
  <c r="AK913" i="1"/>
  <c r="AI914" i="1"/>
  <c r="AK914" i="1"/>
  <c r="AI915" i="1"/>
  <c r="AK915" i="1"/>
  <c r="AI916" i="1"/>
  <c r="AK916" i="1"/>
  <c r="AI917" i="1"/>
  <c r="AK917" i="1"/>
  <c r="AI918" i="1"/>
  <c r="AK918" i="1"/>
  <c r="AI919" i="1"/>
  <c r="AK919" i="1"/>
  <c r="AI920" i="1"/>
  <c r="AK920" i="1"/>
  <c r="AI921" i="1"/>
  <c r="AK921" i="1"/>
  <c r="AI922" i="1"/>
  <c r="AK922" i="1"/>
  <c r="AI923" i="1"/>
  <c r="AK923" i="1"/>
  <c r="AI924" i="1"/>
  <c r="AK924" i="1"/>
  <c r="AI925" i="1"/>
  <c r="AK925" i="1"/>
  <c r="AI926" i="1"/>
  <c r="AK926" i="1"/>
  <c r="AI927" i="1"/>
  <c r="AK927" i="1"/>
  <c r="AI928" i="1"/>
  <c r="AK928" i="1"/>
  <c r="AI929" i="1"/>
  <c r="AK929" i="1"/>
  <c r="AI930" i="1"/>
  <c r="AK930" i="1"/>
  <c r="AI931" i="1"/>
  <c r="AK931" i="1"/>
  <c r="AI932" i="1"/>
  <c r="AK932" i="1"/>
  <c r="AI933" i="1"/>
  <c r="AK933" i="1"/>
  <c r="AI934" i="1"/>
  <c r="AK934" i="1"/>
  <c r="AI935" i="1"/>
  <c r="AK935" i="1"/>
  <c r="AI936" i="1"/>
  <c r="AK936" i="1"/>
  <c r="AI937" i="1"/>
  <c r="AK937" i="1"/>
  <c r="AI938" i="1"/>
  <c r="AK938" i="1"/>
  <c r="AI939" i="1"/>
  <c r="AK939" i="1"/>
  <c r="AI940" i="1"/>
  <c r="AK940" i="1"/>
  <c r="AI941" i="1"/>
  <c r="AK941" i="1"/>
  <c r="AI942" i="1"/>
  <c r="AK942" i="1"/>
  <c r="AI943" i="1"/>
  <c r="AK943" i="1"/>
  <c r="AI944" i="1"/>
  <c r="AK944" i="1"/>
  <c r="AI945" i="1"/>
  <c r="AK945" i="1"/>
  <c r="AI946" i="1"/>
  <c r="AK946" i="1"/>
  <c r="AI947" i="1"/>
  <c r="AK947" i="1"/>
  <c r="AI948" i="1"/>
  <c r="AK948" i="1"/>
  <c r="AI949" i="1"/>
  <c r="AK949" i="1"/>
  <c r="AI950" i="1"/>
  <c r="AK950" i="1"/>
  <c r="AI951" i="1"/>
  <c r="AK951" i="1"/>
  <c r="AI952" i="1"/>
  <c r="AK952" i="1"/>
  <c r="AI953" i="1"/>
  <c r="AK953" i="1"/>
  <c r="AI954" i="1"/>
  <c r="AK954" i="1"/>
  <c r="AI955" i="1"/>
  <c r="AK955" i="1"/>
  <c r="AI956" i="1"/>
  <c r="AK956" i="1"/>
  <c r="AI957" i="1"/>
  <c r="AK957" i="1"/>
  <c r="AI958" i="1"/>
  <c r="AK958" i="1"/>
  <c r="AI959" i="1"/>
  <c r="AK959" i="1"/>
  <c r="AI960" i="1"/>
  <c r="AK960" i="1"/>
  <c r="AI961" i="1"/>
  <c r="AK961" i="1"/>
  <c r="AI962" i="1"/>
  <c r="AK962" i="1"/>
  <c r="AI963" i="1"/>
  <c r="AK963" i="1"/>
  <c r="AI964" i="1"/>
  <c r="AK964" i="1"/>
  <c r="AI965" i="1"/>
  <c r="AK965" i="1"/>
  <c r="AI966" i="1"/>
  <c r="AK966" i="1"/>
  <c r="AI967" i="1"/>
  <c r="AK967" i="1"/>
  <c r="AI968" i="1"/>
  <c r="AK968" i="1"/>
  <c r="AI969" i="1"/>
  <c r="AK969" i="1"/>
  <c r="AI970" i="1"/>
  <c r="AK970" i="1"/>
  <c r="AI971" i="1"/>
  <c r="AK971" i="1"/>
  <c r="AI972" i="1"/>
  <c r="AK972" i="1"/>
  <c r="AI973" i="1"/>
  <c r="AK973" i="1"/>
  <c r="AI974" i="1"/>
  <c r="AK974" i="1"/>
  <c r="AI975" i="1"/>
  <c r="AK975" i="1"/>
  <c r="AI976" i="1"/>
  <c r="AK976" i="1"/>
  <c r="AI977" i="1"/>
  <c r="AK977" i="1"/>
  <c r="AI978" i="1"/>
  <c r="AK978" i="1"/>
  <c r="AI979" i="1"/>
  <c r="AK979" i="1"/>
  <c r="AI980" i="1"/>
  <c r="AK980" i="1"/>
  <c r="AI981" i="1"/>
  <c r="AK981" i="1"/>
  <c r="AI982" i="1"/>
  <c r="AK982" i="1"/>
  <c r="AI983" i="1"/>
  <c r="AK983" i="1"/>
  <c r="AI984" i="1"/>
  <c r="AK984" i="1"/>
  <c r="AI985" i="1"/>
  <c r="AK985" i="1"/>
  <c r="AI986" i="1"/>
  <c r="AK986" i="1"/>
  <c r="AI987" i="1"/>
  <c r="AK987" i="1"/>
  <c r="AI988" i="1"/>
  <c r="AK988" i="1"/>
  <c r="AI989" i="1"/>
  <c r="AK989" i="1"/>
  <c r="AI990" i="1"/>
  <c r="AK990" i="1"/>
  <c r="AI991" i="1"/>
  <c r="AK991" i="1"/>
  <c r="AI992" i="1"/>
  <c r="AK992" i="1"/>
  <c r="AI993" i="1"/>
  <c r="AK993" i="1"/>
  <c r="AI994" i="1"/>
  <c r="AK994" i="1"/>
  <c r="AI995" i="1"/>
  <c r="AK995" i="1"/>
  <c r="AI996" i="1"/>
  <c r="AK996" i="1"/>
  <c r="AI997" i="1"/>
  <c r="AK997" i="1"/>
  <c r="AI998" i="1"/>
  <c r="AK998" i="1"/>
  <c r="AI999" i="1"/>
  <c r="AK999" i="1"/>
  <c r="AI1000" i="1"/>
  <c r="AK1000" i="1"/>
  <c r="AI1001" i="1"/>
  <c r="AK1001" i="1"/>
  <c r="AI1002" i="1"/>
  <c r="AK1002" i="1"/>
  <c r="AI1003" i="1"/>
  <c r="AK1003" i="1"/>
  <c r="AI1004" i="1"/>
  <c r="AK1004" i="1"/>
  <c r="AI1005" i="1"/>
  <c r="AK1005" i="1"/>
  <c r="AI1006" i="1"/>
  <c r="AK1006" i="1"/>
  <c r="AI1007" i="1"/>
  <c r="AK1007" i="1"/>
  <c r="AI1008" i="1"/>
  <c r="AK1008" i="1"/>
  <c r="AI1009" i="1"/>
  <c r="AK1009" i="1"/>
  <c r="AI1010" i="1"/>
  <c r="AK1010" i="1"/>
  <c r="AI1011" i="1"/>
  <c r="AK1011" i="1"/>
  <c r="AI1012" i="1"/>
  <c r="AK1012" i="1"/>
  <c r="AI1013" i="1"/>
  <c r="AK1013" i="1"/>
  <c r="AI1014" i="1"/>
  <c r="AK1014" i="1"/>
  <c r="AI1015" i="1"/>
  <c r="AK1015" i="1"/>
  <c r="AI1016" i="1"/>
  <c r="AK1016" i="1"/>
  <c r="AI1017" i="1"/>
  <c r="AK1017" i="1"/>
  <c r="AI1018" i="1"/>
  <c r="AK1018" i="1"/>
  <c r="AI1019" i="1"/>
  <c r="AK1019" i="1"/>
  <c r="AI1020" i="1"/>
  <c r="AK1020" i="1"/>
  <c r="AI1021" i="1"/>
  <c r="AK1021" i="1"/>
  <c r="AI1022" i="1"/>
  <c r="AK1022" i="1"/>
  <c r="AI1023" i="1"/>
  <c r="AK1023" i="1"/>
  <c r="AI1024" i="1"/>
  <c r="AK1024" i="1"/>
  <c r="AI1025" i="1"/>
  <c r="AK1025" i="1"/>
  <c r="AI1026" i="1"/>
  <c r="AK1026" i="1"/>
  <c r="AI1027" i="1"/>
  <c r="AK1027" i="1"/>
  <c r="AI1028" i="1"/>
  <c r="AK1028" i="1"/>
  <c r="AI1029" i="1"/>
  <c r="AK1029" i="1"/>
  <c r="AI1030" i="1"/>
  <c r="AK1030" i="1"/>
  <c r="AI1031" i="1"/>
  <c r="AK1031" i="1"/>
  <c r="AI1032" i="1"/>
  <c r="AK1032" i="1"/>
  <c r="AI1033" i="1"/>
  <c r="AK1033" i="1"/>
  <c r="AI1034" i="1"/>
  <c r="AK1034" i="1"/>
  <c r="AI1035" i="1"/>
  <c r="AK1035" i="1"/>
  <c r="AI1036" i="1"/>
  <c r="AK1036" i="1"/>
  <c r="AI1037" i="1"/>
  <c r="AK1037" i="1"/>
  <c r="AI1038" i="1"/>
  <c r="AK1038" i="1"/>
  <c r="AI1039" i="1"/>
  <c r="AK1039" i="1"/>
  <c r="AI1040" i="1"/>
  <c r="AK1040" i="1"/>
  <c r="AI1041" i="1"/>
  <c r="AK1041" i="1"/>
  <c r="AI1042" i="1"/>
  <c r="AK1042" i="1"/>
  <c r="AI1043" i="1"/>
  <c r="AK1043" i="1"/>
  <c r="AI1044" i="1"/>
  <c r="AK1044" i="1"/>
  <c r="AI1045" i="1"/>
  <c r="AK1045" i="1"/>
  <c r="AI1046" i="1"/>
  <c r="AK1046" i="1"/>
  <c r="AI1047" i="1"/>
  <c r="AK1047" i="1"/>
  <c r="AI1048" i="1"/>
  <c r="AK1048" i="1"/>
  <c r="AI1049" i="1"/>
  <c r="AK1049" i="1"/>
  <c r="AI1050" i="1"/>
  <c r="AK1050" i="1"/>
  <c r="AI1051" i="1"/>
  <c r="AK1051" i="1"/>
  <c r="AI1052" i="1"/>
  <c r="AK1052" i="1"/>
  <c r="AI1053" i="1"/>
  <c r="AK1053" i="1"/>
  <c r="AI1054" i="1"/>
  <c r="AK1054" i="1"/>
  <c r="AI1055" i="1"/>
  <c r="AK1055" i="1"/>
  <c r="AI1056" i="1"/>
  <c r="AK1056" i="1"/>
  <c r="AI1057" i="1"/>
  <c r="AK1057" i="1"/>
  <c r="AI1058" i="1"/>
  <c r="AK1058" i="1"/>
  <c r="AI1059" i="1"/>
  <c r="AK1059" i="1"/>
  <c r="AI1060" i="1"/>
  <c r="AK1060" i="1"/>
  <c r="AI1061" i="1"/>
  <c r="AK1061" i="1"/>
  <c r="AI1062" i="1"/>
  <c r="AK1062" i="1"/>
  <c r="AI1063" i="1"/>
  <c r="AK1063" i="1"/>
  <c r="AI1064" i="1"/>
  <c r="AK1064" i="1"/>
  <c r="AI1065" i="1"/>
  <c r="AK1065" i="1"/>
  <c r="AI1066" i="1"/>
  <c r="AK1066" i="1"/>
  <c r="AI1067" i="1"/>
  <c r="AK1067" i="1"/>
  <c r="AI1068" i="1"/>
  <c r="AK1068" i="1"/>
  <c r="AI1069" i="1"/>
  <c r="AK1069" i="1"/>
  <c r="AI1070" i="1"/>
  <c r="AK1070" i="1"/>
  <c r="AI1071" i="1"/>
  <c r="AK1071" i="1"/>
  <c r="AI1072" i="1"/>
  <c r="AK1072" i="1"/>
  <c r="AI1073" i="1"/>
  <c r="AK1073" i="1"/>
  <c r="AI1074" i="1"/>
  <c r="AK1074" i="1"/>
  <c r="AI1075" i="1"/>
  <c r="AK1075" i="1"/>
  <c r="AI1076" i="1"/>
  <c r="AK1076" i="1"/>
  <c r="AI1077" i="1"/>
  <c r="AK1077" i="1"/>
  <c r="AI1078" i="1"/>
  <c r="AK1078" i="1"/>
  <c r="AI1079" i="1"/>
  <c r="AK1079" i="1"/>
  <c r="AI1080" i="1"/>
  <c r="AK1080" i="1"/>
  <c r="AI1081" i="1"/>
  <c r="AK1081" i="1"/>
  <c r="AI1082" i="1"/>
  <c r="AK1082" i="1"/>
  <c r="AI1083" i="1"/>
  <c r="AK1083" i="1"/>
  <c r="AI1084" i="1"/>
  <c r="AK1084" i="1"/>
  <c r="AI1085" i="1"/>
  <c r="AK1085" i="1"/>
  <c r="AI1086" i="1"/>
  <c r="AK1086" i="1"/>
  <c r="AI1087" i="1"/>
  <c r="AK1087" i="1"/>
  <c r="AI1088" i="1"/>
  <c r="AK1088" i="1"/>
  <c r="AI1089" i="1"/>
  <c r="AK1089" i="1"/>
  <c r="AI1090" i="1"/>
  <c r="AK1090" i="1"/>
  <c r="AI1091" i="1"/>
  <c r="AK1091" i="1"/>
  <c r="AI1092" i="1"/>
  <c r="AK1092" i="1"/>
  <c r="AI1093" i="1"/>
  <c r="AK1093" i="1"/>
  <c r="AI1094" i="1"/>
  <c r="AK1094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3" i="1"/>
  <c r="AI1" i="1" s="1"/>
  <c r="AK3" i="1"/>
  <c r="AK1" i="1" s="1"/>
  <c r="AC1" i="1"/>
  <c r="AA1" i="1"/>
  <c r="AK1" i="4" l="1"/>
  <c r="AI1" i="4"/>
</calcChain>
</file>

<file path=xl/sharedStrings.xml><?xml version="1.0" encoding="utf-8"?>
<sst xmlns="http://schemas.openxmlformats.org/spreadsheetml/2006/main" count="65341" uniqueCount="5335">
  <si>
    <t>PO</t>
  </si>
  <si>
    <t>Vendor</t>
  </si>
  <si>
    <t>Ship to location</t>
  </si>
  <si>
    <t>ASIN</t>
  </si>
  <si>
    <t>External Id</t>
  </si>
  <si>
    <t>External Id Type</t>
  </si>
  <si>
    <t>Model Number</t>
  </si>
  <si>
    <t>Title</t>
  </si>
  <si>
    <t>Availability</t>
  </si>
  <si>
    <t>Window Type</t>
  </si>
  <si>
    <t>Window start</t>
  </si>
  <si>
    <t>Window end</t>
  </si>
  <si>
    <t>Quantity Requested</t>
  </si>
  <si>
    <t>Expected Quantity</t>
  </si>
  <si>
    <t>Unit Cost</t>
  </si>
  <si>
    <t/>
  </si>
  <si>
    <t>1YRRQHWT</t>
  </si>
  <si>
    <t>EPLYO</t>
  </si>
  <si>
    <t>ITHC - SI RACHA, Bangkok</t>
  </si>
  <si>
    <t>B07F16TKYX</t>
  </si>
  <si>
    <t>191770811108</t>
  </si>
  <si>
    <t>UPC</t>
  </si>
  <si>
    <t>Amazon Essentials Men's Slim-Fit 5" Lightweight Comfort Stretch Oxford Cotton Shorts, Dark Green, 32</t>
  </si>
  <si>
    <t>Accepted: In stock</t>
  </si>
  <si>
    <t>Ship window (Collect)</t>
  </si>
  <si>
    <t>10/06/2026</t>
  </si>
  <si>
    <t>10/13/2026</t>
  </si>
  <si>
    <t>USD</t>
  </si>
  <si>
    <t>B07F16LJGW</t>
  </si>
  <si>
    <t>191770810651</t>
  </si>
  <si>
    <t>Amazon Essentials Men's Slim-Fit 5" Lightweight Comfort Stretch Oxford Cotton Shorts, Washed Black, 31</t>
  </si>
  <si>
    <t>B07F16LJGF</t>
  </si>
  <si>
    <t>191770810705</t>
  </si>
  <si>
    <t>Amazon Essentials Men's Slim-Fit 5" Lightweight Comfort Stretch Oxford Cotton Shorts, Washed Black, 38</t>
  </si>
  <si>
    <t>B07F1521RT</t>
  </si>
  <si>
    <t>191770810682</t>
  </si>
  <si>
    <t>Amazon Essentials Men's Slim-Fit 5" Lightweight Comfort Stretch Oxford Cotton Shorts, Washed Black, 34</t>
  </si>
  <si>
    <t>B07F14V6Y4</t>
  </si>
  <si>
    <t>191770810675</t>
  </si>
  <si>
    <t>Amazon Essentials Men's Slim-Fit 5" Lightweight Comfort Stretch Oxford Cotton Shorts, Washed Black, 33</t>
  </si>
  <si>
    <t>B07DZX4WKH</t>
  </si>
  <si>
    <t>191770811085</t>
  </si>
  <si>
    <t>Amazon Essentials Men's Slim-Fit 5" Lightweight Comfort Stretch Oxford Cotton Shorts, Dark Green, 30</t>
  </si>
  <si>
    <t>B07DZX4THH</t>
  </si>
  <si>
    <t>191770811474</t>
  </si>
  <si>
    <t>Amazon Essentials Men's Slim-Fit 5" Lightweight Comfort Stretch Oxford Cotton Shorts, Khaki Brown, 38</t>
  </si>
  <si>
    <t>B07DZX22K1</t>
  </si>
  <si>
    <t>191770812082</t>
  </si>
  <si>
    <t>Amazon Essentials Men's Slim-Fit 5" Lightweight Comfort Stretch Oxford Cotton Shorts, Navy, 31</t>
  </si>
  <si>
    <t>B07DZWVT1C</t>
  </si>
  <si>
    <t>191770811443</t>
  </si>
  <si>
    <t>Amazon Essentials Men's Slim-Fit 5" Lightweight Comfort Stretch Oxford Cotton Shorts, Khaki Brown, 33</t>
  </si>
  <si>
    <t>B07DZWVSYL</t>
  </si>
  <si>
    <t>191770812112</t>
  </si>
  <si>
    <t>Amazon Essentials Men's Slim-Fit 5" Lightweight Comfort Stretch Oxford Cotton Shorts, Navy, 34</t>
  </si>
  <si>
    <t>B07DZWVSVM</t>
  </si>
  <si>
    <t>191770811436</t>
  </si>
  <si>
    <t>Amazon Essentials Men's Slim-Fit 5" Lightweight Comfort Stretch Oxford Cotton Shorts, Khaki Brown, 32</t>
  </si>
  <si>
    <t>B07DZVVBSK</t>
  </si>
  <si>
    <t>191770810668</t>
  </si>
  <si>
    <t>Amazon Essentials Men's Slim-Fit 5" Lightweight Comfort Stretch Oxford Cotton Shorts, Washed Black, 32</t>
  </si>
  <si>
    <t>B07DZVT1SV</t>
  </si>
  <si>
    <t>191770812051</t>
  </si>
  <si>
    <t>Amazon Essentials Men's Slim-Fit 5" Lightweight Comfort Stretch Oxford Cotton Shorts, Navy, 28</t>
  </si>
  <si>
    <t>B07DZVSYSG</t>
  </si>
  <si>
    <t>191770811092</t>
  </si>
  <si>
    <t>Amazon Essentials Men's Slim-Fit 5" Lightweight Comfort Stretch Oxford Cotton Shorts, Dark Green, 31</t>
  </si>
  <si>
    <t>B07DZVSYR9</t>
  </si>
  <si>
    <t>191770811122</t>
  </si>
  <si>
    <t>Amazon Essentials Men's Slim-Fit 5" Lightweight Comfort Stretch Oxford Cotton Shorts, Deep Depth/Olive, 34</t>
  </si>
  <si>
    <t>B07DZVDKPJ</t>
  </si>
  <si>
    <t>191770810699</t>
  </si>
  <si>
    <t>Amazon Essentials Men's Slim-Fit 5" Lightweight Comfort Stretch Oxford Cotton Shorts, Washed Black, 36</t>
  </si>
  <si>
    <t>7MGVQVWC</t>
  </si>
  <si>
    <t>EPLYY</t>
  </si>
  <si>
    <t>B0FM7NB89K</t>
  </si>
  <si>
    <t>195515128995</t>
  </si>
  <si>
    <t>ABMN87281M25-Black_xxxlargelong</t>
  </si>
  <si>
    <t>Amazon Basics Men's Relaxed Fit Long Sleeve Workwear Coveralls, Black, XXX Large - Long</t>
  </si>
  <si>
    <t>B0FM7LD8YW</t>
  </si>
  <si>
    <t>195515129459</t>
  </si>
  <si>
    <t>ABMN38003M25-Black_xlargelong</t>
  </si>
  <si>
    <t>Amazon Basics Men's Relaxed Fit Short Sleeve Workwear Coveralls, Black, X- Large- Long</t>
  </si>
  <si>
    <t>B0FM7L7PH7</t>
  </si>
  <si>
    <t>195515129770</t>
  </si>
  <si>
    <t>ABMN38003M25-Navy_largeregular</t>
  </si>
  <si>
    <t>Amazon Basics Men's Relaxed Fit Short Sleeve Workwear Coveralls, Navy, Large- Regular</t>
  </si>
  <si>
    <t>B0FM7L7PH6</t>
  </si>
  <si>
    <t>195515130929</t>
  </si>
  <si>
    <t>ABMN38003M25-White_smallregular</t>
  </si>
  <si>
    <t>Amazon Basics Men's Relaxed Fit Short Sleeve Workwear Coveralls, White, Small- Regular</t>
  </si>
  <si>
    <t>B0FM7KZWDG</t>
  </si>
  <si>
    <t>195515129411</t>
  </si>
  <si>
    <t>ABMN87281M25-Charcoal_largelong</t>
  </si>
  <si>
    <t>Amazon Basics Men's Relaxed Fit Long Sleeve Workwear Coveralls, Charcoal, Large - Long</t>
  </si>
  <si>
    <t>B0FM7KY8KS</t>
  </si>
  <si>
    <t>195515129442</t>
  </si>
  <si>
    <t>ABMN38003M25-Black_xxxlargeshort</t>
  </si>
  <si>
    <t>Amazon Basics Men's Relaxed Fit Short Sleeve Workwear Coveralls, Black, XXX-Large- Short</t>
  </si>
  <si>
    <t>B0FM7KXDLT</t>
  </si>
  <si>
    <t>195515129091</t>
  </si>
  <si>
    <t>ABMN87281M25-Navy_xlargelong</t>
  </si>
  <si>
    <t>Amazon Basics Men's Relaxed Fit Long Sleeve Workwear Coveralls, Navy, X Large - Long</t>
  </si>
  <si>
    <t>B0FM7KXDLS</t>
  </si>
  <si>
    <t>195515128056</t>
  </si>
  <si>
    <t>ABMN69404M25-Black_36wx32l</t>
  </si>
  <si>
    <t>Amazon Basics Men's Relaxed Fit Duck Utility Workwear Pants, Black, 36W x 32L</t>
  </si>
  <si>
    <t>B0FM7J3LSN</t>
  </si>
  <si>
    <t>195515131605</t>
  </si>
  <si>
    <t>ABMN69404M25-Dark Chestnut Brown_34wx32l</t>
  </si>
  <si>
    <t>Amazon Basics Men's Relaxed Fit Duck Utility Workwear Pants, Dark Chestnut Brown, 34W x 32L</t>
  </si>
  <si>
    <t>B0FM7J2JPB</t>
  </si>
  <si>
    <t>195515129404</t>
  </si>
  <si>
    <t>ABMN87281M25-Charcoal_smallregular</t>
  </si>
  <si>
    <t>Amazon Basics Men's Relaxed Fit Long Sleeve Workwear Coveralls, Charcoal, Small - Regular</t>
  </si>
  <si>
    <t>B0FM7J2FMR</t>
  </si>
  <si>
    <t>195515129671</t>
  </si>
  <si>
    <t>ABMN38003M25-Light Brown_largelong</t>
  </si>
  <si>
    <t>Amazon Basics Men's Relaxed Fit Short Sleeve Workwear Coveralls, Light Brown, Large- Long</t>
  </si>
  <si>
    <t>B0FM7HW7SH</t>
  </si>
  <si>
    <t>195515131575</t>
  </si>
  <si>
    <t>ABMN69404M25-Dark Chestnut Brown_38wx32l</t>
  </si>
  <si>
    <t>Amazon Basics Men's Relaxed Fit Duck Utility Workwear Pants, Dark Chestnut Brown, 38W x 32L</t>
  </si>
  <si>
    <t>B0FM7HQL4H</t>
  </si>
  <si>
    <t>195515129084</t>
  </si>
  <si>
    <t>ABMN87281M25-Navy_xxlargelong</t>
  </si>
  <si>
    <t>Amazon Basics Men's Relaxed Fit Long Sleeve Workwear Coveralls, Navy, XX Large - Long</t>
  </si>
  <si>
    <t>B0FM7HMJ1Y</t>
  </si>
  <si>
    <t>195515128124</t>
  </si>
  <si>
    <t>ABMN69404M25-Black_42wx30l</t>
  </si>
  <si>
    <t>Amazon Basics Men's Relaxed Fit Duck Utility Workwear Pants, Black, 42W x 30L</t>
  </si>
  <si>
    <t>B0FM7HBYL4</t>
  </si>
  <si>
    <t>195515130806</t>
  </si>
  <si>
    <t>ABMN38003M25-White_mediumshort</t>
  </si>
  <si>
    <t>Amazon Basics Men's Relaxed Fit Short Sleeve Workwear Coveralls, White, Medium- Short</t>
  </si>
  <si>
    <t>B0FM7HBK9L</t>
  </si>
  <si>
    <t>195515129572</t>
  </si>
  <si>
    <t>ABMN38003M25-Black_largeshort</t>
  </si>
  <si>
    <t>Amazon Basics Men's Relaxed Fit Short Sleeve Workwear Coveralls, Black, Large- Short</t>
  </si>
  <si>
    <t>B0FM7HB7JD</t>
  </si>
  <si>
    <t>195515130950</t>
  </si>
  <si>
    <t>ABMN38003M25-Charcoal_mediumshort</t>
  </si>
  <si>
    <t>Amazon Basics Men's Relaxed Fit Short Sleeve Workwear Coveralls, Charcoal, Medium- Short</t>
  </si>
  <si>
    <t>B0FM7FZ9K3</t>
  </si>
  <si>
    <t>195515131056</t>
  </si>
  <si>
    <t>ABMN38003M25-Charcoal_xlargeregular</t>
  </si>
  <si>
    <t>Amazon Basics Men's Relaxed Fit Short Sleeve Workwear Coveralls, Charcoal, X- Large- Regular</t>
  </si>
  <si>
    <t>B0FM7FPD5C</t>
  </si>
  <si>
    <t>195515129787</t>
  </si>
  <si>
    <t>ABMN38003M25-Navy_mediumshort</t>
  </si>
  <si>
    <t>Amazon Basics Men's Relaxed Fit Short Sleeve Workwear Coveralls, Navy, Medium- Short</t>
  </si>
  <si>
    <t>B0FM7FMQDC</t>
  </si>
  <si>
    <t>195515129503</t>
  </si>
  <si>
    <t>ABMN38003M25-Black_xxxlargeregular</t>
  </si>
  <si>
    <t>Amazon Basics Men's Relaxed Fit Short Sleeve Workwear Coveralls, Black, XXX- Large- Regular</t>
  </si>
  <si>
    <t>B0FM7FGRKL</t>
  </si>
  <si>
    <t>195515127974</t>
  </si>
  <si>
    <t>ABMN69404M25-Chocolate_38wx34l</t>
  </si>
  <si>
    <t>Amazon Basics Men's Relaxed Fit Duck Utility Workwear Pants, Chocolate, 38W x 34L</t>
  </si>
  <si>
    <t>B0FM7F9GND</t>
  </si>
  <si>
    <t>195515129916</t>
  </si>
  <si>
    <t>ABMN38003M25-Navy_smallregular</t>
  </si>
  <si>
    <t>Amazon Basics Men's Relaxed Fit Short Sleeve Workwear Coveralls, Navy, Small- Regular</t>
  </si>
  <si>
    <t>B0FM7F6NFV</t>
  </si>
  <si>
    <t>195515131629</t>
  </si>
  <si>
    <t>ABMN69404M25-Dark Chestnut Brown_38wx30l</t>
  </si>
  <si>
    <t>Amazon Basics Men's Relaxed Fit Duck Utility Workwear Pants, Dark Chestnut Brown, 38W x 30L</t>
  </si>
  <si>
    <t>B0FM7F6149</t>
  </si>
  <si>
    <t>195515130912</t>
  </si>
  <si>
    <t>ABMN38003M25-White_mediumlong</t>
  </si>
  <si>
    <t>Amazon Basics Men's Relaxed Fit Short Sleeve Workwear Coveralls, White, Medium- Long</t>
  </si>
  <si>
    <t>B0FM7F4XY9</t>
  </si>
  <si>
    <t>195515129343</t>
  </si>
  <si>
    <t>ABMN87281M25-Charcoal_largeshort</t>
  </si>
  <si>
    <t>Amazon Basics Men's Relaxed Fit Long Sleeve Workwear Coveralls, Charcoal, Large - Short</t>
  </si>
  <si>
    <t>B0FM7F11ZB</t>
  </si>
  <si>
    <t>195515129695</t>
  </si>
  <si>
    <t>ABMN38003M25-Light Brown_mediumregular</t>
  </si>
  <si>
    <t>Amazon Basics Men's Relaxed Fit Short Sleeve Workwear Coveralls, Light Brown, Medium- Regular</t>
  </si>
  <si>
    <t>B0FM7DXNDQ</t>
  </si>
  <si>
    <t>195515129299</t>
  </si>
  <si>
    <t>ABMN87281M25-Charcoal_xxxlargeshort</t>
  </si>
  <si>
    <t>Amazon Basics Men's Relaxed Fit Long Sleeve Workwear Coveralls, Charcoal, XXX Large - Short</t>
  </si>
  <si>
    <t>B0FM7C2HPT</t>
  </si>
  <si>
    <t>195515130974</t>
  </si>
  <si>
    <t>ABMN38003M25-Charcoal_xxxlargeshort</t>
  </si>
  <si>
    <t>Amazon Basics Men's Relaxed Fit Short Sleeve Workwear Coveralls, Charcoal, XXX-Large- Short</t>
  </si>
  <si>
    <t>B0FM7C2B7M</t>
  </si>
  <si>
    <t>195515131513</t>
  </si>
  <si>
    <t>ABMN69404M25-Dark Chestnut Brown_30wx30l</t>
  </si>
  <si>
    <t>Amazon Basics Men's Relaxed Fit Duck Utility Workwear Pants, Dark Chestnut Brown, 30W x 30L</t>
  </si>
  <si>
    <t>B0FM7C1X6F</t>
  </si>
  <si>
    <t>195515129831</t>
  </si>
  <si>
    <t>ABMN38003M25-Navy_xxlargeregular</t>
  </si>
  <si>
    <t>Amazon Basics Men's Relaxed Fit Short Sleeve Workwear Coveralls, Navy, XX- Large- Regular</t>
  </si>
  <si>
    <t>B0FM7C1W56</t>
  </si>
  <si>
    <t>195515131766</t>
  </si>
  <si>
    <t>ABMN69404M25-Chocolate_34wx34l</t>
  </si>
  <si>
    <t>Amazon Basics Men's Relaxed Fit Duck Utility Workwear Pants, Chocolate, 34W x 34L</t>
  </si>
  <si>
    <t>B0FM7C1PYH</t>
  </si>
  <si>
    <t>195515129282</t>
  </si>
  <si>
    <t>ABMN87281M25-Charcoal_xlargelong</t>
  </si>
  <si>
    <t>Amazon Basics Men's Relaxed Fit Long Sleeve Workwear Coveralls, Charcoal, X Large - Long</t>
  </si>
  <si>
    <t>B0FM7BZTC1</t>
  </si>
  <si>
    <t>195515131636</t>
  </si>
  <si>
    <t>ABMN69404M25-Dark Chestnut Brown_30wx32l</t>
  </si>
  <si>
    <t>Amazon Basics Men's Relaxed Fit Duck Utility Workwear Pants, Dark Chestnut Brown, 30W x 32L</t>
  </si>
  <si>
    <t>B0FM7BZRG8</t>
  </si>
  <si>
    <t>195515129541</t>
  </si>
  <si>
    <t>ABMN87281M25-Charcoal_largeregular</t>
  </si>
  <si>
    <t>Amazon Basics Men's Relaxed Fit Long Sleeve Workwear Coveralls, Charcoal, Large - Regular</t>
  </si>
  <si>
    <t>B0FM7BSW65</t>
  </si>
  <si>
    <t>195515131681</t>
  </si>
  <si>
    <t>ABMN69404M25-Dark Chestnut Brown_36wx30l</t>
  </si>
  <si>
    <t>Amazon Basics Men's Relaxed Fit Duck Utility Workwear Pants, Dark Chestnut Brown, 36W x 30L</t>
  </si>
  <si>
    <t>B0FM7BRCVB</t>
  </si>
  <si>
    <t>195515129466</t>
  </si>
  <si>
    <t>ABMN38003M25-Black_xxlargelong</t>
  </si>
  <si>
    <t>Amazon Basics Men's Relaxed Fit Short Sleeve Workwear Coveralls, Black, XX- Large- Long</t>
  </si>
  <si>
    <t>B0FM7BJRF2</t>
  </si>
  <si>
    <t>195515129060</t>
  </si>
  <si>
    <t>ABMN87281M25-Navy_mediumshort</t>
  </si>
  <si>
    <t>Amazon Basics Men's Relaxed Fit Long Sleeve Workwear Coveralls, Navy, Medium - Short</t>
  </si>
  <si>
    <t>B0FM7BDNL9</t>
  </si>
  <si>
    <t>195515129565</t>
  </si>
  <si>
    <t>ABMN38003M25-Black_xxlargeshort</t>
  </si>
  <si>
    <t>Amazon Basics Men's Relaxed Fit Short Sleeve Workwear Coveralls, Black, XX- Large- Short</t>
  </si>
  <si>
    <t>B0FM7BCHMZ</t>
  </si>
  <si>
    <t>195515129145</t>
  </si>
  <si>
    <t>ABMN87281M25-Navy_mediumlong</t>
  </si>
  <si>
    <t>Amazon Basics Men's Relaxed Fit Long Sleeve Workwear Coveralls, Navy, Medium - Long</t>
  </si>
  <si>
    <t>B0FM7BBD4P</t>
  </si>
  <si>
    <t>195515128162</t>
  </si>
  <si>
    <t>ABMN69404M25-Black_36wx34l</t>
  </si>
  <si>
    <t>Amazon Basics Men's Relaxed Fit Duck Utility Workwear Pants, Black, 36W x 34L</t>
  </si>
  <si>
    <t>B0FM7B8DGZ</t>
  </si>
  <si>
    <t>195515129169</t>
  </si>
  <si>
    <t>ABMN87281M25-Navy_xxxlargeregular</t>
  </si>
  <si>
    <t>Amazon Basics Men's Relaxed Fit Long Sleeve Workwear Coveralls, Navy, XXX Large - Regular</t>
  </si>
  <si>
    <t>B0FM7B7NVT</t>
  </si>
  <si>
    <t>195515128117</t>
  </si>
  <si>
    <t>ABMN69404M25-Chocolate_42wx32l</t>
  </si>
  <si>
    <t>Amazon Basics Men's Relaxed Fit Duck Utility Workwear Pants, Chocolate, 42W x 32L</t>
  </si>
  <si>
    <t>B0FM7B7C8P</t>
  </si>
  <si>
    <t>195515131346</t>
  </si>
  <si>
    <t>ABMN69404M25-Light Brown_42wx30l</t>
  </si>
  <si>
    <t>Amazon Basics Men's Relaxed Fit Duck Utility Workwear Pants, Light Brown, 42W x 30L</t>
  </si>
  <si>
    <t>B0FM7B7C81</t>
  </si>
  <si>
    <t>195515128179</t>
  </si>
  <si>
    <t>ABMN69404M25-Black_36wx30l</t>
  </si>
  <si>
    <t>Amazon Basics Men's Relaxed Fit Duck Utility Workwear Pants, Black, 36W x 30L</t>
  </si>
  <si>
    <t>B0FM79YVZ3</t>
  </si>
  <si>
    <t>195515128933</t>
  </si>
  <si>
    <t>ABMN87281M25-Black_xlargelong</t>
  </si>
  <si>
    <t>Amazon Basics Men's Relaxed Fit Long Sleeve Workwear Coveralls, Black, X Large - Long</t>
  </si>
  <si>
    <t>B0FM79YVZ2</t>
  </si>
  <si>
    <t>195515129756</t>
  </si>
  <si>
    <t>ABMN38003M25-Light Brown_xxlargeshort</t>
  </si>
  <si>
    <t>Amazon Basics Men's Relaxed Fit Short Sleeve Workwear Coveralls, Light Brown, XX- Large- Short</t>
  </si>
  <si>
    <t>B0FM79VFGF</t>
  </si>
  <si>
    <t>195515128926</t>
  </si>
  <si>
    <t>ABMN87281M25-Black_xxlargelong</t>
  </si>
  <si>
    <t>Amazon Basics Men's Relaxed Fit Long Sleeve Workwear Coveralls, Black, XX Large - Long</t>
  </si>
  <si>
    <t>B0FM79VFFL</t>
  </si>
  <si>
    <t>195515129176</t>
  </si>
  <si>
    <t>ABMN87281M25-Navy_smallshort</t>
  </si>
  <si>
    <t>Amazon Basics Men's Relaxed Fit Long Sleeve Workwear Coveralls, Navy, Small - Short</t>
  </si>
  <si>
    <t>B0FM79TVZM</t>
  </si>
  <si>
    <t>195515130813</t>
  </si>
  <si>
    <t>ABMN38003M25-White_mediumregular</t>
  </si>
  <si>
    <t>Amazon Basics Men's Relaxed Fit Short Sleeve Workwear Coveralls, White, Medium- Regular</t>
  </si>
  <si>
    <t>B0FM79SRJ1</t>
  </si>
  <si>
    <t>195515128988</t>
  </si>
  <si>
    <t>ABMN87281M25-Black_mediumlong</t>
  </si>
  <si>
    <t>Amazon Basics Men's Relaxed Fit Long Sleeve Workwear Coveralls, Black, Medium - Long</t>
  </si>
  <si>
    <t>B0FM79SRHK</t>
  </si>
  <si>
    <t>195515129398</t>
  </si>
  <si>
    <t>ABMN87281M25-Charcoal_mediumregular</t>
  </si>
  <si>
    <t>Amazon Basics Men's Relaxed Fit Long Sleeve Workwear Coveralls, Charcoal, Medium - Regular</t>
  </si>
  <si>
    <t>B0FM79P37G</t>
  </si>
  <si>
    <t>195515131490</t>
  </si>
  <si>
    <t>ABMN69404M25-Light Brown_36wx30l</t>
  </si>
  <si>
    <t>Amazon Basics Men's Relaxed Fit Duck Utility Workwear Pants, Light Brown, 36W x 30L</t>
  </si>
  <si>
    <t>B0FM79D5W2</t>
  </si>
  <si>
    <t>195515131483</t>
  </si>
  <si>
    <t>ABMN69404M25-Light Brown_34wx30l</t>
  </si>
  <si>
    <t>Amazon Basics Men's Relaxed Fit Duck Utility Workwear Pants, Light Brown, 34W x 30L</t>
  </si>
  <si>
    <t>B0FM797KBV</t>
  </si>
  <si>
    <t>195515129732</t>
  </si>
  <si>
    <t>ABMN38003M25-Light Brown_xlargeshort</t>
  </si>
  <si>
    <t>Amazon Basics Men's Relaxed Fit Short Sleeve Workwear Coveralls, Light Brown, X- Large- Short</t>
  </si>
  <si>
    <t>B0FM7968F6</t>
  </si>
  <si>
    <t>195515129534</t>
  </si>
  <si>
    <t>ABMN38003M25-Black_mediumlong</t>
  </si>
  <si>
    <t>Amazon Basics Men's Relaxed Fit Short Sleeve Workwear Coveralls, Black, Medium- Long</t>
  </si>
  <si>
    <t>B0FM78352B</t>
  </si>
  <si>
    <t>195515129268</t>
  </si>
  <si>
    <t>ABMN87281M25-Navy_xxxlargelong</t>
  </si>
  <si>
    <t>Amazon Basics Men's Relaxed Fit Long Sleeve Workwear Coveralls, Navy, XXX Large - Long</t>
  </si>
  <si>
    <t>B0FM78351B</t>
  </si>
  <si>
    <t>195515128049</t>
  </si>
  <si>
    <t>ABMN69404M25-Black_32wx32l</t>
  </si>
  <si>
    <t>Amazon Basics Men's Relaxed Fit Duck Utility Workwear Pants, Black, 32W x 32L</t>
  </si>
  <si>
    <t>B0FM781GTS</t>
  </si>
  <si>
    <t>195515131100</t>
  </si>
  <si>
    <t>ABMN38003M25-Charcoal_largeshort</t>
  </si>
  <si>
    <t>Amazon Basics Men's Relaxed Fit Short Sleeve Workwear Coveralls, Charcoal, Large- Short</t>
  </si>
  <si>
    <t>B0FM77X8HJ</t>
  </si>
  <si>
    <t>195515129701</t>
  </si>
  <si>
    <t>ABMN38003M25-Light Brown_xxxlargelong</t>
  </si>
  <si>
    <t>Amazon Basics Men's Relaxed Fit Short Sleeve Workwear Coveralls, Light Brown, XXX-Large- Long</t>
  </si>
  <si>
    <t>B0FM77WXZW</t>
  </si>
  <si>
    <t>195515129800</t>
  </si>
  <si>
    <t>ABMN38003M25-Navy_smallshort</t>
  </si>
  <si>
    <t>Amazon Basics Men's Relaxed Fit Short Sleeve Workwear Coveralls, Navy, Small- Short</t>
  </si>
  <si>
    <t>B0FM77TMZN</t>
  </si>
  <si>
    <t>195515129794</t>
  </si>
  <si>
    <t>ABMN38003M25-Navy_xxxlargeshort</t>
  </si>
  <si>
    <t>Amazon Basics Men's Relaxed Fit Short Sleeve Workwear Coveralls, Navy, XXX-Large- Short</t>
  </si>
  <si>
    <t>B0FM77SP5L</t>
  </si>
  <si>
    <t>195515130844</t>
  </si>
  <si>
    <t>ABMN38003M25-White_xxlargelong</t>
  </si>
  <si>
    <t>Amazon Basics Men's Relaxed Fit Short Sleeve Workwear Coveralls, White, XX- Large- Long</t>
  </si>
  <si>
    <t>B0FM77QPLT</t>
  </si>
  <si>
    <t>195515131599</t>
  </si>
  <si>
    <t>ABMN69404M25-Dark Chestnut Brown_40wx32l</t>
  </si>
  <si>
    <t>Amazon Basics Men's Relaxed Fit Duck Utility Workwear Pants, Dark Chestnut Brown, 40W x 32L</t>
  </si>
  <si>
    <t>B0FM77QPL5</t>
  </si>
  <si>
    <t>195515129381</t>
  </si>
  <si>
    <t>ABMN87281M25-Charcoal_xxlargeshort</t>
  </si>
  <si>
    <t>Amazon Basics Men's Relaxed Fit Long Sleeve Workwear Coveralls, Charcoal, XX Large - Short</t>
  </si>
  <si>
    <t>B0FM77M35V</t>
  </si>
  <si>
    <t>195515129749</t>
  </si>
  <si>
    <t>ABMN38003M25-Light Brown_mediumlong</t>
  </si>
  <si>
    <t>Amazon Basics Men's Relaxed Fit Short Sleeve Workwear Coveralls, Light Brown, Medium- Long</t>
  </si>
  <si>
    <t>B0FM77KLRJ</t>
  </si>
  <si>
    <t>195515129220</t>
  </si>
  <si>
    <t>ABMN87281M25-Navy_smallregular</t>
  </si>
  <si>
    <t>Amazon Basics Men's Relaxed Fit Long Sleeve Workwear Coveralls, Navy, Small - Regular</t>
  </si>
  <si>
    <t>B0FM77FLZZ</t>
  </si>
  <si>
    <t>195515130776</t>
  </si>
  <si>
    <t>ABMN38003M25-Navy_xxlargeshort</t>
  </si>
  <si>
    <t>Amazon Basics Men's Relaxed Fit Short Sleeve Workwear Coveralls, Navy, XX- Large- Short</t>
  </si>
  <si>
    <t>B0FM77CFSS</t>
  </si>
  <si>
    <t>195515129053</t>
  </si>
  <si>
    <t>ABMN87281M25-Black_largelong</t>
  </si>
  <si>
    <t>Amazon Basics Men's Relaxed Fit Long Sleeve Workwear Coveralls, Black, Large - Long</t>
  </si>
  <si>
    <t>B0FM779F7C</t>
  </si>
  <si>
    <t>195515129121</t>
  </si>
  <si>
    <t>ABMN87281M25-Black_mediumregular</t>
  </si>
  <si>
    <t>Amazon Basics Men's Relaxed Fit Long Sleeve Workwear Coveralls, Black, Medium - Regular</t>
  </si>
  <si>
    <t>B0FM7792M5</t>
  </si>
  <si>
    <t>195515130837</t>
  </si>
  <si>
    <t>ABMN38003M25-White_xlargelong</t>
  </si>
  <si>
    <t>Amazon Basics Men's Relaxed Fit Short Sleeve Workwear Coveralls, White, X- Large- Long</t>
  </si>
  <si>
    <t>B0FM7769JH</t>
  </si>
  <si>
    <t>195515131759</t>
  </si>
  <si>
    <t>ABMN69404M25-Chocolate_42wx30l</t>
  </si>
  <si>
    <t>Amazon Basics Men's Relaxed Fit Duck Utility Workwear Pants, Chocolate, 42W x 30L</t>
  </si>
  <si>
    <t>B0FM7743HH</t>
  </si>
  <si>
    <t>195515131667</t>
  </si>
  <si>
    <t>ABMN69404M25-Dark Chestnut Brown_42wx32l</t>
  </si>
  <si>
    <t>Amazon Basics Men's Relaxed Fit Duck Utility Workwear Pants, Dark Chestnut Brown, 42W x 32L</t>
  </si>
  <si>
    <t>B0FM7743GP</t>
  </si>
  <si>
    <t>195515131537</t>
  </si>
  <si>
    <t>ABMN69404M25-Dark Chestnut Brown_32wx32l</t>
  </si>
  <si>
    <t>Amazon Basics Men's Relaxed Fit Duck Utility Workwear Pants, Dark Chestnut Brown, 32W x 32L</t>
  </si>
  <si>
    <t>B0FM76XTNK</t>
  </si>
  <si>
    <t>195515131735</t>
  </si>
  <si>
    <t>ABMN69404M25-Light Brown_40wx32l</t>
  </si>
  <si>
    <t>Amazon Basics Men's Relaxed Fit Duck Utility Workwear Pants, Light Brown, 40W x 32L</t>
  </si>
  <si>
    <t>B0FM76S6KY</t>
  </si>
  <si>
    <t>195515128193</t>
  </si>
  <si>
    <t>ABMN69404M25-Black_38wx30l</t>
  </si>
  <si>
    <t>Amazon Basics Men's Relaxed Fit Duck Utility Workwear Pants, Black, 38W x 30L</t>
  </si>
  <si>
    <t>B0FM76RLHP</t>
  </si>
  <si>
    <t>195515130851</t>
  </si>
  <si>
    <t>ABMN38003M25-White_largelong</t>
  </si>
  <si>
    <t>Amazon Basics Men's Relaxed Fit Short Sleeve Workwear Coveralls, White, Large- Long</t>
  </si>
  <si>
    <t>B0FM76QKH8</t>
  </si>
  <si>
    <t>195515128896</t>
  </si>
  <si>
    <t>ABMN87281M25-Black_xlargeshort</t>
  </si>
  <si>
    <t>Amazon Basics Men's Relaxed Fit Long Sleeve Workwear Coveralls, Black, X Large - Short</t>
  </si>
  <si>
    <t>B0FM76L9RW</t>
  </si>
  <si>
    <t>195515129039</t>
  </si>
  <si>
    <t>ABMN87281M25-Black_smallregular</t>
  </si>
  <si>
    <t>Amazon Basics Men's Relaxed Fit Long Sleeve Workwear Coveralls, Black, Small - Regular</t>
  </si>
  <si>
    <t>B0FM76KCLR</t>
  </si>
  <si>
    <t>195515129640</t>
  </si>
  <si>
    <t>ABMN38003M25-Light Brown_xxlargelong</t>
  </si>
  <si>
    <t>Amazon Basics Men's Relaxed Fit Short Sleeve Workwear Coveralls, Light Brown, XX- Large- Long</t>
  </si>
  <si>
    <t>B0FM75BW7H</t>
  </si>
  <si>
    <t>195515129046</t>
  </si>
  <si>
    <t>ABMN87281M25-Black_xxlargeregular</t>
  </si>
  <si>
    <t>Amazon Basics Men's Relaxed Fit Long Sleeve Workwear Coveralls, Black, XX Large - Regular</t>
  </si>
  <si>
    <t>B0FM75B2Y1</t>
  </si>
  <si>
    <t>195515127967</t>
  </si>
  <si>
    <t>ABMN69404M25-Chocolate_40wx30l</t>
  </si>
  <si>
    <t>Amazon Basics Men's Relaxed Fit Duck Utility Workwear Pants, Chocolate, 40W x 30L</t>
  </si>
  <si>
    <t>B0FM759R4F</t>
  </si>
  <si>
    <t>195515129206</t>
  </si>
  <si>
    <t>ABMN87281M25-Navy_largeshort</t>
  </si>
  <si>
    <t>Amazon Basics Men's Relaxed Fit Long Sleeve Workwear Coveralls, Navy, Large - Short</t>
  </si>
  <si>
    <t>B0FM759LTM</t>
  </si>
  <si>
    <t>195515131407</t>
  </si>
  <si>
    <t>ABMN38003M25-White_smallshort</t>
  </si>
  <si>
    <t>Amazon Basics Men's Relaxed Fit Short Sleeve Workwear Coveralls, White, Small- Short</t>
  </si>
  <si>
    <t>B0FM759KNS</t>
  </si>
  <si>
    <t>195515128001</t>
  </si>
  <si>
    <t>ABMN69404M25-Chocolate_36wx30l</t>
  </si>
  <si>
    <t>Amazon Basics Men's Relaxed Fit Duck Utility Workwear Pants, Chocolate, 36W x 30L</t>
  </si>
  <si>
    <t>B0FM758RPG</t>
  </si>
  <si>
    <t>195515128063</t>
  </si>
  <si>
    <t>ABMN69404M25-Black_34wx34l</t>
  </si>
  <si>
    <t>Amazon Basics Men's Relaxed Fit Duck Utility Workwear Pants, Black, 34W x 34L</t>
  </si>
  <si>
    <t>B0FM758QY3</t>
  </si>
  <si>
    <t>195515130790</t>
  </si>
  <si>
    <t>ABMN38003M25-White_largeregular</t>
  </si>
  <si>
    <t>Amazon Basics Men's Relaxed Fit Short Sleeve Workwear Coveralls, White, Large- Regular</t>
  </si>
  <si>
    <t>B0FM758LH1</t>
  </si>
  <si>
    <t>195515129664</t>
  </si>
  <si>
    <t>ABMN38003M25-Light Brown_smallshort</t>
  </si>
  <si>
    <t>Amazon Basics Men's Relaxed Fit Short Sleeve Workwear Coveralls, Light Brown, Small- Short</t>
  </si>
  <si>
    <t>B0FM758KTN</t>
  </si>
  <si>
    <t>195515130905</t>
  </si>
  <si>
    <t>ABMN38003M25-White_xlargeshort</t>
  </si>
  <si>
    <t>Amazon Basics Men's Relaxed Fit Short Sleeve Workwear Coveralls, White, X- Large- Short</t>
  </si>
  <si>
    <t>B0FM758DT3</t>
  </si>
  <si>
    <t>195515130981</t>
  </si>
  <si>
    <t>ABMN38003M25-Charcoal_smallshort</t>
  </si>
  <si>
    <t>Amazon Basics Men's Relaxed Fit Short Sleeve Workwear Coveralls, Charcoal, Small- Short</t>
  </si>
  <si>
    <t>B0FM754KKS</t>
  </si>
  <si>
    <t>195515129428</t>
  </si>
  <si>
    <t>ABMN38003M25-Black_largeregular</t>
  </si>
  <si>
    <t>Amazon Basics Men's Relaxed Fit Short Sleeve Workwear Coveralls, Black, Large- Regular</t>
  </si>
  <si>
    <t>B0FM752GYP</t>
  </si>
  <si>
    <t>195515129213</t>
  </si>
  <si>
    <t>ABMN87281M25-Navy_largeregular</t>
  </si>
  <si>
    <t>Amazon Basics Men's Relaxed Fit Long Sleeve Workwear Coveralls, Navy, Large - Regular</t>
  </si>
  <si>
    <t>B0FM75256Y</t>
  </si>
  <si>
    <t>195515131452</t>
  </si>
  <si>
    <t>ABMN69404M25-Light Brown_38wx30l</t>
  </si>
  <si>
    <t>Amazon Basics Men's Relaxed Fit Duck Utility Workwear Pants, Light Brown, 38W x 30L</t>
  </si>
  <si>
    <t>B0FM74ZQP6</t>
  </si>
  <si>
    <t>195515129138</t>
  </si>
  <si>
    <t>ABMN87281M25-Black_largeregular</t>
  </si>
  <si>
    <t>Amazon Basics Men's Relaxed Fit Long Sleeve Workwear Coveralls, Black, Large - Regular</t>
  </si>
  <si>
    <t>B0FM74ZD94</t>
  </si>
  <si>
    <t>195515131711</t>
  </si>
  <si>
    <t>ABMN69404M25-Chocolate_32wx32l</t>
  </si>
  <si>
    <t>Amazon Basics Men's Relaxed Fit Duck Utility Workwear Pants, Chocolate, 32W x 32L</t>
  </si>
  <si>
    <t>B0FM74YR2N</t>
  </si>
  <si>
    <t>195515128025</t>
  </si>
  <si>
    <t>ABMN69404M25-Black_30wx30l</t>
  </si>
  <si>
    <t>Amazon Basics Men's Relaxed Fit Duck Utility Workwear Pants, Black, 30W x 30L</t>
  </si>
  <si>
    <t>B0FM74YDVC</t>
  </si>
  <si>
    <t>195515127936</t>
  </si>
  <si>
    <t>ABMN69404M25-Chocolate_40wx32l</t>
  </si>
  <si>
    <t>Amazon Basics Men's Relaxed Fit Duck Utility Workwear Pants, Chocolate, 40W x 32L</t>
  </si>
  <si>
    <t>B0FM74Y3BR</t>
  </si>
  <si>
    <t>195515131049</t>
  </si>
  <si>
    <t>ABMN38003M25-Charcoal_xxxlargelong</t>
  </si>
  <si>
    <t>Amazon Basics Men's Relaxed Fit Short Sleeve Workwear Coveralls, Charcoal, XXX-Large- Long</t>
  </si>
  <si>
    <t>B0FM74TXTY</t>
  </si>
  <si>
    <t>195515129183</t>
  </si>
  <si>
    <t>ABMN87281M25-Navy_mediumregular</t>
  </si>
  <si>
    <t>Amazon Basics Men's Relaxed Fit Long Sleeve Workwear Coveralls, Navy, Medium - Regular</t>
  </si>
  <si>
    <t>B0FM74THYK</t>
  </si>
  <si>
    <t>195515129022</t>
  </si>
  <si>
    <t>ABMN87281M25-Black_xxlargeshort</t>
  </si>
  <si>
    <t>Amazon Basics Men's Relaxed Fit Long Sleeve Workwear Coveralls, Black, XX Large - Short</t>
  </si>
  <si>
    <t>B0FM74Q6MV</t>
  </si>
  <si>
    <t>195515131704</t>
  </si>
  <si>
    <t>ABMN69404M25-Chocolate_32wx30l</t>
  </si>
  <si>
    <t>Amazon Basics Men's Relaxed Fit Duck Utility Workwear Pants, Chocolate, 32W x 30L</t>
  </si>
  <si>
    <t>B0FM74PSKV</t>
  </si>
  <si>
    <t>195515127981</t>
  </si>
  <si>
    <t>ABMN69404M25-Chocolate_30wx32l</t>
  </si>
  <si>
    <t>Amazon Basics Men's Relaxed Fit Duck Utility Workwear Pants, Chocolate, 30W x 32L</t>
  </si>
  <si>
    <t>B0FM74LTPZ</t>
  </si>
  <si>
    <t>195515129497</t>
  </si>
  <si>
    <t>ABMN38003M25-Black_xxxlargelong</t>
  </si>
  <si>
    <t>Amazon Basics Men's Relaxed Fit Short Sleeve Workwear Coveralls, Black, XXX-Large- Long</t>
  </si>
  <si>
    <t>B0FM74LFLH</t>
  </si>
  <si>
    <t>195515131520</t>
  </si>
  <si>
    <t>ABMN69404M25-Dark Chestnut Brown_32wx30l</t>
  </si>
  <si>
    <t>Amazon Basics Men's Relaxed Fit Duck Utility Workwear Pants, Dark Chestnut Brown, 32W x 30L</t>
  </si>
  <si>
    <t>B0FM74BS93</t>
  </si>
  <si>
    <t>195515131728</t>
  </si>
  <si>
    <t>ABMN69404M25-Chocolate_36wx32l</t>
  </si>
  <si>
    <t>Amazon Basics Men's Relaxed Fit Duck Utility Workwear Pants, Chocolate, 36W x 32L</t>
  </si>
  <si>
    <t>B0FM748P92</t>
  </si>
  <si>
    <t>195515128148</t>
  </si>
  <si>
    <t>ABMN69404M25-Black_34wx32l</t>
  </si>
  <si>
    <t>Amazon Basics Men's Relaxed Fit Duck Utility Workwear Pants, Black, 34W x 32L</t>
  </si>
  <si>
    <t>B0FM748CR3</t>
  </si>
  <si>
    <t>195515129114</t>
  </si>
  <si>
    <t>ABMN87281M25-Black_smallshort</t>
  </si>
  <si>
    <t>Amazon Basics Men's Relaxed Fit Long Sleeve Workwear Coveralls, Black, Small - Short</t>
  </si>
  <si>
    <t>B0FM748CQL</t>
  </si>
  <si>
    <t>195515129558</t>
  </si>
  <si>
    <t>ABMN38003M25-Black_smallshort</t>
  </si>
  <si>
    <t>Amazon Basics Men's Relaxed Fit Short Sleeve Workwear Coveralls, Black, Small- Short</t>
  </si>
  <si>
    <t>B0FM74828W</t>
  </si>
  <si>
    <t>195515131162</t>
  </si>
  <si>
    <t>ABMN69404M25-Black_32wx34l</t>
  </si>
  <si>
    <t>Amazon Basics Men's Relaxed Fit Duck Utility Workwear Pants, Black, 32W x 34L</t>
  </si>
  <si>
    <t>B0FM745P9W</t>
  </si>
  <si>
    <t>195515129336</t>
  </si>
  <si>
    <t>ABMN87281M25-Charcoal_xxxlargeregular</t>
  </si>
  <si>
    <t>Amazon Basics Men's Relaxed Fit Long Sleeve Workwear Coveralls, Charcoal, XXX Large - Regular</t>
  </si>
  <si>
    <t>B0FM742DJ7</t>
  </si>
  <si>
    <t>195515129633</t>
  </si>
  <si>
    <t>ABMN38003M25-Light Brown_xxxlargeshort</t>
  </si>
  <si>
    <t>Amazon Basics Men's Relaxed Fit Short Sleeve Workwear Coveralls, Light Brown, XXX-Large- Short</t>
  </si>
  <si>
    <t>B0FM73V29C</t>
  </si>
  <si>
    <t>195515130998</t>
  </si>
  <si>
    <t>ABMN38003M25-Charcoal_xlargelong</t>
  </si>
  <si>
    <t>Amazon Basics Men's Relaxed Fit Short Sleeve Workwear Coveralls, Charcoal, X- Large- Long</t>
  </si>
  <si>
    <t>B0FM73R1S6</t>
  </si>
  <si>
    <t>195515130899</t>
  </si>
  <si>
    <t>ABMN38003M25-White_xlargeregular</t>
  </si>
  <si>
    <t>Amazon Basics Men's Relaxed Fit Short Sleeve Workwear Coveralls, White, X- Large- Regular</t>
  </si>
  <si>
    <t>B0FM73QN35</t>
  </si>
  <si>
    <t>195515129619</t>
  </si>
  <si>
    <t>ABMN38003M25-Light Brown_largeregular</t>
  </si>
  <si>
    <t>Amazon Basics Men's Relaxed Fit Short Sleeve Workwear Coveralls, Light Brown, Large- Regular</t>
  </si>
  <si>
    <t>B0FM73QC3G</t>
  </si>
  <si>
    <t>195515127950</t>
  </si>
  <si>
    <t>ABMN69404M25-Chocolate_34wx32l</t>
  </si>
  <si>
    <t>Amazon Basics Men's Relaxed Fit Duck Utility Workwear Pants, Chocolate, 34W x 32L</t>
  </si>
  <si>
    <t>B0FM73NFWV</t>
  </si>
  <si>
    <t>195515129305</t>
  </si>
  <si>
    <t>ABMN87281M25-Charcoal_mediumlong</t>
  </si>
  <si>
    <t>Amazon Basics Men's Relaxed Fit Long Sleeve Workwear Coveralls, Charcoal, Medium - Long</t>
  </si>
  <si>
    <t>B0FM739SKR</t>
  </si>
  <si>
    <t>195515131148</t>
  </si>
  <si>
    <t>ABMN69404M25-Dark Chestnut Brown_32wx34l</t>
  </si>
  <si>
    <t>Amazon Basics Men's Relaxed Fit Duck Utility Workwear Pants, Dark Chestnut Brown, 32W x 34L</t>
  </si>
  <si>
    <t>B0FM71Y8KW</t>
  </si>
  <si>
    <t>195515129886</t>
  </si>
  <si>
    <t>ABMN38003M25-Navy_xlargeshort</t>
  </si>
  <si>
    <t>Amazon Basics Men's Relaxed Fit Short Sleeve Workwear Coveralls, Navy, X- Large- Short</t>
  </si>
  <si>
    <t>B0FM71XSPM</t>
  </si>
  <si>
    <t>195515131582</t>
  </si>
  <si>
    <t>ABMN69404M25-Dark Chestnut Brown_38wx34l</t>
  </si>
  <si>
    <t>Amazon Basics Men's Relaxed Fit Duck Utility Workwear Pants, Dark Chestnut Brown, 38W x 34L</t>
  </si>
  <si>
    <t>B0FM71XSJ3</t>
  </si>
  <si>
    <t>195515131377</t>
  </si>
  <si>
    <t>ABMN69404M25-Light Brown_36wx32l</t>
  </si>
  <si>
    <t>Amazon Basics Men's Relaxed Fit Duck Utility Workwear Pants, Light Brown, 36W x 32L</t>
  </si>
  <si>
    <t>B0FM71XRM4</t>
  </si>
  <si>
    <t>195515129275</t>
  </si>
  <si>
    <t>ABMN87281M25-Charcoal_xxlargelong</t>
  </si>
  <si>
    <t>Amazon Basics Men's Relaxed Fit Long Sleeve Workwear Coveralls, Charcoal, XX Large - Long</t>
  </si>
  <si>
    <t>B0FM71XNMV</t>
  </si>
  <si>
    <t>195515131032</t>
  </si>
  <si>
    <t>ABMN38003M25-Charcoal_xxlargeregular</t>
  </si>
  <si>
    <t>Amazon Basics Men's Relaxed Fit Short Sleeve Workwear Coveralls, Charcoal, XX- Large- Regular</t>
  </si>
  <si>
    <t>B0FM71XHTY</t>
  </si>
  <si>
    <t>195515129848</t>
  </si>
  <si>
    <t>ABMN38003M25-Navy_xxxlargelong</t>
  </si>
  <si>
    <t>Amazon Basics Men's Relaxed Fit Short Sleeve Workwear Coveralls, Navy, XXX-Large- Long</t>
  </si>
  <si>
    <t>B0FM71V4FB</t>
  </si>
  <si>
    <t>195515129688</t>
  </si>
  <si>
    <t>ABMN38003M25-Light Brown_xxlargeregular</t>
  </si>
  <si>
    <t>Amazon Basics Men's Relaxed Fit Short Sleeve Workwear Coveralls, Light Brown, XX- Large- Regular</t>
  </si>
  <si>
    <t>B0FM71RYGP</t>
  </si>
  <si>
    <t>195515129817</t>
  </si>
  <si>
    <t>ABMN38003M25-Light Brown_smallregular</t>
  </si>
  <si>
    <t>Amazon Basics Men's Relaxed Fit Short Sleeve Workwear Coveralls, Light Brown, Small- Regular</t>
  </si>
  <si>
    <t>B0FM71RM9Q</t>
  </si>
  <si>
    <t>195515130820</t>
  </si>
  <si>
    <t>ABMN38003M25-White_xxxlargeshort</t>
  </si>
  <si>
    <t>Amazon Basics Men's Relaxed Fit Short Sleeve Workwear Coveralls, White, XXX-Large- Short</t>
  </si>
  <si>
    <t>B0FM71R9V9</t>
  </si>
  <si>
    <t>195515131001</t>
  </si>
  <si>
    <t>ABMN38003M25-Charcoal_xxlargelong</t>
  </si>
  <si>
    <t>Amazon Basics Men's Relaxed Fit Short Sleeve Workwear Coveralls, Charcoal, XX- Large- Long</t>
  </si>
  <si>
    <t>B0FM71NQ5Z</t>
  </si>
  <si>
    <t>195515130400</t>
  </si>
  <si>
    <t>ABMN38003M25-Navy_largelong</t>
  </si>
  <si>
    <t>Amazon Basics Men's Relaxed Fit Short Sleeve Workwear Coveralls, Navy, Large- Long</t>
  </si>
  <si>
    <t>B0FM71MRYF</t>
  </si>
  <si>
    <t>195515129374</t>
  </si>
  <si>
    <t>ABMN87281M25-Charcoal_smallshort</t>
  </si>
  <si>
    <t>Amazon Basics Men's Relaxed Fit Long Sleeve Workwear Coveralls, Charcoal, Small - Short</t>
  </si>
  <si>
    <t>B0FM71LD65</t>
  </si>
  <si>
    <t>195515131568</t>
  </si>
  <si>
    <t>ABMN69404M25-Dark Chestnut Brown_34wx34l</t>
  </si>
  <si>
    <t>Amazon Basics Men's Relaxed Fit Duck Utility Workwear Pants, Dark Chestnut Brown, 34W x 34L</t>
  </si>
  <si>
    <t>B0FM71L29D</t>
  </si>
  <si>
    <t>195515129435</t>
  </si>
  <si>
    <t>ABMN38003M25-Black_mediumregular</t>
  </si>
  <si>
    <t>Amazon Basics Men's Relaxed Fit Short Sleeve Workwear Coveralls, Black, Medium- Regular</t>
  </si>
  <si>
    <t>B0FM71KCWJ</t>
  </si>
  <si>
    <t>195515128223</t>
  </si>
  <si>
    <t>ABMN69404M25-Black_30wx32l</t>
  </si>
  <si>
    <t>Amazon Basics Men's Relaxed Fit Duck Utility Workwear Pants, Black, 30W x 32L</t>
  </si>
  <si>
    <t>B0FM71K29T</t>
  </si>
  <si>
    <t>195515129350</t>
  </si>
  <si>
    <t>ABMN87281M25-Charcoal_xlargeregular</t>
  </si>
  <si>
    <t>Amazon Basics Men's Relaxed Fit Long Sleeve Workwear Coveralls, Charcoal, X Large - Regular</t>
  </si>
  <si>
    <t>B0FM71GCGJ</t>
  </si>
  <si>
    <t>195515131544</t>
  </si>
  <si>
    <t>ABMN69404M25-Light Brown_36wx34l</t>
  </si>
  <si>
    <t>Amazon Basics Men's Relaxed Fit Duck Utility Workwear Pants, Light Brown, 36W x 34L</t>
  </si>
  <si>
    <t>B0FM71CMM3</t>
  </si>
  <si>
    <t>195515129824</t>
  </si>
  <si>
    <t>ABMN38003M25-Navy_xlargelong</t>
  </si>
  <si>
    <t>Amazon Basics Men's Relaxed Fit Short Sleeve Workwear Coveralls, Navy, X- Large- Long</t>
  </si>
  <si>
    <t>B0FM718RCP</t>
  </si>
  <si>
    <t>195515130936</t>
  </si>
  <si>
    <t>ABMN38003M25-White_xxlargeshort</t>
  </si>
  <si>
    <t>Amazon Basics Men's Relaxed Fit Short Sleeve Workwear Coveralls, White, XX- Large- Short</t>
  </si>
  <si>
    <t>B0FM718RC7</t>
  </si>
  <si>
    <t>195515129596</t>
  </si>
  <si>
    <t>ABMN87281M25-Charcoal_xxlargeregular</t>
  </si>
  <si>
    <t>Amazon Basics Men's Relaxed Fit Long Sleeve Workwear Coveralls, Charcoal, XX Large - Regular</t>
  </si>
  <si>
    <t>B0FM715MR6</t>
  </si>
  <si>
    <t>195515131094</t>
  </si>
  <si>
    <t>ABMN38003M25-Charcoal_smallregular</t>
  </si>
  <si>
    <t>Amazon Basics Men's Relaxed Fit Short Sleeve Workwear Coveralls, Charcoal, Small- Regular</t>
  </si>
  <si>
    <t>B0FM71586M</t>
  </si>
  <si>
    <t>195515130875</t>
  </si>
  <si>
    <t>ABMN38003M25-White_xxxlargelong</t>
  </si>
  <si>
    <t>Amazon Basics Men's Relaxed Fit Short Sleeve Workwear Coveralls, White, XXX-Large- Long</t>
  </si>
  <si>
    <t>B0FM713N7J</t>
  </si>
  <si>
    <t>195515128087</t>
  </si>
  <si>
    <t>ABMN69404M25-Black_42wx32l</t>
  </si>
  <si>
    <t>Amazon Basics Men's Relaxed Fit Duck Utility Workwear Pants, Black, 42W x 32L</t>
  </si>
  <si>
    <t>B0FM711J1M</t>
  </si>
  <si>
    <t>195515128902</t>
  </si>
  <si>
    <t>ABMN87281M25-Black_mediumshort</t>
  </si>
  <si>
    <t>Amazon Basics Men's Relaxed Fit Long Sleeve Workwear Coveralls, Black, Medium - Short</t>
  </si>
  <si>
    <t>B0FM6ZWZRV</t>
  </si>
  <si>
    <t>195515130943</t>
  </si>
  <si>
    <t>ABMN38003M25-White_largeshort</t>
  </si>
  <si>
    <t>Amazon Basics Men's Relaxed Fit Short Sleeve Workwear Coveralls, White, Large- Short</t>
  </si>
  <si>
    <t>B0FM6ZPP5D</t>
  </si>
  <si>
    <t>195515129626</t>
  </si>
  <si>
    <t>ABMN38003M25-Light Brown_mediumshort</t>
  </si>
  <si>
    <t>Amazon Basics Men's Relaxed Fit Short Sleeve Workwear Coveralls, Light Brown, Medium- Short</t>
  </si>
  <si>
    <t>B0FM6ZP1C6</t>
  </si>
  <si>
    <t>195515129152</t>
  </si>
  <si>
    <t>ABMN87281M25-Black_xlargeregular</t>
  </si>
  <si>
    <t>Amazon Basics Men's Relaxed Fit Long Sleeve Workwear Coveralls, Black, X Large - Regular</t>
  </si>
  <si>
    <t>B0FM6ZLGP7</t>
  </si>
  <si>
    <t>195515130783</t>
  </si>
  <si>
    <t>ABMN38003M25-Navy_largeshort</t>
  </si>
  <si>
    <t>Amazon Basics Men's Relaxed Fit Short Sleeve Workwear Coveralls, Navy, Large- Short</t>
  </si>
  <si>
    <t>B0FM6Z7HZ1</t>
  </si>
  <si>
    <t>195515131674</t>
  </si>
  <si>
    <t>ABMN69404M25-Dark Chestnut Brown_36wx34l</t>
  </si>
  <si>
    <t>Amazon Basics Men's Relaxed Fit Duck Utility Workwear Pants, Dark Chestnut Brown, 36W x 34L</t>
  </si>
  <si>
    <t>B0FM6Z2VJK</t>
  </si>
  <si>
    <t>195515131117</t>
  </si>
  <si>
    <t>ABMN38003M25-Charcoal_xxlargeshort</t>
  </si>
  <si>
    <t>Amazon Basics Men's Relaxed Fit Short Sleeve Workwear Coveralls, Charcoal, XX- Large- Short</t>
  </si>
  <si>
    <t>B0FM6Z2JDF</t>
  </si>
  <si>
    <t>195515131063</t>
  </si>
  <si>
    <t>ABMN38003M25-Charcoal_xxxlargeregular</t>
  </si>
  <si>
    <t>Amazon Basics Men's Relaxed Fit Short Sleeve Workwear Coveralls, Charcoal, XXX- Large- Regular</t>
  </si>
  <si>
    <t>B0FM6YXN93</t>
  </si>
  <si>
    <t>195515129251</t>
  </si>
  <si>
    <t>ABMN87281M25-Charcoal_mediumshort</t>
  </si>
  <si>
    <t>Amazon Basics Men's Relaxed Fit Long Sleeve Workwear Coveralls, Charcoal, Medium - Short</t>
  </si>
  <si>
    <t>B0FM6YQBMJ</t>
  </si>
  <si>
    <t>195515129718</t>
  </si>
  <si>
    <t>ABMN38003M25-Light Brown_xxxlargeregular</t>
  </si>
  <si>
    <t>Amazon Basics Men's Relaxed Fit Short Sleeve Workwear Coveralls, Light Brown, XXX- Large- Regular</t>
  </si>
  <si>
    <t>B0FM6YQBM4</t>
  </si>
  <si>
    <t>195515129879</t>
  </si>
  <si>
    <t>ABMN38003M25-Navy_xlargeregular</t>
  </si>
  <si>
    <t>Amazon Basics Men's Relaxed Fit Short Sleeve Workwear Coveralls, Navy, X- Large- Regular</t>
  </si>
  <si>
    <t>B0FM6YN3Z5</t>
  </si>
  <si>
    <t>195515131070</t>
  </si>
  <si>
    <t>ABMN38003M25-Charcoal_xlargeshort</t>
  </si>
  <si>
    <t>Amazon Basics Men's Relaxed Fit Short Sleeve Workwear Coveralls, Charcoal, X- Large- Short</t>
  </si>
  <si>
    <t>B0FM6YJ34K</t>
  </si>
  <si>
    <t>195515131506</t>
  </si>
  <si>
    <t>ABMN69404M25-Dark Chestnut Brown_42wx30l</t>
  </si>
  <si>
    <t>Amazon Basics Men's Relaxed Fit Duck Utility Workwear Pants, Dark Chestnut Brown, 42W x 30L</t>
  </si>
  <si>
    <t>B0FM6YHR1Y</t>
  </si>
  <si>
    <t>195515130868</t>
  </si>
  <si>
    <t>ABMN38003M25-White_xxlargeregular</t>
  </si>
  <si>
    <t>Amazon Basics Men's Relaxed Fit Short Sleeve Workwear Coveralls, White, XX- Large- Regular</t>
  </si>
  <si>
    <t>B0FM6YFJLZ</t>
  </si>
  <si>
    <t>195515129763</t>
  </si>
  <si>
    <t>ABMN38003M25-Light Brown_largeshort</t>
  </si>
  <si>
    <t>Amazon Basics Men's Relaxed Fit Short Sleeve Workwear Coveralls, Light Brown, Large- Short</t>
  </si>
  <si>
    <t>B0FM6WRDSY</t>
  </si>
  <si>
    <t>195515129602</t>
  </si>
  <si>
    <t>ABMN38003M25-Black_smallregular</t>
  </si>
  <si>
    <t>Amazon Basics Men's Relaxed Fit Short Sleeve Workwear Coveralls, Black, Small- Regular</t>
  </si>
  <si>
    <t>B0FM6WMK84</t>
  </si>
  <si>
    <t>195515131414</t>
  </si>
  <si>
    <t>ABMN69404M25-Light Brown_32wx32l</t>
  </si>
  <si>
    <t>Amazon Basics Men's Relaxed Fit Duck Utility Workwear Pants, Light Brown, 32W x 32L</t>
  </si>
  <si>
    <t>B0FM6WKPHK</t>
  </si>
  <si>
    <t>195515131087</t>
  </si>
  <si>
    <t>ABMN38003M25-Charcoal_mediumlong</t>
  </si>
  <si>
    <t>Amazon Basics Men's Relaxed Fit Short Sleeve Workwear Coveralls, Charcoal, Medium- Long</t>
  </si>
  <si>
    <t>B0FM6WJG6Y</t>
  </si>
  <si>
    <t>195515129244</t>
  </si>
  <si>
    <t>ABMN87281M25-Navy_largelong</t>
  </si>
  <si>
    <t>Amazon Basics Men's Relaxed Fit Long Sleeve Workwear Coveralls, Navy, Large - Long</t>
  </si>
  <si>
    <t>B0FM6WHSFP</t>
  </si>
  <si>
    <t>195515129367</t>
  </si>
  <si>
    <t>ABMN87281M25-Charcoal_xxxlargelong</t>
  </si>
  <si>
    <t>Amazon Basics Men's Relaxed Fit Long Sleeve Workwear Coveralls, Charcoal, XXX Large - Long</t>
  </si>
  <si>
    <t>B0FM6WH488</t>
  </si>
  <si>
    <t>195515129510</t>
  </si>
  <si>
    <t>ABMN38003M25-Black_xlargeregular</t>
  </si>
  <si>
    <t>Amazon Basics Men's Relaxed Fit Short Sleeve Workwear Coveralls, Black, X- Large- Regular</t>
  </si>
  <si>
    <t>B0FM6WFJ7F</t>
  </si>
  <si>
    <t>195515127998</t>
  </si>
  <si>
    <t>ABMN69404M25-Chocolate_34wx30l</t>
  </si>
  <si>
    <t>Amazon Basics Men's Relaxed Fit Duck Utility Workwear Pants, Chocolate, 34W x 30L</t>
  </si>
  <si>
    <t>B0FM6WDS5S</t>
  </si>
  <si>
    <t>195515129237</t>
  </si>
  <si>
    <t>ABMN87281M25-Navy_xxlargeregular</t>
  </si>
  <si>
    <t>Amazon Basics Men's Relaxed Fit Long Sleeve Workwear Coveralls, Navy, XX Large - Regular</t>
  </si>
  <si>
    <t>B0FM6WDS5D</t>
  </si>
  <si>
    <t>195515129862</t>
  </si>
  <si>
    <t>ABMN38003M25-Navy_xxlargelong</t>
  </si>
  <si>
    <t>Amazon Basics Men's Relaxed Fit Short Sleeve Workwear Coveralls, Navy, XX- Large- Long</t>
  </si>
  <si>
    <t>B0FM6W4ZNP</t>
  </si>
  <si>
    <t>195515131476</t>
  </si>
  <si>
    <t>ABMN69404M25-Light Brown_30wx32l</t>
  </si>
  <si>
    <t>Amazon Basics Men's Relaxed Fit Duck Utility Workwear Pants, Light Brown, 30W x 32L</t>
  </si>
  <si>
    <t>B0FM6W3DXC</t>
  </si>
  <si>
    <t>195515131551</t>
  </si>
  <si>
    <t>ABMN69404M25-Dark Chestnut Brown_36wx32l</t>
  </si>
  <si>
    <t>Amazon Basics Men's Relaxed Fit Duck Utility Workwear Pants, Dark Chestnut Brown, 36W x 32L</t>
  </si>
  <si>
    <t>B0FM6T1BZB</t>
  </si>
  <si>
    <t>195515130349</t>
  </si>
  <si>
    <t>ABMN38003M25-Navy_mediumregular</t>
  </si>
  <si>
    <t>Amazon Basics Men's Relaxed Fit Short Sleeve Workwear Coveralls, Navy, Medium- Regular</t>
  </si>
  <si>
    <t>B0FM6T1BYN</t>
  </si>
  <si>
    <t>195515128094</t>
  </si>
  <si>
    <t>ABMN69404M25-Black_38wx34l</t>
  </si>
  <si>
    <t>Amazon Basics Men's Relaxed Fit Duck Utility Workwear Pants, Black, 38W x 34L</t>
  </si>
  <si>
    <t>B0FM6SXYQ4</t>
  </si>
  <si>
    <t>195515131438</t>
  </si>
  <si>
    <t>ABMN69404M25-Light Brown_42wx32l</t>
  </si>
  <si>
    <t>Amazon Basics Men's Relaxed Fit Duck Utility Workwear Pants, Light Brown, 42W x 32L</t>
  </si>
  <si>
    <t>B0FM6SSCG8</t>
  </si>
  <si>
    <t>195515129015</t>
  </si>
  <si>
    <t>ABMN87281M25-Black_largeshort</t>
  </si>
  <si>
    <t>Amazon Basics Men's Relaxed Fit Long Sleeve Workwear Coveralls, Black, Large - Short</t>
  </si>
  <si>
    <t>B0FM6SS239</t>
  </si>
  <si>
    <t>195515128155</t>
  </si>
  <si>
    <t>ABMN69404M25-Black_40wx30l</t>
  </si>
  <si>
    <t>Amazon Basics Men's Relaxed Fit Duck Utility Workwear Pants, Black, 40W x 30L</t>
  </si>
  <si>
    <t>B0FM6SR2KN</t>
  </si>
  <si>
    <t>195515130882</t>
  </si>
  <si>
    <t>ABMN38003M25-White_xxxlargeregular</t>
  </si>
  <si>
    <t>Amazon Basics Men's Relaxed Fit Short Sleeve Workwear Coveralls, White, XXX- Large- Regular</t>
  </si>
  <si>
    <t>B0FM6SM1VY</t>
  </si>
  <si>
    <t>195515131445</t>
  </si>
  <si>
    <t>ABMN69404M25-Light Brown_38wx34l</t>
  </si>
  <si>
    <t>Amazon Basics Men's Relaxed Fit Duck Utility Workwear Pants, Light Brown, 38W x 34L</t>
  </si>
  <si>
    <t>B0FM6SGCBS</t>
  </si>
  <si>
    <t>195515131025</t>
  </si>
  <si>
    <t>ABMN38003M25-Charcoal_largeregular</t>
  </si>
  <si>
    <t>Amazon Basics Men's Relaxed Fit Short Sleeve Workwear Coveralls, Charcoal, Large- Regular</t>
  </si>
  <si>
    <t>B0FM6SG1W8</t>
  </si>
  <si>
    <t>195515128070</t>
  </si>
  <si>
    <t>ABMN69404M25-Black_38wx32l</t>
  </si>
  <si>
    <t>Amazon Basics Men's Relaxed Fit Duck Utility Workwear Pants, Black, 38W x 32L</t>
  </si>
  <si>
    <t>B0FM6SF3P3</t>
  </si>
  <si>
    <t>195515131360</t>
  </si>
  <si>
    <t>ABMN69404M25-Light Brown_32wx30l</t>
  </si>
  <si>
    <t>Amazon Basics Men's Relaxed Fit Duck Utility Workwear Pants, Light Brown, 32W x 30L</t>
  </si>
  <si>
    <t>B0FM6SDFQ4</t>
  </si>
  <si>
    <t>195515129855</t>
  </si>
  <si>
    <t>ABMN38003M25-Navy_xxxlargeregular</t>
  </si>
  <si>
    <t>Amazon Basics Men's Relaxed Fit Short Sleeve Workwear Coveralls, Navy, XXX- Large- Regular</t>
  </si>
  <si>
    <t>B0FM6S8VMP</t>
  </si>
  <si>
    <t>195515129473</t>
  </si>
  <si>
    <t>ABMN38003M25-Black_largelong</t>
  </si>
  <si>
    <t>Amazon Basics Men's Relaxed Fit Short Sleeve Workwear Coveralls, Black, Large- Long</t>
  </si>
  <si>
    <t>B0FM6S81FX</t>
  </si>
  <si>
    <t>195515128940</t>
  </si>
  <si>
    <t>ABMN87281M25-Black_xxxlargeshort</t>
  </si>
  <si>
    <t>Amazon Basics Men's Relaxed Fit Long Sleeve Workwear Coveralls, Black, XXX Large - Short</t>
  </si>
  <si>
    <t>B0FM6QR8J5</t>
  </si>
  <si>
    <t>195515128032</t>
  </si>
  <si>
    <t>ABMN69404M25-Black_32wx30l</t>
  </si>
  <si>
    <t>Amazon Basics Men's Relaxed Fit Duck Utility Workwear Pants, Black, 32W x 30L</t>
  </si>
  <si>
    <t>B0FM6QN8G2</t>
  </si>
  <si>
    <t>195515129725</t>
  </si>
  <si>
    <t>ABMN38003M25-Light Brown_xlargeregular</t>
  </si>
  <si>
    <t>Amazon Basics Men's Relaxed Fit Short Sleeve Workwear Coveralls, Light Brown, X- Large- Regular</t>
  </si>
  <si>
    <t>B0FM6QL85T</t>
  </si>
  <si>
    <t>195515129008</t>
  </si>
  <si>
    <t>ABMN87281M25-Black_xxxlargeregular</t>
  </si>
  <si>
    <t>Amazon Basics Men's Relaxed Fit Long Sleeve Workwear Coveralls, Black, XXX Large - Regular</t>
  </si>
  <si>
    <t>B0FM6QJZ73</t>
  </si>
  <si>
    <t>195515129480</t>
  </si>
  <si>
    <t>ABMN38003M25-Black_xxlargeregular</t>
  </si>
  <si>
    <t>Amazon Basics Men's Relaxed Fit Short Sleeve Workwear Coveralls, Black, XX- Large- Regular</t>
  </si>
  <si>
    <t>B0FM6QJMRS</t>
  </si>
  <si>
    <t>195515129329</t>
  </si>
  <si>
    <t>ABMN87281M25-Navy_xxlargeshort</t>
  </si>
  <si>
    <t>Amazon Basics Men's Relaxed Fit Long Sleeve Workwear Coveralls, Navy, XX Large - Short</t>
  </si>
  <si>
    <t>B0FM6QGFJ2</t>
  </si>
  <si>
    <t>195515128186</t>
  </si>
  <si>
    <t>ABMN69404M25-Black_34wx30l</t>
  </si>
  <si>
    <t>Amazon Basics Men's Relaxed Fit Duck Utility Workwear Pants, Black, 34W x 30L</t>
  </si>
  <si>
    <t>B0FM6N26FD</t>
  </si>
  <si>
    <t>195515129312</t>
  </si>
  <si>
    <t>ABMN87281M25-Charcoal_xlargeshort</t>
  </si>
  <si>
    <t>Amazon Basics Men's Relaxed Fit Long Sleeve Workwear Coveralls, Charcoal, X Large - Short</t>
  </si>
  <si>
    <t>B0FM6MX3YM</t>
  </si>
  <si>
    <t>195515129589</t>
  </si>
  <si>
    <t>ABMN38003M25-Black_mediumshort</t>
  </si>
  <si>
    <t>Amazon Basics Men's Relaxed Fit Short Sleeve Workwear Coveralls, Black, Medium- Short</t>
  </si>
  <si>
    <t>B0FM6MBYMN</t>
  </si>
  <si>
    <t>195515129657</t>
  </si>
  <si>
    <t>ABMN38003M25-Light Brown_xlargelong</t>
  </si>
  <si>
    <t>Amazon Basics Men's Relaxed Fit Short Sleeve Workwear Coveralls, Light Brown, X- Large- Long</t>
  </si>
  <si>
    <t>B0FM6MBN56</t>
  </si>
  <si>
    <t>195515129893</t>
  </si>
  <si>
    <t>ABMN38003M25-Navy_mediumlong</t>
  </si>
  <si>
    <t>Amazon Basics Men's Relaxed Fit Short Sleeve Workwear Coveralls, Navy, Medium- Long</t>
  </si>
  <si>
    <t>B0FM6MBN4X</t>
  </si>
  <si>
    <t>195515129107</t>
  </si>
  <si>
    <t>ABMN87281M25-Navy_xxxlargeshort</t>
  </si>
  <si>
    <t>Amazon Basics Men's Relaxed Fit Long Sleeve Workwear Coveralls, Navy, XXX Large - Short</t>
  </si>
  <si>
    <t>B0FM6JKR9K</t>
  </si>
  <si>
    <t>195515129190</t>
  </si>
  <si>
    <t>ABMN87281M25-Navy_xlargeregular</t>
  </si>
  <si>
    <t>Amazon Basics Men's Relaxed Fit Long Sleeve Workwear Coveralls, Navy, X Large - Regular</t>
  </si>
  <si>
    <t>B0FM6JJTFD</t>
  </si>
  <si>
    <t>195515131018</t>
  </si>
  <si>
    <t>ABMN38003M25-Charcoal_largelong</t>
  </si>
  <si>
    <t>Amazon Basics Men's Relaxed Fit Short Sleeve Workwear Coveralls, Charcoal, Large- Long</t>
  </si>
  <si>
    <t>B0FM6JJ6XW</t>
  </si>
  <si>
    <t>195515130967</t>
  </si>
  <si>
    <t>ABMN38003M25-Charcoal_mediumregular</t>
  </si>
  <si>
    <t>Amazon Basics Men's Relaxed Fit Short Sleeve Workwear Coveralls, Charcoal, Medium- Regular</t>
  </si>
  <si>
    <t>B0FM6JHWKQ</t>
  </si>
  <si>
    <t>195515129527</t>
  </si>
  <si>
    <t>ABMN38003M25-Black_xlargeshort</t>
  </si>
  <si>
    <t>Amazon Basics Men's Relaxed Fit Short Sleeve Workwear Coveralls, Black, X- Large- Short</t>
  </si>
  <si>
    <t>B0FM6JGM3F</t>
  </si>
  <si>
    <t>195515131155</t>
  </si>
  <si>
    <t>ABMN69404M25-Chocolate_32wx34l</t>
  </si>
  <si>
    <t>Amazon Basics Men's Relaxed Fit Duck Utility Workwear Pants, Chocolate, 32W x 34L</t>
  </si>
  <si>
    <t>B0FM6HVG7K</t>
  </si>
  <si>
    <t>195515131742</t>
  </si>
  <si>
    <t>ABMN69404M25-Light Brown_34wx32l</t>
  </si>
  <si>
    <t>Amazon Basics Men's Relaxed Fit Duck Utility Workwear Pants, Light Brown, 34W x 32L</t>
  </si>
  <si>
    <t>B0FM6FY7XL</t>
  </si>
  <si>
    <t>195515128131</t>
  </si>
  <si>
    <t>ABMN69404M25-Chocolate_38wx30l</t>
  </si>
  <si>
    <t>Amazon Basics Men's Relaxed Fit Duck Utility Workwear Pants, Chocolate, 38W x 30L</t>
  </si>
  <si>
    <t>B0FM6FR9WK</t>
  </si>
  <si>
    <t>195515129077</t>
  </si>
  <si>
    <t>ABMN87281M25-Navy_xlargeshort</t>
  </si>
  <si>
    <t>Amazon Basics Men's Relaxed Fit Long Sleeve Workwear Coveralls, Navy, X Large - Short</t>
  </si>
  <si>
    <t>B0FM6FKZFZ</t>
  </si>
  <si>
    <t>195515131650</t>
  </si>
  <si>
    <t>ABMN69404M25-Dark Chestnut Brown_34wx30l</t>
  </si>
  <si>
    <t>Amazon Basics Men's Relaxed Fit Duck Utility Workwear Pants, Dark Chestnut Brown, 34W x 30L</t>
  </si>
  <si>
    <t>B0FM6FJNTB</t>
  </si>
  <si>
    <t>195515128018</t>
  </si>
  <si>
    <t>ABMN69404M25-Chocolate_36wx34l</t>
  </si>
  <si>
    <t>Amazon Basics Men's Relaxed Fit Duck Utility Workwear Pants, Chocolate, 36W x 34L</t>
  </si>
  <si>
    <t>74A6MYWI</t>
  </si>
  <si>
    <t>EPLYL</t>
  </si>
  <si>
    <t>B0DX28XJGW</t>
  </si>
  <si>
    <t>197153295756</t>
  </si>
  <si>
    <t>AEMN49469M25-Tinted Medium Blue_29wx30l</t>
  </si>
  <si>
    <t>Amazon Essentials Men's Straight-Fit Jeans, Midweight Vintage Inspired Denim, Fitted Through Hip and Thigh, Tinted Medium Blue, 29W x 30L</t>
  </si>
  <si>
    <t>B0DX28BDFG</t>
  </si>
  <si>
    <t>197153302713</t>
  </si>
  <si>
    <t>AEMN30315M25-Black_42wx28l</t>
  </si>
  <si>
    <t>Amazon Essentials Men's Men's Heavyweight Stretch Skinny-Fit Jean, Black, 42WX28L</t>
  </si>
  <si>
    <t>B0DX2765RY</t>
  </si>
  <si>
    <t>197153302683</t>
  </si>
  <si>
    <t>AEMN30315M25-Black_34wx34l</t>
  </si>
  <si>
    <t>Amazon Essentials Men's Men's Heavyweight Stretch Skinny-Fit Jean, Black, 34Wx34L</t>
  </si>
  <si>
    <t>B0DX271ZHS</t>
  </si>
  <si>
    <t>197153303376</t>
  </si>
  <si>
    <t>AEMN30315M25-Tinted Dark Wash_35wx28l</t>
  </si>
  <si>
    <t>Amazon Essentials Men's Medium Stretch Skinny-Fit Jeans, Tinted Dark Wash, 35W x 28L</t>
  </si>
  <si>
    <t>B0DX271ZGR</t>
  </si>
  <si>
    <t>197153303277</t>
  </si>
  <si>
    <t>AEMN30315M25-Tinted Dark Wash_34wx32l</t>
  </si>
  <si>
    <t>Amazon Essentials Men's Men's Heavyweight Stretch Skinny-Fit Jean, Tinted Dark Wash, 34Wx32L</t>
  </si>
  <si>
    <t>B0DX271ZDF</t>
  </si>
  <si>
    <t>197153302980</t>
  </si>
  <si>
    <t>AEMN30315M25-Black_31wx30l</t>
  </si>
  <si>
    <t>Amazon Essentials Men's Men's Heavyweight Stretch Skinny-Fit Jean, Black, 31WX30L</t>
  </si>
  <si>
    <t>B0DX26X28N</t>
  </si>
  <si>
    <t>197153296241</t>
  </si>
  <si>
    <t>AEMN49469M25-Dark Midnight Wash_31wx32l</t>
  </si>
  <si>
    <t>Amazon Essentials Men's Straight-Fit Jeans, Midweight Vintage Inspired Denim, Fitted Through Hip and Thigh, Dark Midnight Wash, 31W x 32L</t>
  </si>
  <si>
    <t>B0DX26SR2V</t>
  </si>
  <si>
    <t>197153302843</t>
  </si>
  <si>
    <t>AEMN30315M25-Black_34wx30l</t>
  </si>
  <si>
    <t>Amazon Essentials Men's Men's Heavyweight Stretch Skinny-Fit Jean, Black, 34Wx30L</t>
  </si>
  <si>
    <t>B0DX26LF5K</t>
  </si>
  <si>
    <t>197153302973</t>
  </si>
  <si>
    <t>AEMN30315M25-Black_31wx28l</t>
  </si>
  <si>
    <t>Amazon Essentials Men's Men's Heavyweight Stretch Skinny-Fit Jean, Black, 31WX28L</t>
  </si>
  <si>
    <t>B0DX26J2FY</t>
  </si>
  <si>
    <t>197153312682</t>
  </si>
  <si>
    <t>AEMN14928M25-Dark Midnight Wash_34wx32l</t>
  </si>
  <si>
    <t>Amazon Essentials Men's Low Stretch Slim-Fit Jean, Tapered Leg, Vintage Inspired Midweight Denim, Dark Midnight Wash, 34W x 32L</t>
  </si>
  <si>
    <t>B0DX26FL48</t>
  </si>
  <si>
    <t>197153312958</t>
  </si>
  <si>
    <t>AEMN14928M25-Dark Midnight Wash_32wx32l</t>
  </si>
  <si>
    <t>Amazon Essentials Men's Low Stretch Slim-Fit Jean, Tapered Leg, Vintage Inspired Midweight Denim, Dark Midnight Wash, 32W x 32L</t>
  </si>
  <si>
    <t>B0DX26FFYB</t>
  </si>
  <si>
    <t>197153303628</t>
  </si>
  <si>
    <t>AEMN30315M25-Stone Medium Wash_36wx30l</t>
  </si>
  <si>
    <t>Amazon Essentials Men's Men's Heavyweight Stretch Skinny-Fit Jean, Stone Medium Wash, 36Wx30L</t>
  </si>
  <si>
    <t>B0DX26FCLY</t>
  </si>
  <si>
    <t>197153302911</t>
  </si>
  <si>
    <t>AEMN30315M25-Black_35wx32l</t>
  </si>
  <si>
    <t>Amazon Essentials Men's Men's Heavyweight Stretch Skinny-Fit Jean, Black, 35WX32L</t>
  </si>
  <si>
    <t>B0DX269BY9</t>
  </si>
  <si>
    <t>197153304700</t>
  </si>
  <si>
    <t>AEMN64413M25-Black_36wx32l</t>
  </si>
  <si>
    <t>Amazon Essentials Men's Men's Heavyweight Stretch Straight-Fit Jean, Black-Heavyweight, 36Wx32L</t>
  </si>
  <si>
    <t>B0DX2699G6</t>
  </si>
  <si>
    <t>197153303000</t>
  </si>
  <si>
    <t>AEMN30315M25-Black_29wx32l</t>
  </si>
  <si>
    <t>Amazon Essentials Men's Men's Heavyweight Stretch Skinny-Fit Jean, Black, 29WX32L</t>
  </si>
  <si>
    <t>B0DX268QZY</t>
  </si>
  <si>
    <t>197153304526</t>
  </si>
  <si>
    <t>AEMN64413M25-Black_30wx28l</t>
  </si>
  <si>
    <t>Amazon Essentials Men's Men's Heavyweight Stretch Straight-Fit Jean, Black-Heavyweight, 30WX28L</t>
  </si>
  <si>
    <t>B0DX268GZL</t>
  </si>
  <si>
    <t>197153302669</t>
  </si>
  <si>
    <t>AEMN30315M25-Black_36wx30l</t>
  </si>
  <si>
    <t>Amazon Essentials Men's Men's Heavyweight Stretch Skinny-Fit Jean, Black, 36Wx30L</t>
  </si>
  <si>
    <t>B0DX267X7H</t>
  </si>
  <si>
    <t>197153296791</t>
  </si>
  <si>
    <t>AEMN49469M25-Grey Wash_29wx34l</t>
  </si>
  <si>
    <t>Amazon Essentials Men's Straight-Fit Jeans, Midweight Vintage Inspired Denim, Fitted Through Hip and Thigh, Grey Wash, 29W x 34L</t>
  </si>
  <si>
    <t>B0DX267N5J</t>
  </si>
  <si>
    <t>197153304076</t>
  </si>
  <si>
    <t>AEMN30315M25-Rinse_32wx32l</t>
  </si>
  <si>
    <t>Amazon Essentials Men's Men's Heavyweight Stretch Skinny-Fit Jean, Rinse, 32Wx32L</t>
  </si>
  <si>
    <t>B0DX267LJ1</t>
  </si>
  <si>
    <t>197153303017</t>
  </si>
  <si>
    <t>AEMN30315M25-Black_31wx34l</t>
  </si>
  <si>
    <t>Amazon Essentials Men's Medium Stretch Skinny-Fit Jeans, Black, 31W x 34L</t>
  </si>
  <si>
    <t>B0DX2674MJ</t>
  </si>
  <si>
    <t>197153303550</t>
  </si>
  <si>
    <t>AEMN30315M25-Stone Medium Wash_32wx34l</t>
  </si>
  <si>
    <t>Amazon Essentials Men's Men's Heavyweight Stretch Skinny-Fit Jean, Stone Medium Wash, 32Wx34L</t>
  </si>
  <si>
    <t>B0DX266Y62</t>
  </si>
  <si>
    <t>197153312750</t>
  </si>
  <si>
    <t>AEMN14928M25-Dark Midnight Wash_30wx30l</t>
  </si>
  <si>
    <t>Amazon Essentials Men's Low Stretch Slim-Fit Jean, Tapered Leg, Vintage Inspired Midweight Denim, Dark Midnight Wash, 30W x 30L</t>
  </si>
  <si>
    <t>B0DX266TYM</t>
  </si>
  <si>
    <t>197153303062</t>
  </si>
  <si>
    <t>AEMN30315M25-Tinted Dark Wash_38wx30l</t>
  </si>
  <si>
    <t>Amazon Essentials Men's Men's Heavyweight Stretch Skinny-Fit Jean, Tinted Dark Wash, 38Wx30L</t>
  </si>
  <si>
    <t>B0DX265H9H</t>
  </si>
  <si>
    <t>197153313634</t>
  </si>
  <si>
    <t>AEMN14928M25-Iced Light Wash_36wx28l</t>
  </si>
  <si>
    <t>Amazon Essentials Men's Low Stretch Slim-Fit Jean, Tapered Leg, Vintage Inspired Midweight Denim, Iced Light Wash, 36W x 28L</t>
  </si>
  <si>
    <t>B0DX26515B</t>
  </si>
  <si>
    <t>197153303055</t>
  </si>
  <si>
    <t>AEMN30315M25-Tinted Dark Wash_36wx34l</t>
  </si>
  <si>
    <t>Amazon Essentials Men's Men's Heavyweight Stretch Skinny-Fit Jean, Tinted Dark Wash, 36Wx34L</t>
  </si>
  <si>
    <t>B0DX264LNS</t>
  </si>
  <si>
    <t>197153313887</t>
  </si>
  <si>
    <t>AEMN14928M25-Iced Light Wash_34wx30l</t>
  </si>
  <si>
    <t>Amazon Essentials Men's Low Stretch Slim-Fit Jean, Tapered Leg, Vintage Inspired Midweight Denim, Iced Light Wash, 34W x 30L</t>
  </si>
  <si>
    <t>B0DX263TG5</t>
  </si>
  <si>
    <t>197153303420</t>
  </si>
  <si>
    <t>AEMN30315M25-Tinted Dark Wash_33wx28l</t>
  </si>
  <si>
    <t>Amazon Essentials Men's Men's Heavyweight Stretch Skinny-Fit Jean, Tinted Dark Wash, 33WX28L</t>
  </si>
  <si>
    <t>B0DX263HD6</t>
  </si>
  <si>
    <t>197153296777</t>
  </si>
  <si>
    <t>AEMN49469M25-Grey Wash_29wx32l</t>
  </si>
  <si>
    <t>Amazon Essentials Men's Straight-Fit Jeans, Midweight Vintage Inspired Denim, Fitted Through Hip and Thigh, Grey Wash, 29W x 32L</t>
  </si>
  <si>
    <t>B0DX2634T1</t>
  </si>
  <si>
    <t>197153304694</t>
  </si>
  <si>
    <t>AEMN64413M25-Black_32wx30l</t>
  </si>
  <si>
    <t>Amazon Essentials Men's Men's Heavyweight Stretch Straight-Fit Jean, Black-Heavyweight, 32Wx30L</t>
  </si>
  <si>
    <t>B0DX262YZN</t>
  </si>
  <si>
    <t>197153313603</t>
  </si>
  <si>
    <t>AEMN14928M25-Iced Light Wash_40wx28l</t>
  </si>
  <si>
    <t>Amazon Essentials Men's Low Stretch Slim-Fit Jean, Tapered Leg, Vintage Inspired Midweight Denim, Iced Light Wash, 40W x 28L</t>
  </si>
  <si>
    <t>B0DX262GTT</t>
  </si>
  <si>
    <t>197153295763</t>
  </si>
  <si>
    <t>AEMN49469M25-Tinted Medium Blue_31wx32l</t>
  </si>
  <si>
    <t>Amazon Essentials Men's Straight-Fit Jeans, Midweight Vintage Inspired Denim, Fitted Through Hip and Thigh, Tinted Medium Blue, 31W x 32L</t>
  </si>
  <si>
    <t>B0DX26289C</t>
  </si>
  <si>
    <t>197153296401</t>
  </si>
  <si>
    <t>AEMN49469M25-Grey Wash_36wx32l</t>
  </si>
  <si>
    <t>Amazon Essentials Men's Straight-Fit Jeans, Midweight Vintage Inspired Denim, Fitted Through Hip and Thigh, Grey Wash, 36W x 32L</t>
  </si>
  <si>
    <t>B0DX2611XC</t>
  </si>
  <si>
    <t>197153296524</t>
  </si>
  <si>
    <t>AEMN49469M25-Grey Wash_30wx30l</t>
  </si>
  <si>
    <t>Amazon Essentials Men's Straight-Fit Jeans, Midweight Vintage Inspired Denim, Fitted Through Hip and Thigh, Grey Wash, 30W x 30L</t>
  </si>
  <si>
    <t>B0DX25ZYPS</t>
  </si>
  <si>
    <t>197153312736</t>
  </si>
  <si>
    <t>AEMN14928M25-Dark Midnight Wash_32wx28l</t>
  </si>
  <si>
    <t>Amazon Essentials Men's Low Stretch Slim-Fit Jean, Tapered Leg, Vintage Inspired Midweight Denim, Dark Midnight Wash, 32W x 28L</t>
  </si>
  <si>
    <t>B0DX25Z4K6</t>
  </si>
  <si>
    <t>197153313757</t>
  </si>
  <si>
    <t>AEMN14928M25-Iced Light Wash_32wx30l</t>
  </si>
  <si>
    <t>Amazon Essentials Men's Low Stretch Slim-Fit Jean, Tapered Leg, Vintage Inspired Midweight Denim, Iced Light Wash, 32W x 30L</t>
  </si>
  <si>
    <t>B0DX25YVVS</t>
  </si>
  <si>
    <t>197153304328</t>
  </si>
  <si>
    <t>AEMN30315M25-Rinse_35wx30l</t>
  </si>
  <si>
    <t>Amazon Essentials Men's Men's Heavyweight Stretch Skinny-Fit Jean, Rinse, 35WX30L</t>
  </si>
  <si>
    <t>B0DX25YJ4D</t>
  </si>
  <si>
    <t>197153313627</t>
  </si>
  <si>
    <t>AEMN14928M25-Iced Light Wash_28wx34l</t>
  </si>
  <si>
    <t>Amazon Essentials Men's Low Stretch Slim-Fit Jean, Tapered Leg, Vintage Inspired Midweight Denim, Iced Light Wash, 28W x 34L</t>
  </si>
  <si>
    <t>B0DX24YGD7</t>
  </si>
  <si>
    <t>197153314020</t>
  </si>
  <si>
    <t>AEMN14928M25-Iced Light Wash_33wx28l</t>
  </si>
  <si>
    <t>Amazon Essentials Men's Low Stretch Slim-Fit Jean, Tapered Leg, Vintage Inspired Midweight Denim, Iced Light Wash, 33W x 28L</t>
  </si>
  <si>
    <t>B0DX24X3QX</t>
  </si>
  <si>
    <t>197153312798</t>
  </si>
  <si>
    <t>AEMN14928M25-Dark Midnight Wash_32wx30l</t>
  </si>
  <si>
    <t>Amazon Essentials Men's Low Stretch Slim-Fit Jean, Tapered Leg, Vintage Inspired Midweight Denim, Dark Midnight Wash, 32W x 30L</t>
  </si>
  <si>
    <t>B0DX24WLDS</t>
  </si>
  <si>
    <t>197153302638</t>
  </si>
  <si>
    <t>AEMN30315M25-Black_32wx32l</t>
  </si>
  <si>
    <t>Amazon Essentials Men's Men's Heavyweight Stretch Skinny-Fit Jean, Black, 32Wx32L</t>
  </si>
  <si>
    <t>B0DX24WKW2</t>
  </si>
  <si>
    <t>197153302614</t>
  </si>
  <si>
    <t>AEMN30315M25-Black_36wx28l</t>
  </si>
  <si>
    <t>Amazon Essentials Men's Men's Heavyweight Stretch Skinny-Fit Jean, Black, 36WX28L</t>
  </si>
  <si>
    <t>B0DX24WGQ4</t>
  </si>
  <si>
    <t>197153302744</t>
  </si>
  <si>
    <t>AEMN30315M25-Black_38wx32l</t>
  </si>
  <si>
    <t>Amazon Essentials Men's Men's Heavyweight Stretch Skinny-Fit Jean, Black, 38Wx32L</t>
  </si>
  <si>
    <t>B0DX24W9LY</t>
  </si>
  <si>
    <t>197153302577</t>
  </si>
  <si>
    <t>AEMN30315M25-Black_36wx34l</t>
  </si>
  <si>
    <t>Amazon Essentials Men's Men's Heavyweight Stretch Skinny-Fit Jean, Black, 36Wx34L</t>
  </si>
  <si>
    <t>B0DX24SH81</t>
  </si>
  <si>
    <t>197153304656</t>
  </si>
  <si>
    <t>AEMN64413M25-Black_30wx30l</t>
  </si>
  <si>
    <t>Amazon Essentials Men's Men's Heavyweight Stretch Straight-Fit Jean, Black-Heavyweight, 30Wx30L</t>
  </si>
  <si>
    <t>B0DX24SH4M</t>
  </si>
  <si>
    <t>197153296340</t>
  </si>
  <si>
    <t>AEMN49469M25-Grey Wash_42wx30l</t>
  </si>
  <si>
    <t>Amazon Essentials Men's Straight-Fit Jeans, Midweight Vintage Inspired Denim, Fitted Through Hip and Thigh, Grey Wash, 42W x 30L</t>
  </si>
  <si>
    <t>B0DX24S2KF</t>
  </si>
  <si>
    <t>197153296425</t>
  </si>
  <si>
    <t>AEMN49469M25-Grey Wash_38wx30l</t>
  </si>
  <si>
    <t>Amazon Essentials Men's Straight-Fit Jeans, Midweight Vintage Inspired Denim, Fitted Through Hip and Thigh, Grey Wash, 38W x 30L</t>
  </si>
  <si>
    <t>B0DX24S2G1</t>
  </si>
  <si>
    <t>197153303772</t>
  </si>
  <si>
    <t>AEMN30315M25-Stone Medium Wash_28wx30l</t>
  </si>
  <si>
    <t>Amazon Essentials Men's Men's Heavyweight Stretch Skinny-Fit Jean, Stone Medium Wash, 28Wx30L</t>
  </si>
  <si>
    <t>B0DX24RRXF</t>
  </si>
  <si>
    <t>197153303642</t>
  </si>
  <si>
    <t>AEMN30315M25-Stone Medium Wash_34wx34l</t>
  </si>
  <si>
    <t>Amazon Essentials Men's Men's Heavyweight Stretch Skinny-Fit Jean, Stone Medium Wash, 34Wx34L</t>
  </si>
  <si>
    <t>B0DX24RKPK</t>
  </si>
  <si>
    <t>197153313108</t>
  </si>
  <si>
    <t>AEMN14928M25-Dark Midnight Wash_31wx28l</t>
  </si>
  <si>
    <t>Amazon Essentials Men's Low Stretch Slim-Fit Jean, Tapered Leg, Vintage Inspired Midweight Denim, Dark Midnight Wash, 31W x 28L</t>
  </si>
  <si>
    <t>B0DX24R2KD</t>
  </si>
  <si>
    <t>197153304915</t>
  </si>
  <si>
    <t>AEMN64413M25-Black_29wx28l</t>
  </si>
  <si>
    <t>Amazon Essentials Men's Men's Heavyweight Stretch Straight-Fit Jean, Black-Heavyweight, 29WX28L</t>
  </si>
  <si>
    <t>B0DX24QM28</t>
  </si>
  <si>
    <t>197153296210</t>
  </si>
  <si>
    <t>AEMN49469M25-Dark Midnight Wash_33wx34l</t>
  </si>
  <si>
    <t>Amazon Essentials Men's Straight-Fit Jeans, Midweight Vintage Inspired Denim, Fitted Through Hip and Thigh, Dark Midnight Wash, 33W x 34L</t>
  </si>
  <si>
    <t>B0DX24QJB1</t>
  </si>
  <si>
    <t>197153296661</t>
  </si>
  <si>
    <t>AEMN49469M25-Grey Wash_33wx28l</t>
  </si>
  <si>
    <t>Amazon Essentials Men's Straight-Fit Jeans, Midweight Vintage Inspired Denim, Fitted Through Hip and Thigh, Grey Wash, 33W x 28L</t>
  </si>
  <si>
    <t>B0DX24PQ68</t>
  </si>
  <si>
    <t>197153304786</t>
  </si>
  <si>
    <t>AEMN64413M25-Black_40wx30l</t>
  </si>
  <si>
    <t>Amazon Essentials Men's Men's Heavyweight Stretch Straight-Fit Jean, Black-Heavyweight, 40Wx30L</t>
  </si>
  <si>
    <t>B0DX24PFZH</t>
  </si>
  <si>
    <t>197153302607</t>
  </si>
  <si>
    <t>AEMN30315M25-Black_32wx30l</t>
  </si>
  <si>
    <t>Amazon Essentials Men's Men's Heavyweight Stretch Skinny-Fit Jean, Black, 32Wx30L</t>
  </si>
  <si>
    <t>B0DX24P3VV</t>
  </si>
  <si>
    <t>197153314051</t>
  </si>
  <si>
    <t>AEMN14928M25-Iced Light Wash_33wx30l</t>
  </si>
  <si>
    <t>Amazon Essentials Men's Low Stretch Slim-Fit Jean, Tapered Leg, Vintage Inspired Midweight Denim, Iced Light Wash, 33W x 30L</t>
  </si>
  <si>
    <t>B0DX24NSK5</t>
  </si>
  <si>
    <t>197153304571</t>
  </si>
  <si>
    <t>AEMN64413M25-Black_30wx32l</t>
  </si>
  <si>
    <t>Amazon Essentials Men's Men's Heavyweight Stretch Straight-Fit Jean, Black-Heavyweight, 30Wx32L</t>
  </si>
  <si>
    <t>B0DX24NQ69</t>
  </si>
  <si>
    <t>197153304779</t>
  </si>
  <si>
    <t>AEMN64413M25-Black_38wx30l</t>
  </si>
  <si>
    <t>Amazon Essentials Men's Low Stretch Straight-Fit Jeans, Black-Heavyweight, 38W x 30L</t>
  </si>
  <si>
    <t>B0DX24N77G</t>
  </si>
  <si>
    <t>197153313719</t>
  </si>
  <si>
    <t>AEMN14928M25-Iced Light Wash_30wx30l</t>
  </si>
  <si>
    <t>Amazon Essentials Men's Low Stretch Slim-Fit Jean, Tapered Leg, Vintage Inspired Midweight Denim, Iced Light Wash, 30W x 30L</t>
  </si>
  <si>
    <t>B0DX24LYL6</t>
  </si>
  <si>
    <t>197153302928</t>
  </si>
  <si>
    <t>AEMN30315M25-Black_31wx32l</t>
  </si>
  <si>
    <t>Amazon Essentials Men's Men's Heavyweight Stretch Skinny-Fit Jean, Black, 31WX32L</t>
  </si>
  <si>
    <t>B0DX24LPHQ</t>
  </si>
  <si>
    <t>197153304595</t>
  </si>
  <si>
    <t>AEMN64413M25-Black_28wx32l</t>
  </si>
  <si>
    <t>Amazon Essentials Men's Men's Heavyweight Stretch Straight-Fit Jean, Black-Heavyweight, 28Wx32L</t>
  </si>
  <si>
    <t>B0DX24LBD3</t>
  </si>
  <si>
    <t>197153303949</t>
  </si>
  <si>
    <t>AEMN30315M25-Stone Medium Wash_31wx30l</t>
  </si>
  <si>
    <t>Amazon Essentials Men's Men's Heavyweight Stretch Skinny-Fit Jean, Stone Medium Wash, 31WX30L</t>
  </si>
  <si>
    <t>B0DX24KLZP</t>
  </si>
  <si>
    <t>197153304274</t>
  </si>
  <si>
    <t>AEMN30315M25-Rinse_38wx28l</t>
  </si>
  <si>
    <t>Amazon Essentials Men's Men's Heavyweight Stretch Skinny-Fit Jean, Rinse, 38WX28L</t>
  </si>
  <si>
    <t>B0DX24JHVM</t>
  </si>
  <si>
    <t>197153296494</t>
  </si>
  <si>
    <t>AEMN49469M25-Grey Wash_32wx34l</t>
  </si>
  <si>
    <t>Amazon Essentials Men's Straight-Fit Jeans, Midweight Vintage Inspired Denim, Fitted Through Hip and Thigh, Grey Wash, 32W x 34L</t>
  </si>
  <si>
    <t>B0DX24JDQC</t>
  </si>
  <si>
    <t>197153296128</t>
  </si>
  <si>
    <t>AEMN49469M25-Dark Midnight Wash_32wx28l</t>
  </si>
  <si>
    <t>Amazon Essentials Men's Straight-Fit Jeans, Midweight Vintage Inspired Denim, Fitted Through Hip and Thigh, Dark Midnight Wash, 32W x 28L</t>
  </si>
  <si>
    <t>B0DX24J2RP</t>
  </si>
  <si>
    <t>197153303673</t>
  </si>
  <si>
    <t>AEMN30315M25-Stone Medium Wash_42wx28l</t>
  </si>
  <si>
    <t>Amazon Essentials Men's Men's Heavyweight Stretch Skinny-Fit Jean, Stone Medium Wash, 42WX28L</t>
  </si>
  <si>
    <t>B0DX24HNTJ</t>
  </si>
  <si>
    <t>197153304519</t>
  </si>
  <si>
    <t>AEMN64413M25-Black_40wx34l</t>
  </si>
  <si>
    <t>Amazon Essentials Men's Men's Heavyweight Stretch Straight-Fit Jean, Black-Heavyweight, 40Wx34L</t>
  </si>
  <si>
    <t>B0DX24GN59</t>
  </si>
  <si>
    <t>197153302591</t>
  </si>
  <si>
    <t>AEMN30315M25-Black_32wx34l</t>
  </si>
  <si>
    <t>Amazon Essentials Men's Men's Heavyweight Stretch Skinny-Fit Jean, Black, 32Wx34L</t>
  </si>
  <si>
    <t>B0DX24G7YW</t>
  </si>
  <si>
    <t>197153302874</t>
  </si>
  <si>
    <t>AEMN30315M25-Black_32wx28l</t>
  </si>
  <si>
    <t>Amazon Essentials Men's Men's Heavyweight Stretch Skinny-Fit Jean, Black, 32WX28L</t>
  </si>
  <si>
    <t>B0DX24FLG9</t>
  </si>
  <si>
    <t>197153302836</t>
  </si>
  <si>
    <t>AEMN30315M25-Black_38wx28l</t>
  </si>
  <si>
    <t>Amazon Essentials Men's Men's Heavyweight Stretch Skinny-Fit Jean, Black, 38WX28L</t>
  </si>
  <si>
    <t>B0DX24DDGH</t>
  </si>
  <si>
    <t>197153303222</t>
  </si>
  <si>
    <t>AEMN30315M25-Tinted Dark Wash_38wx32l</t>
  </si>
  <si>
    <t>Amazon Essentials Men's Men's Heavyweight Stretch Skinny-Fit Jean, Tinted Dark Wash, 38Wx32L</t>
  </si>
  <si>
    <t>B0DX24CN9V</t>
  </si>
  <si>
    <t>197153312965</t>
  </si>
  <si>
    <t>AEMN14928M25-Dark Midnight Wash_29wx28l</t>
  </si>
  <si>
    <t>Amazon Essentials Men's Low Stretch Slim-Fit Jean, Tapered Leg, Vintage Inspired Midweight Denim, Dark Midnight Wash, 29W x 28L</t>
  </si>
  <si>
    <t>B0DX24C37N</t>
  </si>
  <si>
    <t>197153313696</t>
  </si>
  <si>
    <t>AEMN14928M25-Iced Light Wash_32wx28l</t>
  </si>
  <si>
    <t>Amazon Essentials Men's Low Stretch Slim-Fit Jean, Tapered Leg, Vintage Inspired Midweight Denim, Iced Light Wash, 32W x 28L</t>
  </si>
  <si>
    <t>B0DX24BXNC</t>
  </si>
  <si>
    <t>197153313726</t>
  </si>
  <si>
    <t>AEMN14928M25-Iced Light Wash_34wx28l</t>
  </si>
  <si>
    <t>Amazon Essentials Men's Low Stretch Slim-Fit Jean, Tapered Leg, Vintage Inspired Midweight Denim, Iced Light Wash, 34W x 28L</t>
  </si>
  <si>
    <t>B0DX24BF2K</t>
  </si>
  <si>
    <t>197153296500</t>
  </si>
  <si>
    <t>AEMN49469M25-Grey Wash_40wx34l</t>
  </si>
  <si>
    <t>Amazon Essentials Men's Straight-Fit Jeans, Midweight Vintage Inspired Denim, Fitted Through Hip and Thigh, Grey Wash, 40W x 34L</t>
  </si>
  <si>
    <t>B0DX249LV6</t>
  </si>
  <si>
    <t>197153304335</t>
  </si>
  <si>
    <t>AEMN30315M25-Rinse_35wx28l</t>
  </si>
  <si>
    <t>Amazon Essentials Men's Medium Stretch Skinny-Fit Jeans, Rinse, 35W x 28L</t>
  </si>
  <si>
    <t>B0DX2495P8</t>
  </si>
  <si>
    <t>197153302829</t>
  </si>
  <si>
    <t>AEMN30315M25-Black_40wx32l</t>
  </si>
  <si>
    <t>Amazon Essentials Men's Men's Heavyweight Stretch Skinny-Fit Jean, Black, 40Wx32L</t>
  </si>
  <si>
    <t>B0DX248KNH</t>
  </si>
  <si>
    <t>197153303246</t>
  </si>
  <si>
    <t>AEMN30315M25-Tinted Dark Wash_30wx28l</t>
  </si>
  <si>
    <t>Amazon Essentials Men's Men's Heavyweight Stretch Skinny-Fit Jean, Tinted Dark Wash, 30WX28L</t>
  </si>
  <si>
    <t>B0DX248GZ1</t>
  </si>
  <si>
    <t>197153303147</t>
  </si>
  <si>
    <t>AEMN30315M25-Tinted Dark Wash_36wx30l</t>
  </si>
  <si>
    <t>Amazon Essentials Men's Men's Heavyweight Stretch Skinny-Fit Jean, Tinted Dark Wash, 36Wx30L</t>
  </si>
  <si>
    <t>B0DX248GX9</t>
  </si>
  <si>
    <t>197153302751</t>
  </si>
  <si>
    <t>AEMN30315M25-Black_42wx30l</t>
  </si>
  <si>
    <t>Amazon Essentials Men's Men's Heavyweight Stretch Skinny-Fit Jean, Black, 42Wx30L</t>
  </si>
  <si>
    <t>B0DX248CXV</t>
  </si>
  <si>
    <t>197153304830</t>
  </si>
  <si>
    <t>AEMN64413M25-Black_35wx34l</t>
  </si>
  <si>
    <t>Amazon Essentials Men's Men's Heavyweight Stretch Straight-Fit Jean, Black-Heavyweight, 35WX34L</t>
  </si>
  <si>
    <t>B0DX248BZ2</t>
  </si>
  <si>
    <t>197153313924</t>
  </si>
  <si>
    <t>AEMN14928M25-Iced Light Wash_29wx28l</t>
  </si>
  <si>
    <t>Amazon Essentials Men's Low Stretch Slim-Fit Jean, Tapered Leg, Vintage Inspired Midweight Denim, Iced Light Wash, 29W x 28L</t>
  </si>
  <si>
    <t>B0DX247ZLN</t>
  </si>
  <si>
    <t>197153312804</t>
  </si>
  <si>
    <t>AEMN14928M25-Dark Midnight Wash_30wx28l</t>
  </si>
  <si>
    <t>Amazon Essentials Men's Low Stretch Slim-Fit Jean, Tapered Leg, Vintage Inspired Midweight Denim, Dark Midnight Wash, 30W x 28L</t>
  </si>
  <si>
    <t>B0DX247N65</t>
  </si>
  <si>
    <t>197153313092</t>
  </si>
  <si>
    <t>AEMN14928M25-Dark Midnight Wash_33wx30l</t>
  </si>
  <si>
    <t>Amazon Essentials Men's Low Stretch Slim-Fit Jean, Tapered Leg, Vintage Inspired Midweight Denim, Dark Midnight Wash, 33W x 30L</t>
  </si>
  <si>
    <t>B0DX247JW9</t>
  </si>
  <si>
    <t>197153302720</t>
  </si>
  <si>
    <t>AEMN30315M25-Black_40wx28l</t>
  </si>
  <si>
    <t>Amazon Essentials Men's Men's Heavyweight Stretch Skinny-Fit Jean, Black, 40WX28L</t>
  </si>
  <si>
    <t>B0DX24626Y</t>
  </si>
  <si>
    <t>197153296593</t>
  </si>
  <si>
    <t>AEMN49469M25-Grey Wash_36wx34l</t>
  </si>
  <si>
    <t>Amazon Essentials Men's Straight-Fit Jeans, Midweight Vintage Inspired Denim, Fitted Through Hip and Thigh, Grey Wash, 36W x 34L</t>
  </si>
  <si>
    <t>B0DX245XNK</t>
  </si>
  <si>
    <t>197153295930</t>
  </si>
  <si>
    <t>AEMN49469M25-Dark Midnight Wash_30wx32l</t>
  </si>
  <si>
    <t>Amazon Essentials Men's Straight-Fit Jeans, Midweight Vintage Inspired Denim, Fitted Through Hip and Thigh, Dark Midnight Wash, 30W x 32L</t>
  </si>
  <si>
    <t>B0DX245VCF</t>
  </si>
  <si>
    <t>197153303352</t>
  </si>
  <si>
    <t>AEMN30315M25-Tinted Dark Wash_32wx28l</t>
  </si>
  <si>
    <t>Amazon Essentials Men's Men's Heavyweight Stretch Skinny-Fit Jean, Tinted Dark Wash, 32WX28L</t>
  </si>
  <si>
    <t>B0DX245FZ1</t>
  </si>
  <si>
    <t>197153296654</t>
  </si>
  <si>
    <t>AEMN49469M25-Grey Wash_35wx34l</t>
  </si>
  <si>
    <t>Amazon Essentials Men's Straight-Fit Jeans, Midweight Vintage Inspired Denim, Fitted Through Hip and Thigh, Grey Wash, 35W x 34L</t>
  </si>
  <si>
    <t>B0DX245713</t>
  </si>
  <si>
    <t>197153304854</t>
  </si>
  <si>
    <t>AEMN64413M25-Black_33wx32l</t>
  </si>
  <si>
    <t>Amazon Essentials Men's Men's Heavyweight Stretch Straight-Fit Jean, Black-Heavyweight, 33WX32L</t>
  </si>
  <si>
    <t>B0DX2456B4</t>
  </si>
  <si>
    <t>197153295534</t>
  </si>
  <si>
    <t>AEMN49469M25-Tinted Medium Blue_32wx34l</t>
  </si>
  <si>
    <t>Amazon Essentials Men's Straight-Fit Jeans, Midweight Vintage Inspired Denim, Fitted Through Hip and Thigh, Tinted Medium Blue, 32W x 34L</t>
  </si>
  <si>
    <t>B0DX244KKQ</t>
  </si>
  <si>
    <t>197153313764</t>
  </si>
  <si>
    <t>AEMN14928M25-Iced Light Wash_30wx28l</t>
  </si>
  <si>
    <t>Amazon Essentials Men's Low Stretch Slim-Fit Jean, Tapered Leg, Vintage Inspired Midweight Denim, Iced Light Wash, 30W x 28L</t>
  </si>
  <si>
    <t>B0DX244HTK</t>
  </si>
  <si>
    <t>197153295800</t>
  </si>
  <si>
    <t>AEMN49469M25-Tinted Medium Blue_31wx30l</t>
  </si>
  <si>
    <t>Amazon Essentials Men's Straight-Fit Jeans, Midweight Vintage Inspired Denim, Fitted Through Hip and Thigh, Tinted Medium Blue, 31W x 30L</t>
  </si>
  <si>
    <t>B0DX243PCZ</t>
  </si>
  <si>
    <t>197153303239</t>
  </si>
  <si>
    <t>AEMN30315M25-Tinted Dark Wash_42wx30l</t>
  </si>
  <si>
    <t>Amazon Essentials Men's Men's Heavyweight Stretch Skinny-Fit Jean, Tinted Dark Wash, 42Wx30L</t>
  </si>
  <si>
    <t>B0DX242WHT</t>
  </si>
  <si>
    <t>197153304946</t>
  </si>
  <si>
    <t>AEMN64413M25-Black_29wx32l</t>
  </si>
  <si>
    <t>Amazon Essentials Men's Men's Heavyweight Stretch Straight-Fit Jean, Black-Heavyweight, 29WX32L</t>
  </si>
  <si>
    <t>B0DX2426MV</t>
  </si>
  <si>
    <t>197153295459</t>
  </si>
  <si>
    <t>AEMN49469M25-Tinted Medium Blue_30wx32l</t>
  </si>
  <si>
    <t>Amazon Essentials Men's Straight-Fit Jeans, Midweight Vintage Inspired Denim, Fitted Through Hip and Thigh, Tinted Medium Blue, 30W x 32L</t>
  </si>
  <si>
    <t>B0DX241PY3</t>
  </si>
  <si>
    <t>197153303543</t>
  </si>
  <si>
    <t>AEMN30315M25-Stone Medium Wash_38wx30l</t>
  </si>
  <si>
    <t>Amazon Essentials Men's Men's Heavyweight Stretch Skinny-Fit Jean, Stone Medium Wash, 38Wx30L</t>
  </si>
  <si>
    <t>B0DX241LW7</t>
  </si>
  <si>
    <t>197153303321</t>
  </si>
  <si>
    <t>AEMN30315M25-Tinted Dark Wash_34wx30l</t>
  </si>
  <si>
    <t>Amazon Essentials Men's Medium Stretch Skinny-Fit Jeans, Tinted Dark Wash, 34W x 30L</t>
  </si>
  <si>
    <t>B0DX241DVD</t>
  </si>
  <si>
    <t>197153314044</t>
  </si>
  <si>
    <t>AEMN14928M25-Iced Light Wash_31wx32l</t>
  </si>
  <si>
    <t>Amazon Essentials Men's Low Stretch Slim-Fit Jean, Tapered Leg, Vintage Inspired Midweight Denim, Iced Light Wash, 31W x 32L</t>
  </si>
  <si>
    <t>B0DX23ZZZQ</t>
  </si>
  <si>
    <t>197153302812</t>
  </si>
  <si>
    <t>AEMN30315M25-Black_28wx30l</t>
  </si>
  <si>
    <t>Amazon Essentials Men's Men's Heavyweight Stretch Skinny-Fit Jean, Black, 28Wx30L</t>
  </si>
  <si>
    <t>B0DX23Z61Q</t>
  </si>
  <si>
    <t>197153296388</t>
  </si>
  <si>
    <t>AEMN49469M25-Grey Wash_36wx30l</t>
  </si>
  <si>
    <t>Amazon Essentials Men's Straight-Fit Jeans, Midweight Vintage Inspired Denim, Fitted Through Hip and Thigh, Grey Wash, 36W x 30L</t>
  </si>
  <si>
    <t>B0DX23YX2S</t>
  </si>
  <si>
    <t>197153303192</t>
  </si>
  <si>
    <t>AEMN30315M25-Tinted Dark Wash_42wx28l</t>
  </si>
  <si>
    <t>Amazon Essentials Men's Men's Heavyweight Stretch Skinny-Fit Jean, Tinted Dark Wash, 42WX28L</t>
  </si>
  <si>
    <t>B0DX23YV16</t>
  </si>
  <si>
    <t>197153296784</t>
  </si>
  <si>
    <t>AEMN49469M25-Grey Wash_33wx30l</t>
  </si>
  <si>
    <t>Amazon Essentials Men's Straight-Fit Jeans, Midweight Vintage Inspired Denim, Fitted Through Hip and Thigh, Grey Wash, 33W x 30L</t>
  </si>
  <si>
    <t>B0DX23YNG3</t>
  </si>
  <si>
    <t>197153303390</t>
  </si>
  <si>
    <t>AEMN30315M25-Tinted Dark Wash_35wx32l</t>
  </si>
  <si>
    <t>Amazon Essentials Men's Men's Heavyweight Stretch Skinny-Fit Jean, Tinted Dark Wash, 35WX32L</t>
  </si>
  <si>
    <t>B0DX23XRMX</t>
  </si>
  <si>
    <t>197153296623</t>
  </si>
  <si>
    <t>AEMN49469M25-Grey Wash_34wx30l</t>
  </si>
  <si>
    <t>Amazon Essentials Men's Straight-Fit Jeans, Midweight Vintage Inspired Denim, Fitted Through Hip and Thigh, Grey Wash, 34W x 30L</t>
  </si>
  <si>
    <t>B0DX23XK3W</t>
  </si>
  <si>
    <t>197153296173</t>
  </si>
  <si>
    <t>AEMN49469M25-Dark Midnight Wash_35wx34l</t>
  </si>
  <si>
    <t>Amazon Essentials Men's Straight-Fit Jeans, Midweight Vintage Inspired Denim, Fitted Through Hip and Thigh, Dark Midnight Wash, 35W x 34L</t>
  </si>
  <si>
    <t>B0DX23X112</t>
  </si>
  <si>
    <t>197153296432</t>
  </si>
  <si>
    <t>AEMN49469M25-Grey Wash_40wx30l</t>
  </si>
  <si>
    <t>Amazon Essentials Men's Straight-Fit Jeans, Midweight Vintage Inspired Denim, Fitted Through Hip and Thigh, Grey Wash, 40W x 30L</t>
  </si>
  <si>
    <t>B0DX23WWJZ</t>
  </si>
  <si>
    <t>197153296746</t>
  </si>
  <si>
    <t>AEMN49469M25-Grey Wash_29wx28l</t>
  </si>
  <si>
    <t>Amazon Essentials Men's Straight-Fit Jeans, Midweight Vintage Inspired Denim, Fitted Through Hip and Thigh, Grey Wash, 29W x 28L</t>
  </si>
  <si>
    <t>B0DX23WRT3</t>
  </si>
  <si>
    <t>197153304748</t>
  </si>
  <si>
    <t>AEMN64413M25-Black_40wx32l</t>
  </si>
  <si>
    <t>Amazon Essentials Men's Low Stretch Straight-Fit Jeans, Black-Heavyweight, 40W x 32L</t>
  </si>
  <si>
    <t>B0DX23WJJN</t>
  </si>
  <si>
    <t>197153304625</t>
  </si>
  <si>
    <t>AEMN64413M25-Black_32wx34l</t>
  </si>
  <si>
    <t>Amazon Essentials Men's Men's Heavyweight Stretch Straight-Fit Jean, Black-Heavyweight, 32Wx34L</t>
  </si>
  <si>
    <t>B0DX23WH43</t>
  </si>
  <si>
    <t>197153313771</t>
  </si>
  <si>
    <t>AEMN14928M25-Iced Light Wash_36wx32l</t>
  </si>
  <si>
    <t>Amazon Essentials Men's Low Stretch Slim-Fit Jean, Tapered Leg, Vintage Inspired Midweight Denim, Iced Light Wash, 36W x 32L</t>
  </si>
  <si>
    <t>B0DX23WBRY</t>
  </si>
  <si>
    <t>197153312651</t>
  </si>
  <si>
    <t>AEMN14928M25-Dark Midnight Wash_38wx28l</t>
  </si>
  <si>
    <t>Amazon Essentials Men's Low Stretch Slim-Fit Jean, Tapered Leg, Vintage Inspired Midweight Denim, Dark Midnight Wash, 38W x 28L</t>
  </si>
  <si>
    <t>B0DX23W2BM</t>
  </si>
  <si>
    <t>197153296296</t>
  </si>
  <si>
    <t>AEMN49469M25-Dark Midnight Wash_29wx32l</t>
  </si>
  <si>
    <t>Amazon Essentials Men's Straight-Fit Jeans, Midweight Vintage Inspired Denim, Fitted Through Hip and Thigh, Dark Midnight Wash, 29W x 32L</t>
  </si>
  <si>
    <t>B0DX23VNYB</t>
  </si>
  <si>
    <t>197153302904</t>
  </si>
  <si>
    <t>AEMN30315M25-Black_33wx34l</t>
  </si>
  <si>
    <t>Amazon Essentials Men's Men's Heavyweight Stretch Skinny-Fit Jean, Black, 33WX34L</t>
  </si>
  <si>
    <t>B0DX23VNB2</t>
  </si>
  <si>
    <t>197153295527</t>
  </si>
  <si>
    <t>AEMN49469M25-Tinted Medium Blue_32wx30l</t>
  </si>
  <si>
    <t>Amazon Essentials Men's Straight-Fit Jeans, Midweight Vintage Inspired Denim, Fitted Through Hip and Thigh, Tinted Medium Blue, 32W x 30L</t>
  </si>
  <si>
    <t>B0DX23VL1D</t>
  </si>
  <si>
    <t>197153304045</t>
  </si>
  <si>
    <t>AEMN30315M25-Rinse_32wx30l</t>
  </si>
  <si>
    <t>Amazon Essentials Men's Men's Heavyweight Stretch Skinny-Fit Jean, Rinse, 32Wx30L</t>
  </si>
  <si>
    <t>B0DX23V73M</t>
  </si>
  <si>
    <t>197153314068</t>
  </si>
  <si>
    <t>AEMN14928M25-Iced Light Wash_31wx28l</t>
  </si>
  <si>
    <t>Amazon Essentials Men's Low Stretch Slim-Fit Jean, Tapered Leg, Vintage Inspired Midweight Denim, Iced Light Wash, 31W x 28L</t>
  </si>
  <si>
    <t>B0DX23V4WH</t>
  </si>
  <si>
    <t>197153304038</t>
  </si>
  <si>
    <t>AEMN30315M25-Rinse_32wx34l</t>
  </si>
  <si>
    <t>Amazon Essentials Men's Medium Stretch Skinny-Fit Jeans, Rinse, 32W x 34L</t>
  </si>
  <si>
    <t>B0DX23V362</t>
  </si>
  <si>
    <t>197153304649</t>
  </si>
  <si>
    <t>AEMN64413M25-Black_34wx28l</t>
  </si>
  <si>
    <t>Amazon Essentials Men's Men's Heavyweight Stretch Straight-Fit Jean, Black-Heavyweight, 34WX28L</t>
  </si>
  <si>
    <t>B0DX23TZ1G</t>
  </si>
  <si>
    <t>197153312712</t>
  </si>
  <si>
    <t>AEMN14928M25-Dark Midnight Wash_28wx30l</t>
  </si>
  <si>
    <t>Amazon Essentials Men's Low Stretch Slim-Fit Jean, Tapered Leg, Vintage Inspired Midweight Denim, Dark Midnight Wash, 28W x 30L</t>
  </si>
  <si>
    <t>B0DX23TH9N</t>
  </si>
  <si>
    <t>197153304632</t>
  </si>
  <si>
    <t>AEMN64413M25-Black_38wx34l</t>
  </si>
  <si>
    <t>Amazon Essentials Men's Men's Heavyweight Stretch Straight-Fit Jean, Black-Heavyweight, 38Wx34L</t>
  </si>
  <si>
    <t>B0DX23TB6K</t>
  </si>
  <si>
    <t>197153304809</t>
  </si>
  <si>
    <t>AEMN64413M25-Black_31wx32l</t>
  </si>
  <si>
    <t>Amazon Essentials Men's Men's Heavyweight Stretch Straight-Fit Jean, Black-Heavyweight, 31WX32L</t>
  </si>
  <si>
    <t>B0DX23SV52</t>
  </si>
  <si>
    <t>197153304267</t>
  </si>
  <si>
    <t>AEMN30315M25-Rinse_40wx32l</t>
  </si>
  <si>
    <t>Amazon Essentials Men's Men's Heavyweight Stretch Skinny-Fit Jean, Rinse, 40Wx32L</t>
  </si>
  <si>
    <t>B0DX23SJP4</t>
  </si>
  <si>
    <t>197153302676</t>
  </si>
  <si>
    <t>AEMN30315M25-Black_40wx30l</t>
  </si>
  <si>
    <t>Amazon Essentials Men's Men's Heavyweight Stretch Skinny-Fit Jean, Black, 40Wx30L</t>
  </si>
  <si>
    <t>B0DX23S4KY</t>
  </si>
  <si>
    <t>197153302706</t>
  </si>
  <si>
    <t>AEMN30315M25-Black_28wx32l</t>
  </si>
  <si>
    <t>Amazon Essentials Men's Medium Stretch Skinny-Fit Jeans, Black, 28W x 32L</t>
  </si>
  <si>
    <t>B0DX23RY9J</t>
  </si>
  <si>
    <t>197153302867</t>
  </si>
  <si>
    <t>AEMN30315M25-Black_42wx34l</t>
  </si>
  <si>
    <t>Amazon Essentials Men's Medium Stretch Skinny-Fit Jeans, Black, 42W x 34L</t>
  </si>
  <si>
    <t>B0DX23RFMB</t>
  </si>
  <si>
    <t>197153303741</t>
  </si>
  <si>
    <t>AEMN30315M25-Stone Medium Wash_38wx34l</t>
  </si>
  <si>
    <t>Amazon Essentials Men's Men's Heavyweight Stretch Skinny-Fit Jean, Stone Medium Wash, 38Wx34L</t>
  </si>
  <si>
    <t>B0DX23RDZJ</t>
  </si>
  <si>
    <t>197153303314</t>
  </si>
  <si>
    <t>AEMN30315M25-Tinted Dark Wash_38wx28l</t>
  </si>
  <si>
    <t>Amazon Essentials Men's Men's Heavyweight Stretch Skinny-Fit Jean, Tinted Dark Wash, 38WX28L</t>
  </si>
  <si>
    <t>B0DX23R7NV</t>
  </si>
  <si>
    <t>197153303468</t>
  </si>
  <si>
    <t>AEMN30315M25-Tinted Dark Wash_31wx30l</t>
  </si>
  <si>
    <t>Amazon Essentials Men's Men's Heavyweight Stretch Skinny-Fit Jean, Tinted Dark Wash, 31WX30L</t>
  </si>
  <si>
    <t>B0DX23R6FH</t>
  </si>
  <si>
    <t>197153296678</t>
  </si>
  <si>
    <t>AEMN49469M25-Grey Wash_35wx32l</t>
  </si>
  <si>
    <t>Amazon Essentials Men's Straight-Fit Jeans, Midweight Vintage Inspired Denim, Fitted Through Hip and Thigh, Grey Wash, 35W x 32L</t>
  </si>
  <si>
    <t>B0DX23R6DZ</t>
  </si>
  <si>
    <t>197153296531</t>
  </si>
  <si>
    <t>AEMN49469M25-Grey Wash_40wx32l</t>
  </si>
  <si>
    <t>Amazon Essentials Men's Straight-Fit Jeans, Midweight Vintage Inspired Denim, Fitted Through Hip and Thigh, Grey Wash, 40W x 32L</t>
  </si>
  <si>
    <t>B0DX23QSGB</t>
  </si>
  <si>
    <t>197153295855</t>
  </si>
  <si>
    <t>AEMN49469M25-Dark Midnight Wash_30wx34l</t>
  </si>
  <si>
    <t>Amazon Essentials Men's Straight-Fit Jeans, Midweight Vintage Inspired Denim, Fitted Through Hip and Thigh, Dark Midnight Wash, 30W x 34L</t>
  </si>
  <si>
    <t>B0DX23Q81N</t>
  </si>
  <si>
    <t>197153304588</t>
  </si>
  <si>
    <t>AEMN64413M25-Black_34wx32l</t>
  </si>
  <si>
    <t>Amazon Essentials Men's Men's Heavyweight Stretch Straight-Fit Jean, Black-Heavyweight, 34Wx32L</t>
  </si>
  <si>
    <t>B0DX23Q68Y</t>
  </si>
  <si>
    <t>197153304540</t>
  </si>
  <si>
    <t>AEMN64413M25-Black_42wx32l</t>
  </si>
  <si>
    <t>Amazon Essentials Men's Men's Heavyweight Stretch Straight-Fit Jean, Black-Heavyweight, 42Wx32L</t>
  </si>
  <si>
    <t>B0DX23PZQ1</t>
  </si>
  <si>
    <t>197153304618</t>
  </si>
  <si>
    <t>AEMN64413M25-Black_36wx34l</t>
  </si>
  <si>
    <t>Amazon Essentials Men's Men's Heavyweight Stretch Straight-Fit Jean, Black-Heavyweight, 36Wx34L</t>
  </si>
  <si>
    <t>B0DX23PR5V</t>
  </si>
  <si>
    <t>197153295831</t>
  </si>
  <si>
    <t>AEMN49469M25-Tinted Medium Blue_29wx34l</t>
  </si>
  <si>
    <t>Amazon Essentials Men's Straight-Fit Jeans, Midweight Vintage Inspired Denim, Fitted Through Hip and Thigh, Tinted Medium Blue, 29W x 34L</t>
  </si>
  <si>
    <t>B0DX23PR48</t>
  </si>
  <si>
    <t>197153295565</t>
  </si>
  <si>
    <t>AEMN49469M25-Tinted Medium Blue_30wx30l</t>
  </si>
  <si>
    <t>Amazon Essentials Men's Straight-Fit Jeans, Midweight Vintage Inspired Denim, Fitted Through Hip and Thigh, Tinted Medium Blue, 30W x 30L</t>
  </si>
  <si>
    <t>B0DX23PH7Q</t>
  </si>
  <si>
    <t>197153314013</t>
  </si>
  <si>
    <t>AEMN14928M25-Iced Light Wash_29wx30l</t>
  </si>
  <si>
    <t>Amazon Essentials Men's Low Stretch Slim-Fit Jean, Tapered Leg, Vintage Inspired Midweight Denim, Iced Light Wash, 29W x 30L</t>
  </si>
  <si>
    <t>B0DX23PDDG</t>
  </si>
  <si>
    <t>197153295374</t>
  </si>
  <si>
    <t>AEMN49469M25-Tinted Medium Blue_30wx34l</t>
  </si>
  <si>
    <t>Amazon Essentials Men's Straight-Fit Jeans, Midweight Vintage Inspired Denim, Fitted Through Hip and Thigh, Tinted Medium Blue, 30W x 34L</t>
  </si>
  <si>
    <t>B0DX23NZ5T</t>
  </si>
  <si>
    <t>197153304816</t>
  </si>
  <si>
    <t>AEMN64413M25-Black_29wx30l</t>
  </si>
  <si>
    <t>Amazon Essentials Men's Men's Heavyweight Stretch Straight-Fit Jean, Black-Heavyweight, 29WX30L</t>
  </si>
  <si>
    <t>B0DX23NZ23</t>
  </si>
  <si>
    <t>197153296548</t>
  </si>
  <si>
    <t>AEMN49469M25-Grey Wash_42wx32l</t>
  </si>
  <si>
    <t>Amazon Essentials Men's Straight-Fit Jeans, Midweight Vintage Inspired Denim, Fitted Through Hip and Thigh, Grey Wash, 42W x 32L</t>
  </si>
  <si>
    <t>B0DX23NTGG</t>
  </si>
  <si>
    <t>197153302782</t>
  </si>
  <si>
    <t>AEMN30315M25-Black_38wx34l</t>
  </si>
  <si>
    <t>Amazon Essentials Men's Men's Heavyweight Stretch Skinny-Fit Jean, Black, 38Wx34L</t>
  </si>
  <si>
    <t>B0DX23MWPQ</t>
  </si>
  <si>
    <t>197153303253</t>
  </si>
  <si>
    <t>AEMN30315M25-Tinted Dark Wash_28wx34l</t>
  </si>
  <si>
    <t>Amazon Essentials Men's Medium Stretch Skinny-Fit Jeans, Tinted Dark Wash, 28W x 34L</t>
  </si>
  <si>
    <t>B0DX23MRMH</t>
  </si>
  <si>
    <t>197153296685</t>
  </si>
  <si>
    <t>AEMN49469M25-Grey Wash_33wx32l</t>
  </si>
  <si>
    <t>Amazon Essentials Men's Straight-Fit Jeans, Midweight Vintage Inspired Denim, Fitted Through Hip and Thigh, Grey Wash, 33W x 32L</t>
  </si>
  <si>
    <t>B0DX23MLDN</t>
  </si>
  <si>
    <t>197153304083</t>
  </si>
  <si>
    <t>AEMN30315M25-Rinse_34wx28l</t>
  </si>
  <si>
    <t>Amazon Essentials Men's Men's Heavyweight Stretch Skinny-Fit Jean, Rinse, 34WX28L</t>
  </si>
  <si>
    <t>B0DX23M4WC</t>
  </si>
  <si>
    <t>197153312644</t>
  </si>
  <si>
    <t>AEMN14928M25-Dark Midnight Wash_40wx28l</t>
  </si>
  <si>
    <t>Amazon Essentials Men's Low Stretch Slim-Fit Jean, Tapered Leg, Vintage Inspired Midweight Denim, Dark Midnight Wash, 40W x 28L</t>
  </si>
  <si>
    <t>B0DX23LW5C</t>
  </si>
  <si>
    <t>197153303659</t>
  </si>
  <si>
    <t>AEMN30315M25-Stone Medium Wash_36wx32l</t>
  </si>
  <si>
    <t>Amazon Essentials Men's Men's Heavyweight Stretch Skinny-Fit Jean, Stone Medium Wash, 36Wx32L</t>
  </si>
  <si>
    <t>B0DX23L3Z1</t>
  </si>
  <si>
    <t>197153304861</t>
  </si>
  <si>
    <t>AEMN64413M25-Black_35wx28l</t>
  </si>
  <si>
    <t>Amazon Essentials Men's Men's Heavyweight Stretch Straight-Fit Jean, Black-Heavyweight, 35WX28L</t>
  </si>
  <si>
    <t>B0DX23L27S</t>
  </si>
  <si>
    <t>197153296005</t>
  </si>
  <si>
    <t>AEMN49469M25-Dark Midnight Wash_32wx30l</t>
  </si>
  <si>
    <t>Amazon Essentials Men's Straight-Fit Jeans, Midweight Vintage Inspired Denim, Fitted Through Hip and Thigh, Dark Midnight Wash, 32W x 30L</t>
  </si>
  <si>
    <t>B0DX23KZRN</t>
  </si>
  <si>
    <t>197153304496</t>
  </si>
  <si>
    <t>AEMN64413M25-Black_32wx32l</t>
  </si>
  <si>
    <t>Amazon Essentials Men's Men's Heavyweight Stretch Straight-Fit Jean, Black-Heavyweight, 32Wx32L</t>
  </si>
  <si>
    <t>B0DX23KS5F</t>
  </si>
  <si>
    <t>197153313788</t>
  </si>
  <si>
    <t>AEMN14928M25-Iced Light Wash_30wx34l</t>
  </si>
  <si>
    <t>Amazon Essentials Men's Low Stretch Slim-Fit Jean, Tapered Leg, Vintage Inspired Midweight Denim, Iced Light Wash, 30W x 34L</t>
  </si>
  <si>
    <t>B0DX23KS51</t>
  </si>
  <si>
    <t>197153302898</t>
  </si>
  <si>
    <t>AEMN30315M25-Black_35wx28l</t>
  </si>
  <si>
    <t>Amazon Essentials Men's Medium Stretch Skinny-Fit Jeans, Black, 35W x 28L</t>
  </si>
  <si>
    <t>B0DX23KFTF</t>
  </si>
  <si>
    <t>197153295497</t>
  </si>
  <si>
    <t>AEMN49469M25-Tinted Medium Blue_28wx30l</t>
  </si>
  <si>
    <t>Amazon Essentials Men's Straight-Fit Jeans, Midweight Vintage Inspired Denim, Fitted Through Hip and Thigh, Tinted Medium Blue, 28W x 30L</t>
  </si>
  <si>
    <t>B0DX23KD7B</t>
  </si>
  <si>
    <t>197153295602</t>
  </si>
  <si>
    <t>AEMN49469M25-Tinted Medium Blue_28wx32l</t>
  </si>
  <si>
    <t>Amazon Essentials Men's Straight-Fit Jeans, Midweight Vintage Inspired Denim, Fitted Through Hip and Thigh, Tinted Medium Blue, 28W x 32L</t>
  </si>
  <si>
    <t>B0DX23KCTR</t>
  </si>
  <si>
    <t>197153296753</t>
  </si>
  <si>
    <t>AEMN49469M25-Grey Wash_31wx28l</t>
  </si>
  <si>
    <t>Amazon Essentials Men's Straight-Fit Jeans, Midweight Vintage Inspired Denim, Fitted Through Hip and Thigh, Grey Wash, 31W x 28L</t>
  </si>
  <si>
    <t>B0DX23JZT5</t>
  </si>
  <si>
    <t>197153304533</t>
  </si>
  <si>
    <t>AEMN64413M25-Black_38wx32l</t>
  </si>
  <si>
    <t>Amazon Essentials Men's Men's Heavyweight Stretch Straight-Fit Jean, Black-Heavyweight, 38Wx32L</t>
  </si>
  <si>
    <t>B0DX23JTLC</t>
  </si>
  <si>
    <t>197153302966</t>
  </si>
  <si>
    <t>AEMN30315M25-Black_35wx34l</t>
  </si>
  <si>
    <t>Amazon Essentials Men's Medium Stretch Skinny-Fit Jeans, Black, 35W x 34L</t>
  </si>
  <si>
    <t>B0DX23JNBH</t>
  </si>
  <si>
    <t>197153295381</t>
  </si>
  <si>
    <t>AEMN49469M25-Tinted Medium Blue_42wx30l</t>
  </si>
  <si>
    <t>Amazon Essentials Men's Straight-Fit Jeans, Midweight Vintage Inspired Denim, Fitted Through Hip and Thigh, Tinted Medium Blue, 42W x 30L</t>
  </si>
  <si>
    <t>B0DX23J14M</t>
  </si>
  <si>
    <t>197153296586</t>
  </si>
  <si>
    <t>AEMN49469M25-Grey Wash_32wx32l</t>
  </si>
  <si>
    <t>Amazon Essentials Men's Straight-Fit Jeans, Midweight Vintage Inspired Denim, Fitted Through Hip and Thigh, Grey Wash, 32W x 32L</t>
  </si>
  <si>
    <t>B0DX23HBQG</t>
  </si>
  <si>
    <t>197153296647</t>
  </si>
  <si>
    <t>AEMN49469M25-Grey Wash_35wx28l</t>
  </si>
  <si>
    <t>Amazon Essentials Men's Straight-Fit Jeans, Midweight Vintage Inspired Denim, Fitted Through Hip and Thigh, Grey Wash, 35W x 28L</t>
  </si>
  <si>
    <t>B0DX23H3GW</t>
  </si>
  <si>
    <t>197153304724</t>
  </si>
  <si>
    <t>AEMN64413M25-Black_34wx34l</t>
  </si>
  <si>
    <t>Amazon Essentials Men's Men's Heavyweight Stretch Straight-Fit Jean, Black-Heavyweight, 34Wx34L</t>
  </si>
  <si>
    <t>B0DX23H3DF</t>
  </si>
  <si>
    <t>197153304236</t>
  </si>
  <si>
    <t>AEMN30315M25-Rinse_34wx32l</t>
  </si>
  <si>
    <t>Amazon Essentials Men's Men's Heavyweight Stretch Skinny-Fit Jean, Rinse, 34Wx32L</t>
  </si>
  <si>
    <t>B0DX23GRT9</t>
  </si>
  <si>
    <t>197153303840</t>
  </si>
  <si>
    <t>AEMN30315M25-Stone Medium Wash_35wx30l</t>
  </si>
  <si>
    <t>Amazon Essentials Men's Men's Heavyweight Stretch Skinny-Fit Jean, Stone Medium Wash, 35WX30L</t>
  </si>
  <si>
    <t>B0DX23GMWR</t>
  </si>
  <si>
    <t>197153296715</t>
  </si>
  <si>
    <t>AEMN49469M25-Grey Wash_29wx30l</t>
  </si>
  <si>
    <t>Amazon Essentials Men's Straight-Fit Jeans, Midweight Vintage Inspired Denim, Fitted Through Hip and Thigh, Grey Wash, 29W x 30L</t>
  </si>
  <si>
    <t>B0DX23GMVC</t>
  </si>
  <si>
    <t>197153296463</t>
  </si>
  <si>
    <t>AEMN49469M25-Grey Wash_34wx32l</t>
  </si>
  <si>
    <t>Amazon Essentials Men's Straight-Fit Jeans, Midweight Vintage Inspired Denim, Fitted Through Hip and Thigh, Grey Wash, 34W x 32L</t>
  </si>
  <si>
    <t>B0DX23GMRV</t>
  </si>
  <si>
    <t>197153296081</t>
  </si>
  <si>
    <t>AEMN49469M25-Dark Midnight Wash_28wx32l</t>
  </si>
  <si>
    <t>Amazon Essentials Men's Straight-Fit Jeans, Midweight Vintage Inspired Denim, Fitted Through Hip and Thigh, Dark Midnight Wash, 28W x 32L</t>
  </si>
  <si>
    <t>B0DX23FJV7</t>
  </si>
  <si>
    <t>197153296760</t>
  </si>
  <si>
    <t>AEMN49469M25-Grey Wash_31wx30l</t>
  </si>
  <si>
    <t>Amazon Essentials Men's Straight-Fit Jeans, Midweight Vintage Inspired Denim, Fitted Through Hip and Thigh, Grey Wash, 31W x 30L</t>
  </si>
  <si>
    <t>B0DX23FC47</t>
  </si>
  <si>
    <t>197153296739</t>
  </si>
  <si>
    <t>AEMN49469M25-Grey Wash_31wx34l</t>
  </si>
  <si>
    <t>Amazon Essentials Men's Straight-Fit Jeans, Midweight Vintage Inspired Denim, Fitted Through Hip and Thigh, Grey Wash, 31W x 34L</t>
  </si>
  <si>
    <t>B0DX23FBDC</t>
  </si>
  <si>
    <t>197153303703</t>
  </si>
  <si>
    <t>AEMN30315M25-Stone Medium Wash_38wx32l</t>
  </si>
  <si>
    <t>Amazon Essentials Men's Men's Heavyweight Stretch Skinny-Fit Jean, Stone Medium Wash, 38Wx32L</t>
  </si>
  <si>
    <t>B0DX23F5RS</t>
  </si>
  <si>
    <t>197153313917</t>
  </si>
  <si>
    <t>AEMN14928M25-Iced Light Wash_32wx32l</t>
  </si>
  <si>
    <t>Amazon Essentials Men's Low Stretch Slim-Fit Jean, Tapered Leg, Vintage Inspired Midweight Denim, Iced Light Wash, 32W x 32L</t>
  </si>
  <si>
    <t>B0DX23DFZ8</t>
  </si>
  <si>
    <t>197153303833</t>
  </si>
  <si>
    <t>AEMN30315M25-Stone Medium Wash_32wx28l</t>
  </si>
  <si>
    <t>Amazon Essentials Men's Men's Heavyweight Stretch Skinny-Fit Jean, Stone Medium Wash, 32WX28L</t>
  </si>
  <si>
    <t>B0DX23CYXD</t>
  </si>
  <si>
    <t>197153296067</t>
  </si>
  <si>
    <t>AEMN49469M25-Dark Midnight Wash_42wx32l</t>
  </si>
  <si>
    <t>Amazon Essentials Men's Straight-Fit Jeans, Midweight Vintage Inspired Denim, Fitted Through Hip and Thigh, Dark Midnight Wash, 42W x 32L</t>
  </si>
  <si>
    <t>B0DX23CLHV</t>
  </si>
  <si>
    <t>197153302799</t>
  </si>
  <si>
    <t>AEMN30315M25-Black_34wx32l</t>
  </si>
  <si>
    <t>Amazon Essentials Men's Men's Heavyweight Stretch Skinny-Fit Jean, Black, 34Wx32L</t>
  </si>
  <si>
    <t>B0DX23CFZY</t>
  </si>
  <si>
    <t>197153295398</t>
  </si>
  <si>
    <t>AEMN49469M25-Tinted Medium Blue_28wx28l</t>
  </si>
  <si>
    <t>Amazon Essentials Men's Straight-Fit Jeans, Midweight Vintage Inspired Denim, Fitted Through Hip and Thigh, Tinted Medium Blue, 28W x 28L</t>
  </si>
  <si>
    <t>B0DX23CF2K</t>
  </si>
  <si>
    <t>197153303635</t>
  </si>
  <si>
    <t>AEMN30315M25-Stone Medium Wash_40wx30l</t>
  </si>
  <si>
    <t>Amazon Essentials Men's Men's Heavyweight Stretch Skinny-Fit Jean, Stone Medium Wash, 40Wx30L</t>
  </si>
  <si>
    <t>B0DX23C78C</t>
  </si>
  <si>
    <t>197153304021</t>
  </si>
  <si>
    <t>AEMN30315M25-Rinse_38wx30l</t>
  </si>
  <si>
    <t>Amazon Essentials Men's Men's Heavyweight Stretch Skinny-Fit Jean, Rinse, 38Wx30L</t>
  </si>
  <si>
    <t>B0DX23BQ7F</t>
  </si>
  <si>
    <t>197153303611</t>
  </si>
  <si>
    <t>AEMN30315M25-Stone Medium Wash_30wx34l</t>
  </si>
  <si>
    <t>Amazon Essentials Men's Men's Heavyweight Stretch Skinny-Fit Jean, Stone Medium Wash, 30Wx34L</t>
  </si>
  <si>
    <t>B0DX23BJGG</t>
  </si>
  <si>
    <t>197153302850</t>
  </si>
  <si>
    <t>AEMN30315M25-Black_28wx28l</t>
  </si>
  <si>
    <t>Amazon Essentials Men's Men's Heavyweight Stretch Skinny-Fit Jean, Black, 28WX28L</t>
  </si>
  <si>
    <t>B0DX23BJ25</t>
  </si>
  <si>
    <t>197153302942</t>
  </si>
  <si>
    <t>AEMN30315M25-Black_33wx28l</t>
  </si>
  <si>
    <t>Amazon Essentials Men's Men's Heavyweight Stretch Skinny-Fit Jean, Black, 33WX28L</t>
  </si>
  <si>
    <t>B0DX23B22Q</t>
  </si>
  <si>
    <t>197153303406</t>
  </si>
  <si>
    <t>AEMN30315M25-Tinted Dark Wash_31wx32l</t>
  </si>
  <si>
    <t>Amazon Essentials Men's Men's Heavyweight Stretch Skinny-Fit Jean, Tinted Dark Wash, 31WX32L</t>
  </si>
  <si>
    <t>B0DX239GR5</t>
  </si>
  <si>
    <t>197153296562</t>
  </si>
  <si>
    <t>AEMN49469M25-Grey Wash_28wx32l</t>
  </si>
  <si>
    <t>Amazon Essentials Men's Straight-Fit Jeans, Midweight Vintage Inspired Denim, Fitted Through Hip and Thigh, Grey Wash, 28W x 32L</t>
  </si>
  <si>
    <t>B0DX239DJQ</t>
  </si>
  <si>
    <t>197153296333</t>
  </si>
  <si>
    <t>AEMN49469M25-Grey Wash_30wx34l</t>
  </si>
  <si>
    <t>Amazon Essentials Men's Straight-Fit Jeans, Midweight Vintage Inspired Denim, Fitted Through Hip and Thigh, Grey Wash, 30W x 34L</t>
  </si>
  <si>
    <t>B0DX2395KJ</t>
  </si>
  <si>
    <t>197153295817</t>
  </si>
  <si>
    <t>AEMN49469M25-Tinted Medium Blue_29wx32l</t>
  </si>
  <si>
    <t>Amazon Essentials Men's Straight-Fit Jeans, Midweight Vintage Inspired Denim, Fitted Through Hip and Thigh, Tinted Medium Blue, 29W x 32L</t>
  </si>
  <si>
    <t>B0DX23956H</t>
  </si>
  <si>
    <t>197153304311</t>
  </si>
  <si>
    <t>AEMN30315M25-Rinse_32wx28l</t>
  </si>
  <si>
    <t>Amazon Essentials Men's Men's Heavyweight Stretch Skinny-Fit Jean, Rinse, 32WX28L</t>
  </si>
  <si>
    <t>B0DX239529</t>
  </si>
  <si>
    <t>197153296104</t>
  </si>
  <si>
    <t>AEMN49469M25-Dark Midnight Wash_32wx32l</t>
  </si>
  <si>
    <t>Amazon Essentials Men's Straight-Fit Jeans, Midweight Vintage Inspired Denim, Fitted Through Hip and Thigh, Dark Midnight Wash, 32W x 32L</t>
  </si>
  <si>
    <t>B0DX238KSN</t>
  </si>
  <si>
    <t>197153304168</t>
  </si>
  <si>
    <t>AEMN30315M25-Rinse_40wx28l</t>
  </si>
  <si>
    <t>Amazon Essentials Men's Men's Heavyweight Stretch Skinny-Fit Jean, Rinse, 40WX28L</t>
  </si>
  <si>
    <t>B0DX238K8K</t>
  </si>
  <si>
    <t>197153296579</t>
  </si>
  <si>
    <t>AEMN49469M25-Grey Wash_38wx32l</t>
  </si>
  <si>
    <t>Amazon Essentials Men's Straight-Fit Jeans, Midweight Vintage Inspired Denim, Fitted Through Hip and Thigh, Grey Wash, 38W x 32L</t>
  </si>
  <si>
    <t>B0DX2382RC</t>
  </si>
  <si>
    <t>197153296302</t>
  </si>
  <si>
    <t>AEMN49469M25-Dark Midnight Wash_33wx30l</t>
  </si>
  <si>
    <t>Amazon Essentials Men's Straight-Fit Jeans, Midweight Vintage Inspired Denim, Fitted Through Hip and Thigh, Dark Midnight Wash, 33W x 30L</t>
  </si>
  <si>
    <t>B0DX237TD5</t>
  </si>
  <si>
    <t>197153304489</t>
  </si>
  <si>
    <t>AEMN64413M25-Black_30wx34l</t>
  </si>
  <si>
    <t>Amazon Essentials Men's Men's Heavyweight Stretch Straight-Fit Jean, Black-Heavyweight, 30Wx34L</t>
  </si>
  <si>
    <t>B0DX237PSS</t>
  </si>
  <si>
    <t>197153303451</t>
  </si>
  <si>
    <t>AEMN30315M25-Tinted Dark Wash_31wx28l</t>
  </si>
  <si>
    <t>Amazon Essentials Men's Men's Heavyweight Stretch Skinny-Fit Jean, Tinted Dark Wash, 31WX28L</t>
  </si>
  <si>
    <t>B0DX23768S</t>
  </si>
  <si>
    <t>197153303895</t>
  </si>
  <si>
    <t>AEMN30315M25-Stone Medium Wash_29wx30l</t>
  </si>
  <si>
    <t>Amazon Essentials Men's Men's Heavyweight Stretch Skinny-Fit Jean, Stone Medium Wash, 29WX30L</t>
  </si>
  <si>
    <t>B0DX236SL2</t>
  </si>
  <si>
    <t>197153303093</t>
  </si>
  <si>
    <t>AEMN30315M25-Tinted Dark Wash_36wx28l</t>
  </si>
  <si>
    <t>Amazon Essentials Men's Men's Heavyweight Stretch Skinny-Fit Jean, Tinted Dark Wash, 36WX28L</t>
  </si>
  <si>
    <t>B0DX236K69</t>
  </si>
  <si>
    <t>197153303031</t>
  </si>
  <si>
    <t>AEMN30315M25-Black_33wx30l</t>
  </si>
  <si>
    <t>Amazon Essentials Men's Men's Heavyweight Stretch Skinny-Fit Jean, Black, 33WX30L</t>
  </si>
  <si>
    <t>B0DX2363WQ</t>
  </si>
  <si>
    <t>197153304281</t>
  </si>
  <si>
    <t>AEMN30315M25-Rinse_34wx30l</t>
  </si>
  <si>
    <t>Amazon Essentials Men's Men's Heavyweight Stretch Skinny-Fit Jean, Rinse, 34Wx30L</t>
  </si>
  <si>
    <t>B0DX235TY9</t>
  </si>
  <si>
    <t>197153303697</t>
  </si>
  <si>
    <t>AEMN30315M25-Stone Medium Wash_30wx30l</t>
  </si>
  <si>
    <t>Amazon Essentials Men's Men's Heavyweight Stretch Skinny-Fit Jean, Stone Medium Wash, 30Wx30L</t>
  </si>
  <si>
    <t>B0DX235L85</t>
  </si>
  <si>
    <t>197153304434</t>
  </si>
  <si>
    <t>AEMN30315M25-Rinse_29wx28l</t>
  </si>
  <si>
    <t>Amazon Essentials Men's Medium Stretch Skinny-Fit Jeans, Rinse, 29W x 28L</t>
  </si>
  <si>
    <t>B0DX2343X6</t>
  </si>
  <si>
    <t>197153313825</t>
  </si>
  <si>
    <t>AEMN14928M25-Iced Light Wash_36wx30l</t>
  </si>
  <si>
    <t>Amazon Essentials Men's Low Stretch Slim-Fit Jean, Tapered Leg, Vintage Inspired Midweight Denim, Iced Light Wash, 36W x 30L</t>
  </si>
  <si>
    <t>B0DX233JKT</t>
  </si>
  <si>
    <t>197153313078</t>
  </si>
  <si>
    <t>AEMN14928M25-Dark Midnight Wash_35wx28l</t>
  </si>
  <si>
    <t>Amazon Essentials Men's Low Stretch Slim-Fit Jean, Tapered Leg, Vintage Inspired Midweight Denim, Dark Midnight Wash, 35W x 28L</t>
  </si>
  <si>
    <t>B0DX233FSP</t>
  </si>
  <si>
    <t>197153296692</t>
  </si>
  <si>
    <t>AEMN49469M25-Grey Wash_33wx34l</t>
  </si>
  <si>
    <t>Amazon Essentials Men's Straight-Fit Jeans, Midweight Vintage Inspired Denim, Fitted Through Hip and Thigh, Grey Wash, 33W x 34L</t>
  </si>
  <si>
    <t>B0DX232VPS</t>
  </si>
  <si>
    <t>197153304847</t>
  </si>
  <si>
    <t>AEMN64413M25-Black_35wx32l</t>
  </si>
  <si>
    <t>Amazon Essentials Men's Men's Heavyweight Stretch Straight-Fit Jean, Black-Heavyweight, 35WX32L</t>
  </si>
  <si>
    <t>B0DX232RRK</t>
  </si>
  <si>
    <t>197153303864</t>
  </si>
  <si>
    <t>AEMN30315M25-Stone Medium Wash_33wx34l</t>
  </si>
  <si>
    <t>Amazon Essentials Men's Men's Heavyweight Stretch Skinny-Fit Jean, Stone Medium Wash, 33WX34L</t>
  </si>
  <si>
    <t>B0DX232MLM</t>
  </si>
  <si>
    <t>197153303710</t>
  </si>
  <si>
    <t>AEMN30315M25-Stone Medium Wash_42wx30l</t>
  </si>
  <si>
    <t>Amazon Essentials Men's Men's Heavyweight Stretch Skinny-Fit Jean, Stone Medium Wash, 42Wx30L</t>
  </si>
  <si>
    <t>B0DX232G69</t>
  </si>
  <si>
    <t>197153295510</t>
  </si>
  <si>
    <t>AEMN49469M25-Tinted Medium Blue_34wx34l</t>
  </si>
  <si>
    <t>Amazon Essentials Men's Straight-Fit Jeans, Midweight Vintage Inspired Denim, Fitted Through Hip and Thigh, Tinted Medium Blue, 34W x 34L</t>
  </si>
  <si>
    <t>B0DX23277L</t>
  </si>
  <si>
    <t>197153304793</t>
  </si>
  <si>
    <t>AEMN64413M25-Black_40wx28l</t>
  </si>
  <si>
    <t>Amazon Essentials Men's Men's Heavyweight Stretch Straight-Fit Jean, Black-Heavyweight, 40WX28L</t>
  </si>
  <si>
    <t>B0DX231TS3</t>
  </si>
  <si>
    <t>197153312668</t>
  </si>
  <si>
    <t>AEMN14928M25-Dark Midnight Wash_28wx34l</t>
  </si>
  <si>
    <t>Amazon Essentials Men's Low Stretch Slim-Fit Jean, Tapered Leg, Vintage Inspired Midweight Denim, Dark Midnight Wash, 28W x 34L</t>
  </si>
  <si>
    <t>B0DX231PMC</t>
  </si>
  <si>
    <t>197153295572</t>
  </si>
  <si>
    <t>AEMN49469M25-Tinted Medium Blue_40wx32l</t>
  </si>
  <si>
    <t>Amazon Essentials Men's Straight-Fit Jeans, Midweight Vintage Inspired Denim, Fitted Through Hip and Thigh, Tinted Medium Blue, 40W x 32L</t>
  </si>
  <si>
    <t>B0DX231MWG</t>
  </si>
  <si>
    <t>197153295879</t>
  </si>
  <si>
    <t>AEMN49469M25-Dark Midnight Wash_28wx28l</t>
  </si>
  <si>
    <t>Amazon Essentials Men's Straight-Fit Jeans, Midweight Vintage Inspired Denim, Fitted Through Hip and Thigh, Dark Midnight Wash, 28W x 28L</t>
  </si>
  <si>
    <t>B0DX231HG5</t>
  </si>
  <si>
    <t>197153295725</t>
  </si>
  <si>
    <t>AEMN49469M25-Tinted Medium Blue_33wx32l</t>
  </si>
  <si>
    <t>Amazon Essentials Men's Straight-Fit Jeans, Midweight Vintage Inspired Denim, Fitted Through Hip and Thigh, Tinted Medium Blue, 33W x 32L</t>
  </si>
  <si>
    <t>B0DX231GY1</t>
  </si>
  <si>
    <t>197153313641</t>
  </si>
  <si>
    <t>AEMN14928M25-Iced Light Wash_34wx32l</t>
  </si>
  <si>
    <t>Amazon Essentials Men's Low Stretch Slim-Fit Jean, Tapered Leg, Vintage Inspired Midweight Denim, Iced Light Wash, 34W x 32L</t>
  </si>
  <si>
    <t>B0DX23194L</t>
  </si>
  <si>
    <t>197153296470</t>
  </si>
  <si>
    <t>AEMN49469M25-Grey Wash_34wx34l</t>
  </si>
  <si>
    <t>Amazon Essentials Men's Straight-Fit Jeans, Midweight Vintage Inspired Denim, Fitted Through Hip and Thigh, Grey Wash, 34W x 34L</t>
  </si>
  <si>
    <t>B0DX22ZZLJ</t>
  </si>
  <si>
    <t>197153304380</t>
  </si>
  <si>
    <t>AEMN30315M25-Rinse_33wx28l</t>
  </si>
  <si>
    <t>Amazon Essentials Men's Men's Heavyweight Stretch Skinny-Fit Jean, Rinse, 33WX28L</t>
  </si>
  <si>
    <t>B0DX22ZZKQ</t>
  </si>
  <si>
    <t>197153296456</t>
  </si>
  <si>
    <t>AEMN49469M25-Grey Wash_28wx30l</t>
  </si>
  <si>
    <t>Amazon Essentials Men's Straight-Fit Jeans, Midweight Vintage Inspired Denim, Fitted Through Hip and Thigh, Grey Wash, 28W x 30L</t>
  </si>
  <si>
    <t>B0DX22ZTY4</t>
  </si>
  <si>
    <t>197153295732</t>
  </si>
  <si>
    <t>AEMN49469M25-Tinted Medium Blue_33wx34l</t>
  </si>
  <si>
    <t>Amazon Essentials Men's Straight-Fit Jeans, Midweight Vintage Inspired Denim, Fitted Through Hip and Thigh, Tinted Medium Blue, 33W x 34L</t>
  </si>
  <si>
    <t>B0DX22ZR14</t>
  </si>
  <si>
    <t>197153296616</t>
  </si>
  <si>
    <t>AEMN49469M25-Grey Wash_36wx28l</t>
  </si>
  <si>
    <t>Amazon Essentials Men's Straight-Fit Jeans, Midweight Vintage Inspired Denim, Fitted Through Hip and Thigh, Grey Wash, 36W x 28L</t>
  </si>
  <si>
    <t>B0DX22YVYL</t>
  </si>
  <si>
    <t>197153304755</t>
  </si>
  <si>
    <t>AEMN64413M25-Black_36wx30l</t>
  </si>
  <si>
    <t>Amazon Essentials Men's Men's Heavyweight Stretch Straight-Fit Jean, Black-Heavyweight, 36Wx30L</t>
  </si>
  <si>
    <t>B0DX22YB8T</t>
  </si>
  <si>
    <t>197153304601</t>
  </si>
  <si>
    <t>AEMN64413M25-Black_28wx30l</t>
  </si>
  <si>
    <t>Amazon Essentials Men's Men's Heavyweight Stretch Straight-Fit Jean, Black-Heavyweight, 28Wx30L</t>
  </si>
  <si>
    <t>B0DX22Y6LW</t>
  </si>
  <si>
    <t>197153296371</t>
  </si>
  <si>
    <t>AEMN49469M25-Grey Wash_42wx28l</t>
  </si>
  <si>
    <t>Amazon Essentials Men's Straight-Fit Jeans, Midweight Vintage Inspired Denim, Fitted Through Hip and Thigh, Grey Wash, 42W x 28L</t>
  </si>
  <si>
    <t>B0DX22XXKS</t>
  </si>
  <si>
    <t>197153296609</t>
  </si>
  <si>
    <t>AEMN49469M25-Grey Wash_32wx28l</t>
  </si>
  <si>
    <t>Amazon Essentials Men's Straight-Fit Jeans, Midweight Vintage Inspired Denim, Fitted Through Hip and Thigh, Grey Wash, 32W x 28L</t>
  </si>
  <si>
    <t>B0DX22WV27</t>
  </si>
  <si>
    <t>197153296319</t>
  </si>
  <si>
    <t>AEMN49469M25-Dark Midnight Wash_29wx34l</t>
  </si>
  <si>
    <t>Amazon Essentials Men's Straight-Fit Jeans, Midweight Vintage Inspired Denim, Fitted Through Hip and Thigh, Dark Midnight Wash, 29W x 34L</t>
  </si>
  <si>
    <t>B0DX22WCN4</t>
  </si>
  <si>
    <t>197153313061</t>
  </si>
  <si>
    <t>AEMN14928M25-Dark Midnight Wash_33wx28l</t>
  </si>
  <si>
    <t>Amazon Essentials Men's Low Stretch Slim-Fit Jean, Tapered Leg, Vintage Inspired Midweight Denim, Dark Midnight Wash, 33W x 28L</t>
  </si>
  <si>
    <t>B0DX22TT88</t>
  </si>
  <si>
    <t>197153304564</t>
  </si>
  <si>
    <t>AEMN64413M25-Black_36wx28l</t>
  </si>
  <si>
    <t>Amazon Essentials Men's Men's Heavyweight Stretch Straight-Fit Jean, Black-Heavyweight, 36WX28L</t>
  </si>
  <si>
    <t>B0DX22TQFX</t>
  </si>
  <si>
    <t>197153296043</t>
  </si>
  <si>
    <t>AEMN49469M25-Dark Midnight Wash_30wx30l</t>
  </si>
  <si>
    <t>Amazon Essentials Men's Straight-Fit Jeans, Midweight Vintage Inspired Denim, Fitted Through Hip and Thigh, Dark Midnight Wash, 30W x 30L</t>
  </si>
  <si>
    <t>B0DX22TKP5</t>
  </si>
  <si>
    <t>197153304397</t>
  </si>
  <si>
    <t>AEMN30315M25-Rinse_33wx32l</t>
  </si>
  <si>
    <t>Amazon Essentials Men's Medium Stretch Skinny-Fit Jeans, Rinse, 33W x 32L</t>
  </si>
  <si>
    <t>B0DX22T78C</t>
  </si>
  <si>
    <t>197153296197</t>
  </si>
  <si>
    <t>AEMN49469M25-Dark Midnight Wash_35wx32l</t>
  </si>
  <si>
    <t>Amazon Essentials Men's Straight-Fit Jeans, Midweight Vintage Inspired Denim, Fitted Through Hip and Thigh, Dark Midnight Wash, 35W x 32L</t>
  </si>
  <si>
    <t>B0DX22RWCB</t>
  </si>
  <si>
    <t>197153304953</t>
  </si>
  <si>
    <t>AEMN64413M25-Black_31wx28l</t>
  </si>
  <si>
    <t>Amazon Essentials Men's Men's Heavyweight Stretch Straight-Fit Jean, Black-Heavyweight, 31WX28L</t>
  </si>
  <si>
    <t>B0DX22R1ZL</t>
  </si>
  <si>
    <t>197153296289</t>
  </si>
  <si>
    <t>AEMN49469M25-Dark Midnight Wash_31wx30l</t>
  </si>
  <si>
    <t>Amazon Essentials Men's Straight-Fit Jeans, Midweight Vintage Inspired Denim, Fitted Through Hip and Thigh, Dark Midnight Wash, 31W x 30L</t>
  </si>
  <si>
    <t>B0DX22QB96</t>
  </si>
  <si>
    <t>197153296555</t>
  </si>
  <si>
    <t>AEMN49469M25-Grey Wash_42wx34l</t>
  </si>
  <si>
    <t>Amazon Essentials Men's Straight-Fit Jeans, Midweight Vintage Inspired Denim, Fitted Through Hip and Thigh, Grey Wash, 42W x 34L</t>
  </si>
  <si>
    <t>B0DX22QB7Z</t>
  </si>
  <si>
    <t>197153296234</t>
  </si>
  <si>
    <t>AEMN49469M25-Dark Midnight Wash_29wx30l</t>
  </si>
  <si>
    <t>Amazon Essentials Men's Straight-Fit Jeans, Midweight Vintage Inspired Denim, Fitted Through Hip and Thigh, Dark Midnight Wash, 29W x 30L</t>
  </si>
  <si>
    <t>B0DX22PSS6</t>
  </si>
  <si>
    <t>197153304878</t>
  </si>
  <si>
    <t>AEMN64413M25-Black_33wx34l</t>
  </si>
  <si>
    <t>Amazon Essentials Men's Men's Heavyweight Stretch Straight-Fit Jean, Black-Heavyweight, 33WX34L</t>
  </si>
  <si>
    <t>B0DX22PL4L</t>
  </si>
  <si>
    <t>197153312927</t>
  </si>
  <si>
    <t>AEMN14928M25-Dark Midnight Wash_34wx30l</t>
  </si>
  <si>
    <t>Amazon Essentials Men's Low Stretch Slim-Fit Jean, Tapered Leg, Vintage Inspired Midweight Denim, Dark Midnight Wash, 34W x 30L</t>
  </si>
  <si>
    <t>B0DX22PH77</t>
  </si>
  <si>
    <t>197153312859</t>
  </si>
  <si>
    <t>AEMN14928M25-Dark Midnight Wash_28wx32l</t>
  </si>
  <si>
    <t>Amazon Essentials Men's Low Stretch Slim-Fit Jean, Tapered Leg, Vintage Inspired Midweight Denim, Dark Midnight Wash, 28W x 32L</t>
  </si>
  <si>
    <t>B0DX22NJ1H</t>
  </si>
  <si>
    <t>197153296418</t>
  </si>
  <si>
    <t>AEMN49469M25-Grey Wash_30wx32l</t>
  </si>
  <si>
    <t>Amazon Essentials Men's Straight-Fit Jeans, Midweight Vintage Inspired Denim, Fitted Through Hip and Thigh, Grey Wash, 30W x 32L</t>
  </si>
  <si>
    <t>B0DX22N3M5</t>
  </si>
  <si>
    <t>197153303413</t>
  </si>
  <si>
    <t>AEMN30315M25-Tinted Dark Wash_29wx30l</t>
  </si>
  <si>
    <t>Amazon Essentials Men's Men's Heavyweight Stretch Skinny-Fit Jean, Tinted Dark Wash, 29WX30L</t>
  </si>
  <si>
    <t>B0DX22KHK5</t>
  </si>
  <si>
    <t>197153304823</t>
  </si>
  <si>
    <t>AEMN64413M25-Black_33wx28l</t>
  </si>
  <si>
    <t>Amazon Essentials Men's Men's Heavyweight Stretch Straight-Fit Jean, Black-Heavyweight, 33WX28L</t>
  </si>
  <si>
    <t>B0DX22KDCR</t>
  </si>
  <si>
    <t>197153304243</t>
  </si>
  <si>
    <t>AEMN30315M25-Rinse_40wx34l</t>
  </si>
  <si>
    <t>Amazon Essentials Men's Medium Stretch Skinny-Fit Jeans, Rinse, 40W x 34L</t>
  </si>
  <si>
    <t>B0DX22JBK4</t>
  </si>
  <si>
    <t>197153304885</t>
  </si>
  <si>
    <t>AEMN64413M25-Black_33wx30l</t>
  </si>
  <si>
    <t>Amazon Essentials Men's Men's Heavyweight Stretch Straight-Fit Jean, Black-Heavyweight, 33WX30L</t>
  </si>
  <si>
    <t>B0DX22H6PV</t>
  </si>
  <si>
    <t>197153296722</t>
  </si>
  <si>
    <t>AEMN49469M25-Grey Wash_31wx32l</t>
  </si>
  <si>
    <t>Amazon Essentials Men's Straight-Fit Jeans, Midweight Vintage Inspired Denim, Fitted Through Hip and Thigh, Grey Wash, 31W x 32L</t>
  </si>
  <si>
    <t>B0DX22H6MM</t>
  </si>
  <si>
    <t>197153296258</t>
  </si>
  <si>
    <t>AEMN49469M25-Dark Midnight Wash_31wx34l</t>
  </si>
  <si>
    <t>Amazon Essentials Men's Straight-Fit Jeans, Midweight Vintage Inspired Denim, Fitted Through Hip and Thigh, Dark Midnight Wash, 31W x 34L</t>
  </si>
  <si>
    <t>B0DX22GJGL</t>
  </si>
  <si>
    <t>197153295718</t>
  </si>
  <si>
    <t>AEMN49469M25-Tinted Medium Blue_35wx32l</t>
  </si>
  <si>
    <t>Amazon Essentials Men's Straight-Fit Jeans, Midweight Vintage Inspired Denim, Fitted Through Hip and Thigh, Tinted Medium Blue, 35W x 32L</t>
  </si>
  <si>
    <t>B0DX22DFJ6</t>
  </si>
  <si>
    <t>197153302560</t>
  </si>
  <si>
    <t>AEMN30315M25-Black_42wx32l</t>
  </si>
  <si>
    <t>Amazon Essentials Men's Men's Heavyweight Stretch Skinny-Fit Jean, Black, 42Wx32L</t>
  </si>
  <si>
    <t>B0DX22CZL6</t>
  </si>
  <si>
    <t>197153302584</t>
  </si>
  <si>
    <t>AEMN30315M25-Black_38wx30l</t>
  </si>
  <si>
    <t>Amazon Essentials Men's Men's Heavyweight Stretch Skinny-Fit Jean, Black, 38Wx30L</t>
  </si>
  <si>
    <t>B0DX22BHDW</t>
  </si>
  <si>
    <t>197153303581</t>
  </si>
  <si>
    <t>AEMN30315M25-Stone Medium Wash_30wx32l</t>
  </si>
  <si>
    <t>Amazon Essentials Men's Men's Heavyweight Stretch Skinny-Fit Jean, Stone Medium Wash, 30Wx32L</t>
  </si>
  <si>
    <t>B0DX22BCRD</t>
  </si>
  <si>
    <t>197153304175</t>
  </si>
  <si>
    <t>AEMN30315M25-Rinse_30wx30l</t>
  </si>
  <si>
    <t>Amazon Essentials Men's Men's Heavyweight Stretch Skinny-Fit Jean, Rinse, 30Wx30L</t>
  </si>
  <si>
    <t>B0DX228VZY</t>
  </si>
  <si>
    <t>197153304687</t>
  </si>
  <si>
    <t>AEMN64413M25-Black_42wx34l</t>
  </si>
  <si>
    <t>Amazon Essentials Men's Men's Heavyweight Stretch Straight-Fit Jean, Black-Heavyweight, 42Wx34L</t>
  </si>
  <si>
    <t>B0DX2263C5</t>
  </si>
  <si>
    <t>197153303536</t>
  </si>
  <si>
    <t>AEMN30315M25-Stone Medium Wash_36wx34l</t>
  </si>
  <si>
    <t>Amazon Essentials Men's Men's Heavyweight Stretch Skinny-Fit Jean, Stone Medium Wash, 36Wx34L</t>
  </si>
  <si>
    <t>B0DX223YQH</t>
  </si>
  <si>
    <t>197153295589</t>
  </si>
  <si>
    <t>AEMN49469M25-Tinted Medium Blue_42wx32l</t>
  </si>
  <si>
    <t>Amazon Essentials Men's Straight-Fit Jeans, Midweight Vintage Inspired Denim, Fitted Through Hip and Thigh, Tinted Medium Blue, 42W x 32L</t>
  </si>
  <si>
    <t>B0DX2235F7</t>
  </si>
  <si>
    <t>197153296449</t>
  </si>
  <si>
    <t>AEMN49469M25-Grey Wash_38wx34l</t>
  </si>
  <si>
    <t>Amazon Essentials Men's Straight-Fit Jeans, Midweight Vintage Inspired Denim, Fitted Through Hip and Thigh, Grey Wash, 38W x 34L</t>
  </si>
  <si>
    <t>B0DX21YVYW</t>
  </si>
  <si>
    <t>197153304717</t>
  </si>
  <si>
    <t>AEMN64413M25-Black_32wx28l</t>
  </si>
  <si>
    <t>Amazon Essentials Men's Men's Heavyweight Stretch Straight-Fit Jean, Black-Heavyweight, 32WX28L</t>
  </si>
  <si>
    <t>B0DX21VLSV</t>
  </si>
  <si>
    <t>197153296487</t>
  </si>
  <si>
    <t>AEMN49469M25-Grey Wash_32wx30l</t>
  </si>
  <si>
    <t>Amazon Essentials Men's Straight-Fit Jeans, Midweight Vintage Inspired Denim, Fitted Through Hip and Thigh, Grey Wash, 32W x 30L</t>
  </si>
  <si>
    <t>B0DX21R135</t>
  </si>
  <si>
    <t>197153303123</t>
  </si>
  <si>
    <t>AEMN30315M25-Tinted Dark Wash_34wx28l</t>
  </si>
  <si>
    <t>Amazon Essentials Men's Men's Heavyweight Stretch Skinny-Fit Jean, Tinted Dark Wash, 34WX28L</t>
  </si>
  <si>
    <t>B0DX21BM2C</t>
  </si>
  <si>
    <t>197153304908</t>
  </si>
  <si>
    <t>AEMN64413M25-Black_31wx30l</t>
  </si>
  <si>
    <t>Amazon Essentials Men's Men's Heavyweight Stretch Straight-Fit Jean, Black-Heavyweight, 31WX30L</t>
  </si>
  <si>
    <t>B0DX21BLY9</t>
  </si>
  <si>
    <t>197153304106</t>
  </si>
  <si>
    <t>AEMN30315M25-Rinse_36wx30l</t>
  </si>
  <si>
    <t>Amazon Essentials Men's Men's Heavyweight Stretch Skinny-Fit Jean, Rinse, 36Wx30L</t>
  </si>
  <si>
    <t>B09LS6LLR4</t>
  </si>
  <si>
    <t>196433248215</t>
  </si>
  <si>
    <t>Amazon Essentials Men's Athletic-Fit Stretch Chino Pants, Casual Business Wear, Khaki, 44W x 32L</t>
  </si>
  <si>
    <t>B09LS632GY</t>
  </si>
  <si>
    <t>196433248031</t>
  </si>
  <si>
    <t>Amazon Essentials Men's Athletic-Fit Stretch Chino Pants, Casual Business Wear, Khaki, 54W x 30L</t>
  </si>
  <si>
    <t>B09LS61PWD</t>
  </si>
  <si>
    <t>196433248239</t>
  </si>
  <si>
    <t>Amazon Essentials Men's Athletic-Fit Stretch Chino Pants, Casual Business Wear, Khaki, 50W x 32L</t>
  </si>
  <si>
    <t>B09LS61PSM</t>
  </si>
  <si>
    <t>196433247133</t>
  </si>
  <si>
    <t>Amazon Essentials Men's Athletic-Fit Stretch Chino Pants, Casual Business Wear, Navy, 46W x 34L</t>
  </si>
  <si>
    <t>B09LS61KK4</t>
  </si>
  <si>
    <t>196433247119</t>
  </si>
  <si>
    <t>Amazon Essentials Men's Athletic-Fit Stretch Chino Pants, Casual Business Wear, Navy, 60W x 30L</t>
  </si>
  <si>
    <t>B09LS61KK1</t>
  </si>
  <si>
    <t>196433247058</t>
  </si>
  <si>
    <t>Amazon Essentials Men's Athletic-Fit Stretch Chino Pants, Casual Business Wear, Navy, 50W x 34L</t>
  </si>
  <si>
    <t>B09LS61KHL</t>
  </si>
  <si>
    <t>196433246471</t>
  </si>
  <si>
    <t>Amazon Essentials Men's Athletic-Fit Stretch Chino Pants, Casual Business Wear, Black, 50W x 30L</t>
  </si>
  <si>
    <t>B09LS61KGY</t>
  </si>
  <si>
    <t>196433246273</t>
  </si>
  <si>
    <t>Amazon Essentials Men's Athletic-Fit Stretch Chino Pants, Casual Business Wear, Black, 60W x 30L</t>
  </si>
  <si>
    <t>B09LS619XP</t>
  </si>
  <si>
    <t>196433246907</t>
  </si>
  <si>
    <t>Amazon Essentials Men's Athletic-Fit Stretch Chino Pants, Casual Business Wear, Dark Khaki Brown, 46W x 30L</t>
  </si>
  <si>
    <t>B09LS619WH</t>
  </si>
  <si>
    <t>196433246327</t>
  </si>
  <si>
    <t>Amazon Essentials Men's Athletic-Fit Stretch Chino Pants, Casual Business Wear, Black, 58W x 34L</t>
  </si>
  <si>
    <t>B09LS5TV1F</t>
  </si>
  <si>
    <t>196433247362</t>
  </si>
  <si>
    <t>Amazon Essentials Men's Athletic-Fit Stretch Chino Pants, Casual Business Wear, Navy, 44W x 32L</t>
  </si>
  <si>
    <t>B09LS5TTZN</t>
  </si>
  <si>
    <t>196433247201</t>
  </si>
  <si>
    <t>Amazon Essentials Men's Athletic-Fit Stretch Chino Pants, Casual Business Wear, Navy, 54W x 28L</t>
  </si>
  <si>
    <t>B09LS5TTZ5</t>
  </si>
  <si>
    <t>196433247065</t>
  </si>
  <si>
    <t>Amazon Essentials Men's Athletic-Fit Stretch Chino Pants, Casual Business Wear, Navy, 52W x 32L</t>
  </si>
  <si>
    <t>B09LS5TTYY</t>
  </si>
  <si>
    <t>196433246990</t>
  </si>
  <si>
    <t>Amazon Essentials Men's Athletic-Fit Stretch Chino Pants, Casual Business Wear, Khaki, 56W x 32L</t>
  </si>
  <si>
    <t>B09LS5SB5C</t>
  </si>
  <si>
    <t>196433248178</t>
  </si>
  <si>
    <t>Amazon Essentials Men's Athletic-Fit Stretch Chino Pants, Casual Business Wear, Khaki, 46W x 28L</t>
  </si>
  <si>
    <t>B09LS5SB1Q</t>
  </si>
  <si>
    <t>196433246716</t>
  </si>
  <si>
    <t>Amazon Essentials Men's Athletic-Fit Stretch Chino Pants, Casual Business Wear, Dark Khaki Brown, 54W x 30L</t>
  </si>
  <si>
    <t>B09LS5RXPC</t>
  </si>
  <si>
    <t>196433246747</t>
  </si>
  <si>
    <t>Amazon Essentials Men's Athletic-Fit Stretch Chino Pants, Casual Business Wear, Dark Khaki Brown, 60W x 28L</t>
  </si>
  <si>
    <t>B09LS5NC7Z</t>
  </si>
  <si>
    <t>196433247089</t>
  </si>
  <si>
    <t>Amazon Essentials Men's Athletic-Fit Stretch Chino Pants, Casual Business Wear, Navy, 44W x 34L</t>
  </si>
  <si>
    <t>B09LS5NC6H</t>
  </si>
  <si>
    <t>196433246396</t>
  </si>
  <si>
    <t>Amazon Essentials Men's Athletic-Fit Stretch Chino Pants, Casual Business Wear, Black, 52W x 34L</t>
  </si>
  <si>
    <t>B09LS5N3HZ</t>
  </si>
  <si>
    <t>196433247324</t>
  </si>
  <si>
    <t>Amazon Essentials Men's Athletic-Fit Stretch Chino Pants, Casual Business Wear, Navy, 46W x 28L</t>
  </si>
  <si>
    <t>B09LS5N3H1</t>
  </si>
  <si>
    <t>196433246914</t>
  </si>
  <si>
    <t>Amazon Essentials Men's Athletic-Fit Stretch Chino Pants, Casual Business Wear, Dark Khaki Brown, 50W x 32L</t>
  </si>
  <si>
    <t>B09LS5KXPS</t>
  </si>
  <si>
    <t>196433246983</t>
  </si>
  <si>
    <t>Amazon Essentials Men's Athletic-Fit Stretch Chino Pants, Casual Business Wear, Khaki, 44W x 34L</t>
  </si>
  <si>
    <t>B09LS5KXPM</t>
  </si>
  <si>
    <t>196433246884</t>
  </si>
  <si>
    <t>Amazon Essentials Men's Athletic-Fit Stretch Chino Pants, Casual Business Wear, Dark Khaki Brown, 54W x 34L</t>
  </si>
  <si>
    <t>B09LS5KXPK</t>
  </si>
  <si>
    <t>196433246877</t>
  </si>
  <si>
    <t>Amazon Essentials Men's Athletic-Fit Stretch Chino Pants, Casual Business Wear, Dark Khaki Brown, 56W x 28L</t>
  </si>
  <si>
    <t>B09LS5KTKF</t>
  </si>
  <si>
    <t>196433247928</t>
  </si>
  <si>
    <t>Amazon Essentials Men's Athletic-Fit Stretch Chino Pants, Casual Business Wear, Dark Grey, 54W x 30L</t>
  </si>
  <si>
    <t>B09LS5KCVQ</t>
  </si>
  <si>
    <t>196433248048</t>
  </si>
  <si>
    <t>Amazon Essentials Men's Athletic-Fit Stretch Chino Pants, Casual Business Wear, Khaki, 46W x 32L</t>
  </si>
  <si>
    <t>B09LS5K6JX</t>
  </si>
  <si>
    <t>196433246198</t>
  </si>
  <si>
    <t>Amazon Essentials Men's Athletic-Fit Stretch Chino Pants, Casual Business Wear, Black, 58W x 28L</t>
  </si>
  <si>
    <t>B09LS5K6JH</t>
  </si>
  <si>
    <t>196433246068</t>
  </si>
  <si>
    <t>Amazon Essentials Men's Athletic-Fit Stretch Chino Pants, Casual Business Wear, Dark Grey, 48W x 30L</t>
  </si>
  <si>
    <t>B09LS5JYP2</t>
  </si>
  <si>
    <t>196433247072</t>
  </si>
  <si>
    <t>Amazon Essentials Men's Athletic-Fit Stretch Chino Pants, Casual Business Wear, Navy, 50W x 28L</t>
  </si>
  <si>
    <t>B09LS5JYNF</t>
  </si>
  <si>
    <t>196433246822</t>
  </si>
  <si>
    <t>Amazon Essentials Men's Athletic-Fit Stretch Chino Pants, Casual Business Wear, Dark Khaki Brown, 54W x 32L</t>
  </si>
  <si>
    <t>B09LS5JCVF</t>
  </si>
  <si>
    <t>196433248185</t>
  </si>
  <si>
    <t>Amazon Essentials Men's Athletic-Fit Stretch Chino Pants, Casual Business Wear, Khaki, 48W x 34L</t>
  </si>
  <si>
    <t>B09LS5HJWC</t>
  </si>
  <si>
    <t>196433246648</t>
  </si>
  <si>
    <t>Amazon Essentials Men's Athletic-Fit Stretch Chino Pants, Casual Business Wear, Dark Khaki Brown, 60W x 30L</t>
  </si>
  <si>
    <t>B09LS5HJW5</t>
  </si>
  <si>
    <t>196433246549</t>
  </si>
  <si>
    <t>Amazon Essentials Men's Athletic-Fit Stretch Chino Pants, Casual Business Wear, Black, 50W x 32L</t>
  </si>
  <si>
    <t>B09LS5FN4G</t>
  </si>
  <si>
    <t>196433247041</t>
  </si>
  <si>
    <t>Amazon Essentials Men's Athletic-Fit Stretch Chino Pants, Casual Business Wear, Navy, 60W x 32L</t>
  </si>
  <si>
    <t>B09LS5FN3C</t>
  </si>
  <si>
    <t>196433246570</t>
  </si>
  <si>
    <t>Amazon Essentials Men's Athletic-Fit Stretch Chino Pants, Casual Business Wear, Dark Khaki Brown, 60W x 32L</t>
  </si>
  <si>
    <t>B09LS5DTRM</t>
  </si>
  <si>
    <t>196433246310</t>
  </si>
  <si>
    <t>Amazon Essentials Men's Athletic-Fit Stretch Chino Pants, Casual Business Wear, Black, 58W x 30L</t>
  </si>
  <si>
    <t>B09LS5CFCR</t>
  </si>
  <si>
    <t>196433246150</t>
  </si>
  <si>
    <t>Amazon Essentials Men's Athletic-Fit Stretch Chino Pants, Casual Business Wear, Dark Grey, 44W x 32L</t>
  </si>
  <si>
    <t>B09LS5962R</t>
  </si>
  <si>
    <t>196433246587</t>
  </si>
  <si>
    <t>Amazon Essentials Men's Athletic-Fit Stretch Chino Pants, Casual Business Wear, Dark Khaki Brown, 50W x 34L</t>
  </si>
  <si>
    <t>B09LS587VY</t>
  </si>
  <si>
    <t>196433247287</t>
  </si>
  <si>
    <t>Amazon Essentials Men's Athletic-Fit Stretch Chino Pants, Casual Business Wear, Navy, 52W x 30L</t>
  </si>
  <si>
    <t>B09LS5772S</t>
  </si>
  <si>
    <t>196433246426</t>
  </si>
  <si>
    <t>Amazon Essentials Men's Athletic-Fit Stretch Chino Pants, Casual Business Wear, Black, 58W x 32L</t>
  </si>
  <si>
    <t>B09LS5772C</t>
  </si>
  <si>
    <t>196433246266</t>
  </si>
  <si>
    <t>Amazon Essentials Men's Athletic-Fit Stretch Chino Pants, Casual Business Wear, Black, 48W x 28L</t>
  </si>
  <si>
    <t>B09LS55VPC</t>
  </si>
  <si>
    <t>196433248123</t>
  </si>
  <si>
    <t>Amazon Essentials Men's Athletic-Fit Stretch Chino Pants, Casual Business Wear, Khaki, 48W x 30L</t>
  </si>
  <si>
    <t>B09LS55VMJ</t>
  </si>
  <si>
    <t>196433247300</t>
  </si>
  <si>
    <t>Amazon Essentials Men's Athletic-Fit Stretch Chino Pants, Casual Business Wear, Navy, 60W x 34L</t>
  </si>
  <si>
    <t>B09LS55BSB</t>
  </si>
  <si>
    <t>196433246235</t>
  </si>
  <si>
    <t>Amazon Essentials Men's Athletic-Fit Stretch Chino Pants, Casual Business Wear, Black, 50W x 28L</t>
  </si>
  <si>
    <t>B09LS52XRS</t>
  </si>
  <si>
    <t>196433246075</t>
  </si>
  <si>
    <t>Amazon Essentials Men's Athletic-Fit Stretch Chino Pants, Casual Business Wear, Dark Grey, 52W x 30L</t>
  </si>
  <si>
    <t>B09LS51R4B</t>
  </si>
  <si>
    <t>196433247348</t>
  </si>
  <si>
    <t>Amazon Essentials Men's Athletic-Fit Stretch Chino Pants, Casual Business Wear, Navy, 56W x 28L</t>
  </si>
  <si>
    <t>B09LS51P1R</t>
  </si>
  <si>
    <t>196433246242</t>
  </si>
  <si>
    <t>Amazon Essentials Men's Athletic-Fit Stretch Chino Pants, Casual Business Wear, Black, 44W x 34L</t>
  </si>
  <si>
    <t>B09LS4ZDJ5</t>
  </si>
  <si>
    <t>196433247027</t>
  </si>
  <si>
    <t>Amazon Essentials Men's Athletic-Fit Stretch Chino Pants, Casual Business Wear, Navy, 44W x 30L</t>
  </si>
  <si>
    <t>B09LS4ZDHS</t>
  </si>
  <si>
    <t>196433246808</t>
  </si>
  <si>
    <t>Amazon Essentials Men's Athletic-Fit Stretch Chino Pants, Casual Business Wear, Dark Khaki Brown, 48W x 30L</t>
  </si>
  <si>
    <t>B09LS4YSTD</t>
  </si>
  <si>
    <t>196433246464</t>
  </si>
  <si>
    <t>Amazon Essentials Men's Athletic-Fit Stretch Chino Pants, Casual Business Wear, Black, 60W x 34L</t>
  </si>
  <si>
    <t>B09LS4YMT6</t>
  </si>
  <si>
    <t>196433246105</t>
  </si>
  <si>
    <t>Amazon Essentials Men's Athletic-Fit Stretch Chino Pants, Casual Business Wear, Dark Grey, 50W x 30L</t>
  </si>
  <si>
    <t>B09LS4YC7M</t>
  </si>
  <si>
    <t>196433248208</t>
  </si>
  <si>
    <t>Amazon Essentials Men's Athletic-Fit Stretch Chino Pants, Casual Business Wear, Khaki, 54W x 34L</t>
  </si>
  <si>
    <t>B09LS4XRL8</t>
  </si>
  <si>
    <t>196433247386</t>
  </si>
  <si>
    <t>Amazon Essentials Men's Athletic-Fit Stretch Chino Pants, Casual Business Wear, Navy, 50W x 32L</t>
  </si>
  <si>
    <t>B09LS4XRJB</t>
  </si>
  <si>
    <t>196433246594</t>
  </si>
  <si>
    <t>Amazon Essentials Men's Athletic-Fit Stretch Chino Pants, Casual Business Wear, Dark Khaki Brown, 52W x 32L</t>
  </si>
  <si>
    <t>B09LS4WR6V</t>
  </si>
  <si>
    <t>196433247997</t>
  </si>
  <si>
    <t>Amazon Essentials Men's Athletic-Fit Stretch Chino Pants, Casual Business Wear, Khaki, 52W x 28L</t>
  </si>
  <si>
    <t>B09LS4W39P</t>
  </si>
  <si>
    <t>196433246617</t>
  </si>
  <si>
    <t>Amazon Essentials Men's Athletic-Fit Stretch Chino Pants, Casual Business Wear, Dark Khaki Brown, 44W x 34L</t>
  </si>
  <si>
    <t>B09LS4VV1R</t>
  </si>
  <si>
    <t>196433247379</t>
  </si>
  <si>
    <t>Amazon Essentials Men's Athletic-Fit Stretch Chino Pants, Casual Business Wear, Navy, 46W x 30L</t>
  </si>
  <si>
    <t>B09LS4VTHM</t>
  </si>
  <si>
    <t>196433246761</t>
  </si>
  <si>
    <t>Amazon Essentials Men's Athletic-Fit Stretch Chino Pants, Casual Business Wear, Dark Khaki Brown, 52W x 34L</t>
  </si>
  <si>
    <t>B09LS4VTGB</t>
  </si>
  <si>
    <t>196433246181</t>
  </si>
  <si>
    <t>Amazon Essentials Men's Athletic-Fit Stretch Chino Pants, Casual Business Wear, Black, 44W x 30L</t>
  </si>
  <si>
    <t>B09LS4SS64</t>
  </si>
  <si>
    <t>196433247195</t>
  </si>
  <si>
    <t>Amazon Essentials Men's Athletic-Fit Stretch Chino Pants, Casual Business Wear, Navy, 46W x 32L</t>
  </si>
  <si>
    <t>B09LS4SS63</t>
  </si>
  <si>
    <t>196433247171</t>
  </si>
  <si>
    <t>Amazon Essentials Men's Athletic-Fit Stretch Chino Pants, Casual Business Wear, Navy, 48W x 32L</t>
  </si>
  <si>
    <t>B09LS4SJBK</t>
  </si>
  <si>
    <t>196433246167</t>
  </si>
  <si>
    <t>Amazon Essentials Men's Athletic-Fit Stretch Chino Pants, Casual Business Wear, Dark Grey, 46W x 30L</t>
  </si>
  <si>
    <t>B09LS4SG1Q</t>
  </si>
  <si>
    <t>196433247225</t>
  </si>
  <si>
    <t>Amazon Essentials Men's Athletic-Fit Stretch Chino Pants, Casual Business Wear, Navy, 56W x 30L</t>
  </si>
  <si>
    <t>B09LS4SG1K</t>
  </si>
  <si>
    <t>196433247188</t>
  </si>
  <si>
    <t>Amazon Essentials Men's Athletic-Fit Stretch Chino Pants, Casual Business Wear, Navy, 54W x 30L</t>
  </si>
  <si>
    <t>B09LS4R6YC</t>
  </si>
  <si>
    <t>196433247102</t>
  </si>
  <si>
    <t>Amazon Essentials Men's Athletic-Fit Stretch Chino Pants, Casual Business Wear, Navy, 48W x 28L</t>
  </si>
  <si>
    <t>B09LS4R6Y8</t>
  </si>
  <si>
    <t>196433247003</t>
  </si>
  <si>
    <t>Amazon Essentials Men's Athletic-Fit Stretch Chino Pants, Casual Business Wear, Khaki, 48W x 28L</t>
  </si>
  <si>
    <t>B09LS4R1WB</t>
  </si>
  <si>
    <t>196433246860</t>
  </si>
  <si>
    <t>Amazon Essentials Men's Athletic-Fit Stretch Chino Pants, Casual Business Wear, Dark Khaki Brown, 48W x 34L</t>
  </si>
  <si>
    <t>B09LS4R1TX</t>
  </si>
  <si>
    <t>196433246228</t>
  </si>
  <si>
    <t>Amazon Essentials Men's Athletic-Fit Stretch Chino Pants, Casual Business Wear, Black, 52W x 32L</t>
  </si>
  <si>
    <t>B09LS4QFT5</t>
  </si>
  <si>
    <t>196433246204</t>
  </si>
  <si>
    <t>Amazon Essentials Men's Athletic-Fit Stretch Chino Pants, Casual Business Wear, Black, 60W x 32L</t>
  </si>
  <si>
    <t>B09LS4PR61</t>
  </si>
  <si>
    <t>196433246419</t>
  </si>
  <si>
    <t>Amazon Essentials Men's Athletic-Fit Stretch Chino Pants, Casual Business Wear, Black, 44W x 28L</t>
  </si>
  <si>
    <t>B09LS4PR5N</t>
  </si>
  <si>
    <t>196433246365</t>
  </si>
  <si>
    <t>Amazon Essentials Men's Athletic-Fit Stretch Chino Pants, Casual Business Wear, Black, 54W x 28L</t>
  </si>
  <si>
    <t>B09LS4MD18</t>
  </si>
  <si>
    <t>196433248161</t>
  </si>
  <si>
    <t>Amazon Essentials Men's Athletic-Fit Stretch Chino Pants, Casual Business Wear, Khaki, 50W x 30L</t>
  </si>
  <si>
    <t>B09LS4FWB3</t>
  </si>
  <si>
    <t>196433247256</t>
  </si>
  <si>
    <t>Amazon Essentials Men's Athletic-Fit Stretch Chino Pants, Casual Business Wear, Navy, 44W x 28L</t>
  </si>
  <si>
    <t>B09LS4FW8D</t>
  </si>
  <si>
    <t>196433246556</t>
  </si>
  <si>
    <t>Amazon Essentials Men's Athletic-Fit Stretch Chino Pants, Casual Business Wear, Dark Khaki Brown, 44W x 30L</t>
  </si>
  <si>
    <t>B09LS4CBXM</t>
  </si>
  <si>
    <t>196433246754</t>
  </si>
  <si>
    <t>Amazon Essentials Men's Athletic-Fit Stretch Chino Pants, Casual Business Wear, Dark Khaki Brown, 56W x 30L</t>
  </si>
  <si>
    <t>B09LS4C7JR</t>
  </si>
  <si>
    <t>196433247164</t>
  </si>
  <si>
    <t>Amazon Essentials Men's Athletic-Fit Stretch Chino Pants, Casual Business Wear, Navy, 58W x 34L</t>
  </si>
  <si>
    <t>B09LS4BZK3</t>
  </si>
  <si>
    <t>196433248222</t>
  </si>
  <si>
    <t>Amazon Essentials Men's Athletic-Fit Stretch Chino Pants, Casual Business Wear, Khaki, 46W x 30L</t>
  </si>
  <si>
    <t>B09LS4B44X</t>
  </si>
  <si>
    <t>196433247843</t>
  </si>
  <si>
    <t>Amazon Essentials Men's Athletic-Fit Stretch Chino Pants, Casual Business Wear, Dark Grey, 48W x 28L</t>
  </si>
  <si>
    <t>B09LS4B41S</t>
  </si>
  <si>
    <t>196433246457</t>
  </si>
  <si>
    <t>Amazon Essentials Men's Athletic-Fit Stretch Chino Pants, Casual Business Wear, Black, 54W x 32L</t>
  </si>
  <si>
    <t>B09LS49TMT</t>
  </si>
  <si>
    <t>196433246952</t>
  </si>
  <si>
    <t>Amazon Essentials Men's Athletic-Fit Stretch Chino Pants, Casual Business Wear, Khaki, 50W x 34L</t>
  </si>
  <si>
    <t>B09LS49TLK</t>
  </si>
  <si>
    <t>196433246334</t>
  </si>
  <si>
    <t>Amazon Essentials Men's Athletic-Fit Stretch Chino Pants, Casual Business Wear, Black, 48W x 32L</t>
  </si>
  <si>
    <t>B09LS49PHF</t>
  </si>
  <si>
    <t>196433248109</t>
  </si>
  <si>
    <t>Amazon Essentials Men's Athletic-Fit Stretch Chino Pants, Casual Business Wear, Khaki, 44W x 28L</t>
  </si>
  <si>
    <t>B09LS491M9</t>
  </si>
  <si>
    <t>196433246211</t>
  </si>
  <si>
    <t>Amazon Essentials Men's Athletic-Fit Stretch Chino Pants, Casual Business Wear, Black, 50W x 34L</t>
  </si>
  <si>
    <t>B09LS48WCQ</t>
  </si>
  <si>
    <t>196433247829</t>
  </si>
  <si>
    <t>Amazon Essentials Men's Athletic-Fit Stretch Chino Pants, Casual Business Wear, Dark Grey, 44W x 34L</t>
  </si>
  <si>
    <t>B09LS48CCV</t>
  </si>
  <si>
    <t>196433246624</t>
  </si>
  <si>
    <t>Amazon Essentials Men's Athletic-Fit Stretch Chino Pants, Casual Business Wear, Dark Khaki Brown, 56W x 32L</t>
  </si>
  <si>
    <t>B09LS47VDG</t>
  </si>
  <si>
    <t>196433246891</t>
  </si>
  <si>
    <t>Amazon Essentials Men's Athletic-Fit Stretch Chino Pants, Casual Business Wear, Dark Khaki Brown, 44W x 32L</t>
  </si>
  <si>
    <t>B09LS47VD4</t>
  </si>
  <si>
    <t>196433246785</t>
  </si>
  <si>
    <t>Amazon Essentials Men's Athletic-Fit Stretch Chino Pants, Casual Business Wear, Dark Khaki Brown, 44W x 28L</t>
  </si>
  <si>
    <t>B09LS47FSF</t>
  </si>
  <si>
    <t>196433246341</t>
  </si>
  <si>
    <t>Amazon Essentials Men's Athletic-Fit Stretch Chino Pants, Casual Business Wear, Black, 54W x 30L</t>
  </si>
  <si>
    <t>B09LS47FRS</t>
  </si>
  <si>
    <t>196433246044</t>
  </si>
  <si>
    <t>Amazon Essentials Men's Athletic-Fit Stretch Chino Pants, Casual Business Wear, Dark Grey, 44W x 28L</t>
  </si>
  <si>
    <t>B09LS46XVS</t>
  </si>
  <si>
    <t>196433248024</t>
  </si>
  <si>
    <t>Amazon Essentials Men's Athletic-Fit Stretch Chino Pants, Casual Business Wear, Khaki, 48W x 32L</t>
  </si>
  <si>
    <t>B09LS46XVH</t>
  </si>
  <si>
    <t>196433247911</t>
  </si>
  <si>
    <t>Amazon Essentials Men's Athletic-Fit Stretch Chino Pants, Casual Business Wear, Dark Grey, 48W x 32L</t>
  </si>
  <si>
    <t>B09LS46RKB</t>
  </si>
  <si>
    <t>196433246730</t>
  </si>
  <si>
    <t>Amazon Essentials Men's Athletic-Fit Stretch Chino Pants, Casual Business Wear, Dark Khaki Brown, 54W x 28L</t>
  </si>
  <si>
    <t>B09LS45MBT</t>
  </si>
  <si>
    <t>196433247874</t>
  </si>
  <si>
    <t>Amazon Essentials Men's Athletic-Fit Stretch Chino Pants, Casual Business Wear, Dark Grey, 46W x 34L</t>
  </si>
  <si>
    <t>B09LS45KXS</t>
  </si>
  <si>
    <t>196433247140</t>
  </si>
  <si>
    <t>Amazon Essentials Men's Athletic-Fit Stretch Chino Pants, Casual Business Wear, Navy, 52W x 28L</t>
  </si>
  <si>
    <t>B09LS45KX7</t>
  </si>
  <si>
    <t>196433246969</t>
  </si>
  <si>
    <t>Amazon Essentials Men's Athletic-Fit Stretch Chino Pants, Casual Business Wear, Khaki, 52W x 32L</t>
  </si>
  <si>
    <t>B09LS44P1M</t>
  </si>
  <si>
    <t>196433246945</t>
  </si>
  <si>
    <t>Amazon Essentials Men's Athletic-Fit Stretch Chino Pants, Casual Business Wear, Khaki, 60W x 32L</t>
  </si>
  <si>
    <t>B09LS44NZ6</t>
  </si>
  <si>
    <t>196433246259</t>
  </si>
  <si>
    <t>Amazon Essentials Men's Athletic-Fit Stretch Chino Pants, Casual Business Wear, Black, 56W x 32L</t>
  </si>
  <si>
    <t>B09LS4473L</t>
  </si>
  <si>
    <t>196433246723</t>
  </si>
  <si>
    <t>Amazon Essentials Men's Athletic-Fit Stretch Chino Pants, Casual Business Wear, Dark Khaki Brown, 46W x 32L</t>
  </si>
  <si>
    <t>B09LS4473D</t>
  </si>
  <si>
    <t>196433246662</t>
  </si>
  <si>
    <t>Amazon Essentials Men's Athletic-Fit Stretch Chino Pants, Casual Business Wear, Dark Khaki Brown, 46W x 34L</t>
  </si>
  <si>
    <t>B09LS43JTP</t>
  </si>
  <si>
    <t>196433246792</t>
  </si>
  <si>
    <t>Amazon Essentials Men's Athletic-Fit Stretch Chino Pants, Casual Business Wear, Dark Khaki Brown, 58W x 32L</t>
  </si>
  <si>
    <t>B09LS43JSB</t>
  </si>
  <si>
    <t>196433246112</t>
  </si>
  <si>
    <t>Amazon Essentials Men's Athletic-Fit Stretch Chino Pants, Casual Business Wear, Dark Grey, 46W x 28L</t>
  </si>
  <si>
    <t>B09LS42VV4</t>
  </si>
  <si>
    <t>196433247768</t>
  </si>
  <si>
    <t>Amazon Essentials Men's Athletic-Fit Stretch Chino Pants, Casual Business Wear, Dark Grey, 44W x 30L</t>
  </si>
  <si>
    <t>B09LS42VQH</t>
  </si>
  <si>
    <t>196433246297</t>
  </si>
  <si>
    <t>Amazon Essentials Men's Athletic-Fit Stretch Chino Pants, Casual Business Wear, Black, 46W x 34L</t>
  </si>
  <si>
    <t>B09LS42VQ8</t>
  </si>
  <si>
    <t>196433246174</t>
  </si>
  <si>
    <t>Amazon Essentials Men's Athletic-Fit Stretch Chino Pants, Casual Business Wear, Dark Grey, 50W x 32L</t>
  </si>
  <si>
    <t>B09LS42V7T</t>
  </si>
  <si>
    <t>196433247980</t>
  </si>
  <si>
    <t>Amazon Essentials Men's Athletic-Fit Stretch Chino Pants, Casual Business Wear, Khaki, 46W x 34L</t>
  </si>
  <si>
    <t>B09LS42V68</t>
  </si>
  <si>
    <t>196433247270</t>
  </si>
  <si>
    <t>Amazon Essentials Men's Athletic-Fit Stretch Chino Pants, Casual Business Wear, Navy, 48W x 30L</t>
  </si>
  <si>
    <t>B09LS427JX</t>
  </si>
  <si>
    <t>196433247805</t>
  </si>
  <si>
    <t>Amazon Essentials Men's Athletic-Fit Stretch Chino Pants, Casual Business Wear, Dark Grey, 52W x 32L</t>
  </si>
  <si>
    <t>B09LS427GM</t>
  </si>
  <si>
    <t>196433246815</t>
  </si>
  <si>
    <t>Amazon Essentials Men's Athletic-Fit Stretch Chino Pants, Casual Business Wear, Dark Khaki Brown, 52W x 30L</t>
  </si>
  <si>
    <t>B09LS3XBRL</t>
  </si>
  <si>
    <t>196433246846</t>
  </si>
  <si>
    <t>Amazon Essentials Men's Athletic-Fit Stretch Chino Pants, Casual Business Wear, Dark Khaki Brown, 50W x 30L</t>
  </si>
  <si>
    <t>B09LS3WS6W</t>
  </si>
  <si>
    <t>196433246600</t>
  </si>
  <si>
    <t>Amazon Essentials Men's Athletic-Fit Stretch Chino Pants, Casual Business Wear, Dark Khaki Brown, 50W x 28L</t>
  </si>
  <si>
    <t>B09LS3WS6J</t>
  </si>
  <si>
    <t>196433246495</t>
  </si>
  <si>
    <t>Amazon Essentials Men's Athletic-Fit Stretch Chino Pants, Casual Business Wear, Black, 48W x 34L</t>
  </si>
  <si>
    <t>B09LS3WS6B</t>
  </si>
  <si>
    <t>196433246402</t>
  </si>
  <si>
    <t>Amazon Essentials Men's Athletic-Fit Stretch Chino Pants, Casual Business Wear, Black, 56W x 34L</t>
  </si>
  <si>
    <t>B09LS3SCPM</t>
  </si>
  <si>
    <t>196433247331</t>
  </si>
  <si>
    <t>Amazon Essentials Men's Athletic-Fit Stretch Chino Pants, Casual Business Wear, Navy, 48W x 34L</t>
  </si>
  <si>
    <t>B09LS3RML4</t>
  </si>
  <si>
    <t>196433246532</t>
  </si>
  <si>
    <t>Amazon Essentials Men's Athletic-Fit Stretch Chino Pants, Casual Business Wear, Black, 46W x 30L</t>
  </si>
  <si>
    <t>B09LS3RMKY</t>
  </si>
  <si>
    <t>196433246488</t>
  </si>
  <si>
    <t>Amazon Essentials Men's Athletic-Fit Stretch Chino Pants, Casual Business Wear, Black, 46W x 28L</t>
  </si>
  <si>
    <t>B09LS3R4TV</t>
  </si>
  <si>
    <t>196433246921</t>
  </si>
  <si>
    <t>Amazon Essentials Men's Athletic-Fit Stretch Chino Pants, Casual Business Wear, Khaki, 44W x 30L</t>
  </si>
  <si>
    <t>B09LS3LG4V</t>
  </si>
  <si>
    <t>196433247935</t>
  </si>
  <si>
    <t>Amazon Essentials Men's Athletic-Fit Stretch Chino Pants, Casual Business Wear, Dark Grey, 46W x 32L</t>
  </si>
  <si>
    <t>B09LS3LG4G</t>
  </si>
  <si>
    <t>196433247812</t>
  </si>
  <si>
    <t>Amazon Essentials Men's Athletic-Fit Stretch Chino Pants, Casual Business Wear, Dark Grey, 50W x 28L</t>
  </si>
  <si>
    <t>B09LS3LG2M</t>
  </si>
  <si>
    <t>196433247010</t>
  </si>
  <si>
    <t>Amazon Essentials Men's Athletic-Fit Stretch Chino Pants, Casual Business Wear, Khaki, 60W x 30L</t>
  </si>
  <si>
    <t>B09LS3LG1K</t>
  </si>
  <si>
    <t>196433246518</t>
  </si>
  <si>
    <t>Amazon Essentials Men's Athletic-Fit Stretch Chino Pants, Casual Business Wear, Black, 54W x 34L</t>
  </si>
  <si>
    <t>B09LS3JQNQ</t>
  </si>
  <si>
    <t>196433247317</t>
  </si>
  <si>
    <t>Amazon Essentials Men's Athletic-Fit Stretch Chino Pants, Casual Business Wear, Navy, 50W x 30L</t>
  </si>
  <si>
    <t>B09LS3J9Y8</t>
  </si>
  <si>
    <t>196433246501</t>
  </si>
  <si>
    <t>Amazon Essentials Men's Athletic-Fit Stretch Chino Pants, Casual Business Wear, Black, 56W x 28L</t>
  </si>
  <si>
    <t>B09LS3HBC6</t>
  </si>
  <si>
    <t>196433246440</t>
  </si>
  <si>
    <t>Amazon Essentials Men's Athletic-Fit Stretch Chino Pants, Casual Business Wear, Black, 52W x 30L</t>
  </si>
  <si>
    <t>B09LS3HBBV</t>
  </si>
  <si>
    <t>196433246303</t>
  </si>
  <si>
    <t>Amazon Essentials Men's Athletic-Fit Stretch Chino Pants, Casual Business Wear, Black, 52W x 28L</t>
  </si>
  <si>
    <t>B09LS3HBBK</t>
  </si>
  <si>
    <t>196433246129</t>
  </si>
  <si>
    <t>Amazon Essentials Men's Athletic-Fit Stretch Chino Pants, Casual Business Wear, Dark Grey, 48W x 34L</t>
  </si>
  <si>
    <t>B09LS3FLDK</t>
  </si>
  <si>
    <t>196433246563</t>
  </si>
  <si>
    <t>Amazon Essentials Men's Athletic-Fit Stretch Chino Pants, Casual Business Wear, Dark Khaki Brown, 58W x 28L</t>
  </si>
  <si>
    <t>B09LS39RWC</t>
  </si>
  <si>
    <t>196433246389</t>
  </si>
  <si>
    <t>Amazon Essentials Men's Athletic-Fit Stretch Chino Pants, Casual Business Wear, Black, 56W x 30L</t>
  </si>
  <si>
    <t>B09LS35GYP</t>
  </si>
  <si>
    <t>196433246525</t>
  </si>
  <si>
    <t>Amazon Essentials Men's Athletic-Fit Stretch Chino Pants, Casual Business Wear, Black, 44W x 32L</t>
  </si>
  <si>
    <t>B09LS2MJ9X</t>
  </si>
  <si>
    <t>196433246433</t>
  </si>
  <si>
    <t>Amazon Essentials Men's Athletic-Fit Stretch Chino Pants, Casual Business Wear, Black, 48W x 30L</t>
  </si>
  <si>
    <t>B09LRXGCLD</t>
  </si>
  <si>
    <t>196433248925</t>
  </si>
  <si>
    <t>Amazon Essentials Men's Straight-Fit Breathable Stretch Cargo Pants (Available in Big &amp; Tall), Dark Grey, 46W x 28L</t>
  </si>
  <si>
    <t>B09LRXG32T</t>
  </si>
  <si>
    <t>196433248338</t>
  </si>
  <si>
    <t>Amazon Essentials Men's Straight-Fit Breathable Stretch Cargo Pants (Available in Big &amp; Tall), Black, 46W x 30L</t>
  </si>
  <si>
    <t>B09LRXG32Q</t>
  </si>
  <si>
    <t>196433248284</t>
  </si>
  <si>
    <t>Amazon Essentials Men's Straight-Fit Breathable Stretch Cargo Pants (Available in Big &amp; Tall), Black, 48W x 32L</t>
  </si>
  <si>
    <t>B09LRX2F8B</t>
  </si>
  <si>
    <t>196433248802</t>
  </si>
  <si>
    <t>Amazon Essentials Men's Straight-Fit Breathable Stretch Cargo Pants (Available in Big &amp; Tall), Dark Grey, 52W x 30L</t>
  </si>
  <si>
    <t>B09LRWZVS6</t>
  </si>
  <si>
    <t>196433248901</t>
  </si>
  <si>
    <t>Amazon Essentials Men's Straight-Fit Breathable Stretch Cargo Pants (Available in Big &amp; Tall), Dark Grey, 50W x 30L</t>
  </si>
  <si>
    <t>B09LRWX8QX</t>
  </si>
  <si>
    <t>196433248475</t>
  </si>
  <si>
    <t>Amazon Essentials Men's Straight-Fit Breathable Stretch Cargo Pants (Available in Big &amp; Tall), Navy, 50W x 32L</t>
  </si>
  <si>
    <t>B09LRWX139</t>
  </si>
  <si>
    <t>196433249021</t>
  </si>
  <si>
    <t>Amazon Essentials Men's Straight-Fit Breathable Stretch Cargo Pants (Available in Big &amp; Tall), Dark Grey, 48W x 32L</t>
  </si>
  <si>
    <t>B09LRWWZYX</t>
  </si>
  <si>
    <t>196433248437</t>
  </si>
  <si>
    <t>Amazon Essentials Men's Straight-Fit Breathable Stretch Cargo Pants (Available in Big &amp; Tall), Navy, 52W x 30L</t>
  </si>
  <si>
    <t>B09LRWWZY9</t>
  </si>
  <si>
    <t>196433250089</t>
  </si>
  <si>
    <t>Amazon Essentials Men's Straight-Fit Breathable Stretch Cargo Pants (Available in Big &amp; Tall), Black, 60W x 32L</t>
  </si>
  <si>
    <t>B09LRWVPZL</t>
  </si>
  <si>
    <t>196433249861</t>
  </si>
  <si>
    <t>Amazon Essentials Men's Straight-Fit Breathable Stretch Cargo Pants (Available in Big &amp; Tall), Black, 56W x 32L</t>
  </si>
  <si>
    <t>B09LRWT3YZ</t>
  </si>
  <si>
    <t>196433248369</t>
  </si>
  <si>
    <t>Amazon Essentials Men's Straight-Fit Breathable Stretch Cargo Pants (Available in Big &amp; Tall), Navy, 54W x 34L</t>
  </si>
  <si>
    <t>B09LRWT3W2</t>
  </si>
  <si>
    <t>196433248529</t>
  </si>
  <si>
    <t>Amazon Essentials Men's Straight-Fit Breathable Stretch Cargo Pants (Available in Big &amp; Tall), Navy, 56W x 28L</t>
  </si>
  <si>
    <t>B09LRWT3PX</t>
  </si>
  <si>
    <t>196433248260</t>
  </si>
  <si>
    <t>Amazon Essentials Men's Straight-Fit Breathable Stretch Cargo Pants (Available in Big &amp; Tall), Black, 56W x 34L</t>
  </si>
  <si>
    <t>B09LRWS677</t>
  </si>
  <si>
    <t>196433249984</t>
  </si>
  <si>
    <t>Amazon Essentials Men's Straight-Fit Breathable Stretch Cargo Pants (Available in Big &amp; Tall), Black, 58W x 32L</t>
  </si>
  <si>
    <t>B09LRWS5X4</t>
  </si>
  <si>
    <t>196433248413</t>
  </si>
  <si>
    <t>Amazon Essentials Men's Straight-Fit Breathable Stretch Cargo Pants (Available in Big &amp; Tall), Navy, 48W x 28L</t>
  </si>
  <si>
    <t>B09LRWRWJB</t>
  </si>
  <si>
    <t>196433248840</t>
  </si>
  <si>
    <t>Amazon Essentials Men's Straight-Fit Breathable Stretch Cargo Pants (Available in Big &amp; Tall), Dark Grey, 50W x 32L</t>
  </si>
  <si>
    <t>B09LRWRH8S</t>
  </si>
  <si>
    <t>196433248727</t>
  </si>
  <si>
    <t>Amazon Essentials Men's Straight-Fit Breathable Stretch Cargo Pants (Available in Big &amp; Tall), Navy, 44W x 32L</t>
  </si>
  <si>
    <t>B09LRWRH4H</t>
  </si>
  <si>
    <t>196433248826</t>
  </si>
  <si>
    <t>Amazon Essentials Men's Straight-Fit Breathable Stretch Cargo Pants (Available in Big &amp; Tall), Dark Grey, 54W x 32L</t>
  </si>
  <si>
    <t>B09LRWRB23</t>
  </si>
  <si>
    <t>196433249656</t>
  </si>
  <si>
    <t>Amazon Essentials Men's Straight-Fit Breathable Stretch Cargo Pants (Available in Big &amp; Tall), Khaki Brown, 44W x 30L</t>
  </si>
  <si>
    <t>B09LRWPMSK</t>
  </si>
  <si>
    <t>196433248666</t>
  </si>
  <si>
    <t>Amazon Essentials Men's Straight-Fit Breathable Stretch Cargo Pants (Available in Big &amp; Tall), Navy, 44W x 34L</t>
  </si>
  <si>
    <t>B09LRWPMRL</t>
  </si>
  <si>
    <t>196433248246</t>
  </si>
  <si>
    <t>Amazon Essentials Men's Straight-Fit Breathable Stretch Cargo Pants (Available in Big &amp; Tall), Black, 46W x 34L</t>
  </si>
  <si>
    <t>B09LRWPMPR</t>
  </si>
  <si>
    <t>196433249199</t>
  </si>
  <si>
    <t>Amazon Essentials Men's Straight-Fit Breathable Stretch Cargo Pants (Available in Big &amp; Tall), Olive, 54W x 32L</t>
  </si>
  <si>
    <t>B09LRWN57V</t>
  </si>
  <si>
    <t>196433249038</t>
  </si>
  <si>
    <t>Amazon Essentials Men's Straight-Fit Breathable Stretch Cargo Pants (Available in Big &amp; Tall), Dark Grey, 44W x 34L</t>
  </si>
  <si>
    <t>B09LRWN57P</t>
  </si>
  <si>
    <t>196433249168</t>
  </si>
  <si>
    <t>Amazon Essentials Men's Straight-Fit Breathable Stretch Cargo Pants (Available in Big &amp; Tall), Olive, 56W x 30L</t>
  </si>
  <si>
    <t>B09LRWN4ZC</t>
  </si>
  <si>
    <t>196433249991</t>
  </si>
  <si>
    <t>Amazon Essentials Men's Straight-Fit Breathable Stretch Cargo Pants (Available in Big &amp; Tall), Black, 60W x 28L</t>
  </si>
  <si>
    <t>B09LRWN4NV</t>
  </si>
  <si>
    <t>196433249960</t>
  </si>
  <si>
    <t>Amazon Essentials Men's Straight-Fit Breathable Stretch Cargo Pants (Available in Big &amp; Tall), Black, 60W x 34L</t>
  </si>
  <si>
    <t>B09LRWMR1G</t>
  </si>
  <si>
    <t>196433248581</t>
  </si>
  <si>
    <t>Amazon Essentials Men's Straight-Fit Breathable Stretch Cargo Pants (Available in Big &amp; Tall), Navy, 60W x 30L</t>
  </si>
  <si>
    <t>B09LRWMR1C</t>
  </si>
  <si>
    <t>196433248291</t>
  </si>
  <si>
    <t>Amazon Essentials Men's Straight-Fit Breathable Stretch Cargo Pants (Available in Big &amp; Tall), Black, 44W x 34L</t>
  </si>
  <si>
    <t>B09LRWMQYV</t>
  </si>
  <si>
    <t>196433249229</t>
  </si>
  <si>
    <t>Amazon Essentials Men's Straight-Fit Breathable Stretch Cargo Pants (Available in Big &amp; Tall), Olive, 60W x 34L</t>
  </si>
  <si>
    <t>B09LRWMKCW</t>
  </si>
  <si>
    <t>196433249076</t>
  </si>
  <si>
    <t>Amazon Essentials Men's Straight-Fit Breathable Stretch Cargo Pants (Available in Big &amp; Tall), Dark Grey, 46W x 30L</t>
  </si>
  <si>
    <t>B09LRWMD1T</t>
  </si>
  <si>
    <t>196433248451</t>
  </si>
  <si>
    <t>Amazon Essentials Men's Straight-Fit Breathable Stretch Cargo Pants (Available in Big &amp; Tall), Navy, 54W x 32L</t>
  </si>
  <si>
    <t>B09LRWLT3Y</t>
  </si>
  <si>
    <t>196433248352</t>
  </si>
  <si>
    <t>Amazon Essentials Men's Straight-Fit Breathable Stretch Cargo Pants (Available in Big &amp; Tall), Black, 44W x 32L</t>
  </si>
  <si>
    <t>B09LRWLSSW</t>
  </si>
  <si>
    <t>196433248420</t>
  </si>
  <si>
    <t>Amazon Essentials Men's Straight-Fit Breathable Stretch Cargo Pants (Available in Big &amp; Tall), Navy, 56W x 30L</t>
  </si>
  <si>
    <t>B09LRWLSSB</t>
  </si>
  <si>
    <t>196433248772</t>
  </si>
  <si>
    <t>Amazon Essentials Men's Straight-Fit Breathable Stretch Cargo Pants (Available in Big &amp; Tall), Dark Grey, 44W x 28L</t>
  </si>
  <si>
    <t>B09LRWK9VN</t>
  </si>
  <si>
    <t>196433248789</t>
  </si>
  <si>
    <t>Amazon Essentials Men's Straight-Fit Breathable Stretch Cargo Pants (Available in Big &amp; Tall), Dark Grey, 48W x 28L</t>
  </si>
  <si>
    <t>B09LRWJH45</t>
  </si>
  <si>
    <t>196433248994</t>
  </si>
  <si>
    <t>Amazon Essentials Men's Straight-Fit Breathable Stretch Cargo Pants (Available in Big &amp; Tall), Dark Grey, 48W x 30L</t>
  </si>
  <si>
    <t>B09LRWH972</t>
  </si>
  <si>
    <t>196433249823</t>
  </si>
  <si>
    <t>Amazon Essentials Men's Straight-Fit Breathable Stretch Cargo Pants (Available in Big &amp; Tall), Khaki Brown, 46W x 32L</t>
  </si>
  <si>
    <t>B09LRWH8YS</t>
  </si>
  <si>
    <t>196433248895</t>
  </si>
  <si>
    <t>Amazon Essentials Men's Straight-Fit Breathable Stretch Cargo Pants (Available in Big &amp; Tall), Dark Grey, 56W x 28L</t>
  </si>
  <si>
    <t>B09LRWG877</t>
  </si>
  <si>
    <t>196433249908</t>
  </si>
  <si>
    <t>Amazon Essentials Men's Straight-Fit Breathable Stretch Cargo Pants (Available in Big &amp; Tall), Black, 56W x 30L</t>
  </si>
  <si>
    <t>B09LRWG7VR</t>
  </si>
  <si>
    <t>196433249144</t>
  </si>
  <si>
    <t>Amazon Essentials Men's Straight-Fit Breathable Stretch Cargo Pants (Available in Big &amp; Tall), Olive, 44W x 28L</t>
  </si>
  <si>
    <t>B09LRWG7S2</t>
  </si>
  <si>
    <t>196433248444</t>
  </si>
  <si>
    <t>Amazon Essentials Men's Straight-Fit Breathable Stretch Cargo Pants (Available in Big &amp; Tall), Navy, 54W x 30L</t>
  </si>
  <si>
    <t>B09LRWFY6V</t>
  </si>
  <si>
    <t>196433249632</t>
  </si>
  <si>
    <t>Amazon Essentials Men's Straight-Fit Breathable Stretch Cargo Pants (Available in Big &amp; Tall), Khaki Brown, 56W x 28L</t>
  </si>
  <si>
    <t>B09LRWFGFJ</t>
  </si>
  <si>
    <t>196433248543</t>
  </si>
  <si>
    <t>Amazon Essentials Men's Straight-Fit Breathable Stretch Cargo Pants (Available in Big &amp; Tall), Navy, 44W x 30L</t>
  </si>
  <si>
    <t>B09LRWFD1Q</t>
  </si>
  <si>
    <t>196433248796</t>
  </si>
  <si>
    <t>Amazon Essentials Men's Straight-Fit Breathable Stretch Cargo Pants (Available in Big &amp; Tall), Dark Grey, 56W x 30L</t>
  </si>
  <si>
    <t>B09LRWDP9B</t>
  </si>
  <si>
    <t>196433248642</t>
  </si>
  <si>
    <t>Amazon Essentials Men's Straight-Fit Breathable Stretch Cargo Pants (Available in Big &amp; Tall), Navy, 52W x 34L</t>
  </si>
  <si>
    <t>B09LRWDP96</t>
  </si>
  <si>
    <t>196433248680</t>
  </si>
  <si>
    <t>Amazon Essentials Men's Straight-Fit Breathable Stretch Cargo Pants (Available in Big &amp; Tall), Navy, 50W x 34L</t>
  </si>
  <si>
    <t>B09LRWDP8F</t>
  </si>
  <si>
    <t>196433249083</t>
  </si>
  <si>
    <t>Amazon Essentials Men's Straight-Fit Breathable Stretch Cargo Pants (Available in Big &amp; Tall), Dark Grey, 46W x 32L</t>
  </si>
  <si>
    <t>B09LRWBXQ7</t>
  </si>
  <si>
    <t>196433249090</t>
  </si>
  <si>
    <t>Amazon Essentials Men's Straight-Fit Breathable Stretch Cargo Pants (Available in Big &amp; Tall), Dark Grey, 44W x 32L</t>
  </si>
  <si>
    <t>B09LRWBXPV</t>
  </si>
  <si>
    <t>196433248253</t>
  </si>
  <si>
    <t>Amazon Essentials Men's Straight-Fit Breathable Stretch Cargo Pants (Available in Big &amp; Tall), Black, 48W x 30L</t>
  </si>
  <si>
    <t>B09LRWBXMN</t>
  </si>
  <si>
    <t>196433249892</t>
  </si>
  <si>
    <t>Amazon Essentials Men's Straight-Fit Breathable Stretch Cargo Pants (Available in Big &amp; Tall), Black, 48W x 28L</t>
  </si>
  <si>
    <t>B09LRW9WSY</t>
  </si>
  <si>
    <t>196433249335</t>
  </si>
  <si>
    <t>Amazon Essentials Men's Straight-Fit Breathable Stretch Cargo Pants (Available in Big &amp; Tall), Olive, 54W x 28L</t>
  </si>
  <si>
    <t>B09LRW9WL7</t>
  </si>
  <si>
    <t>196433248314</t>
  </si>
  <si>
    <t>Amazon Essentials Men's Straight-Fit Breathable Stretch Cargo Pants (Available in Big &amp; Tall), Black, 50W x 34L</t>
  </si>
  <si>
    <t>B09LRVMB4M</t>
  </si>
  <si>
    <t>196433250010</t>
  </si>
  <si>
    <t>Amazon Essentials Men's Straight-Fit Breathable Stretch Cargo Pants (Available in Big &amp; Tall), Black, 50W x 30L</t>
  </si>
  <si>
    <t>B09LRVLX5M</t>
  </si>
  <si>
    <t>196433249793</t>
  </si>
  <si>
    <t>Amazon Essentials Men's Straight-Fit Breathable Stretch Cargo Pants (Available in Big &amp; Tall), Khaki Brown, 50W x 34L</t>
  </si>
  <si>
    <t>B09LRVLNPM</t>
  </si>
  <si>
    <t>196433249588</t>
  </si>
  <si>
    <t>Amazon Essentials Men's Straight-Fit Breathable Stretch Cargo Pants (Available in Big &amp; Tall), Khaki Brown, 50W x 32L</t>
  </si>
  <si>
    <t>B09LRVL2WW</t>
  </si>
  <si>
    <t>196433249885</t>
  </si>
  <si>
    <t>Amazon Essentials Men's Straight-Fit Breathable Stretch Cargo Pants (Available in Big &amp; Tall), Black, 44W x 28L</t>
  </si>
  <si>
    <t>B09LRVL2VG</t>
  </si>
  <si>
    <t>196433249281</t>
  </si>
  <si>
    <t>Amazon Essentials Men's Straight-Fit Breathable Stretch Cargo Pants (Available in Big &amp; Tall), Olive, 44W x 30L</t>
  </si>
  <si>
    <t>B09LRVKK67</t>
  </si>
  <si>
    <t>196433249670</t>
  </si>
  <si>
    <t>Amazon Essentials Men's Straight-Fit Breathable Stretch Cargo Pants (Available in Big &amp; Tall), Khaki Brown, 52W x 28L</t>
  </si>
  <si>
    <t>B09LRVKC3J</t>
  </si>
  <si>
    <t>196433249182</t>
  </si>
  <si>
    <t>Amazon Essentials Men's Straight-Fit Breathable Stretch Cargo Pants (Available in Big &amp; Tall), Olive, 54W x 30L</t>
  </si>
  <si>
    <t>B09LRVJHQF</t>
  </si>
  <si>
    <t>196433249151</t>
  </si>
  <si>
    <t>Amazon Essentials Men's Straight-Fit Breathable Stretch Cargo Pants (Available in Big &amp; Tall), Olive, 48W x 28L</t>
  </si>
  <si>
    <t>B09LRVH7BC</t>
  </si>
  <si>
    <t>196433249663</t>
  </si>
  <si>
    <t>Amazon Essentials Men's Straight-Fit Breathable Stretch Cargo Pants (Available in Big &amp; Tall), Khaki Brown, 46W x 28L</t>
  </si>
  <si>
    <t>B09LRVGWJQ</t>
  </si>
  <si>
    <t>196433249304</t>
  </si>
  <si>
    <t>Amazon Essentials Men's Straight-Fit Breathable Stretch Cargo Pants (Available in Big &amp; Tall), Olive, 52W x 28L</t>
  </si>
  <si>
    <t>B09LRVGWJH</t>
  </si>
  <si>
    <t>196433249854</t>
  </si>
  <si>
    <t>Amazon Essentials Men's Straight-Fit Breathable Stretch Cargo Pants (Available in Big &amp; Tall), Black, 52W x 32L</t>
  </si>
  <si>
    <t>B09LRVG55X</t>
  </si>
  <si>
    <t>196433249472</t>
  </si>
  <si>
    <t>Amazon Essentials Men's Straight-Fit Breathable Stretch Cargo Pants (Available in Big &amp; Tall), Khaki Brown, 54W x 34L</t>
  </si>
  <si>
    <t>B09LRVG538</t>
  </si>
  <si>
    <t>196433248598</t>
  </si>
  <si>
    <t>Amazon Essentials Men's Straight-Fit Breathable Stretch Cargo Pants (Available in Big &amp; Tall), Navy, 54W x 28L</t>
  </si>
  <si>
    <t>B09LRVDKRS</t>
  </si>
  <si>
    <t>196433249380</t>
  </si>
  <si>
    <t>Amazon Essentials Men's Straight-Fit Breathable Stretch Cargo Pants (Available in Big &amp; Tall), Olive, 52W x 34L</t>
  </si>
  <si>
    <t>B09LRVBS4N</t>
  </si>
  <si>
    <t>196433248307</t>
  </si>
  <si>
    <t>Amazon Essentials Men's Straight-Fit Breathable Stretch Cargo Pants (Available in Big &amp; Tall), Black, 48W x 34L</t>
  </si>
  <si>
    <t>B09LRVBCQN</t>
  </si>
  <si>
    <t>196433249397</t>
  </si>
  <si>
    <t>Amazon Essentials Men's Straight-Fit Breathable Stretch Cargo Pants (Available in Big &amp; Tall), Olive, 48W x 32L</t>
  </si>
  <si>
    <t>B09LRVB8KL</t>
  </si>
  <si>
    <t>196433249298</t>
  </si>
  <si>
    <t>Amazon Essentials Men's Straight-Fit Breathable Stretch Cargo Pants (Available in Big &amp; Tall), Olive, 46W x 28L</t>
  </si>
  <si>
    <t>B09LRVB8FD</t>
  </si>
  <si>
    <t>196433249939</t>
  </si>
  <si>
    <t>Amazon Essentials Men's Straight-Fit Breathable Stretch Cargo Pants (Available in Big &amp; Tall), Black, 54W x 32L</t>
  </si>
  <si>
    <t>B09LRVB8FC</t>
  </si>
  <si>
    <t>196433249830</t>
  </si>
  <si>
    <t>Amazon Essentials Men's Straight-Fit Breathable Stretch Cargo Pants (Available in Big &amp; Tall), Khaki Brown, 44W x 32L</t>
  </si>
  <si>
    <t>B09LRV9VDK</t>
  </si>
  <si>
    <t>196433249779</t>
  </si>
  <si>
    <t>Amazon Essentials Men's Straight-Fit Breathable Stretch Cargo Pants (Available in Big &amp; Tall), Khaki Brown, 44W x 34L</t>
  </si>
  <si>
    <t>B09LRV8K62</t>
  </si>
  <si>
    <t>196433249441</t>
  </si>
  <si>
    <t>Amazon Essentials Men's Straight-Fit Breathable Stretch Cargo Pants (Available in Big &amp; Tall), Olive, 46W x 30L</t>
  </si>
  <si>
    <t>B09LRV86FQ</t>
  </si>
  <si>
    <t>196433248918</t>
  </si>
  <si>
    <t>Amazon Essentials Men's Straight-Fit Breathable Stretch Cargo Pants (Available in Big &amp; Tall), Dark Grey, 44W x 30L</t>
  </si>
  <si>
    <t>B09LRV7R1R</t>
  </si>
  <si>
    <t>196433249601</t>
  </si>
  <si>
    <t>Amazon Essentials Men's Straight-Fit Breathable Stretch Cargo Pants (Available in Big &amp; Tall), Khaki Brown, 58W x 30L</t>
  </si>
  <si>
    <t>B09LRV7R1N</t>
  </si>
  <si>
    <t>196433249458</t>
  </si>
  <si>
    <t>Amazon Essentials Men's Straight-Fit Breathable Stretch Cargo Pants (Available in Big &amp; Tall), Olive, 46W x 32L</t>
  </si>
  <si>
    <t>B09LRV79NZ</t>
  </si>
  <si>
    <t>196433249175</t>
  </si>
  <si>
    <t>Amazon Essentials Men's Straight-Fit Breathable Stretch Cargo Pants (Available in Big &amp; Tall), Olive, 52W x 30L</t>
  </si>
  <si>
    <t>B09LRV6SVZ</t>
  </si>
  <si>
    <t>196433249724</t>
  </si>
  <si>
    <t>Amazon Essentials Men's Straight-Fit Breathable Stretch Cargo Pants (Available in Big &amp; Tall), Khaki Brown, 46W x 34L</t>
  </si>
  <si>
    <t>B09LRV62YD</t>
  </si>
  <si>
    <t>196433249557</t>
  </si>
  <si>
    <t>Amazon Essentials Men's Straight-Fit Breathable Stretch Cargo Pants (Available in Big &amp; Tall), Khaki Brown, 54W x 30L</t>
  </si>
  <si>
    <t>B09LRV6212</t>
  </si>
  <si>
    <t>196433248482</t>
  </si>
  <si>
    <t>Amazon Essentials Men's Straight-Fit Breathable Stretch Cargo Pants (Available in Big &amp; Tall), Navy, 60W x 34L</t>
  </si>
  <si>
    <t>B09LRV4WWJ</t>
  </si>
  <si>
    <t>196433250041</t>
  </si>
  <si>
    <t>Amazon Essentials Men's Straight-Fit Breathable Stretch Cargo Pants (Available in Big &amp; Tall), Black, 52W x 28L</t>
  </si>
  <si>
    <t>B09LRV3H23</t>
  </si>
  <si>
    <t>196433249274</t>
  </si>
  <si>
    <t>Amazon Essentials Men's Straight-Fit Breathable Stretch Cargo Pants (Available in Big &amp; Tall), Olive, 50W x 30L</t>
  </si>
  <si>
    <t>B09LRV3H1N</t>
  </si>
  <si>
    <t>196433249977</t>
  </si>
  <si>
    <t>Amazon Essentials Men's Straight-Fit Breathable Stretch Cargo Pants (Available in Big &amp; Tall), Black, 58W x 30L</t>
  </si>
  <si>
    <t>B09LRV3GYG</t>
  </si>
  <si>
    <t>196433249427</t>
  </si>
  <si>
    <t>Amazon Essentials Men's Straight-Fit Breathable Stretch Cargo Pants (Available in Big &amp; Tall), Olive, 50W x 34L</t>
  </si>
  <si>
    <t>B09LRV213V</t>
  </si>
  <si>
    <t>196433250058</t>
  </si>
  <si>
    <t>Amazon Essentials Men's Straight-Fit Breathable Stretch Cargo Pants (Available in Big &amp; Tall), Black, 58W x 28L</t>
  </si>
  <si>
    <t>B09LRV2124</t>
  </si>
  <si>
    <t>196433249359</t>
  </si>
  <si>
    <t>Amazon Essentials Men's Straight-Fit Breathable Stretch Cargo Pants (Available in Big &amp; Tall), Olive, 46W x 34L</t>
  </si>
  <si>
    <t>B09LRV1ZXJ</t>
  </si>
  <si>
    <t>196433249311</t>
  </si>
  <si>
    <t>Amazon Essentials Men's Straight-Fit Breathable Stretch Cargo Pants (Available in Big &amp; Tall), Olive, 58W x 28L</t>
  </si>
  <si>
    <t>B09LRV1TCQ</t>
  </si>
  <si>
    <t>196433249762</t>
  </si>
  <si>
    <t>Amazon Essentials Men's Straight-Fit Breathable Stretch Cargo Pants (Available in Big &amp; Tall), Khaki Brown, 48W x 32L</t>
  </si>
  <si>
    <t>B09LRV1T8C</t>
  </si>
  <si>
    <t>196433249489</t>
  </si>
  <si>
    <t>Amazon Essentials Men's Straight-Fit Breathable Stretch Cargo Pants (Available in Big &amp; Tall), Khaki Brown, 52W x 32L</t>
  </si>
  <si>
    <t>B09LRV1DTD</t>
  </si>
  <si>
    <t>196433248321</t>
  </si>
  <si>
    <t>Amazon Essentials Men's Straight-Fit Breathable Stretch Cargo Pants (Available in Big &amp; Tall), Black, 50W x 28L</t>
  </si>
  <si>
    <t>B09LRV11BV</t>
  </si>
  <si>
    <t>196433248673</t>
  </si>
  <si>
    <t>Amazon Essentials Men's Straight-Fit Breathable Stretch Cargo Pants (Available in Big &amp; Tall), Navy, 48W x 34L</t>
  </si>
  <si>
    <t>B09LRTYNGF</t>
  </si>
  <si>
    <t>196433250003</t>
  </si>
  <si>
    <t>Amazon Essentials Men's Straight-Fit Breathable Stretch Cargo Pants (Available in Big &amp; Tall), Black, 56W x 28L</t>
  </si>
  <si>
    <t>B09LRTYNDB</t>
  </si>
  <si>
    <t>196433249434</t>
  </si>
  <si>
    <t>Amazon Essentials Men's Straight-Fit Breathable Stretch Cargo Pants (Available in Big &amp; Tall), Olive, 50W x 28L</t>
  </si>
  <si>
    <t>B09LRTXH64</t>
  </si>
  <si>
    <t>196433248406</t>
  </si>
  <si>
    <t>Amazon Essentials Men's Straight-Fit Breathable Stretch Cargo Pants (Available in Big &amp; Tall), Navy, 44W x 28L</t>
  </si>
  <si>
    <t>B09LRTX2HL</t>
  </si>
  <si>
    <t>196433248567</t>
  </si>
  <si>
    <t>Amazon Essentials Men's Straight-Fit Breathable Stretch Cargo Pants (Available in Big &amp; Tall), Navy, 52W x 28L</t>
  </si>
  <si>
    <t>B09LRTX2G2</t>
  </si>
  <si>
    <t>196433248611</t>
  </si>
  <si>
    <t>Amazon Essentials Men's Straight-Fit Breathable Stretch Cargo Pants (Available in Big &amp; Tall), Navy, 46W x 34L</t>
  </si>
  <si>
    <t>B09LRTWCL9</t>
  </si>
  <si>
    <t>196433249786</t>
  </si>
  <si>
    <t>Amazon Essentials Men's Straight-Fit Breathable Stretch Cargo Pants (Available in Big &amp; Tall), Khaki Brown, 48W x 34L</t>
  </si>
  <si>
    <t>B09LRTVRP3</t>
  </si>
  <si>
    <t>196433248659</t>
  </si>
  <si>
    <t>Amazon Essentials Men's Straight-Fit Breathable Stretch Cargo Pants (Available in Big &amp; Tall), Navy, 48W x 32L</t>
  </si>
  <si>
    <t>B09LRTV8F2</t>
  </si>
  <si>
    <t>196433249731</t>
  </si>
  <si>
    <t>Amazon Essentials Men's Straight-Fit Breathable Stretch Cargo Pants (Available in Big &amp; Tall), Khaki Brown, 48W x 30L</t>
  </si>
  <si>
    <t>B09LRTTX4J</t>
  </si>
  <si>
    <t>196433248703</t>
  </si>
  <si>
    <t>Amazon Essentials Men's Straight-Fit Breathable Stretch Cargo Pants (Available in Big &amp; Tall), Navy, 46W x 30L</t>
  </si>
  <si>
    <t>B09LRTR7RX</t>
  </si>
  <si>
    <t>196433249519</t>
  </si>
  <si>
    <t>Amazon Essentials Men's Straight-Fit Breathable Stretch Cargo Pants (Available in Big &amp; Tall), Khaki Brown, 44W x 28L</t>
  </si>
  <si>
    <t>B09LRTJTRX</t>
  </si>
  <si>
    <t>196433248574</t>
  </si>
  <si>
    <t>Amazon Essentials Men's Straight-Fit Breathable Stretch Cargo Pants (Available in Big &amp; Tall), Navy, 58W x 28L</t>
  </si>
  <si>
    <t>B09LRTJTQM</t>
  </si>
  <si>
    <t>196433248277</t>
  </si>
  <si>
    <t>Amazon Essentials Men's Straight-Fit Breathable Stretch Cargo Pants (Available in Big &amp; Tall), Black, 52W x 34L</t>
  </si>
  <si>
    <t>B09LRTJRX9</t>
  </si>
  <si>
    <t>196433248376</t>
  </si>
  <si>
    <t>Amazon Essentials Men's Straight-Fit Breathable Stretch Cargo Pants (Available in Big &amp; Tall), Navy, 52W x 32L</t>
  </si>
  <si>
    <t>B09LRTHR8P</t>
  </si>
  <si>
    <t>196433248550</t>
  </si>
  <si>
    <t>Amazon Essentials Men's Straight-Fit Breathable Stretch Cargo Pants (Available in Big &amp; Tall), Navy, 46W x 28L</t>
  </si>
  <si>
    <t>B09LRTG3L9</t>
  </si>
  <si>
    <t>196433248383</t>
  </si>
  <si>
    <t>Amazon Essentials Men's Straight-Fit Breathable Stretch Cargo Pants (Available in Big &amp; Tall), Navy, 56W x 32L</t>
  </si>
  <si>
    <t>B09LRTG3GS</t>
  </si>
  <si>
    <t>196433249014</t>
  </si>
  <si>
    <t>Amazon Essentials Men's Straight-Fit Breathable Stretch Cargo Pants (Available in Big &amp; Tall), Dark Grey, 52W x 34L</t>
  </si>
  <si>
    <t>B09LRTG3DN</t>
  </si>
  <si>
    <t>196433249212</t>
  </si>
  <si>
    <t>Amazon Essentials Men's Straight-Fit Breathable Stretch Cargo Pants (Available in Big &amp; Tall), Olive, 50W x 32L</t>
  </si>
  <si>
    <t>B09LRTFNYR</t>
  </si>
  <si>
    <t>196433248758</t>
  </si>
  <si>
    <t>Amazon Essentials Men's Straight-Fit Breathable Stretch Cargo Pants (Available in Big &amp; Tall), Dark Grey, 56W x 32L</t>
  </si>
  <si>
    <t>B09LRTDGQ8</t>
  </si>
  <si>
    <t>196433249533</t>
  </si>
  <si>
    <t>Amazon Essentials Men's Straight-Fit Breathable Stretch Cargo Pants (Available in Big &amp; Tall), Khaki Brown, 56W x 30L</t>
  </si>
  <si>
    <t>B09LRTCK4J</t>
  </si>
  <si>
    <t>196433249922</t>
  </si>
  <si>
    <t>Amazon Essentials Men's Straight-Fit Breathable Stretch Cargo Pants (Available in Big &amp; Tall), Black, 54W x 30L</t>
  </si>
  <si>
    <t>B09LRTCJWX</t>
  </si>
  <si>
    <t>196433249137</t>
  </si>
  <si>
    <t>Amazon Essentials Men's Straight-Fit Breathable Stretch Cargo Pants (Available in Big &amp; Tall), Olive, 58W x 34L</t>
  </si>
  <si>
    <t>B09LRTCJWW</t>
  </si>
  <si>
    <t>196433248987</t>
  </si>
  <si>
    <t>Amazon Essentials Men's Straight-Fit Breathable Stretch Cargo Pants (Available in Big &amp; Tall), Dark Grey, 46W x 34L</t>
  </si>
  <si>
    <t>B09LRTCJQF</t>
  </si>
  <si>
    <t>196433249878</t>
  </si>
  <si>
    <t>Amazon Essentials Men's Straight-Fit Breathable Stretch Cargo Pants (Available in Big &amp; Tall), Black, 58W x 34L</t>
  </si>
  <si>
    <t>B09LRTC7M6</t>
  </si>
  <si>
    <t>196433250065</t>
  </si>
  <si>
    <t>Amazon Essentials Men's Straight-Fit Breathable Stretch Cargo Pants (Available in Big &amp; Tall), Black, 60W x 30L</t>
  </si>
  <si>
    <t>B09LRT9LVL</t>
  </si>
  <si>
    <t>196433249465</t>
  </si>
  <si>
    <t>Amazon Essentials Men's Straight-Fit Breathable Stretch Cargo Pants (Available in Big &amp; Tall), Olive, 44W x 32L</t>
  </si>
  <si>
    <t>B09LRT9LTX</t>
  </si>
  <si>
    <t>196433248536</t>
  </si>
  <si>
    <t>Amazon Essentials Men's Straight-Fit Breathable Stretch Cargo Pants (Available in Big &amp; Tall), Navy, 50W x 30L</t>
  </si>
  <si>
    <t>B09LRT94LL</t>
  </si>
  <si>
    <t>196433248819</t>
  </si>
  <si>
    <t>Amazon Essentials Men's Straight-Fit Breathable Stretch Cargo Pants (Available in Big &amp; Tall), Dark Grey, 54W x 30L</t>
  </si>
  <si>
    <t>B09LRT94J4</t>
  </si>
  <si>
    <t>196433249113</t>
  </si>
  <si>
    <t>Amazon Essentials Men's Straight-Fit Breathable Stretch Cargo Pants (Available in Big &amp; Tall), Olive, 52W x 32L</t>
  </si>
  <si>
    <t>B09LRT66PC</t>
  </si>
  <si>
    <t>196433249120</t>
  </si>
  <si>
    <t>Amazon Essentials Men's Straight-Fit Breathable Stretch Cargo Pants (Available in Big &amp; Tall), Olive, 56W x 32L</t>
  </si>
  <si>
    <t>B09LRT26ZM</t>
  </si>
  <si>
    <t>196433248697</t>
  </si>
  <si>
    <t>Amazon Essentials Men's Straight-Fit Breathable Stretch Cargo Pants (Available in Big &amp; Tall), Navy, 50W x 28L</t>
  </si>
  <si>
    <t>B09LRSV6FQ</t>
  </si>
  <si>
    <t>196433249953</t>
  </si>
  <si>
    <t>Amazon Essentials Men's Straight-Fit Breathable Stretch Cargo Pants (Available in Big &amp; Tall), Black, 50W x 32L</t>
  </si>
  <si>
    <t>B09LRSQRT9</t>
  </si>
  <si>
    <t>196433249915</t>
  </si>
  <si>
    <t>Amazon Essentials Men's Straight-Fit Breathable Stretch Cargo Pants (Available in Big &amp; Tall), Black, 52W x 30L</t>
  </si>
  <si>
    <t>B09LRSPLDG</t>
  </si>
  <si>
    <t>196433249267</t>
  </si>
  <si>
    <t>Amazon Essentials Men's Straight-Fit Breathable Stretch Cargo Pants (Available in Big &amp; Tall), Olive, 56W x 28L</t>
  </si>
  <si>
    <t>B09LRSMWTW</t>
  </si>
  <si>
    <t>196433249618</t>
  </si>
  <si>
    <t>Amazon Essentials Men's Straight-Fit Breathable Stretch Cargo Pants (Available in Big &amp; Tall), Khaki Brown, 58W x 32L</t>
  </si>
  <si>
    <t>B09LRSLQYL</t>
  </si>
  <si>
    <t>196433249847</t>
  </si>
  <si>
    <t>Amazon Essentials Men's Straight-Fit Breathable Stretch Cargo Pants (Available in Big &amp; Tall), Black, 54W x 34L</t>
  </si>
  <si>
    <t>B06XWQC2ZF</t>
  </si>
  <si>
    <t>191770058114</t>
  </si>
  <si>
    <t>Amazon Essentials Men's 10" Classic-Fit Cotton Twill Cargo Shorts, Multiple Pockets (Available in Big &amp; Tall), Navy, 36</t>
  </si>
  <si>
    <t>B06XWPD2TZ</t>
  </si>
  <si>
    <t>191770058121</t>
  </si>
  <si>
    <t>Amazon Essentials Men's 10" Classic-Fit Cotton Twill Cargo Shorts, Multiple Pockets (Available in Big &amp; Tall), Navy, 38</t>
  </si>
  <si>
    <t>B06XWNM7TT</t>
  </si>
  <si>
    <t>191770058107</t>
  </si>
  <si>
    <t>Amazon Essentials Men's 10" Classic-Fit Cotton Twill Cargo Shorts, Multiple Pockets (Available in Big &amp; Tall), Navy, 34</t>
  </si>
  <si>
    <t>B06XWN91JY</t>
  </si>
  <si>
    <t>191770058084</t>
  </si>
  <si>
    <t>Amazon Essentials Men's 10" Classic-Fit Cotton Twill Cargo Shorts, Multiple Pockets (Available in Big &amp; Tall), Navy, 32</t>
  </si>
  <si>
    <t>B06XWN7RR7</t>
  </si>
  <si>
    <t>191770058138</t>
  </si>
  <si>
    <t>Amazon Essentials Men's 10" Classic-Fit Cotton Twill Cargo Shorts, Multiple Pockets (Available in Big &amp; Tall), Navy, 40</t>
  </si>
  <si>
    <t>B06XWL3SJW</t>
  </si>
  <si>
    <t>191770058091</t>
  </si>
  <si>
    <t>Amazon Essentials Men's 10" Classic-Fit Cotton Twill Cargo Shorts, Multiple Pockets (Available in Big &amp; Tall), Navy, 33</t>
  </si>
  <si>
    <t>B06XW8Q216</t>
  </si>
  <si>
    <t>191770058060</t>
  </si>
  <si>
    <t>Amazon Essentials Men's 10" Classic-Fit Cotton Twill Cargo Shorts, Multiple Pockets (Available in Big &amp; Tall), Navy, 30</t>
  </si>
  <si>
    <t>B06XW73BN9</t>
  </si>
  <si>
    <t>191770058077</t>
  </si>
  <si>
    <t>Amazon Essentials Men's 10" Classic-Fit Cotton Twill Cargo Shorts, Multiple Pockets (Available in Big &amp; Tall), Navy, 31</t>
  </si>
  <si>
    <t>B06XW7377R</t>
  </si>
  <si>
    <t>191770057841</t>
  </si>
  <si>
    <t>Amazon Essentials Men's 10" Classic-Fit Cotton Twill Cargo Shorts, Multiple Pockets (Available in Big &amp; Tall), Khaki, 31</t>
  </si>
  <si>
    <t>B06XW35WDD</t>
  </si>
  <si>
    <t>191770058145</t>
  </si>
  <si>
    <t>Amazon Essentials Men's 10" Classic-Fit Cotton Twill Cargo Shorts, Multiple Pockets (Available in Big &amp; Tall), Navy, 42</t>
  </si>
  <si>
    <t>B01MRXKXI9</t>
  </si>
  <si>
    <t>842354134006</t>
  </si>
  <si>
    <t>Amazon Essentials Men's 10" Classic-Fit Cotton Twill Cargo Shorts, Multiple Pockets (Available in Big &amp; Tall), Black, 31</t>
  </si>
  <si>
    <t>B01MQW64HU</t>
  </si>
  <si>
    <t>842354133993</t>
  </si>
  <si>
    <t>Amazon Essentials Men's 10" Classic-Fit Cotton Twill Cargo Shorts, Multiple Pockets (Available in Big &amp; Tall), Black, 29</t>
  </si>
  <si>
    <t>B01JQTRML0</t>
  </si>
  <si>
    <t>04893966201798</t>
  </si>
  <si>
    <t>GTIN</t>
  </si>
  <si>
    <t>Amazon Essentials Men's 10" Classic-Fit Cotton Twill Cargo Shorts, Multiple Pockets (Available in Big &amp; Tall), Khaki, 38</t>
  </si>
  <si>
    <t>B01JQTRMEC</t>
  </si>
  <si>
    <t>04893966201811</t>
  </si>
  <si>
    <t>Amazon Essentials Men's 10" Classic-Fit Cotton Twill Cargo Shorts, Multiple Pockets (Available in Big &amp; Tall), Khaki, 42</t>
  </si>
  <si>
    <t>B01JQTRBZC</t>
  </si>
  <si>
    <t>04893966201781</t>
  </si>
  <si>
    <t>Amazon Essentials Men's 10" Classic-Fit Cotton Twill Cargo Shorts, Multiple Pockets (Available in Big &amp; Tall), Khaki, 36</t>
  </si>
  <si>
    <t>B01JQTQLLW</t>
  </si>
  <si>
    <t>04893966201767</t>
  </si>
  <si>
    <t>Amazon Essentials Men's 10" Classic-Fit Cotton Twill Cargo Shorts, Multiple Pockets (Available in Big &amp; Tall), Khaki, 33</t>
  </si>
  <si>
    <t>B01JQTQL4O</t>
  </si>
  <si>
    <t>04893966201804</t>
  </si>
  <si>
    <t>Amazon Essentials Men's 10" Classic-Fit Cotton Twill Cargo Shorts, Multiple Pockets (Available in Big &amp; Tall), Khaki, 40</t>
  </si>
  <si>
    <t>B01JQTQAX6</t>
  </si>
  <si>
    <t>04893966201736</t>
  </si>
  <si>
    <t>Amazon Essentials Men's 10" Classic-Fit Cotton Twill Cargo Shorts, Multiple Pockets (Available in Big &amp; Tall), Khaki, 29</t>
  </si>
  <si>
    <t>B01JQTPQKE</t>
  </si>
  <si>
    <t>04893966201750</t>
  </si>
  <si>
    <t>Amazon Essentials Men's 10" Classic-Fit Cotton Twill Cargo Shorts, Multiple Pockets (Available in Big &amp; Tall), Khaki, 32</t>
  </si>
  <si>
    <t>B01JQTAIAW</t>
  </si>
  <si>
    <t>04893966201446</t>
  </si>
  <si>
    <t>Amazon Essentials Men's 10" Classic-Fit Cotton Twill Cargo Shorts, Multiple Pockets (Available in Big &amp; Tall), Black, 34</t>
  </si>
  <si>
    <t>B01JQTAD2A</t>
  </si>
  <si>
    <t>04893966201460</t>
  </si>
  <si>
    <t>Amazon Essentials Men's 10" Classic-Fit Cotton Twill Cargo Shorts, Multiple Pockets (Available in Big &amp; Tall), Black, 38</t>
  </si>
  <si>
    <t>B01JQTA794</t>
  </si>
  <si>
    <t>04893966201422</t>
  </si>
  <si>
    <t>Amazon Essentials Men's 10" Classic-Fit Cotton Twill Cargo Shorts, Multiple Pockets (Available in Big &amp; Tall), Black, 32</t>
  </si>
  <si>
    <t>B01JQTA1Q8</t>
  </si>
  <si>
    <t>04893966201484</t>
  </si>
  <si>
    <t>Amazon Essentials Men's 10" Classic-Fit Cotton Twill Cargo Shorts, Multiple Pockets (Available in Big &amp; Tall), Black, 42</t>
  </si>
  <si>
    <t>B01JQT9X44</t>
  </si>
  <si>
    <t>04893966201453</t>
  </si>
  <si>
    <t>Amazon Essentials Men's 10" Classic-Fit Cotton Twill Cargo Shorts, Multiple Pockets (Available in Big &amp; Tall), Black, 36</t>
  </si>
  <si>
    <t>B01JQT9NC6</t>
  </si>
  <si>
    <t>04893966201415</t>
  </si>
  <si>
    <t>Amazon Essentials Men's 10" Classic-Fit Cotton Twill Cargo Shorts, Multiple Pockets (Available in Big &amp; Tall), Black, 30</t>
  </si>
  <si>
    <t>5HPTLLDC</t>
  </si>
  <si>
    <t>EPLYP</t>
  </si>
  <si>
    <t>B0F7ND6P95</t>
  </si>
  <si>
    <t>197153417981</t>
  </si>
  <si>
    <t>AEUB43108M25-Stone Medium Wash_4y</t>
  </si>
  <si>
    <t>Amazon Essentials Unisex Babies' Unisex Baby and Toddlers' Soft Stretch Regular-Fit Denim Jacket, Stone Medium Wash, 4T</t>
  </si>
  <si>
    <t>B0F7N4TJNS</t>
  </si>
  <si>
    <t>197153418070</t>
  </si>
  <si>
    <t>AEUB43108M25-Stone Light Wash_2y</t>
  </si>
  <si>
    <t>Amazon Essentials Unisex Babies' Unisex Baby and Toddlers' Soft Stretch Regular-Fit Denim Jacket, Stone Light Wash, 2T</t>
  </si>
  <si>
    <t>B0F7N3GY6K</t>
  </si>
  <si>
    <t>197153417974</t>
  </si>
  <si>
    <t>AEUB43108M25-Stone Medium Wash_3y</t>
  </si>
  <si>
    <t>Amazon Essentials Unisex Babies' Unisex Baby and Toddlers' Soft Stretch Regular-Fit Denim Jacket, Stone Medium Wash, 3T</t>
  </si>
  <si>
    <t>B0F7N3GNLX</t>
  </si>
  <si>
    <t>197153417998</t>
  </si>
  <si>
    <t>AEUB43108M25-Stone Medium Wash_2y</t>
  </si>
  <si>
    <t>Amazon Essentials Unisex Babies' Unisex Baby and Toddlers' Soft Stretch Regular-Fit Denim Jacket, Stone Medium Wash, 2T</t>
  </si>
  <si>
    <t>B0F7MYTRBM</t>
  </si>
  <si>
    <t>197153417967</t>
  </si>
  <si>
    <t>AEUB43108M25-Stone Medium Wash_24m</t>
  </si>
  <si>
    <t>Amazon Essentials Unisex Babies' Unisex Baby and Toddlers' Soft Stretch Regular-Fit Denim Jacket, Stone Medium Wash, 24 Months</t>
  </si>
  <si>
    <t>B0F7MXD635</t>
  </si>
  <si>
    <t>197153418117</t>
  </si>
  <si>
    <t>AEUB43108M25-Stone Light Wash_12m</t>
  </si>
  <si>
    <t>Amazon Essentials Unisex Babies' Unisex Baby and Toddlers' Soft Stretch Regular-Fit Denim Jacket, Stone Light Wash, 12 Months</t>
  </si>
  <si>
    <t>B0F7MVY9Z5</t>
  </si>
  <si>
    <t>197153418032</t>
  </si>
  <si>
    <t>AEUB43108M25-Stone Medium Wash_12m</t>
  </si>
  <si>
    <t>Amazon Essentials Unisex Babies' Unisex Baby and Toddlers' Soft Stretch Regular-Fit Denim Jacket, Stone Medium Wash, 12 Months</t>
  </si>
  <si>
    <t>B0F7MVFWYR</t>
  </si>
  <si>
    <t>197153418063</t>
  </si>
  <si>
    <t>AEUB43108M25-Stone Light Wash_4y</t>
  </si>
  <si>
    <t>Amazon Essentials Unisex Babies' Unisex Baby and Toddlers' Soft Stretch Regular-Fit Denim Jacket, Stone Light Wash, 4T</t>
  </si>
  <si>
    <t>B0F7MSCW37</t>
  </si>
  <si>
    <t>197153418056</t>
  </si>
  <si>
    <t>AEUB43108M25-Stone Light Wash_3y</t>
  </si>
  <si>
    <t>Amazon Essentials Unisex Babies' Unisex Baby and Toddlers' Soft Stretch Regular-Fit Denim Jacket, Stone Light Wash, 3T</t>
  </si>
  <si>
    <t>B0F7MRXMJ6</t>
  </si>
  <si>
    <t>197153418018</t>
  </si>
  <si>
    <t>AEUB43108M25-Stone Medium Wash_18m</t>
  </si>
  <si>
    <t>Amazon Essentials Unisex Babies' Unisex Baby and Toddlers' Soft Stretch Regular-Fit Denim Jacket, Stone Medium Wash, 18 Months</t>
  </si>
  <si>
    <t>B0F7MM74YK</t>
  </si>
  <si>
    <t>197153418094</t>
  </si>
  <si>
    <t>AEUB43108M25-Stone Light Wash_18m</t>
  </si>
  <si>
    <t>Amazon Essentials Unisex Babies' Unisex Baby and Toddlers' Soft Stretch Regular-Fit Denim Jacket, Stone Light Wash, 18 Months</t>
  </si>
  <si>
    <t>B0F7MH1W9T</t>
  </si>
  <si>
    <t>197153418025</t>
  </si>
  <si>
    <t>AEUB43108M25-Stone Medium Wash_6-9m</t>
  </si>
  <si>
    <t>Amazon Essentials Unisex Babies' Unisex Baby and Toddlers' Soft Stretch Regular-Fit Denim Jacket, Stone Medium Wash, 6-9 Months</t>
  </si>
  <si>
    <t>B0F7MG4H6Z</t>
  </si>
  <si>
    <t>197153418100</t>
  </si>
  <si>
    <t>AEUB43108M25-Stone Light Wash_6-9m</t>
  </si>
  <si>
    <t>Amazon Essentials Unisex Babies' Unisex Baby and Toddlers' Soft Stretch Regular-Fit Denim Jacket, Stone Light Wash, 6-9 Months</t>
  </si>
  <si>
    <t>B0DX23FSZT</t>
  </si>
  <si>
    <t>197153282046</t>
  </si>
  <si>
    <t>AEWM47457M25-Stone Dark Wash_l</t>
  </si>
  <si>
    <t>Amazon Essentials Women's Oversized-Fit Rigid Denim Trucker Jacket, Stone Dark Wash, Large</t>
  </si>
  <si>
    <t>B0DX236M5R</t>
  </si>
  <si>
    <t>197153282084</t>
  </si>
  <si>
    <t>AEWM47457M25-Stone Dark Wash_xs</t>
  </si>
  <si>
    <t>Amazon Essentials Women's Oversized-Fit Rigid Denim Trucker Jacket, Stone Dark Wash, X-Small</t>
  </si>
  <si>
    <t>B0DX22YFJ1</t>
  </si>
  <si>
    <t>197153282060</t>
  </si>
  <si>
    <t>AEWM47457M25-Stone Dark Wash_xxl</t>
  </si>
  <si>
    <t>Amazon Essentials Women's Oversized-Fit Rigid Denim Trucker Jacket, Stone Dark Wash, XX-Large</t>
  </si>
  <si>
    <t>B0DX22NLYP</t>
  </si>
  <si>
    <t>197153282077</t>
  </si>
  <si>
    <t>AEWM47457M25-Stone Dark Wash_xl</t>
  </si>
  <si>
    <t>Amazon Essentials Women's Oversized-Fit Rigid Denim Trucker Jacket, Stone Dark Wash, X-Large</t>
  </si>
  <si>
    <t>B0DX22HRD8</t>
  </si>
  <si>
    <t>197153282053</t>
  </si>
  <si>
    <t>AEWM47457M25-Stone Dark Wash_s</t>
  </si>
  <si>
    <t>Amazon Essentials Women's Oversized-Fit Rigid Denim Trucker Jacket, Stone Dark Wash, Small</t>
  </si>
  <si>
    <t>B0DX21Z7DX</t>
  </si>
  <si>
    <t>197153282039</t>
  </si>
  <si>
    <t>AEWM47457M25-Stone Dark Wash_m</t>
  </si>
  <si>
    <t>Amazon Essentials Women's Oversized-Fit Rigid Denim Trucker Jacket, Stone Dark Wash, Medium</t>
  </si>
  <si>
    <t>5DEYOLYM</t>
  </si>
  <si>
    <t>B0FS2XCKQ7</t>
  </si>
  <si>
    <t>197153515045</t>
  </si>
  <si>
    <t>AEWM16178M26-Black_20</t>
  </si>
  <si>
    <t>Amazon Essentials Women's High Stretch Slim-Fit Pedal Pusher Jean, Black, 20</t>
  </si>
  <si>
    <t>B0FS2LLNKX</t>
  </si>
  <si>
    <t>197153515090</t>
  </si>
  <si>
    <t>AEWM16178M26-Black_2</t>
  </si>
  <si>
    <t>Amazon Essentials Women's High Stretch Slim-Fit Pedal Pusher Jean, Black, 2</t>
  </si>
  <si>
    <t>B0FS2FWK8C</t>
  </si>
  <si>
    <t>197153515052</t>
  </si>
  <si>
    <t>AEWM16178M26-Black_10</t>
  </si>
  <si>
    <t>Amazon Essentials Women's High Stretch Slim-Fit Pedal Pusher Jean, Black, 10</t>
  </si>
  <si>
    <t>B0FS2DNKJ6</t>
  </si>
  <si>
    <t>197153515021</t>
  </si>
  <si>
    <t>AEWM16178M26-Black_6</t>
  </si>
  <si>
    <t>Amazon Essentials Women's High Stretch Slim-Fit Pedal Pusher Jean, Black, 6</t>
  </si>
  <si>
    <t>B0FS2DLZX1</t>
  </si>
  <si>
    <t>197153515038</t>
  </si>
  <si>
    <t>AEWM16178M26-Black_4</t>
  </si>
  <si>
    <t>Amazon Essentials Women's High Stretch Slim-Fit Pedal Pusher Jean, Black, 4</t>
  </si>
  <si>
    <t>B0FS2D8652</t>
  </si>
  <si>
    <t>197153515106</t>
  </si>
  <si>
    <t>AEWM16178M26-Black_0</t>
  </si>
  <si>
    <t>Amazon Essentials Women's High Stretch Slim-Fit Pedal Pusher Jean, Black, 0</t>
  </si>
  <si>
    <t>B0FS2CZ39S</t>
  </si>
  <si>
    <t>197153515069</t>
  </si>
  <si>
    <t>AEWM16178M26-Black_8</t>
  </si>
  <si>
    <t>Amazon Essentials Women's High Stretch Slim-Fit Pedal Pusher Jean, Black, 8</t>
  </si>
  <si>
    <t>B0FS2CYJM6</t>
  </si>
  <si>
    <t>197153515014</t>
  </si>
  <si>
    <t>AEWM16178M26-Black_16</t>
  </si>
  <si>
    <t>Amazon Essentials Women's High Stretch Slim-Fit Pedal Pusher Jean, Black, 16</t>
  </si>
  <si>
    <t>B0FS2C2R99</t>
  </si>
  <si>
    <t>197153515113</t>
  </si>
  <si>
    <t>AEWM16178M26-Black_12</t>
  </si>
  <si>
    <t>Amazon Essentials Women's High-Rise Pedal Pusher Jean, Black, 12</t>
  </si>
  <si>
    <t>B0FS2B6BHM</t>
  </si>
  <si>
    <t>197153515076</t>
  </si>
  <si>
    <t>AEWM16178M26-Black_14</t>
  </si>
  <si>
    <t>Amazon Essentials Women's High-Rise Pedal Pusher Jean, Black, 14</t>
  </si>
  <si>
    <t>B0F7ND898B</t>
  </si>
  <si>
    <t>197153421964</t>
  </si>
  <si>
    <t>AEMN88118M25-Stone Medium Wash_29wx32l</t>
  </si>
  <si>
    <t>Amazon Essentials Men's Low Stretch Slim-Fit Bootcut Jeans, Stone Medium Wash, 29W x 32L</t>
  </si>
  <si>
    <t>B0F7ND69J4</t>
  </si>
  <si>
    <t>197153423951</t>
  </si>
  <si>
    <t>AEMN97005M25-Iced Blue Light Wash_36</t>
  </si>
  <si>
    <t>Amazon Essentials Men's Heavyweight Stretch Straight-Fit Jean Shorts, Mid Rise, 9" Inseam, Iced Blue Light Wash, 36</t>
  </si>
  <si>
    <t>B0F7NBFX4D</t>
  </si>
  <si>
    <t>197153422053</t>
  </si>
  <si>
    <t>AEMN88118M25-Stone Medium Wash_35wx32l</t>
  </si>
  <si>
    <t>Amazon Essentials Men's Low Stretch Slim-Fit Bootcut Jeans, Stone Medium Wash, 35W x 32L</t>
  </si>
  <si>
    <t>B0F7NBDQPT</t>
  </si>
  <si>
    <t>197153422114</t>
  </si>
  <si>
    <t>AEMN88118M25-Stone Medium Wash_31wx34l</t>
  </si>
  <si>
    <t>Amazon Essentials Men's Low Stretch Slim-Fit Bootcut Jeans, Stone Medium Wash, 31W x 34L</t>
  </si>
  <si>
    <t>B0F7NBCNQ9</t>
  </si>
  <si>
    <t>197153420684</t>
  </si>
  <si>
    <t>AEMN88118M25-Black_36wx28l</t>
  </si>
  <si>
    <t>Amazon Essentials Men's Low Stretch Slim-Fit Bootcut Jeans, Black, 36W x 28L</t>
  </si>
  <si>
    <t>B0F7NBCMRS</t>
  </si>
  <si>
    <t>197153421933</t>
  </si>
  <si>
    <t>AEMN88118M25-Stone Medium Wash_30wx30l</t>
  </si>
  <si>
    <t>Amazon Essentials Men's Low Stretch Slim-Fit Bootcut Jeans, Stone Medium Wash, 30W x 30L</t>
  </si>
  <si>
    <t>B0F7NBCJR1</t>
  </si>
  <si>
    <t>197153424392</t>
  </si>
  <si>
    <t>AEMN41037M25-Stone Medium Wash_36</t>
  </si>
  <si>
    <t>Amazon Essentials Men's Rigid Relaxed-Fit Jean Shorts, Stone Medium Wash, 36</t>
  </si>
  <si>
    <t>B0F7NBCJQ7</t>
  </si>
  <si>
    <t>197153423975</t>
  </si>
  <si>
    <t>AEMN97005M25-Iced Blue Light Wash_28</t>
  </si>
  <si>
    <t>Amazon Essentials Men's Heavyweight Stretch Straight-Fit Jean Shorts, Mid Rise, 9" Inseam, Iced Blue Light Wash, 28</t>
  </si>
  <si>
    <t>B0F7NBCJQ5</t>
  </si>
  <si>
    <t>197153423890</t>
  </si>
  <si>
    <t>AEMN97005M25-Black_32</t>
  </si>
  <si>
    <t>Amazon Essentials Men's Heavyweight Stretch Straight-Fit Jean Shorts, Mid Rise, 9" Inseam, Black, 32</t>
  </si>
  <si>
    <t>B0F7NBBPK7</t>
  </si>
  <si>
    <t>197153418230</t>
  </si>
  <si>
    <t>AEGL13713M25-Stone Medium Wash_4y</t>
  </si>
  <si>
    <t>Amazon Essentials Toddler Girls' Skinny Mid Rise Soft Stretch Denim Jegging, Stone Medium Wash, 4T</t>
  </si>
  <si>
    <t>B0F7NBBMKM</t>
  </si>
  <si>
    <t>197153418216</t>
  </si>
  <si>
    <t>AEGL13713M25-Stone Medium Wash_l</t>
  </si>
  <si>
    <t>Amazon Essentials Girls' Skinny Mid Rise Soft Stretch Denim Jegging, Stone Medium Wash, Large</t>
  </si>
  <si>
    <t>B0F7NBBKHL</t>
  </si>
  <si>
    <t>197153420332</t>
  </si>
  <si>
    <t>AEUB83300M25-Stone Light Wash_2y</t>
  </si>
  <si>
    <t>Amazon Essentials Unisex Toddlers' Soft Stretch Pull-On Jeans, Stone Light Wash, 2T</t>
  </si>
  <si>
    <t>B0F7NBB36N</t>
  </si>
  <si>
    <t>197153424149</t>
  </si>
  <si>
    <t>AEMN97005M25-Dark Midnight Wash_31</t>
  </si>
  <si>
    <t>Amazon Essentials Men's Heavyweight Stretch Straight-Fit Jean Shorts, Mid Rise, 9" Inseam, Dark Midnight Wash, 31</t>
  </si>
  <si>
    <t>B0F7NB92CJ</t>
  </si>
  <si>
    <t>197153420370</t>
  </si>
  <si>
    <t>AEUB83300M25-Stone Medium Wash_3-6m</t>
  </si>
  <si>
    <t>Amazon Essentials Unisex Babies' Soft Stretch Pull-On Jeans, Stone Medium Wash, 3-6 Months</t>
  </si>
  <si>
    <t>B0F7NB8Q1C</t>
  </si>
  <si>
    <t>197153420592</t>
  </si>
  <si>
    <t>AEMN88118M25-Black_34wx30l</t>
  </si>
  <si>
    <t>Amazon Essentials Men's Low Stretch Slim-Fit Bootcut Jeans, Black, 34W x 30L</t>
  </si>
  <si>
    <t>B0F7NB88T4</t>
  </si>
  <si>
    <t>197153420868</t>
  </si>
  <si>
    <t>AEMN88118M25-Black_38wx32l</t>
  </si>
  <si>
    <t>Amazon Essentials Men's Low Stretch Slim-Fit Bootcut Jeans, Black, 38W x 32L</t>
  </si>
  <si>
    <t>B0F7NB88T3</t>
  </si>
  <si>
    <t>197153420899</t>
  </si>
  <si>
    <t>AEMN88118M25-Black_33wx32l</t>
  </si>
  <si>
    <t>Amazon Essentials Men's Low Stretch Slim-Fit Bootcut Jeans, Black, 33W x 32L</t>
  </si>
  <si>
    <t>B0F7NB69TM</t>
  </si>
  <si>
    <t>197153421087</t>
  </si>
  <si>
    <t>AEMN88118M25-Dark Shadow Wash_38wx34l</t>
  </si>
  <si>
    <t>Amazon Essentials Men's Low Stretch Slim-Fit Bootcut Jeans, Dark Shadow Wash, 38W x 34L</t>
  </si>
  <si>
    <t>B0F7NB63V8</t>
  </si>
  <si>
    <t>197153421681</t>
  </si>
  <si>
    <t>AEMN88118M25-TintedIceLightWash_40wx34l</t>
  </si>
  <si>
    <t>Amazon Essentials Men's Low Stretch Slim-Fit Bootcut Jeans, Tinted Ice Light Wash, 40W x 34L</t>
  </si>
  <si>
    <t>B0F7NB5VHH</t>
  </si>
  <si>
    <t>197153421513</t>
  </si>
  <si>
    <t>AEMN88118M25-TintedIceLightWash_30wx28l</t>
  </si>
  <si>
    <t>Amazon Essentials Men's Low Stretch Slim-Fit Bootcut Jeans, Tinted Ice Light Wash, 30W x 28L</t>
  </si>
  <si>
    <t>B0F7NB5VHB</t>
  </si>
  <si>
    <t>197153421391</t>
  </si>
  <si>
    <t>AEMN88118M25-TintedIceLightWash_29wx30l</t>
  </si>
  <si>
    <t>Amazon Essentials Men's Low Stretch Slim-Fit Bootcut Jeans, Tinted Ice Light Wash, 29W x 30L</t>
  </si>
  <si>
    <t>B0F7NB5SH8</t>
  </si>
  <si>
    <t>197153421629</t>
  </si>
  <si>
    <t>AEMN88118M25-TintedIceLightWash_29wx34l</t>
  </si>
  <si>
    <t>Amazon Essentials Men's Low Stretch Slim-Fit Bootcut Jeans, Tinted Ice Light Wash, 29W x 34L</t>
  </si>
  <si>
    <t>B0F7NB5LFY</t>
  </si>
  <si>
    <t>197153424538</t>
  </si>
  <si>
    <t>AEMN41037M25-Dark Wash_29</t>
  </si>
  <si>
    <t>Amazon Essentials Men's Rigid Relaxed-Fit Jean Shorts, Dark Wash, 29</t>
  </si>
  <si>
    <t>B0F7NB5FFW</t>
  </si>
  <si>
    <t>197153423814</t>
  </si>
  <si>
    <t>AEMN97005M25-Black_31</t>
  </si>
  <si>
    <t>Amazon Essentials Men's Heavyweight Stretch Straight-Fit Jean Shorts, Mid Rise, 9" Inseam, Black, 31</t>
  </si>
  <si>
    <t>B0F7NB51G5</t>
  </si>
  <si>
    <t>197153421452</t>
  </si>
  <si>
    <t>AEMN88118M25-TintedIceLightWash_30wx30l</t>
  </si>
  <si>
    <t>Amazon Essentials Men's Low Stretch Slim-Fit Bootcut Jeans, Tinted Ice Light Wash, 30W x 30L</t>
  </si>
  <si>
    <t>B0F7NB51FS</t>
  </si>
  <si>
    <t>197153421230</t>
  </si>
  <si>
    <t>AEMN88118M25-Dark Shadow Wash_32wx34l</t>
  </si>
  <si>
    <t>Amazon Essentials Men's Low Stretch Slim-Fit Bootcut Jeans, Dark Shadow Wash, 32W x 34L</t>
  </si>
  <si>
    <t>B0F7NB4K38</t>
  </si>
  <si>
    <t>197153421223</t>
  </si>
  <si>
    <t>AEMN88118M25-Dark Shadow Wash_28wx28l</t>
  </si>
  <si>
    <t>Amazon Essentials Men's Low Stretch Slim-Fit Bootcut Jeans, Dark Shadow Wash, 28W x 28L</t>
  </si>
  <si>
    <t>B0F7N7JNSK</t>
  </si>
  <si>
    <t>197153420875</t>
  </si>
  <si>
    <t>AEMN88118M25-Black_31wx32l</t>
  </si>
  <si>
    <t>Amazon Essentials Men's Low Stretch Slim-Fit Bootcut Jeans, Black, 31W x 32L</t>
  </si>
  <si>
    <t>B0F7N7HCD2</t>
  </si>
  <si>
    <t>197153420813</t>
  </si>
  <si>
    <t>AEMN88118M25-Black_36wx32l</t>
  </si>
  <si>
    <t>Amazon Essentials Men's Low Stretch Slim-Fit Bootcut Jeans, Black, 36W x 32L</t>
  </si>
  <si>
    <t>B0F7N7H7DH</t>
  </si>
  <si>
    <t>197153420097</t>
  </si>
  <si>
    <t>AEGL35686M25-Classic Light Wash_7</t>
  </si>
  <si>
    <t>Amazon Essentials Girls' Ultra Soft Relaxed-Fit Wide Leg Cargo Jeans, Classic Light Wash, 7</t>
  </si>
  <si>
    <t>B0F7N7G8RF</t>
  </si>
  <si>
    <t>197153424170</t>
  </si>
  <si>
    <t>AEMN97005M25-Dark Midnight Wash_36</t>
  </si>
  <si>
    <t>Amazon Essentials Men's Heavyweight Stretch Straight-Fit Jean Shorts, Mid Rise, 9" Inseam, Dark Midnight Wash, 36</t>
  </si>
  <si>
    <t>B0F7N7DL72</t>
  </si>
  <si>
    <t>197153422251</t>
  </si>
  <si>
    <t>AEMN88118M25-Stone Medium Wash_36wx32l</t>
  </si>
  <si>
    <t>Amazon Essentials Men's Low Stretch Slim-Fit Bootcut Jeans, Stone Medium Wash, 36W x 32L</t>
  </si>
  <si>
    <t>B0F7N7DL6Y</t>
  </si>
  <si>
    <t>197153424620</t>
  </si>
  <si>
    <t>AEMN41037M25-Vintage Blue_40</t>
  </si>
  <si>
    <t>Amazon Essentials Men's Rigid Relaxed-Fit Jean Shorts, Vintage Blue, 40</t>
  </si>
  <si>
    <t>B0F7N775YJ</t>
  </si>
  <si>
    <t>197153424019</t>
  </si>
  <si>
    <t>AEMN97005M25-Iced Blue Light Wash_38</t>
  </si>
  <si>
    <t>Amazon Essentials Men's Heavyweight Stretch Straight-Fit Jean Shorts, Mid Rise, 9" Inseam, Iced Blue Light Wash, 38</t>
  </si>
  <si>
    <t>B0F7N771ZF</t>
  </si>
  <si>
    <t>197153420523</t>
  </si>
  <si>
    <t>AEMN88118M25-Black_29wx32l</t>
  </si>
  <si>
    <t>Amazon Essentials Men's Low Stretch Slim-Fit Bootcut Jeans, Black, 29W x 32L</t>
  </si>
  <si>
    <t>B0F7N768KJ</t>
  </si>
  <si>
    <t>197153424163</t>
  </si>
  <si>
    <t>AEMN97005M25-Dark Midnight Wash_34</t>
  </si>
  <si>
    <t>Amazon Essentials Men's Heavyweight Stretch Straight-Fit Jean Shorts, Mid Rise, 9" Inseam, Dark Midnight Wash, 34</t>
  </si>
  <si>
    <t>B0F7N74Q87</t>
  </si>
  <si>
    <t>197153420950</t>
  </si>
  <si>
    <t>AEMN88118M25-Dark Shadow Wash_34wx28l</t>
  </si>
  <si>
    <t>Amazon Essentials Men's Low Stretch Slim-Fit Bootcut Jeans, Dark Shadow Wash, 34W x 28L</t>
  </si>
  <si>
    <t>B0F7N74Q77</t>
  </si>
  <si>
    <t>197153424668</t>
  </si>
  <si>
    <t>AEMN41037M25-Vintage Blue_34</t>
  </si>
  <si>
    <t>Amazon Essentials Men's Rigid Relaxed-Fit Jean Shorts, Vintage Blue, 34</t>
  </si>
  <si>
    <t>B0F7N73MY9</t>
  </si>
  <si>
    <t>197153421285</t>
  </si>
  <si>
    <t>AEMN88118M25-Dark Shadow Wash_38wx30l</t>
  </si>
  <si>
    <t>Amazon Essentials Men's Low Stretch Slim-Fit Bootcut Jeans, Dark Shadow Wash, 38W x 30L</t>
  </si>
  <si>
    <t>B0F7N6Y9FX</t>
  </si>
  <si>
    <t>197153421896</t>
  </si>
  <si>
    <t>AEMN88118M25-Stone Medium Wash_34wx34l</t>
  </si>
  <si>
    <t>Amazon Essentials Men's Low Stretch Slim-Fit Bootcut Jeans, Stone Medium Wash, 34W x 34L</t>
  </si>
  <si>
    <t>B0F7N6V186</t>
  </si>
  <si>
    <t>197153421773</t>
  </si>
  <si>
    <t>AEMN88118M25-TintedIceLightWash_36wx32l</t>
  </si>
  <si>
    <t>Amazon Essentials Men's Low Stretch Slim-Fit Bootcut Jeans, Tinted Ice Light Wash, 36W x 32L</t>
  </si>
  <si>
    <t>B0F7N58BM2</t>
  </si>
  <si>
    <t>197153420912</t>
  </si>
  <si>
    <t>AEMN88118M25-Dark Shadow Wash_29wx30l</t>
  </si>
  <si>
    <t>Amazon Essentials Men's Low Stretch Slim-Fit Bootcut Jeans, Dark Shadow Wash, 29W x 30L</t>
  </si>
  <si>
    <t>B0F7N55KD7</t>
  </si>
  <si>
    <t>197153421902</t>
  </si>
  <si>
    <t>AEMN88118M25-Stone Medium Wash_40wx30l</t>
  </si>
  <si>
    <t>Amazon Essentials Men's Low Stretch Slim-Fit Bootcut Jeans, Stone Medium Wash, 40W x 30L</t>
  </si>
  <si>
    <t>B0F7N5235X</t>
  </si>
  <si>
    <t>197153420738</t>
  </si>
  <si>
    <t>AEMN88118M25-Black_33wx28l</t>
  </si>
  <si>
    <t>Amazon Essentials Men's Low Stretch Slim-Fit Bootcut Jeans, Black, 33W x 28L</t>
  </si>
  <si>
    <t>B0F7N5216G</t>
  </si>
  <si>
    <t>197153421063</t>
  </si>
  <si>
    <t>AEMN88118M25-Dark Shadow Wash_32wx28l</t>
  </si>
  <si>
    <t>Amazon Essentials Men's Low Stretch Slim-Fit Bootcut Jeans, Dark Shadow Wash, 32W x 28L</t>
  </si>
  <si>
    <t>B0F7N51FVR</t>
  </si>
  <si>
    <t>197153421018</t>
  </si>
  <si>
    <t>AEMN88118M25-Dark Shadow Wash_28wx32l</t>
  </si>
  <si>
    <t>Amazon Essentials Men's Low Stretch Slim-Fit Bootcut Jeans, Dark Shadow Wash, 28W x 32L</t>
  </si>
  <si>
    <t>B0F7N4TJPV</t>
  </si>
  <si>
    <t>197153422855</t>
  </si>
  <si>
    <t>AEWM44862M25-Medium Blue Vintage_12</t>
  </si>
  <si>
    <t>Amazon Essentials Women's Low Stretch Mid-Rise Regular-Fit Jean Short, Medium Blue Vintage, 12</t>
  </si>
  <si>
    <t>B0F7N4TFK5</t>
  </si>
  <si>
    <t>197153420455</t>
  </si>
  <si>
    <t>AEMN88118M25-Black_34wx34l</t>
  </si>
  <si>
    <t>Amazon Essentials Men's Low Stretch Slim-Fit Bootcut Jeans, Black, 34W x 34L</t>
  </si>
  <si>
    <t>B0F7N4SWND</t>
  </si>
  <si>
    <t>197153420080</t>
  </si>
  <si>
    <t>AEGL35686M25-Classic Light Wash_10</t>
  </si>
  <si>
    <t>Amazon Essentials Girls' Ultra Soft Relaxed-Fit Wide Leg Cargo Jeans, Classic Light Wash, 10</t>
  </si>
  <si>
    <t>B0F7N4SWLZ</t>
  </si>
  <si>
    <t>197153422121</t>
  </si>
  <si>
    <t>AEMN88118M25-Stone Medium Wash_36wx28l</t>
  </si>
  <si>
    <t>Amazon Essentials Men's Low Stretch Slim-Fit Bootcut Jeans, Stone Medium Wash, 36W x 28L</t>
  </si>
  <si>
    <t>B0F7N4SR2B</t>
  </si>
  <si>
    <t>197153420615</t>
  </si>
  <si>
    <t>AEMN88118M25-Black_35wx32l</t>
  </si>
  <si>
    <t>Amazon Essentials Men's Low Stretch Slim-Fit Bootcut Jeans, Black, 35W x 32L</t>
  </si>
  <si>
    <t>B0F7N4SC2J</t>
  </si>
  <si>
    <t>197153420301</t>
  </si>
  <si>
    <t>AEUB83300M25-Stone Light Wash_24m</t>
  </si>
  <si>
    <t>Amazon Essentials Unisex Babies' Soft Stretch Pull-On Jeans, Stone Light Wash, 24 Months</t>
  </si>
  <si>
    <t>B0F7N4RNP1</t>
  </si>
  <si>
    <t>197153424545</t>
  </si>
  <si>
    <t>AEMN41037M25-Dark Wash_32</t>
  </si>
  <si>
    <t>Amazon Essentials Men's Rigid Relaxed-Fit Jean Shorts, Dark Wash, 32</t>
  </si>
  <si>
    <t>B0F7N4NY9T</t>
  </si>
  <si>
    <t>197153424217</t>
  </si>
  <si>
    <t>AEMN97005M25-Dark Midnight Wash_33</t>
  </si>
  <si>
    <t>Amazon Essentials Men's Heavyweight Stretch Straight-Fit Jean Shorts, Mid Rise, 9" Inseam, Dark Midnight Wash, 33</t>
  </si>
  <si>
    <t>B0F7N4NHLR</t>
  </si>
  <si>
    <t>197153420882</t>
  </si>
  <si>
    <t>AEMN88118M25-Black_42wx32l</t>
  </si>
  <si>
    <t>Amazon Essentials Men's Low Stretch Slim-Fit Bootcut Jeans, Black, 42W x 32L</t>
  </si>
  <si>
    <t>B0F7N4N778</t>
  </si>
  <si>
    <t>197153418407</t>
  </si>
  <si>
    <t>AEBG70043M25-Classic Light Wash_3-6m</t>
  </si>
  <si>
    <t>Amazon Essentials Baby Girls' Soft Stretch Relaxed-Fit Wide Leg Jeans, Classic Light Wash, 3-6 Months</t>
  </si>
  <si>
    <t>B0F7N3QGV3</t>
  </si>
  <si>
    <t>197153421308</t>
  </si>
  <si>
    <t>AEMN88118M25-Dark Shadow Wash_30wx32l</t>
  </si>
  <si>
    <t>Amazon Essentials Men's Low Stretch Slim-Fit Bootcut Jeans, Dark Shadow Wash, 30W x 32L</t>
  </si>
  <si>
    <t>B0F7N3LXDJ</t>
  </si>
  <si>
    <t>197153424415</t>
  </si>
  <si>
    <t>AEMN41037M25-Stone Medium Wash_28</t>
  </si>
  <si>
    <t>Amazon Essentials Men's Rigid Relaxed-Fit Jean Shorts, Stone Medium Wash, 28</t>
  </si>
  <si>
    <t>B0F7N3H76H</t>
  </si>
  <si>
    <t>197153422152</t>
  </si>
  <si>
    <t>AEMN88118M25-Stone Medium Wash_35wx34l</t>
  </si>
  <si>
    <t>Amazon Essentials Men's Low Stretch Slim-Fit Bootcut Jeans, Stone Medium Wash, 35W x 34L</t>
  </si>
  <si>
    <t>B0F7N3H67F</t>
  </si>
  <si>
    <t>197153421605</t>
  </si>
  <si>
    <t>AEMN88118M25-TintedIceLightWash_36wx34l</t>
  </si>
  <si>
    <t>Amazon Essentials Men's Low Stretch Slim-Fit Bootcut Jeans, Tinted Ice Light Wash, 36W x 34L</t>
  </si>
  <si>
    <t>B0F7N3H66Y</t>
  </si>
  <si>
    <t>197153421209</t>
  </si>
  <si>
    <t>AEMN88118M25-Dark Shadow Wash_40wx34l</t>
  </si>
  <si>
    <t>Amazon Essentials Men's Low Stretch Slim-Fit Bootcut Jeans, Dark Shadow Wash, 40W x 34L</t>
  </si>
  <si>
    <t>B0F7N3GY8P</t>
  </si>
  <si>
    <t>197153421995</t>
  </si>
  <si>
    <t>AEMN88118M25-Stone Medium Wash_30wx28l</t>
  </si>
  <si>
    <t>Amazon Essentials Men's Low Stretch Slim-Fit Bootcut Jeans, Stone Medium Wash, 30W x 28L</t>
  </si>
  <si>
    <t>B0F7N3GNMC</t>
  </si>
  <si>
    <t>197153420905</t>
  </si>
  <si>
    <t>AEMN88118M25-Dark Shadow Wash_35wx30l</t>
  </si>
  <si>
    <t>Amazon Essentials Men's Low Stretch Slim-Fit Bootcut Jeans, Dark Shadow Wash, 35W x 30L</t>
  </si>
  <si>
    <t>B0F7N3DCSQ</t>
  </si>
  <si>
    <t>197153424484</t>
  </si>
  <si>
    <t>AEMN41037M25-Dark Wash_42</t>
  </si>
  <si>
    <t>Amazon Essentials Men's Rigid Relaxed-Fit Jean Shorts, Dark Wash, 42</t>
  </si>
  <si>
    <t>B0F7N3BFTK</t>
  </si>
  <si>
    <t>197153422015</t>
  </si>
  <si>
    <t>AEMN88118M25-Stone Medium Wash_32wx32l</t>
  </si>
  <si>
    <t>Amazon Essentials Men's Low Stretch Slim-Fit Bootcut Jeans, Stone Medium Wash, 32W x 32L</t>
  </si>
  <si>
    <t>B0F7N39VY1</t>
  </si>
  <si>
    <t>197153421544</t>
  </si>
  <si>
    <t>AEMN88118M25-TintedIceLightWash_32wx28l</t>
  </si>
  <si>
    <t>Amazon Essentials Men's Low Stretch Slim-Fit Bootcut Jeans, Tinted Ice Light Wash, 32W x 28L</t>
  </si>
  <si>
    <t>B0F7N36QVQ</t>
  </si>
  <si>
    <t>197153422206</t>
  </si>
  <si>
    <t>AEMN88118M25-Stone Medium Wash_31wx30l</t>
  </si>
  <si>
    <t>Amazon Essentials Men's Low Stretch Slim-Fit Bootcut Jeans, Stone Medium Wash, 31W x 30L</t>
  </si>
  <si>
    <t>B0F7N33S9L</t>
  </si>
  <si>
    <t>197153420547</t>
  </si>
  <si>
    <t>AEMN88118M25-Black_36wx30l</t>
  </si>
  <si>
    <t>Amazon Essentials Men's Low Stretch Slim-Fit Bootcut Jeans, Black, 36W x 30L</t>
  </si>
  <si>
    <t>B0F7N33S9H</t>
  </si>
  <si>
    <t>197153423968</t>
  </si>
  <si>
    <t>AEMN97005M25-Iced Blue Light Wash_30</t>
  </si>
  <si>
    <t>Amazon Essentials Men's Heavyweight Stretch Straight-Fit Jean Shorts, Mid Rise, 9" Inseam, Iced Blue Light Wash, 30</t>
  </si>
  <si>
    <t>B0F7N33S9F</t>
  </si>
  <si>
    <t>197153423845</t>
  </si>
  <si>
    <t>AEMN97005M25-Black_36</t>
  </si>
  <si>
    <t>Amazon Essentials Men's Heavyweight Stretch Straight-Fit Jean Shorts, Mid Rise, 9" Inseam, Black, 36</t>
  </si>
  <si>
    <t>B0F7N2YSTL</t>
  </si>
  <si>
    <t>197153423883</t>
  </si>
  <si>
    <t>AEMN97005M25-Black_33</t>
  </si>
  <si>
    <t>Amazon Essentials Men's Heavyweight Stretch Straight-Fit Jean Shorts, Mid Rise, 9" Inseam, Black, 33</t>
  </si>
  <si>
    <t>B0F7N2YSTD</t>
  </si>
  <si>
    <t>197153424507</t>
  </si>
  <si>
    <t>AEMN41037M25-Dark Wash_36</t>
  </si>
  <si>
    <t>Amazon Essentials Men's Rigid Relaxed-Fit Jean Shorts, Dark Wash, 36</t>
  </si>
  <si>
    <t>B0F7N2T1LC</t>
  </si>
  <si>
    <t>197153420745</t>
  </si>
  <si>
    <t>AEMN88118M25-Black_28wx28l</t>
  </si>
  <si>
    <t>Amazon Essentials Men's Low Stretch Slim-Fit Bootcut Jeans, Black, 28W x 28L</t>
  </si>
  <si>
    <t>B0F7N2RR1L</t>
  </si>
  <si>
    <t>197153418469</t>
  </si>
  <si>
    <t>AEBG70043M25-Classic Light Wash_12m</t>
  </si>
  <si>
    <t>Amazon Essentials Baby Girls' Soft Stretch Relaxed-Fit Wide Leg Jeans, Classic Light Wash, 12 Months</t>
  </si>
  <si>
    <t>B0F7N2RM9B</t>
  </si>
  <si>
    <t>197153421889</t>
  </si>
  <si>
    <t>AEMN88118M25-Stone Medium Wash_30wx34l</t>
  </si>
  <si>
    <t>Amazon Essentials Men's Low Stretch Slim-Fit Bootcut Jeans, Stone Medium Wash, 30W x 34L</t>
  </si>
  <si>
    <t>B0F7N2PNBX</t>
  </si>
  <si>
    <t>197153421711</t>
  </si>
  <si>
    <t>AEMN88118M25-TintedIceLightWash_32wx34l</t>
  </si>
  <si>
    <t>Amazon Essentials Men's Low Stretch Slim-Fit Bootcut Jeans, Tinted Ice Light Wash, 32W x 34L</t>
  </si>
  <si>
    <t>B0F7N2PN9Z</t>
  </si>
  <si>
    <t>197153422817</t>
  </si>
  <si>
    <t>AEWM44862M25-Medium Blue Vintage_6</t>
  </si>
  <si>
    <t>Amazon Essentials Women's Low Stretch Mid-Rise Regular-Fit Jean Short, Medium Blue Vintage, 6</t>
  </si>
  <si>
    <t>B0F7N2PN92</t>
  </si>
  <si>
    <t>197153420400</t>
  </si>
  <si>
    <t>AEUB83300M25-Stone Medium Wash_3y</t>
  </si>
  <si>
    <t>Amazon Essentials Unisex Toddlers' Soft Stretch Pull-On Jeans, Stone Medium Wash, 3T</t>
  </si>
  <si>
    <t>B0F7N2MCGR</t>
  </si>
  <si>
    <t>197153420998</t>
  </si>
  <si>
    <t>AEMN88118M25-Dark Shadow Wash_40wx28l</t>
  </si>
  <si>
    <t>Amazon Essentials Men's Low Stretch Slim-Fit Bootcut Jeans, Dark Shadow Wash, 40W x 28L</t>
  </si>
  <si>
    <t>B0F7N2JF8W</t>
  </si>
  <si>
    <t>197153421926</t>
  </si>
  <si>
    <t>AEMN88118M25-Stone Medium Wash_42wx34l</t>
  </si>
  <si>
    <t>Amazon Essentials Men's Low Stretch Slim-Fit Bootcut Jeans, Stone Medium Wash, 42W x 34L</t>
  </si>
  <si>
    <t>B0F7N2J44W</t>
  </si>
  <si>
    <t>197153421650</t>
  </si>
  <si>
    <t>AEMN88118M25-TintedIceLightWash_35wx28l</t>
  </si>
  <si>
    <t>Amazon Essentials Men's Low Stretch Slim-Fit Bootcut Jeans, Tinted Ice Light Wash, 35W x 28L</t>
  </si>
  <si>
    <t>B0F7N1SD53</t>
  </si>
  <si>
    <t>197153421483</t>
  </si>
  <si>
    <t>AEMN88118M25-TintedIceLightWash_29wx32l</t>
  </si>
  <si>
    <t>Amazon Essentials Men's Low Stretch Slim-Fit Bootcut Jeans, Tinted Ice Light Wash, 29W x 32L</t>
  </si>
  <si>
    <t>B0F7N1S8HQ</t>
  </si>
  <si>
    <t>197153422282</t>
  </si>
  <si>
    <t>AEMN88118M25-Stone Medium Wash_33wx34l</t>
  </si>
  <si>
    <t>Amazon Essentials Men's Low Stretch Slim-Fit Bootcut Jeans, Stone Medium Wash, 33W x 34L</t>
  </si>
  <si>
    <t>B0F7N1Q41L</t>
  </si>
  <si>
    <t>197153424224</t>
  </si>
  <si>
    <t>AEMN97005M25-Dark Midnight Wash_32</t>
  </si>
  <si>
    <t>Amazon Essentials Men's Heavyweight Stretch Straight-Fit Jean Shorts, Mid Rise, 9" Inseam, Dark Midnight Wash, 32</t>
  </si>
  <si>
    <t>B0F7N1ND5G</t>
  </si>
  <si>
    <t>197153424033</t>
  </si>
  <si>
    <t>AEMN97005M25-Authentic Medium Wash_31</t>
  </si>
  <si>
    <t>Amazon Essentials Men's Heavyweight Stretch Straight-Fit Jean Shorts, Mid Rise, 9" Inseam, Authentic Medium Wash, 31</t>
  </si>
  <si>
    <t>B0F7N1KH9W</t>
  </si>
  <si>
    <t>197153420967</t>
  </si>
  <si>
    <t>AEMN88118M25-Dark Shadow Wash_42wx34l</t>
  </si>
  <si>
    <t>Amazon Essentials Men's Low Stretch Slim-Fit Bootcut Jeans, Dark Shadow Wash, 42W x 34L</t>
  </si>
  <si>
    <t>B0F7N1JGH7</t>
  </si>
  <si>
    <t>197153421445</t>
  </si>
  <si>
    <t>AEMN88118M25-TintedIceLightWash_42wx34l</t>
  </si>
  <si>
    <t>Amazon Essentials Men's Low Stretch Slim-Fit Bootcut Jeans, Tinted Ice Light Wash, 42W x 34L</t>
  </si>
  <si>
    <t>B0F7N1JGGQ</t>
  </si>
  <si>
    <t>197153424422</t>
  </si>
  <si>
    <t>AEMN41037M25-Stone Medium Wash_29</t>
  </si>
  <si>
    <t>Amazon Essentials Men's Rigid Relaxed-Fit Jean Shorts, Stone Medium Wash, 29</t>
  </si>
  <si>
    <t>B0F7N1HNS5</t>
  </si>
  <si>
    <t>197153421599</t>
  </si>
  <si>
    <t>AEMN88118M25-TintedIceLightWash_32wx30l</t>
  </si>
  <si>
    <t>Amazon Essentials Men's Low Stretch Slim-Fit Bootcut Jeans, Tinted Ice Light Wash, 32W x 30L</t>
  </si>
  <si>
    <t>B0F7N1HC55</t>
  </si>
  <si>
    <t>197153418261</t>
  </si>
  <si>
    <t>AEGL13713M25-Stone Medium Wash_m</t>
  </si>
  <si>
    <t>Amazon Essentials Girls' Skinny Mid Rise Soft Stretch Denim Jegging, Stone Medium Wash, Medium</t>
  </si>
  <si>
    <t>B0F7N1HC32</t>
  </si>
  <si>
    <t>197153424552</t>
  </si>
  <si>
    <t>AEMN41037M25-Dark Wash_34</t>
  </si>
  <si>
    <t>Amazon Essentials Men's Rigid Relaxed-Fit Jean Shorts, Dark Wash, 34</t>
  </si>
  <si>
    <t>B0F7N1FJ6Q</t>
  </si>
  <si>
    <t>197153421315</t>
  </si>
  <si>
    <t>AEMN88118M25-Dark Shadow Wash_38wx28l</t>
  </si>
  <si>
    <t>Amazon Essentials Men's Low Stretch Slim-Fit Bootcut Jeans, Dark Shadow Wash, 38W x 28L</t>
  </si>
  <si>
    <t>B0F7N1BM4W</t>
  </si>
  <si>
    <t>197153418391</t>
  </si>
  <si>
    <t>AEBG70043M25-Classic Light Wash_3y</t>
  </si>
  <si>
    <t>Amazon Essentials Toddler Girls' Soft Stretch Relaxed-Fit Wide Leg Jeans, Classic Light Wash, 3T</t>
  </si>
  <si>
    <t>B0F7N19GSW</t>
  </si>
  <si>
    <t>197153420356</t>
  </si>
  <si>
    <t>AEUB83300M25-Stone Medium Wash_18m</t>
  </si>
  <si>
    <t>Amazon Essentials Unisex Babies' Soft Stretch Pull-On Jeans, Stone Medium Wash, 18 Months</t>
  </si>
  <si>
    <t>B0F7N17FS3</t>
  </si>
  <si>
    <t>197153421179</t>
  </si>
  <si>
    <t>AEMN88118M25-Dark Shadow Wash_35wx28l</t>
  </si>
  <si>
    <t>Amazon Essentials Men's Low Stretch Slim-Fit Bootcut Jeans, Dark Shadow Wash, 35W x 28L</t>
  </si>
  <si>
    <t>B0F7N163X4</t>
  </si>
  <si>
    <t>197153421537</t>
  </si>
  <si>
    <t>AEMN88118M25-TintedIceLightWash_32wx32l</t>
  </si>
  <si>
    <t>Amazon Essentials Men's Low Stretch Slim-Fit Bootcut Jeans, Tinted Ice Light Wash, 32W x 32L</t>
  </si>
  <si>
    <t>B0F7N13D9L</t>
  </si>
  <si>
    <t>197153421490</t>
  </si>
  <si>
    <t>AEMN88118M25-TintedIceLightWash_28wx32l</t>
  </si>
  <si>
    <t>Amazon Essentials Men's Low Stretch Slim-Fit Bootcut Jeans, Tinted Ice Light Wash, 28W x 32L</t>
  </si>
  <si>
    <t>B0F7N12P3W</t>
  </si>
  <si>
    <t>197153420530</t>
  </si>
  <si>
    <t>AEMN88118M25-Black_28wx32l</t>
  </si>
  <si>
    <t>Amazon Essentials Men's Low Stretch Slim-Fit Bootcut Jeans, Black, 28W x 32L</t>
  </si>
  <si>
    <t>B0F7MZZQYB</t>
  </si>
  <si>
    <t>197153421674</t>
  </si>
  <si>
    <t>AEMN88118M25-TintedIceLightWash_35wx34l</t>
  </si>
  <si>
    <t>Amazon Essentials Men's Low Stretch Slim-Fit Bootcut Jeans, Tinted Ice Light Wash, 35W x 34L</t>
  </si>
  <si>
    <t>B0F7MZZDD1</t>
  </si>
  <si>
    <t>197153418438</t>
  </si>
  <si>
    <t>AEBG70043M25-Classic Light Wash_18m</t>
  </si>
  <si>
    <t>Amazon Essentials Baby Girls' Soft Stretch Relaxed-Fit Wide Leg Jeans, Classic Light Wash, 18 Months</t>
  </si>
  <si>
    <t>B0F7MZYP24</t>
  </si>
  <si>
    <t>197153424590</t>
  </si>
  <si>
    <t>AEMN41037M25-Vintage Blue_42</t>
  </si>
  <si>
    <t>Amazon Essentials Men's Rigid Relaxed-Fit Jean Shorts, Vintage Blue, 42</t>
  </si>
  <si>
    <t>B0F7MZX1KV</t>
  </si>
  <si>
    <t>197153422862</t>
  </si>
  <si>
    <t>AEWM44862M25-Medium Blue Vintage_0</t>
  </si>
  <si>
    <t>Amazon Essentials Women's Low Stretch Mid-Rise Regular-Fit Jean Short, Medium Blue Vintage, 0</t>
  </si>
  <si>
    <t>B0F7MZVPCH</t>
  </si>
  <si>
    <t>197153421766</t>
  </si>
  <si>
    <t>AEMN88118M25-TintedIceLightWash_38wx30l</t>
  </si>
  <si>
    <t>Amazon Essentials Men's Low Stretch Slim-Fit Bootcut Jeans, Tinted Ice Light Wash, 38W x 30L</t>
  </si>
  <si>
    <t>B0F7MZTMW9</t>
  </si>
  <si>
    <t>197153424088</t>
  </si>
  <si>
    <t>AEMN97005M25-Authentic Medium Wash_28</t>
  </si>
  <si>
    <t>Amazon Essentials Men's Heavyweight Stretch Straight-Fit Jean Shorts, Mid Rise, 9" Inseam, Authentic Medium Wash, 28</t>
  </si>
  <si>
    <t>B0F7MZH1KV</t>
  </si>
  <si>
    <t>197153420066</t>
  </si>
  <si>
    <t>AEGL35686M25-Classic Light Wash_12</t>
  </si>
  <si>
    <t>Amazon Essentials Girls' Ultra Soft Relaxed-Fit Wide Leg Cargo Jeans, Classic Light Wash, 12</t>
  </si>
  <si>
    <t>B0F7MZDRNQ</t>
  </si>
  <si>
    <t>197153420752</t>
  </si>
  <si>
    <t>AEMN88118M25-Black_32wx34l</t>
  </si>
  <si>
    <t>Amazon Essentials Men's Low Stretch Slim-Fit Bootcut Jeans, Black, 32W x 34L</t>
  </si>
  <si>
    <t>B0F7MYTRCK</t>
  </si>
  <si>
    <t>197153420783</t>
  </si>
  <si>
    <t>AEMN88118M25-Black_42wx28l</t>
  </si>
  <si>
    <t>Amazon Essentials Men's Low Stretch Slim-Fit Bootcut Jeans, Black, 42W x 28L</t>
  </si>
  <si>
    <t>B0F7MYTRBW</t>
  </si>
  <si>
    <t>197153420509</t>
  </si>
  <si>
    <t>AEMN88118M25-Black_28wx30l</t>
  </si>
  <si>
    <t>Amazon Essentials Men's Low Stretch Slim-Fit Bootcut Jeans, Black, 28W x 30L</t>
  </si>
  <si>
    <t>B0F7MYSZLC</t>
  </si>
  <si>
    <t>197153421155</t>
  </si>
  <si>
    <t>AEMN88118M25-Dark Shadow Wash_31wx34l</t>
  </si>
  <si>
    <t>Amazon Essentials Men's Low Stretch Slim-Fit Bootcut Jeans, Dark Shadow Wash, 31W x 34L</t>
  </si>
  <si>
    <t>B0F7MYQM3R</t>
  </si>
  <si>
    <t>197153422275</t>
  </si>
  <si>
    <t>AEMN88118M25-Stone Medium Wash_38wx28l</t>
  </si>
  <si>
    <t>Amazon Essentials Men's Low Stretch Slim-Fit Bootcut Jeans, Stone Medium Wash, 38W x 28L</t>
  </si>
  <si>
    <t>B0F7MYQL61</t>
  </si>
  <si>
    <t>197153422077</t>
  </si>
  <si>
    <t>AEMN88118M25-Stone Medium Wash_32wx30l</t>
  </si>
  <si>
    <t>Amazon Essentials Men's Low Stretch Slim-Fit Bootcut Jeans, Stone Medium Wash, 32W x 30L</t>
  </si>
  <si>
    <t>B0F7MYQFV3</t>
  </si>
  <si>
    <t>197153421322</t>
  </si>
  <si>
    <t>AEMN88118M25-Dark Shadow Wash_33wx34l</t>
  </si>
  <si>
    <t>Amazon Essentials Men's Low Stretch Slim-Fit Bootcut Jeans, Dark Shadow Wash, 33W x 34L</t>
  </si>
  <si>
    <t>B0F7MYPPYD</t>
  </si>
  <si>
    <t>197153418452</t>
  </si>
  <si>
    <t>AEBG70043M25-Classic Light Wash_2y</t>
  </si>
  <si>
    <t>Amazon Essentials Toddler Girls' Soft Stretch Relaxed-Fit Wide Leg Jeans, Classic Light Wash, 2T</t>
  </si>
  <si>
    <t>B0F7MYPL6V</t>
  </si>
  <si>
    <t>197153420394</t>
  </si>
  <si>
    <t>AEUB83300M25-Stone Medium Wash_4y</t>
  </si>
  <si>
    <t>Amazon Essentials Unisex Toddlers' Soft Stretch Pull-On Jeans, Stone Medium Wash, 4T</t>
  </si>
  <si>
    <t>B0F7MYP3WP</t>
  </si>
  <si>
    <t>197153420271</t>
  </si>
  <si>
    <t>AEUB83300M25-Stone Light Wash_18m</t>
  </si>
  <si>
    <t>Amazon Essentials Unisex Babies' Soft Stretch Pull-On Jeans, Stone Light Wash, 18 Months</t>
  </si>
  <si>
    <t>B0F7MYNJW5</t>
  </si>
  <si>
    <t>197153423944</t>
  </si>
  <si>
    <t>AEMN97005M25-Iced Blue Light Wash_34</t>
  </si>
  <si>
    <t>Amazon Essentials Men's Heavyweight Stretch Straight-Fit Jean Shorts, Mid Rise, 9" Inseam, Iced Blue Light Wash, 34</t>
  </si>
  <si>
    <t>B0F7MYMP5B</t>
  </si>
  <si>
    <t>197153420431</t>
  </si>
  <si>
    <t>AEMN88118M25-Black_29wx30l</t>
  </si>
  <si>
    <t>Amazon Essentials Men's Low Stretch Slim-Fit Bootcut Jeans, Black, 29W x 30L</t>
  </si>
  <si>
    <t>B0F7MYM9J1</t>
  </si>
  <si>
    <t>197153424118</t>
  </si>
  <si>
    <t>AEMN97005M25-Authentic Medium Wash_32</t>
  </si>
  <si>
    <t>Amazon Essentials Men's Heavyweight Stretch Straight-Fit Jean Shorts, Mid Rise, 9" Inseam, Authentic Medium Wash, 32</t>
  </si>
  <si>
    <t>B0F7MYKYR3</t>
  </si>
  <si>
    <t>197153424439</t>
  </si>
  <si>
    <t>AEMN41037M25-Stone Medium Wash_32</t>
  </si>
  <si>
    <t>Amazon Essentials Men's Rigid Relaxed-Fit Jean Shorts, Stone Medium Wash, 32</t>
  </si>
  <si>
    <t>B0F7MYH4VV</t>
  </si>
  <si>
    <t>197153421742</t>
  </si>
  <si>
    <t>AEMN88118M25-TintedIceLightWash_42wx28l</t>
  </si>
  <si>
    <t>Amazon Essentials Men's Low Stretch Slim-Fit Bootcut Jeans, Tinted Ice Light Wash, 42W x 28L</t>
  </si>
  <si>
    <t>B0F7MYH4TW</t>
  </si>
  <si>
    <t>197153421278</t>
  </si>
  <si>
    <t>AEMN88118M25-Dark Shadow Wash_29wx28l</t>
  </si>
  <si>
    <t>Amazon Essentials Men's Low Stretch Slim-Fit Bootcut Jeans, Dark Shadow Wash, 29W x 28L</t>
  </si>
  <si>
    <t>B0F7MYGVG4</t>
  </si>
  <si>
    <t>197153422107</t>
  </si>
  <si>
    <t>AEMN88118M25-Stone Medium Wash_29wx34l</t>
  </si>
  <si>
    <t>Amazon Essentials Men's Low Stretch Slim-Fit Bootcut Jeans, Stone Medium Wash, 29W x 34L</t>
  </si>
  <si>
    <t>B0F7MYGVFG</t>
  </si>
  <si>
    <t>197153421612</t>
  </si>
  <si>
    <t>AEMN88118M25-TintedIceLightWash_40wx32l</t>
  </si>
  <si>
    <t>Amazon Essentials Men's Low Stretch Slim-Fit Bootcut Jeans, Tinted Ice Light Wash, 40W x 32L</t>
  </si>
  <si>
    <t>B0F7MYFKC1</t>
  </si>
  <si>
    <t>197153424125</t>
  </si>
  <si>
    <t>AEMN97005M25-Authentic Medium Wash_38</t>
  </si>
  <si>
    <t>Amazon Essentials Men's Heavyweight Stretch Straight-Fit Jean Shorts, Mid Rise, 9" Inseam, Authentic Medium Wash, 38</t>
  </si>
  <si>
    <t>B0F7MYF1MV</t>
  </si>
  <si>
    <t>197153420417</t>
  </si>
  <si>
    <t>AEUB83300M25-Stone Medium Wash_2y</t>
  </si>
  <si>
    <t>Amazon Essentials Unisex Toddlers' Soft Stretch Pull-On Jeans, Stone Medium Wash, 2T</t>
  </si>
  <si>
    <t>B0F7MYDVPF</t>
  </si>
  <si>
    <t>197153422909</t>
  </si>
  <si>
    <t>AEWM44862M25-Medium Blue Vintage_18</t>
  </si>
  <si>
    <t>Amazon Essentials Women's Low Stretch Mid-Rise Regular-Fit Jean Short, Medium Blue Vintage, 18</t>
  </si>
  <si>
    <t>B0F7MYCVJF</t>
  </si>
  <si>
    <t>197153421001</t>
  </si>
  <si>
    <t>AEMN88118M25-Dark Shadow Wash_29wx32l</t>
  </si>
  <si>
    <t>Amazon Essentials Men's Low Stretch Slim-Fit Bootcut Jeans, Dark Shadow Wash, 29W x 32L</t>
  </si>
  <si>
    <t>B0F7MYCVHN</t>
  </si>
  <si>
    <t>197153420486</t>
  </si>
  <si>
    <t>AEMN88118M25-Black_42wx34l</t>
  </si>
  <si>
    <t>Amazon Essentials Men's Low Stretch Slim-Fit Bootcut Jeans, Black, 42W x 34L</t>
  </si>
  <si>
    <t>B0F7MYBZP8</t>
  </si>
  <si>
    <t>197153422008</t>
  </si>
  <si>
    <t>AEMN88118M25-Stone Medium Wash_34wx32l</t>
  </si>
  <si>
    <t>Amazon Essentials Men's Low Stretch Slim-Fit Bootcut Jeans, Stone Medium Wash, 34W x 32L</t>
  </si>
  <si>
    <t>B0F7MYBZMQ</t>
  </si>
  <si>
    <t>197153420974</t>
  </si>
  <si>
    <t>AEMN88118M25-Dark Shadow Wash_30wx30l</t>
  </si>
  <si>
    <t>Amazon Essentials Men's Low Stretch Slim-Fit Bootcut Jeans, Dark Shadow Wash, 30W x 30L</t>
  </si>
  <si>
    <t>B0F7MY8DT2</t>
  </si>
  <si>
    <t>197153421421</t>
  </si>
  <si>
    <t>AEMN88118M25-TintedIceLightWash_40wx30l</t>
  </si>
  <si>
    <t>Amazon Essentials Men's Low Stretch Slim-Fit Bootcut Jeans, Tinted Ice Light Wash, 40W x 30L</t>
  </si>
  <si>
    <t>B0F7MY7KCS</t>
  </si>
  <si>
    <t>197153422176</t>
  </si>
  <si>
    <t>AEMN88118M25-Stone Medium Wash_33wx28l</t>
  </si>
  <si>
    <t>Amazon Essentials Men's Low Stretch Slim-Fit Bootcut Jeans, Stone Medium Wash, 33W x 28L</t>
  </si>
  <si>
    <t>B0F7MY6RQG</t>
  </si>
  <si>
    <t>197153423906</t>
  </si>
  <si>
    <t>AEMN97005M25-Black_38</t>
  </si>
  <si>
    <t>Amazon Essentials Men's Heavyweight Stretch Straight-Fit Jean Shorts, Mid Rise, 9" Inseam, Black, 38</t>
  </si>
  <si>
    <t>B0F7MY458Q</t>
  </si>
  <si>
    <t>197153424606</t>
  </si>
  <si>
    <t>AEMN41037M25-Vintage Blue_38</t>
  </si>
  <si>
    <t>Amazon Essentials Men's Rigid Relaxed-Fit Jean Shorts, Vintage Blue, 38</t>
  </si>
  <si>
    <t>B0F7MY2MGT</t>
  </si>
  <si>
    <t>197153424194</t>
  </si>
  <si>
    <t>AEMN97005M25-Dark Midnight Wash_28</t>
  </si>
  <si>
    <t>Amazon Essentials Men's Heavyweight Stretch Straight-Fit Jean Shorts, Mid Rise, 9" Inseam, Dark Midnight Wash, 28</t>
  </si>
  <si>
    <t>B0F7MY2DHQ</t>
  </si>
  <si>
    <t>197153421988</t>
  </si>
  <si>
    <t>AEMN88118M25-Stone Medium Wash_36wx30l</t>
  </si>
  <si>
    <t>Amazon Essentials Men's Low Stretch Slim-Fit Bootcut Jeans, Stone Medium Wash, 36W x 30L</t>
  </si>
  <si>
    <t>B0F7MXX6NC</t>
  </si>
  <si>
    <t>197153424453</t>
  </si>
  <si>
    <t>AEMN41037M25-Stone Medium Wash_31</t>
  </si>
  <si>
    <t>Amazon Essentials Men's Rigid Relaxed-Fit Jean Shorts, Stone Medium Wash, 31</t>
  </si>
  <si>
    <t>B0F7MXX6MV</t>
  </si>
  <si>
    <t>197153424026</t>
  </si>
  <si>
    <t>AEMN97005M25-Authentic Medium Wash_42</t>
  </si>
  <si>
    <t>Amazon Essentials Men's Heavyweight Stretch Straight-Fit Jean Shorts, Mid Rise, 9" Inseam, Authentic Medium Wash, 42</t>
  </si>
  <si>
    <t>B0F7MXX3P6</t>
  </si>
  <si>
    <t>197153421353</t>
  </si>
  <si>
    <t>AEMN88118M25-Dark Shadow Wash_31wx32l</t>
  </si>
  <si>
    <t>Amazon Essentials Men's Low Stretch Slim-Fit Bootcut Jeans, Dark Shadow Wash, 31W x 32L</t>
  </si>
  <si>
    <t>B0F7MXS54V</t>
  </si>
  <si>
    <t>197153420288</t>
  </si>
  <si>
    <t>AEUB83300M25-Stone Light Wash_12m</t>
  </si>
  <si>
    <t>Amazon Essentials Unisex Babies' Soft Stretch Pull-On Jeans, Stone Light Wash, 12 Months</t>
  </si>
  <si>
    <t>B0F7MXL85H</t>
  </si>
  <si>
    <t>197153420646</t>
  </si>
  <si>
    <t>AEMN88118M25-Black_36wx34l</t>
  </si>
  <si>
    <t>Amazon Essentials Men's Low Stretch Slim-Fit Bootcut Jeans, Black, 36W x 34L</t>
  </si>
  <si>
    <t>B0F7MXKMDJ</t>
  </si>
  <si>
    <t>197153421919</t>
  </si>
  <si>
    <t>AEMN88118M25-Stone Medium Wash_34wx28l</t>
  </si>
  <si>
    <t>Amazon Essentials Men's Low Stretch Slim-Fit Bootcut Jeans, Stone Medium Wash, 34W x 28L</t>
  </si>
  <si>
    <t>B0F7MXHMFS</t>
  </si>
  <si>
    <t>197153421131</t>
  </si>
  <si>
    <t>AEMN88118M25-Dark Shadow Wash_40wx32l</t>
  </si>
  <si>
    <t>Amazon Essentials Men's Low Stretch Slim-Fit Bootcut Jeans, Dark Shadow Wash, 40W x 32L</t>
  </si>
  <si>
    <t>B0F7MXH9W6</t>
  </si>
  <si>
    <t>197153422060</t>
  </si>
  <si>
    <t>AEMN88118M25-Stone Medium Wash_33wx30l</t>
  </si>
  <si>
    <t>Amazon Essentials Men's Low Stretch Slim-Fit Bootcut Jeans, Stone Medium Wash, 33W x 30L</t>
  </si>
  <si>
    <t>B0F7MXH9W5</t>
  </si>
  <si>
    <t>197153422084</t>
  </si>
  <si>
    <t>AEMN88118M25-Stone Medium Wash_36wx34l</t>
  </si>
  <si>
    <t>Amazon Essentials Men's Low Stretch Slim-Fit Bootcut Jeans, Stone Medium Wash, 36W x 34L</t>
  </si>
  <si>
    <t>B0F7MXG1H8</t>
  </si>
  <si>
    <t>197153421957</t>
  </si>
  <si>
    <t>AEMN88118M25-Stone Medium Wash_40wx28l</t>
  </si>
  <si>
    <t>Amazon Essentials Men's Low Stretch Slim-Fit Bootcut Jeans, Stone Medium Wash, 40W x 28L</t>
  </si>
  <si>
    <t>B0F7MXCJXT</t>
  </si>
  <si>
    <t>197153424460</t>
  </si>
  <si>
    <t>AEMN41037M25-Dark Wash_33</t>
  </si>
  <si>
    <t>Amazon Essentials Men's Rigid Relaxed-Fit Jean Shorts, Dark Wash, 33</t>
  </si>
  <si>
    <t>B0F7MXBGTS</t>
  </si>
  <si>
    <t>197153420479</t>
  </si>
  <si>
    <t>AEMN88118M25-Black_34wx28l</t>
  </si>
  <si>
    <t>Amazon Essentials Men's Low Stretch Slim-Fit Bootcut Jeans, Black, 34W x 28L</t>
  </si>
  <si>
    <t>B0F7MX9ZH3</t>
  </si>
  <si>
    <t>197153422183</t>
  </si>
  <si>
    <t>AEMN88118M25-Stone Medium Wash_28wx28l</t>
  </si>
  <si>
    <t>Amazon Essentials Men's Low Stretch Slim-Fit Bootcut Jeans, Stone Medium Wash, 28W x 28L</t>
  </si>
  <si>
    <t>B0F7MWVK55</t>
  </si>
  <si>
    <t>197153422831</t>
  </si>
  <si>
    <t>AEWM44862M25-Medium Blue Vintage_16</t>
  </si>
  <si>
    <t>Amazon Essentials Women's Low Stretch Mid-Rise Regular-Fit Jean Short, Medium Blue Vintage, 16</t>
  </si>
  <si>
    <t>B0F7MWSMHF</t>
  </si>
  <si>
    <t>197153421254</t>
  </si>
  <si>
    <t>AEMN88118M25-Dark Shadow Wash_42wx30l</t>
  </si>
  <si>
    <t>Amazon Essentials Men's Low Stretch Slim-Fit Bootcut Jeans, Dark Shadow Wash, 42W x 30L</t>
  </si>
  <si>
    <t>B0F7MWS9M3</t>
  </si>
  <si>
    <t>197153421575</t>
  </si>
  <si>
    <t>AEMN88118M25-TintedIceLightWash_35wx32l</t>
  </si>
  <si>
    <t>Amazon Essentials Men's Low Stretch Slim-Fit Bootcut Jeans, Tinted Ice Light Wash, 35W x 32L</t>
  </si>
  <si>
    <t>B0F7MWRZ71</t>
  </si>
  <si>
    <t>197153418414</t>
  </si>
  <si>
    <t>AEBG70043M25-Classic Light Wash_4y</t>
  </si>
  <si>
    <t>Amazon Essentials Toddler Girls' Soft Stretch Relaxed-Fit Wide Leg Jeans, Classic Light Wash, 4T</t>
  </si>
  <si>
    <t>B0F7MWQCVS</t>
  </si>
  <si>
    <t>197153424132</t>
  </si>
  <si>
    <t>AEMN97005M25-Dark Midnight Wash_42</t>
  </si>
  <si>
    <t>Amazon Essentials Men's Heavyweight Stretch Straight-Fit Jean Shorts, Mid Rise, 9" Inseam, Dark Midnight Wash, 42</t>
  </si>
  <si>
    <t>B0F7MWQ1L3</t>
  </si>
  <si>
    <t>197153421162</t>
  </si>
  <si>
    <t>AEMN88118M25-Dark Shadow Wash_36wx28l</t>
  </si>
  <si>
    <t>Amazon Essentials Men's Low Stretch Slim-Fit Bootcut Jeans, Dark Shadow Wash, 36W x 28L</t>
  </si>
  <si>
    <t>B0F7MWQ1L1</t>
  </si>
  <si>
    <t>197153421193</t>
  </si>
  <si>
    <t>AEMN88118M25-Dark Shadow Wash_35wx34l</t>
  </si>
  <si>
    <t>Amazon Essentials Men's Low Stretch Slim-Fit Bootcut Jeans, Dark Shadow Wash, 35W x 34L</t>
  </si>
  <si>
    <t>B0F7MWP2QX</t>
  </si>
  <si>
    <t>197153424101</t>
  </si>
  <si>
    <t>AEMN97005M25-Authentic Medium Wash_33</t>
  </si>
  <si>
    <t>Amazon Essentials Men's Heavyweight Stretch Straight-Fit Jean Shorts, Mid Rise, 9" Inseam, Authentic Medium Wash, 33</t>
  </si>
  <si>
    <t>B0F7MW16QM</t>
  </si>
  <si>
    <t>197153423913</t>
  </si>
  <si>
    <t>AEMN97005M25-Iced Blue Light Wash_42</t>
  </si>
  <si>
    <t>Amazon Essentials Men's Heavyweight Stretch Straight-Fit Jean Shorts, Mid Rise, 9" Inseam, Iced Blue Light Wash, 42</t>
  </si>
  <si>
    <t>B0F7MVYB1X</t>
  </si>
  <si>
    <t>197153422039</t>
  </si>
  <si>
    <t>AEMN88118M25-Stone Medium Wash_34wx30l</t>
  </si>
  <si>
    <t>Amazon Essentials Men's Low Stretch Slim-Fit Bootcut Jeans, Stone Medium Wash, 34W x 30L</t>
  </si>
  <si>
    <t>B0F7MVWS2H</t>
  </si>
  <si>
    <t>197153422336</t>
  </si>
  <si>
    <t>AEMN88118M25-Stone Medium Wash_33wx32l</t>
  </si>
  <si>
    <t>Amazon Essentials Men's Low Stretch Slim-Fit Bootcut Jeans, Stone Medium Wash, 33W x 32L</t>
  </si>
  <si>
    <t>B0F7MVWF4D</t>
  </si>
  <si>
    <t>197153421506</t>
  </si>
  <si>
    <t>AEMN88118M25-TintedIceLightWash_36wx30l</t>
  </si>
  <si>
    <t>Amazon Essentials Men's Low Stretch Slim-Fit Bootcut Jeans, Tinted Ice Light Wash, 36W x 30L</t>
  </si>
  <si>
    <t>B0F7MVVC6N</t>
  </si>
  <si>
    <t>197153418209</t>
  </si>
  <si>
    <t>AEGL13713M25-Stone Light Wash_s</t>
  </si>
  <si>
    <t>Amazon Essentials Girls' Skinny Mid Rise Soft Stretch Denim Jegging, Stone Light Wash, Small</t>
  </si>
  <si>
    <t>B0F7MVVC5T</t>
  </si>
  <si>
    <t>197153421261</t>
  </si>
  <si>
    <t>AEMN88118M25-Dark Shadow Wash_42wx28l</t>
  </si>
  <si>
    <t>Amazon Essentials Men's Low Stretch Slim-Fit Bootcut Jeans, Dark Shadow Wash, 42W x 28L</t>
  </si>
  <si>
    <t>B0F7MVV93W</t>
  </si>
  <si>
    <t>197153424583</t>
  </si>
  <si>
    <t>AEMN41037M25-Vintage Blue_30</t>
  </si>
  <si>
    <t>Amazon Essentials Men's Rigid Relaxed-Fit Jean Shorts, Vintage Blue, 30</t>
  </si>
  <si>
    <t>B0F7MVS7X3</t>
  </si>
  <si>
    <t>197153422848</t>
  </si>
  <si>
    <t>AEWM44862M25-Medium Blue Vintage_10</t>
  </si>
  <si>
    <t>Amazon Essentials Women's Low Stretch Mid-Rise Regular-Fit Jean Short, Medium Blue Vintage, 10</t>
  </si>
  <si>
    <t>B0F7MVS7WB</t>
  </si>
  <si>
    <t>197153422237</t>
  </si>
  <si>
    <t>AEMN88118M25-Stone Medium Wash_29wx28l</t>
  </si>
  <si>
    <t>Amazon Essentials Men's Low Stretch Slim-Fit Bootcut Jeans, Stone Medium Wash, 29W x 28L</t>
  </si>
  <si>
    <t>B0F7MVQSN5</t>
  </si>
  <si>
    <t>197153420776</t>
  </si>
  <si>
    <t>AEMN88118M25-Black_42wx30l</t>
  </si>
  <si>
    <t>Amazon Essentials Men's Low Stretch Slim-Fit Bootcut Jeans, Black, 42W x 30L</t>
  </si>
  <si>
    <t>B0F7MVPFQ3</t>
  </si>
  <si>
    <t>197153421568</t>
  </si>
  <si>
    <t>AEMN88118M25-TintedIceLightWash_38wx34l</t>
  </si>
  <si>
    <t>Amazon Essentials Men's Low Stretch Slim-Fit Bootcut Jeans, Tinted Ice Light Wash, 38W x 34L</t>
  </si>
  <si>
    <t>B0F7MVN11R</t>
  </si>
  <si>
    <t>197153420349</t>
  </si>
  <si>
    <t>AEUB83300M25-Stone Medium Wash_6-9m</t>
  </si>
  <si>
    <t>Amazon Essentials Unisex Babies' Soft Stretch Pull-On Jeans, Stone Medium Wash, 6-9 Months</t>
  </si>
  <si>
    <t>B0F7MVLYTH</t>
  </si>
  <si>
    <t>197153421438</t>
  </si>
  <si>
    <t>AEMN88118M25-TintedIceLightWash_34wx28l</t>
  </si>
  <si>
    <t>Amazon Essentials Men's Low Stretch Slim-Fit Bootcut Jeans, Tinted Ice Light Wash, 34W x 28L</t>
  </si>
  <si>
    <t>B0F7MVLLHY</t>
  </si>
  <si>
    <t>197153420516</t>
  </si>
  <si>
    <t>AEMN88118M25-Black_40wx28l</t>
  </si>
  <si>
    <t>Amazon Essentials Men's Low Stretch Slim-Fit Bootcut Jeans, Black, 40W x 28L</t>
  </si>
  <si>
    <t>B0F7MVL8ZH</t>
  </si>
  <si>
    <t>197153418193</t>
  </si>
  <si>
    <t>AEGL13713M25-Stone Light Wash_3y</t>
  </si>
  <si>
    <t>Amazon Essentials Toddler Girls' Skinny Mid Rise Soft Stretch Denim Jegging, Stone Light Wash, 3T</t>
  </si>
  <si>
    <t>B0F7MVKSPP</t>
  </si>
  <si>
    <t>197153422213</t>
  </si>
  <si>
    <t>AEMN88118M25-Stone Medium Wash_42wx30l</t>
  </si>
  <si>
    <t>Amazon Essentials Men's Low Stretch Slim-Fit Bootcut Jeans, Stone Medium Wash, 42W x 30L</t>
  </si>
  <si>
    <t>B0F7MVDHTQ</t>
  </si>
  <si>
    <t>197153420318</t>
  </si>
  <si>
    <t>AEUB83300M25-Stone Light Wash_4y</t>
  </si>
  <si>
    <t>Amazon Essentials Unisex Toddlers' Soft Stretch Pull-On Jeans, Stone Light Wash, 4T</t>
  </si>
  <si>
    <t>B0F7MVCYHF</t>
  </si>
  <si>
    <t>197153421728</t>
  </si>
  <si>
    <t>AEMN88118M25-TintedIceLightWash_31wx30l</t>
  </si>
  <si>
    <t>Amazon Essentials Men's Low Stretch Slim-Fit Bootcut Jeans, Tinted Ice Light Wash, 31W x 30L</t>
  </si>
  <si>
    <t>B0F7MV8NK4</t>
  </si>
  <si>
    <t>197153421049</t>
  </si>
  <si>
    <t>AEMN88118M25-Dark Shadow Wash_34wx32l</t>
  </si>
  <si>
    <t>Amazon Essentials Men's Low Stretch Slim-Fit Bootcut Jeans, Dark Shadow Wash, 34W x 32L</t>
  </si>
  <si>
    <t>B0F7MV7VWK</t>
  </si>
  <si>
    <t>197153421414</t>
  </si>
  <si>
    <t>AEMN88118M25-TintedIceLightWash_34wx34l</t>
  </si>
  <si>
    <t>Amazon Essentials Men's Low Stretch Slim-Fit Bootcut Jeans, Tinted Ice Light Wash, 34W x 34L</t>
  </si>
  <si>
    <t>B0F7MV55L5</t>
  </si>
  <si>
    <t>197153418179</t>
  </si>
  <si>
    <t>AEGL13713M25-Stone Light Wash_m</t>
  </si>
  <si>
    <t>Amazon Essentials Girls' Skinny Mid Rise Soft Stretch Denim Jegging, Stone Light Wash, Medium</t>
  </si>
  <si>
    <t>B0F7MV3T2B</t>
  </si>
  <si>
    <t>197153421803</t>
  </si>
  <si>
    <t>AEMN88118M25-TintedIceLightWash_33wx34l</t>
  </si>
  <si>
    <t>Amazon Essentials Men's Low Stretch Slim-Fit Bootcut Jeans, Tinted Ice Light Wash, 33W x 34L</t>
  </si>
  <si>
    <t>B0F7MV2FD2</t>
  </si>
  <si>
    <t>197153424002</t>
  </si>
  <si>
    <t>AEMN97005M25-Iced Blue Light Wash_32</t>
  </si>
  <si>
    <t>Amazon Essentials Men's Heavyweight Stretch Straight-Fit Jean Shorts, Mid Rise, 9" Inseam, Iced Blue Light Wash, 32</t>
  </si>
  <si>
    <t>B0F7MV2FCD</t>
  </si>
  <si>
    <t>197153424644</t>
  </si>
  <si>
    <t>AEMN41037M25-Vintage Blue_29</t>
  </si>
  <si>
    <t>Amazon Essentials Men's Rigid Relaxed-Fit Jean Shorts, Vintage Blue, 29</t>
  </si>
  <si>
    <t>B0F7MTZ6SQ</t>
  </si>
  <si>
    <t>197153422138</t>
  </si>
  <si>
    <t>AEMN88118M25-Stone Medium Wash_35wx28l</t>
  </si>
  <si>
    <t>Amazon Essentials Men's Low Stretch Slim-Fit Bootcut Jeans, Stone Medium Wash, 35W x 28L</t>
  </si>
  <si>
    <t>B0F7MTLVHG</t>
  </si>
  <si>
    <t>197153420448</t>
  </si>
  <si>
    <t>AEMN88118M25-Black_30wx34l</t>
  </si>
  <si>
    <t>Amazon Essentials Men's Low Stretch Slim-Fit Bootcut Jeans, Black, 30W x 34L</t>
  </si>
  <si>
    <t>B0F7MTLH6T</t>
  </si>
  <si>
    <t>197153418278</t>
  </si>
  <si>
    <t>AEGL13713M25-Stone Medium Wash_xl</t>
  </si>
  <si>
    <t>Amazon Essentials Girls' Skinny Mid Rise Soft Stretch Denim Jegging, Stone Medium Wash, X-Large</t>
  </si>
  <si>
    <t>B0F7MTLH5G</t>
  </si>
  <si>
    <t>197153424361</t>
  </si>
  <si>
    <t>AEMN41037M25-Stone Medium Wash_30</t>
  </si>
  <si>
    <t>Amazon Essentials Men's Rigid Relaxed-Fit Jean Shorts, Stone Medium Wash, 30</t>
  </si>
  <si>
    <t>B0F7MTK5S7</t>
  </si>
  <si>
    <t>197153420721</t>
  </si>
  <si>
    <t>AEMN88118M25-Black_40wx34l</t>
  </si>
  <si>
    <t>Amazon Essentials Men's Low Stretch Slim-Fit Bootcut Jeans, Black, 40W x 34L</t>
  </si>
  <si>
    <t>B0F7MT4HHX</t>
  </si>
  <si>
    <t>197153418148</t>
  </si>
  <si>
    <t>AEGL13713M25-Stone Light Wash_4y</t>
  </si>
  <si>
    <t>Amazon Essentials Toddler Girls' Skinny Mid Rise Soft Stretch Denim Jegging, Stone Light Wash, 4T</t>
  </si>
  <si>
    <t>B0F7MT3312</t>
  </si>
  <si>
    <t>197153420981</t>
  </si>
  <si>
    <t>AEMN88118M25-Dark Shadow Wash_28wx30l</t>
  </si>
  <si>
    <t>Amazon Essentials Men's Low Stretch Slim-Fit Bootcut Jeans, Dark Shadow Wash, 28W x 30L</t>
  </si>
  <si>
    <t>B0F7MT31Y7</t>
  </si>
  <si>
    <t>197153424156</t>
  </si>
  <si>
    <t>AEMN97005M25-Dark Midnight Wash_29</t>
  </si>
  <si>
    <t>Amazon Essentials Men's Heavyweight Stretch Straight-Fit Jean Shorts, Mid Rise, 9" Inseam, Dark Midnight Wash, 29</t>
  </si>
  <si>
    <t>B0F7MT2SY8</t>
  </si>
  <si>
    <t>197153422169</t>
  </si>
  <si>
    <t>AEMN88118M25-Stone Medium Wash_40wx34l</t>
  </si>
  <si>
    <t>Amazon Essentials Men's Low Stretch Slim-Fit Bootcut Jeans, Stone Medium Wash, 40W x 34L</t>
  </si>
  <si>
    <t>B0F7MT2LJ7</t>
  </si>
  <si>
    <t>197153421971</t>
  </si>
  <si>
    <t>AEMN88118M25-Stone Medium Wash_28wx32l</t>
  </si>
  <si>
    <t>Amazon Essentials Men's Low Stretch Slim-Fit Bootcut Jeans, Stone Medium Wash, 28W x 32L</t>
  </si>
  <si>
    <t>B0F7MT1DJM</t>
  </si>
  <si>
    <t>197153420622</t>
  </si>
  <si>
    <t>AEMN88118M25-Black_33wx30l</t>
  </si>
  <si>
    <t>Amazon Essentials Men's Low Stretch Slim-Fit Bootcut Jeans, Black, 33W x 30L</t>
  </si>
  <si>
    <t>B0F7MT1BTH</t>
  </si>
  <si>
    <t>197153424408</t>
  </si>
  <si>
    <t>AEMN41037M25-Stone Medium Wash_40</t>
  </si>
  <si>
    <t>Amazon Essentials Men's Rigid Relaxed-Fit Jean Shorts, Stone Medium Wash, 40</t>
  </si>
  <si>
    <t>B0F7MSZXSD</t>
  </si>
  <si>
    <t>197153421292</t>
  </si>
  <si>
    <t>AEMN88118M25-Dark Shadow Wash_36wx32l</t>
  </si>
  <si>
    <t>Amazon Essentials Men's Low Stretch Slim-Fit Bootcut Jeans, Dark Shadow Wash, 36W x 32L</t>
  </si>
  <si>
    <t>B0F7MSY42T</t>
  </si>
  <si>
    <t>197153424187</t>
  </si>
  <si>
    <t>AEMN97005M25-Dark Midnight Wash_30</t>
  </si>
  <si>
    <t>Amazon Essentials Men's Heavyweight Stretch Straight-Fit Jean Shorts, Mid Rise, 9" Inseam, Dark Midnight Wash, 30</t>
  </si>
  <si>
    <t>B0F7MSWNL9</t>
  </si>
  <si>
    <t>197153420691</t>
  </si>
  <si>
    <t>AEMN88118M25-Black_35wx28l</t>
  </si>
  <si>
    <t>Amazon Essentials Men's Low Stretch Slim-Fit Bootcut Jeans, Black, 35W x 28L</t>
  </si>
  <si>
    <t>B0F7MSVDBQ</t>
  </si>
  <si>
    <t>197153424521</t>
  </si>
  <si>
    <t>AEMN41037M25-Dark Wash_28</t>
  </si>
  <si>
    <t>Amazon Essentials Men's Rigid Relaxed-Fit Jean Shorts, Dark Wash, 28</t>
  </si>
  <si>
    <t>B0F7MSRX7S</t>
  </si>
  <si>
    <t>197153422879</t>
  </si>
  <si>
    <t>AEWM44862M25-Medium Blue Vintage_2</t>
  </si>
  <si>
    <t>Amazon Essentials Women's Low Stretch Mid-Rise Regular-Fit Jean Short, Medium Blue Vintage, 2</t>
  </si>
  <si>
    <t>B0F7MSRLMC</t>
  </si>
  <si>
    <t>197153420578</t>
  </si>
  <si>
    <t>AEMN88118M25-Black_32wx32l</t>
  </si>
  <si>
    <t>Amazon Essentials Men's Low Stretch Slim-Fit Bootcut Jeans, Black, 32W x 32L</t>
  </si>
  <si>
    <t>B0F7MSR8ZF</t>
  </si>
  <si>
    <t>197153423821</t>
  </si>
  <si>
    <t>AEMN97005M25-Black_29</t>
  </si>
  <si>
    <t>Amazon Essentials Men's Heavyweight Stretch Straight-Fit Jean Shorts, Mid Rise, 9" Inseam, Black, 29</t>
  </si>
  <si>
    <t>B0F7MSQVD3</t>
  </si>
  <si>
    <t>197153421407</t>
  </si>
  <si>
    <t>AEMN88118M25-TintedIceLightWash_30wx34l</t>
  </si>
  <si>
    <t>Amazon Essentials Men's Low Stretch Slim-Fit Bootcut Jeans, Tinted Ice Light Wash, 30W x 34L</t>
  </si>
  <si>
    <t>B0F7MSQVCW</t>
  </si>
  <si>
    <t>197153422893</t>
  </si>
  <si>
    <t>AEWM44862M25-Medium Blue Vintage_20</t>
  </si>
  <si>
    <t>Amazon Essentials Women's Low Stretch Mid-Rise Regular-Fit Jean Short, Medium Blue Vintage, 20</t>
  </si>
  <si>
    <t>B0F7MSQ7PT</t>
  </si>
  <si>
    <t>197153421094</t>
  </si>
  <si>
    <t>AEMN88118M25-Dark Shadow Wash_35wx32l</t>
  </si>
  <si>
    <t>Amazon Essentials Men's Low Stretch Slim-Fit Bootcut Jeans, Dark Shadow Wash, 35W x 32L</t>
  </si>
  <si>
    <t>B0F7MSPGYT</t>
  </si>
  <si>
    <t>197153421247</t>
  </si>
  <si>
    <t>AEMN88118M25-Dark Shadow Wash_31wx30l</t>
  </si>
  <si>
    <t>Amazon Essentials Men's Low Stretch Slim-Fit Bootcut Jeans, Dark Shadow Wash, 31W x 30L</t>
  </si>
  <si>
    <t>B0F7MSN9NN</t>
  </si>
  <si>
    <t>197153424491</t>
  </si>
  <si>
    <t>AEMN41037M25-Dark Wash_38</t>
  </si>
  <si>
    <t>Amazon Essentials Men's Rigid Relaxed-Fit Jean Shorts, Dark Wash, 38</t>
  </si>
  <si>
    <t>B0F7MSMQZJ</t>
  </si>
  <si>
    <t>197153418247</t>
  </si>
  <si>
    <t>AEGL13713M25-Stone Medium Wash_2y</t>
  </si>
  <si>
    <t>Amazon Essentials Toddler Girls' Skinny Mid Rise Soft Stretch Denim Jegging, Stone Medium Wash, 2T</t>
  </si>
  <si>
    <t>B0F7MSMQZB</t>
  </si>
  <si>
    <t>197153418155</t>
  </si>
  <si>
    <t>AEGL13713M25-Stone Light Wash_2y</t>
  </si>
  <si>
    <t>Amazon Essentials Toddler Girls' Skinny Mid Rise Soft Stretch Denim Jegging, Stone Light Wash, 2T</t>
  </si>
  <si>
    <t>B0F7MSLSYF</t>
  </si>
  <si>
    <t>197153424637</t>
  </si>
  <si>
    <t>AEMN41037M25-Vintage Blue_28</t>
  </si>
  <si>
    <t>Amazon Essentials Men's Rigid Relaxed-Fit Jean Shorts, Vintage Blue, 28</t>
  </si>
  <si>
    <t>B0F7MSLRZ4</t>
  </si>
  <si>
    <t>197153420561</t>
  </si>
  <si>
    <t>AEMN88118M25-Black_34wx32l</t>
  </si>
  <si>
    <t>Amazon Essentials Men's Low Stretch Slim-Fit Bootcut Jeans, Black, 34W x 32L</t>
  </si>
  <si>
    <t>B0F7MSH1LC</t>
  </si>
  <si>
    <t>197153420073</t>
  </si>
  <si>
    <t>AEGL35686M25-Classic Light Wash_6</t>
  </si>
  <si>
    <t>Amazon Essentials Girls' Ultra Soft Relaxed-Fit Wide Leg Cargo Jeans, Classic Light Wash, 6</t>
  </si>
  <si>
    <t>B0F7MSGMGP</t>
  </si>
  <si>
    <t>197153421186</t>
  </si>
  <si>
    <t>AEMN88118M25-Dark Shadow Wash_31wx28l</t>
  </si>
  <si>
    <t>Amazon Essentials Men's Low Stretch Slim-Fit Bootcut Jeans, Dark Shadow Wash, 31W x 28L</t>
  </si>
  <si>
    <t>B0F7MSDN7Q</t>
  </si>
  <si>
    <t>197153421025</t>
  </si>
  <si>
    <t>AEMN88118M25-Dark Shadow Wash_36wx30l</t>
  </si>
  <si>
    <t>Amazon Essentials Men's Low Stretch Slim-Fit Bootcut Jeans, Dark Shadow Wash, 36W x 30L</t>
  </si>
  <si>
    <t>B0F7MSD7GW</t>
  </si>
  <si>
    <t>197153422824</t>
  </si>
  <si>
    <t>AEWM44862M25-Medium Blue Vintage_14</t>
  </si>
  <si>
    <t>Amazon Essentials Women's Low Stretch Mid-Rise Regular-Fit Jean Short, Medium Blue Vintage, 14</t>
  </si>
  <si>
    <t>B0F7MSC2X6</t>
  </si>
  <si>
    <t>197153421117</t>
  </si>
  <si>
    <t>AEMN88118M25-Dark Shadow Wash_32wx30l</t>
  </si>
  <si>
    <t>Amazon Essentials Men's Low Stretch Slim-Fit Bootcut Jeans, Dark Shadow Wash, 32W x 30L</t>
  </si>
  <si>
    <t>B0F7MSB8TF</t>
  </si>
  <si>
    <t>197153420653</t>
  </si>
  <si>
    <t>AEMN88118M25-Black_40wx32l</t>
  </si>
  <si>
    <t>Amazon Essentials Men's Low Stretch Slim-Fit Bootcut Jeans, Black, 40W x 32L</t>
  </si>
  <si>
    <t>B0F7MRYYQC</t>
  </si>
  <si>
    <t>197153421032</t>
  </si>
  <si>
    <t>AEMN88118M25-Dark Shadow Wash_30wx28l</t>
  </si>
  <si>
    <t>Amazon Essentials Men's Low Stretch Slim-Fit Bootcut Jeans, Dark Shadow Wash, 30W x 28L</t>
  </si>
  <si>
    <t>B0F7MRYBL2</t>
  </si>
  <si>
    <t>197153423838</t>
  </si>
  <si>
    <t>AEMN97005M25-Black_34</t>
  </si>
  <si>
    <t>Amazon Essentials Men's Heavyweight Stretch Straight-Fit Jean Shorts, Mid Rise, 9" Inseam, Black, 34</t>
  </si>
  <si>
    <t>B0F7MRXZRR</t>
  </si>
  <si>
    <t>197153418131</t>
  </si>
  <si>
    <t>AEGL13713M25-Stone Light Wash_xs</t>
  </si>
  <si>
    <t>Amazon Essentials Girls' Skinny Mid Rise Soft Stretch Denim Jegging, Stone Light Wash, X-Small</t>
  </si>
  <si>
    <t>B0F7MRXZPV</t>
  </si>
  <si>
    <t>197153423807</t>
  </si>
  <si>
    <t>AEMN97005M25-Black_42</t>
  </si>
  <si>
    <t>Amazon Essentials Men's Heavyweight Stretch Straight-Fit Jean Shorts, Mid Rise, 9" Inseam, Black, 42</t>
  </si>
  <si>
    <t>B0F7MRXMJ1</t>
  </si>
  <si>
    <t>197153422244</t>
  </si>
  <si>
    <t>AEMN88118M25-Stone Medium Wash_38wx30l</t>
  </si>
  <si>
    <t>Amazon Essentials Men's Low Stretch Slim-Fit Bootcut Jeans, Stone Medium Wash, 38W x 30L</t>
  </si>
  <si>
    <t>B0F7MRXBSQ</t>
  </si>
  <si>
    <t>197153421667</t>
  </si>
  <si>
    <t>AEMN88118M25-TintedIceLightWash_31wx28l</t>
  </si>
  <si>
    <t>Amazon Essentials Men's Low Stretch Slim-Fit Bootcut Jeans, Tinted Ice Light Wash, 31W x 28L</t>
  </si>
  <si>
    <t>B0F7MRW41K</t>
  </si>
  <si>
    <t>197153424446</t>
  </si>
  <si>
    <t>AEMN41037M25-Stone Medium Wash_34</t>
  </si>
  <si>
    <t>Amazon Essentials Men's Rigid Relaxed-Fit Jean Shorts, Stone Medium Wash, 34</t>
  </si>
  <si>
    <t>B0F7MRVS1W</t>
  </si>
  <si>
    <t>197153421056</t>
  </si>
  <si>
    <t>AEMN88118M25-Dark Shadow Wash_32wx32l</t>
  </si>
  <si>
    <t>Amazon Essentials Men's Low Stretch Slim-Fit Bootcut Jeans, Dark Shadow Wash, 32W x 32L</t>
  </si>
  <si>
    <t>B0F7MQYRCH</t>
  </si>
  <si>
    <t>197153420707</t>
  </si>
  <si>
    <t>AEMN88118M25-Black_31wx28l</t>
  </si>
  <si>
    <t>Amazon Essentials Men's Low Stretch Slim-Fit Bootcut Jeans, Black, 31W x 28L</t>
  </si>
  <si>
    <t>B0F7MQYFST</t>
  </si>
  <si>
    <t>197153424071</t>
  </si>
  <si>
    <t>AEMN97005M25-Authentic Medium Wash_30</t>
  </si>
  <si>
    <t>Amazon Essentials Men's Heavyweight Stretch Straight-Fit Jean Shorts, Mid Rise, 9" Inseam, Authentic Medium Wash, 30</t>
  </si>
  <si>
    <t>B0F7MQYFSL</t>
  </si>
  <si>
    <t>197153420325</t>
  </si>
  <si>
    <t>AEUB83300M25-Stone Light Wash_3y</t>
  </si>
  <si>
    <t>Amazon Essentials Unisex Toddlers' Soft Stretch Pull-On Jeans, Stone Light Wash, 3T</t>
  </si>
  <si>
    <t>B0F7MQYFSK</t>
  </si>
  <si>
    <t>197153422268</t>
  </si>
  <si>
    <t>AEMN88118M25-Stone Medium Wash_30wx32l</t>
  </si>
  <si>
    <t>Amazon Essentials Men's Low Stretch Slim-Fit Bootcut Jeans, Stone Medium Wash, 30W x 32L</t>
  </si>
  <si>
    <t>B0F7MQWPHW</t>
  </si>
  <si>
    <t>197153418285</t>
  </si>
  <si>
    <t>AEGL13713M25-Stone Medium Wash_3y</t>
  </si>
  <si>
    <t>Amazon Essentials Toddler Girls' Skinny Mid Rise Soft Stretch Denim Jegging, Stone Medium Wash, 3T</t>
  </si>
  <si>
    <t>B0F7MQWPHL</t>
  </si>
  <si>
    <t>197153422046</t>
  </si>
  <si>
    <t>AEMN88118M25-Stone Medium Wash_38wx34l</t>
  </si>
  <si>
    <t>Amazon Essentials Men's Low Stretch Slim-Fit Bootcut Jeans, Stone Medium Wash, 38W x 34L</t>
  </si>
  <si>
    <t>B0F7MQS6T2</t>
  </si>
  <si>
    <t>197153420424</t>
  </si>
  <si>
    <t>AEMN88118M25-Black_35wx30l</t>
  </si>
  <si>
    <t>Amazon Essentials Men's Low Stretch Slim-Fit Bootcut Jeans, Black, 35W x 30L</t>
  </si>
  <si>
    <t>B0F7MQM174</t>
  </si>
  <si>
    <t>197153423869</t>
  </si>
  <si>
    <t>AEMN97005M25-Black_28</t>
  </si>
  <si>
    <t>Amazon Essentials Men's Heavyweight Stretch Straight-Fit Jean Shorts, Mid Rise, 9" Inseam, Black, 28</t>
  </si>
  <si>
    <t>B0F7MQLQ6Y</t>
  </si>
  <si>
    <t>197153424064</t>
  </si>
  <si>
    <t>AEMN97005M25-Authentic Medium Wash_36</t>
  </si>
  <si>
    <t>Amazon Essentials Men's Heavyweight Stretch Straight-Fit Jean Shorts, Mid Rise, 9" Inseam, Authentic Medium Wash, 36</t>
  </si>
  <si>
    <t>B0F7MQLLVD</t>
  </si>
  <si>
    <t>197153423852</t>
  </si>
  <si>
    <t>AEMN97005M25-Black_30</t>
  </si>
  <si>
    <t>Amazon Essentials Men's Heavyweight Stretch Straight-Fit Jean Shorts, Mid Rise, 9" Inseam, Black, 30</t>
  </si>
  <si>
    <t>B0F7MQGV7B</t>
  </si>
  <si>
    <t>197153418186</t>
  </si>
  <si>
    <t>AEGL13713M25-Stone Light Wash_xl</t>
  </si>
  <si>
    <t>Amazon Essentials Girls' Skinny Mid Rise Soft Stretch Denim Jegging, Stone Light Wash, X-Large</t>
  </si>
  <si>
    <t>B0F7MQGV5J</t>
  </si>
  <si>
    <t>197153420554</t>
  </si>
  <si>
    <t>AEMN88118M25-Black_30wx28l</t>
  </si>
  <si>
    <t>Amazon Essentials Men's Low Stretch Slim-Fit Bootcut Jeans, Black, 30W x 28L</t>
  </si>
  <si>
    <t>B0F7MQDFNJ</t>
  </si>
  <si>
    <t>197153422312</t>
  </si>
  <si>
    <t>AEMN88118M25-Stone Medium Wash_31wx32l</t>
  </si>
  <si>
    <t>Amazon Essentials Men's Low Stretch Slim-Fit Bootcut Jeans, Stone Medium Wash, 31W x 32L</t>
  </si>
  <si>
    <t>B0F7MQBD6W</t>
  </si>
  <si>
    <t>197153421940</t>
  </si>
  <si>
    <t>AEMN88118M25-Stone Medium Wash_28wx30l</t>
  </si>
  <si>
    <t>Amazon Essentials Men's Low Stretch Slim-Fit Bootcut Jeans, Stone Medium Wash, 28W x 30L</t>
  </si>
  <si>
    <t>B0F7MQ1HBT</t>
  </si>
  <si>
    <t>197153418223</t>
  </si>
  <si>
    <t>AEGL13713M25-Stone Medium Wash_xs</t>
  </si>
  <si>
    <t>Amazon Essentials Girls' Skinny Mid Rise Soft Stretch Denim Jegging, Stone Medium Wash, X-Small</t>
  </si>
  <si>
    <t>B0F7MQ1H9C</t>
  </si>
  <si>
    <t>197153424378</t>
  </si>
  <si>
    <t>AEMN41037M25-Stone Medium Wash_42</t>
  </si>
  <si>
    <t>Amazon Essentials Men's Rigid Relaxed-Fit Jean Shorts, Stone Medium Wash, 42</t>
  </si>
  <si>
    <t>B0F7MQ1H91</t>
  </si>
  <si>
    <t>197153420660</t>
  </si>
  <si>
    <t>AEMN88118M25-Black_29wx34l</t>
  </si>
  <si>
    <t>Amazon Essentials Men's Low Stretch Slim-Fit Bootcut Jeans, Black, 29W x 34L</t>
  </si>
  <si>
    <t>B0F7MQ1H8P</t>
  </si>
  <si>
    <t>197153424613</t>
  </si>
  <si>
    <t>AEMN41037M25-Vintage Blue_36</t>
  </si>
  <si>
    <t>Amazon Essentials Men's Rigid Relaxed-Fit Jean Shorts, Vintage Blue, 36</t>
  </si>
  <si>
    <t>B0F7MPYT5J</t>
  </si>
  <si>
    <t>197153424576</t>
  </si>
  <si>
    <t>AEMN41037M25-Vintage Blue_33</t>
  </si>
  <si>
    <t>Amazon Essentials Men's Rigid Relaxed-Fit Jean Shorts, Vintage Blue, 33</t>
  </si>
  <si>
    <t>B0F7MPVH1T</t>
  </si>
  <si>
    <t>197153421780</t>
  </si>
  <si>
    <t>AEMN88118M25-TintedIceLightWash_30wx32l</t>
  </si>
  <si>
    <t>Amazon Essentials Men's Low Stretch Slim-Fit Bootcut Jeans, Tinted Ice Light Wash, 30W x 32L</t>
  </si>
  <si>
    <t>B0F7MPV1G5</t>
  </si>
  <si>
    <t>197153420493</t>
  </si>
  <si>
    <t>AEMN88118M25-Black_30wx30l</t>
  </si>
  <si>
    <t>Amazon Essentials Men's Low Stretch Slim-Fit Bootcut Jeans, Black, 30W x 30L</t>
  </si>
  <si>
    <t>B0F7MNSW3V</t>
  </si>
  <si>
    <t>197153418445</t>
  </si>
  <si>
    <t>AEBG70043M25-Classic Light Wash_24m</t>
  </si>
  <si>
    <t>Amazon Essentials Baby Girls' Soft Stretch Relaxed-Fit Wide Leg Jeans, Classic Light Wash, 24 Months</t>
  </si>
  <si>
    <t>B0F7MNS79N</t>
  </si>
  <si>
    <t>197153424569</t>
  </si>
  <si>
    <t>AEMN41037M25-Dark Wash_31</t>
  </si>
  <si>
    <t>Amazon Essentials Men's Rigid Relaxed-Fit Jean Shorts, Dark Wash, 31</t>
  </si>
  <si>
    <t>B0F7MNQNLR</t>
  </si>
  <si>
    <t>197153424514</t>
  </si>
  <si>
    <t>AEMN41037M25-Dark Wash_40</t>
  </si>
  <si>
    <t>Amazon Essentials Men's Rigid Relaxed-Fit Jean Shorts, Dark Wash, 40</t>
  </si>
  <si>
    <t>B0F7MNPYYJ</t>
  </si>
  <si>
    <t>197153420769</t>
  </si>
  <si>
    <t>AEMN88118M25-Black_31wx30l</t>
  </si>
  <si>
    <t>Amazon Essentials Men's Low Stretch Slim-Fit Bootcut Jeans, Black, 31W x 30L</t>
  </si>
  <si>
    <t>B0F7MNNQTT</t>
  </si>
  <si>
    <t>197153421735</t>
  </si>
  <si>
    <t>AEMN88118M25-TintedIceLightWash_42wx30l</t>
  </si>
  <si>
    <t>Amazon Essentials Men's Low Stretch Slim-Fit Bootcut Jeans, Tinted Ice Light Wash, 42W x 30L</t>
  </si>
  <si>
    <t>B0F7MNMZ2T</t>
  </si>
  <si>
    <t>197153421865</t>
  </si>
  <si>
    <t>AEMN88118M25-Stone Medium Wash_35wx30l</t>
  </si>
  <si>
    <t>Amazon Essentials Men's Low Stretch Slim-Fit Bootcut Jeans, Stone Medium Wash, 35W x 30L</t>
  </si>
  <si>
    <t>B0F7MNM54F</t>
  </si>
  <si>
    <t>197153421520</t>
  </si>
  <si>
    <t>AEMN88118M25-TintedIceLightWash_34wx32l</t>
  </si>
  <si>
    <t>Amazon Essentials Men's Low Stretch Slim-Fit Bootcut Jeans, Tinted Ice Light Wash, 34W x 32L</t>
  </si>
  <si>
    <t>B0F7MNL1L5</t>
  </si>
  <si>
    <t>197153418292</t>
  </si>
  <si>
    <t>AEGL13713M25-Stone Medium Wash_s</t>
  </si>
  <si>
    <t>Amazon Essentials Girls' Skinny Mid Rise Soft Stretch Denim Jegging, Stone Medium Wash, Small</t>
  </si>
  <si>
    <t>B0F7MNL1J4</t>
  </si>
  <si>
    <t>197153424057</t>
  </si>
  <si>
    <t>AEMN97005M25-Authentic Medium Wash_34</t>
  </si>
  <si>
    <t>Amazon Essentials Men's Heavyweight Stretch Straight-Fit Jean Shorts, Mid Rise, 9" Inseam, Authentic Medium Wash, 34</t>
  </si>
  <si>
    <t>B0F7MNG3NK</t>
  </si>
  <si>
    <t>197153424354</t>
  </si>
  <si>
    <t>AEMN41037M25-Stone Medium Wash_33</t>
  </si>
  <si>
    <t>Amazon Essentials Men's Rigid Relaxed-Fit Jean Shorts, Stone Medium Wash, 33</t>
  </si>
  <si>
    <t>B0F7MNFP5B</t>
  </si>
  <si>
    <t>197153421124</t>
  </si>
  <si>
    <t>AEMN88118M25-Dark Shadow Wash_36wx34l</t>
  </si>
  <si>
    <t>Amazon Essentials Men's Low Stretch Slim-Fit Bootcut Jeans, Dark Shadow Wash, 36W x 34L</t>
  </si>
  <si>
    <t>B0F7MN71T4</t>
  </si>
  <si>
    <t>197153420714</t>
  </si>
  <si>
    <t>AEMN88118M25-Black_35wx34l</t>
  </si>
  <si>
    <t>Amazon Essentials Men's Low Stretch Slim-Fit Bootcut Jeans, Black, 35W x 34L</t>
  </si>
  <si>
    <t>B0F7MN5V37</t>
  </si>
  <si>
    <t>197153420363</t>
  </si>
  <si>
    <t>AEUB83300M25-Stone Medium Wash_12m</t>
  </si>
  <si>
    <t>Amazon Essentials Unisex Babies' Soft Stretch Pull-On Jeans, Stone Medium Wash, 12 Months</t>
  </si>
  <si>
    <t>B0F7MN5JHN</t>
  </si>
  <si>
    <t>197153420639</t>
  </si>
  <si>
    <t>AEMN88118M25-Black_32wx30l</t>
  </si>
  <si>
    <t>Amazon Essentials Men's Low Stretch Slim-Fit Bootcut Jeans, Black, 32W x 30L</t>
  </si>
  <si>
    <t>B0F7MN56J5</t>
  </si>
  <si>
    <t>197153423982</t>
  </si>
  <si>
    <t>AEMN97005M25-Iced Blue Light Wash_40</t>
  </si>
  <si>
    <t>Amazon Essentials Men's Heavyweight Stretch Straight-Fit Jean Shorts, Mid Rise, 9" Inseam, Iced Blue Light Wash, 40</t>
  </si>
  <si>
    <t>B0F7MN56J4</t>
  </si>
  <si>
    <t>197153424040</t>
  </si>
  <si>
    <t>AEMN97005M25-Authentic Medium Wash_29</t>
  </si>
  <si>
    <t>Amazon Essentials Men's Heavyweight Stretch Straight-Fit Jean Shorts, Mid Rise, 9" Inseam, Authentic Medium Wash, 29</t>
  </si>
  <si>
    <t>B0F7MN4TBL</t>
  </si>
  <si>
    <t>197153418162</t>
  </si>
  <si>
    <t>AEGL13713M25-Stone Light Wash_xxl</t>
  </si>
  <si>
    <t>Amazon Essentials Girls' Skinny Mid Rise Soft Stretch Denim Jegging, Stone Light Wash, XX-Large</t>
  </si>
  <si>
    <t>B0F7MN2HLJ</t>
  </si>
  <si>
    <t>197153424385</t>
  </si>
  <si>
    <t>AEMN41037M25-Stone Medium Wash_38</t>
  </si>
  <si>
    <t>Amazon Essentials Men's Rigid Relaxed-Fit Jean Shorts, Stone Medium Wash, 38</t>
  </si>
  <si>
    <t>B0F7MMYQW6</t>
  </si>
  <si>
    <t>197153421360</t>
  </si>
  <si>
    <t>AEMN88118M25-Dark Shadow Wash_42wx32l</t>
  </si>
  <si>
    <t>Amazon Essentials Men's Low Stretch Slim-Fit Bootcut Jeans, Dark Shadow Wash, 42W x 32L</t>
  </si>
  <si>
    <t>B0F7MMX4SQ</t>
  </si>
  <si>
    <t>197153420264</t>
  </si>
  <si>
    <t>AEUB83300M25-Stone Light Wash_6-9m</t>
  </si>
  <si>
    <t>Amazon Essentials Unisex Babies' Soft Stretch Pull-On Jeans, Stone Light Wash, 6-9 Months</t>
  </si>
  <si>
    <t>B0F7MMVWLZ</t>
  </si>
  <si>
    <t>197153421858</t>
  </si>
  <si>
    <t>AEMN88118M25-TintedIceLightWash_33wx32l</t>
  </si>
  <si>
    <t>Amazon Essentials Men's Low Stretch Slim-Fit Bootcut Jeans, Tinted Ice Light Wash, 33W x 32L</t>
  </si>
  <si>
    <t>B0F7MMVKPR</t>
  </si>
  <si>
    <t>197153420943</t>
  </si>
  <si>
    <t>AEMN88118M25-Dark Shadow Wash_40wx30l</t>
  </si>
  <si>
    <t>Amazon Essentials Men's Low Stretch Slim-Fit Bootcut Jeans, Dark Shadow Wash, 40W x 30L</t>
  </si>
  <si>
    <t>B0F7MMTTWG</t>
  </si>
  <si>
    <t>197153421698</t>
  </si>
  <si>
    <t>AEMN88118M25-TintedIceLightWash_33wx28l</t>
  </si>
  <si>
    <t>Amazon Essentials Men's Low Stretch Slim-Fit Bootcut Jeans, Tinted Ice Light Wash, 33W x 28L</t>
  </si>
  <si>
    <t>B0F7MMSPJT</t>
  </si>
  <si>
    <t>197153421216</t>
  </si>
  <si>
    <t>AEMN88118M25-Dark Shadow Wash_33wx28l</t>
  </si>
  <si>
    <t>Amazon Essentials Men's Low Stretch Slim-Fit Bootcut Jeans, Dark Shadow Wash, 33W x 28L</t>
  </si>
  <si>
    <t>B0F7MM9TDS</t>
  </si>
  <si>
    <t>197153421148</t>
  </si>
  <si>
    <t>AEMN88118M25-Dark Shadow Wash_29wx34l</t>
  </si>
  <si>
    <t>Amazon Essentials Men's Low Stretch Slim-Fit Bootcut Jeans, Dark Shadow Wash, 29W x 34L</t>
  </si>
  <si>
    <t>B0F7MM7512</t>
  </si>
  <si>
    <t>197153421551</t>
  </si>
  <si>
    <t>AEMN88118M25-TintedIceLightWash_34wx30l</t>
  </si>
  <si>
    <t>Amazon Essentials Men's Low Stretch Slim-Fit Bootcut Jeans, Tinted Ice Light Wash, 34W x 30L</t>
  </si>
  <si>
    <t>B0F7MM6HYH</t>
  </si>
  <si>
    <t>197153421582</t>
  </si>
  <si>
    <t>AEMN88118M25-TintedIceLightWash_33wx30l</t>
  </si>
  <si>
    <t>Amazon Essentials Men's Low Stretch Slim-Fit Bootcut Jeans, Tinted Ice Light Wash, 33W x 30L</t>
  </si>
  <si>
    <t>B0F7MM6HWS</t>
  </si>
  <si>
    <t>197153422329</t>
  </si>
  <si>
    <t>AEMN88118M25-Stone Medium Wash_42wx32l</t>
  </si>
  <si>
    <t>Amazon Essentials Men's Low Stretch Slim-Fit Bootcut Jeans, Stone Medium Wash, 42W x 32L</t>
  </si>
  <si>
    <t>B0F7MM5KHT</t>
  </si>
  <si>
    <t>197153420677</t>
  </si>
  <si>
    <t>AEMN88118M25-Black_31wx34l</t>
  </si>
  <si>
    <t>Amazon Essentials Men's Low Stretch Slim-Fit Bootcut Jeans, Black, 31W x 34L</t>
  </si>
  <si>
    <t>B0F7MM4JD8</t>
  </si>
  <si>
    <t>197153421377</t>
  </si>
  <si>
    <t>AEMN88118M25-Dark Shadow Wash_33wx32l</t>
  </si>
  <si>
    <t>Amazon Essentials Men's Low Stretch Slim-Fit Bootcut Jeans, Dark Shadow Wash, 33W x 32L</t>
  </si>
  <si>
    <t>B0F7MM2T8T</t>
  </si>
  <si>
    <t>197153422190</t>
  </si>
  <si>
    <t>AEMN88118M25-Stone Medium Wash_32wx34l</t>
  </si>
  <si>
    <t>Amazon Essentials Men's Low Stretch Slim-Fit Bootcut Jeans, Stone Medium Wash, 32W x 34L</t>
  </si>
  <si>
    <t>B0F7MM2DK2</t>
  </si>
  <si>
    <t>197153420790</t>
  </si>
  <si>
    <t>AEMN88118M25-Black_29wx28l</t>
  </si>
  <si>
    <t>Amazon Essentials Men's Low Stretch Slim-Fit Bootcut Jeans, Black, 29W x 28L</t>
  </si>
  <si>
    <t>B0F7MKD8VL</t>
  </si>
  <si>
    <t>197153420387</t>
  </si>
  <si>
    <t>AEUB83300M25-Stone Medium Wash_24m</t>
  </si>
  <si>
    <t>Amazon Essentials Unisex Babies' Soft Stretch Pull-On Jeans, Stone Medium Wash, 24 Months</t>
  </si>
  <si>
    <t>B0F7MK9N1D</t>
  </si>
  <si>
    <t>197153420806</t>
  </si>
  <si>
    <t>AEMN88118M25-Black_38wx30l</t>
  </si>
  <si>
    <t>Amazon Essentials Men's Low Stretch Slim-Fit Bootcut Jeans, Black, 38W x 30L</t>
  </si>
  <si>
    <t>B0F7MK8ZTM</t>
  </si>
  <si>
    <t>197153421346</t>
  </si>
  <si>
    <t>AEMN88118M25-Dark Shadow Wash_38wx32l</t>
  </si>
  <si>
    <t>Amazon Essentials Men's Low Stretch Slim-Fit Bootcut Jeans, Dark Shadow Wash, 38W x 32L</t>
  </si>
  <si>
    <t>B0F7MK8ZT2</t>
  </si>
  <si>
    <t>197153420936</t>
  </si>
  <si>
    <t>AEMN88118M25-Dark Shadow Wash_34wx34l</t>
  </si>
  <si>
    <t>Amazon Essentials Men's Low Stretch Slim-Fit Bootcut Jeans, Dark Shadow Wash, 34W x 34L</t>
  </si>
  <si>
    <t>B0F7MK7C6L</t>
  </si>
  <si>
    <t>197153420844</t>
  </si>
  <si>
    <t>AEMN88118M25-Black_33wx34l</t>
  </si>
  <si>
    <t>Amazon Essentials Men's Low Stretch Slim-Fit Bootcut Jeans, Black, 33W x 34L</t>
  </si>
  <si>
    <t>B0F7MK6Q4R</t>
  </si>
  <si>
    <t>197153418124</t>
  </si>
  <si>
    <t>AEGL13713M25-Stone Light Wash_l</t>
  </si>
  <si>
    <t>Amazon Essentials Girls' Skinny Mid Rise Soft Stretch Denim Jegging, Stone Light Wash, Large</t>
  </si>
  <si>
    <t>B0F7MJV2H4</t>
  </si>
  <si>
    <t>197153424095</t>
  </si>
  <si>
    <t>AEMN97005M25-Authentic Medium Wash_40</t>
  </si>
  <si>
    <t>Amazon Essentials Men's Heavyweight Stretch Straight-Fit Jean Shorts, Mid Rise, 9" Inseam, Authentic Medium Wash, 40</t>
  </si>
  <si>
    <t>B0F7MJTN6P</t>
  </si>
  <si>
    <t>197153421643</t>
  </si>
  <si>
    <t>AEMN88118M25-TintedIceLightWash_36wx28l</t>
  </si>
  <si>
    <t>Amazon Essentials Men's Low Stretch Slim-Fit Bootcut Jeans, Tinted Ice Light Wash, 36W x 28L</t>
  </si>
  <si>
    <t>B0F7MJTC1Y</t>
  </si>
  <si>
    <t>197153421636</t>
  </si>
  <si>
    <t>AEMN88118M25-TintedIceLightWash_31wx34l</t>
  </si>
  <si>
    <t>Amazon Essentials Men's Low Stretch Slim-Fit Bootcut Jeans, Tinted Ice Light Wash, 31W x 34L</t>
  </si>
  <si>
    <t>B0F7MJT1L9</t>
  </si>
  <si>
    <t>197153421100</t>
  </si>
  <si>
    <t>AEMN88118M25-Dark Shadow Wash_33wx30l</t>
  </si>
  <si>
    <t>Amazon Essentials Men's Low Stretch Slim-Fit Bootcut Jeans, Dark Shadow Wash, 33W x 30L</t>
  </si>
  <si>
    <t>B0F7MJSNW2</t>
  </si>
  <si>
    <t>197153420103</t>
  </si>
  <si>
    <t>AEGL35686M25-Classic Light Wash_14</t>
  </si>
  <si>
    <t>Amazon Essentials Girls' Ultra Soft Relaxed-Fit Wide Leg Cargo Jeans, Classic Light Wash, 14</t>
  </si>
  <si>
    <t>B0F7MJSNVB</t>
  </si>
  <si>
    <t>197153420820</t>
  </si>
  <si>
    <t>AEMN88118M25-Black_30wx32l</t>
  </si>
  <si>
    <t>Amazon Essentials Men's Low Stretch Slim-Fit Bootcut Jeans, Black, 30W x 32L</t>
  </si>
  <si>
    <t>B0F7MJQR9M</t>
  </si>
  <si>
    <t>197153421759</t>
  </si>
  <si>
    <t>AEMN88118M25-TintedIceLightWash_29wx28l</t>
  </si>
  <si>
    <t>Amazon Essentials Men's Low Stretch Slim-Fit Bootcut Jeans, Tinted Ice Light Wash, 29W x 28L</t>
  </si>
  <si>
    <t>B0F7MJPR4G</t>
  </si>
  <si>
    <t>197153420585</t>
  </si>
  <si>
    <t>AEMN88118M25-Black_32wx28l</t>
  </si>
  <si>
    <t>Amazon Essentials Men's Low Stretch Slim-Fit Bootcut Jeans, Black, 32W x 28L</t>
  </si>
  <si>
    <t>B0F7MJNSQ3</t>
  </si>
  <si>
    <t>197153424675</t>
  </si>
  <si>
    <t>AEMN41037M25-Vintage Blue_31</t>
  </si>
  <si>
    <t>Amazon Essentials Men's Rigid Relaxed-Fit Jean Shorts, Vintage Blue, 31</t>
  </si>
  <si>
    <t>B0F7MH27R4</t>
  </si>
  <si>
    <t>197153422305</t>
  </si>
  <si>
    <t>AEMN88118M25-Stone Medium Wash_38wx32l</t>
  </si>
  <si>
    <t>Amazon Essentials Men's Low Stretch Slim-Fit Bootcut Jeans, Stone Medium Wash, 38W x 32L</t>
  </si>
  <si>
    <t>B0F7MGZXVP</t>
  </si>
  <si>
    <t>197153420608</t>
  </si>
  <si>
    <t>AEMN88118M25-Black_38wx34l</t>
  </si>
  <si>
    <t>Amazon Essentials Men's Low Stretch Slim-Fit Bootcut Jeans, Black, 38W x 34L</t>
  </si>
  <si>
    <t>B0F7MGZMFY</t>
  </si>
  <si>
    <t>197153418421</t>
  </si>
  <si>
    <t>AEBG70043M25-Classic Light Wash_6-9m</t>
  </si>
  <si>
    <t>Amazon Essentials Baby Girls' Soft Stretch Relaxed-Fit Wide Leg Jeans, Classic Light Wash, 6-9 Months</t>
  </si>
  <si>
    <t>B0F7MGYNL5</t>
  </si>
  <si>
    <t>197153422916</t>
  </si>
  <si>
    <t>AEWM44862M25-Medium Blue Vintage_4</t>
  </si>
  <si>
    <t>Amazon Essentials Women's Low Stretch Mid-Rise Regular-Fit Jean Short, Medium Blue Vintage, 4</t>
  </si>
  <si>
    <t>B0F7MGYNL3</t>
  </si>
  <si>
    <t>197153421070</t>
  </si>
  <si>
    <t>AEMN88118M25-Dark Shadow Wash_34wx30l</t>
  </si>
  <si>
    <t>Amazon Essentials Men's Low Stretch Slim-Fit Bootcut Jeans, Dark Shadow Wash, 34W x 30L</t>
  </si>
  <si>
    <t>B0F7MGY1DH</t>
  </si>
  <si>
    <t>197153422091</t>
  </si>
  <si>
    <t>AEMN88118M25-Stone Medium Wash_40wx32l</t>
  </si>
  <si>
    <t>Amazon Essentials Men's Low Stretch Slim-Fit Bootcut Jeans, Stone Medium Wash, 40W x 32L</t>
  </si>
  <si>
    <t>B0F7MGY1CC</t>
  </si>
  <si>
    <t>197153420042</t>
  </si>
  <si>
    <t>AEGL35686M25-Classic Light Wash_8</t>
  </si>
  <si>
    <t>Amazon Essentials Girls' Ultra Soft Relaxed-Fit Wide Leg Cargo Jeans, Classic Light Wash, 8</t>
  </si>
  <si>
    <t>B0F7MGY1B6</t>
  </si>
  <si>
    <t>197153423937</t>
  </si>
  <si>
    <t>AEMN97005M25-Iced Blue Light Wash_29</t>
  </si>
  <si>
    <t>Amazon Essentials Men's Heavyweight Stretch Straight-Fit Jean Shorts, Mid Rise, 9" Inseam, Iced Blue Light Wash, 29</t>
  </si>
  <si>
    <t>B0F7MGWR2F</t>
  </si>
  <si>
    <t>197153424231</t>
  </si>
  <si>
    <t>AEMN97005M25-Dark Midnight Wash_38</t>
  </si>
  <si>
    <t>Amazon Essentials Men's Heavyweight Stretch Straight-Fit Jean Shorts, Mid Rise, 9" Inseam, Dark Midnight Wash, 38</t>
  </si>
  <si>
    <t>B0F7MGWFL3</t>
  </si>
  <si>
    <t>197153422145</t>
  </si>
  <si>
    <t>AEMN88118M25-Stone Medium Wash_31wx28l</t>
  </si>
  <si>
    <t>Amazon Essentials Men's Low Stretch Slim-Fit Bootcut Jeans, Stone Medium Wash, 31W x 28L</t>
  </si>
  <si>
    <t>B0F7MGW42F</t>
  </si>
  <si>
    <t>197153421872</t>
  </si>
  <si>
    <t>AEMN88118M25-Stone Medium Wash_29wx30l</t>
  </si>
  <si>
    <t>Amazon Essentials Men's Low Stretch Slim-Fit Bootcut Jeans, Stone Medium Wash, 29W x 30L</t>
  </si>
  <si>
    <t>B0F7MGTSKQ</t>
  </si>
  <si>
    <t>197153422022</t>
  </si>
  <si>
    <t>AEMN88118M25-Stone Medium Wash_32wx28l</t>
  </si>
  <si>
    <t>Amazon Essentials Men's Low Stretch Slim-Fit Bootcut Jeans, Stone Medium Wash, 32W x 28L</t>
  </si>
  <si>
    <t>B0F7MGTDNQ</t>
  </si>
  <si>
    <t>197153418254</t>
  </si>
  <si>
    <t>AEGL13713M25-Stone Medium Wash_xxl</t>
  </si>
  <si>
    <t>Amazon Essentials Girls' Skinny Mid Rise Soft Stretch Denim Jegging, Stone Medium Wash, XX-Large</t>
  </si>
  <si>
    <t>B0F7MGS91D</t>
  </si>
  <si>
    <t>197153423999</t>
  </si>
  <si>
    <t>AEMN97005M25-Iced Blue Light Wash_33</t>
  </si>
  <si>
    <t>Amazon Essentials Men's Heavyweight Stretch Straight-Fit Jean Shorts, Mid Rise, 9" Inseam, Iced Blue Light Wash, 33</t>
  </si>
  <si>
    <t>B0F7MGR7DG</t>
  </si>
  <si>
    <t>197153420295</t>
  </si>
  <si>
    <t>AEUB83300M25-Stone Light Wash_3-6m</t>
  </si>
  <si>
    <t>Amazon Essentials Unisex Babies' Soft Stretch Pull-On Jeans, Stone Light Wash, 3-6 Months</t>
  </si>
  <si>
    <t>B0F7MDKMXF</t>
  </si>
  <si>
    <t>197153421384</t>
  </si>
  <si>
    <t>AEMN88118M25-TintedIceLightWash_35wx30l</t>
  </si>
  <si>
    <t>Amazon Essentials Men's Low Stretch Slim-Fit Bootcut Jeans, Tinted Ice Light Wash, 35W x 30L</t>
  </si>
  <si>
    <t>B0F7MDK5VV</t>
  </si>
  <si>
    <t>197153424477</t>
  </si>
  <si>
    <t>AEMN41037M25-Dark Wash_30</t>
  </si>
  <si>
    <t>Amazon Essentials Men's Rigid Relaxed-Fit Jean Shorts, Dark Wash, 30</t>
  </si>
  <si>
    <t>B0F7MB2STQ</t>
  </si>
  <si>
    <t>197153422220</t>
  </si>
  <si>
    <t>AEMN88118M25-Stone Medium Wash_42wx28l</t>
  </si>
  <si>
    <t>Amazon Essentials Men's Low Stretch Slim-Fit Bootcut Jeans, Stone Medium Wash, 42W x 28L</t>
  </si>
  <si>
    <t>B0F7MB24GR</t>
  </si>
  <si>
    <t>197153420929</t>
  </si>
  <si>
    <t>AEMN88118M25-Dark Shadow Wash_30wx34l</t>
  </si>
  <si>
    <t>Amazon Essentials Men's Low Stretch Slim-Fit Bootcut Jeans, Dark Shadow Wash, 30W x 34L</t>
  </si>
  <si>
    <t>B0F7MB24G8</t>
  </si>
  <si>
    <t>197153423920</t>
  </si>
  <si>
    <t>AEMN97005M25-Iced Blue Light Wash_31</t>
  </si>
  <si>
    <t>Amazon Essentials Men's Heavyweight Stretch Straight-Fit Jean Shorts, Mid Rise, 9" Inseam, Iced Blue Light Wash, 31</t>
  </si>
  <si>
    <t>B0F7MB1QJN</t>
  </si>
  <si>
    <t>197153422886</t>
  </si>
  <si>
    <t>AEWM44862M25-Medium Blue Vintage_8</t>
  </si>
  <si>
    <t>Amazon Essentials Women's Low Stretch Mid-Rise Regular-Fit Jean Short, Medium Blue Vintage, 8</t>
  </si>
  <si>
    <t>B0F7MB1QHF</t>
  </si>
  <si>
    <t>197153424651</t>
  </si>
  <si>
    <t>AEMN41037M25-Vintage Blue_32</t>
  </si>
  <si>
    <t>Amazon Essentials Men's Rigid Relaxed-Fit Jean Shorts, Vintage Blue, 32</t>
  </si>
  <si>
    <t>B0F7MB1F3R</t>
  </si>
  <si>
    <t>197153421469</t>
  </si>
  <si>
    <t>AEMN88118M25-TintedIceLightWash_28wx30l</t>
  </si>
  <si>
    <t>Amazon Essentials Men's Low Stretch Slim-Fit Bootcut Jeans, Tinted Ice Light Wash, 28W x 30L</t>
  </si>
  <si>
    <t>B0F7M9FBF9</t>
  </si>
  <si>
    <t>197153421827</t>
  </si>
  <si>
    <t>AEMN88118M25-TintedIceLightWash_38wx32l</t>
  </si>
  <si>
    <t>Amazon Essentials Men's Low Stretch Slim-Fit Bootcut Jeans, Tinted Ice Light Wash, 38W x 32L</t>
  </si>
  <si>
    <t>B0F7M7NCWY</t>
  </si>
  <si>
    <t>197153421834</t>
  </si>
  <si>
    <t>AEMN88118M25-TintedIceLightWash_31wx32l</t>
  </si>
  <si>
    <t>Amazon Essentials Men's Low Stretch Slim-Fit Bootcut Jeans, Tinted Ice Light Wash, 31W x 32L</t>
  </si>
  <si>
    <t>B0F7M7NCVK</t>
  </si>
  <si>
    <t>197153424200</t>
  </si>
  <si>
    <t>AEMN97005M25-Dark Midnight Wash_40</t>
  </si>
  <si>
    <t>Amazon Essentials Men's Heavyweight Stretch Straight-Fit Jean Shorts, Mid Rise, 9" Inseam, Dark Midnight Wash, 40</t>
  </si>
  <si>
    <t>7LENSGTE</t>
  </si>
  <si>
    <t>EPLYM</t>
  </si>
  <si>
    <t>B09LS6LM23</t>
  </si>
  <si>
    <t>196433258115</t>
  </si>
  <si>
    <t>Amazon Essentials Men's Big &amp; Tall Classic-fit Wrinkle-Resistant Pleated Chino Pant Pants, Black, 60W x 34L</t>
  </si>
  <si>
    <t>B09LS6LM1V</t>
  </si>
  <si>
    <t>196433258047</t>
  </si>
  <si>
    <t>Amazon Essentials Men's Big &amp; Tall Classic-fit Wrinkle-Resistant Pleated Chino Pant Pants, Navy, 48W x 28L</t>
  </si>
  <si>
    <t>B09LS6LLWW</t>
  </si>
  <si>
    <t>196433255817</t>
  </si>
  <si>
    <t>Amazon Essentials Men's Classic-Fit Wrinkle-Resistant Flat-Front Chino Pant, Charcoal, 44W x 32L</t>
  </si>
  <si>
    <t>B09LS6LLVG</t>
  </si>
  <si>
    <t>196433255213</t>
  </si>
  <si>
    <t>Amazon Essentials Men's Classic-Fit Wrinkle-Resistant Flat-Front Chino Pant, Dark Brown, 50W x 30L</t>
  </si>
  <si>
    <t>B09LS6LLVF</t>
  </si>
  <si>
    <t>196433255176</t>
  </si>
  <si>
    <t>Amazon Essentials Men's Classic-Fit Wrinkle-Resistant Flat-Front Chino Pant, Dark Brown, 44W x 34L</t>
  </si>
  <si>
    <t>B09LS6LLVD</t>
  </si>
  <si>
    <t>196433255183</t>
  </si>
  <si>
    <t>Amazon Essentials Men's Classic-Fit Wrinkle-Resistant Flat-Front Chino Pant, Dark Brown, 52W x 30L</t>
  </si>
  <si>
    <t>B09LS6CSX8</t>
  </si>
  <si>
    <t>196433257477</t>
  </si>
  <si>
    <t>Amazon Essentials Men's Big &amp; Tall Classic-fit Wrinkle-Resistant Pleated Chino Pant Pants, Black, 56W x 34L</t>
  </si>
  <si>
    <t>B09LS6CSX6</t>
  </si>
  <si>
    <t>196433257408</t>
  </si>
  <si>
    <t>Amazon Essentials Men's Big &amp; Tall Classic-fit Wrinkle-Resistant Pleated Chino Pant Pants, Navy, 56W x 32L</t>
  </si>
  <si>
    <t>B09LS6CSWZ</t>
  </si>
  <si>
    <t>196433257378</t>
  </si>
  <si>
    <t>Amazon Essentials Men's Big &amp; Tall Classic-fit Wrinkle-Resistant Pleated Chino Pant Pants, Grey, 56W x 32L</t>
  </si>
  <si>
    <t>B09LS6CSWL</t>
  </si>
  <si>
    <t>196433257194</t>
  </si>
  <si>
    <t>Amazon Essentials Men's Big &amp; Tall Classic-fit Wrinkle-Resistant Pleated Chino Pant Pants, Grey, 44W x 28L</t>
  </si>
  <si>
    <t>B09LS69MZ6</t>
  </si>
  <si>
    <t>196433257903</t>
  </si>
  <si>
    <t>Amazon Essentials Men's Big &amp; Tall Classic-fit Wrinkle-Resistant Pleated Chino Pant Pants, Khaki, 50W x 34L</t>
  </si>
  <si>
    <t>B09LS69MW5</t>
  </si>
  <si>
    <t>196433256272</t>
  </si>
  <si>
    <t>Amazon Essentials Men's Big &amp; Tall Classic-fit Wrinkle-Resistant Pleated Chino Pant Pants, Black, 56W x 30L</t>
  </si>
  <si>
    <t>B09LS68816</t>
  </si>
  <si>
    <t>196433254964</t>
  </si>
  <si>
    <t>Amazon Essentials Men's Classic-Fit Wrinkle-Resistant Flat-Front Chino Pant, Dark Brown, 50W x 34L</t>
  </si>
  <si>
    <t>B09LS687YB</t>
  </si>
  <si>
    <t>196433254087</t>
  </si>
  <si>
    <t>Amazon Essentials Men's Classic-Fit Wrinkle-Resistant Flat-Front Chino Pant, Navy, 52W x 28L</t>
  </si>
  <si>
    <t>B09LS687XW</t>
  </si>
  <si>
    <t>196433253936</t>
  </si>
  <si>
    <t>Amazon Essentials Men's Classic-Fit Wrinkle-Resistant Flat-Front Chino Pant, Navy, 48W x 30L</t>
  </si>
  <si>
    <t>B09LS67WFZ</t>
  </si>
  <si>
    <t>196433256395</t>
  </si>
  <si>
    <t>Amazon Essentials Men's Big &amp; Tall Classic-fit Wrinkle-Resistant Pleated Chino Pant Pants, Black, 50W x 30L</t>
  </si>
  <si>
    <t>B09LS67W95</t>
  </si>
  <si>
    <t>196433254070</t>
  </si>
  <si>
    <t>Amazon Essentials Men's Classic-Fit Wrinkle-Resistant Flat-Front Chino Pant, Navy, 52W x 30L</t>
  </si>
  <si>
    <t>B09LS67W8T</t>
  </si>
  <si>
    <t>196433253974</t>
  </si>
  <si>
    <t>Amazon Essentials Men's Classic-Fit Wrinkle-Resistant Flat-Front Chino Pant, Navy, 54W x 32L</t>
  </si>
  <si>
    <t>B09LS67QS9</t>
  </si>
  <si>
    <t>196433256593</t>
  </si>
  <si>
    <t>Amazon Essentials Men's Big &amp; Tall Classic-fit Wrinkle-Resistant Pleated Chino Pant Pants, Grey, 54W x 30L</t>
  </si>
  <si>
    <t>B09LS67QQ7</t>
  </si>
  <si>
    <t>196433255831</t>
  </si>
  <si>
    <t>Amazon Essentials Men's Classic-Fit Wrinkle-Resistant Flat-Front Chino Pant, Charcoal, 46W x 34L</t>
  </si>
  <si>
    <t>B09LS67QMJ</t>
  </si>
  <si>
    <t>196433254711</t>
  </si>
  <si>
    <t>Amazon Essentials Men's Classic-Fit Wrinkle-Resistant Flat-Front Chino Pant, Khaki Beige, 54W x 32L</t>
  </si>
  <si>
    <t>B09LS64Z37</t>
  </si>
  <si>
    <t>196433257323</t>
  </si>
  <si>
    <t>Amazon Essentials Men's Big &amp; Tall Classic-fit Wrinkle-Resistant Pleated Chino Pant Pants, Khaki, 54W x 34L</t>
  </si>
  <si>
    <t>B09LS64YY3</t>
  </si>
  <si>
    <t>196433255633</t>
  </si>
  <si>
    <t>Amazon Essentials Men's Classic-Fit Wrinkle-Resistant Flat-Front Chino Pant, Dark Olive, 44W x 28L</t>
  </si>
  <si>
    <t>B09LS646F2</t>
  </si>
  <si>
    <t>196433257781</t>
  </si>
  <si>
    <t>Amazon Essentials Men's Big &amp; Tall Classic-fit Wrinkle-Resistant Pleated Chino Pant Pants, Khaki, 46W x 34L</t>
  </si>
  <si>
    <t>B09LS646DL</t>
  </si>
  <si>
    <t>196433257439</t>
  </si>
  <si>
    <t>Amazon Essentials Men's Big &amp; Tall Classic-fit Wrinkle-Resistant Pleated Chino Pant Pants, Grey, 50W x 28L</t>
  </si>
  <si>
    <t>B09LS646D3</t>
  </si>
  <si>
    <t>196433257132</t>
  </si>
  <si>
    <t>Amazon Essentials Men's Big &amp; Tall Classic-fit Wrinkle-Resistant Pleated Chino Pant Pants, Grey, 48W x 30L</t>
  </si>
  <si>
    <t>B09LS6469G</t>
  </si>
  <si>
    <t>196433255787</t>
  </si>
  <si>
    <t>Amazon Essentials Men's Classic-Fit Wrinkle-Resistant Flat-Front Chino Pant, Charcoal, 48W x 30L</t>
  </si>
  <si>
    <t>B09LS63GJH</t>
  </si>
  <si>
    <t>196433256098</t>
  </si>
  <si>
    <t>Amazon Essentials Men's Big &amp; Tall Classic-fit Wrinkle-Resistant Pleated Chino Pant Pants, Black, 52W x 32L</t>
  </si>
  <si>
    <t>B09LS63GFZ</t>
  </si>
  <si>
    <t>196433255053</t>
  </si>
  <si>
    <t>Amazon Essentials Men's Classic-Fit Wrinkle-Resistant Flat-Front Chino Pant, Dark Brown, 60W x 30L</t>
  </si>
  <si>
    <t>B09LS632T5</t>
  </si>
  <si>
    <t>196433258085</t>
  </si>
  <si>
    <t>Amazon Essentials Men's Big &amp; Tall Classic-fit Wrinkle-Resistant Pleated Chino Pant Pants, Khaki, 60W x 30L</t>
  </si>
  <si>
    <t>B09LS632QW</t>
  </si>
  <si>
    <t>196433256715</t>
  </si>
  <si>
    <t>Amazon Essentials Men's Big &amp; Tall Classic-fit Wrinkle-Resistant Pleated Chino Pant Pants, Grey, 54W x 32L</t>
  </si>
  <si>
    <t>B09LS632P3</t>
  </si>
  <si>
    <t>196433255930</t>
  </si>
  <si>
    <t>Amazon Essentials Men's Classic-Fit Wrinkle-Resistant Flat-Front Chino Pant, Charcoal, 52W x 28L</t>
  </si>
  <si>
    <t>B09LS632K3</t>
  </si>
  <si>
    <t>196433254193</t>
  </si>
  <si>
    <t>Amazon Essentials Men's Classic-Fit Wrinkle-Resistant Flat-Front Chino Pant, Black, 58W x 34L</t>
  </si>
  <si>
    <t>B09LS632JL</t>
  </si>
  <si>
    <t>196433254063</t>
  </si>
  <si>
    <t>Amazon Essentials Men's Classic-Fit Wrinkle-Resistant Flat-Front Chino Pant, Navy, 44W x 34L</t>
  </si>
  <si>
    <t>B09LS61Q51</t>
  </si>
  <si>
    <t>196433257255</t>
  </si>
  <si>
    <t>Amazon Essentials Men's Big &amp; Tall Classic-fit Wrinkle-Resistant Pleated Chino Pant Pants, Grey, 58W x 32L</t>
  </si>
  <si>
    <t>B09LS61Q2W</t>
  </si>
  <si>
    <t>196433256081</t>
  </si>
  <si>
    <t>Amazon Essentials Men's Classic-Fit Wrinkle-Resistant Pleated Chino Pant (Available in Big &amp; Tall), Navy, 46W x 28L</t>
  </si>
  <si>
    <t>B09LS61PYS</t>
  </si>
  <si>
    <t>196433254780</t>
  </si>
  <si>
    <t>Amazon Essentials Men's Classic-Fit Wrinkle-Resistant Flat-Front Chino Pant, Khaki Beige, 50W x 32L</t>
  </si>
  <si>
    <t>B09LS61PY5</t>
  </si>
  <si>
    <t>196433254506</t>
  </si>
  <si>
    <t>Amazon Essentials Men's Classic-Fit Wrinkle-Resistant Flat-Front Chino Pant, Black, 56W x 32L</t>
  </si>
  <si>
    <t>B09LS61KQB</t>
  </si>
  <si>
    <t>196433255077</t>
  </si>
  <si>
    <t>Amazon Essentials Men's Classic-Fit Wrinkle-Resistant Flat-Front Chino Pant, Dark Brown, 44W x 32L</t>
  </si>
  <si>
    <t>B09LS5ZZJJ</t>
  </si>
  <si>
    <t>196433254704</t>
  </si>
  <si>
    <t>Amazon Essentials Men's Classic-Fit Wrinkle-Resistant Flat-Front Chino Pant, Khaki Beige, 44W x 32L</t>
  </si>
  <si>
    <t>B09LS5ZZHN</t>
  </si>
  <si>
    <t>196433254438</t>
  </si>
  <si>
    <t>Amazon Essentials Men's Classic-Fit Wrinkle-Resistant Flat-Front Chino Pant, Black, 44W x 34L</t>
  </si>
  <si>
    <t>B09LS5ZZHG</t>
  </si>
  <si>
    <t>196433254346</t>
  </si>
  <si>
    <t>Amazon Essentials Men's Classic-Fit Wrinkle-Resistant Flat-Front Chino Pant, Black, 54W x 32L</t>
  </si>
  <si>
    <t>B09LS5WK29</t>
  </si>
  <si>
    <t>196433257811</t>
  </si>
  <si>
    <t>Amazon Essentials Men's Big &amp; Tall Classic-fit Wrinkle-Resistant Pleated Chino Pant Pants, Black, 44W x 32L</t>
  </si>
  <si>
    <t>B09LS5WK1M</t>
  </si>
  <si>
    <t>196433257538</t>
  </si>
  <si>
    <t>Amazon Essentials Men's Classic-Fit Wrinkle-Resistant Pleated Chino Pant (Available in Big &amp; Tall), Black, 58W x 30L</t>
  </si>
  <si>
    <t>B09LS5SQLB</t>
  </si>
  <si>
    <t>196433256203</t>
  </si>
  <si>
    <t>Amazon Essentials Men's Big &amp; Tall Classic-fit Wrinkle-Resistant Pleated Chino Pant Pants, Navy, 60W x 28L</t>
  </si>
  <si>
    <t>B09LS5SFP1</t>
  </si>
  <si>
    <t>196433256579</t>
  </si>
  <si>
    <t>Amazon Essentials Men's Big &amp; Tall Classic-fit Wrinkle-Resistant Pleated Chino Pant Pants, Black, 54W x 30L</t>
  </si>
  <si>
    <t>B09LS5QJ4Q</t>
  </si>
  <si>
    <t>196433257750</t>
  </si>
  <si>
    <t>Amazon Essentials Men's Big &amp; Tall Classic-fit Wrinkle-Resistant Pleated Chino Pant Pants, Black, 46W x 34L</t>
  </si>
  <si>
    <t>B09LS5QHX4</t>
  </si>
  <si>
    <t>196433254117</t>
  </si>
  <si>
    <t>Amazon Essentials Men's Classic-Fit Wrinkle-Resistant Flat-Front Chino Pant, Navy, 46W x 30L</t>
  </si>
  <si>
    <t>B09LS5PQVR</t>
  </si>
  <si>
    <t>196433257040</t>
  </si>
  <si>
    <t>Amazon Essentials Men's Big &amp; Tall Classic-fit Wrinkle-Resistant Pleated Chino Pant Pants, Navy, 50W x 32L</t>
  </si>
  <si>
    <t>B09LS5PM14</t>
  </si>
  <si>
    <t>196433256173</t>
  </si>
  <si>
    <t>Amazon Essentials Men's Big &amp; Tall Classic-fit Wrinkle-Resistant Pleated Chino Pant Pants, Grey, 60W x 28L</t>
  </si>
  <si>
    <t>B09LS5PGNQ</t>
  </si>
  <si>
    <t>196433254544</t>
  </si>
  <si>
    <t>Amazon Essentials Men's Classic-Fit Wrinkle-Resistant Flat-Front Chino Pant, Khaki Beige, 54W x 30L</t>
  </si>
  <si>
    <t>B09LS5N39C</t>
  </si>
  <si>
    <t>196433256838</t>
  </si>
  <si>
    <t>Amazon Essentials Men's Big &amp; Tall Classic-fit Wrinkle-Resistant Pleated Chino Pant Pants, Grey, 52W x 28L</t>
  </si>
  <si>
    <t>B09LS5N39B</t>
  </si>
  <si>
    <t>196433256869</t>
  </si>
  <si>
    <t>Amazon Essentials Men's Big &amp; Tall Classic-fit Wrinkle-Resistant Pleated Chino Pant Pants, Navy, 52W x 28L</t>
  </si>
  <si>
    <t>B09LS5MBW3</t>
  </si>
  <si>
    <t>196433255886</t>
  </si>
  <si>
    <t>Amazon Essentials Men's Classic-Fit Wrinkle-Resistant Flat-Front Chino Pant, Charcoal, 48W x 28L</t>
  </si>
  <si>
    <t>B09LS5L2J6</t>
  </si>
  <si>
    <t>196433258221</t>
  </si>
  <si>
    <t>Amazon Essentials Men's Big &amp; Tall Classic-fit Wrinkle-Resistant Pleated Chino Pant Pants, Navy, 46W x 32L</t>
  </si>
  <si>
    <t>B09LS5L2HL</t>
  </si>
  <si>
    <t>196433257958</t>
  </si>
  <si>
    <t>Amazon Essentials Men's Big &amp; Tall Classic-fit Wrinkle-Resistant Pleated Chino Pant Pants, Grey, 48W x 32L</t>
  </si>
  <si>
    <t>B09LS5KTMC</t>
  </si>
  <si>
    <t>196433254162</t>
  </si>
  <si>
    <t>Amazon Essentials Men's Classic-Fit Wrinkle-Resistant Flat-Front Chino Pant, Black, 60W x 34L</t>
  </si>
  <si>
    <t>B09LS5KGT7</t>
  </si>
  <si>
    <t>196433254582</t>
  </si>
  <si>
    <t>Amazon Essentials Men's Classic-Fit Wrinkle-Resistant Flat-Front Chino Pant, Khaki Beige, 48W x 34L</t>
  </si>
  <si>
    <t>B09LS5KCX5</t>
  </si>
  <si>
    <t>196433253967</t>
  </si>
  <si>
    <t>Amazon Essentials Men's Classic-Fit Wrinkle-Resistant Flat-Front Chino Pant, Navy, 44W x 32L</t>
  </si>
  <si>
    <t>B09LS5JTTT</t>
  </si>
  <si>
    <t>196433254384</t>
  </si>
  <si>
    <t>Amazon Essentials Men's Classic-Fit Wrinkle-Resistant Flat-Front Chino Pant, Black, 56W x 28L</t>
  </si>
  <si>
    <t>B09LS5JCVY</t>
  </si>
  <si>
    <t>196433253998</t>
  </si>
  <si>
    <t>Amazon Essentials Men's Classic-Fit Wrinkle-Resistant Flat-Front Chino Pant, Navy, 50W x 28L</t>
  </si>
  <si>
    <t>B09LS5G4DY</t>
  </si>
  <si>
    <t>196433257071</t>
  </si>
  <si>
    <t>Amazon Essentials Men's Big &amp; Tall Classic-fit Wrinkle-Resistant Pleated Chino Pant Pants, Grey, 44W x 30L</t>
  </si>
  <si>
    <t>B09LS5F3ZZ</t>
  </si>
  <si>
    <t>196433256906</t>
  </si>
  <si>
    <t>Amazon Essentials Men's Big &amp; Tall Classic-fit Wrinkle-Resistant Pleated Chino Pant Pants, Khaki, 44W x 34L</t>
  </si>
  <si>
    <t>B09LS5DP1R</t>
  </si>
  <si>
    <t>196433255503</t>
  </si>
  <si>
    <t>Amazon Essentials Men's Classic-Fit Wrinkle-Resistant Flat-Front Chino Pant, Dark Olive, 60W x 28L</t>
  </si>
  <si>
    <t>B09LS5DNZY</t>
  </si>
  <si>
    <t>196433255190</t>
  </si>
  <si>
    <t>Amazon Essentials Men's Classic-Fit Wrinkle-Resistant Flat-Front Chino Pant, Dark Brown, 52W x 28L</t>
  </si>
  <si>
    <t>B09LS5DNZL</t>
  </si>
  <si>
    <t>196433255015</t>
  </si>
  <si>
    <t>Amazon Essentials Men's Classic-Fit Wrinkle-Resistant Flat-Front Chino Pant, Dark Brown, 60W x 32L</t>
  </si>
  <si>
    <t>B09LS5BWK4</t>
  </si>
  <si>
    <t>196433256746</t>
  </si>
  <si>
    <t>Amazon Essentials Men's Big &amp; Tall Classic-fit Wrinkle-Resistant Pleated Chino Pant Pants, Navy, 54W x 32L</t>
  </si>
  <si>
    <t>B09LS5BWH4</t>
  </si>
  <si>
    <t>196433255961</t>
  </si>
  <si>
    <t>Amazon Essentials Men's Classic-Fit Wrinkle-Resistant Flat-Front Chino Pant, Charcoal, 46W x 30L</t>
  </si>
  <si>
    <t>B09LS5B9Q3</t>
  </si>
  <si>
    <t>196433257682</t>
  </si>
  <si>
    <t>Amazon Essentials Men's Big &amp; Tall Classic-fit Wrinkle-Resistant Pleated Chino Pant Pants, Navy, 46W x 30L</t>
  </si>
  <si>
    <t>B09LS599ZT</t>
  </si>
  <si>
    <t>196433253868</t>
  </si>
  <si>
    <t>Amazon Essentials Men's Classic-Fit Wrinkle-Resistant Flat-Front Chino Pant, Navy, 46W x 32L</t>
  </si>
  <si>
    <t>B09LS5834N</t>
  </si>
  <si>
    <t>196433258054</t>
  </si>
  <si>
    <t>Amazon Essentials Men's Classic-Fit Wrinkle-Resistant Pleated Chino Pant (Available in Big &amp; Tall), Black, 60W x 30L</t>
  </si>
  <si>
    <t>B09LS57PTT</t>
  </si>
  <si>
    <t>196433258108</t>
  </si>
  <si>
    <t>Amazon Essentials Men's Big &amp; Tall Classic-fit Wrinkle-Resistant Pleated Chino Pant Pants, Navy, 60W x 30L</t>
  </si>
  <si>
    <t>B09LS576KB</t>
  </si>
  <si>
    <t>196433257774</t>
  </si>
  <si>
    <t>Amazon Essentials Men's Classic-Fit Wrinkle-Resistant Pleated Chino Pant (Available in Big &amp; Tall), Charcoal, 46W x 34L</t>
  </si>
  <si>
    <t>B09LS576J6</t>
  </si>
  <si>
    <t>196433256814</t>
  </si>
  <si>
    <t>Amazon Essentials Men's Classic-Fit Wrinkle-Resistant Pleated Chino Pant (Available in Big &amp; Tall), Black, 52W x 28L</t>
  </si>
  <si>
    <t>B09LS576CB</t>
  </si>
  <si>
    <t>196433254575</t>
  </si>
  <si>
    <t>Amazon Essentials Men's Classic-Fit Wrinkle-Resistant Flat-Front Chino Pant, Khaki Beige, 54W x 28L</t>
  </si>
  <si>
    <t>B09LS576BZ</t>
  </si>
  <si>
    <t>196433254445</t>
  </si>
  <si>
    <t>Amazon Essentials Men's Classic-Fit Wrinkle-Resistant Flat-Front Chino Pant, Black, 52W x 30L</t>
  </si>
  <si>
    <t>B09LS575X8</t>
  </si>
  <si>
    <t>196433258146</t>
  </si>
  <si>
    <t>Amazon Essentials Men's Classic-Fit Wrinkle-Resistant Pleated Chino Pant (Available in Big &amp; Tall), Khaki Beige, 60W x 34L</t>
  </si>
  <si>
    <t>B09LS575TR</t>
  </si>
  <si>
    <t>196433256692</t>
  </si>
  <si>
    <t>Amazon Essentials Men's Classic-Fit Wrinkle-Resistant Pleated Chino Pant (Available in Big &amp; Tall), Black, 54W x 32L</t>
  </si>
  <si>
    <t>B09LS575T4</t>
  </si>
  <si>
    <t>196433256425</t>
  </si>
  <si>
    <t>Amazon Essentials Men's Big &amp; Tall Classic-fit Wrinkle-Resistant Pleated Chino Pant Pants, Khaki, 50W x 30L</t>
  </si>
  <si>
    <t>B09LS575SC</t>
  </si>
  <si>
    <t>196433256128</t>
  </si>
  <si>
    <t>Amazon Essentials Men's Big &amp; Tall Classic-fit Wrinkle-Resistant Pleated Chino Pant Pants, Khaki, 52W x 32L</t>
  </si>
  <si>
    <t>B09LS56Z44</t>
  </si>
  <si>
    <t>196433256968</t>
  </si>
  <si>
    <t>Amazon Essentials Men's Big &amp; Tall Classic-fit Wrinkle-Resistant Pleated Chino Pant Pants, Khaki, 58W x 34L</t>
  </si>
  <si>
    <t>B09LS56Z2G</t>
  </si>
  <si>
    <t>196433255992</t>
  </si>
  <si>
    <t>Amazon Essentials Men's Classic-Fit Wrinkle-Resistant Flat-Front Chino Pant, Charcoal, 58W x 30L</t>
  </si>
  <si>
    <t>B09LS55SP7</t>
  </si>
  <si>
    <t>196433256500</t>
  </si>
  <si>
    <t>Amazon Essentials Men's Big &amp; Tall Classic-fit Wrinkle-Resistant Pleated Chino Pant Pants, Navy, 60W x 32L</t>
  </si>
  <si>
    <t>B09LS55QBM</t>
  </si>
  <si>
    <t>196433256036</t>
  </si>
  <si>
    <t>Amazon Essentials Men's Big &amp; Tall Classic-fit Wrinkle-Resistant Pleated Chino Pant Pants, Black, 46W x 28L</t>
  </si>
  <si>
    <t>B09LS55QB9</t>
  </si>
  <si>
    <t>196433255862</t>
  </si>
  <si>
    <t>Amazon Essentials Men's Classic-Fit Wrinkle-Resistant Flat-Front Chino Pant, Charcoal, 56W x 28L</t>
  </si>
  <si>
    <t>B09LS54RFR</t>
  </si>
  <si>
    <t>196433257590</t>
  </si>
  <si>
    <t>Amazon Essentials Men's Big &amp; Tall Classic-fit Wrinkle-Resistant Pleated Chino Pant Pants, Black, 56W x 28L</t>
  </si>
  <si>
    <t>B09LS54RDH</t>
  </si>
  <si>
    <t>196433256890</t>
  </si>
  <si>
    <t>Amazon Essentials Men's Big &amp; Tall Classic-fit Wrinkle-Resistant Pleated Chino Pant Pants, Grey, 44W x 34L</t>
  </si>
  <si>
    <t>B09LS54RD8</t>
  </si>
  <si>
    <t>196433256753</t>
  </si>
  <si>
    <t>Amazon Essentials Men's Big &amp; Tall Classic-fit Wrinkle-Resistant Pleated Chino Pant Pants, Black, 54W x 28L</t>
  </si>
  <si>
    <t>B09LS54DMX</t>
  </si>
  <si>
    <t>196433254414</t>
  </si>
  <si>
    <t>Amazon Essentials Men's Classic-Fit Wrinkle-Resistant Flat-Front Chino Pant, Black, 50W x 32L</t>
  </si>
  <si>
    <t>B09LS53MJ2</t>
  </si>
  <si>
    <t>196433255022</t>
  </si>
  <si>
    <t>Amazon Essentials Men's Classic-Fit Wrinkle-Resistant Flat-Front Chino Pant, Dark Brown, 56W x 30L</t>
  </si>
  <si>
    <t>B09LS53MHR</t>
  </si>
  <si>
    <t>196433254797</t>
  </si>
  <si>
    <t>Amazon Essentials Men's Classic-Fit Wrinkle-Resistant Flat-Front Chino Pant, Khaki Beige, 52W x 34L</t>
  </si>
  <si>
    <t>B09LS52WYV</t>
  </si>
  <si>
    <t>196433256562</t>
  </si>
  <si>
    <t>Amazon Essentials Men's Big &amp; Tall Classic-fit Wrinkle-Resistant Pleated Chino Pant Pants, Navy, 48W x 34L</t>
  </si>
  <si>
    <t>B09LS52WV6</t>
  </si>
  <si>
    <t>196433254674</t>
  </si>
  <si>
    <t>Amazon Essentials Men's Classic-Fit Wrinkle-Resistant Flat-Front Chino Pant, Khaki Beige, 48W x 30L</t>
  </si>
  <si>
    <t>B09LS52WTL</t>
  </si>
  <si>
    <t>196433254353</t>
  </si>
  <si>
    <t>Amazon Essentials Men's Classic-Fit Wrinkle-Resistant Flat-Front Chino Pant, Black, 46W x 34L</t>
  </si>
  <si>
    <t>B09LS52WTF</t>
  </si>
  <si>
    <t>196433254278</t>
  </si>
  <si>
    <t>Amazon Essentials Men's Classic-Fit Wrinkle-Resistant Flat-Front Chino Pant, Black, 60W x 32L</t>
  </si>
  <si>
    <t>B09LS52RFX</t>
  </si>
  <si>
    <t>196433254803</t>
  </si>
  <si>
    <t>Amazon Essentials Men's Classic-Fit Wrinkle-Resistant Flat-Front Chino Pant, Khaki Beige, 44W x 34L</t>
  </si>
  <si>
    <t>B09LS529Y3</t>
  </si>
  <si>
    <t>196433254391</t>
  </si>
  <si>
    <t>Amazon Essentials Men's Classic-Fit Wrinkle-Resistant Flat-Front Chino Pant, Black, 60W x 28L</t>
  </si>
  <si>
    <t>B09LS51L8Q</t>
  </si>
  <si>
    <t>196433254650</t>
  </si>
  <si>
    <t>Amazon Essentials Men's Classic-Fit Wrinkle-Resistant Flat-Front Chino Pant, Khaki Beige, 56W x 30L</t>
  </si>
  <si>
    <t>B09LS51L8F</t>
  </si>
  <si>
    <t>196433254452</t>
  </si>
  <si>
    <t>Amazon Essentials Men's Classic-Fit Wrinkle-Resistant Flat-Front Chino Pant, Black, 52W x 28L</t>
  </si>
  <si>
    <t>B09LS4ZZ76</t>
  </si>
  <si>
    <t>196433255596</t>
  </si>
  <si>
    <t>Amazon Essentials Men's Classic-Fit Wrinkle-Resistant Flat-Front Chino Pant, Dark Olive, 46W x 30L</t>
  </si>
  <si>
    <t>B09LS4ZZ5W</t>
  </si>
  <si>
    <t>196433255107</t>
  </si>
  <si>
    <t>Amazon Essentials Men's Classic-Fit Wrinkle-Resistant Flat-Front Chino Pant, Dark Brown, 50W x 28L</t>
  </si>
  <si>
    <t>B09LS4ZZ59</t>
  </si>
  <si>
    <t>196433254933</t>
  </si>
  <si>
    <t>Amazon Essentials Men's Classic-Fit Wrinkle-Resistant Flat-Front Chino Pant, Dark Brown, 58W x 34L</t>
  </si>
  <si>
    <t>B09LS4Z8B6</t>
  </si>
  <si>
    <t>196433254223</t>
  </si>
  <si>
    <t>Amazon Essentials Men's Classic-Fit Wrinkle-Resistant Flat-Front Chino Pant, Black, 50W x 34L</t>
  </si>
  <si>
    <t>B09LS4Z34G</t>
  </si>
  <si>
    <t>196433256470</t>
  </si>
  <si>
    <t>Amazon Essentials Men's Classic-Fit Wrinkle-Resistant Pleated Chino Pant (Available in Big &amp; Tall), Charcoal, 60W x 32L</t>
  </si>
  <si>
    <t>B09LS4YC9X</t>
  </si>
  <si>
    <t>196433254735</t>
  </si>
  <si>
    <t>Amazon Essentials Men's Classic-Fit Wrinkle-Resistant Flat-Front Chino Pant, Khaki Beige, 50W x 28L</t>
  </si>
  <si>
    <t>B09LS4Y957</t>
  </si>
  <si>
    <t>196433256364</t>
  </si>
  <si>
    <t>Amazon Essentials Men's Big &amp; Tall Classic-fit Wrinkle-Resistant Pleated Chino Pant Pants, Khaki, 58W x 28L</t>
  </si>
  <si>
    <t>B09LS4Y92Z</t>
  </si>
  <si>
    <t>196433255558</t>
  </si>
  <si>
    <t>Amazon Essentials Men's Classic-Fit Wrinkle-Resistant Flat-Front Chino Pant, Dark Olive, 52W x 30L</t>
  </si>
  <si>
    <t>B09LS4X7K4</t>
  </si>
  <si>
    <t>196433257996</t>
  </si>
  <si>
    <t>Amazon Essentials Men's Big &amp; Tall Classic-fit Wrinkle-Resistant Pleated Chino Pant Pants, Black, 48W x 28L</t>
  </si>
  <si>
    <t>B09LS4X7DF</t>
  </si>
  <si>
    <t>196433255657</t>
  </si>
  <si>
    <t>Amazon Essentials Men's Classic-Fit Wrinkle-Resistant Flat-Front Chino Pant, Charcoal, 54W x 30L</t>
  </si>
  <si>
    <t>B09LS4X7CV</t>
  </si>
  <si>
    <t>196433255442</t>
  </si>
  <si>
    <t>Amazon Essentials Men's Classic-Fit Wrinkle-Resistant Flat-Front Chino Pant, Dark Olive, 44W x 32L</t>
  </si>
  <si>
    <t>B09LS4X6W5</t>
  </si>
  <si>
    <t>196433257613</t>
  </si>
  <si>
    <t>Amazon Essentials Men's Big &amp; Tall Classic-fit Wrinkle-Resistant Pleated Chino Pant Pants, Grey, 56W x 28L</t>
  </si>
  <si>
    <t>B09LS4X6VG</t>
  </si>
  <si>
    <t>196433257231</t>
  </si>
  <si>
    <t>Amazon Essentials Men's Big &amp; Tall Classic-fit Wrinkle-Resistant Pleated Chino Pant Pants, Black, 58W x 32L</t>
  </si>
  <si>
    <t>B09LS4X31C</t>
  </si>
  <si>
    <t>196433256159</t>
  </si>
  <si>
    <t>Amazon Essentials Men's Big &amp; Tall Classic-fit Wrinkle-Resistant Pleated Chino Pant Pants, Black, 60W x 28L</t>
  </si>
  <si>
    <t>B09LS4X2WZ</t>
  </si>
  <si>
    <t>196433254872</t>
  </si>
  <si>
    <t>Amazon Essentials Men's Classic-Fit Wrinkle-Resistant Flat-Front Chino Pant, Khaki Beige, 56W x 32L</t>
  </si>
  <si>
    <t>B09LS4VGR1</t>
  </si>
  <si>
    <t>196433254810</t>
  </si>
  <si>
    <t>Amazon Essentials Men's Classic-Fit Wrinkle-Resistant Flat-Front Chino Pant, Khaki Beige, 52W x 30L</t>
  </si>
  <si>
    <t>B09LS4SCY9</t>
  </si>
  <si>
    <t>196433255978</t>
  </si>
  <si>
    <t>Amazon Essentials Men's Classic-Fit Wrinkle-Resistant Flat-Front Chino Pant, Charcoal, 52W x 32L</t>
  </si>
  <si>
    <t>B09LS4R755</t>
  </si>
  <si>
    <t>196433254896</t>
  </si>
  <si>
    <t>Amazon Essentials Men's Classic-Fit Wrinkle-Resistant Flat-Front Chino Pant, Khaki Beige, 44W x 28L</t>
  </si>
  <si>
    <t>B09LS4R74S</t>
  </si>
  <si>
    <t>196433254698</t>
  </si>
  <si>
    <t>Amazon Essentials Men's Classic-Fit Wrinkle-Resistant Flat-Front Chino Pant, Khaki Beige, 48W x 32L</t>
  </si>
  <si>
    <t>B09LS4R73Y</t>
  </si>
  <si>
    <t>196433254407</t>
  </si>
  <si>
    <t>Amazon Essentials Men's Classic-Fit Wrinkle-Resistant Flat-Front Chino Pant, Black, 48W x 28L</t>
  </si>
  <si>
    <t>B09LS4R72S</t>
  </si>
  <si>
    <t>196433253981</t>
  </si>
  <si>
    <t>Amazon Essentials Men's Classic-Fit Wrinkle-Resistant Flat-Front Chino Pant, Navy, 46W x 34L</t>
  </si>
  <si>
    <t>B09LS4R6PT</t>
  </si>
  <si>
    <t>196433257286</t>
  </si>
  <si>
    <t>Amazon Essentials Men's Big &amp; Tall Classic-fit Wrinkle-Resistant Pleated Chino Pant Pants, Navy, 58W x 32L</t>
  </si>
  <si>
    <t>B09LS4R6NW</t>
  </si>
  <si>
    <t>196433256784</t>
  </si>
  <si>
    <t>Amazon Essentials Men's Classic-Fit Wrinkle-Resistant Pleated Chino Pant (Available in Big &amp; Tall), Khaki Beige, 54W x 28L</t>
  </si>
  <si>
    <t>B09LS4R6NK</t>
  </si>
  <si>
    <t>196433256623</t>
  </si>
  <si>
    <t>Amazon Essentials Men's Big &amp; Tall Classic-fit Wrinkle-Resistant Pleated Chino Pant Pants, Navy, 54W x 30L</t>
  </si>
  <si>
    <t>B09LS4QQGG</t>
  </si>
  <si>
    <t>196433254643</t>
  </si>
  <si>
    <t>Amazon Essentials Men's Classic-Fit Wrinkle-Resistant Flat-Front Chino Pant, Khaki Beige, 60W x 32L</t>
  </si>
  <si>
    <t>B09LS4PXL3</t>
  </si>
  <si>
    <t>196433257446</t>
  </si>
  <si>
    <t>Amazon Essentials Men's Big &amp; Tall Classic-fit Wrinkle-Resistant Pleated Chino Pant Pants, Khaki, 50W x 28L</t>
  </si>
  <si>
    <t>B09LS4PM1D</t>
  </si>
  <si>
    <t>196433256456</t>
  </si>
  <si>
    <t>Amazon Essentials Men's Big &amp; Tall Classic-fit Wrinkle-Resistant Pleated Chino Pant Pants, Black, 60W x 32L</t>
  </si>
  <si>
    <t>B09LS4NCK4</t>
  </si>
  <si>
    <t>196433256029</t>
  </si>
  <si>
    <t>Amazon Essentials Men's Big &amp; Tall Classic-fit Wrinkle-Resistant Pleated Chino Pant Pants, Navy, 56W x 28L</t>
  </si>
  <si>
    <t>B09LS4MTRL</t>
  </si>
  <si>
    <t>196433258177</t>
  </si>
  <si>
    <t>Amazon Essentials Men's Big &amp; Tall Classic-fit Wrinkle-Resistant Pleated Chino Pant Pants, Black, 46W x 32L</t>
  </si>
  <si>
    <t>B09LS4MTQ7</t>
  </si>
  <si>
    <t>196433257699</t>
  </si>
  <si>
    <t>Amazon Essentials Men's Big &amp; Tall Classic-fit Wrinkle-Resistant Pleated Chino Pant Pants, Black, 52W x 30L</t>
  </si>
  <si>
    <t>B09LS4MTPG</t>
  </si>
  <si>
    <t>196433257118</t>
  </si>
  <si>
    <t>Amazon Essentials Men's Big &amp; Tall Classic-fit Wrinkle-Resistant Pleated Chino Pant Pants, Black, 48W x 30L</t>
  </si>
  <si>
    <t>B09LS4MD5Y</t>
  </si>
  <si>
    <t>196433255800</t>
  </si>
  <si>
    <t>Amazon Essentials Men's Classic-Fit Wrinkle-Resistant Flat-Front Chino Pant, Charcoal, 48W x 32L</t>
  </si>
  <si>
    <t>B09LS4MD34</t>
  </si>
  <si>
    <t>196433254230</t>
  </si>
  <si>
    <t>Amazon Essentials Men's Classic-Fit Wrinkle-Resistant Flat-Front Chino Pant, Black, 46W x 32L</t>
  </si>
  <si>
    <t>B09LS4MBSH</t>
  </si>
  <si>
    <t>196433257989</t>
  </si>
  <si>
    <t>Amazon Essentials Men's Big &amp; Tall Classic-fit Wrinkle-Resistant Pleated Chino Pant Pants, Navy, 48W x 32L</t>
  </si>
  <si>
    <t>B09LS4MBS9</t>
  </si>
  <si>
    <t>196433257835</t>
  </si>
  <si>
    <t>Amazon Essentials Men's Big &amp; Tall Classic-fit Wrinkle-Resistant Pleated Chino Pant Pants, Grey, 44W x 32L</t>
  </si>
  <si>
    <t>B09LS4MBQY</t>
  </si>
  <si>
    <t>196433256999</t>
  </si>
  <si>
    <t>Amazon Essentials Men's Big &amp; Tall Classic-fit Wrinkle-Resistant Pleated Chino Pant Pants, Black, 50W x 32L</t>
  </si>
  <si>
    <t>B09LS4MBPY</t>
  </si>
  <si>
    <t>196433256548</t>
  </si>
  <si>
    <t>Amazon Essentials Men's Big &amp; Tall Classic-fit Wrinkle-Resistant Pleated Chino Pant Pants, Khaki, 48W x 34L</t>
  </si>
  <si>
    <t>B09LS4LL9G</t>
  </si>
  <si>
    <t>196433257354</t>
  </si>
  <si>
    <t>Amazon Essentials Men's Classic-Fit Wrinkle-Resistant Pleated Chino Pant (Available in Big &amp; Tall), Black, 56W x 32L</t>
  </si>
  <si>
    <t>B09LS4LL7Y</t>
  </si>
  <si>
    <t>196433256296</t>
  </si>
  <si>
    <t>Amazon Essentials Men's Big &amp; Tall Classic-fit Wrinkle-Resistant Pleated Chino Pant Pants, Grey, 56W x 30L</t>
  </si>
  <si>
    <t>B09LS4KSLG</t>
  </si>
  <si>
    <t>196433257507</t>
  </si>
  <si>
    <t>Amazon Essentials Men's Big &amp; Tall Classic-fit Wrinkle-Resistant Pleated Chino Pant Pants, Khaki, 56W x 34L</t>
  </si>
  <si>
    <t>B09LS4JNBJ</t>
  </si>
  <si>
    <t>196433254612</t>
  </si>
  <si>
    <t>Amazon Essentials Men's Classic-Fit Wrinkle-Resistant Flat-Front Chino Pant, Khaki Beige, 44W x 30L</t>
  </si>
  <si>
    <t>B09LS4JN9V</t>
  </si>
  <si>
    <t>196433254322</t>
  </si>
  <si>
    <t>Amazon Essentials Men's Classic-Fit Wrinkle-Resistant Flat-Front Chino Pant, Black, 48W x 32L</t>
  </si>
  <si>
    <t>B09LS4JN95</t>
  </si>
  <si>
    <t>196433254049</t>
  </si>
  <si>
    <t>Amazon Essentials Men's Classic-Fit Wrinkle-Resistant Flat-Front Chino Pant, Navy, 50W x 32L</t>
  </si>
  <si>
    <t>B09LS4J3TM</t>
  </si>
  <si>
    <t>196433256333</t>
  </si>
  <si>
    <t>Amazon Essentials Men's Big &amp; Tall Classic-fit Wrinkle-Resistant Pleated Chino Pant Pants, Black, 58W x 28L</t>
  </si>
  <si>
    <t>B09LS4J3SG</t>
  </si>
  <si>
    <t>196433255725</t>
  </si>
  <si>
    <t>Amazon Essentials Men's Classic-Fit Wrinkle-Resistant Flat-Front Chino Pant, Charcoal, 44W x 30L</t>
  </si>
  <si>
    <t>B09LS4J3RH</t>
  </si>
  <si>
    <t>196433255343</t>
  </si>
  <si>
    <t>Amazon Essentials Men's Classic-Fit Wrinkle-Resistant Flat-Front Chino Pant, Dark Olive, 46W x 32L</t>
  </si>
  <si>
    <t>B09LS4J3PL</t>
  </si>
  <si>
    <t>196433254483</t>
  </si>
  <si>
    <t>Amazon Essentials Men's Classic-Fit Wrinkle-Resistant Flat-Front Chino Pant, Black, 46W x 30L</t>
  </si>
  <si>
    <t>B09LS4GT48</t>
  </si>
  <si>
    <t>196433256050</t>
  </si>
  <si>
    <t>Amazon Essentials Men's Big &amp; Tall Classic-fit Wrinkle-Resistant Pleated Chino Pant Pants, Grey, 46W x 28L</t>
  </si>
  <si>
    <t>B09LS4GPBP</t>
  </si>
  <si>
    <t>196433256111</t>
  </si>
  <si>
    <t>Amazon Essentials Men's Big &amp; Tall Classic-fit Wrinkle-Resistant Pleated Chino Pant Pants, Grey, 52W x 32L</t>
  </si>
  <si>
    <t>B09LS4GP7Y</t>
  </si>
  <si>
    <t>196433254513</t>
  </si>
  <si>
    <t>Amazon Essentials Men's Classic-Fit Wrinkle-Resistant Flat-Front Chino Pant, Black, 58W x 30L</t>
  </si>
  <si>
    <t>B09LS4GP7M</t>
  </si>
  <si>
    <t>196433254315</t>
  </si>
  <si>
    <t>Amazon Essentials Men's Classic-Fit Wrinkle-Resistant Flat-Front Chino Pant, Black, 60W x 30L</t>
  </si>
  <si>
    <t>B09LS4GP6H</t>
  </si>
  <si>
    <t>196433253806</t>
  </si>
  <si>
    <t>Amazon Essentials Men's Classic-Fit Wrinkle-Resistant Flat-Front Chino Pant, Navy, 54W x 30L</t>
  </si>
  <si>
    <t>B09LS4FY1P</t>
  </si>
  <si>
    <t>196433257293</t>
  </si>
  <si>
    <t>Amazon Essentials Men's Big &amp; Tall Classic-fit Wrinkle-Resistant Pleated Chino Pant Pants, Black, 54W x 34L</t>
  </si>
  <si>
    <t>B09LS4FY18</t>
  </si>
  <si>
    <t>196433257057</t>
  </si>
  <si>
    <t>Amazon Essentials Men's Big &amp; Tall Classic-fit Wrinkle-Resistant Pleated Chino Pant Pants, Black, 44W x 30L</t>
  </si>
  <si>
    <t>B09LS4FXYF</t>
  </si>
  <si>
    <t>196433256210</t>
  </si>
  <si>
    <t>Amazon Essentials Men's Big &amp; Tall Classic-fit Wrinkle-Resistant Pleated Chino Pant Pants, Black, 52W x 34L</t>
  </si>
  <si>
    <t>B09LS4FXY6</t>
  </si>
  <si>
    <t>196433256142</t>
  </si>
  <si>
    <t>Amazon Essentials Men's Big &amp; Tall Classic-fit Wrinkle-Resistant Pleated Chino Pant Pants, Navy, 52W x 32L</t>
  </si>
  <si>
    <t>B09LS4FQ7J</t>
  </si>
  <si>
    <t>196433257743</t>
  </si>
  <si>
    <t>Amazon Essentials Men's Big &amp; Tall Classic-fit Wrinkle-Resistant Pleated Chino Pant Pants, Navy, 52W x 30L</t>
  </si>
  <si>
    <t>B09LS4FQ7D</t>
  </si>
  <si>
    <t>196433257729</t>
  </si>
  <si>
    <t>Amazon Essentials Men's Big &amp; Tall Classic-fit Wrinkle-Resistant Pleated Chino Pant Pants, Khaki, 52W x 30L</t>
  </si>
  <si>
    <t>B09LS4FQ71</t>
  </si>
  <si>
    <t>196433257316</t>
  </si>
  <si>
    <t>Amazon Essentials Men's Big &amp; Tall Classic-fit Wrinkle-Resistant Pleated Chino Pant Pants, Grey, 54W x 34L</t>
  </si>
  <si>
    <t>B09LS4FQ6F</t>
  </si>
  <si>
    <t>196433257019</t>
  </si>
  <si>
    <t>Amazon Essentials Men's Big &amp; Tall Classic-fit Wrinkle-Resistant Pleated Chino Pant Pants, Grey, 50W x 32L</t>
  </si>
  <si>
    <t>B09LS4FQ2V</t>
  </si>
  <si>
    <t>196433255152</t>
  </si>
  <si>
    <t>Amazon Essentials Men's Classic-Fit Wrinkle-Resistant Flat-Front Chino Pant, Dark Brown, 50W x 32L</t>
  </si>
  <si>
    <t>B09LS4FMQT</t>
  </si>
  <si>
    <t>196433258016</t>
  </si>
  <si>
    <t>Amazon Essentials Men's Big &amp; Tall Classic-fit Wrinkle-Resistant Pleated Chino Pant Pants, Grey, 48W x 28L</t>
  </si>
  <si>
    <t>B09LS4FMQ5</t>
  </si>
  <si>
    <t>196433257552</t>
  </si>
  <si>
    <t>Amazon Essentials Men's Big &amp; Tall Classic-fit Wrinkle-Resistant Pleated Chino Pant Pants, Grey, 58W x 30L</t>
  </si>
  <si>
    <t>B09LS4FMPX</t>
  </si>
  <si>
    <t>196433257415</t>
  </si>
  <si>
    <t>Amazon Essentials Men's Big &amp; Tall Classic-fit Wrinkle-Resistant Pleated Chino Pant Pants, Black, 50W x 28L</t>
  </si>
  <si>
    <t>B09LS4F4RX</t>
  </si>
  <si>
    <t>196433257712</t>
  </si>
  <si>
    <t>Amazon Essentials Men's Big &amp; Tall Classic-fit Wrinkle-Resistant Pleated Chino Pant Pants, Grey, 52W x 30L</t>
  </si>
  <si>
    <t>B09LS4D174</t>
  </si>
  <si>
    <t>196433258207</t>
  </si>
  <si>
    <t>Amazon Essentials Men's Big &amp; Tall Classic-fit Wrinkle-Resistant Pleated Chino Pant Pants, Khaki, 46W x 32L</t>
  </si>
  <si>
    <t>B09LS4D167</t>
  </si>
  <si>
    <t>196433257873</t>
  </si>
  <si>
    <t>Amazon Essentials Men's Big &amp; Tall Classic-fit Wrinkle-Resistant Pleated Chino Pant Pants, Black, 50W x 34L</t>
  </si>
  <si>
    <t>B09LS4CC16</t>
  </si>
  <si>
    <t>196433253950</t>
  </si>
  <si>
    <t>Amazon Essentials Men's Classic-Fit Wrinkle-Resistant Flat-Front Chino Pant, Navy, 48W x 32L</t>
  </si>
  <si>
    <t>B09LS4C7QF</t>
  </si>
  <si>
    <t>196433255145</t>
  </si>
  <si>
    <t>Amazon Essentials Men's Classic-Fit Wrinkle-Resistant Flat-Front Chino Pant, Dark Brown, 48W x 28L</t>
  </si>
  <si>
    <t>B09LS4C7Q4</t>
  </si>
  <si>
    <t>196433254988</t>
  </si>
  <si>
    <t>Amazon Essentials Men's Classic-Fit Wrinkle-Resistant Flat-Front Chino Pant, Dark Brown, 44W x 30L</t>
  </si>
  <si>
    <t>B09LS4C7PZ</t>
  </si>
  <si>
    <t>196433254865</t>
  </si>
  <si>
    <t>Amazon Essentials Men's Classic-Fit Wrinkle-Resistant Flat-Front Chino Pant, Khaki Beige, 52W x 32L</t>
  </si>
  <si>
    <t>B09LS4C7NV</t>
  </si>
  <si>
    <t>196433254285</t>
  </si>
  <si>
    <t>Amazon Essentials Men's Classic-Fit Wrinkle-Resistant Flat-Front Chino Pant, Black, 56W x 30L</t>
  </si>
  <si>
    <t>B09LS4C7NT</t>
  </si>
  <si>
    <t>196433254308</t>
  </si>
  <si>
    <t>Amazon Essentials Men's Classic-Fit Wrinkle-Resistant Flat-Front Chino Pant, Black, 48W x 30L</t>
  </si>
  <si>
    <t>B09LS4C7NH</t>
  </si>
  <si>
    <t>196433254155</t>
  </si>
  <si>
    <t>Amazon Essentials Men's Classic-Fit Wrinkle-Resistant Flat-Front Chino Pant, Navy, 44W x 28L</t>
  </si>
  <si>
    <t>B09LS4BZP5</t>
  </si>
  <si>
    <t>196433255374</t>
  </si>
  <si>
    <t>Amazon Essentials Men's Classic-Fit Wrinkle-Resistant Flat-Front Chino Pant, Dark Olive, 46W x 28L</t>
  </si>
  <si>
    <t>B09LS4BWDQ</t>
  </si>
  <si>
    <t>196433257965</t>
  </si>
  <si>
    <t>Amazon Essentials Men's Big &amp; Tall Classic-fit Wrinkle-Resistant Pleated Chino Pant Pants, Khaki, 48W x 32L</t>
  </si>
  <si>
    <t>B09LS49PLR</t>
  </si>
  <si>
    <t>196433254971</t>
  </si>
  <si>
    <t>Amazon Essentials Men's Classic-Fit Wrinkle-Resistant Flat-Front Chino Pant, Dark Brown, 46W x 32L</t>
  </si>
  <si>
    <t>B09LS49PLM</t>
  </si>
  <si>
    <t>196433254728</t>
  </si>
  <si>
    <t>Amazon Essentials Men's Classic-Fit Wrinkle-Resistant Flat-Front Chino Pant, Khaki Beige, 46W x 34L</t>
  </si>
  <si>
    <t>B09LS49PKH</t>
  </si>
  <si>
    <t>196433254179</t>
  </si>
  <si>
    <t>Amazon Essentials Men's Classic-Fit Wrinkle-Resistant Flat-Front Chino Pant, Black, 54W x 30L</t>
  </si>
  <si>
    <t>B09LS49GYX</t>
  </si>
  <si>
    <t>196433255695</t>
  </si>
  <si>
    <t>Amazon Essentials Men's Classic-Fit Wrinkle-Resistant Flat-Front Chino Pant, Charcoal, 48W x 34L</t>
  </si>
  <si>
    <t>B09LS49GWW</t>
  </si>
  <si>
    <t>196433254919</t>
  </si>
  <si>
    <t>Amazon Essentials Men's Classic-Fit Wrinkle-Resistant Flat-Front Chino Pant, Dark Brown, 54W x 30L</t>
  </si>
  <si>
    <t>B09LS49GWJ</t>
  </si>
  <si>
    <t>196433254605</t>
  </si>
  <si>
    <t>Amazon Essentials Men's Classic-Fit Wrinkle-Resistant Flat-Front Chino Pant, Khaki Beige, 46W x 32L</t>
  </si>
  <si>
    <t>B09LS48WKD</t>
  </si>
  <si>
    <t>196433255749</t>
  </si>
  <si>
    <t>Amazon Essentials Men's Classic-Fit Wrinkle-Resistant Flat-Front Chino Pant, Charcoal, 46W x 28L</t>
  </si>
  <si>
    <t>B09LS48WHY</t>
  </si>
  <si>
    <t>196433255091</t>
  </si>
  <si>
    <t>Amazon Essentials Men's Classic-Fit Wrinkle-Resistant Flat-Front Chino Pant, Dark Brown, 46W x 34L</t>
  </si>
  <si>
    <t>B09LS48WF1</t>
  </si>
  <si>
    <t>196433253837</t>
  </si>
  <si>
    <t>Amazon Essentials Men's Classic-Fit Wrinkle-Resistant Flat-Front Chino Pant, Navy, 54W x 28L</t>
  </si>
  <si>
    <t>B09LS47FZ1</t>
  </si>
  <si>
    <t>196433254360</t>
  </si>
  <si>
    <t>Amazon Essentials Men's Classic-Fit Wrinkle-Resistant Flat-Front Chino Pant, Black, 50W x 28L</t>
  </si>
  <si>
    <t>B09LS46Y2P</t>
  </si>
  <si>
    <t>196433256418</t>
  </si>
  <si>
    <t>Amazon Essentials Men's Big &amp; Tall Classic-fit Wrinkle-Resistant Pleated Chino Pant Pants, Grey, 50W x 30L</t>
  </si>
  <si>
    <t>B09LS46Y1Q</t>
  </si>
  <si>
    <t>196433255718</t>
  </si>
  <si>
    <t>Amazon Essentials Men's Classic-Fit Wrinkle-Resistant Flat-Front Chino Pant, Charcoal, 46W x 32L</t>
  </si>
  <si>
    <t>B09LS46RVT</t>
  </si>
  <si>
    <t>196433256777</t>
  </si>
  <si>
    <t>Amazon Essentials Men's Big &amp; Tall Classic-fit Wrinkle-Resistant Pleated Chino Pant Pants, Grey, 54W x 28L</t>
  </si>
  <si>
    <t>B09LS46RVB</t>
  </si>
  <si>
    <t>196433256609</t>
  </si>
  <si>
    <t>Amazon Essentials Men's Big &amp; Tall Classic-fit Wrinkle-Resistant Pleated Chino Pant Pants, Khaki, 54W x 30L</t>
  </si>
  <si>
    <t>B09LS46RV6</t>
  </si>
  <si>
    <t>196433256517</t>
  </si>
  <si>
    <t>Amazon Essentials Men's Big &amp; Tall Classic-fit Wrinkle-Resistant Pleated Chino Pant Pants, Black, 48W x 34L</t>
  </si>
  <si>
    <t>B09LS46RTX</t>
  </si>
  <si>
    <t>196433256357</t>
  </si>
  <si>
    <t>Amazon Essentials Men's Big &amp; Tall Classic-fit Wrinkle-Resistant Pleated Chino Pant Pants, Grey, 58W x 28L</t>
  </si>
  <si>
    <t>B09LS45NHW</t>
  </si>
  <si>
    <t>196433255848</t>
  </si>
  <si>
    <t>Amazon Essentials Men's Classic-Fit Wrinkle-Resistant Flat-Front Chino Pant, Charcoal, 50W x 28L</t>
  </si>
  <si>
    <t>B09LS45MDJ</t>
  </si>
  <si>
    <t>196433254100</t>
  </si>
  <si>
    <t>Amazon Essentials Men's Classic-Fit Wrinkle-Resistant Flat-Front Chino Pant, Navy, 50W x 30L</t>
  </si>
  <si>
    <t>B09LS45L4F</t>
  </si>
  <si>
    <t>196433254889</t>
  </si>
  <si>
    <t>Amazon Essentials Men's Classic-Fit Wrinkle-Resistant Flat-Front Chino Pant, Khaki Beige, 58W x 30L</t>
  </si>
  <si>
    <t>B09LS45L3D</t>
  </si>
  <si>
    <t>196433254421</t>
  </si>
  <si>
    <t>Amazon Essentials Men's Classic-Fit Wrinkle-Resistant Flat-Front Chino Pant, Black, 52W x 34L</t>
  </si>
  <si>
    <t>B09LS45L32</t>
  </si>
  <si>
    <t>196433254254</t>
  </si>
  <si>
    <t>Amazon Essentials Men's Classic-Fit Wrinkle-Resistant Flat-Front Chino Pant, Black, 58W x 32L</t>
  </si>
  <si>
    <t>B09LS453GV</t>
  </si>
  <si>
    <t>196433258078</t>
  </si>
  <si>
    <t>Amazon Essentials Men's Big &amp; Tall Classic-fit Wrinkle-Resistant Pleated Chino Pant Pants, Grey, 60W x 30L</t>
  </si>
  <si>
    <t>B09LS4533T</t>
  </si>
  <si>
    <t>196433257163</t>
  </si>
  <si>
    <t>Amazon Essentials Men's Big &amp; Tall Classic-fit Wrinkle-Resistant Pleated Chino Pant Pants, Navy, 48W x 30L</t>
  </si>
  <si>
    <t>B09LS447CB</t>
  </si>
  <si>
    <t>196433255398</t>
  </si>
  <si>
    <t>Amazon Essentials Men's Classic-Fit Wrinkle-Resistant Flat-Front Chino Pant, Dark Olive, 56W x 30L</t>
  </si>
  <si>
    <t>B09LS447C9</t>
  </si>
  <si>
    <t>196433255411</t>
  </si>
  <si>
    <t>Amazon Essentials Men's Classic-Fit Wrinkle-Resistant Flat-Front Chino Pant, Dark Olive, 48W x 30L</t>
  </si>
  <si>
    <t>B09LS4478T</t>
  </si>
  <si>
    <t>196433254339</t>
  </si>
  <si>
    <t>Amazon Essentials Men's Classic-Fit Wrinkle-Resistant Flat-Front Chino Pant, Black, 44W x 32L</t>
  </si>
  <si>
    <t>B09LS4478P</t>
  </si>
  <si>
    <t>196433254261</t>
  </si>
  <si>
    <t>Amazon Essentials Men's Classic-Fit Wrinkle-Resistant Flat-Front Chino Pant, Black, 46W x 28L</t>
  </si>
  <si>
    <t>B09LS43C7L</t>
  </si>
  <si>
    <t>196433258191</t>
  </si>
  <si>
    <t>Amazon Essentials Men's Big &amp; Tall Classic-fit Wrinkle-Resistant Pleated Chino Pant Pants, Grey, 46W x 32L</t>
  </si>
  <si>
    <t>B09LS43C6Z</t>
  </si>
  <si>
    <t>196433257934</t>
  </si>
  <si>
    <t>Amazon Essentials Men's Big &amp; Tall Classic-fit Wrinkle-Resistant Pleated Chino Pant Pants, Black, 48W x 32L</t>
  </si>
  <si>
    <t>B09LS43C6K</t>
  </si>
  <si>
    <t>196433257804</t>
  </si>
  <si>
    <t>Amazon Essentials Men's Big &amp; Tall Classic-fit Wrinkle-Resistant Pleated Chino Pant Pants, Navy, 46W x 34L</t>
  </si>
  <si>
    <t>B09LS43C6D</t>
  </si>
  <si>
    <t>196433257668</t>
  </si>
  <si>
    <t>Amazon Essentials Men's Big &amp; Tall Classic-fit Wrinkle-Resistant Pleated Chino Pant Pants, Khaki, 46W x 30L</t>
  </si>
  <si>
    <t>B09LS43C1P</t>
  </si>
  <si>
    <t>196433254995</t>
  </si>
  <si>
    <t>Amazon Essentials Men's Classic-Fit Wrinkle-Resistant Flat-Front Chino Pant, Dark Brown, 58W x 32L</t>
  </si>
  <si>
    <t>B09LS43C1H</t>
  </si>
  <si>
    <t>196433254827</t>
  </si>
  <si>
    <t>Amazon Essentials Men's Classic-Fit Wrinkle-Resistant Flat-Front Chino Pant, Khaki Beige, 52W x 28L</t>
  </si>
  <si>
    <t>B09LS43BZ9</t>
  </si>
  <si>
    <t>196433254124</t>
  </si>
  <si>
    <t>Amazon Essentials Men's Classic-Fit Wrinkle-Resistant Flat-Front Chino Pant, Navy, 52W x 32L</t>
  </si>
  <si>
    <t>B09LS42W1C</t>
  </si>
  <si>
    <t>196433255312</t>
  </si>
  <si>
    <t>Amazon Essentials Men's Classic-Fit Wrinkle-Resistant Flat-Front Chino Pant, Dark Olive, 54W x 28L</t>
  </si>
  <si>
    <t>B09LS42VHM</t>
  </si>
  <si>
    <t>196433256920</t>
  </si>
  <si>
    <t>Amazon Essentials Men's Big &amp; Tall Classic-fit Wrinkle-Resistant Pleated Chino Pant Pants, Navy, 44W x 34L</t>
  </si>
  <si>
    <t>B09LS42VDF</t>
  </si>
  <si>
    <t>196433255527</t>
  </si>
  <si>
    <t>Amazon Essentials Men's Classic-Fit Wrinkle-Resistant Flat-Front Chino Pant, Dark Olive, 50W x 32L</t>
  </si>
  <si>
    <t>B09LS42VBT</t>
  </si>
  <si>
    <t>196433254940</t>
  </si>
  <si>
    <t>Amazon Essentials Men's Classic-Fit Wrinkle-Resistant Flat-Front Chino Pant, Dark Brown, 54W x 28L</t>
  </si>
  <si>
    <t>B09LS3ZSJV</t>
  </si>
  <si>
    <t>196433254490</t>
  </si>
  <si>
    <t>Amazon Essentials Men's Classic-Fit Wrinkle-Resistant Flat-Front Chino Pant, Black, 52W x 32L</t>
  </si>
  <si>
    <t>B09LS3YFFH</t>
  </si>
  <si>
    <t>196433257101</t>
  </si>
  <si>
    <t>Amazon Essentials Men's Big &amp; Tall Classic-fit Wrinkle-Resistant Pleated Chino Pant Pants, Navy, 44W x 30L</t>
  </si>
  <si>
    <t>B09LS3XBZZ</t>
  </si>
  <si>
    <t>196433255664</t>
  </si>
  <si>
    <t>Amazon Essentials Men's Classic-Fit Wrinkle-Resistant Flat-Front Chino Pant, Charcoal, 58W x 28L</t>
  </si>
  <si>
    <t>B09LS3X81R</t>
  </si>
  <si>
    <t>196433257026</t>
  </si>
  <si>
    <t>Amazon Essentials Men's Big &amp; Tall Classic-fit Wrinkle-Resistant Pleated Chino Pant Pants, Khaki, 50W x 32L</t>
  </si>
  <si>
    <t>B09LS3WSGF</t>
  </si>
  <si>
    <t>196433255459</t>
  </si>
  <si>
    <t>Amazon Essentials Men's Classic-Fit Wrinkle-Resistant Flat-Front Chino Pant, Dark Olive, 54W x 32L</t>
  </si>
  <si>
    <t>B09LS3RMTB</t>
  </si>
  <si>
    <t>196433255510</t>
  </si>
  <si>
    <t>Amazon Essentials Men's Classic-Fit Wrinkle-Resistant Flat-Front Chino Pant, Dark Olive, 48W x 28L</t>
  </si>
  <si>
    <t>B09LS3RMRW</t>
  </si>
  <si>
    <t>196433254957</t>
  </si>
  <si>
    <t>Amazon Essentials Men's Classic-Fit Wrinkle-Resistant Flat-Front Chino Pant, Dark Brown, 48W x 34L</t>
  </si>
  <si>
    <t>B09LS3P5TW</t>
  </si>
  <si>
    <t>196433257583</t>
  </si>
  <si>
    <t>Amazon Essentials Men's Big &amp; Tall Classic-fit Wrinkle-Resistant Pleated Chino Pant Pants, Navy, 58W x 30L</t>
  </si>
  <si>
    <t>B09LS3P5SJ</t>
  </si>
  <si>
    <t>196433256876</t>
  </si>
  <si>
    <t>Amazon Essentials Men's Big &amp; Tall Classic-fit Wrinkle-Resistant Pleated Chino Pant Pants, Black, 44W x 34L</t>
  </si>
  <si>
    <t>B09LS3P5QH</t>
  </si>
  <si>
    <t>196433255916</t>
  </si>
  <si>
    <t>Amazon Essentials Men's Classic-Fit Wrinkle-Resistant Flat-Front Chino Pant, Charcoal, 44W x 34L</t>
  </si>
  <si>
    <t>B09LS3NN2V</t>
  </si>
  <si>
    <t>196433255237</t>
  </si>
  <si>
    <t>Amazon Essentials Men's Classic-Fit Wrinkle-Resistant Flat-Front Chino Pant, Dark Brown, 52W x 32L</t>
  </si>
  <si>
    <t>B09LS3LG6K</t>
  </si>
  <si>
    <t>196433254476</t>
  </si>
  <si>
    <t>Amazon Essentials Men's Classic-Fit Wrinkle-Resistant Flat-Front Chino Pant, Black, 50W x 30L</t>
  </si>
  <si>
    <t>B09LS3LFJK</t>
  </si>
  <si>
    <t>196433257347</t>
  </si>
  <si>
    <t>Amazon Essentials Men's Big &amp; Tall Classic-fit Wrinkle-Resistant Pleated Chino Pant Pants, Navy, 54W x 34L</t>
  </si>
  <si>
    <t>B09LS3LFJJ</t>
  </si>
  <si>
    <t>196433257385</t>
  </si>
  <si>
    <t>Amazon Essentials Men's Big &amp; Tall Classic-fit Wrinkle-Resistant Pleated Chino Pant Pants, Khaki, 56W x 32L</t>
  </si>
  <si>
    <t>B09LS3LFDR</t>
  </si>
  <si>
    <t>196433255336</t>
  </si>
  <si>
    <t>Amazon Essentials Men's Classic-Fit Wrinkle-Resistant Flat-Front Chino Pant, Dark Olive, 50W x 34L</t>
  </si>
  <si>
    <t>B09LS3LFCZ</t>
  </si>
  <si>
    <t>196433255084</t>
  </si>
  <si>
    <t>Amazon Essentials Men's Classic-Fit Wrinkle-Resistant Flat-Front Chino Pant, Dark Brown, 54W x 32L</t>
  </si>
  <si>
    <t>B09LS3JQSX</t>
  </si>
  <si>
    <t>196433254841</t>
  </si>
  <si>
    <t>Amazon Essentials Men's Classic-Fit Wrinkle-Resistant Flat-Front Chino Pant, Khaki Beige, 50W x 30L</t>
  </si>
  <si>
    <t>B09LS3JQSM</t>
  </si>
  <si>
    <t>196433254629</t>
  </si>
  <si>
    <t>Amazon Essentials Men's Classic-Fit Wrinkle-Resistant Flat-Front Chino Pant, Khaki Beige, 58W x 32L</t>
  </si>
  <si>
    <t>B09LS3HBHG</t>
  </si>
  <si>
    <t>196433253844</t>
  </si>
  <si>
    <t>Amazon Essentials Men's Classic-Fit Wrinkle-Resistant Flat-Front Chino Pant, Navy, 48W x 34L</t>
  </si>
  <si>
    <t>B09LS2X559</t>
  </si>
  <si>
    <t>196433257866</t>
  </si>
  <si>
    <t>Amazon Essentials Men's Big &amp; Tall Classic-fit Wrinkle-Resistant Pleated Chino Pant Pants, Navy, 44W x 32L</t>
  </si>
  <si>
    <t>B09LS2X54V</t>
  </si>
  <si>
    <t>196433257651</t>
  </si>
  <si>
    <t>Amazon Essentials Men's Big &amp; Tall Classic-fit Wrinkle-Resistant Pleated Chino Pant Pants, Grey, 46W x 30L</t>
  </si>
  <si>
    <t>B09LS2X54G</t>
  </si>
  <si>
    <t>196433257460</t>
  </si>
  <si>
    <t>Amazon Essentials Men's Big &amp; Tall Classic-fit Wrinkle-Resistant Pleated Chino Pant Pants, Navy, 50W x 28L</t>
  </si>
  <si>
    <t>B09LS2X53T</t>
  </si>
  <si>
    <t>196433256807</t>
  </si>
  <si>
    <t>Amazon Essentials Men's Big &amp; Tall Classic-fit Wrinkle-Resistant Pleated Chino Pant Pants, Navy, 54W x 28L</t>
  </si>
  <si>
    <t>B09LS2X51P</t>
  </si>
  <si>
    <t>196433255602</t>
  </si>
  <si>
    <t>Amazon Essentials Men's Classic-Fit Wrinkle-Resistant Flat-Front Chino Pant, Dark Olive, 52W x 32L</t>
  </si>
  <si>
    <t>ITHC</t>
  </si>
  <si>
    <t>Ship</t>
  </si>
  <si>
    <t>Order type</t>
  </si>
  <si>
    <t>program</t>
  </si>
  <si>
    <t>model</t>
  </si>
  <si>
    <t>Color</t>
  </si>
  <si>
    <t>Size</t>
  </si>
  <si>
    <t>Pack</t>
  </si>
  <si>
    <t>Non-Denim Order</t>
  </si>
  <si>
    <t>GT FF Chino Shorts</t>
  </si>
  <si>
    <t>GT191330FL18</t>
  </si>
  <si>
    <t>Dark Green</t>
  </si>
  <si>
    <t>Washed Black</t>
  </si>
  <si>
    <t>Khaki Brown</t>
  </si>
  <si>
    <t>Navy</t>
  </si>
  <si>
    <t>Deep Depth/Olive</t>
  </si>
  <si>
    <t>Amazon Sri Lanka Order</t>
  </si>
  <si>
    <t>Men's Long Sleeve Workwear Coveralls</t>
  </si>
  <si>
    <t>ABMN87281M25</t>
  </si>
  <si>
    <t>Black</t>
  </si>
  <si>
    <t>XXX-Large- Long</t>
  </si>
  <si>
    <t>Men's Short Sleeve Workwear Coveralls</t>
  </si>
  <si>
    <t>ABMN38003M25</t>
  </si>
  <si>
    <t>X- Large- Long</t>
  </si>
  <si>
    <t>Large- Regular</t>
  </si>
  <si>
    <t>White</t>
  </si>
  <si>
    <t>Small- Regular</t>
  </si>
  <si>
    <t>Charcoal</t>
  </si>
  <si>
    <t>Large- Long</t>
  </si>
  <si>
    <t>XXX-Large- Short</t>
  </si>
  <si>
    <t>X-Large- Long</t>
  </si>
  <si>
    <t>Men's Duck Utility Workwear Pants</t>
  </si>
  <si>
    <t>ABMN69404M25</t>
  </si>
  <si>
    <t>36W x 32L</t>
  </si>
  <si>
    <t>Dark Chestnut Brown</t>
  </si>
  <si>
    <t>34W x 32L</t>
  </si>
  <si>
    <t>Light Brown</t>
  </si>
  <si>
    <t>38W x 32L</t>
  </si>
  <si>
    <t>XX- Large- Long</t>
  </si>
  <si>
    <t>42W x 30L</t>
  </si>
  <si>
    <t>Medium- Short</t>
  </si>
  <si>
    <t>Large- Short</t>
  </si>
  <si>
    <t>X- Large- Regular</t>
  </si>
  <si>
    <t>XXX- Large- Regular</t>
  </si>
  <si>
    <t>Chocolate</t>
  </si>
  <si>
    <t>38W x 34L</t>
  </si>
  <si>
    <t>38W x 30L</t>
  </si>
  <si>
    <t>Medium- Long</t>
  </si>
  <si>
    <t>Medium- Regular</t>
  </si>
  <si>
    <t>30W x 30L</t>
  </si>
  <si>
    <t>XX- Large- Regular</t>
  </si>
  <si>
    <t>34W x 34L</t>
  </si>
  <si>
    <t>30W x 32L</t>
  </si>
  <si>
    <t>36W x 30L</t>
  </si>
  <si>
    <t>XX- Large- Short</t>
  </si>
  <si>
    <t>36W x 34L</t>
  </si>
  <si>
    <t>XXX-Large- Regular</t>
  </si>
  <si>
    <t>42W x 32L</t>
  </si>
  <si>
    <t>Small- Short</t>
  </si>
  <si>
    <t>34W x 30L</t>
  </si>
  <si>
    <t>X- Large- Short</t>
  </si>
  <si>
    <t>32W x 32L</t>
  </si>
  <si>
    <t>40W x 32L</t>
  </si>
  <si>
    <t>XX-Large- Short</t>
  </si>
  <si>
    <t>X-Large- Short</t>
  </si>
  <si>
    <t>XX-Large- Regular</t>
  </si>
  <si>
    <t>40W x 30L</t>
  </si>
  <si>
    <t>32W x 30L</t>
  </si>
  <si>
    <t>32W x 34L</t>
  </si>
  <si>
    <t>X-Large- Regular</t>
  </si>
  <si>
    <t>Denim Order</t>
  </si>
  <si>
    <t>Men's Low Stretch Straight Fit Jean</t>
  </si>
  <si>
    <t>AEMN49469M25</t>
  </si>
  <si>
    <t>Tinted Medium Blue</t>
  </si>
  <si>
    <t>29W x 30L</t>
  </si>
  <si>
    <t>Men's Medium Stretch Skinny-Fit Jean</t>
  </si>
  <si>
    <t>AEMN30315M25</t>
  </si>
  <si>
    <t>42W x 28L</t>
  </si>
  <si>
    <t>Tinted Dark Wash</t>
  </si>
  <si>
    <t>35W x 28L</t>
  </si>
  <si>
    <t>31W x 30L</t>
  </si>
  <si>
    <t>Dark Midnight Wash</t>
  </si>
  <si>
    <t>31W x 32L</t>
  </si>
  <si>
    <t>31W x 28L</t>
  </si>
  <si>
    <t>Men's Low Stretch Slim-Fit Jean</t>
  </si>
  <si>
    <t>AEMN14928M25</t>
  </si>
  <si>
    <t>Stone Medium Wash</t>
  </si>
  <si>
    <t>35W x 32L</t>
  </si>
  <si>
    <t>Men's Heavyweight Stretch Straight-Fit Jean</t>
  </si>
  <si>
    <t>AEMN64413M25</t>
  </si>
  <si>
    <t>Black-heavyweight</t>
  </si>
  <si>
    <t>29W x 32L</t>
  </si>
  <si>
    <t>30W x 28L</t>
  </si>
  <si>
    <t>Grey Wash</t>
  </si>
  <si>
    <t>29W x 34L</t>
  </si>
  <si>
    <t>Rinse</t>
  </si>
  <si>
    <t>31W x 34L</t>
  </si>
  <si>
    <t>Iced Light Wash</t>
  </si>
  <si>
    <t>36W x 28L</t>
  </si>
  <si>
    <t>33W x 28L</t>
  </si>
  <si>
    <t>40W x 28L</t>
  </si>
  <si>
    <t>32W x 28L</t>
  </si>
  <si>
    <t>35W x 30L</t>
  </si>
  <si>
    <t>28W x 34L</t>
  </si>
  <si>
    <t>28W x 30L</t>
  </si>
  <si>
    <t>29W x 28L</t>
  </si>
  <si>
    <t>33W x 34L</t>
  </si>
  <si>
    <t>33W x 30L</t>
  </si>
  <si>
    <t>28W x 32L</t>
  </si>
  <si>
    <t>38W x 28L</t>
  </si>
  <si>
    <t>40W x 34L</t>
  </si>
  <si>
    <t>34W x 28L</t>
  </si>
  <si>
    <t>35W x 34L</t>
  </si>
  <si>
    <t>33W x 32L</t>
  </si>
  <si>
    <t>42W x 34L</t>
  </si>
  <si>
    <t>30W x 34L</t>
  </si>
  <si>
    <t>28W x 28L</t>
  </si>
  <si>
    <t>AE Broken Chino - Big &amp; Tall</t>
  </si>
  <si>
    <t>AEM20120SS22</t>
  </si>
  <si>
    <t>Khaki</t>
  </si>
  <si>
    <t>44W x 32L</t>
  </si>
  <si>
    <t>54W x 30L</t>
  </si>
  <si>
    <t>50W x 32L</t>
  </si>
  <si>
    <t>46W x 34L</t>
  </si>
  <si>
    <t>60W x 30L</t>
  </si>
  <si>
    <t>50W x 34L</t>
  </si>
  <si>
    <t>50W x 30L</t>
  </si>
  <si>
    <t>Dark Khaki</t>
  </si>
  <si>
    <t>46W x 30L</t>
  </si>
  <si>
    <t>58W x 34L</t>
  </si>
  <si>
    <t>54W x 28L</t>
  </si>
  <si>
    <t>52W x 32L</t>
  </si>
  <si>
    <t>56W x 32L</t>
  </si>
  <si>
    <t>46W x 28L</t>
  </si>
  <si>
    <t>60W x 28L</t>
  </si>
  <si>
    <t>44W x 34L</t>
  </si>
  <si>
    <t>52W x 34L</t>
  </si>
  <si>
    <t>54W x 34L</t>
  </si>
  <si>
    <t>56W x 28L</t>
  </si>
  <si>
    <t>Dark Grey</t>
  </si>
  <si>
    <t>46W x 32L</t>
  </si>
  <si>
    <t>58W x 28L</t>
  </si>
  <si>
    <t>48W x 30L</t>
  </si>
  <si>
    <t>50W x 28L</t>
  </si>
  <si>
    <t>54W x 32L</t>
  </si>
  <si>
    <t>48W x 34L</t>
  </si>
  <si>
    <t>60W x 32L</t>
  </si>
  <si>
    <t>58W x 30L</t>
  </si>
  <si>
    <t>52W x 30L</t>
  </si>
  <si>
    <t>58W x 32L</t>
  </si>
  <si>
    <t>48W x 28L</t>
  </si>
  <si>
    <t>60W x 34L</t>
  </si>
  <si>
    <t>44W x 30L</t>
  </si>
  <si>
    <t>52W x 28L</t>
  </si>
  <si>
    <t>48W x 32L</t>
  </si>
  <si>
    <t>56W x 30L</t>
  </si>
  <si>
    <t>44W x 28L</t>
  </si>
  <si>
    <t>56W x 34L</t>
  </si>
  <si>
    <t>AE- Big &amp; tall Cargo Pant</t>
  </si>
  <si>
    <t>AEM20121SS22</t>
  </si>
  <si>
    <t>Olive</t>
  </si>
  <si>
    <t>AE FF 20x16 Cargo Shorts</t>
  </si>
  <si>
    <t>F16AE60004</t>
  </si>
  <si>
    <t>Unisex Baby and Toddlers' Soft Stretch Regular-Fit Denim Jacket</t>
  </si>
  <si>
    <t>AEUB43108M25</t>
  </si>
  <si>
    <t>4T</t>
  </si>
  <si>
    <t>Stone Light Wash</t>
  </si>
  <si>
    <t>2T</t>
  </si>
  <si>
    <t>3T</t>
  </si>
  <si>
    <t>24 Months</t>
  </si>
  <si>
    <t>12 Months</t>
  </si>
  <si>
    <t>18 Months</t>
  </si>
  <si>
    <t>6-9 Months</t>
  </si>
  <si>
    <t>Women's Low Stretch Denim Regular-Fit Button-Front Trucker Jacket</t>
  </si>
  <si>
    <t>AEWM47457M25</t>
  </si>
  <si>
    <t>Stone Dark Wash</t>
  </si>
  <si>
    <t>Large</t>
  </si>
  <si>
    <t>X-Small</t>
  </si>
  <si>
    <t>XX-Large</t>
  </si>
  <si>
    <t>X-Large</t>
  </si>
  <si>
    <t>Small</t>
  </si>
  <si>
    <t>Medium</t>
  </si>
  <si>
    <t>Denim Order_Women's order</t>
  </si>
  <si>
    <t>Women's High Stretch Slim-Fit Pedal Pusher Jean</t>
  </si>
  <si>
    <t>AEWM16178M26</t>
  </si>
  <si>
    <t>Men's Low Stretch Slim-Fit Bootcut Jean</t>
  </si>
  <si>
    <t>AEMN88118M25</t>
  </si>
  <si>
    <t>Men's Heavyweight Stretch Straight-Fit 9" Jean Shorts</t>
  </si>
  <si>
    <t>AEMN97005M25</t>
  </si>
  <si>
    <t>Iced Blue Light Wash</t>
  </si>
  <si>
    <t>Men's Rigid Relaxed-Fit 10" Jean Shorts</t>
  </si>
  <si>
    <t>AEMN41037M25</t>
  </si>
  <si>
    <t>Toddlers' and Girls' Soft Stretch Denim Jegging</t>
  </si>
  <si>
    <t>AEGL13713M25</t>
  </si>
  <si>
    <t>Unisex Baby and Toddlers' Soft Stretch Pull-On Jeans</t>
  </si>
  <si>
    <t>AEUB83300M25</t>
  </si>
  <si>
    <t>3-6 Months</t>
  </si>
  <si>
    <t>Dark Shadow Wash</t>
  </si>
  <si>
    <t>Tinted Ice Light Wash</t>
  </si>
  <si>
    <t>Dark Wash</t>
  </si>
  <si>
    <t>Girls' Ultra Soft Relaxed-Fit Wide Leg Cargo Jeans</t>
  </si>
  <si>
    <t>AEGL35686M25</t>
  </si>
  <si>
    <t>Classic Light Wash</t>
  </si>
  <si>
    <t>Vintage Blue</t>
  </si>
  <si>
    <t>Women's Low Stretch Mid-Rise Regular-Fit Jean Short</t>
  </si>
  <si>
    <t>AEWM44862M25</t>
  </si>
  <si>
    <t>Medium Blue Vintage</t>
  </si>
  <si>
    <t>Baby Girls and Toddlers' Soft Stretch Relaxed-Fit Wide Leg Jeans</t>
  </si>
  <si>
    <t>AEBG70043M25</t>
  </si>
  <si>
    <t>Authentic Medium Wash</t>
  </si>
  <si>
    <t>AE  Big &amp; Tall Classic CVC Pleated Chino Pant</t>
  </si>
  <si>
    <t>AEM20141SS22</t>
  </si>
  <si>
    <t>AE  Big &amp; Tall Classic CVC FF Chino Pant</t>
  </si>
  <si>
    <t>AEM20140SS22</t>
  </si>
  <si>
    <t>Dark Brown</t>
  </si>
  <si>
    <t>Khaki Beige</t>
  </si>
  <si>
    <t>Dark Olive</t>
  </si>
  <si>
    <t>-</t>
  </si>
  <si>
    <t>ECDD</t>
  </si>
  <si>
    <t>Commit Qty</t>
  </si>
  <si>
    <t>Cutting / Shared breakdown Qty</t>
  </si>
  <si>
    <t>check (Commit-cutting)</t>
  </si>
  <si>
    <t>check (PO - Cutting)</t>
  </si>
  <si>
    <t>Extra qty to check cutting possibility/ Checking Bank</t>
  </si>
  <si>
    <t>Agreed qty for extra cutting</t>
  </si>
  <si>
    <t>Manual PO ASK</t>
  </si>
  <si>
    <t xml:space="preserve">Manual Qty added on </t>
  </si>
  <si>
    <t>Total qty for checking</t>
  </si>
  <si>
    <t>CPQ</t>
  </si>
  <si>
    <t>Final Packable qty</t>
  </si>
  <si>
    <t xml:space="preserve"> Final Extra qty of PO</t>
  </si>
  <si>
    <t>Useable from Bank</t>
  </si>
  <si>
    <t>Carton Qty</t>
  </si>
  <si>
    <t>Approved FOB</t>
  </si>
  <si>
    <t>Check</t>
  </si>
  <si>
    <t>bk</t>
  </si>
  <si>
    <t>Booking Date</t>
  </si>
  <si>
    <t>Market</t>
  </si>
  <si>
    <t>PO rcvd Date</t>
  </si>
  <si>
    <t>Factory</t>
  </si>
  <si>
    <t>File</t>
  </si>
  <si>
    <t>PO status</t>
  </si>
  <si>
    <t>Cutting Not Done</t>
  </si>
  <si>
    <t>TH</t>
  </si>
  <si>
    <t>EGMCL</t>
  </si>
  <si>
    <t>EG7-10273</t>
  </si>
  <si>
    <t>STAR</t>
  </si>
  <si>
    <t>STAR-00013</t>
  </si>
  <si>
    <t>STAR-00014</t>
  </si>
  <si>
    <t>EG5-10277</t>
  </si>
  <si>
    <t>EG5-10327</t>
  </si>
  <si>
    <t>EG5-10326</t>
  </si>
  <si>
    <t>EG5-10328</t>
  </si>
  <si>
    <t>EG7-10270</t>
  </si>
  <si>
    <t>EG7-10268</t>
  </si>
  <si>
    <t>EG5-10343</t>
  </si>
  <si>
    <t>PGCL</t>
  </si>
  <si>
    <t>PGCL-02474</t>
  </si>
  <si>
    <t>PGCL-02485</t>
  </si>
  <si>
    <t>EG5-10281</t>
  </si>
  <si>
    <t>EG5-10138</t>
  </si>
  <si>
    <t>EG5-10278</t>
  </si>
  <si>
    <t>EG5-10139</t>
  </si>
  <si>
    <t>EG5-10276</t>
  </si>
  <si>
    <t>EG5-10325</t>
  </si>
  <si>
    <t>EG5-10329</t>
  </si>
  <si>
    <t>EG5-10342</t>
  </si>
  <si>
    <t>EG7-10272</t>
  </si>
  <si>
    <t>Correct PO</t>
  </si>
  <si>
    <t>GTL</t>
  </si>
  <si>
    <t xml:space="preserve">VT Manufacturing </t>
  </si>
  <si>
    <t>CIPL</t>
  </si>
  <si>
    <t>Wrong CVC PO</t>
  </si>
  <si>
    <t>Factoty check as per PO CVC</t>
  </si>
  <si>
    <t>Grand Total</t>
  </si>
  <si>
    <t>Sum of Final Packable qty</t>
  </si>
  <si>
    <t>Total PO Qty</t>
  </si>
  <si>
    <t>Final Extra qty of PO</t>
  </si>
  <si>
    <t>Sum of Expected Quantity</t>
  </si>
  <si>
    <t>Sum of Carton Qty</t>
  </si>
  <si>
    <t>BK</t>
  </si>
  <si>
    <t>Factory as per EPIC plan</t>
  </si>
  <si>
    <t>Factoty check as per rcvd PO</t>
  </si>
  <si>
    <t>3RQDWPYG</t>
  </si>
  <si>
    <t>5PXULJJX</t>
  </si>
  <si>
    <t>25Z8JX8I</t>
  </si>
  <si>
    <t>54M5TUJT</t>
  </si>
  <si>
    <t>64P9ZKAT</t>
  </si>
  <si>
    <t>B0FS2XCSC1</t>
  </si>
  <si>
    <t>197153513515</t>
  </si>
  <si>
    <t>B0FS2RPGVR</t>
  </si>
  <si>
    <t>197153513201</t>
  </si>
  <si>
    <t>B0FS2RPDVY</t>
  </si>
  <si>
    <t>197153513300</t>
  </si>
  <si>
    <t>B0FS2P734S</t>
  </si>
  <si>
    <t>197153513263</t>
  </si>
  <si>
    <t>B0FS2J85WV</t>
  </si>
  <si>
    <t>197153513294</t>
  </si>
  <si>
    <t>B0FS2J7TYC</t>
  </si>
  <si>
    <t>197153513447</t>
  </si>
  <si>
    <t>B0FS2J7HXB</t>
  </si>
  <si>
    <t>197153513133</t>
  </si>
  <si>
    <t>B0FS2J72JH</t>
  </si>
  <si>
    <t>197153513423</t>
  </si>
  <si>
    <t>B0FS2FKKS6</t>
  </si>
  <si>
    <t>197153513249</t>
  </si>
  <si>
    <t>B0FS2F72XX</t>
  </si>
  <si>
    <t>197153513157</t>
  </si>
  <si>
    <t>B0FS2DYMLL</t>
  </si>
  <si>
    <t>197153513270</t>
  </si>
  <si>
    <t>B0FS2DMTC7</t>
  </si>
  <si>
    <t>197153513287</t>
  </si>
  <si>
    <t>B0FS2DKKT7</t>
  </si>
  <si>
    <t>197153513256</t>
  </si>
  <si>
    <t>B0FS2DKK74</t>
  </si>
  <si>
    <t>197153513102</t>
  </si>
  <si>
    <t>B0FS2DC445</t>
  </si>
  <si>
    <t>197153513126</t>
  </si>
  <si>
    <t>B0FS2D8Y6H</t>
  </si>
  <si>
    <t>197153513454</t>
  </si>
  <si>
    <t>B0FS2D8FVD</t>
  </si>
  <si>
    <t>197153513546</t>
  </si>
  <si>
    <t>B0FS2D4T4R</t>
  </si>
  <si>
    <t>197153513225</t>
  </si>
  <si>
    <t>B0FS2D2WNR</t>
  </si>
  <si>
    <t>197153513461</t>
  </si>
  <si>
    <t>B0FS2CYNMB</t>
  </si>
  <si>
    <t>197153513188</t>
  </si>
  <si>
    <t>B0FS2CY57X</t>
  </si>
  <si>
    <t>197153513478</t>
  </si>
  <si>
    <t>B0FS2CY39Q</t>
  </si>
  <si>
    <t>197153513195</t>
  </si>
  <si>
    <t>B0FS2CG8Y9</t>
  </si>
  <si>
    <t>197153513140</t>
  </si>
  <si>
    <t>B0FS2CD4S8</t>
  </si>
  <si>
    <t>197153513171</t>
  </si>
  <si>
    <t>B0FS2C9NJ1</t>
  </si>
  <si>
    <t>197153513508</t>
  </si>
  <si>
    <t>B0FS2C7XSB</t>
  </si>
  <si>
    <t>197153513218</t>
  </si>
  <si>
    <t>B0FS2C7RBN</t>
  </si>
  <si>
    <t>197153513164</t>
  </si>
  <si>
    <t>B0FS2C7QHD</t>
  </si>
  <si>
    <t>197153513492</t>
  </si>
  <si>
    <t>B0FS2C6CPB</t>
  </si>
  <si>
    <t>197153513485</t>
  </si>
  <si>
    <t>B0FS2C5SWJ</t>
  </si>
  <si>
    <t>197153513089</t>
  </si>
  <si>
    <t>B0FS2C12L3</t>
  </si>
  <si>
    <t>197153513430</t>
  </si>
  <si>
    <t>B0FS2BCVY8</t>
  </si>
  <si>
    <t>197153513096</t>
  </si>
  <si>
    <t>B0FS2BBX69</t>
  </si>
  <si>
    <t>197153513119</t>
  </si>
  <si>
    <t>B09LRXG2ZM</t>
  </si>
  <si>
    <t>196433250072</t>
  </si>
  <si>
    <t>B09LRWT3X6</t>
  </si>
  <si>
    <t>196433250027</t>
  </si>
  <si>
    <t>B09LRWNYSL</t>
  </si>
  <si>
    <t>196433249700</t>
  </si>
  <si>
    <t>B09LRWG7TN</t>
  </si>
  <si>
    <t>196433248741</t>
  </si>
  <si>
    <t>B09LRWFGNX</t>
  </si>
  <si>
    <t>196433249403</t>
  </si>
  <si>
    <t>B09LRVJ9SW</t>
  </si>
  <si>
    <t>196433248628</t>
  </si>
  <si>
    <t>B09LRVJ9Q3</t>
  </si>
  <si>
    <t>196433249755</t>
  </si>
  <si>
    <t>B09LRVHK32</t>
  </si>
  <si>
    <t>196433248932</t>
  </si>
  <si>
    <t>B09LRVHK2V</t>
  </si>
  <si>
    <t>196433249328</t>
  </si>
  <si>
    <t>B09LRVG563</t>
  </si>
  <si>
    <t>196433249366</t>
  </si>
  <si>
    <t>B09LRVBC1L</t>
  </si>
  <si>
    <t>196433248963</t>
  </si>
  <si>
    <t>B09LRV7CR2</t>
  </si>
  <si>
    <t>196433249045</t>
  </si>
  <si>
    <t>B09LRV3H26</t>
  </si>
  <si>
    <t>196433248871</t>
  </si>
  <si>
    <t>B09LRV19Y2</t>
  </si>
  <si>
    <t>196433249052</t>
  </si>
  <si>
    <t>B09LRTZ1H1</t>
  </si>
  <si>
    <t>196433248857</t>
  </si>
  <si>
    <t>B09LRTV8KV</t>
  </si>
  <si>
    <t>196433249069</t>
  </si>
  <si>
    <t>B09LRTJTP4</t>
  </si>
  <si>
    <t>196433250034</t>
  </si>
  <si>
    <t>B09LRTFP12</t>
  </si>
  <si>
    <t>196433249625</t>
  </si>
  <si>
    <t>B09LRTCJWJ</t>
  </si>
  <si>
    <t>196433248345</t>
  </si>
  <si>
    <t>B09LRSQRSS</t>
  </si>
  <si>
    <t>196433249564</t>
  </si>
  <si>
    <t>B09LRSQRSP</t>
  </si>
  <si>
    <t>196433249717</t>
  </si>
  <si>
    <t>B09LRSNHKZ</t>
  </si>
  <si>
    <t>196433249816</t>
  </si>
  <si>
    <t>10/20/2026</t>
  </si>
  <si>
    <t>10/30/2026</t>
  </si>
  <si>
    <t>AEWM77548M26-Dark Midnight Wash_12</t>
  </si>
  <si>
    <t>Amazon Essentials Women's A-Line High-Rise Denim Button-Down Midi Skirt, Dark Midnight Wash, 12</t>
  </si>
  <si>
    <t>AEWM77548M26-White_6</t>
  </si>
  <si>
    <t>Amazon Essentials Women's A-Line High-Rise Denim Button-Down Midi Skirt, White, 6</t>
  </si>
  <si>
    <t>AEWM77548M26-White_12</t>
  </si>
  <si>
    <t>Amazon Essentials Women's A-Line High-Rise Denim Button-Down Midi Skirt, White, 12</t>
  </si>
  <si>
    <t>AEWM77548M26-White_4</t>
  </si>
  <si>
    <t>Amazon Essentials Women's A-Line High-Rise Denim Button-Down Midi Skirt, White, 4</t>
  </si>
  <si>
    <t>AEWM77548M26-White_16</t>
  </si>
  <si>
    <t>Amazon Essentials Women's A-Line High-Rise Denim Button-Down Midi Skirt, White, 16</t>
  </si>
  <si>
    <t>AEWM77548M26-Dark Midnight Wash_8</t>
  </si>
  <si>
    <t>Amazon Essentials Women's A-Line High-Rise Denim Button-Down Midi Skirt, Dark Midnight Wash, 8</t>
  </si>
  <si>
    <t>AEWM77548M26-Rinse Denim_14</t>
  </si>
  <si>
    <t>Amazon Essentials Women's A-Line High-Rise Denim Button-Down Midi Skirt, Rinse Denim, 14</t>
  </si>
  <si>
    <t>AEWM77548M26-Dark Midnight Wash_20</t>
  </si>
  <si>
    <t>Amazon Essentials Women's A-Line High-Rise Denim Button-Down Midi Skirt, Dark Midnight Wash, 20</t>
  </si>
  <si>
    <t>AEWM77548M26-White_14</t>
  </si>
  <si>
    <t>Amazon Essentials Women's A-Line High-Rise Denim Button-Down Midi Skirt, White, 14</t>
  </si>
  <si>
    <t>AEWM77548M26-Rinse Denim_2</t>
  </si>
  <si>
    <t>Amazon Essentials Women's A-Line High-Rise Denim Button-Down Midi Skirt, Rinse Denim, 2</t>
  </si>
  <si>
    <t>AEWM77548M26-White_10</t>
  </si>
  <si>
    <t>Amazon Essentials Women's A-Line High-Rise Denim Button-Down Midi Skirt, White, 10</t>
  </si>
  <si>
    <t>AEWM77548M26-White_2</t>
  </si>
  <si>
    <t>Amazon Essentials Women's A-Line High-Rise Denim Button-Down Midi Skirt, White, 2</t>
  </si>
  <si>
    <t>AEWM77548M26-White_0</t>
  </si>
  <si>
    <t>Amazon Essentials Women's A-Line High-Rise Denim Button-Down Midi Skirt, White, 0</t>
  </si>
  <si>
    <t>AEWM77548M26-Rinse Denim_8</t>
  </si>
  <si>
    <t>Amazon Essentials Women's A-Line High-Rise Denim Button-Down Midi Skirt, Rinse Denim, 8</t>
  </si>
  <si>
    <t>AEWM77548M26-Rinse Denim_0</t>
  </si>
  <si>
    <t>Amazon Essentials Women's A-Line High-Rise Denim Button-Down Midi Skirt, Rinse Denim, 0</t>
  </si>
  <si>
    <t>AEWM77548M26-Dark Midnight Wash_18</t>
  </si>
  <si>
    <t>Amazon Essentials Women's A-Line High-Rise Denim Button-Down Midi Skirt, Dark Midnight Wash, 18</t>
  </si>
  <si>
    <t>AEWM77548M26-Dark Midnight Wash_16</t>
  </si>
  <si>
    <t>Amazon Essentials Women's A-Line High-Rise Denim Button-Down Midi Skirt, Dark Midnight Wash, 16</t>
  </si>
  <si>
    <t>AEWM77548M26-White_18</t>
  </si>
  <si>
    <t>Amazon Essentials Women's A-Line High-Rise Denim Button-Down Midi Skirt, White, 18</t>
  </si>
  <si>
    <t>AEWM77548M26-Dark Midnight Wash_14</t>
  </si>
  <si>
    <t>Amazon Essentials Women's A-Line High-Rise Denim Button-Down Midi Skirt, Dark Midnight Wash, 14</t>
  </si>
  <si>
    <t>AEWM77548M26-Rinse Denim_12</t>
  </si>
  <si>
    <t>Amazon Essentials Women's A-Line High-Rise Denim Button-Down Midi Skirt, Rinse Denim, 12</t>
  </si>
  <si>
    <t>AEWM77548M26-Dark Midnight Wash_0</t>
  </si>
  <si>
    <t>Amazon Essentials Women's A-Line High-Rise Denim Button-Down Midi Skirt, Dark Midnight Wash, 0</t>
  </si>
  <si>
    <t>AEWM77548M26-White_20</t>
  </si>
  <si>
    <t>Amazon Essentials Women's A-Line High-Rise Denim Button-Down Midi Skirt, White, 20</t>
  </si>
  <si>
    <t>AEWM77548M26-Rinse Denim_10</t>
  </si>
  <si>
    <t>Amazon Essentials Women's A-Line High-Rise Denim Button-Down Midi Skirt, Rinse Denim, 10</t>
  </si>
  <si>
    <t>AEWM77548M26-Rinse Denim_16</t>
  </si>
  <si>
    <t>Amazon Essentials Women's A-Line High-Rise Denim Button-Down Midi Skirt, Rinse Denim, 16</t>
  </si>
  <si>
    <t>AEWM77548M26-Dark Midnight Wash_10</t>
  </si>
  <si>
    <t>Amazon Essentials Women's A-Line High-Rise Denim Button-Down Midi Skirt, Dark Midnight Wash, 10</t>
  </si>
  <si>
    <t>AEWM77548M26-White_8</t>
  </si>
  <si>
    <t>Amazon Essentials Women's A-Line High-Rise Denim Button-Down Midi Skirt, White, 8</t>
  </si>
  <si>
    <t>AEWM77548M26-Rinse Denim_4</t>
  </si>
  <si>
    <t>Amazon Essentials Women's A-Line High-Rise Denim Button-Down Midi Skirt, Rinse Denim, 4</t>
  </si>
  <si>
    <t>AEWM77548M26-Dark Midnight Wash_2</t>
  </si>
  <si>
    <t>Amazon Essentials Women's A-Line High-Rise Denim Button-Down Midi Skirt, Dark Midnight Wash, 2</t>
  </si>
  <si>
    <t>AEWM77548M26-Dark Midnight Wash_4</t>
  </si>
  <si>
    <t>Amazon Essentials Women's A-Line High-Rise Denim Button-Down Midi Skirt, Dark Midnight Wash, 4</t>
  </si>
  <si>
    <t>AEWM77548M26-Rinse Denim_20</t>
  </si>
  <si>
    <t>Amazon Essentials Women's A-Line High-Rise Denim Button-Down Midi Skirt, Rinse Denim, 20</t>
  </si>
  <si>
    <t>AEWM77548M26-Dark Midnight Wash_6</t>
  </si>
  <si>
    <t>Amazon Essentials Women's A-Line High-Rise Denim Button-Down Midi Skirt, Dark Midnight Wash, 6</t>
  </si>
  <si>
    <t>AEWM77548M26-Rinse Denim_6</t>
  </si>
  <si>
    <t>Amazon Essentials Women's A-Line High-Rise Denim Button-Down Midi Skirt, Rinse Denim, 6</t>
  </si>
  <si>
    <t>AEWM77548M26-Rinse Denim_18</t>
  </si>
  <si>
    <t>Amazon Essentials Women's A-Line High-Rise Denim Button-Down Midi Skirt, Rinse Denim, 18</t>
  </si>
  <si>
    <t>Amazon Essentials Baby Girls' Baby Girls and Toddlers' Soft Stretch Relaxed-Fit Wide Leg Jeans, Classic Light Wash, 3-6 Months</t>
  </si>
  <si>
    <t>Amazon Essentials Men's Men's Rigid Relaxed-Fit Jean Shorts, Stone Medium Wash, 28</t>
  </si>
  <si>
    <t>Amazon Essentials Girls' Girls' Ultra Soft Relaxed-Fit Wide Leg Cargo Jeans, Classic Light Wash, 12</t>
  </si>
  <si>
    <t>Amazon Essentials Girls' Girls' Ultra Soft Relaxed-Fit Wide Leg Cargo Jeans, Classic Light Wash, 14</t>
  </si>
  <si>
    <t>Amazon Essentials Girls' Girls' Ultra Soft Relaxed-Fit Wide Leg Cargo Jeans, Classic Light Wash, 8</t>
  </si>
  <si>
    <t>Amazon Essentials Men's Straight-Fit Breathable Stretch Cargo Pants (Available in Big &amp; Tall), Black, 54W x 28L</t>
  </si>
  <si>
    <t>Amazon Essentials Men's Straight-Fit Breathable Stretch Cargo Pants (Available in Big &amp; Tall), Black, 44W x 30L</t>
  </si>
  <si>
    <t>Amazon Essentials Men's Straight-Fit Breathable Stretch Cargo Pants (Available in Big &amp; Tall), Khaki Brown, 54W x 28L</t>
  </si>
  <si>
    <t>Amazon Essentials Men's Straight-Fit Breathable Stretch Cargo Pants (Available in Big &amp; Tall), Dark Grey, 52W x 32L</t>
  </si>
  <si>
    <t>Amazon Essentials Men's Straight-Fit Breathable Stretch Cargo Pants (Available in Big &amp; Tall), Olive, 44W x 34L</t>
  </si>
  <si>
    <t>Amazon Essentials Men's Straight-Fit Breathable Stretch Cargo Pants (Available in Big &amp; Tall), Navy, 48W x 30L</t>
  </si>
  <si>
    <t>Amazon Essentials Men's Straight-Fit Breathable Stretch Cargo Pants (Available in Big &amp; Tall), Khaki Brown, 52W x 34L</t>
  </si>
  <si>
    <t>Amazon Essentials Men's Straight-Fit Breathable Stretch Cargo Pants (Available in Big &amp; Tall), Dark Grey, 52W x 28L</t>
  </si>
  <si>
    <t>Amazon Essentials Men's Straight-Fit Breathable Stretch Cargo Pants (Available in Big &amp; Tall), Olive, 60W x 30L</t>
  </si>
  <si>
    <t>Amazon Essentials Men's Straight-Fit Breathable Stretch Cargo Pants (Available in Big &amp; Tall), Olive, 48W x 30L</t>
  </si>
  <si>
    <t>Amazon Essentials Men's Straight-Fit Breathable Stretch Cargo Pants (Available in Big &amp; Tall), Dark Grey, 54W x 28L</t>
  </si>
  <si>
    <t>Amazon Essentials Men's Straight-Fit Breathable Stretch Cargo Pants (Available in Big &amp; Tall), Dark Grey, 48W x 34L</t>
  </si>
  <si>
    <t>Amazon Essentials Men's Straight-Fit Breathable Stretch Cargo Pants (Available in Big &amp; Tall), Dark Grey, 58W x 32L</t>
  </si>
  <si>
    <t>Amazon Essentials Men's Straight-Fit Breathable Stretch Cargo Pants (Available in Big &amp; Tall), Dark Grey, 50W x 34L</t>
  </si>
  <si>
    <t>Amazon Essentials Men's Straight-Fit Breathable Stretch Cargo Pants (Available in Big &amp; Tall), Dark Grey, 60W x 34L</t>
  </si>
  <si>
    <t>Amazon Essentials Men's Straight-Fit Breathable Stretch Cargo Pants (Available in Big &amp; Tall), Dark Grey, 50W x 28L</t>
  </si>
  <si>
    <t>Amazon Essentials Men's Straight-Fit Breathable Stretch Cargo Pants (Available in Big &amp; Tall), Black, 46W x 28L</t>
  </si>
  <si>
    <t>Amazon Essentials Men's Straight-Fit Breathable Stretch Cargo Pants (Available in Big &amp; Tall), Khaki Brown, 60W x 28L</t>
  </si>
  <si>
    <t>Amazon Essentials Men's Straight-Fit Breathable Stretch Cargo Pants (Available in Big &amp; Tall), Black, 46W x 32L</t>
  </si>
  <si>
    <t>Amazon Essentials Men's Straight-Fit Breathable Stretch Cargo Pants (Available in Big &amp; Tall), Khaki Brown, 54W x 32L</t>
  </si>
  <si>
    <t>Amazon Essentials Men's Straight-Fit Breathable Stretch Cargo Pants (Available in Big &amp; Tall), Khaki Brown, 60W x 32L</t>
  </si>
  <si>
    <t>Amazon Essentials Men's Straight-Fit Breathable Stretch Cargo Pants (Available in Big &amp; Tall), Khaki Brown, 46W x 30L</t>
  </si>
  <si>
    <t>Manula PO</t>
  </si>
  <si>
    <t>Women's A-Line High-Rise Denim Button-Down Midi Skirt</t>
  </si>
  <si>
    <t>AEWM77548M26</t>
  </si>
  <si>
    <t>Rinse Denim</t>
  </si>
  <si>
    <t>EG5-10140</t>
  </si>
  <si>
    <t>Manula PO_wrong PO</t>
  </si>
  <si>
    <t>ACC589N01393BD0 </t>
  </si>
  <si>
    <t>ACC589N01394BD0 </t>
  </si>
  <si>
    <t>ACC589N01395BD0 </t>
  </si>
  <si>
    <t>ACC589N01396BD0 </t>
  </si>
  <si>
    <t>ACC589N01397BD0 </t>
  </si>
  <si>
    <t>ACC589N01398BD0 </t>
  </si>
  <si>
    <t>ACC589N01399BD0</t>
  </si>
  <si>
    <t>ACC589N01400BD0 </t>
  </si>
  <si>
    <t>ACC589N01402BD0 </t>
  </si>
  <si>
    <t>ACC589N01403BD0 </t>
  </si>
  <si>
    <t>ACC589N01404BD0</t>
  </si>
  <si>
    <t>ACC589N01405BD0</t>
  </si>
  <si>
    <t>ACC589N01401BD0 </t>
  </si>
  <si>
    <t>ACC589N01406BD0 </t>
  </si>
  <si>
    <t>ACC589N01407BD0 </t>
  </si>
  <si>
    <t>ACC589N01408BD0</t>
  </si>
  <si>
    <t>ACC589N01409BD0 </t>
  </si>
  <si>
    <t>ACC589N01410BD0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</si>
</sst>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2"/>
      <color rgb="FF0066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2" fillId="3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4" fontId="1" fillId="4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4" fillId="7" borderId="1" xfId="0" applyFont="1" applyFill="1" applyBorder="1" applyAlignment="1">
      <alignment horizontal="center"/>
    </xf>
    <xf numFmtId="0" fontId="3" fillId="0" borderId="0" xfId="0" applyFont="1"/>
    <xf numFmtId="0" fontId="1" fillId="4" borderId="0" xfId="0" applyFont="1" applyFill="1" applyAlignment="1">
      <alignment horizontal="center" vertical="center" wrapText="1"/>
    </xf>
    <xf numFmtId="16" fontId="0" fillId="0" borderId="0" xfId="0" applyNumberFormat="1"/>
    <xf numFmtId="0" fontId="2" fillId="3" borderId="0" xfId="0" applyFont="1" applyFill="1" applyAlignment="1">
      <alignment horizontal="left" vertical="center" wrapText="1"/>
    </xf>
    <xf numFmtId="0" fontId="0" fillId="0" borderId="0" xfId="0" pivotButton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/>
    <xf numFmtId="0" fontId="1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pivotButton="1" applyFont="1" applyAlignment="1">
      <alignment horizontal="center"/>
    </xf>
    <xf numFmtId="0" fontId="3" fillId="0" borderId="0" xfId="0" pivotButton="1" applyFont="1"/>
    <xf numFmtId="0" fontId="2" fillId="3" borderId="0" xfId="0" applyFont="1" applyFill="1"/>
    <xf numFmtId="16" fontId="2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00FF"/>
      </font>
    </dxf>
    <dxf>
      <font>
        <color rgb="FF0000FF"/>
      </font>
    </dxf>
    <dxf>
      <alignment horizontal="center"/>
    </dxf>
    <dxf>
      <font>
        <b/>
      </font>
    </dxf>
    <dxf>
      <font>
        <color rgb="FF0000FF"/>
      </font>
    </dxf>
    <dxf>
      <alignment horizontal="center"/>
    </dxf>
  </dxfs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uman Akhi" refreshedDate="46286.516205439817" createdVersion="8" refreshedVersion="8" minRefreshableVersion="3" recordCount="1479" xr:uid="{AB11E948-FD77-419C-87C3-6A700F086828}">
  <cacheSource type="worksheet">
    <worksheetSource ref="A2:AW1481" sheet="all PO"/>
  </cacheSource>
  <cacheFields count="49">
    <cacheField name="PO" numFmtId="0">
      <sharedItems count="11">
        <s v="1YRRQHWT"/>
        <s v="7MGVQVWC"/>
        <s v="74A6MYWI"/>
        <s v="5HPTLLDC"/>
        <s v="5DEYOLYM"/>
        <s v="7LENSGTE"/>
        <s v="3RQDWPYG"/>
        <s v="5PXULJJX"/>
        <s v="25Z8JX8I"/>
        <s v="54M5TUJT"/>
        <s v="64P9ZKAT"/>
      </sharedItems>
    </cacheField>
    <cacheField name="Vendor" numFmtId="0">
      <sharedItems count="5">
        <s v="EPLYO"/>
        <s v="EPLYY"/>
        <s v="EPLYL"/>
        <s v="EPLYP"/>
        <s v="EPLYM"/>
      </sharedItems>
    </cacheField>
    <cacheField name="Ship" numFmtId="0">
      <sharedItems count="1">
        <s v="ITHC"/>
      </sharedItems>
    </cacheField>
    <cacheField name="Ship to location" numFmtId="0">
      <sharedItems/>
    </cacheField>
    <cacheField name="ASIN" numFmtId="0">
      <sharedItems/>
    </cacheField>
    <cacheField name="External Id" numFmtId="0">
      <sharedItems/>
    </cacheField>
    <cacheField name="External Id Type" numFmtId="0">
      <sharedItems/>
    </cacheField>
    <cacheField name="Order type" numFmtId="0">
      <sharedItems count="4">
        <s v="Non-Denim Order"/>
        <s v="Amazon Sri Lanka Order"/>
        <s v="Denim Order"/>
        <s v="Denim Order_Women's order"/>
      </sharedItems>
    </cacheField>
    <cacheField name="program" numFmtId="0">
      <sharedItems/>
    </cacheField>
    <cacheField name="model" numFmtId="0">
      <sharedItems count="25">
        <s v="GT191330FL18"/>
        <s v="ABMN87281M25"/>
        <s v="ABMN38003M25"/>
        <s v="ABMN69404M25"/>
        <s v="AEMN49469M25"/>
        <s v="AEMN30315M25"/>
        <s v="AEMN14928M25"/>
        <s v="AEMN64413M25"/>
        <s v="AEM20120SS22"/>
        <s v="AEM20121SS22"/>
        <s v="F16AE60004"/>
        <s v="AEUB43108M25"/>
        <s v="AEWM47457M25"/>
        <s v="AEWM16178M26"/>
        <s v="AEMN88118M25"/>
        <s v="AEMN97005M25"/>
        <s v="AEMN41037M25"/>
        <s v="AEGL13713M25"/>
        <s v="AEUB83300M25"/>
        <s v="AEGL35686M25"/>
        <s v="AEWM44862M25"/>
        <s v="AEBG70043M25"/>
        <s v="AEM20141SS22"/>
        <s v="AEM20140SS22"/>
        <s v="AEWM77548M26"/>
      </sharedItems>
    </cacheField>
    <cacheField name="Color" numFmtId="0">
      <sharedItems/>
    </cacheField>
    <cacheField name="Size" numFmtId="0">
      <sharedItems containsMixedTypes="1" containsNumber="1" containsInteger="1" minValue="0" maxValue="42"/>
    </cacheField>
    <cacheField name="Pack" numFmtId="0">
      <sharedItems/>
    </cacheField>
    <cacheField name="Model Number" numFmtId="0">
      <sharedItems/>
    </cacheField>
    <cacheField name="Title" numFmtId="0">
      <sharedItems/>
    </cacheField>
    <cacheField name="Availability" numFmtId="0">
      <sharedItems/>
    </cacheField>
    <cacheField name="Window Type" numFmtId="0">
      <sharedItems/>
    </cacheField>
    <cacheField name="Window start" numFmtId="0">
      <sharedItems count="2">
        <s v="10/06/2026"/>
        <s v="10/20/2026"/>
      </sharedItems>
    </cacheField>
    <cacheField name="Window end" numFmtId="0">
      <sharedItems count="2">
        <s v="10/13/2026"/>
        <s v="10/30/2026"/>
      </sharedItems>
    </cacheField>
    <cacheField name="ECDD" numFmtId="14">
      <sharedItems containsSemiMixedTypes="0" containsNonDate="0" containsDate="1" containsString="0" minDate="2026-10-12T00:00:00" maxDate="2026-10-13T00:00:00" count="1">
        <d v="2026-10-12T00:00:00"/>
      </sharedItems>
    </cacheField>
    <cacheField name="Quantity Requested" numFmtId="0">
      <sharedItems containsSemiMixedTypes="0" containsString="0" containsNumber="1" containsInteger="1" minValue="6" maxValue="1008"/>
    </cacheField>
    <cacheField name="Expected Quantity" numFmtId="0">
      <sharedItems containsSemiMixedTypes="0" containsString="0" containsNumber="1" containsInteger="1" minValue="6" maxValue="1008"/>
    </cacheField>
    <cacheField name="Commit Qty" numFmtId="0">
      <sharedItems containsSemiMixedTypes="0" containsString="0" containsNumber="1" containsInteger="1" minValue="6" maxValue="1032"/>
    </cacheField>
    <cacheField name="Cutting / Shared breakdown Qty" numFmtId="0">
      <sharedItems containsSemiMixedTypes="0" containsString="0" containsNumber="1" containsInteger="1" minValue="0" maxValue="1032"/>
    </cacheField>
    <cacheField name="check (Commit-cutting)" numFmtId="0">
      <sharedItems containsSemiMixedTypes="0" containsString="0" containsNumber="1" containsInteger="1" minValue="0" maxValue="272"/>
    </cacheField>
    <cacheField name="check (PO - Cutting)" numFmtId="0">
      <sharedItems containsString="0" containsBlank="1" containsNumber="1" containsInteger="1" minValue="-72" maxValue="256"/>
    </cacheField>
    <cacheField name="Extra qty to check cutting possibility/ Checking Bank" numFmtId="0">
      <sharedItems containsString="0" containsBlank="1" containsNumber="1" containsInteger="1" minValue="12" maxValue="96"/>
    </cacheField>
    <cacheField name="Agreed qty for extra cutting" numFmtId="0">
      <sharedItems containsNonDate="0" containsString="0" containsBlank="1"/>
    </cacheField>
    <cacheField name="Manual PO ASK" numFmtId="0">
      <sharedItems containsString="0" containsBlank="1" containsNumber="1" containsInteger="1" minValue="0" maxValue="310"/>
    </cacheField>
    <cacheField name="Manual Qty added on " numFmtId="0">
      <sharedItems containsNonDate="0" containsString="0" containsBlank="1"/>
    </cacheField>
    <cacheField name="Manual Qty added on 2" numFmtId="0">
      <sharedItems containsNonDate="0" containsString="0" containsBlank="1"/>
    </cacheField>
    <cacheField name="Total qty for checking" numFmtId="0">
      <sharedItems containsSemiMixedTypes="0" containsString="0" containsNumber="1" containsInteger="1" minValue="0" maxValue="960"/>
    </cacheField>
    <cacheField name="CPQ" numFmtId="0">
      <sharedItems containsSemiMixedTypes="0" containsString="0" containsNumber="1" containsInteger="1" minValue="6" maxValue="24" count="6">
        <n v="12"/>
        <n v="8"/>
        <n v="10"/>
        <n v="6"/>
        <n v="20"/>
        <n v="24"/>
      </sharedItems>
    </cacheField>
    <cacheField name="Final Packable qty" numFmtId="0">
      <sharedItems containsSemiMixedTypes="0" containsString="0" containsNumber="1" containsInteger="1" minValue="0" maxValue="960"/>
    </cacheField>
    <cacheField name=" Final Extra qty of PO" numFmtId="0">
      <sharedItems containsSemiMixedTypes="0" containsString="0" containsNumber="1" containsInteger="1" minValue="0" maxValue="256"/>
    </cacheField>
    <cacheField name="Useable from Bank" numFmtId="0">
      <sharedItems containsNonDate="0" containsString="0" containsBlank="1"/>
    </cacheField>
    <cacheField name="Carton Qty" numFmtId="0">
      <sharedItems containsSemiMixedTypes="0" containsString="0" containsNumber="1" containsInteger="1" minValue="0" maxValue="78"/>
    </cacheField>
    <cacheField name="Unit Cost" numFmtId="0">
      <sharedItems containsSemiMixedTypes="0" containsString="0" containsNumber="1" minValue="4.92" maxValue="21.63"/>
    </cacheField>
    <cacheField name="USD" numFmtId="0">
      <sharedItems/>
    </cacheField>
    <cacheField name="Approved FOB" numFmtId="0">
      <sharedItems containsSemiMixedTypes="0" containsString="0" containsNumber="1" minValue="4.92" maxValue="21.63"/>
    </cacheField>
    <cacheField name="Check" numFmtId="0">
      <sharedItems/>
    </cacheField>
    <cacheField name="bk" numFmtId="0">
      <sharedItems containsNonDate="0" containsString="0" containsBlank="1"/>
    </cacheField>
    <cacheField name="Booking Date" numFmtId="0">
      <sharedItems containsNonDate="0" containsString="0" containsBlank="1"/>
    </cacheField>
    <cacheField name="Market" numFmtId="0">
      <sharedItems/>
    </cacheField>
    <cacheField name="PO rcvd Date" numFmtId="16">
      <sharedItems containsSemiMixedTypes="0" containsNonDate="0" containsDate="1" containsString="0" minDate="2026-09-11T00:00:00" maxDate="2026-09-21T00:00:00" count="3">
        <d v="2026-09-11T00:00:00"/>
        <d v="2026-09-20T00:00:00"/>
        <d v="2026-09-19T00:00:00"/>
      </sharedItems>
    </cacheField>
    <cacheField name="Factory" numFmtId="0">
      <sharedItems/>
    </cacheField>
    <cacheField name="File" numFmtId="0">
      <sharedItems/>
    </cacheField>
    <cacheField name="Factoty check as per PO CVC" numFmtId="0">
      <sharedItems count="5">
        <s v="GTL"/>
        <s v="VT Manufacturing "/>
        <s v="EGMCL"/>
        <s v="PGCL"/>
        <s v="CIPL"/>
      </sharedItems>
    </cacheField>
    <cacheField name="PO status" numFmtId="0">
      <sharedItems count="5">
        <s v="Wrong CVC PO"/>
        <s v="Cutting Not Done"/>
        <s v="Correct PO"/>
        <s v="Manula PO_wrong PO"/>
        <s v="Manula P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9">
  <r>
    <x v="0"/>
    <x v="0"/>
    <x v="0"/>
    <s v="ITHC - SI RACHA, Bangkok"/>
    <s v="B07F16TKYX"/>
    <s v="191770811108"/>
    <s v="UPC"/>
    <x v="0"/>
    <s v="GT FF Chino Shorts"/>
    <x v="0"/>
    <s v="Dark Green"/>
    <n v="32"/>
    <s v="-"/>
    <s v=""/>
    <s v="Amazon Essentials Men's Slim-Fit 5&quot; Lightweight Comfort Stretch Oxford Cotton Shorts, Dark Green, 32"/>
    <s v="Accepted: In stock"/>
    <s v="Ship window (Collect)"/>
    <x v="0"/>
    <x v="0"/>
    <x v="0"/>
    <n v="324"/>
    <n v="324"/>
    <n v="348"/>
    <n v="348"/>
    <n v="0"/>
    <n v="-24"/>
    <m/>
    <m/>
    <m/>
    <m/>
    <m/>
    <n v="324"/>
    <x v="0"/>
    <n v="324"/>
    <n v="0"/>
    <m/>
    <n v="27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F16LJGW"/>
    <s v="191770810651"/>
    <s v="UPC"/>
    <x v="0"/>
    <s v="GT FF Chino Shorts"/>
    <x v="0"/>
    <s v="Washed Black"/>
    <n v="31"/>
    <s v="-"/>
    <s v=""/>
    <s v="Amazon Essentials Men's Slim-Fit 5&quot; Lightweight Comfort Stretch Oxford Cotton Shorts, Washed Black, 31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F16LJGF"/>
    <s v="191770810705"/>
    <s v="UPC"/>
    <x v="0"/>
    <s v="GT FF Chino Shorts"/>
    <x v="0"/>
    <s v="Washed Black"/>
    <n v="38"/>
    <s v="-"/>
    <s v=""/>
    <s v="Amazon Essentials Men's Slim-Fit 5&quot; Lightweight Comfort Stretch Oxford Cotton Shorts, Washed Black, 38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F1521RT"/>
    <s v="191770810682"/>
    <s v="UPC"/>
    <x v="0"/>
    <s v="GT FF Chino Shorts"/>
    <x v="0"/>
    <s v="Washed Black"/>
    <n v="34"/>
    <s v="-"/>
    <s v=""/>
    <s v="Amazon Essentials Men's Slim-Fit 5&quot; Lightweight Comfort Stretch Oxford Cotton Shorts, Washed Black, 34"/>
    <s v="Accepted: In stock"/>
    <s v="Ship window (Collect)"/>
    <x v="0"/>
    <x v="0"/>
    <x v="0"/>
    <n v="804"/>
    <n v="804"/>
    <n v="852"/>
    <n v="852"/>
    <n v="0"/>
    <n v="-48"/>
    <m/>
    <m/>
    <m/>
    <m/>
    <m/>
    <n v="804"/>
    <x v="0"/>
    <n v="804"/>
    <n v="0"/>
    <m/>
    <n v="67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F14V6Y4"/>
    <s v="191770810675"/>
    <s v="UPC"/>
    <x v="0"/>
    <s v="GT FF Chino Shorts"/>
    <x v="0"/>
    <s v="Washed Black"/>
    <n v="33"/>
    <s v="-"/>
    <s v=""/>
    <s v="Amazon Essentials Men's Slim-Fit 5&quot; Lightweight Comfort Stretch Oxford Cotton Shorts, Washed Black, 33"/>
    <s v="Accepted: In stock"/>
    <s v="Ship window (Collect)"/>
    <x v="0"/>
    <x v="0"/>
    <x v="0"/>
    <n v="348"/>
    <n v="348"/>
    <n v="372"/>
    <n v="372"/>
    <n v="0"/>
    <n v="-24"/>
    <m/>
    <m/>
    <m/>
    <m/>
    <m/>
    <n v="348"/>
    <x v="0"/>
    <n v="348"/>
    <n v="0"/>
    <m/>
    <n v="29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X4WKH"/>
    <s v="191770811085"/>
    <s v="UPC"/>
    <x v="0"/>
    <s v="GT FF Chino Shorts"/>
    <x v="0"/>
    <s v="Dark Green"/>
    <n v="30"/>
    <s v="-"/>
    <s v=""/>
    <s v="Amazon Essentials Men's Slim-Fit 5&quot; Lightweight Comfort Stretch Oxford Cotton Shorts, Dark Green, 30"/>
    <s v="Accepted: In stock"/>
    <s v="Ship window (Collect)"/>
    <x v="0"/>
    <x v="0"/>
    <x v="0"/>
    <n v="348"/>
    <n v="348"/>
    <n v="372"/>
    <n v="372"/>
    <n v="0"/>
    <n v="-24"/>
    <m/>
    <m/>
    <m/>
    <m/>
    <m/>
    <n v="348"/>
    <x v="0"/>
    <n v="348"/>
    <n v="0"/>
    <m/>
    <n v="29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X4THH"/>
    <s v="191770811474"/>
    <s v="UPC"/>
    <x v="0"/>
    <s v="GT FF Chino Shorts"/>
    <x v="0"/>
    <s v="Khaki Brown"/>
    <n v="38"/>
    <s v="-"/>
    <s v=""/>
    <s v="Amazon Essentials Men's Slim-Fit 5&quot; Lightweight Comfort Stretch Oxford Cotton Shorts, Khaki Brown, 38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X22K1"/>
    <s v="191770812082"/>
    <s v="UPC"/>
    <x v="0"/>
    <s v="GT FF Chino Shorts"/>
    <x v="0"/>
    <s v="Navy"/>
    <n v="31"/>
    <s v="-"/>
    <s v=""/>
    <s v="Amazon Essentials Men's Slim-Fit 5&quot; Lightweight Comfort Stretch Oxford Cotton Shorts, Navy, 31"/>
    <s v="Accepted: In stock"/>
    <s v="Ship window (Collect)"/>
    <x v="0"/>
    <x v="0"/>
    <x v="0"/>
    <n v="228"/>
    <n v="228"/>
    <n v="252"/>
    <n v="252"/>
    <n v="0"/>
    <n v="-24"/>
    <m/>
    <m/>
    <n v="0"/>
    <m/>
    <m/>
    <n v="228"/>
    <x v="0"/>
    <n v="228"/>
    <n v="0"/>
    <m/>
    <n v="19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WVT1C"/>
    <s v="191770811443"/>
    <s v="UPC"/>
    <x v="0"/>
    <s v="GT FF Chino Shorts"/>
    <x v="0"/>
    <s v="Khaki Brown"/>
    <n v="33"/>
    <s v="-"/>
    <s v=""/>
    <s v="Amazon Essentials Men's Slim-Fit 5&quot; Lightweight Comfort Stretch Oxford Cotton Shorts, Khaki Brown, 33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WVSYL"/>
    <s v="191770812112"/>
    <s v="UPC"/>
    <x v="0"/>
    <s v="GT FF Chino Shorts"/>
    <x v="0"/>
    <s v="Navy"/>
    <n v="34"/>
    <s v="-"/>
    <s v=""/>
    <s v="Amazon Essentials Men's Slim-Fit 5&quot; Lightweight Comfort Stretch Oxford Cotton Shorts, Navy, 34"/>
    <s v="Accepted: In stock"/>
    <s v="Ship window (Collect)"/>
    <x v="0"/>
    <x v="0"/>
    <x v="0"/>
    <n v="492"/>
    <n v="492"/>
    <n v="528"/>
    <n v="528"/>
    <n v="0"/>
    <n v="-36"/>
    <m/>
    <m/>
    <m/>
    <m/>
    <m/>
    <n v="492"/>
    <x v="0"/>
    <n v="492"/>
    <n v="0"/>
    <m/>
    <n v="41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WVSVM"/>
    <s v="191770811436"/>
    <s v="UPC"/>
    <x v="0"/>
    <s v="GT FF Chino Shorts"/>
    <x v="0"/>
    <s v="Khaki Brown"/>
    <n v="32"/>
    <s v="-"/>
    <s v=""/>
    <s v="Amazon Essentials Men's Slim-Fit 5&quot; Lightweight Comfort Stretch Oxford Cotton Shorts, Khaki Brown, 32"/>
    <s v="Accepted: In stock"/>
    <s v="Ship window (Collect)"/>
    <x v="0"/>
    <x v="0"/>
    <x v="0"/>
    <n v="492"/>
    <n v="492"/>
    <n v="456"/>
    <n v="456"/>
    <n v="0"/>
    <n v="36"/>
    <n v="36"/>
    <m/>
    <n v="0"/>
    <m/>
    <m/>
    <n v="456"/>
    <x v="0"/>
    <n v="456"/>
    <n v="36"/>
    <m/>
    <n v="38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VVBSK"/>
    <s v="191770810668"/>
    <s v="UPC"/>
    <x v="0"/>
    <s v="GT FF Chino Shorts"/>
    <x v="0"/>
    <s v="Washed Black"/>
    <n v="32"/>
    <s v="-"/>
    <s v=""/>
    <s v="Amazon Essentials Men's Slim-Fit 5&quot; Lightweight Comfort Stretch Oxford Cotton Shorts, Washed Black, 32"/>
    <s v="Accepted: In stock"/>
    <s v="Ship window (Collect)"/>
    <x v="0"/>
    <x v="0"/>
    <x v="0"/>
    <n v="384"/>
    <n v="384"/>
    <n v="408"/>
    <n v="408"/>
    <n v="0"/>
    <n v="-24"/>
    <m/>
    <m/>
    <m/>
    <m/>
    <m/>
    <n v="384"/>
    <x v="0"/>
    <n v="384"/>
    <n v="0"/>
    <m/>
    <n v="32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VT1SV"/>
    <s v="191770812051"/>
    <s v="UPC"/>
    <x v="0"/>
    <s v="GT FF Chino Shorts"/>
    <x v="0"/>
    <s v="Navy"/>
    <n v="28"/>
    <s v="-"/>
    <s v=""/>
    <s v="Amazon Essentials Men's Slim-Fit 5&quot; Lightweight Comfort Stretch Oxford Cotton Shorts, Navy, 28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VSYSG"/>
    <s v="191770811092"/>
    <s v="UPC"/>
    <x v="0"/>
    <s v="GT FF Chino Shorts"/>
    <x v="0"/>
    <s v="Dark Green"/>
    <n v="31"/>
    <s v="-"/>
    <s v=""/>
    <s v="Amazon Essentials Men's Slim-Fit 5&quot; Lightweight Comfort Stretch Oxford Cotton Shorts, Dark Green, 31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VSYR9"/>
    <s v="191770811122"/>
    <s v="UPC"/>
    <x v="0"/>
    <s v="GT FF Chino Shorts"/>
    <x v="0"/>
    <s v="Deep Depth/Olive"/>
    <n v="34"/>
    <s v="-"/>
    <s v=""/>
    <s v="Amazon Essentials Men's Slim-Fit 5&quot; Lightweight Comfort Stretch Oxford Cotton Shorts, Deep Depth/Olive, 34"/>
    <s v="Accepted: In stock"/>
    <s v="Ship window (Collect)"/>
    <x v="0"/>
    <x v="0"/>
    <x v="0"/>
    <n v="720"/>
    <n v="720"/>
    <n v="768"/>
    <n v="768"/>
    <n v="0"/>
    <n v="-48"/>
    <m/>
    <m/>
    <m/>
    <m/>
    <m/>
    <n v="720"/>
    <x v="0"/>
    <n v="720"/>
    <n v="0"/>
    <m/>
    <n v="60"/>
    <n v="8.2100000000000009"/>
    <s v="USD"/>
    <n v="8.2100000000000009"/>
    <b v="1"/>
    <m/>
    <m/>
    <s v="TH"/>
    <x v="0"/>
    <s v="EGMCL"/>
    <s v="EG7-10273"/>
    <x v="0"/>
    <x v="0"/>
  </r>
  <r>
    <x v="0"/>
    <x v="0"/>
    <x v="0"/>
    <s v="ITHC - SI RACHA, Bangkok"/>
    <s v="B07DZVDKPJ"/>
    <s v="191770810699"/>
    <s v="UPC"/>
    <x v="0"/>
    <s v="GT FF Chino Shorts"/>
    <x v="0"/>
    <s v="Washed Black"/>
    <n v="36"/>
    <s v="-"/>
    <s v=""/>
    <s v="Amazon Essentials Men's Slim-Fit 5&quot; Lightweight Comfort Stretch Oxford Cotton Shorts, Washed Black, 36"/>
    <s v="Accepted: In stock"/>
    <s v="Ship window (Collect)"/>
    <x v="0"/>
    <x v="0"/>
    <x v="0"/>
    <n v="576"/>
    <n v="576"/>
    <n v="612"/>
    <n v="612"/>
    <n v="0"/>
    <n v="-36"/>
    <m/>
    <m/>
    <m/>
    <m/>
    <m/>
    <n v="576"/>
    <x v="0"/>
    <n v="576"/>
    <n v="0"/>
    <m/>
    <n v="48"/>
    <n v="8.2100000000000009"/>
    <s v="USD"/>
    <n v="8.2100000000000009"/>
    <b v="1"/>
    <m/>
    <m/>
    <s v="TH"/>
    <x v="0"/>
    <s v="EGMCL"/>
    <s v="EG7-10273"/>
    <x v="0"/>
    <x v="0"/>
  </r>
  <r>
    <x v="1"/>
    <x v="1"/>
    <x v="0"/>
    <s v="ITHC - SI RACHA, Bangkok"/>
    <s v="B0FM7NB89K"/>
    <s v="195515128995"/>
    <s v="UPC"/>
    <x v="1"/>
    <s v="Men's Long Sleeve Workwear Coveralls"/>
    <x v="1"/>
    <s v="Black"/>
    <s v="XXX-Large- Long"/>
    <s v="-"/>
    <s v="ABMN87281M25-Black_xxxlargelong"/>
    <s v="Amazon Basics Men's Relaxed Fit Long Sleeve Workwear Coveralls, Black, XXX Large - Long"/>
    <s v="Accepted: In stock"/>
    <s v="Ship window (Collect)"/>
    <x v="0"/>
    <x v="0"/>
    <x v="0"/>
    <n v="40"/>
    <n v="40"/>
    <n v="56"/>
    <n v="0"/>
    <n v="56"/>
    <n v="40"/>
    <m/>
    <m/>
    <n v="0"/>
    <m/>
    <m/>
    <n v="0"/>
    <x v="1"/>
    <n v="0"/>
    <n v="4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LD8YW"/>
    <s v="195515129459"/>
    <s v="UPC"/>
    <x v="1"/>
    <s v="Men's Short Sleeve Workwear Coveralls"/>
    <x v="2"/>
    <s v="Black"/>
    <s v="X- Large- Long"/>
    <s v="-"/>
    <s v="ABMN38003M25-Black_xlargelong"/>
    <s v="Amazon Basics Men's Relaxed Fit Short Sleeve Workwear Coveralls, Black, X- Large- Long"/>
    <s v="Accepted: In stock"/>
    <s v="Ship window (Collect)"/>
    <x v="0"/>
    <x v="0"/>
    <x v="0"/>
    <n v="100"/>
    <n v="100"/>
    <n v="100"/>
    <n v="0"/>
    <n v="100"/>
    <n v="100"/>
    <m/>
    <m/>
    <n v="0"/>
    <m/>
    <m/>
    <n v="0"/>
    <x v="2"/>
    <n v="0"/>
    <n v="10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L7PH7"/>
    <s v="195515129770"/>
    <s v="UPC"/>
    <x v="1"/>
    <s v="Men's Short Sleeve Workwear Coveralls"/>
    <x v="2"/>
    <s v="Navy"/>
    <s v="Large- Regular"/>
    <s v="-"/>
    <s v="ABMN38003M25-Navy_largeregular"/>
    <s v="Amazon Basics Men's Relaxed Fit Short Sleeve Workwear Coveralls, Navy, Large- Regular"/>
    <s v="Accepted: In stock"/>
    <s v="Ship window (Collect)"/>
    <x v="0"/>
    <x v="0"/>
    <x v="0"/>
    <n v="150"/>
    <n v="150"/>
    <n v="160"/>
    <n v="160"/>
    <n v="0"/>
    <n v="-10"/>
    <m/>
    <m/>
    <n v="0"/>
    <m/>
    <m/>
    <n v="150"/>
    <x v="2"/>
    <n v="150"/>
    <n v="0"/>
    <m/>
    <n v="1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L7PH6"/>
    <s v="195515130929"/>
    <s v="UPC"/>
    <x v="1"/>
    <s v="Men's Short Sleeve Workwear Coveralls"/>
    <x v="2"/>
    <s v="White"/>
    <s v="Small- Regular"/>
    <s v="-"/>
    <s v="ABMN38003M25-White_smallregular"/>
    <s v="Amazon Basics Men's Relaxed Fit Short Sleeve Workwear Coveralls, White, Small- Regular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KZWDG"/>
    <s v="195515129411"/>
    <s v="UPC"/>
    <x v="1"/>
    <s v="Men's Long Sleeve Workwear Coveralls"/>
    <x v="1"/>
    <s v="Charcoal"/>
    <s v="Large- Long"/>
    <s v="-"/>
    <s v="ABMN87281M25-Charcoal_largelong"/>
    <s v="Amazon Basics Men's Relaxed Fit Long Sleeve Workwear Coveralls, Charcoal, Large - Long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1"/>
    <n v="0"/>
    <n v="8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KY8KS"/>
    <s v="195515129442"/>
    <s v="UPC"/>
    <x v="1"/>
    <s v="Men's Short Sleeve Workwear Coveralls"/>
    <x v="2"/>
    <s v="Black"/>
    <s v="XXX-Large- Short"/>
    <s v="-"/>
    <s v="ABMN38003M25-Black_xxxlargeshort"/>
    <s v="Amazon Basics Men's Relaxed Fit Short Sleeve Workwear Coveralls, Black, XXX-Large- Short"/>
    <s v="Accepted: In stock"/>
    <s v="Ship window (Collect)"/>
    <x v="0"/>
    <x v="0"/>
    <x v="0"/>
    <n v="50"/>
    <n v="50"/>
    <n v="50"/>
    <n v="0"/>
    <n v="50"/>
    <n v="50"/>
    <m/>
    <m/>
    <n v="0"/>
    <m/>
    <m/>
    <n v="0"/>
    <x v="2"/>
    <n v="0"/>
    <n v="5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KXDLT"/>
    <s v="195515129091"/>
    <s v="UPC"/>
    <x v="1"/>
    <s v="Men's Long Sleeve Workwear Coveralls"/>
    <x v="1"/>
    <s v="Navy"/>
    <s v="X-Large- Long"/>
    <s v="-"/>
    <s v="ABMN87281M25-Navy_xlargelong"/>
    <s v="Amazon Basics Men's Relaxed Fit Long Sleeve Workwear Coveralls, Navy, X Large - Long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1"/>
    <n v="0"/>
    <n v="8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KXDLS"/>
    <s v="195515128056"/>
    <s v="UPC"/>
    <x v="1"/>
    <s v="Men's Duck Utility Workwear Pants"/>
    <x v="3"/>
    <s v="Black"/>
    <s v="36W x 32L"/>
    <s v="-"/>
    <s v="ABMN69404M25-Black_36wx32l"/>
    <s v="Amazon Basics Men's Relaxed Fit Duck Utility Workwear Pants, Black, 36W x 32L"/>
    <s v="Accepted: In stock"/>
    <s v="Ship window (Collect)"/>
    <x v="0"/>
    <x v="0"/>
    <x v="0"/>
    <n v="108"/>
    <n v="108"/>
    <n v="114"/>
    <n v="114"/>
    <n v="0"/>
    <n v="-6"/>
    <m/>
    <m/>
    <n v="0"/>
    <m/>
    <m/>
    <n v="108"/>
    <x v="3"/>
    <n v="108"/>
    <n v="0"/>
    <m/>
    <n v="18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J3LSN"/>
    <s v="195515131605"/>
    <s v="UPC"/>
    <x v="1"/>
    <s v="Men's Duck Utility Workwear Pants"/>
    <x v="3"/>
    <s v="Dark Chestnut Brown"/>
    <s v="34W x 32L"/>
    <s v="-"/>
    <s v="ABMN69404M25-Dark Chestnut Brown_34wx32l"/>
    <s v="Amazon Basics Men's Relaxed Fit Duck Utility Workwear Pants, Dark Chestnut Brown, 34W x 32L"/>
    <s v="Accepted: In stock"/>
    <s v="Ship window (Collect)"/>
    <x v="0"/>
    <x v="0"/>
    <x v="0"/>
    <n v="72"/>
    <n v="72"/>
    <n v="78"/>
    <n v="0"/>
    <n v="78"/>
    <n v="72"/>
    <m/>
    <m/>
    <n v="0"/>
    <m/>
    <m/>
    <n v="0"/>
    <x v="3"/>
    <n v="0"/>
    <n v="72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J2JPB"/>
    <s v="195515129404"/>
    <s v="UPC"/>
    <x v="1"/>
    <s v="Men's Long Sleeve Workwear Coveralls"/>
    <x v="1"/>
    <s v="Charcoal"/>
    <s v="Small- Regular"/>
    <s v="-"/>
    <s v="ABMN87281M25-Charcoal_smallregular"/>
    <s v="Amazon Basics Men's Relaxed Fit Long Sleeve Workwear Coveralls, Charcoal, Small - Regular"/>
    <s v="Accepted: In stock"/>
    <s v="Ship window (Collect)"/>
    <x v="0"/>
    <x v="0"/>
    <x v="0"/>
    <n v="88"/>
    <n v="88"/>
    <n v="88"/>
    <n v="0"/>
    <n v="88"/>
    <n v="88"/>
    <m/>
    <m/>
    <n v="0"/>
    <m/>
    <m/>
    <n v="0"/>
    <x v="1"/>
    <n v="0"/>
    <n v="8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J2FMR"/>
    <s v="195515129671"/>
    <s v="UPC"/>
    <x v="1"/>
    <s v="Men's Short Sleeve Workwear Coveralls"/>
    <x v="2"/>
    <s v="Light Brown"/>
    <s v="Large- Long"/>
    <s v="-"/>
    <s v="ABMN38003M25-Light Brown_largelong"/>
    <s v="Amazon Basics Men's Relaxed Fit Short Sleeve Workwear Coveralls, Light Brown, Large- Long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HW7SH"/>
    <s v="195515131575"/>
    <s v="UPC"/>
    <x v="1"/>
    <s v="Men's Duck Utility Workwear Pants"/>
    <x v="3"/>
    <s v="Dark Chestnut Brown"/>
    <s v="38W x 32L"/>
    <s v="-"/>
    <s v="ABMN69404M25-Dark Chestnut Brown_38wx32l"/>
    <s v="Amazon Basics Men's Relaxed Fit Duck Utility Workwear Pants, Dark Chestnut Brown, 38W x 32L"/>
    <s v="Accepted: In stock"/>
    <s v="Ship window (Collect)"/>
    <x v="0"/>
    <x v="0"/>
    <x v="0"/>
    <n v="66"/>
    <n v="66"/>
    <n v="72"/>
    <n v="72"/>
    <n v="0"/>
    <n v="-6"/>
    <m/>
    <m/>
    <n v="0"/>
    <m/>
    <m/>
    <n v="66"/>
    <x v="3"/>
    <n v="66"/>
    <n v="0"/>
    <m/>
    <n v="11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HQL4H"/>
    <s v="195515129084"/>
    <s v="UPC"/>
    <x v="1"/>
    <s v="Men's Long Sleeve Workwear Coveralls"/>
    <x v="1"/>
    <s v="Navy"/>
    <s v="XX- Large- Long"/>
    <s v="-"/>
    <s v="ABMN87281M25-Navy_xxlargelong"/>
    <s v="Amazon Basics Men's Relaxed Fit Long Sleeve Workwear Coveralls, Navy, XX Large - Long"/>
    <s v="Accepted: In stock"/>
    <s v="Ship window (Collect)"/>
    <x v="0"/>
    <x v="0"/>
    <x v="0"/>
    <n v="120"/>
    <n v="120"/>
    <n v="128"/>
    <n v="0"/>
    <n v="128"/>
    <n v="120"/>
    <m/>
    <m/>
    <n v="0"/>
    <m/>
    <m/>
    <n v="0"/>
    <x v="1"/>
    <n v="0"/>
    <n v="12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HMJ1Y"/>
    <s v="195515128124"/>
    <s v="UPC"/>
    <x v="1"/>
    <s v="Men's Duck Utility Workwear Pants"/>
    <x v="3"/>
    <s v="Black"/>
    <s v="42W x 30L"/>
    <s v="-"/>
    <s v="ABMN69404M25-Black_42wx30l"/>
    <s v="Amazon Basics Men's Relaxed Fit Duck Utility Workwear Pants, Black, 42W x 30L"/>
    <s v="Accepted: In stock"/>
    <s v="Ship window (Collect)"/>
    <x v="0"/>
    <x v="0"/>
    <x v="0"/>
    <n v="30"/>
    <n v="30"/>
    <n v="30"/>
    <n v="30"/>
    <n v="0"/>
    <n v="0"/>
    <m/>
    <m/>
    <n v="0"/>
    <m/>
    <m/>
    <n v="30"/>
    <x v="3"/>
    <n v="30"/>
    <n v="0"/>
    <m/>
    <n v="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HBYL4"/>
    <s v="195515130806"/>
    <s v="UPC"/>
    <x v="1"/>
    <s v="Men's Short Sleeve Workwear Coveralls"/>
    <x v="2"/>
    <s v="White"/>
    <s v="Medium- Short"/>
    <s v="-"/>
    <s v="ABMN38003M25-White_mediumshort"/>
    <s v="Amazon Basics Men's Relaxed Fit Short Sleeve Workwear Coveralls, White, Medium- Short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HBK9L"/>
    <s v="195515129572"/>
    <s v="UPC"/>
    <x v="1"/>
    <s v="Men's Short Sleeve Workwear Coveralls"/>
    <x v="2"/>
    <s v="Black"/>
    <s v="Large- Short"/>
    <s v="-"/>
    <s v="ABMN38003M25-Black_largeshort"/>
    <s v="Amazon Basics Men's Relaxed Fit Short Sleeve Workwear Coveralls, Black, Large- Short"/>
    <s v="Accepted: In stock"/>
    <s v="Ship window (Collect)"/>
    <x v="0"/>
    <x v="0"/>
    <x v="0"/>
    <n v="110"/>
    <n v="110"/>
    <n v="110"/>
    <n v="0"/>
    <n v="110"/>
    <n v="110"/>
    <m/>
    <m/>
    <n v="0"/>
    <m/>
    <m/>
    <n v="0"/>
    <x v="2"/>
    <n v="0"/>
    <n v="11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HB7JD"/>
    <s v="195515130950"/>
    <s v="UPC"/>
    <x v="1"/>
    <s v="Men's Short Sleeve Workwear Coveralls"/>
    <x v="2"/>
    <s v="Charcoal"/>
    <s v="Medium- Short"/>
    <s v="-"/>
    <s v="ABMN38003M25-Charcoal_mediumshort"/>
    <s v="Amazon Basics Men's Relaxed Fit Short Sleeve Workwear Coveralls, Charcoal, Medium- Short"/>
    <s v="Accepted: In stock"/>
    <s v="Ship window (Collect)"/>
    <x v="0"/>
    <x v="0"/>
    <x v="0"/>
    <n v="110"/>
    <n v="110"/>
    <n v="110"/>
    <n v="0"/>
    <n v="110"/>
    <n v="110"/>
    <m/>
    <m/>
    <n v="0"/>
    <m/>
    <m/>
    <n v="0"/>
    <x v="2"/>
    <n v="0"/>
    <n v="11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FZ9K3"/>
    <s v="195515131056"/>
    <s v="UPC"/>
    <x v="1"/>
    <s v="Men's Short Sleeve Workwear Coveralls"/>
    <x v="2"/>
    <s v="Charcoal"/>
    <s v="X- Large- Regular"/>
    <s v="-"/>
    <s v="ABMN38003M25-Charcoal_xlargeregular"/>
    <s v="Amazon Basics Men's Relaxed Fit Short Sleeve Workwear Coveralls, Charcoal, X- Large- Regular"/>
    <s v="Accepted: In stock"/>
    <s v="Ship window (Collect)"/>
    <x v="0"/>
    <x v="0"/>
    <x v="0"/>
    <n v="150"/>
    <n v="150"/>
    <n v="160"/>
    <n v="0"/>
    <n v="160"/>
    <n v="150"/>
    <m/>
    <m/>
    <n v="0"/>
    <m/>
    <m/>
    <n v="0"/>
    <x v="2"/>
    <n v="0"/>
    <n v="15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FPD5C"/>
    <s v="195515129787"/>
    <s v="UPC"/>
    <x v="1"/>
    <s v="Men's Short Sleeve Workwear Coveralls"/>
    <x v="2"/>
    <s v="Navy"/>
    <s v="Medium- Short"/>
    <s v="-"/>
    <s v="ABMN38003M25-Navy_mediumshort"/>
    <s v="Amazon Basics Men's Relaxed Fit Short Sleeve Workwear Coveralls, Navy, Medium- Short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FMQDC"/>
    <s v="195515129503"/>
    <s v="UPC"/>
    <x v="1"/>
    <s v="Men's Short Sleeve Workwear Coveralls"/>
    <x v="2"/>
    <s v="Black"/>
    <s v="XXX- Large- Regular"/>
    <s v="-"/>
    <s v="ABMN38003M25-Black_xxxlargeregular"/>
    <s v="Amazon Basics Men's Relaxed Fit Short Sleeve Workwear Coveralls, Black, XXX- Large- Regular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2"/>
    <n v="0"/>
    <n v="8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FGRKL"/>
    <s v="195515127974"/>
    <s v="UPC"/>
    <x v="1"/>
    <s v="Men's Duck Utility Workwear Pants"/>
    <x v="3"/>
    <s v="Chocolate"/>
    <s v="38W x 34L"/>
    <s v="-"/>
    <s v="ABMN69404M25-Chocolate_38wx34l"/>
    <s v="Amazon Basics Men's Relaxed Fit Duck Utility Workwear Pants, Chocolate, 38W x 34L"/>
    <s v="Accepted: In stock"/>
    <s v="Ship window (Collect)"/>
    <x v="0"/>
    <x v="0"/>
    <x v="0"/>
    <n v="84"/>
    <n v="84"/>
    <n v="90"/>
    <n v="90"/>
    <n v="0"/>
    <n v="-6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F9GND"/>
    <s v="195515129916"/>
    <s v="UPC"/>
    <x v="1"/>
    <s v="Men's Short Sleeve Workwear Coveralls"/>
    <x v="2"/>
    <s v="Navy"/>
    <s v="Small- Regular"/>
    <s v="-"/>
    <s v="ABMN38003M25-Navy_smallregular"/>
    <s v="Amazon Basics Men's Relaxed Fit Short Sleeve Workwear Coveralls, Navy, Small- Regular"/>
    <s v="Accepted: In stock"/>
    <s v="Ship window (Collect)"/>
    <x v="0"/>
    <x v="0"/>
    <x v="0"/>
    <n v="90"/>
    <n v="90"/>
    <n v="90"/>
    <n v="90"/>
    <n v="0"/>
    <n v="0"/>
    <m/>
    <m/>
    <n v="0"/>
    <m/>
    <m/>
    <n v="90"/>
    <x v="2"/>
    <n v="90"/>
    <n v="0"/>
    <m/>
    <n v="9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F6NFV"/>
    <s v="195515131629"/>
    <s v="UPC"/>
    <x v="1"/>
    <s v="Men's Duck Utility Workwear Pants"/>
    <x v="3"/>
    <s v="Dark Chestnut Brown"/>
    <s v="38W x 30L"/>
    <s v="-"/>
    <s v="ABMN69404M25-Dark Chestnut Brown_38wx30l"/>
    <s v="Amazon Basics Men's Relaxed Fit Duck Utility Workwear Pants, Dark Chestnut Brown, 38W x 30L"/>
    <s v="Accepted: In stock"/>
    <s v="Ship window (Collect)"/>
    <x v="0"/>
    <x v="0"/>
    <x v="0"/>
    <n v="18"/>
    <n v="18"/>
    <n v="18"/>
    <n v="18"/>
    <n v="0"/>
    <n v="0"/>
    <m/>
    <m/>
    <n v="0"/>
    <m/>
    <m/>
    <n v="18"/>
    <x v="3"/>
    <n v="18"/>
    <n v="0"/>
    <m/>
    <n v="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F6149"/>
    <s v="195515130912"/>
    <s v="UPC"/>
    <x v="1"/>
    <s v="Men's Short Sleeve Workwear Coveralls"/>
    <x v="2"/>
    <s v="White"/>
    <s v="Medium- Long"/>
    <s v="-"/>
    <s v="ABMN38003M25-White_mediumlong"/>
    <s v="Amazon Basics Men's Relaxed Fit Short Sleeve Workwear Coveralls, White, Medium- Long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F4XY9"/>
    <s v="195515129343"/>
    <s v="UPC"/>
    <x v="1"/>
    <s v="Men's Long Sleeve Workwear Coveralls"/>
    <x v="1"/>
    <s v="Charcoal"/>
    <s v="Large- Short"/>
    <s v="-"/>
    <s v="ABMN87281M25-Charcoal_largeshort"/>
    <s v="Amazon Basics Men's Relaxed Fit Long Sleeve Workwear Coveralls, Charcoal, Large - Short"/>
    <s v="Accepted: In stock"/>
    <s v="Ship window (Collect)"/>
    <x v="0"/>
    <x v="0"/>
    <x v="0"/>
    <n v="56"/>
    <n v="56"/>
    <n v="56"/>
    <n v="0"/>
    <n v="56"/>
    <n v="56"/>
    <m/>
    <m/>
    <n v="0"/>
    <m/>
    <m/>
    <n v="0"/>
    <x v="1"/>
    <n v="0"/>
    <n v="5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F11ZB"/>
    <s v="195515129695"/>
    <s v="UPC"/>
    <x v="1"/>
    <s v="Men's Short Sleeve Workwear Coveralls"/>
    <x v="2"/>
    <s v="Light Brown"/>
    <s v="Medium- Regular"/>
    <s v="-"/>
    <s v="ABMN38003M25-Light Brown_mediumregular"/>
    <s v="Amazon Basics Men's Relaxed Fit Short Sleeve Workwear Coveralls, Light Brown, Medium- Regular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DXNDQ"/>
    <s v="195515129299"/>
    <s v="UPC"/>
    <x v="1"/>
    <s v="Men's Long Sleeve Workwear Coveralls"/>
    <x v="1"/>
    <s v="Charcoal"/>
    <s v="XXX-Large- Short"/>
    <s v="-"/>
    <s v="ABMN87281M25-Charcoal_xxxlargeshort"/>
    <s v="Amazon Basics Men's Relaxed Fit Long Sleeve Workwear Coveralls, Charcoal, XXX Large - Short"/>
    <s v="Accepted: In stock"/>
    <s v="Ship window (Collect)"/>
    <x v="0"/>
    <x v="0"/>
    <x v="0"/>
    <n v="40"/>
    <n v="40"/>
    <n v="40"/>
    <n v="0"/>
    <n v="40"/>
    <n v="40"/>
    <m/>
    <m/>
    <n v="0"/>
    <m/>
    <m/>
    <n v="0"/>
    <x v="1"/>
    <n v="0"/>
    <n v="4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C2HPT"/>
    <s v="195515130974"/>
    <s v="UPC"/>
    <x v="1"/>
    <s v="Men's Short Sleeve Workwear Coveralls"/>
    <x v="2"/>
    <s v="Charcoal"/>
    <s v="XXX-Large- Short"/>
    <s v="-"/>
    <s v="ABMN38003M25-Charcoal_xxxlargeshort"/>
    <s v="Amazon Basics Men's Relaxed Fit Short Sleeve Workwear Coveralls, Charcoal, XXX-Large- Short"/>
    <s v="Accepted: In stock"/>
    <s v="Ship window (Collect)"/>
    <x v="0"/>
    <x v="0"/>
    <x v="0"/>
    <n v="70"/>
    <n v="70"/>
    <n v="70"/>
    <n v="0"/>
    <n v="70"/>
    <n v="70"/>
    <m/>
    <m/>
    <n v="0"/>
    <m/>
    <m/>
    <n v="0"/>
    <x v="2"/>
    <n v="0"/>
    <n v="7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C2B7M"/>
    <s v="195515131513"/>
    <s v="UPC"/>
    <x v="1"/>
    <s v="Men's Duck Utility Workwear Pants"/>
    <x v="3"/>
    <s v="Dark Chestnut Brown"/>
    <s v="30W x 30L"/>
    <s v="-"/>
    <s v="ABMN69404M25-Dark Chestnut Brown_30wx30l"/>
    <s v="Amazon Basics Men's Relaxed Fit Duck Utility Workwear Pants, Dark Chestnut Brown, 30W x 30L"/>
    <s v="Accepted: In stock"/>
    <s v="Ship window (Collect)"/>
    <x v="0"/>
    <x v="0"/>
    <x v="0"/>
    <n v="84"/>
    <n v="84"/>
    <n v="90"/>
    <n v="90"/>
    <n v="0"/>
    <n v="-6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C1X6F"/>
    <s v="195515129831"/>
    <s v="UPC"/>
    <x v="1"/>
    <s v="Men's Short Sleeve Workwear Coveralls"/>
    <x v="2"/>
    <s v="Navy"/>
    <s v="XX- Large- Regular"/>
    <s v="-"/>
    <s v="ABMN38003M25-Navy_xxlargeregular"/>
    <s v="Amazon Basics Men's Relaxed Fit Short Sleeve Workwear Coveralls, Navy, XX- Large- Regular"/>
    <s v="Accepted: In stock"/>
    <s v="Ship window (Collect)"/>
    <x v="0"/>
    <x v="0"/>
    <x v="0"/>
    <n v="110"/>
    <n v="110"/>
    <n v="120"/>
    <n v="120"/>
    <n v="0"/>
    <n v="-10"/>
    <m/>
    <m/>
    <n v="0"/>
    <m/>
    <m/>
    <n v="110"/>
    <x v="2"/>
    <n v="110"/>
    <n v="0"/>
    <m/>
    <n v="11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C1W56"/>
    <s v="195515131766"/>
    <s v="UPC"/>
    <x v="1"/>
    <s v="Men's Duck Utility Workwear Pants"/>
    <x v="3"/>
    <s v="Chocolate"/>
    <s v="34W x 34L"/>
    <s v="-"/>
    <s v="ABMN69404M25-Chocolate_34wx34l"/>
    <s v="Amazon Basics Men's Relaxed Fit Duck Utility Workwear Pants, Chocolate, 34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C1PYH"/>
    <s v="195515129282"/>
    <s v="UPC"/>
    <x v="1"/>
    <s v="Men's Long Sleeve Workwear Coveralls"/>
    <x v="1"/>
    <s v="Charcoal"/>
    <s v="X-Large- Long"/>
    <s v="-"/>
    <s v="ABMN87281M25-Charcoal_xlargelong"/>
    <s v="Amazon Basics Men's Relaxed Fit Long Sleeve Workwear Coveralls, Charcoal, X Large - Long"/>
    <s v="Accepted: In stock"/>
    <s v="Ship window (Collect)"/>
    <x v="0"/>
    <x v="0"/>
    <x v="0"/>
    <n v="40"/>
    <n v="40"/>
    <n v="48"/>
    <n v="0"/>
    <n v="48"/>
    <n v="40"/>
    <m/>
    <m/>
    <n v="0"/>
    <m/>
    <m/>
    <n v="0"/>
    <x v="1"/>
    <n v="0"/>
    <n v="4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BZTC1"/>
    <s v="195515131636"/>
    <s v="UPC"/>
    <x v="1"/>
    <s v="Men's Duck Utility Workwear Pants"/>
    <x v="3"/>
    <s v="Dark Chestnut Brown"/>
    <s v="30W x 32L"/>
    <s v="-"/>
    <s v="ABMN69404M25-Dark Chestnut Brown_30wx32l"/>
    <s v="Amazon Basics Men's Relaxed Fit Duck Utility Workwear Pants, Dark Chestnut Brown, 30W x 32L"/>
    <s v="Accepted: In stock"/>
    <s v="Ship window (Collect)"/>
    <x v="0"/>
    <x v="0"/>
    <x v="0"/>
    <n v="84"/>
    <n v="84"/>
    <n v="90"/>
    <n v="90"/>
    <n v="0"/>
    <n v="-6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BZRG8"/>
    <s v="195515129541"/>
    <s v="UPC"/>
    <x v="1"/>
    <s v="Men's Long Sleeve Workwear Coveralls"/>
    <x v="1"/>
    <s v="Charcoal"/>
    <s v="Large- Regular"/>
    <s v="-"/>
    <s v="ABMN87281M25-Charcoal_largeregular"/>
    <s v="Amazon Basics Men's Relaxed Fit Long Sleeve Workwear Coveralls, Charcoal, Large - Regular"/>
    <s v="Accepted: In stock"/>
    <s v="Ship window (Collect)"/>
    <x v="0"/>
    <x v="0"/>
    <x v="0"/>
    <n v="104"/>
    <n v="104"/>
    <n v="112"/>
    <n v="0"/>
    <n v="112"/>
    <n v="104"/>
    <m/>
    <m/>
    <n v="0"/>
    <m/>
    <m/>
    <n v="0"/>
    <x v="1"/>
    <n v="0"/>
    <n v="10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BSW65"/>
    <s v="195515131681"/>
    <s v="UPC"/>
    <x v="1"/>
    <s v="Men's Duck Utility Workwear Pants"/>
    <x v="3"/>
    <s v="Dark Chestnut Brown"/>
    <s v="36W x 30L"/>
    <s v="-"/>
    <s v="ABMN69404M25-Dark Chestnut Brown_36wx30l"/>
    <s v="Amazon Basics Men's Relaxed Fit Duck Utility Workwear Pants, Dark Chestnut Brown, 36W x 30L"/>
    <s v="Accepted: In stock"/>
    <s v="Ship window (Collect)"/>
    <x v="0"/>
    <x v="0"/>
    <x v="0"/>
    <n v="90"/>
    <n v="90"/>
    <n v="96"/>
    <n v="96"/>
    <n v="0"/>
    <n v="-6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BRCVB"/>
    <s v="195515129466"/>
    <s v="UPC"/>
    <x v="1"/>
    <s v="Men's Short Sleeve Workwear Coveralls"/>
    <x v="2"/>
    <s v="Black"/>
    <s v="XX- Large- Long"/>
    <s v="-"/>
    <s v="ABMN38003M25-Black_xxlargelong"/>
    <s v="Amazon Basics Men's Relaxed Fit Short Sleeve Workwear Coveralls, Black, XX- Large- Long"/>
    <s v="Accepted: In stock"/>
    <s v="Ship window (Collect)"/>
    <x v="0"/>
    <x v="0"/>
    <x v="0"/>
    <n v="70"/>
    <n v="70"/>
    <n v="70"/>
    <n v="0"/>
    <n v="70"/>
    <n v="70"/>
    <m/>
    <m/>
    <n v="0"/>
    <m/>
    <m/>
    <n v="0"/>
    <x v="2"/>
    <n v="0"/>
    <n v="7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BJRF2"/>
    <s v="195515129060"/>
    <s v="UPC"/>
    <x v="1"/>
    <s v="Men's Long Sleeve Workwear Coveralls"/>
    <x v="1"/>
    <s v="Navy"/>
    <s v="Medium- Short"/>
    <s v="-"/>
    <s v="ABMN87281M25-Navy_mediumshort"/>
    <s v="Amazon Basics Men's Relaxed Fit Long Sleeve Workwear Coveralls, Navy, Medium - Short"/>
    <s v="Accepted: In stock"/>
    <s v="Ship window (Collect)"/>
    <x v="0"/>
    <x v="0"/>
    <x v="0"/>
    <n v="128"/>
    <n v="128"/>
    <n v="136"/>
    <n v="0"/>
    <n v="136"/>
    <n v="128"/>
    <m/>
    <m/>
    <n v="0"/>
    <m/>
    <m/>
    <n v="0"/>
    <x v="1"/>
    <n v="0"/>
    <n v="12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BDNL9"/>
    <s v="195515129565"/>
    <s v="UPC"/>
    <x v="1"/>
    <s v="Men's Short Sleeve Workwear Coveralls"/>
    <x v="2"/>
    <s v="Black"/>
    <s v="XX- Large- Short"/>
    <s v="-"/>
    <s v="ABMN38003M25-Black_xxlargeshort"/>
    <s v="Amazon Basics Men's Relaxed Fit Short Sleeve Workwear Coveralls, Black, XX- Large- Short"/>
    <s v="Accepted: In stock"/>
    <s v="Ship window (Collect)"/>
    <x v="0"/>
    <x v="0"/>
    <x v="0"/>
    <n v="60"/>
    <n v="60"/>
    <n v="60"/>
    <n v="0"/>
    <n v="60"/>
    <n v="60"/>
    <m/>
    <m/>
    <n v="0"/>
    <m/>
    <m/>
    <n v="0"/>
    <x v="2"/>
    <n v="0"/>
    <n v="6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BCHMZ"/>
    <s v="195515129145"/>
    <s v="UPC"/>
    <x v="1"/>
    <s v="Men's Long Sleeve Workwear Coveralls"/>
    <x v="1"/>
    <s v="Navy"/>
    <s v="Medium- Long"/>
    <s v="-"/>
    <s v="ABMN87281M25-Navy_mediumlong"/>
    <s v="Amazon Basics Men's Relaxed Fit Long Sleeve Workwear Coveralls, Navy, Medium - Long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1"/>
    <n v="0"/>
    <n v="8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BBD4P"/>
    <s v="195515128162"/>
    <s v="UPC"/>
    <x v="1"/>
    <s v="Men's Duck Utility Workwear Pants"/>
    <x v="3"/>
    <s v="Black"/>
    <s v="36W x 34L"/>
    <s v="-"/>
    <s v="ABMN69404M25-Black_36wx34l"/>
    <s v="Amazon Basics Men's Relaxed Fit Duck Utility Workwear Pants, Black, 36W x 34L"/>
    <s v="Accepted: In stock"/>
    <s v="Ship window (Collect)"/>
    <x v="0"/>
    <x v="0"/>
    <x v="0"/>
    <n v="42"/>
    <n v="42"/>
    <n v="42"/>
    <n v="42"/>
    <n v="0"/>
    <n v="0"/>
    <m/>
    <m/>
    <n v="0"/>
    <m/>
    <m/>
    <n v="42"/>
    <x v="3"/>
    <n v="42"/>
    <n v="0"/>
    <m/>
    <n v="7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B8DGZ"/>
    <s v="195515129169"/>
    <s v="UPC"/>
    <x v="1"/>
    <s v="Men's Long Sleeve Workwear Coveralls"/>
    <x v="1"/>
    <s v="Navy"/>
    <s v="XXX-Large- Regular"/>
    <s v="-"/>
    <s v="ABMN87281M25-Navy_xxxlargeregular"/>
    <s v="Amazon Basics Men's Relaxed Fit Long Sleeve Workwear Coveralls, Navy, XXX Large - Regular"/>
    <s v="Accepted: In stock"/>
    <s v="Ship window (Collect)"/>
    <x v="0"/>
    <x v="0"/>
    <x v="0"/>
    <n v="64"/>
    <n v="64"/>
    <n v="64"/>
    <n v="0"/>
    <n v="64"/>
    <n v="64"/>
    <m/>
    <m/>
    <n v="0"/>
    <m/>
    <m/>
    <n v="0"/>
    <x v="1"/>
    <n v="0"/>
    <n v="6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B7NVT"/>
    <s v="195515128117"/>
    <s v="UPC"/>
    <x v="1"/>
    <s v="Men's Duck Utility Workwear Pants"/>
    <x v="3"/>
    <s v="Chocolate"/>
    <s v="42W x 32L"/>
    <s v="-"/>
    <s v="ABMN69404M25-Chocolate_42wx32l"/>
    <s v="Amazon Basics Men's Relaxed Fit Duck Utility Workwear Pants, Chocolate, 42W x 32L"/>
    <s v="Accepted: In stock"/>
    <s v="Ship window (Collect)"/>
    <x v="0"/>
    <x v="0"/>
    <x v="0"/>
    <n v="12"/>
    <n v="12"/>
    <n v="12"/>
    <n v="0"/>
    <n v="12"/>
    <n v="12"/>
    <m/>
    <m/>
    <n v="0"/>
    <m/>
    <m/>
    <n v="0"/>
    <x v="3"/>
    <n v="0"/>
    <n v="12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B7C8P"/>
    <s v="195515131346"/>
    <s v="UPC"/>
    <x v="1"/>
    <s v="Men's Duck Utility Workwear Pants"/>
    <x v="3"/>
    <s v="Light Brown"/>
    <s v="42W x 30L"/>
    <s v="-"/>
    <s v="ABMN69404M25-Light Brown_42wx30l"/>
    <s v="Amazon Basics Men's Relaxed Fit Duck Utility Workwear Pants, Light Brown, 42W x 30L"/>
    <s v="Accepted: In stock"/>
    <s v="Ship window (Collect)"/>
    <x v="0"/>
    <x v="0"/>
    <x v="0"/>
    <n v="72"/>
    <n v="72"/>
    <n v="78"/>
    <n v="78"/>
    <n v="0"/>
    <n v="-6"/>
    <m/>
    <m/>
    <n v="0"/>
    <m/>
    <m/>
    <n v="72"/>
    <x v="3"/>
    <n v="72"/>
    <n v="0"/>
    <m/>
    <n v="12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B7C81"/>
    <s v="195515128179"/>
    <s v="UPC"/>
    <x v="1"/>
    <s v="Men's Duck Utility Workwear Pants"/>
    <x v="3"/>
    <s v="Black"/>
    <s v="36W x 30L"/>
    <s v="-"/>
    <s v="ABMN69404M25-Black_36wx30l"/>
    <s v="Amazon Basics Men's Relaxed Fit Duck Utility Workwear Pants, Black, 36W x 30L"/>
    <s v="Accepted: In stock"/>
    <s v="Ship window (Collect)"/>
    <x v="0"/>
    <x v="0"/>
    <x v="0"/>
    <n v="54"/>
    <n v="54"/>
    <n v="54"/>
    <n v="54"/>
    <n v="0"/>
    <n v="0"/>
    <m/>
    <m/>
    <n v="0"/>
    <m/>
    <m/>
    <n v="54"/>
    <x v="3"/>
    <n v="54"/>
    <n v="0"/>
    <m/>
    <n v="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9YVZ3"/>
    <s v="195515128933"/>
    <s v="UPC"/>
    <x v="1"/>
    <s v="Men's Long Sleeve Workwear Coveralls"/>
    <x v="1"/>
    <s v="Black"/>
    <s v="X-Large- Long"/>
    <s v="-"/>
    <s v="ABMN87281M25-Black_xlargelong"/>
    <s v="Amazon Basics Men's Relaxed Fit Long Sleeve Workwear Coveralls, Black, X Large - Long"/>
    <s v="Accepted: In stock"/>
    <s v="Ship window (Collect)"/>
    <x v="0"/>
    <x v="0"/>
    <x v="0"/>
    <n v="128"/>
    <n v="128"/>
    <n v="136"/>
    <n v="0"/>
    <n v="136"/>
    <n v="128"/>
    <m/>
    <m/>
    <n v="0"/>
    <m/>
    <m/>
    <n v="0"/>
    <x v="1"/>
    <n v="0"/>
    <n v="12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9YVZ2"/>
    <s v="195515129756"/>
    <s v="UPC"/>
    <x v="1"/>
    <s v="Men's Short Sleeve Workwear Coveralls"/>
    <x v="2"/>
    <s v="Light Brown"/>
    <s v="XX- Large- Short"/>
    <s v="-"/>
    <s v="ABMN38003M25-Light Brown_xxlargeshort"/>
    <s v="Amazon Basics Men's Relaxed Fit Short Sleeve Workwear Coveralls, Light Brown, XX- Large- Short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9VFGF"/>
    <s v="195515128926"/>
    <s v="UPC"/>
    <x v="1"/>
    <s v="Men's Long Sleeve Workwear Coveralls"/>
    <x v="1"/>
    <s v="Black"/>
    <s v="XX- Large- Long"/>
    <s v="-"/>
    <s v="ABMN87281M25-Black_xxlargelong"/>
    <s v="Amazon Basics Men's Relaxed Fit Long Sleeve Workwear Coveralls, Black, XX Large - Long"/>
    <s v="Accepted: In stock"/>
    <s v="Ship window (Collect)"/>
    <x v="0"/>
    <x v="0"/>
    <x v="0"/>
    <n v="96"/>
    <n v="96"/>
    <n v="96"/>
    <n v="0"/>
    <n v="96"/>
    <n v="96"/>
    <m/>
    <m/>
    <n v="0"/>
    <m/>
    <m/>
    <n v="0"/>
    <x v="1"/>
    <n v="0"/>
    <n v="9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9VFFL"/>
    <s v="195515129176"/>
    <s v="UPC"/>
    <x v="1"/>
    <s v="Men's Long Sleeve Workwear Coveralls"/>
    <x v="1"/>
    <s v="Navy"/>
    <s v="Small- Short"/>
    <s v="-"/>
    <s v="ABMN87281M25-Navy_smallshort"/>
    <s v="Amazon Basics Men's Relaxed Fit Long Sleeve Workwear Coveralls, Navy, Small - Short"/>
    <s v="Accepted: In stock"/>
    <s v="Ship window (Collect)"/>
    <x v="0"/>
    <x v="0"/>
    <x v="0"/>
    <n v="104"/>
    <n v="104"/>
    <n v="112"/>
    <n v="0"/>
    <n v="112"/>
    <n v="104"/>
    <m/>
    <m/>
    <n v="0"/>
    <m/>
    <m/>
    <n v="0"/>
    <x v="1"/>
    <n v="0"/>
    <n v="10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9TVZM"/>
    <s v="195515130813"/>
    <s v="UPC"/>
    <x v="1"/>
    <s v="Men's Short Sleeve Workwear Coveralls"/>
    <x v="2"/>
    <s v="White"/>
    <s v="Medium- Regular"/>
    <s v="-"/>
    <s v="ABMN38003M25-White_mediumregular"/>
    <s v="Amazon Basics Men's Relaxed Fit Short Sleeve Workwear Coveralls, White, Medium- Regular"/>
    <s v="Accepted: In stock"/>
    <s v="Ship window (Collect)"/>
    <x v="0"/>
    <x v="0"/>
    <x v="0"/>
    <n v="160"/>
    <n v="160"/>
    <n v="170"/>
    <n v="170"/>
    <n v="0"/>
    <n v="-10"/>
    <m/>
    <m/>
    <n v="0"/>
    <m/>
    <m/>
    <n v="160"/>
    <x v="2"/>
    <n v="160"/>
    <n v="0"/>
    <m/>
    <n v="1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9SRJ1"/>
    <s v="195515128988"/>
    <s v="UPC"/>
    <x v="1"/>
    <s v="Men's Long Sleeve Workwear Coveralls"/>
    <x v="1"/>
    <s v="Black"/>
    <s v="Medium- Long"/>
    <s v="-"/>
    <s v="ABMN87281M25-Black_mediumlong"/>
    <s v="Amazon Basics Men's Relaxed Fit Long Sleeve Workwear Coveralls, Black, Medium - Long"/>
    <s v="Accepted: In stock"/>
    <s v="Ship window (Collect)"/>
    <x v="0"/>
    <x v="0"/>
    <x v="0"/>
    <n v="16"/>
    <n v="16"/>
    <n v="80"/>
    <n v="0"/>
    <n v="80"/>
    <n v="16"/>
    <m/>
    <m/>
    <n v="0"/>
    <m/>
    <m/>
    <n v="0"/>
    <x v="1"/>
    <n v="0"/>
    <n v="1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9SRHK"/>
    <s v="195515129398"/>
    <s v="UPC"/>
    <x v="1"/>
    <s v="Men's Long Sleeve Workwear Coveralls"/>
    <x v="1"/>
    <s v="Charcoal"/>
    <s v="Medium- Regular"/>
    <s v="-"/>
    <s v="ABMN87281M25-Charcoal_mediumregular"/>
    <s v="Amazon Basics Men's Relaxed Fit Long Sleeve Workwear Coveralls, Charcoal, Medium - Regular"/>
    <s v="Accepted: In stock"/>
    <s v="Ship window (Collect)"/>
    <x v="0"/>
    <x v="0"/>
    <x v="0"/>
    <n v="184"/>
    <n v="184"/>
    <n v="192"/>
    <n v="0"/>
    <n v="192"/>
    <n v="184"/>
    <m/>
    <m/>
    <n v="0"/>
    <m/>
    <m/>
    <n v="0"/>
    <x v="1"/>
    <n v="0"/>
    <n v="18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9P37G"/>
    <s v="195515131490"/>
    <s v="UPC"/>
    <x v="1"/>
    <s v="Men's Duck Utility Workwear Pants"/>
    <x v="3"/>
    <s v="Light Brown"/>
    <s v="36W x 30L"/>
    <s v="-"/>
    <s v="ABMN69404M25-Light Brown_36wx30l"/>
    <s v="Amazon Basics Men's Relaxed Fit Duck Utility Workwear Pants, Light Brown, 36W x 30L"/>
    <s v="Accepted: In stock"/>
    <s v="Ship window (Collect)"/>
    <x v="0"/>
    <x v="0"/>
    <x v="0"/>
    <n v="18"/>
    <n v="18"/>
    <n v="18"/>
    <n v="18"/>
    <n v="0"/>
    <n v="0"/>
    <m/>
    <m/>
    <n v="0"/>
    <m/>
    <m/>
    <n v="18"/>
    <x v="3"/>
    <n v="18"/>
    <n v="0"/>
    <m/>
    <n v="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9D5W2"/>
    <s v="195515131483"/>
    <s v="UPC"/>
    <x v="1"/>
    <s v="Men's Duck Utility Workwear Pants"/>
    <x v="3"/>
    <s v="Light Brown"/>
    <s v="34W x 30L"/>
    <s v="-"/>
    <s v="ABMN69404M25-Light Brown_34wx30l"/>
    <s v="Amazon Basics Men's Relaxed Fit Duck Utility Workwear Pants, Light Brown, 34W x 30L"/>
    <s v="Accepted: In stock"/>
    <s v="Ship window (Collect)"/>
    <x v="0"/>
    <x v="0"/>
    <x v="0"/>
    <n v="114"/>
    <n v="114"/>
    <n v="120"/>
    <n v="120"/>
    <n v="0"/>
    <n v="-6"/>
    <m/>
    <m/>
    <n v="0"/>
    <m/>
    <m/>
    <n v="114"/>
    <x v="3"/>
    <n v="114"/>
    <n v="0"/>
    <m/>
    <n v="1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97KBV"/>
    <s v="195515129732"/>
    <s v="UPC"/>
    <x v="1"/>
    <s v="Men's Short Sleeve Workwear Coveralls"/>
    <x v="2"/>
    <s v="Light Brown"/>
    <s v="X- Large- Short"/>
    <s v="-"/>
    <s v="ABMN38003M25-Light Brown_xlargeshort"/>
    <s v="Amazon Basics Men's Relaxed Fit Short Sleeve Workwear Coveralls, Light Brown, X- Large- Short"/>
    <s v="Accepted: In stock"/>
    <s v="Ship window (Collect)"/>
    <x v="0"/>
    <x v="0"/>
    <x v="0"/>
    <n v="110"/>
    <n v="110"/>
    <n v="120"/>
    <n v="120"/>
    <n v="0"/>
    <n v="-10"/>
    <m/>
    <m/>
    <n v="0"/>
    <m/>
    <m/>
    <n v="110"/>
    <x v="2"/>
    <n v="110"/>
    <n v="0"/>
    <m/>
    <n v="11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968F6"/>
    <s v="195515129534"/>
    <s v="UPC"/>
    <x v="1"/>
    <s v="Men's Short Sleeve Workwear Coveralls"/>
    <x v="2"/>
    <s v="Black"/>
    <s v="Medium- Long"/>
    <s v="-"/>
    <s v="ABMN38003M25-Black_mediumlong"/>
    <s v="Amazon Basics Men's Relaxed Fit Short Sleeve Workwear Coveralls, Black, Medium- Long"/>
    <s v="Accepted: In stock"/>
    <s v="Ship window (Collect)"/>
    <x v="0"/>
    <x v="0"/>
    <x v="0"/>
    <n v="50"/>
    <n v="50"/>
    <n v="50"/>
    <n v="0"/>
    <n v="50"/>
    <n v="50"/>
    <m/>
    <m/>
    <n v="0"/>
    <m/>
    <m/>
    <n v="0"/>
    <x v="2"/>
    <n v="0"/>
    <n v="5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8352B"/>
    <s v="195515129268"/>
    <s v="UPC"/>
    <x v="1"/>
    <s v="Men's Long Sleeve Workwear Coveralls"/>
    <x v="1"/>
    <s v="Navy"/>
    <s v="XXX-Large- Long"/>
    <s v="-"/>
    <s v="ABMN87281M25-Navy_xxxlargelong"/>
    <s v="Amazon Basics Men's Relaxed Fit Long Sleeve Workwear Coveralls, Navy, XXX Large - Long"/>
    <s v="Accepted: In stock"/>
    <s v="Ship window (Collect)"/>
    <x v="0"/>
    <x v="0"/>
    <x v="0"/>
    <n v="56"/>
    <n v="56"/>
    <n v="56"/>
    <n v="0"/>
    <n v="56"/>
    <n v="56"/>
    <m/>
    <m/>
    <n v="0"/>
    <m/>
    <m/>
    <n v="0"/>
    <x v="1"/>
    <n v="0"/>
    <n v="5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8351B"/>
    <s v="195515128049"/>
    <s v="UPC"/>
    <x v="1"/>
    <s v="Men's Duck Utility Workwear Pants"/>
    <x v="3"/>
    <s v="Black"/>
    <s v="32W x 32L"/>
    <s v="-"/>
    <s v="ABMN69404M25-Black_32wx32l"/>
    <s v="Amazon Basics Men's Relaxed Fit Duck Utility Workwear Pants, Black, 32W x 32L"/>
    <s v="Accepted: In stock"/>
    <s v="Ship window (Collect)"/>
    <x v="0"/>
    <x v="0"/>
    <x v="0"/>
    <n v="90"/>
    <n v="90"/>
    <n v="96"/>
    <n v="96"/>
    <n v="0"/>
    <n v="-6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81GTS"/>
    <s v="195515131100"/>
    <s v="UPC"/>
    <x v="1"/>
    <s v="Men's Short Sleeve Workwear Coveralls"/>
    <x v="2"/>
    <s v="Charcoal"/>
    <s v="Large- Short"/>
    <s v="-"/>
    <s v="ABMN38003M25-Charcoal_largeshort"/>
    <s v="Amazon Basics Men's Relaxed Fit Short Sleeve Workwear Coveralls, Charcoal, Large- Short"/>
    <s v="Accepted: In stock"/>
    <s v="Ship window (Collect)"/>
    <x v="0"/>
    <x v="0"/>
    <x v="0"/>
    <n v="110"/>
    <n v="110"/>
    <n v="120"/>
    <n v="0"/>
    <n v="120"/>
    <n v="110"/>
    <m/>
    <m/>
    <n v="0"/>
    <m/>
    <m/>
    <n v="0"/>
    <x v="2"/>
    <n v="0"/>
    <n v="11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7X8HJ"/>
    <s v="195515129701"/>
    <s v="UPC"/>
    <x v="1"/>
    <s v="Men's Short Sleeve Workwear Coveralls"/>
    <x v="2"/>
    <s v="Light Brown"/>
    <s v="XXX-Large- Long"/>
    <s v="-"/>
    <s v="ABMN38003M25-Light Brown_xxxlargelong"/>
    <s v="Amazon Basics Men's Relaxed Fit Short Sleeve Workwear Coveralls, Light Brown, XXX-Large- Long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2"/>
    <n v="60"/>
    <n v="0"/>
    <m/>
    <n v="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WXZW"/>
    <s v="195515129800"/>
    <s v="UPC"/>
    <x v="1"/>
    <s v="Men's Short Sleeve Workwear Coveralls"/>
    <x v="2"/>
    <s v="Navy"/>
    <s v="Small- Short"/>
    <s v="-"/>
    <s v="ABMN38003M25-Navy_smallshort"/>
    <s v="Amazon Basics Men's Relaxed Fit Short Sleeve Workwear Coveralls, Navy, Small- Short"/>
    <s v="Accepted: In stock"/>
    <s v="Ship window (Collect)"/>
    <x v="0"/>
    <x v="0"/>
    <x v="0"/>
    <n v="40"/>
    <n v="40"/>
    <n v="40"/>
    <n v="40"/>
    <n v="0"/>
    <n v="0"/>
    <m/>
    <m/>
    <n v="0"/>
    <m/>
    <m/>
    <n v="40"/>
    <x v="2"/>
    <n v="40"/>
    <n v="0"/>
    <m/>
    <n v="4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TMZN"/>
    <s v="195515129794"/>
    <s v="UPC"/>
    <x v="1"/>
    <s v="Men's Short Sleeve Workwear Coveralls"/>
    <x v="2"/>
    <s v="Navy"/>
    <s v="XXX-Large- Short"/>
    <s v="-"/>
    <s v="ABMN38003M25-Navy_xxxlargeshort"/>
    <s v="Amazon Basics Men's Relaxed Fit Short Sleeve Workwear Coveralls, Navy, XXX-Large- Short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SP5L"/>
    <s v="195515130844"/>
    <s v="UPC"/>
    <x v="1"/>
    <s v="Men's Short Sleeve Workwear Coveralls"/>
    <x v="2"/>
    <s v="White"/>
    <s v="XX- Large- Long"/>
    <s v="-"/>
    <s v="ABMN38003M25-White_xxlargelong"/>
    <s v="Amazon Basics Men's Relaxed Fit Short Sleeve Workwear Coveralls, White, XX- Large- Long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QPLT"/>
    <s v="195515131599"/>
    <s v="UPC"/>
    <x v="1"/>
    <s v="Men's Duck Utility Workwear Pants"/>
    <x v="3"/>
    <s v="Dark Chestnut Brown"/>
    <s v="40W x 32L"/>
    <s v="-"/>
    <s v="ABMN69404M25-Dark Chestnut Brown_40wx32l"/>
    <s v="Amazon Basics Men's Relaxed Fit Duck Utility Workwear Pants, Dark Chestnut Brown, 40W x 32L"/>
    <s v="Accepted: In stock"/>
    <s v="Ship window (Collect)"/>
    <x v="0"/>
    <x v="0"/>
    <x v="0"/>
    <n v="84"/>
    <n v="84"/>
    <n v="84"/>
    <n v="0"/>
    <n v="84"/>
    <n v="84"/>
    <m/>
    <m/>
    <n v="0"/>
    <m/>
    <m/>
    <n v="0"/>
    <x v="3"/>
    <n v="0"/>
    <n v="84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7QPL5"/>
    <s v="195515129381"/>
    <s v="UPC"/>
    <x v="1"/>
    <s v="Men's Long Sleeve Workwear Coveralls"/>
    <x v="1"/>
    <s v="Charcoal"/>
    <s v="XX-Large- Short"/>
    <s v="-"/>
    <s v="ABMN87281M25-Charcoal_xxlargeshort"/>
    <s v="Amazon Basics Men's Relaxed Fit Long Sleeve Workwear Coveralls, Charcoal, XX Large - Short"/>
    <s v="Accepted: In stock"/>
    <s v="Ship window (Collect)"/>
    <x v="0"/>
    <x v="0"/>
    <x v="0"/>
    <n v="120"/>
    <n v="120"/>
    <n v="120"/>
    <n v="0"/>
    <n v="120"/>
    <n v="120"/>
    <m/>
    <m/>
    <n v="0"/>
    <m/>
    <m/>
    <n v="0"/>
    <x v="1"/>
    <n v="0"/>
    <n v="12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7M35V"/>
    <s v="195515129749"/>
    <s v="UPC"/>
    <x v="1"/>
    <s v="Men's Short Sleeve Workwear Coveralls"/>
    <x v="2"/>
    <s v="Light Brown"/>
    <s v="Medium- Long"/>
    <s v="-"/>
    <s v="ABMN38003M25-Light Brown_mediumlong"/>
    <s v="Amazon Basics Men's Relaxed Fit Short Sleeve Workwear Coveralls, Light Brown, Medium- Long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KLRJ"/>
    <s v="195515129220"/>
    <s v="UPC"/>
    <x v="1"/>
    <s v="Men's Long Sleeve Workwear Coveralls"/>
    <x v="1"/>
    <s v="Navy"/>
    <s v="Small- Regular"/>
    <s v="-"/>
    <s v="ABMN87281M25-Navy_smallregular"/>
    <s v="Amazon Basics Men's Relaxed Fit Long Sleeve Workwear Coveralls, Navy, Small - Regular"/>
    <s v="Accepted: In stock"/>
    <s v="Ship window (Collect)"/>
    <x v="0"/>
    <x v="0"/>
    <x v="0"/>
    <n v="88"/>
    <n v="88"/>
    <n v="96"/>
    <n v="0"/>
    <n v="96"/>
    <n v="88"/>
    <m/>
    <m/>
    <n v="0"/>
    <m/>
    <m/>
    <n v="0"/>
    <x v="1"/>
    <n v="0"/>
    <n v="8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7FLZZ"/>
    <s v="195515130776"/>
    <s v="UPC"/>
    <x v="1"/>
    <s v="Men's Short Sleeve Workwear Coveralls"/>
    <x v="2"/>
    <s v="Navy"/>
    <s v="XX- Large- Short"/>
    <s v="-"/>
    <s v="ABMN38003M25-Navy_xxlargeshort"/>
    <s v="Amazon Basics Men's Relaxed Fit Short Sleeve Workwear Coveralls, Navy, XX- Large- Short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CFSS"/>
    <s v="195515129053"/>
    <s v="UPC"/>
    <x v="1"/>
    <s v="Men's Long Sleeve Workwear Coveralls"/>
    <x v="1"/>
    <s v="Black"/>
    <s v="Large- Long"/>
    <s v="-"/>
    <s v="ABMN87281M25-Black_largelong"/>
    <s v="Amazon Basics Men's Relaxed Fit Long Sleeve Workwear Coveralls, Black, Large - Long"/>
    <s v="Accepted: In stock"/>
    <s v="Ship window (Collect)"/>
    <x v="0"/>
    <x v="0"/>
    <x v="0"/>
    <n v="104"/>
    <n v="104"/>
    <n v="112"/>
    <n v="0"/>
    <n v="112"/>
    <n v="104"/>
    <m/>
    <m/>
    <n v="0"/>
    <m/>
    <m/>
    <n v="0"/>
    <x v="1"/>
    <n v="0"/>
    <n v="10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79F7C"/>
    <s v="195515129121"/>
    <s v="UPC"/>
    <x v="1"/>
    <s v="Men's Long Sleeve Workwear Coveralls"/>
    <x v="1"/>
    <s v="Black"/>
    <s v="Medium- Regular"/>
    <s v="-"/>
    <s v="ABMN87281M25-Black_mediumregular"/>
    <s v="Amazon Basics Men's Relaxed Fit Long Sleeve Workwear Coveralls, Black, Medium - Regular"/>
    <s v="Accepted: In stock"/>
    <s v="Ship window (Collect)"/>
    <x v="0"/>
    <x v="0"/>
    <x v="0"/>
    <n v="72"/>
    <n v="72"/>
    <n v="80"/>
    <n v="0"/>
    <n v="80"/>
    <n v="72"/>
    <m/>
    <m/>
    <n v="0"/>
    <m/>
    <m/>
    <n v="0"/>
    <x v="1"/>
    <n v="0"/>
    <n v="7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792M5"/>
    <s v="195515130837"/>
    <s v="UPC"/>
    <x v="1"/>
    <s v="Men's Short Sleeve Workwear Coveralls"/>
    <x v="2"/>
    <s v="White"/>
    <s v="X- Large- Long"/>
    <s v="-"/>
    <s v="ABMN38003M25-White_xlargelong"/>
    <s v="Amazon Basics Men's Relaxed Fit Short Sleeve Workwear Coveralls, White, X- Large- Long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769JH"/>
    <s v="195515131759"/>
    <s v="UPC"/>
    <x v="1"/>
    <s v="Men's Duck Utility Workwear Pants"/>
    <x v="3"/>
    <s v="Chocolate"/>
    <s v="42W x 30L"/>
    <s v="-"/>
    <s v="ABMN69404M25-Chocolate_42wx30l"/>
    <s v="Amazon Basics Men's Relaxed Fit Duck Utility Workwear Pants, Chocolate, 42W x 30L"/>
    <s v="Accepted: In stock"/>
    <s v="Ship window (Collect)"/>
    <x v="0"/>
    <x v="0"/>
    <x v="0"/>
    <n v="36"/>
    <n v="36"/>
    <n v="36"/>
    <n v="0"/>
    <n v="36"/>
    <n v="36"/>
    <m/>
    <m/>
    <n v="0"/>
    <m/>
    <m/>
    <n v="0"/>
    <x v="3"/>
    <n v="0"/>
    <n v="36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743HH"/>
    <s v="195515131667"/>
    <s v="UPC"/>
    <x v="1"/>
    <s v="Men's Duck Utility Workwear Pants"/>
    <x v="3"/>
    <s v="Dark Chestnut Brown"/>
    <s v="42W x 32L"/>
    <s v="-"/>
    <s v="ABMN69404M25-Dark Chestnut Brown_42wx32l"/>
    <s v="Amazon Basics Men's Relaxed Fit Duck Utility Workwear Pants, Dark Chestnut Brown, 42W x 32L"/>
    <s v="Accepted: In stock"/>
    <s v="Ship window (Collect)"/>
    <x v="0"/>
    <x v="0"/>
    <x v="0"/>
    <n v="90"/>
    <n v="90"/>
    <n v="96"/>
    <n v="96"/>
    <n v="0"/>
    <n v="-6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743GP"/>
    <s v="195515131537"/>
    <s v="UPC"/>
    <x v="1"/>
    <s v="Men's Duck Utility Workwear Pants"/>
    <x v="3"/>
    <s v="Dark Chestnut Brown"/>
    <s v="32W x 32L"/>
    <s v="-"/>
    <s v="ABMN69404M25-Dark Chestnut Brown_32wx32l"/>
    <s v="Amazon Basics Men's Relaxed Fit Duck Utility Workwear Pants, Dark Chestnut Brown, 32W x 32L"/>
    <s v="Accepted: In stock"/>
    <s v="Ship window (Collect)"/>
    <x v="0"/>
    <x v="0"/>
    <x v="0"/>
    <n v="114"/>
    <n v="114"/>
    <n v="120"/>
    <n v="120"/>
    <n v="0"/>
    <n v="-6"/>
    <m/>
    <m/>
    <n v="0"/>
    <m/>
    <m/>
    <n v="114"/>
    <x v="3"/>
    <n v="114"/>
    <n v="0"/>
    <m/>
    <n v="1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6XTNK"/>
    <s v="195515131735"/>
    <s v="UPC"/>
    <x v="1"/>
    <s v="Men's Duck Utility Workwear Pants"/>
    <x v="3"/>
    <s v="Light Brown"/>
    <s v="40W x 32L"/>
    <s v="-"/>
    <s v="ABMN69404M25-Light Brown_40wx32l"/>
    <s v="Amazon Basics Men's Relaxed Fit Duck Utility Workwear Pants, Light Brown, 40W x 32L"/>
    <s v="Accepted: In stock"/>
    <s v="Ship window (Collect)"/>
    <x v="0"/>
    <x v="0"/>
    <x v="0"/>
    <n v="90"/>
    <n v="90"/>
    <n v="90"/>
    <n v="90"/>
    <n v="0"/>
    <n v="0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6S6KY"/>
    <s v="195515128193"/>
    <s v="UPC"/>
    <x v="1"/>
    <s v="Men's Duck Utility Workwear Pants"/>
    <x v="3"/>
    <s v="Black"/>
    <s v="38W x 30L"/>
    <s v="-"/>
    <s v="ABMN69404M25-Black_38wx30l"/>
    <s v="Amazon Basics Men's Relaxed Fit Duck Utility Workwear Pants, Black, 38W x 30L"/>
    <s v="Accepted: In stock"/>
    <s v="Ship window (Collect)"/>
    <x v="0"/>
    <x v="0"/>
    <x v="0"/>
    <n v="60"/>
    <n v="60"/>
    <n v="66"/>
    <n v="66"/>
    <n v="0"/>
    <n v="-6"/>
    <m/>
    <m/>
    <n v="0"/>
    <m/>
    <m/>
    <n v="60"/>
    <x v="3"/>
    <n v="60"/>
    <n v="0"/>
    <m/>
    <n v="10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6RLHP"/>
    <s v="195515130851"/>
    <s v="UPC"/>
    <x v="1"/>
    <s v="Men's Short Sleeve Workwear Coveralls"/>
    <x v="2"/>
    <s v="White"/>
    <s v="Large- Long"/>
    <s v="-"/>
    <s v="ABMN38003M25-White_largelong"/>
    <s v="Amazon Basics Men's Relaxed Fit Short Sleeve Workwear Coveralls, White, Large- Long"/>
    <s v="Accepted: In stock"/>
    <s v="Ship window (Collect)"/>
    <x v="0"/>
    <x v="0"/>
    <x v="0"/>
    <n v="70"/>
    <n v="70"/>
    <n v="70"/>
    <n v="70"/>
    <n v="0"/>
    <n v="0"/>
    <m/>
    <m/>
    <n v="0"/>
    <m/>
    <m/>
    <n v="70"/>
    <x v="2"/>
    <n v="70"/>
    <n v="0"/>
    <m/>
    <n v="7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6QKH8"/>
    <s v="195515128896"/>
    <s v="UPC"/>
    <x v="1"/>
    <s v="Men's Long Sleeve Workwear Coveralls"/>
    <x v="1"/>
    <s v="Black"/>
    <s v="X-Large- Short"/>
    <s v="-"/>
    <s v="ABMN87281M25-Black_xlargeshort"/>
    <s v="Amazon Basics Men's Relaxed Fit Long Sleeve Workwear Coveralls, Black, X Large - Short"/>
    <s v="Accepted: In stock"/>
    <s v="Ship window (Collect)"/>
    <x v="0"/>
    <x v="0"/>
    <x v="0"/>
    <n v="72"/>
    <n v="72"/>
    <n v="72"/>
    <n v="0"/>
    <n v="72"/>
    <n v="72"/>
    <m/>
    <m/>
    <n v="0"/>
    <m/>
    <m/>
    <n v="0"/>
    <x v="1"/>
    <n v="0"/>
    <n v="7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6L9RW"/>
    <s v="195515129039"/>
    <s v="UPC"/>
    <x v="1"/>
    <s v="Men's Long Sleeve Workwear Coveralls"/>
    <x v="1"/>
    <s v="Black"/>
    <s v="Small- Regular"/>
    <s v="-"/>
    <s v="ABMN87281M25-Black_smallregular"/>
    <s v="Amazon Basics Men's Relaxed Fit Long Sleeve Workwear Coveralls, Black, Small - Regular"/>
    <s v="Accepted: In stock"/>
    <s v="Ship window (Collect)"/>
    <x v="0"/>
    <x v="0"/>
    <x v="0"/>
    <n v="88"/>
    <n v="88"/>
    <n v="88"/>
    <n v="0"/>
    <n v="88"/>
    <n v="88"/>
    <m/>
    <m/>
    <n v="0"/>
    <m/>
    <m/>
    <n v="0"/>
    <x v="1"/>
    <n v="0"/>
    <n v="8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6KCLR"/>
    <s v="195515129640"/>
    <s v="UPC"/>
    <x v="1"/>
    <s v="Men's Short Sleeve Workwear Coveralls"/>
    <x v="2"/>
    <s v="Light Brown"/>
    <s v="XX- Large- Long"/>
    <s v="-"/>
    <s v="ABMN38003M25-Light Brown_xxlargelong"/>
    <s v="Amazon Basics Men's Relaxed Fit Short Sleeve Workwear Coveralls, Light Brown, XX- Large- Long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5BW7H"/>
    <s v="195515129046"/>
    <s v="UPC"/>
    <x v="1"/>
    <s v="Men's Long Sleeve Workwear Coveralls"/>
    <x v="1"/>
    <s v="Black"/>
    <s v="XX-Large- Regular"/>
    <s v="-"/>
    <s v="ABMN87281M25-Black_xxlargeregular"/>
    <s v="Amazon Basics Men's Relaxed Fit Long Sleeve Workwear Coveralls, Black, XX Large - Regular"/>
    <s v="Accepted: In stock"/>
    <s v="Ship window (Collect)"/>
    <x v="0"/>
    <x v="0"/>
    <x v="0"/>
    <n v="128"/>
    <n v="128"/>
    <n v="136"/>
    <n v="0"/>
    <n v="136"/>
    <n v="128"/>
    <m/>
    <m/>
    <n v="0"/>
    <m/>
    <m/>
    <n v="0"/>
    <x v="1"/>
    <n v="0"/>
    <n v="12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5B2Y1"/>
    <s v="195515127967"/>
    <s v="UPC"/>
    <x v="1"/>
    <s v="Men's Duck Utility Workwear Pants"/>
    <x v="3"/>
    <s v="Chocolate"/>
    <s v="40W x 30L"/>
    <s v="-"/>
    <s v="ABMN69404M25-Chocolate_40wx30l"/>
    <s v="Amazon Basics Men's Relaxed Fit Duck Utility Workwear Pants, Chocolate, 40W x 30L"/>
    <s v="Accepted: In stock"/>
    <s v="Ship window (Collect)"/>
    <x v="0"/>
    <x v="0"/>
    <x v="0"/>
    <n v="24"/>
    <n v="24"/>
    <n v="36"/>
    <n v="0"/>
    <n v="36"/>
    <n v="24"/>
    <m/>
    <m/>
    <n v="0"/>
    <m/>
    <m/>
    <n v="0"/>
    <x v="3"/>
    <n v="0"/>
    <n v="24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59R4F"/>
    <s v="195515129206"/>
    <s v="UPC"/>
    <x v="1"/>
    <s v="Men's Long Sleeve Workwear Coveralls"/>
    <x v="1"/>
    <s v="Navy"/>
    <s v="Large- Short"/>
    <s v="-"/>
    <s v="ABMN87281M25-Navy_largeshort"/>
    <s v="Amazon Basics Men's Relaxed Fit Long Sleeve Workwear Coveralls, Navy, Large - Short"/>
    <s v="Accepted: In stock"/>
    <s v="Ship window (Collect)"/>
    <x v="0"/>
    <x v="0"/>
    <x v="0"/>
    <n v="120"/>
    <n v="120"/>
    <n v="128"/>
    <n v="0"/>
    <n v="128"/>
    <n v="120"/>
    <m/>
    <m/>
    <n v="0"/>
    <m/>
    <m/>
    <n v="0"/>
    <x v="1"/>
    <n v="0"/>
    <n v="12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59LTM"/>
    <s v="195515131407"/>
    <s v="UPC"/>
    <x v="1"/>
    <s v="Men's Short Sleeve Workwear Coveralls"/>
    <x v="2"/>
    <s v="White"/>
    <s v="Small- Short"/>
    <s v="-"/>
    <s v="ABMN38003M25-White_smallshort"/>
    <s v="Amazon Basics Men's Relaxed Fit Short Sleeve Workwear Coveralls, White, Small- Short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59KNS"/>
    <s v="195515128001"/>
    <s v="UPC"/>
    <x v="1"/>
    <s v="Men's Duck Utility Workwear Pants"/>
    <x v="3"/>
    <s v="Chocolate"/>
    <s v="36W x 30L"/>
    <s v="-"/>
    <s v="ABMN69404M25-Chocolate_36wx30l"/>
    <s v="Amazon Basics Men's Relaxed Fit Duck Utility Workwear Pants, Chocolate, 36W x 30L"/>
    <s v="Accepted: In stock"/>
    <s v="Ship window (Collect)"/>
    <x v="0"/>
    <x v="0"/>
    <x v="0"/>
    <n v="66"/>
    <n v="66"/>
    <n v="72"/>
    <n v="0"/>
    <n v="72"/>
    <n v="66"/>
    <m/>
    <m/>
    <n v="0"/>
    <m/>
    <m/>
    <n v="0"/>
    <x v="3"/>
    <n v="0"/>
    <n v="66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58RPG"/>
    <s v="195515128063"/>
    <s v="UPC"/>
    <x v="1"/>
    <s v="Men's Duck Utility Workwear Pants"/>
    <x v="3"/>
    <s v="Black"/>
    <s v="34W x 34L"/>
    <s v="-"/>
    <s v="ABMN69404M25-Black_34wx34l"/>
    <s v="Amazon Basics Men's Relaxed Fit Duck Utility Workwear Pants, Black, 34W x 34L"/>
    <s v="Accepted: In stock"/>
    <s v="Ship window (Collect)"/>
    <x v="0"/>
    <x v="0"/>
    <x v="0"/>
    <n v="54"/>
    <n v="54"/>
    <n v="60"/>
    <n v="60"/>
    <n v="0"/>
    <n v="-6"/>
    <m/>
    <m/>
    <n v="0"/>
    <m/>
    <m/>
    <n v="54"/>
    <x v="3"/>
    <n v="54"/>
    <n v="0"/>
    <m/>
    <n v="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58QY3"/>
    <s v="195515130790"/>
    <s v="UPC"/>
    <x v="1"/>
    <s v="Men's Short Sleeve Workwear Coveralls"/>
    <x v="2"/>
    <s v="White"/>
    <s v="Large- Regular"/>
    <s v="-"/>
    <s v="ABMN38003M25-White_largeregular"/>
    <s v="Amazon Basics Men's Relaxed Fit Short Sleeve Workwear Coveralls, White, Large- Regular"/>
    <s v="Accepted: In stock"/>
    <s v="Ship window (Collect)"/>
    <x v="0"/>
    <x v="0"/>
    <x v="0"/>
    <n v="170"/>
    <n v="170"/>
    <n v="180"/>
    <n v="180"/>
    <n v="0"/>
    <n v="-10"/>
    <m/>
    <m/>
    <n v="0"/>
    <m/>
    <m/>
    <n v="170"/>
    <x v="2"/>
    <n v="170"/>
    <n v="0"/>
    <m/>
    <n v="17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58LH1"/>
    <s v="195515129664"/>
    <s v="UPC"/>
    <x v="1"/>
    <s v="Men's Short Sleeve Workwear Coveralls"/>
    <x v="2"/>
    <s v="Light Brown"/>
    <s v="Small- Short"/>
    <s v="-"/>
    <s v="ABMN38003M25-Light Brown_smallshort"/>
    <s v="Amazon Basics Men's Relaxed Fit Short Sleeve Workwear Coveralls, Light Brown, Small- Short"/>
    <s v="Accepted: In stock"/>
    <s v="Ship window (Collect)"/>
    <x v="0"/>
    <x v="0"/>
    <x v="0"/>
    <n v="30"/>
    <n v="30"/>
    <n v="30"/>
    <n v="30"/>
    <n v="0"/>
    <n v="0"/>
    <m/>
    <m/>
    <n v="0"/>
    <m/>
    <m/>
    <n v="30"/>
    <x v="2"/>
    <n v="30"/>
    <n v="0"/>
    <m/>
    <n v="3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58KTN"/>
    <s v="195515130905"/>
    <s v="UPC"/>
    <x v="1"/>
    <s v="Men's Short Sleeve Workwear Coveralls"/>
    <x v="2"/>
    <s v="White"/>
    <s v="X- Large- Short"/>
    <s v="-"/>
    <s v="ABMN38003M25-White_xlargeshort"/>
    <s v="Amazon Basics Men's Relaxed Fit Short Sleeve Workwear Coveralls, White, X- Large- Short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2"/>
    <n v="60"/>
    <n v="0"/>
    <m/>
    <n v="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58DT3"/>
    <s v="195515130981"/>
    <s v="UPC"/>
    <x v="1"/>
    <s v="Men's Short Sleeve Workwear Coveralls"/>
    <x v="2"/>
    <s v="Charcoal"/>
    <s v="Small- Short"/>
    <s v="-"/>
    <s v="ABMN38003M25-Charcoal_smallshort"/>
    <s v="Amazon Basics Men's Relaxed Fit Short Sleeve Workwear Coveralls, Charcoal, Small- Short"/>
    <s v="Accepted: In stock"/>
    <s v="Ship window (Collect)"/>
    <x v="0"/>
    <x v="0"/>
    <x v="0"/>
    <n v="40"/>
    <n v="40"/>
    <n v="40"/>
    <n v="0"/>
    <n v="40"/>
    <n v="40"/>
    <m/>
    <m/>
    <n v="0"/>
    <m/>
    <m/>
    <n v="0"/>
    <x v="2"/>
    <n v="0"/>
    <n v="4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54KKS"/>
    <s v="195515129428"/>
    <s v="UPC"/>
    <x v="1"/>
    <s v="Men's Short Sleeve Workwear Coveralls"/>
    <x v="2"/>
    <s v="Black"/>
    <s v="Large- Regular"/>
    <s v="-"/>
    <s v="ABMN38003M25-Black_largeregular"/>
    <s v="Amazon Basics Men's Relaxed Fit Short Sleeve Workwear Coveralls, Black, Large- Regular"/>
    <s v="Accepted: In stock"/>
    <s v="Ship window (Collect)"/>
    <x v="0"/>
    <x v="0"/>
    <x v="0"/>
    <n v="180"/>
    <n v="180"/>
    <n v="190"/>
    <n v="0"/>
    <n v="190"/>
    <n v="180"/>
    <m/>
    <m/>
    <n v="0"/>
    <m/>
    <m/>
    <n v="0"/>
    <x v="2"/>
    <n v="0"/>
    <n v="18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52GYP"/>
    <s v="195515129213"/>
    <s v="UPC"/>
    <x v="1"/>
    <s v="Men's Long Sleeve Workwear Coveralls"/>
    <x v="1"/>
    <s v="Navy"/>
    <s v="Large- Regular"/>
    <s v="-"/>
    <s v="ABMN87281M25-Navy_largeregular"/>
    <s v="Amazon Basics Men's Relaxed Fit Long Sleeve Workwear Coveralls, Navy, Large - Regular"/>
    <s v="Accepted: In stock"/>
    <s v="Ship window (Collect)"/>
    <x v="0"/>
    <x v="0"/>
    <x v="0"/>
    <n v="168"/>
    <n v="168"/>
    <n v="176"/>
    <n v="0"/>
    <n v="176"/>
    <n v="168"/>
    <m/>
    <m/>
    <n v="0"/>
    <m/>
    <m/>
    <n v="0"/>
    <x v="1"/>
    <n v="0"/>
    <n v="16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5256Y"/>
    <s v="195515131452"/>
    <s v="UPC"/>
    <x v="1"/>
    <s v="Men's Duck Utility Workwear Pants"/>
    <x v="3"/>
    <s v="Light Brown"/>
    <s v="38W x 30L"/>
    <s v="-"/>
    <s v="ABMN69404M25-Light Brown_38wx30l"/>
    <s v="Amazon Basics Men's Relaxed Fit Duck Utility Workwear Pants, Light Brown, 38W x 30L"/>
    <s v="Accepted: In stock"/>
    <s v="Ship window (Collect)"/>
    <x v="0"/>
    <x v="0"/>
    <x v="0"/>
    <n v="54"/>
    <n v="54"/>
    <n v="60"/>
    <n v="60"/>
    <n v="0"/>
    <n v="-6"/>
    <m/>
    <m/>
    <n v="0"/>
    <m/>
    <m/>
    <n v="54"/>
    <x v="3"/>
    <n v="54"/>
    <n v="0"/>
    <m/>
    <n v="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ZQP6"/>
    <s v="195515129138"/>
    <s v="UPC"/>
    <x v="1"/>
    <s v="Men's Long Sleeve Workwear Coveralls"/>
    <x v="1"/>
    <s v="Black"/>
    <s v="Large- Regular"/>
    <s v="-"/>
    <s v="ABMN87281M25-Black_largeregular"/>
    <s v="Amazon Basics Men's Relaxed Fit Long Sleeve Workwear Coveralls, Black, Large - Regular"/>
    <s v="Accepted: In stock"/>
    <s v="Ship window (Collect)"/>
    <x v="0"/>
    <x v="0"/>
    <x v="0"/>
    <n v="128"/>
    <n v="128"/>
    <n v="136"/>
    <n v="0"/>
    <n v="136"/>
    <n v="128"/>
    <m/>
    <m/>
    <n v="0"/>
    <m/>
    <m/>
    <n v="0"/>
    <x v="1"/>
    <n v="0"/>
    <n v="12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4ZD94"/>
    <s v="195515131711"/>
    <s v="UPC"/>
    <x v="1"/>
    <s v="Men's Duck Utility Workwear Pants"/>
    <x v="3"/>
    <s v="Chocolate"/>
    <s v="32W x 32L"/>
    <s v="-"/>
    <s v="ABMN69404M25-Chocolate_32wx32l"/>
    <s v="Amazon Basics Men's Relaxed Fit Duck Utility Workwear Pants, Chocolate, 32W x 32L"/>
    <s v="Accepted: In stock"/>
    <s v="Ship window (Collect)"/>
    <x v="0"/>
    <x v="0"/>
    <x v="0"/>
    <n v="66"/>
    <n v="66"/>
    <n v="66"/>
    <n v="66"/>
    <n v="0"/>
    <n v="0"/>
    <m/>
    <m/>
    <n v="0"/>
    <m/>
    <m/>
    <n v="66"/>
    <x v="3"/>
    <n v="66"/>
    <n v="0"/>
    <m/>
    <n v="11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YR2N"/>
    <s v="195515128025"/>
    <s v="UPC"/>
    <x v="1"/>
    <s v="Men's Duck Utility Workwear Pants"/>
    <x v="3"/>
    <s v="Black"/>
    <s v="30W x 30L"/>
    <s v="-"/>
    <s v="ABMN69404M25-Black_30wx30l"/>
    <s v="Amazon Basics Men's Relaxed Fit Duck Utility Workwear Pants, Black, 30W x 30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3"/>
    <n v="96"/>
    <n v="0"/>
    <m/>
    <n v="16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YDVC"/>
    <s v="195515127936"/>
    <s v="UPC"/>
    <x v="1"/>
    <s v="Men's Duck Utility Workwear Pants"/>
    <x v="3"/>
    <s v="Chocolate"/>
    <s v="40W x 32L"/>
    <s v="-"/>
    <s v="ABMN69404M25-Chocolate_40wx32l"/>
    <s v="Amazon Basics Men's Relaxed Fit Duck Utility Workwear Pants, Chocolate, 40W x 32L"/>
    <s v="Accepted: In stock"/>
    <s v="Ship window (Collect)"/>
    <x v="0"/>
    <x v="0"/>
    <x v="0"/>
    <n v="30"/>
    <n v="30"/>
    <n v="30"/>
    <n v="0"/>
    <n v="30"/>
    <n v="30"/>
    <m/>
    <m/>
    <n v="0"/>
    <m/>
    <m/>
    <n v="0"/>
    <x v="3"/>
    <n v="0"/>
    <n v="30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4Y3BR"/>
    <s v="195515131049"/>
    <s v="UPC"/>
    <x v="1"/>
    <s v="Men's Short Sleeve Workwear Coveralls"/>
    <x v="2"/>
    <s v="Charcoal"/>
    <s v="XXX-Large- Long"/>
    <s v="-"/>
    <s v="ABMN38003M25-Charcoal_xxxlargelong"/>
    <s v="Amazon Basics Men's Relaxed Fit Short Sleeve Workwear Coveralls, Charcoal, XXX-Large- Long"/>
    <s v="Accepted: In stock"/>
    <s v="Ship window (Collect)"/>
    <x v="0"/>
    <x v="0"/>
    <x v="0"/>
    <n v="60"/>
    <n v="60"/>
    <n v="60"/>
    <n v="0"/>
    <n v="60"/>
    <n v="60"/>
    <m/>
    <m/>
    <n v="0"/>
    <m/>
    <m/>
    <n v="0"/>
    <x v="2"/>
    <n v="0"/>
    <n v="6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4TXTY"/>
    <s v="195515129183"/>
    <s v="UPC"/>
    <x v="1"/>
    <s v="Men's Long Sleeve Workwear Coveralls"/>
    <x v="1"/>
    <s v="Navy"/>
    <s v="Medium- Regular"/>
    <s v="-"/>
    <s v="ABMN87281M25-Navy_mediumregular"/>
    <s v="Amazon Basics Men's Relaxed Fit Long Sleeve Workwear Coveralls, Navy, Medium - Regular"/>
    <s v="Accepted: In stock"/>
    <s v="Ship window (Collect)"/>
    <x v="0"/>
    <x v="0"/>
    <x v="0"/>
    <n v="256"/>
    <n v="256"/>
    <n v="272"/>
    <n v="0"/>
    <n v="272"/>
    <n v="256"/>
    <m/>
    <m/>
    <n v="0"/>
    <m/>
    <m/>
    <n v="0"/>
    <x v="1"/>
    <n v="0"/>
    <n v="25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4THYK"/>
    <s v="195515129022"/>
    <s v="UPC"/>
    <x v="1"/>
    <s v="Men's Long Sleeve Workwear Coveralls"/>
    <x v="1"/>
    <s v="Black"/>
    <s v="XX-Large- Short"/>
    <s v="-"/>
    <s v="ABMN87281M25-Black_xxlargeshort"/>
    <s v="Amazon Basics Men's Relaxed Fit Long Sleeve Workwear Coveralls, Black, XX Large - Short"/>
    <s v="Accepted: In stock"/>
    <s v="Ship window (Collect)"/>
    <x v="0"/>
    <x v="0"/>
    <x v="0"/>
    <n v="32"/>
    <n v="32"/>
    <n v="48"/>
    <n v="0"/>
    <n v="48"/>
    <n v="32"/>
    <m/>
    <m/>
    <n v="0"/>
    <m/>
    <m/>
    <n v="0"/>
    <x v="1"/>
    <n v="0"/>
    <n v="3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4Q6MV"/>
    <s v="195515131704"/>
    <s v="UPC"/>
    <x v="1"/>
    <s v="Men's Duck Utility Workwear Pants"/>
    <x v="3"/>
    <s v="Chocolate"/>
    <s v="32W x 30L"/>
    <s v="-"/>
    <s v="ABMN69404M25-Chocolate_32wx30l"/>
    <s v="Amazon Basics Men's Relaxed Fit Duck Utility Workwear Pants, Chocolate, 32W x 30L"/>
    <s v="Accepted: In stock"/>
    <s v="Ship window (Collect)"/>
    <x v="0"/>
    <x v="0"/>
    <x v="0"/>
    <n v="42"/>
    <n v="42"/>
    <n v="42"/>
    <n v="0"/>
    <n v="42"/>
    <n v="42"/>
    <m/>
    <m/>
    <n v="0"/>
    <m/>
    <m/>
    <n v="0"/>
    <x v="3"/>
    <n v="0"/>
    <n v="42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4PSKV"/>
    <s v="195515127981"/>
    <s v="UPC"/>
    <x v="1"/>
    <s v="Men's Duck Utility Workwear Pants"/>
    <x v="3"/>
    <s v="Chocolate"/>
    <s v="30W x 32L"/>
    <s v="-"/>
    <s v="ABMN69404M25-Chocolate_30wx32l"/>
    <s v="Amazon Basics Men's Relaxed Fit Duck Utility Workwear Pants, Chocolate, 30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3"/>
    <n v="60"/>
    <n v="0"/>
    <m/>
    <n v="10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LTPZ"/>
    <s v="195515129497"/>
    <s v="UPC"/>
    <x v="1"/>
    <s v="Men's Short Sleeve Workwear Coveralls"/>
    <x v="2"/>
    <s v="Black"/>
    <s v="XXX-Large- Long"/>
    <s v="-"/>
    <s v="ABMN38003M25-Black_xxxlargelong"/>
    <s v="Amazon Basics Men's Relaxed Fit Short Sleeve Workwear Coveralls, Black, XXX-Large- Long"/>
    <s v="Accepted: In stock"/>
    <s v="Ship window (Collect)"/>
    <x v="0"/>
    <x v="0"/>
    <x v="0"/>
    <n v="30"/>
    <n v="30"/>
    <n v="30"/>
    <n v="0"/>
    <n v="30"/>
    <n v="30"/>
    <m/>
    <m/>
    <n v="0"/>
    <m/>
    <m/>
    <n v="0"/>
    <x v="2"/>
    <n v="0"/>
    <n v="3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4LFLH"/>
    <s v="195515131520"/>
    <s v="UPC"/>
    <x v="1"/>
    <s v="Men's Duck Utility Workwear Pants"/>
    <x v="3"/>
    <s v="Dark Chestnut Brown"/>
    <s v="32W x 30L"/>
    <s v="-"/>
    <s v="ABMN69404M25-Dark Chestnut Brown_32wx30l"/>
    <s v="Amazon Basics Men's Relaxed Fit Duck Utility Workwear Pants, Dark Chestnut Brown, 32W x 30L"/>
    <s v="Accepted: In stock"/>
    <s v="Ship window (Collect)"/>
    <x v="0"/>
    <x v="0"/>
    <x v="0"/>
    <n v="18"/>
    <n v="18"/>
    <n v="18"/>
    <n v="18"/>
    <n v="0"/>
    <n v="0"/>
    <m/>
    <m/>
    <n v="0"/>
    <m/>
    <m/>
    <n v="18"/>
    <x v="3"/>
    <n v="18"/>
    <n v="0"/>
    <m/>
    <n v="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BS93"/>
    <s v="195515131728"/>
    <s v="UPC"/>
    <x v="1"/>
    <s v="Men's Duck Utility Workwear Pants"/>
    <x v="3"/>
    <s v="Chocolate"/>
    <s v="36W x 32L"/>
    <s v="-"/>
    <s v="ABMN69404M25-Chocolate_36wx32l"/>
    <s v="Amazon Basics Men's Relaxed Fit Duck Utility Workwear Pants, Chocolate, 36W x 32L"/>
    <s v="Accepted: In stock"/>
    <s v="Ship window (Collect)"/>
    <x v="0"/>
    <x v="0"/>
    <x v="0"/>
    <n v="96"/>
    <n v="96"/>
    <n v="102"/>
    <n v="102"/>
    <n v="0"/>
    <n v="-6"/>
    <m/>
    <m/>
    <n v="0"/>
    <m/>
    <m/>
    <n v="96"/>
    <x v="3"/>
    <n v="96"/>
    <n v="0"/>
    <m/>
    <n v="16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8P92"/>
    <s v="195515128148"/>
    <s v="UPC"/>
    <x v="1"/>
    <s v="Men's Duck Utility Workwear Pants"/>
    <x v="3"/>
    <s v="Black"/>
    <s v="34W x 32L"/>
    <s v="-"/>
    <s v="ABMN69404M25-Black_34wx32l"/>
    <s v="Amazon Basics Men's Relaxed Fit Duck Utility Workwear Pants, Black, 34W x 32L"/>
    <s v="Accepted: In stock"/>
    <s v="Ship window (Collect)"/>
    <x v="0"/>
    <x v="0"/>
    <x v="0"/>
    <n v="138"/>
    <n v="138"/>
    <n v="144"/>
    <n v="144"/>
    <n v="0"/>
    <n v="-6"/>
    <m/>
    <m/>
    <n v="0"/>
    <m/>
    <m/>
    <n v="138"/>
    <x v="3"/>
    <n v="138"/>
    <n v="0"/>
    <m/>
    <n v="2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8CR3"/>
    <s v="195515129114"/>
    <s v="UPC"/>
    <x v="1"/>
    <s v="Men's Long Sleeve Workwear Coveralls"/>
    <x v="1"/>
    <s v="Black"/>
    <s v="Small- Short"/>
    <s v="-"/>
    <s v="ABMN87281M25-Black_smallshort"/>
    <s v="Amazon Basics Men's Relaxed Fit Long Sleeve Workwear Coveralls, Black, Small - Short"/>
    <s v="Accepted: In stock"/>
    <s v="Ship window (Collect)"/>
    <x v="0"/>
    <x v="0"/>
    <x v="0"/>
    <n v="48"/>
    <n v="48"/>
    <n v="48"/>
    <n v="0"/>
    <n v="48"/>
    <n v="48"/>
    <m/>
    <m/>
    <n v="0"/>
    <m/>
    <m/>
    <n v="0"/>
    <x v="1"/>
    <n v="0"/>
    <n v="4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48CQL"/>
    <s v="195515129558"/>
    <s v="UPC"/>
    <x v="1"/>
    <s v="Men's Short Sleeve Workwear Coveralls"/>
    <x v="2"/>
    <s v="Black"/>
    <s v="Small- Short"/>
    <s v="-"/>
    <s v="ABMN38003M25-Black_smallshort"/>
    <s v="Amazon Basics Men's Relaxed Fit Short Sleeve Workwear Coveralls, Black, Small- Short"/>
    <s v="Accepted: In stock"/>
    <s v="Ship window (Collect)"/>
    <x v="0"/>
    <x v="0"/>
    <x v="0"/>
    <n v="50"/>
    <n v="50"/>
    <n v="50"/>
    <n v="0"/>
    <n v="50"/>
    <n v="50"/>
    <m/>
    <m/>
    <n v="0"/>
    <m/>
    <m/>
    <n v="0"/>
    <x v="2"/>
    <n v="0"/>
    <n v="5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4828W"/>
    <s v="195515131162"/>
    <s v="UPC"/>
    <x v="1"/>
    <s v="Men's Duck Utility Workwear Pants"/>
    <x v="3"/>
    <s v="Black"/>
    <s v="32W x 34L"/>
    <s v="-"/>
    <s v="ABMN69404M25-Black_32wx34l"/>
    <s v="Amazon Basics Men's Relaxed Fit Duck Utility Workwear Pants, Black, 32W x 34L"/>
    <s v="Accepted: In stock"/>
    <s v="Ship window (Collect)"/>
    <x v="0"/>
    <x v="0"/>
    <x v="0"/>
    <n v="96"/>
    <n v="96"/>
    <n v="102"/>
    <n v="102"/>
    <n v="0"/>
    <n v="-6"/>
    <m/>
    <m/>
    <n v="0"/>
    <m/>
    <m/>
    <n v="96"/>
    <x v="3"/>
    <n v="96"/>
    <n v="0"/>
    <m/>
    <n v="16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45P9W"/>
    <s v="195515129336"/>
    <s v="UPC"/>
    <x v="1"/>
    <s v="Men's Long Sleeve Workwear Coveralls"/>
    <x v="1"/>
    <s v="Charcoal"/>
    <s v="XXX-Large- Regular"/>
    <s v="-"/>
    <s v="ABMN87281M25-Charcoal_xxxlargeregular"/>
    <s v="Amazon Basics Men's Relaxed Fit Long Sleeve Workwear Coveralls, Charcoal, XXX Large - Regular"/>
    <s v="Accepted: In stock"/>
    <s v="Ship window (Collect)"/>
    <x v="0"/>
    <x v="0"/>
    <x v="0"/>
    <n v="40"/>
    <n v="40"/>
    <n v="40"/>
    <n v="0"/>
    <n v="40"/>
    <n v="40"/>
    <m/>
    <m/>
    <n v="0"/>
    <m/>
    <m/>
    <n v="0"/>
    <x v="1"/>
    <n v="0"/>
    <n v="4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42DJ7"/>
    <s v="195515129633"/>
    <s v="UPC"/>
    <x v="1"/>
    <s v="Men's Short Sleeve Workwear Coveralls"/>
    <x v="2"/>
    <s v="Light Brown"/>
    <s v="XXX-Large- Short"/>
    <s v="-"/>
    <s v="ABMN38003M25-Light Brown_xxxlargeshort"/>
    <s v="Amazon Basics Men's Relaxed Fit Short Sleeve Workwear Coveralls, Light Brown, XXX-Large- Short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3V29C"/>
    <s v="195515130998"/>
    <s v="UPC"/>
    <x v="1"/>
    <s v="Men's Short Sleeve Workwear Coveralls"/>
    <x v="2"/>
    <s v="Charcoal"/>
    <s v="X- Large- Long"/>
    <s v="-"/>
    <s v="ABMN38003M25-Charcoal_xlargelong"/>
    <s v="Amazon Basics Men's Relaxed Fit Short Sleeve Workwear Coveralls, Charcoal, X- Large- Long"/>
    <s v="Accepted: In stock"/>
    <s v="Ship window (Collect)"/>
    <x v="0"/>
    <x v="0"/>
    <x v="0"/>
    <n v="90"/>
    <n v="90"/>
    <n v="100"/>
    <n v="0"/>
    <n v="100"/>
    <n v="90"/>
    <m/>
    <m/>
    <n v="0"/>
    <m/>
    <m/>
    <n v="0"/>
    <x v="2"/>
    <n v="0"/>
    <n v="9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3R1S6"/>
    <s v="195515130899"/>
    <s v="UPC"/>
    <x v="1"/>
    <s v="Men's Short Sleeve Workwear Coveralls"/>
    <x v="2"/>
    <s v="White"/>
    <s v="X- Large- Regular"/>
    <s v="-"/>
    <s v="ABMN38003M25-White_xlargeregular"/>
    <s v="Amazon Basics Men's Relaxed Fit Short Sleeve Workwear Coveralls, White, X- Large- Regular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3QN35"/>
    <s v="195515129619"/>
    <s v="UPC"/>
    <x v="1"/>
    <s v="Men's Short Sleeve Workwear Coveralls"/>
    <x v="2"/>
    <s v="Light Brown"/>
    <s v="Large- Regular"/>
    <s v="-"/>
    <s v="ABMN38003M25-Light Brown_largeregular"/>
    <s v="Amazon Basics Men's Relaxed Fit Short Sleeve Workwear Coveralls, Light Brown, Large- Regular"/>
    <s v="Accepted: In stock"/>
    <s v="Ship window (Collect)"/>
    <x v="0"/>
    <x v="0"/>
    <x v="0"/>
    <n v="160"/>
    <n v="160"/>
    <n v="170"/>
    <n v="170"/>
    <n v="0"/>
    <n v="-10"/>
    <m/>
    <m/>
    <n v="0"/>
    <m/>
    <m/>
    <n v="160"/>
    <x v="2"/>
    <n v="160"/>
    <n v="0"/>
    <m/>
    <n v="1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3QC3G"/>
    <s v="195515127950"/>
    <s v="UPC"/>
    <x v="1"/>
    <s v="Men's Duck Utility Workwear Pants"/>
    <x v="3"/>
    <s v="Chocolate"/>
    <s v="34W x 32L"/>
    <s v="-"/>
    <s v="ABMN69404M25-Chocolate_34wx32l"/>
    <s v="Amazon Basics Men's Relaxed Fit Duck Utility Workwear Pants, Chocolate, 34W x 32L"/>
    <s v="Accepted: In stock"/>
    <s v="Ship window (Collect)"/>
    <x v="0"/>
    <x v="0"/>
    <x v="0"/>
    <n v="90"/>
    <n v="90"/>
    <n v="96"/>
    <n v="96"/>
    <n v="0"/>
    <n v="-6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3NFWV"/>
    <s v="195515129305"/>
    <s v="UPC"/>
    <x v="1"/>
    <s v="Men's Long Sleeve Workwear Coveralls"/>
    <x v="1"/>
    <s v="Charcoal"/>
    <s v="Medium- Long"/>
    <s v="-"/>
    <s v="ABMN87281M25-Charcoal_mediumlong"/>
    <s v="Amazon Basics Men's Relaxed Fit Long Sleeve Workwear Coveralls, Charcoal, Medium - Long"/>
    <s v="Accepted: In stock"/>
    <s v="Ship window (Collect)"/>
    <x v="0"/>
    <x v="0"/>
    <x v="0"/>
    <n v="88"/>
    <n v="88"/>
    <n v="88"/>
    <n v="0"/>
    <n v="88"/>
    <n v="88"/>
    <m/>
    <m/>
    <n v="0"/>
    <m/>
    <m/>
    <n v="0"/>
    <x v="1"/>
    <n v="0"/>
    <n v="8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39SKR"/>
    <s v="195515131148"/>
    <s v="UPC"/>
    <x v="1"/>
    <s v="Men's Duck Utility Workwear Pants"/>
    <x v="3"/>
    <s v="Dark Chestnut Brown"/>
    <s v="32W x 34L"/>
    <s v="-"/>
    <s v="ABMN69404M25-Dark Chestnut Brown_32wx34l"/>
    <s v="Amazon Basics Men's Relaxed Fit Duck Utility Workwear Pants, Dark Chestnut Brown, 32W x 34L"/>
    <s v="Accepted: In stock"/>
    <s v="Ship window (Collect)"/>
    <x v="0"/>
    <x v="0"/>
    <x v="0"/>
    <n v="24"/>
    <n v="24"/>
    <n v="36"/>
    <n v="0"/>
    <n v="36"/>
    <n v="24"/>
    <m/>
    <m/>
    <n v="0"/>
    <m/>
    <m/>
    <n v="0"/>
    <x v="3"/>
    <n v="0"/>
    <n v="24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71Y8KW"/>
    <s v="195515129886"/>
    <s v="UPC"/>
    <x v="1"/>
    <s v="Men's Short Sleeve Workwear Coveralls"/>
    <x v="2"/>
    <s v="Navy"/>
    <s v="X- Large- Short"/>
    <s v="-"/>
    <s v="ABMN38003M25-Navy_xlargeshort"/>
    <s v="Amazon Basics Men's Relaxed Fit Short Sleeve Workwear Coveralls, Navy, X- Large- Short"/>
    <s v="Accepted: In stock"/>
    <s v="Ship window (Collect)"/>
    <x v="0"/>
    <x v="0"/>
    <x v="0"/>
    <n v="110"/>
    <n v="110"/>
    <n v="110"/>
    <n v="110"/>
    <n v="0"/>
    <n v="0"/>
    <m/>
    <m/>
    <n v="0"/>
    <m/>
    <m/>
    <n v="110"/>
    <x v="2"/>
    <n v="110"/>
    <n v="0"/>
    <m/>
    <n v="11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XSPM"/>
    <s v="195515131582"/>
    <s v="UPC"/>
    <x v="1"/>
    <s v="Men's Duck Utility Workwear Pants"/>
    <x v="3"/>
    <s v="Dark Chestnut Brown"/>
    <s v="38W x 34L"/>
    <s v="-"/>
    <s v="ABMN69404M25-Dark Chestnut Brown_38wx34l"/>
    <s v="Amazon Basics Men's Relaxed Fit Duck Utility Workwear Pants, Dark Chestnut Brown, 38W x 34L"/>
    <s v="Accepted: In stock"/>
    <s v="Ship window (Collect)"/>
    <x v="0"/>
    <x v="0"/>
    <x v="0"/>
    <n v="66"/>
    <n v="66"/>
    <n v="66"/>
    <n v="66"/>
    <n v="0"/>
    <n v="0"/>
    <m/>
    <m/>
    <n v="0"/>
    <m/>
    <m/>
    <n v="66"/>
    <x v="3"/>
    <n v="66"/>
    <n v="0"/>
    <m/>
    <n v="11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XSJ3"/>
    <s v="195515131377"/>
    <s v="UPC"/>
    <x v="1"/>
    <s v="Men's Duck Utility Workwear Pants"/>
    <x v="3"/>
    <s v="Light Brown"/>
    <s v="36W x 32L"/>
    <s v="-"/>
    <s v="ABMN69404M25-Light Brown_36wx32l"/>
    <s v="Amazon Basics Men's Relaxed Fit Duck Utility Workwear Pants, Light Brown, 36W x 32L"/>
    <s v="Accepted: In stock"/>
    <s v="Ship window (Collect)"/>
    <x v="0"/>
    <x v="0"/>
    <x v="0"/>
    <n v="90"/>
    <n v="90"/>
    <n v="96"/>
    <n v="96"/>
    <n v="0"/>
    <n v="-6"/>
    <m/>
    <m/>
    <n v="0"/>
    <m/>
    <m/>
    <n v="90"/>
    <x v="3"/>
    <n v="90"/>
    <n v="0"/>
    <m/>
    <n v="15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XRM4"/>
    <s v="195515129275"/>
    <s v="UPC"/>
    <x v="1"/>
    <s v="Men's Long Sleeve Workwear Coveralls"/>
    <x v="1"/>
    <s v="Charcoal"/>
    <s v="XX- Large- Long"/>
    <s v="-"/>
    <s v="ABMN87281M25-Charcoal_xxlargelong"/>
    <s v="Amazon Basics Men's Relaxed Fit Long Sleeve Workwear Coveralls, Charcoal, XX Large - Long"/>
    <s v="Accepted: In stock"/>
    <s v="Ship window (Collect)"/>
    <x v="0"/>
    <x v="0"/>
    <x v="0"/>
    <n v="40"/>
    <n v="40"/>
    <n v="48"/>
    <n v="0"/>
    <n v="48"/>
    <n v="40"/>
    <m/>
    <m/>
    <n v="0"/>
    <m/>
    <m/>
    <n v="0"/>
    <x v="1"/>
    <n v="0"/>
    <n v="4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1XNMV"/>
    <s v="195515131032"/>
    <s v="UPC"/>
    <x v="1"/>
    <s v="Men's Short Sleeve Workwear Coveralls"/>
    <x v="2"/>
    <s v="Charcoal"/>
    <s v="XX- Large- Regular"/>
    <s v="-"/>
    <s v="ABMN38003M25-Charcoal_xxlargeregular"/>
    <s v="Amazon Basics Men's Relaxed Fit Short Sleeve Workwear Coveralls, Charcoal, XX- Large- Regular"/>
    <s v="Accepted: In stock"/>
    <s v="Ship window (Collect)"/>
    <x v="0"/>
    <x v="0"/>
    <x v="0"/>
    <n v="120"/>
    <n v="120"/>
    <n v="130"/>
    <n v="0"/>
    <n v="130"/>
    <n v="120"/>
    <m/>
    <m/>
    <n v="0"/>
    <m/>
    <m/>
    <n v="0"/>
    <x v="2"/>
    <n v="0"/>
    <n v="12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1XHTY"/>
    <s v="195515129848"/>
    <s v="UPC"/>
    <x v="1"/>
    <s v="Men's Short Sleeve Workwear Coveralls"/>
    <x v="2"/>
    <s v="Navy"/>
    <s v="XXX-Large- Long"/>
    <s v="-"/>
    <s v="ABMN38003M25-Navy_xxxlargelong"/>
    <s v="Amazon Basics Men's Relaxed Fit Short Sleeve Workwear Coveralls, Navy, XXX-Large- Long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2"/>
    <n v="60"/>
    <n v="0"/>
    <m/>
    <n v="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V4FB"/>
    <s v="195515129688"/>
    <s v="UPC"/>
    <x v="1"/>
    <s v="Men's Short Sleeve Workwear Coveralls"/>
    <x v="2"/>
    <s v="Light Brown"/>
    <s v="XX- Large- Regular"/>
    <s v="-"/>
    <s v="ABMN38003M25-Light Brown_xxlargeregular"/>
    <s v="Amazon Basics Men's Relaxed Fit Short Sleeve Workwear Coveralls, Light Brown, XX- Large- Regular"/>
    <s v="Accepted: In stock"/>
    <s v="Ship window (Collect)"/>
    <x v="0"/>
    <x v="0"/>
    <x v="0"/>
    <n v="100"/>
    <n v="100"/>
    <n v="110"/>
    <n v="110"/>
    <n v="0"/>
    <n v="-1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RYGP"/>
    <s v="195515129817"/>
    <s v="UPC"/>
    <x v="1"/>
    <s v="Men's Short Sleeve Workwear Coveralls"/>
    <x v="2"/>
    <s v="Light Brown"/>
    <s v="Small- Regular"/>
    <s v="-"/>
    <s v="ABMN38003M25-Light Brown_smallregular"/>
    <s v="Amazon Basics Men's Relaxed Fit Short Sleeve Workwear Coveralls, Light Brown, Small- Regular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2"/>
    <n v="60"/>
    <n v="0"/>
    <m/>
    <n v="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RM9Q"/>
    <s v="195515130820"/>
    <s v="UPC"/>
    <x v="1"/>
    <s v="Men's Short Sleeve Workwear Coveralls"/>
    <x v="2"/>
    <s v="White"/>
    <s v="XXX-Large- Short"/>
    <s v="-"/>
    <s v="ABMN38003M25-White_xxxlargeshort"/>
    <s v="Amazon Basics Men's Relaxed Fit Short Sleeve Workwear Coveralls, White, XXX-Large- Short"/>
    <s v="Accepted: In stock"/>
    <s v="Ship window (Collect)"/>
    <x v="0"/>
    <x v="0"/>
    <x v="0"/>
    <n v="40"/>
    <n v="40"/>
    <n v="40"/>
    <n v="40"/>
    <n v="0"/>
    <n v="0"/>
    <m/>
    <m/>
    <n v="0"/>
    <m/>
    <m/>
    <n v="40"/>
    <x v="2"/>
    <n v="40"/>
    <n v="0"/>
    <m/>
    <n v="4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R9V9"/>
    <s v="195515131001"/>
    <s v="UPC"/>
    <x v="1"/>
    <s v="Men's Short Sleeve Workwear Coveralls"/>
    <x v="2"/>
    <s v="Charcoal"/>
    <s v="XX- Large- Long"/>
    <s v="-"/>
    <s v="ABMN38003M25-Charcoal_xxlargelong"/>
    <s v="Amazon Basics Men's Relaxed Fit Short Sleeve Workwear Coveralls, Charcoal, XX- Large- Long"/>
    <s v="Accepted: In stock"/>
    <s v="Ship window (Collect)"/>
    <x v="0"/>
    <x v="0"/>
    <x v="0"/>
    <n v="10"/>
    <n v="10"/>
    <n v="10"/>
    <n v="0"/>
    <n v="10"/>
    <n v="10"/>
    <m/>
    <m/>
    <n v="0"/>
    <m/>
    <m/>
    <n v="0"/>
    <x v="2"/>
    <n v="0"/>
    <n v="1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1NQ5Z"/>
    <s v="195515130400"/>
    <s v="UPC"/>
    <x v="1"/>
    <s v="Men's Short Sleeve Workwear Coveralls"/>
    <x v="2"/>
    <s v="Navy"/>
    <s v="Large- Long"/>
    <s v="-"/>
    <s v="ABMN38003M25-Navy_largelong"/>
    <s v="Amazon Basics Men's Relaxed Fit Short Sleeve Workwear Coveralls, Navy, Large- Long"/>
    <s v="Accepted: In stock"/>
    <s v="Ship window (Collect)"/>
    <x v="0"/>
    <x v="0"/>
    <x v="0"/>
    <n v="90"/>
    <n v="90"/>
    <n v="90"/>
    <n v="90"/>
    <n v="0"/>
    <n v="0"/>
    <m/>
    <m/>
    <n v="0"/>
    <m/>
    <m/>
    <n v="90"/>
    <x v="2"/>
    <n v="90"/>
    <n v="0"/>
    <m/>
    <n v="9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MRYF"/>
    <s v="195515129374"/>
    <s v="UPC"/>
    <x v="1"/>
    <s v="Men's Long Sleeve Workwear Coveralls"/>
    <x v="1"/>
    <s v="Charcoal"/>
    <s v="Small- Short"/>
    <s v="-"/>
    <s v="ABMN87281M25-Charcoal_smallshort"/>
    <s v="Amazon Basics Men's Relaxed Fit Long Sleeve Workwear Coveralls, Charcoal, Small - Short"/>
    <s v="Accepted: In stock"/>
    <s v="Ship window (Collect)"/>
    <x v="0"/>
    <x v="0"/>
    <x v="0"/>
    <n v="64"/>
    <n v="64"/>
    <n v="72"/>
    <n v="0"/>
    <n v="72"/>
    <n v="64"/>
    <m/>
    <m/>
    <n v="0"/>
    <m/>
    <m/>
    <n v="0"/>
    <x v="1"/>
    <n v="0"/>
    <n v="6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1LD65"/>
    <s v="195515131568"/>
    <s v="UPC"/>
    <x v="1"/>
    <s v="Men's Duck Utility Workwear Pants"/>
    <x v="3"/>
    <s v="Dark Chestnut Brown"/>
    <s v="34W x 34L"/>
    <s v="-"/>
    <s v="ABMN69404M25-Dark Chestnut Brown_34wx34l"/>
    <s v="Amazon Basics Men's Relaxed Fit Duck Utility Workwear Pants, Dark Chestnut Brown, 34W x 34L"/>
    <s v="Accepted: In stock"/>
    <s v="Ship window (Collect)"/>
    <x v="0"/>
    <x v="0"/>
    <x v="0"/>
    <n v="78"/>
    <n v="78"/>
    <n v="78"/>
    <n v="78"/>
    <n v="0"/>
    <n v="0"/>
    <m/>
    <m/>
    <n v="0"/>
    <m/>
    <m/>
    <n v="78"/>
    <x v="3"/>
    <n v="78"/>
    <n v="0"/>
    <m/>
    <n v="1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L29D"/>
    <s v="195515129435"/>
    <s v="UPC"/>
    <x v="1"/>
    <s v="Men's Short Sleeve Workwear Coveralls"/>
    <x v="2"/>
    <s v="Black"/>
    <s v="Medium- Regular"/>
    <s v="-"/>
    <s v="ABMN38003M25-Black_mediumregular"/>
    <s v="Amazon Basics Men's Relaxed Fit Short Sleeve Workwear Coveralls, Black, Medium- Regular"/>
    <s v="Accepted: In stock"/>
    <s v="Ship window (Collect)"/>
    <x v="0"/>
    <x v="0"/>
    <x v="0"/>
    <n v="130"/>
    <n v="130"/>
    <n v="140"/>
    <n v="0"/>
    <n v="140"/>
    <n v="130"/>
    <m/>
    <m/>
    <n v="0"/>
    <m/>
    <m/>
    <n v="0"/>
    <x v="2"/>
    <n v="0"/>
    <n v="13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1KCWJ"/>
    <s v="195515128223"/>
    <s v="UPC"/>
    <x v="1"/>
    <s v="Men's Duck Utility Workwear Pants"/>
    <x v="3"/>
    <s v="Black"/>
    <s v="30W x 32L"/>
    <s v="-"/>
    <s v="ABMN69404M25-Black_30wx32l"/>
    <s v="Amazon Basics Men's Relaxed Fit Duck Utility Workwear Pants, Black, 30W x 32L"/>
    <s v="Accepted: In stock"/>
    <s v="Ship window (Collect)"/>
    <x v="0"/>
    <x v="0"/>
    <x v="0"/>
    <n v="60"/>
    <n v="60"/>
    <n v="66"/>
    <n v="66"/>
    <n v="0"/>
    <n v="-6"/>
    <m/>
    <m/>
    <n v="0"/>
    <m/>
    <m/>
    <n v="60"/>
    <x v="3"/>
    <n v="60"/>
    <n v="0"/>
    <m/>
    <n v="10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K29T"/>
    <s v="195515129350"/>
    <s v="UPC"/>
    <x v="1"/>
    <s v="Men's Long Sleeve Workwear Coveralls"/>
    <x v="1"/>
    <s v="Charcoal"/>
    <s v="X-Large- Regular"/>
    <s v="-"/>
    <s v="ABMN87281M25-Charcoal_xlargeregular"/>
    <s v="Amazon Basics Men's Relaxed Fit Long Sleeve Workwear Coveralls, Charcoal, X Large - Regular"/>
    <s v="Accepted: In stock"/>
    <s v="Ship window (Collect)"/>
    <x v="0"/>
    <x v="0"/>
    <x v="0"/>
    <n v="160"/>
    <n v="160"/>
    <n v="168"/>
    <n v="0"/>
    <n v="168"/>
    <n v="160"/>
    <m/>
    <m/>
    <n v="0"/>
    <m/>
    <m/>
    <n v="0"/>
    <x v="1"/>
    <n v="0"/>
    <n v="16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1GCGJ"/>
    <s v="195515131544"/>
    <s v="UPC"/>
    <x v="1"/>
    <s v="Men's Duck Utility Workwear Pants"/>
    <x v="3"/>
    <s v="Light Brown"/>
    <s v="36W x 34L"/>
    <s v="-"/>
    <s v="ABMN69404M25-Light Brown_36wx34l"/>
    <s v="Amazon Basics Men's Relaxed Fit Duck Utility Workwear Pants, Light Brown, 36W x 34L"/>
    <s v="Accepted: In stock"/>
    <s v="Ship window (Collect)"/>
    <x v="0"/>
    <x v="0"/>
    <x v="0"/>
    <n v="66"/>
    <n v="66"/>
    <n v="72"/>
    <n v="72"/>
    <n v="0"/>
    <n v="-6"/>
    <m/>
    <m/>
    <n v="0"/>
    <m/>
    <m/>
    <n v="66"/>
    <x v="3"/>
    <n v="66"/>
    <n v="0"/>
    <m/>
    <n v="11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CMM3"/>
    <s v="195515129824"/>
    <s v="UPC"/>
    <x v="1"/>
    <s v="Men's Short Sleeve Workwear Coveralls"/>
    <x v="2"/>
    <s v="Navy"/>
    <s v="X- Large- Long"/>
    <s v="-"/>
    <s v="ABMN38003M25-Navy_xlargelong"/>
    <s v="Amazon Basics Men's Relaxed Fit Short Sleeve Workwear Coveralls, Navy, X- Large- Long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8RCP"/>
    <s v="195515130936"/>
    <s v="UPC"/>
    <x v="1"/>
    <s v="Men's Short Sleeve Workwear Coveralls"/>
    <x v="2"/>
    <s v="White"/>
    <s v="XX- Large- Short"/>
    <s v="-"/>
    <s v="ABMN38003M25-White_xxlargeshort"/>
    <s v="Amazon Basics Men's Relaxed Fit Short Sleeve Workwear Coveralls, White, XX- Large- Short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8RC7"/>
    <s v="195515129596"/>
    <s v="UPC"/>
    <x v="1"/>
    <s v="Men's Long Sleeve Workwear Coveralls"/>
    <x v="1"/>
    <s v="Charcoal"/>
    <s v="XX-Large- Regular"/>
    <s v="-"/>
    <s v="ABMN87281M25-Charcoal_xxlargeregular"/>
    <s v="Amazon Basics Men's Relaxed Fit Long Sleeve Workwear Coveralls, Charcoal, XX Large - Regular"/>
    <s v="Accepted: In stock"/>
    <s v="Ship window (Collect)"/>
    <x v="0"/>
    <x v="0"/>
    <x v="0"/>
    <n v="128"/>
    <n v="128"/>
    <n v="136"/>
    <n v="0"/>
    <n v="136"/>
    <n v="128"/>
    <m/>
    <m/>
    <n v="0"/>
    <m/>
    <m/>
    <n v="0"/>
    <x v="1"/>
    <n v="0"/>
    <n v="12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715MR6"/>
    <s v="195515131094"/>
    <s v="UPC"/>
    <x v="1"/>
    <s v="Men's Short Sleeve Workwear Coveralls"/>
    <x v="2"/>
    <s v="Charcoal"/>
    <s v="Small- Regular"/>
    <s v="-"/>
    <s v="ABMN38003M25-Charcoal_smallregular"/>
    <s v="Amazon Basics Men's Relaxed Fit Short Sleeve Workwear Coveralls, Charcoal, Small- Regular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2"/>
    <n v="0"/>
    <n v="8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71586M"/>
    <s v="195515130875"/>
    <s v="UPC"/>
    <x v="1"/>
    <s v="Men's Short Sleeve Workwear Coveralls"/>
    <x v="2"/>
    <s v="White"/>
    <s v="XXX-Large- Long"/>
    <s v="-"/>
    <s v="ABMN38003M25-White_xxxlargelong"/>
    <s v="Amazon Basics Men's Relaxed Fit Short Sleeve Workwear Coveralls, White, XXX-Large- Long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713N7J"/>
    <s v="195515128087"/>
    <s v="UPC"/>
    <x v="1"/>
    <s v="Men's Duck Utility Workwear Pants"/>
    <x v="3"/>
    <s v="Black"/>
    <s v="42W x 32L"/>
    <s v="-"/>
    <s v="ABMN69404M25-Black_42wx32l"/>
    <s v="Amazon Basics Men's Relaxed Fit Duck Utility Workwear Pants, Black, 42W x 32L"/>
    <s v="Accepted: In stock"/>
    <s v="Ship window (Collect)"/>
    <x v="0"/>
    <x v="0"/>
    <x v="0"/>
    <n v="84"/>
    <n v="84"/>
    <n v="90"/>
    <n v="90"/>
    <n v="0"/>
    <n v="-6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711J1M"/>
    <s v="195515128902"/>
    <s v="UPC"/>
    <x v="1"/>
    <s v="Men's Long Sleeve Workwear Coveralls"/>
    <x v="1"/>
    <s v="Black"/>
    <s v="Medium- Short"/>
    <s v="-"/>
    <s v="ABMN87281M25-Black_mediumshort"/>
    <s v="Amazon Basics Men's Relaxed Fit Long Sleeve Workwear Coveralls, Black, Medium - Short"/>
    <s v="Accepted: In stock"/>
    <s v="Ship window (Collect)"/>
    <x v="0"/>
    <x v="0"/>
    <x v="0"/>
    <n v="96"/>
    <n v="96"/>
    <n v="96"/>
    <n v="0"/>
    <n v="96"/>
    <n v="96"/>
    <m/>
    <m/>
    <n v="0"/>
    <m/>
    <m/>
    <n v="0"/>
    <x v="1"/>
    <n v="0"/>
    <n v="9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ZWZRV"/>
    <s v="195515130943"/>
    <s v="UPC"/>
    <x v="1"/>
    <s v="Men's Short Sleeve Workwear Coveralls"/>
    <x v="2"/>
    <s v="White"/>
    <s v="Large- Short"/>
    <s v="-"/>
    <s v="ABMN38003M25-White_largeshort"/>
    <s v="Amazon Basics Men's Relaxed Fit Short Sleeve Workwear Coveralls, White, Large- Short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ZPP5D"/>
    <s v="195515129626"/>
    <s v="UPC"/>
    <x v="1"/>
    <s v="Men's Short Sleeve Workwear Coveralls"/>
    <x v="2"/>
    <s v="Light Brown"/>
    <s v="Medium- Short"/>
    <s v="-"/>
    <s v="ABMN38003M25-Light Brown_mediumshort"/>
    <s v="Amazon Basics Men's Relaxed Fit Short Sleeve Workwear Coveralls, Light Brown, Medium- Short"/>
    <s v="Accepted: In stock"/>
    <s v="Ship window (Collect)"/>
    <x v="0"/>
    <x v="0"/>
    <x v="0"/>
    <n v="90"/>
    <n v="90"/>
    <n v="90"/>
    <n v="90"/>
    <n v="0"/>
    <n v="0"/>
    <m/>
    <m/>
    <n v="0"/>
    <m/>
    <m/>
    <n v="90"/>
    <x v="2"/>
    <n v="90"/>
    <n v="0"/>
    <m/>
    <n v="9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ZP1C6"/>
    <s v="195515129152"/>
    <s v="UPC"/>
    <x v="1"/>
    <s v="Men's Long Sleeve Workwear Coveralls"/>
    <x v="1"/>
    <s v="Black"/>
    <s v="X-Large- Regular"/>
    <s v="-"/>
    <s v="ABMN87281M25-Black_xlargeregular"/>
    <s v="Amazon Basics Men's Relaxed Fit Long Sleeve Workwear Coveralls, Black, X Large - Regular"/>
    <s v="Accepted: In stock"/>
    <s v="Ship window (Collect)"/>
    <x v="0"/>
    <x v="0"/>
    <x v="0"/>
    <n v="152"/>
    <n v="152"/>
    <n v="160"/>
    <n v="0"/>
    <n v="160"/>
    <n v="152"/>
    <m/>
    <m/>
    <n v="0"/>
    <m/>
    <m/>
    <n v="0"/>
    <x v="1"/>
    <n v="0"/>
    <n v="15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ZLGP7"/>
    <s v="195515130783"/>
    <s v="UPC"/>
    <x v="1"/>
    <s v="Men's Short Sleeve Workwear Coveralls"/>
    <x v="2"/>
    <s v="Navy"/>
    <s v="Large- Short"/>
    <s v="-"/>
    <s v="ABMN38003M25-Navy_largeshort"/>
    <s v="Amazon Basics Men's Relaxed Fit Short Sleeve Workwear Coveralls, Navy, Large- Short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Z7HZ1"/>
    <s v="195515131674"/>
    <s v="UPC"/>
    <x v="1"/>
    <s v="Men's Duck Utility Workwear Pants"/>
    <x v="3"/>
    <s v="Dark Chestnut Brown"/>
    <s v="36W x 34L"/>
    <s v="-"/>
    <s v="ABMN69404M25-Dark Chestnut Brown_36wx34l"/>
    <s v="Amazon Basics Men's Relaxed Fit Duck Utility Workwear Pants, Dark Chestnut Brown, 36W x 34L"/>
    <s v="Accepted: In stock"/>
    <s v="Ship window (Collect)"/>
    <x v="0"/>
    <x v="0"/>
    <x v="0"/>
    <n v="6"/>
    <n v="6"/>
    <n v="6"/>
    <n v="0"/>
    <n v="6"/>
    <n v="6"/>
    <m/>
    <m/>
    <n v="0"/>
    <m/>
    <m/>
    <n v="0"/>
    <x v="3"/>
    <n v="0"/>
    <n v="6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6Z2VJK"/>
    <s v="195515131117"/>
    <s v="UPC"/>
    <x v="1"/>
    <s v="Men's Short Sleeve Workwear Coveralls"/>
    <x v="2"/>
    <s v="Charcoal"/>
    <s v="XX- Large- Short"/>
    <s v="-"/>
    <s v="ABMN38003M25-Charcoal_xxlargeshort"/>
    <s v="Amazon Basics Men's Relaxed Fit Short Sleeve Workwear Coveralls, Charcoal, XX- Large- Short"/>
    <s v="Accepted: In stock"/>
    <s v="Ship window (Collect)"/>
    <x v="0"/>
    <x v="0"/>
    <x v="0"/>
    <n v="70"/>
    <n v="70"/>
    <n v="70"/>
    <n v="0"/>
    <n v="70"/>
    <n v="70"/>
    <m/>
    <m/>
    <n v="0"/>
    <m/>
    <m/>
    <n v="0"/>
    <x v="2"/>
    <n v="0"/>
    <n v="7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Z2JDF"/>
    <s v="195515131063"/>
    <s v="UPC"/>
    <x v="1"/>
    <s v="Men's Short Sleeve Workwear Coveralls"/>
    <x v="2"/>
    <s v="Charcoal"/>
    <s v="XXX- Large- Regular"/>
    <s v="-"/>
    <s v="ABMN38003M25-Charcoal_xxxlargeregular"/>
    <s v="Amazon Basics Men's Relaxed Fit Short Sleeve Workwear Coveralls, Charcoal, XXX- Large- Regular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2"/>
    <n v="0"/>
    <n v="8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YXN93"/>
    <s v="195515129251"/>
    <s v="UPC"/>
    <x v="1"/>
    <s v="Men's Long Sleeve Workwear Coveralls"/>
    <x v="1"/>
    <s v="Charcoal"/>
    <s v="Medium- Short"/>
    <s v="-"/>
    <s v="ABMN87281M25-Charcoal_mediumshort"/>
    <s v="Amazon Basics Men's Relaxed Fit Long Sleeve Workwear Coveralls, Charcoal, Medium - Short"/>
    <s v="Accepted: In stock"/>
    <s v="Ship window (Collect)"/>
    <x v="0"/>
    <x v="0"/>
    <x v="0"/>
    <n v="16"/>
    <n v="16"/>
    <n v="104"/>
    <n v="0"/>
    <n v="104"/>
    <n v="16"/>
    <m/>
    <m/>
    <n v="0"/>
    <m/>
    <m/>
    <n v="0"/>
    <x v="1"/>
    <n v="0"/>
    <n v="1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YQBMJ"/>
    <s v="195515129718"/>
    <s v="UPC"/>
    <x v="1"/>
    <s v="Men's Short Sleeve Workwear Coveralls"/>
    <x v="2"/>
    <s v="Light Brown"/>
    <s v="XXX- Large- Regular"/>
    <s v="-"/>
    <s v="ABMN38003M25-Light Brown_xxxlargeregular"/>
    <s v="Amazon Basics Men's Relaxed Fit Short Sleeve Workwear Coveralls, Light Brown, XXX- Large- Regular"/>
    <s v="Accepted: In stock"/>
    <s v="Ship window (Collect)"/>
    <x v="0"/>
    <x v="0"/>
    <x v="0"/>
    <n v="10"/>
    <n v="10"/>
    <n v="10"/>
    <n v="10"/>
    <n v="0"/>
    <n v="0"/>
    <m/>
    <m/>
    <n v="0"/>
    <m/>
    <m/>
    <n v="10"/>
    <x v="2"/>
    <n v="10"/>
    <n v="0"/>
    <m/>
    <n v="1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YQBM4"/>
    <s v="195515129879"/>
    <s v="UPC"/>
    <x v="1"/>
    <s v="Men's Short Sleeve Workwear Coveralls"/>
    <x v="2"/>
    <s v="Navy"/>
    <s v="X- Large- Regular"/>
    <s v="-"/>
    <s v="ABMN38003M25-Navy_xlargeregular"/>
    <s v="Amazon Basics Men's Relaxed Fit Short Sleeve Workwear Coveralls, Navy, X- Large- Regular"/>
    <s v="Accepted: In stock"/>
    <s v="Ship window (Collect)"/>
    <x v="0"/>
    <x v="0"/>
    <x v="0"/>
    <n v="160"/>
    <n v="160"/>
    <n v="170"/>
    <n v="170"/>
    <n v="0"/>
    <n v="-10"/>
    <m/>
    <m/>
    <n v="0"/>
    <m/>
    <m/>
    <n v="160"/>
    <x v="2"/>
    <n v="160"/>
    <n v="0"/>
    <m/>
    <n v="16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YN3Z5"/>
    <s v="195515131070"/>
    <s v="UPC"/>
    <x v="1"/>
    <s v="Men's Short Sleeve Workwear Coveralls"/>
    <x v="2"/>
    <s v="Charcoal"/>
    <s v="X- Large- Short"/>
    <s v="-"/>
    <s v="ABMN38003M25-Charcoal_xlargeshort"/>
    <s v="Amazon Basics Men's Relaxed Fit Short Sleeve Workwear Coveralls, Charcoal, X- Large- Short"/>
    <s v="Accepted: In stock"/>
    <s v="Ship window (Collect)"/>
    <x v="0"/>
    <x v="0"/>
    <x v="0"/>
    <n v="90"/>
    <n v="90"/>
    <n v="90"/>
    <n v="0"/>
    <n v="90"/>
    <n v="90"/>
    <m/>
    <m/>
    <n v="0"/>
    <m/>
    <m/>
    <n v="0"/>
    <x v="2"/>
    <n v="0"/>
    <n v="9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YJ34K"/>
    <s v="195515131506"/>
    <s v="UPC"/>
    <x v="1"/>
    <s v="Men's Duck Utility Workwear Pants"/>
    <x v="3"/>
    <s v="Dark Chestnut Brown"/>
    <s v="42W x 30L"/>
    <s v="-"/>
    <s v="ABMN69404M25-Dark Chestnut Brown_42wx30l"/>
    <s v="Amazon Basics Men's Relaxed Fit Duck Utility Workwear Pants, Dark Chestnut Brown, 42W x 30L"/>
    <s v="Accepted: In stock"/>
    <s v="Ship window (Collect)"/>
    <x v="0"/>
    <x v="0"/>
    <x v="0"/>
    <n v="6"/>
    <n v="6"/>
    <n v="6"/>
    <n v="0"/>
    <n v="6"/>
    <n v="6"/>
    <m/>
    <m/>
    <n v="0"/>
    <m/>
    <m/>
    <n v="0"/>
    <x v="3"/>
    <n v="0"/>
    <n v="6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6YHR1Y"/>
    <s v="195515130868"/>
    <s v="UPC"/>
    <x v="1"/>
    <s v="Men's Short Sleeve Workwear Coveralls"/>
    <x v="2"/>
    <s v="White"/>
    <s v="XX- Large- Regular"/>
    <s v="-"/>
    <s v="ABMN38003M25-White_xxlargeregular"/>
    <s v="Amazon Basics Men's Relaxed Fit Short Sleeve Workwear Coveralls, White, XX- Large- Regular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YFJLZ"/>
    <s v="195515129763"/>
    <s v="UPC"/>
    <x v="1"/>
    <s v="Men's Short Sleeve Workwear Coveralls"/>
    <x v="2"/>
    <s v="Light Brown"/>
    <s v="Large- Short"/>
    <s v="-"/>
    <s v="ABMN38003M25-Light Brown_largeshort"/>
    <s v="Amazon Basics Men's Relaxed Fit Short Sleeve Workwear Coveralls, Light Brown, Large- Short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2"/>
    <n v="80"/>
    <n v="0"/>
    <m/>
    <n v="8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WRDSY"/>
    <s v="195515129602"/>
    <s v="UPC"/>
    <x v="1"/>
    <s v="Men's Short Sleeve Workwear Coveralls"/>
    <x v="2"/>
    <s v="Black"/>
    <s v="Small- Regular"/>
    <s v="-"/>
    <s v="ABMN38003M25-Black_smallregular"/>
    <s v="Amazon Basics Men's Relaxed Fit Short Sleeve Workwear Coveralls, Black, Small- Regular"/>
    <s v="Accepted: In stock"/>
    <s v="Ship window (Collect)"/>
    <x v="0"/>
    <x v="0"/>
    <x v="0"/>
    <n v="90"/>
    <n v="90"/>
    <n v="90"/>
    <n v="0"/>
    <n v="90"/>
    <n v="90"/>
    <m/>
    <m/>
    <n v="0"/>
    <m/>
    <m/>
    <n v="0"/>
    <x v="2"/>
    <n v="0"/>
    <n v="9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WMK84"/>
    <s v="195515131414"/>
    <s v="UPC"/>
    <x v="1"/>
    <s v="Men's Duck Utility Workwear Pants"/>
    <x v="3"/>
    <s v="Light Brown"/>
    <s v="32W x 32L"/>
    <s v="-"/>
    <s v="ABMN69404M25-Light Brown_32wx32l"/>
    <s v="Amazon Basics Men's Relaxed Fit Duck Utility Workwear Pants, Light Brown, 32W x 32L"/>
    <s v="Accepted: In stock"/>
    <s v="Ship window (Collect)"/>
    <x v="0"/>
    <x v="0"/>
    <x v="0"/>
    <n v="102"/>
    <n v="102"/>
    <n v="108"/>
    <n v="108"/>
    <n v="0"/>
    <n v="-6"/>
    <m/>
    <m/>
    <n v="0"/>
    <m/>
    <m/>
    <n v="102"/>
    <x v="3"/>
    <n v="102"/>
    <n v="0"/>
    <m/>
    <n v="17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WKPHK"/>
    <s v="195515131087"/>
    <s v="UPC"/>
    <x v="1"/>
    <s v="Men's Short Sleeve Workwear Coveralls"/>
    <x v="2"/>
    <s v="Charcoal"/>
    <s v="Medium- Long"/>
    <s v="-"/>
    <s v="ABMN38003M25-Charcoal_mediumlong"/>
    <s v="Amazon Basics Men's Relaxed Fit Short Sleeve Workwear Coveralls, Charcoal, Medium- Long"/>
    <s v="Accepted: In stock"/>
    <s v="Ship window (Collect)"/>
    <x v="0"/>
    <x v="0"/>
    <x v="0"/>
    <n v="40"/>
    <n v="40"/>
    <n v="40"/>
    <n v="0"/>
    <n v="40"/>
    <n v="40"/>
    <m/>
    <m/>
    <n v="0"/>
    <m/>
    <m/>
    <n v="0"/>
    <x v="2"/>
    <n v="0"/>
    <n v="4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WJG6Y"/>
    <s v="195515129244"/>
    <s v="UPC"/>
    <x v="1"/>
    <s v="Men's Long Sleeve Workwear Coveralls"/>
    <x v="1"/>
    <s v="Navy"/>
    <s v="Large- Long"/>
    <s v="-"/>
    <s v="ABMN87281M25-Navy_largelong"/>
    <s v="Amazon Basics Men's Relaxed Fit Long Sleeve Workwear Coveralls, Navy, Large - Long"/>
    <s v="Accepted: In stock"/>
    <s v="Ship window (Collect)"/>
    <x v="0"/>
    <x v="0"/>
    <x v="0"/>
    <n v="104"/>
    <n v="104"/>
    <n v="112"/>
    <n v="0"/>
    <n v="112"/>
    <n v="104"/>
    <m/>
    <m/>
    <n v="0"/>
    <m/>
    <m/>
    <n v="0"/>
    <x v="1"/>
    <n v="0"/>
    <n v="10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WHSFP"/>
    <s v="195515129367"/>
    <s v="UPC"/>
    <x v="1"/>
    <s v="Men's Long Sleeve Workwear Coveralls"/>
    <x v="1"/>
    <s v="Charcoal"/>
    <s v="XXX-Large- Long"/>
    <s v="-"/>
    <s v="ABMN87281M25-Charcoal_xxxlargelong"/>
    <s v="Amazon Basics Men's Relaxed Fit Long Sleeve Workwear Coveralls, Charcoal, XXX Large - Long"/>
    <s v="Accepted: In stock"/>
    <s v="Ship window (Collect)"/>
    <x v="0"/>
    <x v="0"/>
    <x v="0"/>
    <n v="16"/>
    <n v="16"/>
    <n v="16"/>
    <n v="0"/>
    <n v="16"/>
    <n v="16"/>
    <m/>
    <m/>
    <n v="0"/>
    <m/>
    <m/>
    <n v="0"/>
    <x v="1"/>
    <n v="0"/>
    <n v="1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WH488"/>
    <s v="195515129510"/>
    <s v="UPC"/>
    <x v="1"/>
    <s v="Men's Short Sleeve Workwear Coveralls"/>
    <x v="2"/>
    <s v="Black"/>
    <s v="X- Large- Regular"/>
    <s v="-"/>
    <s v="ABMN38003M25-Black_xlargeregular"/>
    <s v="Amazon Basics Men's Relaxed Fit Short Sleeve Workwear Coveralls, Black, X- Large- Regular"/>
    <s v="Accepted: In stock"/>
    <s v="Ship window (Collect)"/>
    <x v="0"/>
    <x v="0"/>
    <x v="0"/>
    <n v="130"/>
    <n v="130"/>
    <n v="140"/>
    <n v="0"/>
    <n v="140"/>
    <n v="130"/>
    <m/>
    <m/>
    <n v="0"/>
    <m/>
    <m/>
    <n v="0"/>
    <x v="2"/>
    <n v="0"/>
    <n v="13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WFJ7F"/>
    <s v="195515127998"/>
    <s v="UPC"/>
    <x v="1"/>
    <s v="Men's Duck Utility Workwear Pants"/>
    <x v="3"/>
    <s v="Chocolate"/>
    <s v="34W x 30L"/>
    <s v="-"/>
    <s v="ABMN69404M25-Chocolate_34wx30l"/>
    <s v="Amazon Basics Men's Relaxed Fit Duck Utility Workwear Pants, Chocolate, 34W x 30L"/>
    <s v="Accepted: In stock"/>
    <s v="Ship window (Collect)"/>
    <x v="0"/>
    <x v="0"/>
    <x v="0"/>
    <n v="84"/>
    <n v="84"/>
    <n v="90"/>
    <n v="90"/>
    <n v="0"/>
    <n v="-6"/>
    <m/>
    <m/>
    <n v="0"/>
    <m/>
    <m/>
    <n v="84"/>
    <x v="3"/>
    <n v="84"/>
    <n v="0"/>
    <m/>
    <n v="14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WDS5S"/>
    <s v="195515129237"/>
    <s v="UPC"/>
    <x v="1"/>
    <s v="Men's Long Sleeve Workwear Coveralls"/>
    <x v="1"/>
    <s v="Navy"/>
    <s v="XX-Large- Regular"/>
    <s v="-"/>
    <s v="ABMN87281M25-Navy_xxlargeregular"/>
    <s v="Amazon Basics Men's Relaxed Fit Long Sleeve Workwear Coveralls, Navy, XX Large - Regular"/>
    <s v="Accepted: In stock"/>
    <s v="Ship window (Collect)"/>
    <x v="0"/>
    <x v="0"/>
    <x v="0"/>
    <n v="184"/>
    <n v="184"/>
    <n v="200"/>
    <n v="0"/>
    <n v="200"/>
    <n v="184"/>
    <m/>
    <m/>
    <n v="0"/>
    <m/>
    <m/>
    <n v="0"/>
    <x v="1"/>
    <n v="0"/>
    <n v="184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WDS5D"/>
    <s v="195515129862"/>
    <s v="UPC"/>
    <x v="1"/>
    <s v="Men's Short Sleeve Workwear Coveralls"/>
    <x v="2"/>
    <s v="Navy"/>
    <s v="XX- Large- Long"/>
    <s v="-"/>
    <s v="ABMN38003M25-Navy_xxlargelong"/>
    <s v="Amazon Basics Men's Relaxed Fit Short Sleeve Workwear Coveralls, Navy, XX- Large- Long"/>
    <s v="Accepted: In stock"/>
    <s v="Ship window (Collect)"/>
    <x v="0"/>
    <x v="0"/>
    <x v="0"/>
    <n v="90"/>
    <n v="90"/>
    <n v="90"/>
    <n v="90"/>
    <n v="0"/>
    <n v="0"/>
    <m/>
    <m/>
    <n v="0"/>
    <m/>
    <m/>
    <n v="90"/>
    <x v="2"/>
    <n v="90"/>
    <n v="0"/>
    <m/>
    <n v="9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W4ZNP"/>
    <s v="195515131476"/>
    <s v="UPC"/>
    <x v="1"/>
    <s v="Men's Duck Utility Workwear Pants"/>
    <x v="3"/>
    <s v="Light Brown"/>
    <s v="30W x 32L"/>
    <s v="-"/>
    <s v="ABMN69404M25-Light Brown_30wx32l"/>
    <s v="Amazon Basics Men's Relaxed Fit Duck Utility Workwear Pants, Light Brown, 30W x 32L"/>
    <s v="Accepted: In stock"/>
    <s v="Ship window (Collect)"/>
    <x v="0"/>
    <x v="0"/>
    <x v="0"/>
    <n v="96"/>
    <n v="96"/>
    <n v="102"/>
    <n v="102"/>
    <n v="0"/>
    <n v="-6"/>
    <m/>
    <m/>
    <n v="0"/>
    <m/>
    <m/>
    <n v="96"/>
    <x v="3"/>
    <n v="96"/>
    <n v="0"/>
    <m/>
    <n v="16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W3DXC"/>
    <s v="195515131551"/>
    <s v="UPC"/>
    <x v="1"/>
    <s v="Men's Duck Utility Workwear Pants"/>
    <x v="3"/>
    <s v="Dark Chestnut Brown"/>
    <s v="36W x 32L"/>
    <s v="-"/>
    <s v="ABMN69404M25-Dark Chestnut Brown_36wx32l"/>
    <s v="Amazon Basics Men's Relaxed Fit Duck Utility Workwear Pants, Dark Chestnut Brown, 36W x 32L"/>
    <s v="Accepted: In stock"/>
    <s v="Ship window (Collect)"/>
    <x v="0"/>
    <x v="0"/>
    <x v="0"/>
    <n v="120"/>
    <n v="120"/>
    <n v="126"/>
    <n v="126"/>
    <n v="0"/>
    <n v="-6"/>
    <m/>
    <m/>
    <n v="0"/>
    <m/>
    <m/>
    <n v="120"/>
    <x v="3"/>
    <n v="120"/>
    <n v="0"/>
    <m/>
    <n v="20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T1BZB"/>
    <s v="195515130349"/>
    <s v="UPC"/>
    <x v="1"/>
    <s v="Men's Short Sleeve Workwear Coveralls"/>
    <x v="2"/>
    <s v="Navy"/>
    <s v="Medium- Regular"/>
    <s v="-"/>
    <s v="ABMN38003M25-Navy_mediumregular"/>
    <s v="Amazon Basics Men's Relaxed Fit Short Sleeve Workwear Coveralls, Navy, Medium- Regular"/>
    <s v="Accepted: In stock"/>
    <s v="Ship window (Collect)"/>
    <x v="0"/>
    <x v="0"/>
    <x v="0"/>
    <n v="130"/>
    <n v="130"/>
    <n v="140"/>
    <n v="140"/>
    <n v="0"/>
    <n v="-10"/>
    <m/>
    <m/>
    <n v="0"/>
    <m/>
    <m/>
    <n v="130"/>
    <x v="2"/>
    <n v="130"/>
    <n v="0"/>
    <m/>
    <n v="13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T1BYN"/>
    <s v="195515128094"/>
    <s v="UPC"/>
    <x v="1"/>
    <s v="Men's Duck Utility Workwear Pants"/>
    <x v="3"/>
    <s v="Black"/>
    <s v="38W x 34L"/>
    <s v="-"/>
    <s v="ABMN69404M25-Black_38wx34l"/>
    <s v="Amazon Basics Men's Relaxed Fit Duck Utility Workwear Pants, Black, 38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3"/>
    <n v="60"/>
    <n v="0"/>
    <m/>
    <n v="10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SXYQ4"/>
    <s v="195515131438"/>
    <s v="UPC"/>
    <x v="1"/>
    <s v="Men's Duck Utility Workwear Pants"/>
    <x v="3"/>
    <s v="Light Brown"/>
    <s v="42W x 32L"/>
    <s v="-"/>
    <s v="ABMN69404M25-Light Brown_42wx32l"/>
    <s v="Amazon Basics Men's Relaxed Fit Duck Utility Workwear Pants, Light Brown, 42W x 32L"/>
    <s v="Accepted: In stock"/>
    <s v="Ship window (Collect)"/>
    <x v="0"/>
    <x v="0"/>
    <x v="0"/>
    <n v="30"/>
    <n v="30"/>
    <n v="30"/>
    <n v="0"/>
    <n v="30"/>
    <n v="30"/>
    <m/>
    <m/>
    <n v="0"/>
    <m/>
    <m/>
    <n v="0"/>
    <x v="3"/>
    <n v="0"/>
    <n v="30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6SSCG8"/>
    <s v="195515129015"/>
    <s v="UPC"/>
    <x v="1"/>
    <s v="Men's Long Sleeve Workwear Coveralls"/>
    <x v="1"/>
    <s v="Black"/>
    <s v="Large- Short"/>
    <s v="-"/>
    <s v="ABMN87281M25-Black_largeshort"/>
    <s v="Amazon Basics Men's Relaxed Fit Long Sleeve Workwear Coveralls, Black, Large - Short"/>
    <s v="Accepted: In stock"/>
    <s v="Ship window (Collect)"/>
    <x v="0"/>
    <x v="0"/>
    <x v="0"/>
    <n v="88"/>
    <n v="88"/>
    <n v="96"/>
    <n v="0"/>
    <n v="96"/>
    <n v="88"/>
    <m/>
    <m/>
    <n v="0"/>
    <m/>
    <m/>
    <n v="0"/>
    <x v="1"/>
    <n v="0"/>
    <n v="8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SS239"/>
    <s v="195515128155"/>
    <s v="UPC"/>
    <x v="1"/>
    <s v="Men's Duck Utility Workwear Pants"/>
    <x v="3"/>
    <s v="Black"/>
    <s v="40W x 30L"/>
    <s v="-"/>
    <s v="ABMN69404M25-Black_40wx30l"/>
    <s v="Amazon Basics Men's Relaxed Fit Duck Utility Workwear Pants, Black, 4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3"/>
    <n v="12"/>
    <n v="0"/>
    <m/>
    <n v="2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SR2KN"/>
    <s v="195515130882"/>
    <s v="UPC"/>
    <x v="1"/>
    <s v="Men's Short Sleeve Workwear Coveralls"/>
    <x v="2"/>
    <s v="White"/>
    <s v="XXX- Large- Regular"/>
    <s v="-"/>
    <s v="ABMN38003M25-White_xxxlargeregular"/>
    <s v="Amazon Basics Men's Relaxed Fit Short Sleeve Workwear Coveralls, White, XXX- Large- Regular"/>
    <s v="Accepted: In stock"/>
    <s v="Ship window (Collect)"/>
    <x v="0"/>
    <x v="0"/>
    <x v="0"/>
    <n v="50"/>
    <n v="50"/>
    <n v="50"/>
    <n v="50"/>
    <n v="0"/>
    <n v="0"/>
    <m/>
    <m/>
    <n v="0"/>
    <m/>
    <m/>
    <n v="50"/>
    <x v="2"/>
    <n v="50"/>
    <n v="0"/>
    <m/>
    <n v="5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SM1VY"/>
    <s v="195515131445"/>
    <s v="UPC"/>
    <x v="1"/>
    <s v="Men's Duck Utility Workwear Pants"/>
    <x v="3"/>
    <s v="Light Brown"/>
    <s v="38W x 34L"/>
    <s v="-"/>
    <s v="ABMN69404M25-Light Brown_38wx34l"/>
    <s v="Amazon Basics Men's Relaxed Fit Duck Utility Workwear Pants, Light Brown, 38W x 34L"/>
    <s v="Accepted: In stock"/>
    <s v="Ship window (Collect)"/>
    <x v="0"/>
    <x v="0"/>
    <x v="0"/>
    <n v="66"/>
    <n v="66"/>
    <n v="72"/>
    <n v="0"/>
    <n v="72"/>
    <n v="66"/>
    <m/>
    <m/>
    <n v="0"/>
    <m/>
    <m/>
    <n v="0"/>
    <x v="3"/>
    <n v="0"/>
    <n v="66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6SGCBS"/>
    <s v="195515131025"/>
    <s v="UPC"/>
    <x v="1"/>
    <s v="Men's Short Sleeve Workwear Coveralls"/>
    <x v="2"/>
    <s v="Charcoal"/>
    <s v="Large- Regular"/>
    <s v="-"/>
    <s v="ABMN38003M25-Charcoal_largeregular"/>
    <s v="Amazon Basics Men's Relaxed Fit Short Sleeve Workwear Coveralls, Charcoal, Large- Regular"/>
    <s v="Accepted: In stock"/>
    <s v="Ship window (Collect)"/>
    <x v="0"/>
    <x v="0"/>
    <x v="0"/>
    <n v="150"/>
    <n v="150"/>
    <n v="160"/>
    <n v="0"/>
    <n v="160"/>
    <n v="150"/>
    <m/>
    <m/>
    <n v="0"/>
    <m/>
    <m/>
    <n v="0"/>
    <x v="2"/>
    <n v="0"/>
    <n v="15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SG1W8"/>
    <s v="195515128070"/>
    <s v="UPC"/>
    <x v="1"/>
    <s v="Men's Duck Utility Workwear Pants"/>
    <x v="3"/>
    <s v="Black"/>
    <s v="38W x 32L"/>
    <s v="-"/>
    <s v="ABMN69404M25-Black_38wx32l"/>
    <s v="Amazon Basics Men's Relaxed Fit Duck Utility Workwear Pants, Black, 38W x 32L"/>
    <s v="Accepted: In stock"/>
    <s v="Ship window (Collect)"/>
    <x v="0"/>
    <x v="0"/>
    <x v="0"/>
    <n v="18"/>
    <n v="18"/>
    <n v="18"/>
    <n v="18"/>
    <n v="0"/>
    <n v="0"/>
    <m/>
    <m/>
    <n v="0"/>
    <m/>
    <m/>
    <n v="18"/>
    <x v="3"/>
    <n v="18"/>
    <n v="0"/>
    <m/>
    <n v="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SF3P3"/>
    <s v="195515131360"/>
    <s v="UPC"/>
    <x v="1"/>
    <s v="Men's Duck Utility Workwear Pants"/>
    <x v="3"/>
    <s v="Light Brown"/>
    <s v="32W x 30L"/>
    <s v="-"/>
    <s v="ABMN69404M25-Light Brown_32wx30l"/>
    <s v="Amazon Basics Men's Relaxed Fit Duck Utility Workwear Pants, Light Brown, 32W x 30L"/>
    <s v="Accepted: In stock"/>
    <s v="Ship window (Collect)"/>
    <x v="0"/>
    <x v="0"/>
    <x v="0"/>
    <n v="102"/>
    <n v="102"/>
    <n v="108"/>
    <n v="108"/>
    <n v="0"/>
    <n v="-6"/>
    <m/>
    <m/>
    <n v="0"/>
    <m/>
    <m/>
    <n v="102"/>
    <x v="3"/>
    <n v="102"/>
    <n v="0"/>
    <m/>
    <n v="17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SDFQ4"/>
    <s v="195515129855"/>
    <s v="UPC"/>
    <x v="1"/>
    <s v="Men's Short Sleeve Workwear Coveralls"/>
    <x v="2"/>
    <s v="Navy"/>
    <s v="XXX- Large- Regular"/>
    <s v="-"/>
    <s v="ABMN38003M25-Navy_xxxlargeregular"/>
    <s v="Amazon Basics Men's Relaxed Fit Short Sleeve Workwear Coveralls, Navy, XXX- Large- Regular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2"/>
    <n v="100"/>
    <n v="0"/>
    <m/>
    <n v="10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S8VMP"/>
    <s v="195515129473"/>
    <s v="UPC"/>
    <x v="1"/>
    <s v="Men's Short Sleeve Workwear Coveralls"/>
    <x v="2"/>
    <s v="Black"/>
    <s v="Large- Long"/>
    <s v="-"/>
    <s v="ABMN38003M25-Black_largelong"/>
    <s v="Amazon Basics Men's Relaxed Fit Short Sleeve Workwear Coveralls, Black, Large- Long"/>
    <s v="Accepted: In stock"/>
    <s v="Ship window (Collect)"/>
    <x v="0"/>
    <x v="0"/>
    <x v="0"/>
    <n v="90"/>
    <n v="90"/>
    <n v="90"/>
    <n v="0"/>
    <n v="90"/>
    <n v="90"/>
    <m/>
    <m/>
    <n v="0"/>
    <m/>
    <m/>
    <n v="0"/>
    <x v="2"/>
    <n v="0"/>
    <n v="9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S81FX"/>
    <s v="195515128940"/>
    <s v="UPC"/>
    <x v="1"/>
    <s v="Men's Long Sleeve Workwear Coveralls"/>
    <x v="1"/>
    <s v="Black"/>
    <s v="XXX-Large- Short"/>
    <s v="-"/>
    <s v="ABMN87281M25-Black_xxxlargeshort"/>
    <s v="Amazon Basics Men's Relaxed Fit Long Sleeve Workwear Coveralls, Black, XXX Large - Short"/>
    <s v="Accepted: In stock"/>
    <s v="Ship window (Collect)"/>
    <x v="0"/>
    <x v="0"/>
    <x v="0"/>
    <n v="32"/>
    <n v="32"/>
    <n v="32"/>
    <n v="0"/>
    <n v="32"/>
    <n v="32"/>
    <m/>
    <m/>
    <n v="0"/>
    <m/>
    <m/>
    <n v="0"/>
    <x v="1"/>
    <n v="0"/>
    <n v="3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QR8J5"/>
    <s v="195515128032"/>
    <s v="UPC"/>
    <x v="1"/>
    <s v="Men's Duck Utility Workwear Pants"/>
    <x v="3"/>
    <s v="Black"/>
    <s v="32W x 30L"/>
    <s v="-"/>
    <s v="ABMN69404M25-Black_32wx30l"/>
    <s v="Amazon Basics Men's Relaxed Fit Duck Utility Workwear Pants, Black, 32W x 30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3"/>
    <n v="36"/>
    <n v="0"/>
    <m/>
    <n v="6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QN8G2"/>
    <s v="195515129725"/>
    <s v="UPC"/>
    <x v="1"/>
    <s v="Men's Short Sleeve Workwear Coveralls"/>
    <x v="2"/>
    <s v="Light Brown"/>
    <s v="X- Large- Regular"/>
    <s v="-"/>
    <s v="ABMN38003M25-Light Brown_xlargeregular"/>
    <s v="Amazon Basics Men's Relaxed Fit Short Sleeve Workwear Coveralls, Light Brown, X- Large- Regular"/>
    <s v="Accepted: In stock"/>
    <s v="Ship window (Collect)"/>
    <x v="0"/>
    <x v="0"/>
    <x v="0"/>
    <n v="220"/>
    <n v="220"/>
    <n v="230"/>
    <n v="230"/>
    <n v="0"/>
    <n v="-10"/>
    <m/>
    <m/>
    <n v="0"/>
    <m/>
    <m/>
    <n v="220"/>
    <x v="2"/>
    <n v="220"/>
    <n v="0"/>
    <m/>
    <n v="22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QL85T"/>
    <s v="195515129008"/>
    <s v="UPC"/>
    <x v="1"/>
    <s v="Men's Long Sleeve Workwear Coveralls"/>
    <x v="1"/>
    <s v="Black"/>
    <s v="XXX-Large- Regular"/>
    <s v="-"/>
    <s v="ABMN87281M25-Black_xxxlargeregular"/>
    <s v="Amazon Basics Men's Relaxed Fit Long Sleeve Workwear Coveralls, Black, XXX Large - Regular"/>
    <s v="Accepted: In stock"/>
    <s v="Ship window (Collect)"/>
    <x v="0"/>
    <x v="0"/>
    <x v="0"/>
    <n v="72"/>
    <n v="72"/>
    <n v="80"/>
    <n v="0"/>
    <n v="80"/>
    <n v="72"/>
    <m/>
    <m/>
    <n v="0"/>
    <m/>
    <m/>
    <n v="0"/>
    <x v="1"/>
    <n v="0"/>
    <n v="7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QJZ73"/>
    <s v="195515129480"/>
    <s v="UPC"/>
    <x v="1"/>
    <s v="Men's Short Sleeve Workwear Coveralls"/>
    <x v="2"/>
    <s v="Black"/>
    <s v="XX- Large- Regular"/>
    <s v="-"/>
    <s v="ABMN38003M25-Black_xxlargeregular"/>
    <s v="Amazon Basics Men's Relaxed Fit Short Sleeve Workwear Coveralls, Black, XX- Large- Regular"/>
    <s v="Accepted: In stock"/>
    <s v="Ship window (Collect)"/>
    <x v="0"/>
    <x v="0"/>
    <x v="0"/>
    <n v="110"/>
    <n v="110"/>
    <n v="120"/>
    <n v="0"/>
    <n v="120"/>
    <n v="110"/>
    <m/>
    <m/>
    <n v="0"/>
    <m/>
    <m/>
    <n v="0"/>
    <x v="2"/>
    <n v="0"/>
    <n v="11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QJMRS"/>
    <s v="195515129329"/>
    <s v="UPC"/>
    <x v="1"/>
    <s v="Men's Long Sleeve Workwear Coveralls"/>
    <x v="1"/>
    <s v="Navy"/>
    <s v="XX-Large- Short"/>
    <s v="-"/>
    <s v="ABMN87281M25-Navy_xxlargeshort"/>
    <s v="Amazon Basics Men's Relaxed Fit Long Sleeve Workwear Coveralls, Navy, XX Large - Short"/>
    <s v="Accepted: In stock"/>
    <s v="Ship window (Collect)"/>
    <x v="0"/>
    <x v="0"/>
    <x v="0"/>
    <n v="72"/>
    <n v="72"/>
    <n v="80"/>
    <n v="0"/>
    <n v="80"/>
    <n v="72"/>
    <m/>
    <m/>
    <n v="0"/>
    <m/>
    <m/>
    <n v="0"/>
    <x v="1"/>
    <n v="0"/>
    <n v="7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QGFJ2"/>
    <s v="195515128186"/>
    <s v="UPC"/>
    <x v="1"/>
    <s v="Men's Duck Utility Workwear Pants"/>
    <x v="3"/>
    <s v="Black"/>
    <s v="34W x 30L"/>
    <s v="-"/>
    <s v="ABMN69404M25-Black_34wx30l"/>
    <s v="Amazon Basics Men's Relaxed Fit Duck Utility Workwear Pants, Black, 34W x 30L"/>
    <s v="Accepted: In stock"/>
    <s v="Ship window (Collect)"/>
    <x v="0"/>
    <x v="0"/>
    <x v="0"/>
    <n v="132"/>
    <n v="132"/>
    <n v="138"/>
    <n v="138"/>
    <n v="0"/>
    <n v="-6"/>
    <m/>
    <m/>
    <n v="0"/>
    <m/>
    <m/>
    <n v="132"/>
    <x v="3"/>
    <n v="132"/>
    <n v="0"/>
    <m/>
    <n v="22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N26FD"/>
    <s v="195515129312"/>
    <s v="UPC"/>
    <x v="1"/>
    <s v="Men's Long Sleeve Workwear Coveralls"/>
    <x v="1"/>
    <s v="Charcoal"/>
    <s v="X-Large- Short"/>
    <s v="-"/>
    <s v="ABMN87281M25-Charcoal_xlargeshort"/>
    <s v="Amazon Basics Men's Relaxed Fit Long Sleeve Workwear Coveralls, Charcoal, X Large - Short"/>
    <s v="Accepted: In stock"/>
    <s v="Ship window (Collect)"/>
    <x v="0"/>
    <x v="0"/>
    <x v="0"/>
    <n v="16"/>
    <n v="16"/>
    <n v="40"/>
    <n v="0"/>
    <n v="40"/>
    <n v="16"/>
    <m/>
    <m/>
    <n v="0"/>
    <m/>
    <m/>
    <n v="0"/>
    <x v="1"/>
    <n v="0"/>
    <n v="16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MX3YM"/>
    <s v="195515129589"/>
    <s v="UPC"/>
    <x v="1"/>
    <s v="Men's Short Sleeve Workwear Coveralls"/>
    <x v="2"/>
    <s v="Black"/>
    <s v="Medium- Short"/>
    <s v="-"/>
    <s v="ABMN38003M25-Black_mediumshort"/>
    <s v="Amazon Basics Men's Relaxed Fit Short Sleeve Workwear Coveralls, Black, Medium- Short"/>
    <s v="Accepted: In stock"/>
    <s v="Ship window (Collect)"/>
    <x v="0"/>
    <x v="0"/>
    <x v="0"/>
    <n v="80"/>
    <n v="80"/>
    <n v="80"/>
    <n v="0"/>
    <n v="80"/>
    <n v="80"/>
    <m/>
    <m/>
    <n v="0"/>
    <m/>
    <m/>
    <n v="0"/>
    <x v="2"/>
    <n v="0"/>
    <n v="8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MBYMN"/>
    <s v="195515129657"/>
    <s v="UPC"/>
    <x v="1"/>
    <s v="Men's Short Sleeve Workwear Coveralls"/>
    <x v="2"/>
    <s v="Light Brown"/>
    <s v="X- Large- Long"/>
    <s v="-"/>
    <s v="ABMN38003M25-Light Brown_xlargelong"/>
    <s v="Amazon Basics Men's Relaxed Fit Short Sleeve Workwear Coveralls, Light Brown, X- Large- Long"/>
    <s v="Accepted: In stock"/>
    <s v="Ship window (Collect)"/>
    <x v="0"/>
    <x v="0"/>
    <x v="0"/>
    <n v="70"/>
    <n v="70"/>
    <n v="70"/>
    <n v="70"/>
    <n v="0"/>
    <n v="0"/>
    <m/>
    <m/>
    <n v="0"/>
    <m/>
    <m/>
    <n v="70"/>
    <x v="2"/>
    <n v="70"/>
    <n v="0"/>
    <m/>
    <n v="7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MBN56"/>
    <s v="195515129893"/>
    <s v="UPC"/>
    <x v="1"/>
    <s v="Men's Short Sleeve Workwear Coveralls"/>
    <x v="2"/>
    <s v="Navy"/>
    <s v="Medium- Long"/>
    <s v="-"/>
    <s v="ABMN38003M25-Navy_mediumlong"/>
    <s v="Amazon Basics Men's Relaxed Fit Short Sleeve Workwear Coveralls, Navy, Medium- Long"/>
    <s v="Accepted: In stock"/>
    <s v="Ship window (Collect)"/>
    <x v="0"/>
    <x v="0"/>
    <x v="0"/>
    <n v="20"/>
    <n v="20"/>
    <n v="20"/>
    <n v="20"/>
    <n v="0"/>
    <n v="0"/>
    <m/>
    <m/>
    <n v="0"/>
    <m/>
    <m/>
    <n v="20"/>
    <x v="2"/>
    <n v="20"/>
    <n v="0"/>
    <m/>
    <n v="2"/>
    <n v="20.420000000000002"/>
    <s v="USD"/>
    <n v="20.420000000000002"/>
    <b v="1"/>
    <m/>
    <m/>
    <s v="TH"/>
    <x v="0"/>
    <s v="STAR"/>
    <s v="STAR-00013"/>
    <x v="1"/>
    <x v="2"/>
  </r>
  <r>
    <x v="1"/>
    <x v="1"/>
    <x v="0"/>
    <s v="ITHC - SI RACHA, Bangkok"/>
    <s v="B0FM6MBN4X"/>
    <s v="195515129107"/>
    <s v="UPC"/>
    <x v="1"/>
    <s v="Men's Long Sleeve Workwear Coveralls"/>
    <x v="1"/>
    <s v="Navy"/>
    <s v="XXX-Large- Short"/>
    <s v="-"/>
    <s v="ABMN87281M25-Navy_xxxlargeshort"/>
    <s v="Amazon Basics Men's Relaxed Fit Long Sleeve Workwear Coveralls, Navy, XXX Large - Short"/>
    <s v="Accepted: In stock"/>
    <s v="Ship window (Collect)"/>
    <x v="0"/>
    <x v="0"/>
    <x v="0"/>
    <n v="48"/>
    <n v="48"/>
    <n v="48"/>
    <n v="0"/>
    <n v="48"/>
    <n v="48"/>
    <m/>
    <m/>
    <n v="0"/>
    <m/>
    <m/>
    <n v="0"/>
    <x v="1"/>
    <n v="0"/>
    <n v="48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JKR9K"/>
    <s v="195515129190"/>
    <s v="UPC"/>
    <x v="1"/>
    <s v="Men's Long Sleeve Workwear Coveralls"/>
    <x v="1"/>
    <s v="Navy"/>
    <s v="X-Large- Regular"/>
    <s v="-"/>
    <s v="ABMN87281M25-Navy_xlargeregular"/>
    <s v="Amazon Basics Men's Relaxed Fit Long Sleeve Workwear Coveralls, Navy, X Large - Regular"/>
    <s v="Accepted: In stock"/>
    <s v="Ship window (Collect)"/>
    <x v="0"/>
    <x v="0"/>
    <x v="0"/>
    <n v="232"/>
    <n v="232"/>
    <n v="248"/>
    <n v="0"/>
    <n v="248"/>
    <n v="232"/>
    <m/>
    <m/>
    <n v="0"/>
    <m/>
    <m/>
    <n v="0"/>
    <x v="1"/>
    <n v="0"/>
    <n v="232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JJTFD"/>
    <s v="195515131018"/>
    <s v="UPC"/>
    <x v="1"/>
    <s v="Men's Short Sleeve Workwear Coveralls"/>
    <x v="2"/>
    <s v="Charcoal"/>
    <s v="Large- Long"/>
    <s v="-"/>
    <s v="ABMN38003M25-Charcoal_largelong"/>
    <s v="Amazon Basics Men's Relaxed Fit Short Sleeve Workwear Coveralls, Charcoal, Large- Long"/>
    <s v="Accepted: In stock"/>
    <s v="Ship window (Collect)"/>
    <x v="0"/>
    <x v="0"/>
    <x v="0"/>
    <n v="100"/>
    <n v="100"/>
    <n v="100"/>
    <n v="0"/>
    <n v="100"/>
    <n v="100"/>
    <m/>
    <m/>
    <n v="0"/>
    <m/>
    <m/>
    <n v="0"/>
    <x v="2"/>
    <n v="0"/>
    <n v="10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JJ6XW"/>
    <s v="195515130967"/>
    <s v="UPC"/>
    <x v="1"/>
    <s v="Men's Short Sleeve Workwear Coveralls"/>
    <x v="2"/>
    <s v="Charcoal"/>
    <s v="Medium- Regular"/>
    <s v="-"/>
    <s v="ABMN38003M25-Charcoal_mediumregular"/>
    <s v="Amazon Basics Men's Relaxed Fit Short Sleeve Workwear Coveralls, Charcoal, Medium- Regular"/>
    <s v="Accepted: In stock"/>
    <s v="Ship window (Collect)"/>
    <x v="0"/>
    <x v="0"/>
    <x v="0"/>
    <n v="100"/>
    <n v="100"/>
    <n v="110"/>
    <n v="0"/>
    <n v="110"/>
    <n v="100"/>
    <m/>
    <m/>
    <n v="0"/>
    <m/>
    <m/>
    <n v="0"/>
    <x v="2"/>
    <n v="0"/>
    <n v="10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JHWKQ"/>
    <s v="195515129527"/>
    <s v="UPC"/>
    <x v="1"/>
    <s v="Men's Short Sleeve Workwear Coveralls"/>
    <x v="2"/>
    <s v="Black"/>
    <s v="X- Large- Short"/>
    <s v="-"/>
    <s v="ABMN38003M25-Black_xlargeshort"/>
    <s v="Amazon Basics Men's Relaxed Fit Short Sleeve Workwear Coveralls, Black, X- Large- Short"/>
    <s v="Accepted: In stock"/>
    <s v="Ship window (Collect)"/>
    <x v="0"/>
    <x v="0"/>
    <x v="0"/>
    <n v="60"/>
    <n v="60"/>
    <n v="60"/>
    <n v="0"/>
    <n v="60"/>
    <n v="60"/>
    <m/>
    <m/>
    <n v="0"/>
    <m/>
    <m/>
    <n v="0"/>
    <x v="2"/>
    <n v="0"/>
    <n v="60"/>
    <m/>
    <n v="0"/>
    <n v="20.420000000000002"/>
    <s v="USD"/>
    <n v="20.420000000000002"/>
    <b v="1"/>
    <m/>
    <m/>
    <s v="TH"/>
    <x v="0"/>
    <s v=""/>
    <s v="Cutting Not Done"/>
    <x v="1"/>
    <x v="1"/>
  </r>
  <r>
    <x v="1"/>
    <x v="1"/>
    <x v="0"/>
    <s v="ITHC - SI RACHA, Bangkok"/>
    <s v="B0FM6JGM3F"/>
    <s v="195515131155"/>
    <s v="UPC"/>
    <x v="1"/>
    <s v="Men's Duck Utility Workwear Pants"/>
    <x v="3"/>
    <s v="Chocolate"/>
    <s v="32W x 34L"/>
    <s v="-"/>
    <s v="ABMN69404M25-Chocolate_32wx34l"/>
    <s v="Amazon Basics Men's Relaxed Fit Duck Utility Workwear Pants, Chocolate, 32W x 34L"/>
    <s v="Accepted: In stock"/>
    <s v="Ship window (Collect)"/>
    <x v="0"/>
    <x v="0"/>
    <x v="0"/>
    <n v="108"/>
    <n v="108"/>
    <n v="114"/>
    <n v="114"/>
    <n v="0"/>
    <n v="-6"/>
    <m/>
    <m/>
    <n v="0"/>
    <m/>
    <m/>
    <n v="108"/>
    <x v="3"/>
    <n v="108"/>
    <n v="0"/>
    <m/>
    <n v="18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HVG7K"/>
    <s v="195515131742"/>
    <s v="UPC"/>
    <x v="1"/>
    <s v="Men's Duck Utility Workwear Pants"/>
    <x v="3"/>
    <s v="Light Brown"/>
    <s v="34W x 32L"/>
    <s v="-"/>
    <s v="ABMN69404M25-Light Brown_34wx32l"/>
    <s v="Amazon Basics Men's Relaxed Fit Duck Utility Workwear Pants, Light Brown, 34W x 32L"/>
    <s v="Accepted: In stock"/>
    <s v="Ship window (Collect)"/>
    <x v="0"/>
    <x v="0"/>
    <x v="0"/>
    <n v="78"/>
    <n v="78"/>
    <n v="84"/>
    <n v="84"/>
    <n v="0"/>
    <n v="-6"/>
    <m/>
    <m/>
    <n v="0"/>
    <m/>
    <m/>
    <n v="78"/>
    <x v="3"/>
    <n v="78"/>
    <n v="0"/>
    <m/>
    <n v="13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FY7XL"/>
    <s v="195515128131"/>
    <s v="UPC"/>
    <x v="1"/>
    <s v="Men's Duck Utility Workwear Pants"/>
    <x v="3"/>
    <s v="Chocolate"/>
    <s v="38W x 30L"/>
    <s v="-"/>
    <s v="ABMN69404M25-Chocolate_38wx30l"/>
    <s v="Amazon Basics Men's Relaxed Fit Duck Utility Workwear Pants, Chocolate, 38W x 30L"/>
    <s v="Accepted: In stock"/>
    <s v="Ship window (Collect)"/>
    <x v="0"/>
    <x v="0"/>
    <x v="0"/>
    <n v="48"/>
    <n v="48"/>
    <n v="48"/>
    <n v="0"/>
    <n v="48"/>
    <n v="48"/>
    <m/>
    <m/>
    <n v="0"/>
    <m/>
    <m/>
    <n v="0"/>
    <x v="3"/>
    <n v="0"/>
    <n v="48"/>
    <m/>
    <n v="0"/>
    <n v="14.78"/>
    <s v="USD"/>
    <n v="14.78"/>
    <b v="1"/>
    <m/>
    <m/>
    <s v="TH"/>
    <x v="0"/>
    <s v=""/>
    <s v="Cutting Not Done"/>
    <x v="1"/>
    <x v="1"/>
  </r>
  <r>
    <x v="1"/>
    <x v="1"/>
    <x v="0"/>
    <s v="ITHC - SI RACHA, Bangkok"/>
    <s v="B0FM6FR9WK"/>
    <s v="195515129077"/>
    <s v="UPC"/>
    <x v="1"/>
    <s v="Men's Long Sleeve Workwear Coveralls"/>
    <x v="1"/>
    <s v="Navy"/>
    <s v="X-Large- Short"/>
    <s v="-"/>
    <s v="ABMN87281M25-Navy_xlargeshort"/>
    <s v="Amazon Basics Men's Relaxed Fit Long Sleeve Workwear Coveralls, Navy, X Large - Short"/>
    <s v="Accepted: In stock"/>
    <s v="Ship window (Collect)"/>
    <x v="0"/>
    <x v="0"/>
    <x v="0"/>
    <n v="120"/>
    <n v="120"/>
    <n v="120"/>
    <n v="0"/>
    <n v="120"/>
    <n v="120"/>
    <m/>
    <m/>
    <n v="0"/>
    <m/>
    <m/>
    <n v="0"/>
    <x v="1"/>
    <n v="0"/>
    <n v="120"/>
    <m/>
    <n v="0"/>
    <n v="21.63"/>
    <s v="USD"/>
    <n v="21.63"/>
    <b v="1"/>
    <m/>
    <m/>
    <s v="TH"/>
    <x v="0"/>
    <s v=""/>
    <s v="Cutting Not Done"/>
    <x v="1"/>
    <x v="1"/>
  </r>
  <r>
    <x v="1"/>
    <x v="1"/>
    <x v="0"/>
    <s v="ITHC - SI RACHA, Bangkok"/>
    <s v="B0FM6FKZFZ"/>
    <s v="195515131650"/>
    <s v="UPC"/>
    <x v="1"/>
    <s v="Men's Duck Utility Workwear Pants"/>
    <x v="3"/>
    <s v="Dark Chestnut Brown"/>
    <s v="34W x 30L"/>
    <s v="-"/>
    <s v="ABMN69404M25-Dark Chestnut Brown_34wx30l"/>
    <s v="Amazon Basics Men's Relaxed Fit Duck Utility Workwear Pants, Dark Chestnut Brown, 34W x 30L"/>
    <s v="Accepted: In stock"/>
    <s v="Ship window (Collect)"/>
    <x v="0"/>
    <x v="0"/>
    <x v="0"/>
    <n v="54"/>
    <n v="54"/>
    <n v="54"/>
    <n v="54"/>
    <n v="0"/>
    <n v="0"/>
    <m/>
    <m/>
    <n v="0"/>
    <m/>
    <m/>
    <n v="54"/>
    <x v="3"/>
    <n v="54"/>
    <n v="0"/>
    <m/>
    <n v="9"/>
    <n v="14.78"/>
    <s v="USD"/>
    <n v="14.78"/>
    <b v="1"/>
    <m/>
    <m/>
    <s v="TH"/>
    <x v="0"/>
    <s v="STAR"/>
    <s v="STAR-00014"/>
    <x v="1"/>
    <x v="2"/>
  </r>
  <r>
    <x v="1"/>
    <x v="1"/>
    <x v="0"/>
    <s v="ITHC - SI RACHA, Bangkok"/>
    <s v="B0FM6FJNTB"/>
    <s v="195515128018"/>
    <s v="UPC"/>
    <x v="1"/>
    <s v="Men's Duck Utility Workwear Pants"/>
    <x v="3"/>
    <s v="Chocolate"/>
    <s v="36W x 34L"/>
    <s v="-"/>
    <s v="ABMN69404M25-Chocolate_36wx34l"/>
    <s v="Amazon Basics Men's Relaxed Fit Duck Utility Workwear Pants, Chocolate, 36W x 34L"/>
    <s v="Accepted: In stock"/>
    <s v="Ship window (Collect)"/>
    <x v="0"/>
    <x v="0"/>
    <x v="0"/>
    <n v="66"/>
    <n v="66"/>
    <n v="72"/>
    <n v="72"/>
    <n v="0"/>
    <n v="-6"/>
    <m/>
    <m/>
    <n v="0"/>
    <m/>
    <m/>
    <n v="66"/>
    <x v="3"/>
    <n v="66"/>
    <n v="0"/>
    <m/>
    <n v="11"/>
    <n v="14.78"/>
    <s v="USD"/>
    <n v="14.78"/>
    <b v="1"/>
    <m/>
    <m/>
    <s v="TH"/>
    <x v="0"/>
    <s v="STAR"/>
    <s v="STAR-00014"/>
    <x v="1"/>
    <x v="2"/>
  </r>
  <r>
    <x v="2"/>
    <x v="2"/>
    <x v="0"/>
    <s v="ITHC - SI RACHA, Bangkok"/>
    <s v="B0DX28XJGW"/>
    <s v="197153295756"/>
    <s v="UPC"/>
    <x v="2"/>
    <s v="Men's Low Stretch Straight Fit Jean"/>
    <x v="4"/>
    <s v="Tinted Medium Blue"/>
    <s v="29W x 30L"/>
    <s v="-"/>
    <s v="AEMN49469M25-Tinted Medium Blue_29wx30l"/>
    <s v="Amazon Essentials Men's Straight-Fit Jeans, Midweight Vintage Inspired Denim, Fitted Through Hip and Thigh, Tinted Medium Blue, 29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8BDFG"/>
    <s v="197153302713"/>
    <s v="UPC"/>
    <x v="2"/>
    <s v="Men's Medium Stretch Skinny-Fit Jean"/>
    <x v="5"/>
    <s v="Black"/>
    <s v="42W x 28L"/>
    <s v="-"/>
    <s v="AEMN30315M25-Black_42wx28l"/>
    <s v="Amazon Essentials Men's Men's Heavyweight Stretch Skinny-Fit Jean, Black, 42WX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765RY"/>
    <s v="197153302683"/>
    <s v="UPC"/>
    <x v="2"/>
    <s v="Men's Medium Stretch Skinny-Fit Jean"/>
    <x v="5"/>
    <s v="Black"/>
    <s v="34W x 34L"/>
    <s v="-"/>
    <s v="AEMN30315M25-Black_34wx34l"/>
    <s v="Amazon Essentials Men's Men's Heavyweight Stretch Skinny-Fit Jean, Black, 34Wx34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71ZHS"/>
    <s v="197153303376"/>
    <s v="UPC"/>
    <x v="2"/>
    <s v="Men's Medium Stretch Skinny-Fit Jean"/>
    <x v="5"/>
    <s v="Tinted Dark Wash"/>
    <s v="35W x 28L"/>
    <s v="-"/>
    <s v="AEMN30315M25-Tinted Dark Wash_35wx28l"/>
    <s v="Amazon Essentials Men's Medium Stretch Skinny-Fit Jeans, Tinted Dark Wash, 35W x 28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71ZGR"/>
    <s v="197153303277"/>
    <s v="UPC"/>
    <x v="2"/>
    <s v="Men's Medium Stretch Skinny-Fit Jean"/>
    <x v="5"/>
    <s v="Tinted Dark Wash"/>
    <s v="34W x 32L"/>
    <s v="-"/>
    <s v="AEMN30315M25-Tinted Dark Wash_34wx32l"/>
    <s v="Amazon Essentials Men's Men's Heavyweight Stretch Skinny-Fit Jean, Tinted Dark Wash, 34Wx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71ZDF"/>
    <s v="197153302980"/>
    <s v="UPC"/>
    <x v="2"/>
    <s v="Men's Medium Stretch Skinny-Fit Jean"/>
    <x v="5"/>
    <s v="Black"/>
    <s v="31W x 30L"/>
    <s v="-"/>
    <s v="AEMN30315M25-Black_31wx30l"/>
    <s v="Amazon Essentials Men's Men's Heavyweight Stretch Skinny-Fit Jean, Black, 31WX30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X28N"/>
    <s v="197153296241"/>
    <s v="UPC"/>
    <x v="2"/>
    <s v="Men's Low Stretch Straight Fit Jean"/>
    <x v="4"/>
    <s v="Dark Midnight Wash"/>
    <s v="31W x 32L"/>
    <s v="-"/>
    <s v="AEMN49469M25-Dark Midnight Wash_31wx32l"/>
    <s v="Amazon Essentials Men's Straight-Fit Jeans, Midweight Vintage Inspired Denim, Fitted Through Hip and Thigh, Dark Midnight Wash, 31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6SR2V"/>
    <s v="197153302843"/>
    <s v="UPC"/>
    <x v="2"/>
    <s v="Men's Medium Stretch Skinny-Fit Jean"/>
    <x v="5"/>
    <s v="Black"/>
    <s v="34W x 30L"/>
    <s v="-"/>
    <s v="AEMN30315M25-Black_34wx30l"/>
    <s v="Amazon Essentials Men's Men's Heavyweight Stretch Skinny-Fit Jean, Black, 34Wx30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LF5K"/>
    <s v="197153302973"/>
    <s v="UPC"/>
    <x v="2"/>
    <s v="Men's Medium Stretch Skinny-Fit Jean"/>
    <x v="5"/>
    <s v="Black"/>
    <s v="31W x 28L"/>
    <s v="-"/>
    <s v="AEMN30315M25-Black_31wx28l"/>
    <s v="Amazon Essentials Men's Men's Heavyweight Stretch Skinny-Fit Jean, Black, 31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J2FY"/>
    <s v="197153312682"/>
    <s v="UPC"/>
    <x v="2"/>
    <s v="Men's Low Stretch Slim-Fit Jean"/>
    <x v="6"/>
    <s v="Dark Midnight Wash"/>
    <s v="34W x 32L"/>
    <s v="-"/>
    <s v="AEMN14928M25-Dark Midnight Wash_34wx32l"/>
    <s v="Amazon Essentials Men's Low Stretch Slim-Fit Jean, Tapered Leg, Vintage Inspired Midweight Denim, Dark Midnight Wash, 34W x 32L"/>
    <s v="Accepted: In stock"/>
    <s v="Ship window (Collect)"/>
    <x v="0"/>
    <x v="0"/>
    <x v="0"/>
    <n v="204"/>
    <n v="204"/>
    <n v="216"/>
    <n v="216"/>
    <n v="0"/>
    <n v="-12"/>
    <m/>
    <m/>
    <m/>
    <m/>
    <m/>
    <n v="204"/>
    <x v="0"/>
    <n v="204"/>
    <n v="0"/>
    <m/>
    <n v="17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6FL48"/>
    <s v="197153312958"/>
    <s v="UPC"/>
    <x v="2"/>
    <s v="Men's Low Stretch Slim-Fit Jean"/>
    <x v="6"/>
    <s v="Dark Midnight Wash"/>
    <s v="32W x 32L"/>
    <s v="-"/>
    <s v="AEMN14928M25-Dark Midnight Wash_32wx32l"/>
    <s v="Amazon Essentials Men's Low Stretch Slim-Fit Jean, Tapered Leg, Vintage Inspired Midweight Denim, Dark Midnight Wash, 32W x 32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6FFYB"/>
    <s v="197153303628"/>
    <s v="UPC"/>
    <x v="2"/>
    <s v="Men's Medium Stretch Skinny-Fit Jean"/>
    <x v="5"/>
    <s v="Stone Medium Wash"/>
    <s v="36W x 30L"/>
    <s v="-"/>
    <s v="AEMN30315M25-Stone Medium Wash_36wx30l"/>
    <s v="Amazon Essentials Men's Men's Heavyweight Stretch Skinny-Fit Jean, Stone Medium Wash, 36Wx30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6FCLY"/>
    <s v="197153302911"/>
    <s v="UPC"/>
    <x v="2"/>
    <s v="Men's Medium Stretch Skinny-Fit Jean"/>
    <x v="5"/>
    <s v="Black"/>
    <s v="35W x 32L"/>
    <s v="-"/>
    <s v="AEMN30315M25-Black_35wx32l"/>
    <s v="Amazon Essentials Men's Men's Heavyweight Stretch Skinny-Fit Jean, Black, 35WX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9BY9"/>
    <s v="197153304700"/>
    <s v="UPC"/>
    <x v="2"/>
    <s v="Men's Heavyweight Stretch Straight-Fit Jean"/>
    <x v="7"/>
    <s v="Black-heavyweight"/>
    <s v="36W x 32L"/>
    <s v="-"/>
    <s v="AEMN64413M25-Black_36wx32l"/>
    <s v="Amazon Essentials Men's Men's Heavyweight Stretch Straight-Fit Jean, Black-Heavyweight, 36Wx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699G6"/>
    <s v="197153303000"/>
    <s v="UPC"/>
    <x v="2"/>
    <s v="Men's Medium Stretch Skinny-Fit Jean"/>
    <x v="5"/>
    <s v="Black"/>
    <s v="29W x 32L"/>
    <s v="-"/>
    <s v="AEMN30315M25-Black_29wx32l"/>
    <s v="Amazon Essentials Men's Men's Heavyweight Stretch Skinny-Fit Jean, Black, 29WX32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8QZY"/>
    <s v="197153304526"/>
    <s v="UPC"/>
    <x v="2"/>
    <s v="Men's Heavyweight Stretch Straight-Fit Jean"/>
    <x v="7"/>
    <s v="Black-heavyweight"/>
    <s v="30W x 28L"/>
    <s v="-"/>
    <s v="AEMN64413M25-Black_30wx28l"/>
    <s v="Amazon Essentials Men's Men's Heavyweight Stretch Straight-Fit Jean, Black-Heavyweight, 30WX28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0"/>
    <n v="36"/>
    <n v="0"/>
    <m/>
    <n v="3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68GZL"/>
    <s v="197153302669"/>
    <s v="UPC"/>
    <x v="2"/>
    <s v="Men's Medium Stretch Skinny-Fit Jean"/>
    <x v="5"/>
    <s v="Black"/>
    <s v="36W x 30L"/>
    <s v="-"/>
    <s v="AEMN30315M25-Black_36wx30l"/>
    <s v="Amazon Essentials Men's Men's Heavyweight Stretch Skinny-Fit Jean, Black, 36Wx30L"/>
    <s v="Accepted: In stock"/>
    <s v="Ship window (Collect)"/>
    <x v="0"/>
    <x v="0"/>
    <x v="0"/>
    <n v="312"/>
    <n v="312"/>
    <n v="276"/>
    <n v="276"/>
    <n v="0"/>
    <n v="36"/>
    <n v="36"/>
    <m/>
    <n v="0"/>
    <m/>
    <m/>
    <n v="276"/>
    <x v="0"/>
    <n v="276"/>
    <n v="36"/>
    <m/>
    <n v="23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7X7H"/>
    <s v="197153296791"/>
    <s v="UPC"/>
    <x v="2"/>
    <s v="Men's Low Stretch Straight Fit Jean"/>
    <x v="4"/>
    <s v="Grey Wash"/>
    <s v="29W x 34L"/>
    <s v="-"/>
    <s v="AEMN49469M25-Grey Wash_29wx34l"/>
    <s v="Amazon Essentials Men's Straight-Fit Jeans, Midweight Vintage Inspired Denim, Fitted Through Hip and Thigh, Grey Wash, 29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67N5J"/>
    <s v="197153304076"/>
    <s v="UPC"/>
    <x v="2"/>
    <s v="Men's Medium Stretch Skinny-Fit Jean"/>
    <x v="5"/>
    <s v="Rinse"/>
    <s v="32W x 32L"/>
    <s v="-"/>
    <s v="AEMN30315M25-Rinse_32wx32l"/>
    <s v="Amazon Essentials Men's Men's Heavyweight Stretch Skinny-Fit Jean, Rinse, 32Wx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67LJ1"/>
    <s v="197153303017"/>
    <s v="UPC"/>
    <x v="2"/>
    <s v="Men's Medium Stretch Skinny-Fit Jean"/>
    <x v="5"/>
    <s v="Black"/>
    <s v="31W x 34L"/>
    <s v="-"/>
    <s v="AEMN30315M25-Black_31wx34l"/>
    <s v="Amazon Essentials Men's Medium Stretch Skinny-Fit Jeans, Black, 31W x 34L"/>
    <s v="Accepted: In stock"/>
    <s v="Ship window (Collect)"/>
    <x v="0"/>
    <x v="0"/>
    <x v="0"/>
    <n v="156"/>
    <n v="156"/>
    <n v="168"/>
    <n v="168"/>
    <n v="0"/>
    <n v="-12"/>
    <m/>
    <m/>
    <m/>
    <m/>
    <m/>
    <n v="156"/>
    <x v="0"/>
    <n v="156"/>
    <n v="0"/>
    <m/>
    <n v="13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674MJ"/>
    <s v="197153303550"/>
    <s v="UPC"/>
    <x v="2"/>
    <s v="Men's Medium Stretch Skinny-Fit Jean"/>
    <x v="5"/>
    <s v="Stone Medium Wash"/>
    <s v="32W x 34L"/>
    <s v="-"/>
    <s v="AEMN30315M25-Stone Medium Wash_32wx34l"/>
    <s v="Amazon Essentials Men's Men's Heavyweight Stretch Skinny-Fit Jean, Stone Medium Wash, 32Wx34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66Y62"/>
    <s v="197153312750"/>
    <s v="UPC"/>
    <x v="2"/>
    <s v="Men's Low Stretch Slim-Fit Jean"/>
    <x v="6"/>
    <s v="Dark Midnight Wash"/>
    <s v="30W x 30L"/>
    <s v="-"/>
    <s v="AEMN14928M25-Dark Midnight Wash_30wx30l"/>
    <s v="Amazon Essentials Men's Low Stretch Slim-Fit Jean, Tapered Leg, Vintage Inspired Midweight Denim, Dark Midnight Wash, 30W x 30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66TYM"/>
    <s v="197153303062"/>
    <s v="UPC"/>
    <x v="2"/>
    <s v="Men's Medium Stretch Skinny-Fit Jean"/>
    <x v="5"/>
    <s v="Tinted Dark Wash"/>
    <s v="38W x 30L"/>
    <s v="-"/>
    <s v="AEMN30315M25-Tinted Dark Wash_38wx30l"/>
    <s v="Amazon Essentials Men's Men's Heavyweight Stretch Skinny-Fit Jean, Tinted Dark Wash, 38Wx30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65H9H"/>
    <s v="197153313634"/>
    <s v="UPC"/>
    <x v="2"/>
    <s v="Men's Low Stretch Slim-Fit Jean"/>
    <x v="6"/>
    <s v="Iced Light Wash"/>
    <s v="36W x 28L"/>
    <s v="-"/>
    <s v="AEMN14928M25-Iced Light Wash_36wx28l"/>
    <s v="Amazon Essentials Men's Low Stretch Slim-Fit Jean, Tapered Leg, Vintage Inspired Midweight Denim, Iced Light Wash, 36W x 28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6515B"/>
    <s v="197153303055"/>
    <s v="UPC"/>
    <x v="2"/>
    <s v="Men's Medium Stretch Skinny-Fit Jean"/>
    <x v="5"/>
    <s v="Tinted Dark Wash"/>
    <s v="36W x 34L"/>
    <s v="-"/>
    <s v="AEMN30315M25-Tinted Dark Wash_36wx34l"/>
    <s v="Amazon Essentials Men's Men's Heavyweight Stretch Skinny-Fit Jean, Tinted Dark Wash, 36Wx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64LNS"/>
    <s v="197153313887"/>
    <s v="UPC"/>
    <x v="2"/>
    <s v="Men's Low Stretch Slim-Fit Jean"/>
    <x v="6"/>
    <s v="Iced Light Wash"/>
    <s v="34W x 30L"/>
    <s v="-"/>
    <s v="AEMN14928M25-Iced Light Wash_34wx30l"/>
    <s v="Amazon Essentials Men's Low Stretch Slim-Fit Jean, Tapered Leg, Vintage Inspired Midweight Denim, Iced Light Wash, 34W x 30L"/>
    <s v="Accepted: In stock"/>
    <s v="Ship window (Collect)"/>
    <x v="0"/>
    <x v="0"/>
    <x v="0"/>
    <n v="228"/>
    <n v="228"/>
    <n v="252"/>
    <n v="252"/>
    <n v="0"/>
    <n v="-24"/>
    <m/>
    <m/>
    <n v="0"/>
    <m/>
    <m/>
    <n v="228"/>
    <x v="0"/>
    <n v="228"/>
    <n v="0"/>
    <m/>
    <n v="1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63TG5"/>
    <s v="197153303420"/>
    <s v="UPC"/>
    <x v="2"/>
    <s v="Men's Medium Stretch Skinny-Fit Jean"/>
    <x v="5"/>
    <s v="Tinted Dark Wash"/>
    <s v="33W x 28L"/>
    <s v="-"/>
    <s v="AEMN30315M25-Tinted Dark Wash_33wx28l"/>
    <s v="Amazon Essentials Men's Men's Heavyweight Stretch Skinny-Fit Jean, Tinted Dark Wash, 33WX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63HD6"/>
    <s v="197153296777"/>
    <s v="UPC"/>
    <x v="2"/>
    <s v="Men's Low Stretch Straight Fit Jean"/>
    <x v="4"/>
    <s v="Grey Wash"/>
    <s v="29W x 32L"/>
    <s v="-"/>
    <s v="AEMN49469M25-Grey Wash_29wx32l"/>
    <s v="Amazon Essentials Men's Straight-Fit Jeans, Midweight Vintage Inspired Denim, Fitted Through Hip and Thigh, Grey Wash, 29W x 32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634T1"/>
    <s v="197153304694"/>
    <s v="UPC"/>
    <x v="2"/>
    <s v="Men's Heavyweight Stretch Straight-Fit Jean"/>
    <x v="7"/>
    <s v="Black-heavyweight"/>
    <s v="32W x 30L"/>
    <s v="-"/>
    <s v="AEMN64413M25-Black_32wx30l"/>
    <s v="Amazon Essentials Men's Men's Heavyweight Stretch Straight-Fit Jean, Black-Heavyweight, 32Wx30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62YZN"/>
    <s v="197153313603"/>
    <s v="UPC"/>
    <x v="2"/>
    <s v="Men's Low Stretch Slim-Fit Jean"/>
    <x v="6"/>
    <s v="Iced Light Wash"/>
    <s v="40W x 28L"/>
    <s v="-"/>
    <s v="AEMN14928M25-Iced Light Wash_40wx28l"/>
    <s v="Amazon Essentials Men's Low Stretch Slim-Fit Jean, Tapered Leg, Vintage Inspired Midweight Denim, Iced Light Wash, 40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62GTT"/>
    <s v="197153295763"/>
    <s v="UPC"/>
    <x v="2"/>
    <s v="Men's Low Stretch Straight Fit Jean"/>
    <x v="4"/>
    <s v="Tinted Medium Blue"/>
    <s v="31W x 32L"/>
    <s v="-"/>
    <s v="AEMN49469M25-Tinted Medium Blue_31wx32l"/>
    <s v="Amazon Essentials Men's Straight-Fit Jeans, Midweight Vintage Inspired Denim, Fitted Through Hip and Thigh, Tinted Medium Blue, 31W x 32L"/>
    <s v="Accepted: In stock"/>
    <s v="Ship window (Collect)"/>
    <x v="0"/>
    <x v="0"/>
    <x v="0"/>
    <n v="168"/>
    <n v="168"/>
    <n v="144"/>
    <n v="144"/>
    <n v="0"/>
    <n v="24"/>
    <n v="24"/>
    <m/>
    <n v="0"/>
    <m/>
    <m/>
    <n v="144"/>
    <x v="0"/>
    <n v="144"/>
    <n v="24"/>
    <m/>
    <n v="12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6289C"/>
    <s v="197153296401"/>
    <s v="UPC"/>
    <x v="2"/>
    <s v="Men's Low Stretch Straight Fit Jean"/>
    <x v="4"/>
    <s v="Grey Wash"/>
    <s v="36W x 32L"/>
    <s v="-"/>
    <s v="AEMN49469M25-Grey Wash_36wx32l"/>
    <s v="Amazon Essentials Men's Straight-Fit Jeans, Midweight Vintage Inspired Denim, Fitted Through Hip and Thigh, Grey Wash, 36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611XC"/>
    <s v="197153296524"/>
    <s v="UPC"/>
    <x v="2"/>
    <s v="Men's Low Stretch Straight Fit Jean"/>
    <x v="4"/>
    <s v="Grey Wash"/>
    <s v="30W x 30L"/>
    <s v="-"/>
    <s v="AEMN49469M25-Grey Wash_30wx30l"/>
    <s v="Amazon Essentials Men's Straight-Fit Jeans, Midweight Vintage Inspired Denim, Fitted Through Hip and Thigh, Grey Wash, 30W x 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5ZYPS"/>
    <s v="197153312736"/>
    <s v="UPC"/>
    <x v="2"/>
    <s v="Men's Low Stretch Slim-Fit Jean"/>
    <x v="6"/>
    <s v="Dark Midnight Wash"/>
    <s v="32W x 28L"/>
    <s v="-"/>
    <s v="AEMN14928M25-Dark Midnight Wash_32wx28l"/>
    <s v="Amazon Essentials Men's Low Stretch Slim-Fit Jean, Tapered Leg, Vintage Inspired Midweight Denim, Dark Midnight Wash, 32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5Z4K6"/>
    <s v="197153313757"/>
    <s v="UPC"/>
    <x v="2"/>
    <s v="Men's Low Stretch Slim-Fit Jean"/>
    <x v="6"/>
    <s v="Iced Light Wash"/>
    <s v="32W x 30L"/>
    <s v="-"/>
    <s v="AEMN14928M25-Iced Light Wash_32wx30l"/>
    <s v="Amazon Essentials Men's Low Stretch Slim-Fit Jean, Tapered Leg, Vintage Inspired Midweight Denim, Iced Light Wash, 32W x 30L"/>
    <s v="Accepted: In stock"/>
    <s v="Ship window (Collect)"/>
    <x v="0"/>
    <x v="0"/>
    <x v="0"/>
    <n v="348"/>
    <n v="348"/>
    <n v="372"/>
    <n v="372"/>
    <n v="0"/>
    <n v="-24"/>
    <m/>
    <m/>
    <m/>
    <m/>
    <m/>
    <n v="348"/>
    <x v="0"/>
    <n v="348"/>
    <n v="0"/>
    <m/>
    <n v="2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5YVVS"/>
    <s v="197153304328"/>
    <s v="UPC"/>
    <x v="2"/>
    <s v="Men's Medium Stretch Skinny-Fit Jean"/>
    <x v="5"/>
    <s v="Rinse"/>
    <s v="35W x 30L"/>
    <s v="-"/>
    <s v="AEMN30315M25-Rinse_35wx30l"/>
    <s v="Amazon Essentials Men's Men's Heavyweight Stretch Skinny-Fit Jean, Rinse, 35WX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5YJ4D"/>
    <s v="197153313627"/>
    <s v="UPC"/>
    <x v="2"/>
    <s v="Men's Low Stretch Slim-Fit Jean"/>
    <x v="6"/>
    <s v="Iced Light Wash"/>
    <s v="28W x 34L"/>
    <s v="-"/>
    <s v="AEMN14928M25-Iced Light Wash_28wx34l"/>
    <s v="Amazon Essentials Men's Low Stretch Slim-Fit Jean, Tapered Leg, Vintage Inspired Midweight Denim, Iced Light Wash, 2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YGD7"/>
    <s v="197153314020"/>
    <s v="UPC"/>
    <x v="2"/>
    <s v="Men's Low Stretch Slim-Fit Jean"/>
    <x v="6"/>
    <s v="Iced Light Wash"/>
    <s v="33W x 28L"/>
    <s v="-"/>
    <s v="AEMN14928M25-Iced Light Wash_33wx28l"/>
    <s v="Amazon Essentials Men's Low Stretch Slim-Fit Jean, Tapered Leg, Vintage Inspired Midweight Denim, Iced Light Wash, 33W x 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X3QX"/>
    <s v="197153312798"/>
    <s v="UPC"/>
    <x v="2"/>
    <s v="Men's Low Stretch Slim-Fit Jean"/>
    <x v="6"/>
    <s v="Dark Midnight Wash"/>
    <s v="32W x 30L"/>
    <s v="-"/>
    <s v="AEMN14928M25-Dark Midnight Wash_32wx30l"/>
    <s v="Amazon Essentials Men's Low Stretch Slim-Fit Jean, Tapered Leg, Vintage Inspired Midweight Denim, Dark Midnight Wash, 32W x 30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4WLDS"/>
    <s v="197153302638"/>
    <s v="UPC"/>
    <x v="2"/>
    <s v="Men's Medium Stretch Skinny-Fit Jean"/>
    <x v="5"/>
    <s v="Black"/>
    <s v="32W x 32L"/>
    <s v="-"/>
    <s v="AEMN30315M25-Black_32wx32l"/>
    <s v="Amazon Essentials Men's Men's Heavyweight Stretch Skinny-Fit Jean, Black, 32Wx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WKW2"/>
    <s v="197153302614"/>
    <s v="UPC"/>
    <x v="2"/>
    <s v="Men's Medium Stretch Skinny-Fit Jean"/>
    <x v="5"/>
    <s v="Black"/>
    <s v="36W x 28L"/>
    <s v="-"/>
    <s v="AEMN30315M25-Black_36wx28l"/>
    <s v="Amazon Essentials Men's Men's Heavyweight Stretch Skinny-Fit Jean, Black, 36WX28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WGQ4"/>
    <s v="197153302744"/>
    <s v="UPC"/>
    <x v="2"/>
    <s v="Men's Medium Stretch Skinny-Fit Jean"/>
    <x v="5"/>
    <s v="Black"/>
    <s v="38W x 32L"/>
    <s v="-"/>
    <s v="AEMN30315M25-Black_38wx32l"/>
    <s v="Amazon Essentials Men's Men's Heavyweight Stretch Skinny-Fit Jean, Black, 38Wx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W9LY"/>
    <s v="197153302577"/>
    <s v="UPC"/>
    <x v="2"/>
    <s v="Men's Medium Stretch Skinny-Fit Jean"/>
    <x v="5"/>
    <s v="Black"/>
    <s v="36W x 34L"/>
    <s v="-"/>
    <s v="AEMN30315M25-Black_36wx34l"/>
    <s v="Amazon Essentials Men's Men's Heavyweight Stretch Skinny-Fit Jean, Black, 36Wx34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SH81"/>
    <s v="197153304656"/>
    <s v="UPC"/>
    <x v="2"/>
    <s v="Men's Heavyweight Stretch Straight-Fit Jean"/>
    <x v="7"/>
    <s v="Black-heavyweight"/>
    <s v="30W x 30L"/>
    <s v="-"/>
    <s v="AEMN64413M25-Black_30wx30l"/>
    <s v="Amazon Essentials Men's Men's Heavyweight Stretch Straight-Fit Jean, Black-Heavyweight, 30Wx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SH4M"/>
    <s v="197153296340"/>
    <s v="UPC"/>
    <x v="2"/>
    <s v="Men's Low Stretch Straight Fit Jean"/>
    <x v="4"/>
    <s v="Grey Wash"/>
    <s v="42W x 30L"/>
    <s v="-"/>
    <s v="AEMN49469M25-Grey Wash_42wx30l"/>
    <s v="Amazon Essentials Men's Straight-Fit Jeans, Midweight Vintage Inspired Denim, Fitted Through Hip and Thigh, Grey Wash, 42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S2KF"/>
    <s v="197153296425"/>
    <s v="UPC"/>
    <x v="2"/>
    <s v="Men's Low Stretch Straight Fit Jean"/>
    <x v="4"/>
    <s v="Grey Wash"/>
    <s v="38W x 30L"/>
    <s v="-"/>
    <s v="AEMN49469M25-Grey Wash_38wx30l"/>
    <s v="Amazon Essentials Men's Straight-Fit Jeans, Midweight Vintage Inspired Denim, Fitted Through Hip and Thigh, Grey Wash, 38W x 30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S2G1"/>
    <s v="197153303772"/>
    <s v="UPC"/>
    <x v="2"/>
    <s v="Men's Medium Stretch Skinny-Fit Jean"/>
    <x v="5"/>
    <s v="Stone Medium Wash"/>
    <s v="28W x 30L"/>
    <s v="-"/>
    <s v="AEMN30315M25-Stone Medium Wash_28wx30l"/>
    <s v="Amazon Essentials Men's Men's Heavyweight Stretch Skinny-Fit Jean, Stone Medium Wash, 28Wx30L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4RRXF"/>
    <s v="197153303642"/>
    <s v="UPC"/>
    <x v="2"/>
    <s v="Men's Medium Stretch Skinny-Fit Jean"/>
    <x v="5"/>
    <s v="Stone Medium Wash"/>
    <s v="34W x 34L"/>
    <s v="-"/>
    <s v="AEMN30315M25-Stone Medium Wash_34wx34l"/>
    <s v="Amazon Essentials Men's Men's Heavyweight Stretch Skinny-Fit Jean, Stone Medium Wash, 34Wx34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4RKPK"/>
    <s v="197153313108"/>
    <s v="UPC"/>
    <x v="2"/>
    <s v="Men's Low Stretch Slim-Fit Jean"/>
    <x v="6"/>
    <s v="Dark Midnight Wash"/>
    <s v="31W x 28L"/>
    <s v="-"/>
    <s v="AEMN14928M25-Dark Midnight Wash_31wx28l"/>
    <s v="Amazon Essentials Men's Low Stretch Slim-Fit Jean, Tapered Leg, Vintage Inspired Midweight Denim, Dark Midnight Wash, 31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4R2KD"/>
    <s v="197153304915"/>
    <s v="UPC"/>
    <x v="2"/>
    <s v="Men's Heavyweight Stretch Straight-Fit Jean"/>
    <x v="7"/>
    <s v="Black-heavyweight"/>
    <s v="29W x 28L"/>
    <s v="-"/>
    <s v="AEMN64413M25-Black_29wx28l"/>
    <s v="Amazon Essentials Men's Men's Heavyweight Stretch Straight-Fit Jean, Black-Heavyweight, 29WX28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QM28"/>
    <s v="197153296210"/>
    <s v="UPC"/>
    <x v="2"/>
    <s v="Men's Low Stretch Straight Fit Jean"/>
    <x v="4"/>
    <s v="Dark Midnight Wash"/>
    <s v="33W x 34L"/>
    <s v="-"/>
    <s v="AEMN49469M25-Dark Midnight Wash_33wx34l"/>
    <s v="Amazon Essentials Men's Straight-Fit Jeans, Midweight Vintage Inspired Denim, Fitted Through Hip and Thigh, Dark Midnight Wash, 33W x 34L"/>
    <s v="Accepted: In stock"/>
    <s v="Ship window (Collect)"/>
    <x v="0"/>
    <x v="0"/>
    <x v="0"/>
    <n v="132"/>
    <n v="132"/>
    <n v="132"/>
    <n v="132"/>
    <n v="0"/>
    <n v="0"/>
    <m/>
    <m/>
    <n v="0"/>
    <m/>
    <m/>
    <n v="132"/>
    <x v="0"/>
    <n v="132"/>
    <n v="0"/>
    <m/>
    <n v="11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4QJB1"/>
    <s v="197153296661"/>
    <s v="UPC"/>
    <x v="2"/>
    <s v="Men's Low Stretch Straight Fit Jean"/>
    <x v="4"/>
    <s v="Grey Wash"/>
    <s v="33W x 28L"/>
    <s v="-"/>
    <s v="AEMN49469M25-Grey Wash_33wx28l"/>
    <s v="Amazon Essentials Men's Straight-Fit Jeans, Midweight Vintage Inspired Denim, Fitted Through Hip and Thigh, Grey Wash, 33W x 28L"/>
    <s v="Accepted: In stock"/>
    <s v="Ship window (Collect)"/>
    <x v="0"/>
    <x v="0"/>
    <x v="0"/>
    <n v="144"/>
    <n v="144"/>
    <n v="132"/>
    <n v="132"/>
    <n v="0"/>
    <n v="12"/>
    <n v="12"/>
    <m/>
    <n v="0"/>
    <m/>
    <m/>
    <n v="132"/>
    <x v="0"/>
    <n v="132"/>
    <n v="12"/>
    <m/>
    <n v="11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PQ68"/>
    <s v="197153304786"/>
    <s v="UPC"/>
    <x v="2"/>
    <s v="Men's Heavyweight Stretch Straight-Fit Jean"/>
    <x v="7"/>
    <s v="Black-heavyweight"/>
    <s v="40W x 30L"/>
    <s v="-"/>
    <s v="AEMN64413M25-Black_40wx30l"/>
    <s v="Amazon Essentials Men's Men's Heavyweight Stretch Straight-Fit Jean, Black-Heavyweight, 40Wx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PFZH"/>
    <s v="197153302607"/>
    <s v="UPC"/>
    <x v="2"/>
    <s v="Men's Medium Stretch Skinny-Fit Jean"/>
    <x v="5"/>
    <s v="Black"/>
    <s v="32W x 30L"/>
    <s v="-"/>
    <s v="AEMN30315M25-Black_32wx30l"/>
    <s v="Amazon Essentials Men's Men's Heavyweight Stretch Skinny-Fit Jean, Black, 32Wx30L"/>
    <s v="Accepted: In stock"/>
    <s v="Ship window (Collect)"/>
    <x v="0"/>
    <x v="0"/>
    <x v="0"/>
    <n v="360"/>
    <n v="360"/>
    <n v="324"/>
    <n v="324"/>
    <n v="0"/>
    <n v="36"/>
    <n v="36"/>
    <m/>
    <n v="0"/>
    <m/>
    <m/>
    <n v="324"/>
    <x v="0"/>
    <n v="324"/>
    <n v="36"/>
    <m/>
    <n v="27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P3VV"/>
    <s v="197153314051"/>
    <s v="UPC"/>
    <x v="2"/>
    <s v="Men's Low Stretch Slim-Fit Jean"/>
    <x v="6"/>
    <s v="Iced Light Wash"/>
    <s v="33W x 30L"/>
    <s v="-"/>
    <s v="AEMN14928M25-Iced Light Wash_33wx30l"/>
    <s v="Amazon Essentials Men's Low Stretch Slim-Fit Jean, Tapered Leg, Vintage Inspired Midweight Denim, Iced Light Wash, 33W x 30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NSK5"/>
    <s v="197153304571"/>
    <s v="UPC"/>
    <x v="2"/>
    <s v="Men's Heavyweight Stretch Straight-Fit Jean"/>
    <x v="7"/>
    <s v="Black-heavyweight"/>
    <s v="30W x 32L"/>
    <s v="-"/>
    <s v="AEMN64413M25-Black_30wx32l"/>
    <s v="Amazon Essentials Men's Men's Heavyweight Stretch Straight-Fit Jean, Black-Heavyweight, 30Wx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NQ69"/>
    <s v="197153304779"/>
    <s v="UPC"/>
    <x v="2"/>
    <s v="Men's Heavyweight Stretch Straight-Fit Jean"/>
    <x v="7"/>
    <s v="Black-heavyweight"/>
    <s v="38W x 30L"/>
    <s v="-"/>
    <s v="AEMN64413M25-Black_38wx30l"/>
    <s v="Amazon Essentials Men's Low Stretch Straight-Fit Jeans, Black-Heavyweight, 38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N77G"/>
    <s v="197153313719"/>
    <s v="UPC"/>
    <x v="2"/>
    <s v="Men's Low Stretch Slim-Fit Jean"/>
    <x v="6"/>
    <s v="Iced Light Wash"/>
    <s v="30W x 30L"/>
    <s v="-"/>
    <s v="AEMN14928M25-Iced Light Wash_30wx30l"/>
    <s v="Amazon Essentials Men's Low Stretch Slim-Fit Jean, Tapered Leg, Vintage Inspired Midweight Denim, Iced Light Wash, 30W x 30L"/>
    <s v="Accepted: In stock"/>
    <s v="Ship window (Collect)"/>
    <x v="0"/>
    <x v="0"/>
    <x v="0"/>
    <n v="324"/>
    <n v="324"/>
    <n v="288"/>
    <n v="288"/>
    <n v="0"/>
    <n v="36"/>
    <n v="36"/>
    <m/>
    <n v="0"/>
    <m/>
    <m/>
    <n v="288"/>
    <x v="0"/>
    <n v="288"/>
    <n v="36"/>
    <m/>
    <n v="24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LYL6"/>
    <s v="197153302928"/>
    <s v="UPC"/>
    <x v="2"/>
    <s v="Men's Medium Stretch Skinny-Fit Jean"/>
    <x v="5"/>
    <s v="Black"/>
    <s v="31W x 32L"/>
    <s v="-"/>
    <s v="AEMN30315M25-Black_31wx32l"/>
    <s v="Amazon Essentials Men's Men's Heavyweight Stretch Skinny-Fit Jean, Black, 31WX32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LPHQ"/>
    <s v="197153304595"/>
    <s v="UPC"/>
    <x v="2"/>
    <s v="Men's Heavyweight Stretch Straight-Fit Jean"/>
    <x v="7"/>
    <s v="Black-heavyweight"/>
    <s v="28W x 32L"/>
    <s v="-"/>
    <s v="AEMN64413M25-Black_28wx32l"/>
    <s v="Amazon Essentials Men's Men's Heavyweight Stretch Straight-Fit Jean, Black-Heavyweight, 28Wx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LBD3"/>
    <s v="197153303949"/>
    <s v="UPC"/>
    <x v="2"/>
    <s v="Men's Medium Stretch Skinny-Fit Jean"/>
    <x v="5"/>
    <s v="Stone Medium Wash"/>
    <s v="31W x 30L"/>
    <s v="-"/>
    <s v="AEMN30315M25-Stone Medium Wash_31wx30l"/>
    <s v="Amazon Essentials Men's Men's Heavyweight Stretch Skinny-Fit Jean, Stone Medium Wash, 31WX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4KLZP"/>
    <s v="197153304274"/>
    <s v="UPC"/>
    <x v="2"/>
    <s v="Men's Medium Stretch Skinny-Fit Jean"/>
    <x v="5"/>
    <s v="Rinse"/>
    <s v="38W x 28L"/>
    <s v="-"/>
    <s v="AEMN30315M25-Rinse_38wx28l"/>
    <s v="Amazon Essentials Men's Men's Heavyweight Stretch Skinny-Fit Jean, Rinse, 38WX28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4JHVM"/>
    <s v="197153296494"/>
    <s v="UPC"/>
    <x v="2"/>
    <s v="Men's Low Stretch Straight Fit Jean"/>
    <x v="4"/>
    <s v="Grey Wash"/>
    <s v="32W x 34L"/>
    <s v="-"/>
    <s v="AEMN49469M25-Grey Wash_32wx34l"/>
    <s v="Amazon Essentials Men's Straight-Fit Jeans, Midweight Vintage Inspired Denim, Fitted Through Hip and Thigh, Grey Wash, 32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JDQC"/>
    <s v="197153296128"/>
    <s v="UPC"/>
    <x v="2"/>
    <s v="Men's Low Stretch Straight Fit Jean"/>
    <x v="4"/>
    <s v="Dark Midnight Wash"/>
    <s v="32W x 28L"/>
    <s v="-"/>
    <s v="AEMN49469M25-Dark Midnight Wash_32wx28l"/>
    <s v="Amazon Essentials Men's Straight-Fit Jeans, Midweight Vintage Inspired Denim, Fitted Through Hip and Thigh, Dark Midnight Wash, 32W x 28L"/>
    <s v="Accepted: In stock"/>
    <s v="Ship window (Collect)"/>
    <x v="0"/>
    <x v="0"/>
    <x v="0"/>
    <n v="264"/>
    <n v="264"/>
    <n v="240"/>
    <n v="240"/>
    <n v="0"/>
    <n v="24"/>
    <n v="24"/>
    <m/>
    <n v="0"/>
    <m/>
    <m/>
    <n v="240"/>
    <x v="0"/>
    <n v="240"/>
    <n v="24"/>
    <m/>
    <n v="20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4J2RP"/>
    <s v="197153303673"/>
    <s v="UPC"/>
    <x v="2"/>
    <s v="Men's Medium Stretch Skinny-Fit Jean"/>
    <x v="5"/>
    <s v="Stone Medium Wash"/>
    <s v="42W x 28L"/>
    <s v="-"/>
    <s v="AEMN30315M25-Stone Medium Wash_42wx28l"/>
    <s v="Amazon Essentials Men's Men's Heavyweight Stretch Skinny-Fit Jean, Stone Medium Wash, 42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4HNTJ"/>
    <s v="197153304519"/>
    <s v="UPC"/>
    <x v="2"/>
    <s v="Men's Heavyweight Stretch Straight-Fit Jean"/>
    <x v="7"/>
    <s v="Black-heavyweight"/>
    <s v="40W x 34L"/>
    <s v="-"/>
    <s v="AEMN64413M25-Black_40wx34l"/>
    <s v="Amazon Essentials Men's Men's Heavyweight Stretch Straight-Fit Jean, Black-Heavyweight, 40Wx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GN59"/>
    <s v="197153302591"/>
    <s v="UPC"/>
    <x v="2"/>
    <s v="Men's Medium Stretch Skinny-Fit Jean"/>
    <x v="5"/>
    <s v="Black"/>
    <s v="32W x 34L"/>
    <s v="-"/>
    <s v="AEMN30315M25-Black_32wx34l"/>
    <s v="Amazon Essentials Men's Men's Heavyweight Stretch Skinny-Fit Jean, Black, 32Wx34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G7YW"/>
    <s v="197153302874"/>
    <s v="UPC"/>
    <x v="2"/>
    <s v="Men's Medium Stretch Skinny-Fit Jean"/>
    <x v="5"/>
    <s v="Black"/>
    <s v="32W x 28L"/>
    <s v="-"/>
    <s v="AEMN30315M25-Black_32wx28l"/>
    <s v="Amazon Essentials Men's Men's Heavyweight Stretch Skinny-Fit Jean, Black, 32WX28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FLG9"/>
    <s v="197153302836"/>
    <s v="UPC"/>
    <x v="2"/>
    <s v="Men's Medium Stretch Skinny-Fit Jean"/>
    <x v="5"/>
    <s v="Black"/>
    <s v="38W x 28L"/>
    <s v="-"/>
    <s v="AEMN30315M25-Black_38wx28l"/>
    <s v="Amazon Essentials Men's Men's Heavyweight Stretch Skinny-Fit Jean, Black, 38WX28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DDGH"/>
    <s v="197153303222"/>
    <s v="UPC"/>
    <x v="2"/>
    <s v="Men's Medium Stretch Skinny-Fit Jean"/>
    <x v="5"/>
    <s v="Tinted Dark Wash"/>
    <s v="38W x 32L"/>
    <s v="-"/>
    <s v="AEMN30315M25-Tinted Dark Wash_38wx32l"/>
    <s v="Amazon Essentials Men's Men's Heavyweight Stretch Skinny-Fit Jean, Tinted Dark Wash, 38Wx32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CN9V"/>
    <s v="197153312965"/>
    <s v="UPC"/>
    <x v="2"/>
    <s v="Men's Low Stretch Slim-Fit Jean"/>
    <x v="6"/>
    <s v="Dark Midnight Wash"/>
    <s v="29W x 28L"/>
    <s v="-"/>
    <s v="AEMN14928M25-Dark Midnight Wash_29wx28l"/>
    <s v="Amazon Essentials Men's Low Stretch Slim-Fit Jean, Tapered Leg, Vintage Inspired Midweight Denim, Dark Midnight Wash, 29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4C37N"/>
    <s v="197153313696"/>
    <s v="UPC"/>
    <x v="2"/>
    <s v="Men's Low Stretch Slim-Fit Jean"/>
    <x v="6"/>
    <s v="Iced Light Wash"/>
    <s v="32W x 28L"/>
    <s v="-"/>
    <s v="AEMN14928M25-Iced Light Wash_32wx28l"/>
    <s v="Amazon Essentials Men's Low Stretch Slim-Fit Jean, Tapered Leg, Vintage Inspired Midweight Denim, Iced Light Wash, 32W x 28L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0"/>
    <n v="288"/>
    <n v="0"/>
    <m/>
    <n v="24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BXNC"/>
    <s v="197153313726"/>
    <s v="UPC"/>
    <x v="2"/>
    <s v="Men's Low Stretch Slim-Fit Jean"/>
    <x v="6"/>
    <s v="Iced Light Wash"/>
    <s v="34W x 28L"/>
    <s v="-"/>
    <s v="AEMN14928M25-Iced Light Wash_34wx28l"/>
    <s v="Amazon Essentials Men's Low Stretch Slim-Fit Jean, Tapered Leg, Vintage Inspired Midweight Denim, Iced Light Wash, 34W x 28L"/>
    <s v="Accepted: In stock"/>
    <s v="Ship window (Collect)"/>
    <x v="0"/>
    <x v="0"/>
    <x v="0"/>
    <n v="180"/>
    <n v="180"/>
    <n v="192"/>
    <n v="192"/>
    <n v="0"/>
    <n v="-12"/>
    <m/>
    <m/>
    <m/>
    <m/>
    <m/>
    <n v="180"/>
    <x v="0"/>
    <n v="180"/>
    <n v="0"/>
    <m/>
    <n v="15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BF2K"/>
    <s v="197153296500"/>
    <s v="UPC"/>
    <x v="2"/>
    <s v="Men's Low Stretch Straight Fit Jean"/>
    <x v="4"/>
    <s v="Grey Wash"/>
    <s v="40W x 34L"/>
    <s v="-"/>
    <s v="AEMN49469M25-Grey Wash_40wx34l"/>
    <s v="Amazon Essentials Men's Straight-Fit Jeans, Midweight Vintage Inspired Denim, Fitted Through Hip and Thigh, Grey Wash, 4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9LV6"/>
    <s v="197153304335"/>
    <s v="UPC"/>
    <x v="2"/>
    <s v="Men's Medium Stretch Skinny-Fit Jean"/>
    <x v="5"/>
    <s v="Rinse"/>
    <s v="35W x 28L"/>
    <s v="-"/>
    <s v="AEMN30315M25-Rinse_35wx28l"/>
    <s v="Amazon Essentials Men's Medium Stretch Skinny-Fit Jeans, Rinse, 35W x 28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495P8"/>
    <s v="197153302829"/>
    <s v="UPC"/>
    <x v="2"/>
    <s v="Men's Medium Stretch Skinny-Fit Jean"/>
    <x v="5"/>
    <s v="Black"/>
    <s v="40W x 32L"/>
    <s v="-"/>
    <s v="AEMN30315M25-Black_40wx32l"/>
    <s v="Amazon Essentials Men's Men's Heavyweight Stretch Skinny-Fit Jean, Black, 40Wx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8KNH"/>
    <s v="197153303246"/>
    <s v="UPC"/>
    <x v="2"/>
    <s v="Men's Medium Stretch Skinny-Fit Jean"/>
    <x v="5"/>
    <s v="Tinted Dark Wash"/>
    <s v="30W x 28L"/>
    <s v="-"/>
    <s v="AEMN30315M25-Tinted Dark Wash_30wx28l"/>
    <s v="Amazon Essentials Men's Men's Heavyweight Stretch Skinny-Fit Jean, Tinted Dark Wash, 30WX28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8GZ1"/>
    <s v="197153303147"/>
    <s v="UPC"/>
    <x v="2"/>
    <s v="Men's Medium Stretch Skinny-Fit Jean"/>
    <x v="5"/>
    <s v="Tinted Dark Wash"/>
    <s v="36W x 30L"/>
    <s v="-"/>
    <s v="AEMN30315M25-Tinted Dark Wash_36wx30l"/>
    <s v="Amazon Essentials Men's Men's Heavyweight Stretch Skinny-Fit Jean, Tinted Dark Wash, 36Wx30L"/>
    <s v="Accepted: In stock"/>
    <s v="Ship window (Collect)"/>
    <x v="0"/>
    <x v="0"/>
    <x v="0"/>
    <n v="252"/>
    <n v="252"/>
    <n v="228"/>
    <n v="228"/>
    <n v="0"/>
    <n v="24"/>
    <n v="24"/>
    <m/>
    <n v="0"/>
    <m/>
    <m/>
    <n v="228"/>
    <x v="0"/>
    <n v="228"/>
    <n v="24"/>
    <m/>
    <n v="19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8GX9"/>
    <s v="197153302751"/>
    <s v="UPC"/>
    <x v="2"/>
    <s v="Men's Medium Stretch Skinny-Fit Jean"/>
    <x v="5"/>
    <s v="Black"/>
    <s v="42W x 30L"/>
    <s v="-"/>
    <s v="AEMN30315M25-Black_42wx30l"/>
    <s v="Amazon Essentials Men's Men's Heavyweight Stretch Skinny-Fit Jean, Black, 42Wx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8CXV"/>
    <s v="197153304830"/>
    <s v="UPC"/>
    <x v="2"/>
    <s v="Men's Heavyweight Stretch Straight-Fit Jean"/>
    <x v="7"/>
    <s v="Black-heavyweight"/>
    <s v="35W x 34L"/>
    <s v="-"/>
    <s v="AEMN64413M25-Black_35wx34l"/>
    <s v="Amazon Essentials Men's Men's Heavyweight Stretch Straight-Fit Jean, Black-Heavyweight, 35WX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8BZ2"/>
    <s v="197153313924"/>
    <s v="UPC"/>
    <x v="2"/>
    <s v="Men's Low Stretch Slim-Fit Jean"/>
    <x v="6"/>
    <s v="Iced Light Wash"/>
    <s v="29W x 28L"/>
    <s v="-"/>
    <s v="AEMN14928M25-Iced Light Wash_29wx28l"/>
    <s v="Amazon Essentials Men's Low Stretch Slim-Fit Jean, Tapered Leg, Vintage Inspired Midweight Denim, Iced Light Wash, 29W x 28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7ZLN"/>
    <s v="197153312804"/>
    <s v="UPC"/>
    <x v="2"/>
    <s v="Men's Low Stretch Slim-Fit Jean"/>
    <x v="6"/>
    <s v="Dark Midnight Wash"/>
    <s v="30W x 28L"/>
    <s v="-"/>
    <s v="AEMN14928M25-Dark Midnight Wash_30wx28l"/>
    <s v="Amazon Essentials Men's Low Stretch Slim-Fit Jean, Tapered Leg, Vintage Inspired Midweight Denim, Dark Midnight Wash, 30W x 28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47N65"/>
    <s v="197153313092"/>
    <s v="UPC"/>
    <x v="2"/>
    <s v="Men's Low Stretch Slim-Fit Jean"/>
    <x v="6"/>
    <s v="Dark Midnight Wash"/>
    <s v="33W x 30L"/>
    <s v="-"/>
    <s v="AEMN14928M25-Dark Midnight Wash_33wx30l"/>
    <s v="Amazon Essentials Men's Low Stretch Slim-Fit Jean, Tapered Leg, Vintage Inspired Midweight Denim, Dark Midnight Wash, 33W x 30L"/>
    <s v="Accepted: In stock"/>
    <s v="Ship window (Collect)"/>
    <x v="0"/>
    <x v="0"/>
    <x v="0"/>
    <n v="156"/>
    <n v="156"/>
    <n v="168"/>
    <n v="168"/>
    <n v="0"/>
    <n v="-12"/>
    <m/>
    <m/>
    <m/>
    <m/>
    <m/>
    <n v="156"/>
    <x v="0"/>
    <n v="156"/>
    <n v="0"/>
    <m/>
    <n v="13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47JW9"/>
    <s v="197153302720"/>
    <s v="UPC"/>
    <x v="2"/>
    <s v="Men's Medium Stretch Skinny-Fit Jean"/>
    <x v="5"/>
    <s v="Black"/>
    <s v="40W x 28L"/>
    <s v="-"/>
    <s v="AEMN30315M25-Black_40wx28l"/>
    <s v="Amazon Essentials Men's Men's Heavyweight Stretch Skinny-Fit Jean, Black, 40WX28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4626Y"/>
    <s v="197153296593"/>
    <s v="UPC"/>
    <x v="2"/>
    <s v="Men's Low Stretch Straight Fit Jean"/>
    <x v="4"/>
    <s v="Grey Wash"/>
    <s v="36W x 34L"/>
    <s v="-"/>
    <s v="AEMN49469M25-Grey Wash_36wx34l"/>
    <s v="Amazon Essentials Men's Straight-Fit Jeans, Midweight Vintage Inspired Denim, Fitted Through Hip and Thigh, Grey Wash, 36W x 34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5XNK"/>
    <s v="197153295930"/>
    <s v="UPC"/>
    <x v="2"/>
    <s v="Men's Low Stretch Straight Fit Jean"/>
    <x v="4"/>
    <s v="Dark Midnight Wash"/>
    <s v="30W x 32L"/>
    <s v="-"/>
    <s v="AEMN49469M25-Dark Midnight Wash_30wx32l"/>
    <s v="Amazon Essentials Men's Straight-Fit Jeans, Midweight Vintage Inspired Denim, Fitted Through Hip and Thigh, Dark Midnight Wash, 30W x 32L"/>
    <s v="Accepted: In stock"/>
    <s v="Ship window (Collect)"/>
    <x v="0"/>
    <x v="0"/>
    <x v="0"/>
    <n v="204"/>
    <n v="204"/>
    <n v="180"/>
    <n v="180"/>
    <n v="0"/>
    <n v="24"/>
    <n v="24"/>
    <m/>
    <n v="0"/>
    <m/>
    <m/>
    <n v="180"/>
    <x v="0"/>
    <n v="180"/>
    <n v="24"/>
    <m/>
    <n v="15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45VCF"/>
    <s v="197153303352"/>
    <s v="UPC"/>
    <x v="2"/>
    <s v="Men's Medium Stretch Skinny-Fit Jean"/>
    <x v="5"/>
    <s v="Tinted Dark Wash"/>
    <s v="32W x 28L"/>
    <s v="-"/>
    <s v="AEMN30315M25-Tinted Dark Wash_32wx28l"/>
    <s v="Amazon Essentials Men's Men's Heavyweight Stretch Skinny-Fit Jean, Tinted Dark Wash, 32WX28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5FZ1"/>
    <s v="197153296654"/>
    <s v="UPC"/>
    <x v="2"/>
    <s v="Men's Low Stretch Straight Fit Jean"/>
    <x v="4"/>
    <s v="Grey Wash"/>
    <s v="35W x 34L"/>
    <s v="-"/>
    <s v="AEMN49469M25-Grey Wash_35wx34l"/>
    <s v="Amazon Essentials Men's Straight-Fit Jeans, Midweight Vintage Inspired Denim, Fitted Through Hip and Thigh, Grey Wash, 35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45713"/>
    <s v="197153304854"/>
    <s v="UPC"/>
    <x v="2"/>
    <s v="Men's Heavyweight Stretch Straight-Fit Jean"/>
    <x v="7"/>
    <s v="Black-heavyweight"/>
    <s v="33W x 32L"/>
    <s v="-"/>
    <s v="AEMN64413M25-Black_33wx32l"/>
    <s v="Amazon Essentials Men's Men's Heavyweight Stretch Straight-Fit Jean, Black-Heavyweight, 33WX32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56B4"/>
    <s v="197153295534"/>
    <s v="UPC"/>
    <x v="2"/>
    <s v="Men's Low Stretch Straight Fit Jean"/>
    <x v="4"/>
    <s v="Tinted Medium Blue"/>
    <s v="32W x 34L"/>
    <s v="-"/>
    <s v="AEMN49469M25-Tinted Medium Blue_32wx34l"/>
    <s v="Amazon Essentials Men's Straight-Fit Jeans, Midweight Vintage Inspired Denim, Fitted Through Hip and Thigh, Tinted Medium Blue, 32W x 34L"/>
    <s v="Accepted: In stock"/>
    <s v="Ship window (Collect)"/>
    <x v="0"/>
    <x v="0"/>
    <x v="0"/>
    <n v="324"/>
    <n v="324"/>
    <n v="348"/>
    <n v="348"/>
    <n v="0"/>
    <n v="-24"/>
    <m/>
    <m/>
    <m/>
    <m/>
    <m/>
    <n v="324"/>
    <x v="0"/>
    <n v="324"/>
    <n v="0"/>
    <m/>
    <n v="27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44KKQ"/>
    <s v="197153313764"/>
    <s v="UPC"/>
    <x v="2"/>
    <s v="Men's Low Stretch Slim-Fit Jean"/>
    <x v="6"/>
    <s v="Iced Light Wash"/>
    <s v="30W x 28L"/>
    <s v="-"/>
    <s v="AEMN14928M25-Iced Light Wash_30wx28l"/>
    <s v="Amazon Essentials Men's Low Stretch Slim-Fit Jean, Tapered Leg, Vintage Inspired Midweight Denim, Iced Light Wash, 30W x 28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44HTK"/>
    <s v="197153295800"/>
    <s v="UPC"/>
    <x v="2"/>
    <s v="Men's Low Stretch Straight Fit Jean"/>
    <x v="4"/>
    <s v="Tinted Medium Blue"/>
    <s v="31W x 30L"/>
    <s v="-"/>
    <s v="AEMN49469M25-Tinted Medium Blue_31wx30l"/>
    <s v="Amazon Essentials Men's Straight-Fit Jeans, Midweight Vintage Inspired Denim, Fitted Through Hip and Thigh, Tinted Medium Blue, 31W x 30L"/>
    <s v="Accepted: In stock"/>
    <s v="Ship window (Collect)"/>
    <x v="0"/>
    <x v="0"/>
    <x v="0"/>
    <n v="300"/>
    <n v="300"/>
    <n v="324"/>
    <n v="324"/>
    <n v="0"/>
    <n v="-24"/>
    <m/>
    <m/>
    <m/>
    <m/>
    <m/>
    <n v="300"/>
    <x v="0"/>
    <n v="300"/>
    <n v="0"/>
    <m/>
    <n v="25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43PCZ"/>
    <s v="197153303239"/>
    <s v="UPC"/>
    <x v="2"/>
    <s v="Men's Medium Stretch Skinny-Fit Jean"/>
    <x v="5"/>
    <s v="Tinted Dark Wash"/>
    <s v="42W x 30L"/>
    <s v="-"/>
    <s v="AEMN30315M25-Tinted Dark Wash_42wx30l"/>
    <s v="Amazon Essentials Men's Men's Heavyweight Stretch Skinny-Fit Jean, Tinted Dark Wash, 42Wx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2WHT"/>
    <s v="197153304946"/>
    <s v="UPC"/>
    <x v="2"/>
    <s v="Men's Heavyweight Stretch Straight-Fit Jean"/>
    <x v="7"/>
    <s v="Black-heavyweight"/>
    <s v="29W x 32L"/>
    <s v="-"/>
    <s v="AEMN64413M25-Black_29wx32l"/>
    <s v="Amazon Essentials Men's Men's Heavyweight Stretch Straight-Fit Jean, Black-Heavyweight, 29WX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426MV"/>
    <s v="197153295459"/>
    <s v="UPC"/>
    <x v="2"/>
    <s v="Men's Low Stretch Straight Fit Jean"/>
    <x v="4"/>
    <s v="Tinted Medium Blue"/>
    <s v="30W x 32L"/>
    <s v="-"/>
    <s v="AEMN49469M25-Tinted Medium Blue_30wx32l"/>
    <s v="Amazon Essentials Men's Straight-Fit Jeans, Midweight Vintage Inspired Denim, Fitted Through Hip and Thigh, Tinted Medium Blue, 30W x 32L"/>
    <s v="Accepted: In stock"/>
    <s v="Ship window (Collect)"/>
    <x v="0"/>
    <x v="0"/>
    <x v="0"/>
    <n v="288"/>
    <n v="288"/>
    <n v="264"/>
    <n v="264"/>
    <n v="0"/>
    <n v="24"/>
    <n v="24"/>
    <m/>
    <n v="0"/>
    <m/>
    <m/>
    <n v="264"/>
    <x v="0"/>
    <n v="264"/>
    <n v="24"/>
    <m/>
    <n v="22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41PY3"/>
    <s v="197153303543"/>
    <s v="UPC"/>
    <x v="2"/>
    <s v="Men's Medium Stretch Skinny-Fit Jean"/>
    <x v="5"/>
    <s v="Stone Medium Wash"/>
    <s v="38W x 30L"/>
    <s v="-"/>
    <s v="AEMN30315M25-Stone Medium Wash_38wx30l"/>
    <s v="Amazon Essentials Men's Men's Heavyweight Stretch Skinny-Fit Jean, Stone Medium Wash, 38Wx30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41LW7"/>
    <s v="197153303321"/>
    <s v="UPC"/>
    <x v="2"/>
    <s v="Men's Medium Stretch Skinny-Fit Jean"/>
    <x v="5"/>
    <s v="Tinted Dark Wash"/>
    <s v="34W x 30L"/>
    <s v="-"/>
    <s v="AEMN30315M25-Tinted Dark Wash_34wx30l"/>
    <s v="Amazon Essentials Men's Medium Stretch Skinny-Fit Jeans, Tinted Dark Wash, 34W x 30L"/>
    <s v="Accepted: In stock"/>
    <s v="Ship window (Collect)"/>
    <x v="0"/>
    <x v="0"/>
    <x v="0"/>
    <n v="228"/>
    <n v="228"/>
    <n v="216"/>
    <n v="216"/>
    <n v="0"/>
    <n v="12"/>
    <n v="12"/>
    <m/>
    <n v="0"/>
    <m/>
    <m/>
    <n v="216"/>
    <x v="0"/>
    <n v="216"/>
    <n v="12"/>
    <m/>
    <n v="18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41DVD"/>
    <s v="197153314044"/>
    <s v="UPC"/>
    <x v="2"/>
    <s v="Men's Low Stretch Slim-Fit Jean"/>
    <x v="6"/>
    <s v="Iced Light Wash"/>
    <s v="31W x 32L"/>
    <s v="-"/>
    <s v="AEMN14928M25-Iced Light Wash_31wx32l"/>
    <s v="Amazon Essentials Men's Low Stretch Slim-Fit Jean, Tapered Leg, Vintage Inspired Midweight Denim, Iced Light Wash, 31W x 32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ZZZQ"/>
    <s v="197153302812"/>
    <s v="UPC"/>
    <x v="2"/>
    <s v="Men's Medium Stretch Skinny-Fit Jean"/>
    <x v="5"/>
    <s v="Black"/>
    <s v="28W x 30L"/>
    <s v="-"/>
    <s v="AEMN30315M25-Black_28wx30l"/>
    <s v="Amazon Essentials Men's Men's Heavyweight Stretch Skinny-Fit Jean, Black, 28Wx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Z61Q"/>
    <s v="197153296388"/>
    <s v="UPC"/>
    <x v="2"/>
    <s v="Men's Low Stretch Straight Fit Jean"/>
    <x v="4"/>
    <s v="Grey Wash"/>
    <s v="36W x 30L"/>
    <s v="-"/>
    <s v="AEMN49469M25-Grey Wash_36wx30l"/>
    <s v="Amazon Essentials Men's Straight-Fit Jeans, Midweight Vintage Inspired Denim, Fitted Through Hip and Thigh, Grey Wash, 36W x 30L"/>
    <s v="Accepted: In stock"/>
    <s v="Ship window (Collect)"/>
    <x v="0"/>
    <x v="0"/>
    <x v="0"/>
    <n v="216"/>
    <n v="216"/>
    <n v="228"/>
    <n v="228"/>
    <n v="0"/>
    <n v="-12"/>
    <m/>
    <m/>
    <n v="0"/>
    <m/>
    <m/>
    <n v="216"/>
    <x v="0"/>
    <n v="216"/>
    <n v="0"/>
    <m/>
    <n v="18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YX2S"/>
    <s v="197153303192"/>
    <s v="UPC"/>
    <x v="2"/>
    <s v="Men's Medium Stretch Skinny-Fit Jean"/>
    <x v="5"/>
    <s v="Tinted Dark Wash"/>
    <s v="42W x 28L"/>
    <s v="-"/>
    <s v="AEMN30315M25-Tinted Dark Wash_42wx28l"/>
    <s v="Amazon Essentials Men's Men's Heavyweight Stretch Skinny-Fit Jean, Tinted Dark Wash, 42WX28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YV16"/>
    <s v="197153296784"/>
    <s v="UPC"/>
    <x v="2"/>
    <s v="Men's Low Stretch Straight Fit Jean"/>
    <x v="4"/>
    <s v="Grey Wash"/>
    <s v="33W x 30L"/>
    <s v="-"/>
    <s v="AEMN49469M25-Grey Wash_33wx30l"/>
    <s v="Amazon Essentials Men's Straight-Fit Jeans, Midweight Vintage Inspired Denim, Fitted Through Hip and Thigh, Grey Wash, 33W x 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YNG3"/>
    <s v="197153303390"/>
    <s v="UPC"/>
    <x v="2"/>
    <s v="Men's Medium Stretch Skinny-Fit Jean"/>
    <x v="5"/>
    <s v="Tinted Dark Wash"/>
    <s v="35W x 32L"/>
    <s v="-"/>
    <s v="AEMN30315M25-Tinted Dark Wash_35wx32l"/>
    <s v="Amazon Essentials Men's Men's Heavyweight Stretch Skinny-Fit Jean, Tinted Dark Wash, 35WX32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XRMX"/>
    <s v="197153296623"/>
    <s v="UPC"/>
    <x v="2"/>
    <s v="Men's Low Stretch Straight Fit Jean"/>
    <x v="4"/>
    <s v="Grey Wash"/>
    <s v="34W x 30L"/>
    <s v="-"/>
    <s v="AEMN49469M25-Grey Wash_34wx30l"/>
    <s v="Amazon Essentials Men's Straight-Fit Jeans, Midweight Vintage Inspired Denim, Fitted Through Hip and Thigh, Grey Wash, 34W x 30L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XK3W"/>
    <s v="197153296173"/>
    <s v="UPC"/>
    <x v="2"/>
    <s v="Men's Low Stretch Straight Fit Jean"/>
    <x v="4"/>
    <s v="Dark Midnight Wash"/>
    <s v="35W x 34L"/>
    <s v="-"/>
    <s v="AEMN49469M25-Dark Midnight Wash_35wx34l"/>
    <s v="Amazon Essentials Men's Straight-Fit Jeans, Midweight Vintage Inspired Denim, Fitted Through Hip and Thigh, Dark Midnight Wash, 35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X112"/>
    <s v="197153296432"/>
    <s v="UPC"/>
    <x v="2"/>
    <s v="Men's Low Stretch Straight Fit Jean"/>
    <x v="4"/>
    <s v="Grey Wash"/>
    <s v="40W x 30L"/>
    <s v="-"/>
    <s v="AEMN49469M25-Grey Wash_40wx30l"/>
    <s v="Amazon Essentials Men's Straight-Fit Jeans, Midweight Vintage Inspired Denim, Fitted Through Hip and Thigh, Grey Wash, 40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WWJZ"/>
    <s v="197153296746"/>
    <s v="UPC"/>
    <x v="2"/>
    <s v="Men's Low Stretch Straight Fit Jean"/>
    <x v="4"/>
    <s v="Grey Wash"/>
    <s v="29W x 28L"/>
    <s v="-"/>
    <s v="AEMN49469M25-Grey Wash_29wx28l"/>
    <s v="Amazon Essentials Men's Straight-Fit Jeans, Midweight Vintage Inspired Denim, Fitted Through Hip and Thigh, Grey Wash, 29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WRT3"/>
    <s v="197153304748"/>
    <s v="UPC"/>
    <x v="2"/>
    <s v="Men's Heavyweight Stretch Straight-Fit Jean"/>
    <x v="7"/>
    <s v="Black-heavyweight"/>
    <s v="40W x 32L"/>
    <s v="-"/>
    <s v="AEMN64413M25-Black_40wx32l"/>
    <s v="Amazon Essentials Men's Low Stretch Straight-Fit Jeans, Black-Heavyweight, 40W x 32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WJJN"/>
    <s v="197153304625"/>
    <s v="UPC"/>
    <x v="2"/>
    <s v="Men's Heavyweight Stretch Straight-Fit Jean"/>
    <x v="7"/>
    <s v="Black-heavyweight"/>
    <s v="32W x 34L"/>
    <s v="-"/>
    <s v="AEMN64413M25-Black_32wx34l"/>
    <s v="Amazon Essentials Men's Men's Heavyweight Stretch Straight-Fit Jean, Black-Heavyweight, 32Wx34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WH43"/>
    <s v="197153313771"/>
    <s v="UPC"/>
    <x v="2"/>
    <s v="Men's Low Stretch Slim-Fit Jean"/>
    <x v="6"/>
    <s v="Iced Light Wash"/>
    <s v="36W x 32L"/>
    <s v="-"/>
    <s v="AEMN14928M25-Iced Light Wash_36wx32l"/>
    <s v="Amazon Essentials Men's Low Stretch Slim-Fit Jean, Tapered Leg, Vintage Inspired Midweight Denim, Iced Light Wash, 36W x 32L"/>
    <s v="Accepted: In stock"/>
    <s v="Ship window (Collect)"/>
    <x v="0"/>
    <x v="0"/>
    <x v="0"/>
    <n v="252"/>
    <n v="252"/>
    <n v="228"/>
    <n v="228"/>
    <n v="0"/>
    <n v="24"/>
    <n v="24"/>
    <m/>
    <n v="0"/>
    <m/>
    <m/>
    <n v="228"/>
    <x v="0"/>
    <n v="228"/>
    <n v="24"/>
    <m/>
    <n v="1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WBRY"/>
    <s v="197153312651"/>
    <s v="UPC"/>
    <x v="2"/>
    <s v="Men's Low Stretch Slim-Fit Jean"/>
    <x v="6"/>
    <s v="Dark Midnight Wash"/>
    <s v="38W x 28L"/>
    <s v="-"/>
    <s v="AEMN14928M25-Dark Midnight Wash_38wx28l"/>
    <s v="Amazon Essentials Men's Low Stretch Slim-Fit Jean, Tapered Leg, Vintage Inspired Midweight Denim, Dark Midnight Wash, 3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3W2BM"/>
    <s v="197153296296"/>
    <s v="UPC"/>
    <x v="2"/>
    <s v="Men's Low Stretch Straight Fit Jean"/>
    <x v="4"/>
    <s v="Dark Midnight Wash"/>
    <s v="29W x 32L"/>
    <s v="-"/>
    <s v="AEMN49469M25-Dark Midnight Wash_29wx32l"/>
    <s v="Amazon Essentials Men's Straight-Fit Jeans, Midweight Vintage Inspired Denim, Fitted Through Hip and Thigh, Dark Midnight Wash, 29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VNYB"/>
    <s v="197153302904"/>
    <s v="UPC"/>
    <x v="2"/>
    <s v="Men's Medium Stretch Skinny-Fit Jean"/>
    <x v="5"/>
    <s v="Black"/>
    <s v="33W x 34L"/>
    <s v="-"/>
    <s v="AEMN30315M25-Black_33wx34l"/>
    <s v="Amazon Essentials Men's Men's Heavyweight Stretch Skinny-Fit Jean, Black, 33WX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VNB2"/>
    <s v="197153295527"/>
    <s v="UPC"/>
    <x v="2"/>
    <s v="Men's Low Stretch Straight Fit Jean"/>
    <x v="4"/>
    <s v="Tinted Medium Blue"/>
    <s v="32W x 30L"/>
    <s v="-"/>
    <s v="AEMN49469M25-Tinted Medium Blue_32wx30l"/>
    <s v="Amazon Essentials Men's Straight-Fit Jeans, Midweight Vintage Inspired Denim, Fitted Through Hip and Thigh, Tinted Medium Blue, 32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VL1D"/>
    <s v="197153304045"/>
    <s v="UPC"/>
    <x v="2"/>
    <s v="Men's Medium Stretch Skinny-Fit Jean"/>
    <x v="5"/>
    <s v="Rinse"/>
    <s v="32W x 30L"/>
    <s v="-"/>
    <s v="AEMN30315M25-Rinse_32wx30l"/>
    <s v="Amazon Essentials Men's Men's Heavyweight Stretch Skinny-Fit Jean, Rinse, 32Wx30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V73M"/>
    <s v="197153314068"/>
    <s v="UPC"/>
    <x v="2"/>
    <s v="Men's Low Stretch Slim-Fit Jean"/>
    <x v="6"/>
    <s v="Iced Light Wash"/>
    <s v="31W x 28L"/>
    <s v="-"/>
    <s v="AEMN14928M25-Iced Light Wash_31wx28l"/>
    <s v="Amazon Essentials Men's Low Stretch Slim-Fit Jean, Tapered Leg, Vintage Inspired Midweight Denim, Iced Light Wash, 31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V4WH"/>
    <s v="197153304038"/>
    <s v="UPC"/>
    <x v="2"/>
    <s v="Men's Medium Stretch Skinny-Fit Jean"/>
    <x v="5"/>
    <s v="Rinse"/>
    <s v="32W x 34L"/>
    <s v="-"/>
    <s v="AEMN30315M25-Rinse_32wx34l"/>
    <s v="Amazon Essentials Men's Medium Stretch Skinny-Fit Jeans, Rinse, 32W x 34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V362"/>
    <s v="197153304649"/>
    <s v="UPC"/>
    <x v="2"/>
    <s v="Men's Heavyweight Stretch Straight-Fit Jean"/>
    <x v="7"/>
    <s v="Black-heavyweight"/>
    <s v="34W x 28L"/>
    <s v="-"/>
    <s v="AEMN64413M25-Black_34wx28l"/>
    <s v="Amazon Essentials Men's Men's Heavyweight Stretch Straight-Fit Jean, Black-Heavyweight, 34WX28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TZ1G"/>
    <s v="197153312712"/>
    <s v="UPC"/>
    <x v="2"/>
    <s v="Men's Low Stretch Slim-Fit Jean"/>
    <x v="6"/>
    <s v="Dark Midnight Wash"/>
    <s v="28W x 30L"/>
    <s v="-"/>
    <s v="AEMN14928M25-Dark Midnight Wash_28wx30l"/>
    <s v="Amazon Essentials Men's Low Stretch Slim-Fit Jean, Tapered Leg, Vintage Inspired Midweight Denim, Dark Midnight Wash, 28W x 30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3TH9N"/>
    <s v="197153304632"/>
    <s v="UPC"/>
    <x v="2"/>
    <s v="Men's Heavyweight Stretch Straight-Fit Jean"/>
    <x v="7"/>
    <s v="Black-heavyweight"/>
    <s v="38W x 34L"/>
    <s v="-"/>
    <s v="AEMN64413M25-Black_38wx34l"/>
    <s v="Amazon Essentials Men's Men's Heavyweight Stretch Straight-Fit Jean, Black-Heavyweight, 38Wx34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TB6K"/>
    <s v="197153304809"/>
    <s v="UPC"/>
    <x v="2"/>
    <s v="Men's Heavyweight Stretch Straight-Fit Jean"/>
    <x v="7"/>
    <s v="Black-heavyweight"/>
    <s v="31W x 32L"/>
    <s v="-"/>
    <s v="AEMN64413M25-Black_31wx32l"/>
    <s v="Amazon Essentials Men's Men's Heavyweight Stretch Straight-Fit Jean, Black-Heavyweight, 31WX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SV52"/>
    <s v="197153304267"/>
    <s v="UPC"/>
    <x v="2"/>
    <s v="Men's Medium Stretch Skinny-Fit Jean"/>
    <x v="5"/>
    <s v="Rinse"/>
    <s v="40W x 32L"/>
    <s v="-"/>
    <s v="AEMN30315M25-Rinse_40wx32l"/>
    <s v="Amazon Essentials Men's Men's Heavyweight Stretch Skinny-Fit Jean, Rinse, 40Wx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SJP4"/>
    <s v="197153302676"/>
    <s v="UPC"/>
    <x v="2"/>
    <s v="Men's Medium Stretch Skinny-Fit Jean"/>
    <x v="5"/>
    <s v="Black"/>
    <s v="40W x 30L"/>
    <s v="-"/>
    <s v="AEMN30315M25-Black_40wx30l"/>
    <s v="Amazon Essentials Men's Men's Heavyweight Stretch Skinny-Fit Jean, Black, 40Wx30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S4KY"/>
    <s v="197153302706"/>
    <s v="UPC"/>
    <x v="2"/>
    <s v="Men's Medium Stretch Skinny-Fit Jean"/>
    <x v="5"/>
    <s v="Black"/>
    <s v="28W x 32L"/>
    <s v="-"/>
    <s v="AEMN30315M25-Black_28wx32l"/>
    <s v="Amazon Essentials Men's Medium Stretch Skinny-Fit Jeans, Black, 28W x 32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RY9J"/>
    <s v="197153302867"/>
    <s v="UPC"/>
    <x v="2"/>
    <s v="Men's Medium Stretch Skinny-Fit Jean"/>
    <x v="5"/>
    <s v="Black"/>
    <s v="42W x 34L"/>
    <s v="-"/>
    <s v="AEMN30315M25-Black_42wx34l"/>
    <s v="Amazon Essentials Men's Medium Stretch Skinny-Fit Jeans, Black, 42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RFMB"/>
    <s v="197153303741"/>
    <s v="UPC"/>
    <x v="2"/>
    <s v="Men's Medium Stretch Skinny-Fit Jean"/>
    <x v="5"/>
    <s v="Stone Medium Wash"/>
    <s v="38W x 34L"/>
    <s v="-"/>
    <s v="AEMN30315M25-Stone Medium Wash_38wx34l"/>
    <s v="Amazon Essentials Men's Men's Heavyweight Stretch Skinny-Fit Jean, Stone Medium Wash, 38Wx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RDZJ"/>
    <s v="197153303314"/>
    <s v="UPC"/>
    <x v="2"/>
    <s v="Men's Medium Stretch Skinny-Fit Jean"/>
    <x v="5"/>
    <s v="Tinted Dark Wash"/>
    <s v="38W x 28L"/>
    <s v="-"/>
    <s v="AEMN30315M25-Tinted Dark Wash_38wx28l"/>
    <s v="Amazon Essentials Men's Men's Heavyweight Stretch Skinny-Fit Jean, Tinted Dark Wash, 38WX28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R7NV"/>
    <s v="197153303468"/>
    <s v="UPC"/>
    <x v="2"/>
    <s v="Men's Medium Stretch Skinny-Fit Jean"/>
    <x v="5"/>
    <s v="Tinted Dark Wash"/>
    <s v="31W x 30L"/>
    <s v="-"/>
    <s v="AEMN30315M25-Tinted Dark Wash_31wx30l"/>
    <s v="Amazon Essentials Men's Men's Heavyweight Stretch Skinny-Fit Jean, Tinted Dark Wash, 31WX30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R6FH"/>
    <s v="197153296678"/>
    <s v="UPC"/>
    <x v="2"/>
    <s v="Men's Low Stretch Straight Fit Jean"/>
    <x v="4"/>
    <s v="Grey Wash"/>
    <s v="35W x 32L"/>
    <s v="-"/>
    <s v="AEMN49469M25-Grey Wash_35wx32l"/>
    <s v="Amazon Essentials Men's Straight-Fit Jeans, Midweight Vintage Inspired Denim, Fitted Through Hip and Thigh, Grey Wash, 35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R6DZ"/>
    <s v="197153296531"/>
    <s v="UPC"/>
    <x v="2"/>
    <s v="Men's Low Stretch Straight Fit Jean"/>
    <x v="4"/>
    <s v="Grey Wash"/>
    <s v="40W x 32L"/>
    <s v="-"/>
    <s v="AEMN49469M25-Grey Wash_40wx32l"/>
    <s v="Amazon Essentials Men's Straight-Fit Jeans, Midweight Vintage Inspired Denim, Fitted Through Hip and Thigh, Grey Wash, 40W x 32L"/>
    <s v="Accepted: In stock"/>
    <s v="Ship window (Collect)"/>
    <x v="0"/>
    <x v="0"/>
    <x v="0"/>
    <n v="120"/>
    <n v="120"/>
    <n v="120"/>
    <n v="120"/>
    <n v="0"/>
    <n v="0"/>
    <m/>
    <m/>
    <n v="0"/>
    <m/>
    <m/>
    <n v="120"/>
    <x v="0"/>
    <n v="120"/>
    <n v="0"/>
    <m/>
    <n v="10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QSGB"/>
    <s v="197153295855"/>
    <s v="UPC"/>
    <x v="2"/>
    <s v="Men's Low Stretch Straight Fit Jean"/>
    <x v="4"/>
    <s v="Dark Midnight Wash"/>
    <s v="30W x 34L"/>
    <s v="-"/>
    <s v="AEMN49469M25-Dark Midnight Wash_30wx34l"/>
    <s v="Amazon Essentials Men's Straight-Fit Jeans, Midweight Vintage Inspired Denim, Fitted Through Hip and Thigh, Dark Midnight Wash, 30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Q81N"/>
    <s v="197153304588"/>
    <s v="UPC"/>
    <x v="2"/>
    <s v="Men's Heavyweight Stretch Straight-Fit Jean"/>
    <x v="7"/>
    <s v="Black-heavyweight"/>
    <s v="34W x 32L"/>
    <s v="-"/>
    <s v="AEMN64413M25-Black_34wx32l"/>
    <s v="Amazon Essentials Men's Men's Heavyweight Stretch Straight-Fit Jean, Black-Heavyweight, 34Wx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Q68Y"/>
    <s v="197153304540"/>
    <s v="UPC"/>
    <x v="2"/>
    <s v="Men's Heavyweight Stretch Straight-Fit Jean"/>
    <x v="7"/>
    <s v="Black-heavyweight"/>
    <s v="42W x 32L"/>
    <s v="-"/>
    <s v="AEMN64413M25-Black_42wx32l"/>
    <s v="Amazon Essentials Men's Men's Heavyweight Stretch Straight-Fit Jean, Black-Heavyweight, 42Wx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PZQ1"/>
    <s v="197153304618"/>
    <s v="UPC"/>
    <x v="2"/>
    <s v="Men's Heavyweight Stretch Straight-Fit Jean"/>
    <x v="7"/>
    <s v="Black-heavyweight"/>
    <s v="36W x 34L"/>
    <s v="-"/>
    <s v="AEMN64413M25-Black_36wx34l"/>
    <s v="Amazon Essentials Men's Men's Heavyweight Stretch Straight-Fit Jean, Black-Heavyweight, 36Wx34L"/>
    <s v="Accepted: In stock"/>
    <s v="Ship window (Collect)"/>
    <x v="0"/>
    <x v="0"/>
    <x v="0"/>
    <n v="108"/>
    <n v="108"/>
    <n v="120"/>
    <n v="120"/>
    <n v="0"/>
    <n v="-12"/>
    <m/>
    <m/>
    <m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PR5V"/>
    <s v="197153295831"/>
    <s v="UPC"/>
    <x v="2"/>
    <s v="Men's Low Stretch Straight Fit Jean"/>
    <x v="4"/>
    <s v="Tinted Medium Blue"/>
    <s v="29W x 34L"/>
    <s v="-"/>
    <s v="AEMN49469M25-Tinted Medium Blue_29wx34l"/>
    <s v="Amazon Essentials Men's Straight-Fit Jeans, Midweight Vintage Inspired Denim, Fitted Through Hip and Thigh, Tinted Medium Blue, 29W x 34L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0"/>
    <n v="240"/>
    <n v="0"/>
    <m/>
    <n v="20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PR48"/>
    <s v="197153295565"/>
    <s v="UPC"/>
    <x v="2"/>
    <s v="Men's Low Stretch Straight Fit Jean"/>
    <x v="4"/>
    <s v="Tinted Medium Blue"/>
    <s v="30W x 30L"/>
    <s v="-"/>
    <s v="AEMN49469M25-Tinted Medium Blue_30wx30l"/>
    <s v="Amazon Essentials Men's Straight-Fit Jeans, Midweight Vintage Inspired Denim, Fitted Through Hip and Thigh, Tinted Medium Blue, 30W x 30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PH7Q"/>
    <s v="197153314013"/>
    <s v="UPC"/>
    <x v="2"/>
    <s v="Men's Low Stretch Slim-Fit Jean"/>
    <x v="6"/>
    <s v="Iced Light Wash"/>
    <s v="29W x 30L"/>
    <s v="-"/>
    <s v="AEMN14928M25-Iced Light Wash_29wx30l"/>
    <s v="Amazon Essentials Men's Low Stretch Slim-Fit Jean, Tapered Leg, Vintage Inspired Midweight Denim, Iced Light Wash, 29W x 30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PDDG"/>
    <s v="197153295374"/>
    <s v="UPC"/>
    <x v="2"/>
    <s v="Men's Low Stretch Straight Fit Jean"/>
    <x v="4"/>
    <s v="Tinted Medium Blue"/>
    <s v="30W x 34L"/>
    <s v="-"/>
    <s v="AEMN49469M25-Tinted Medium Blue_30wx34l"/>
    <s v="Amazon Essentials Men's Straight-Fit Jeans, Midweight Vintage Inspired Denim, Fitted Through Hip and Thigh, Tinted Medium Blue, 3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NZ5T"/>
    <s v="197153304816"/>
    <s v="UPC"/>
    <x v="2"/>
    <s v="Men's Heavyweight Stretch Straight-Fit Jean"/>
    <x v="7"/>
    <s v="Black-heavyweight"/>
    <s v="29W x 30L"/>
    <s v="-"/>
    <s v="AEMN64413M25-Black_29wx30l"/>
    <s v="Amazon Essentials Men's Men's Heavyweight Stretch Straight-Fit Jean, Black-Heavyweight, 29WX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NZ23"/>
    <s v="197153296548"/>
    <s v="UPC"/>
    <x v="2"/>
    <s v="Men's Low Stretch Straight Fit Jean"/>
    <x v="4"/>
    <s v="Grey Wash"/>
    <s v="42W x 32L"/>
    <s v="-"/>
    <s v="AEMN49469M25-Grey Wash_42wx32l"/>
    <s v="Amazon Essentials Men's Straight-Fit Jeans, Midweight Vintage Inspired Denim, Fitted Through Hip and Thigh, Grey Wash, 42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NTGG"/>
    <s v="197153302782"/>
    <s v="UPC"/>
    <x v="2"/>
    <s v="Men's Medium Stretch Skinny-Fit Jean"/>
    <x v="5"/>
    <s v="Black"/>
    <s v="38W x 34L"/>
    <s v="-"/>
    <s v="AEMN30315M25-Black_38wx34l"/>
    <s v="Amazon Essentials Men's Men's Heavyweight Stretch Skinny-Fit Jean, Black, 38Wx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MWPQ"/>
    <s v="197153303253"/>
    <s v="UPC"/>
    <x v="2"/>
    <s v="Men's Medium Stretch Skinny-Fit Jean"/>
    <x v="5"/>
    <s v="Tinted Dark Wash"/>
    <s v="28W x 34L"/>
    <s v="-"/>
    <s v="AEMN30315M25-Tinted Dark Wash_28wx34l"/>
    <s v="Amazon Essentials Men's Medium Stretch Skinny-Fit Jeans, Tinted Dark Wash, 2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MRMH"/>
    <s v="197153296685"/>
    <s v="UPC"/>
    <x v="2"/>
    <s v="Men's Low Stretch Straight Fit Jean"/>
    <x v="4"/>
    <s v="Grey Wash"/>
    <s v="33W x 32L"/>
    <s v="-"/>
    <s v="AEMN49469M25-Grey Wash_33wx32l"/>
    <s v="Amazon Essentials Men's Straight-Fit Jeans, Midweight Vintage Inspired Denim, Fitted Through Hip and Thigh, Grey Wash, 33W x 32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MLDN"/>
    <s v="197153304083"/>
    <s v="UPC"/>
    <x v="2"/>
    <s v="Men's Medium Stretch Skinny-Fit Jean"/>
    <x v="5"/>
    <s v="Rinse"/>
    <s v="34W x 28L"/>
    <s v="-"/>
    <s v="AEMN30315M25-Rinse_34wx28l"/>
    <s v="Amazon Essentials Men's Men's Heavyweight Stretch Skinny-Fit Jean, Rinse, 34WX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M4WC"/>
    <s v="197153312644"/>
    <s v="UPC"/>
    <x v="2"/>
    <s v="Men's Low Stretch Slim-Fit Jean"/>
    <x v="6"/>
    <s v="Dark Midnight Wash"/>
    <s v="40W x 28L"/>
    <s v="-"/>
    <s v="AEMN14928M25-Dark Midnight Wash_40wx28l"/>
    <s v="Amazon Essentials Men's Low Stretch Slim-Fit Jean, Tapered Leg, Vintage Inspired Midweight Denim, Dark Midnight Wash, 40W x 28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3LW5C"/>
    <s v="197153303659"/>
    <s v="UPC"/>
    <x v="2"/>
    <s v="Men's Medium Stretch Skinny-Fit Jean"/>
    <x v="5"/>
    <s v="Stone Medium Wash"/>
    <s v="36W x 32L"/>
    <s v="-"/>
    <s v="AEMN30315M25-Stone Medium Wash_36wx32l"/>
    <s v="Amazon Essentials Men's Men's Heavyweight Stretch Skinny-Fit Jean, Stone Medium Wash, 36Wx32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L3Z1"/>
    <s v="197153304861"/>
    <s v="UPC"/>
    <x v="2"/>
    <s v="Men's Heavyweight Stretch Straight-Fit Jean"/>
    <x v="7"/>
    <s v="Black-heavyweight"/>
    <s v="35W x 28L"/>
    <s v="-"/>
    <s v="AEMN64413M25-Black_35wx28l"/>
    <s v="Amazon Essentials Men's Men's Heavyweight Stretch Straight-Fit Jean, Black-Heavyweight, 35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L27S"/>
    <s v="197153296005"/>
    <s v="UPC"/>
    <x v="2"/>
    <s v="Men's Low Stretch Straight Fit Jean"/>
    <x v="4"/>
    <s v="Dark Midnight Wash"/>
    <s v="32W x 30L"/>
    <s v="-"/>
    <s v="AEMN49469M25-Dark Midnight Wash_32wx30l"/>
    <s v="Amazon Essentials Men's Straight-Fit Jeans, Midweight Vintage Inspired Denim, Fitted Through Hip and Thigh, Dark Midnight Wash, 32W x 30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KZRN"/>
    <s v="197153304496"/>
    <s v="UPC"/>
    <x v="2"/>
    <s v="Men's Heavyweight Stretch Straight-Fit Jean"/>
    <x v="7"/>
    <s v="Black-heavyweight"/>
    <s v="32W x 32L"/>
    <s v="-"/>
    <s v="AEMN64413M25-Black_32wx32l"/>
    <s v="Amazon Essentials Men's Men's Heavyweight Stretch Straight-Fit Jean, Black-Heavyweight, 32Wx32L"/>
    <s v="Accepted: In stock"/>
    <s v="Ship window (Collect)"/>
    <x v="0"/>
    <x v="0"/>
    <x v="0"/>
    <n v="144"/>
    <n v="144"/>
    <n v="156"/>
    <n v="156"/>
    <n v="0"/>
    <n v="-12"/>
    <m/>
    <m/>
    <m/>
    <m/>
    <m/>
    <n v="144"/>
    <x v="0"/>
    <n v="144"/>
    <n v="0"/>
    <m/>
    <n v="1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KS5F"/>
    <s v="197153313788"/>
    <s v="UPC"/>
    <x v="2"/>
    <s v="Men's Low Stretch Slim-Fit Jean"/>
    <x v="6"/>
    <s v="Iced Light Wash"/>
    <s v="30W x 34L"/>
    <s v="-"/>
    <s v="AEMN14928M25-Iced Light Wash_30wx34l"/>
    <s v="Amazon Essentials Men's Low Stretch Slim-Fit Jean, Tapered Leg, Vintage Inspired Midweight Denim, Iced Light Wash, 3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KS51"/>
    <s v="197153302898"/>
    <s v="UPC"/>
    <x v="2"/>
    <s v="Men's Medium Stretch Skinny-Fit Jean"/>
    <x v="5"/>
    <s v="Black"/>
    <s v="35W x 28L"/>
    <s v="-"/>
    <s v="AEMN30315M25-Black_35wx28l"/>
    <s v="Amazon Essentials Men's Medium Stretch Skinny-Fit Jeans, Black, 35W x 28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KFTF"/>
    <s v="197153295497"/>
    <s v="UPC"/>
    <x v="2"/>
    <s v="Men's Low Stretch Straight Fit Jean"/>
    <x v="4"/>
    <s v="Tinted Medium Blue"/>
    <s v="28W x 30L"/>
    <s v="-"/>
    <s v="AEMN49469M25-Tinted Medium Blue_28wx30l"/>
    <s v="Amazon Essentials Men's Straight-Fit Jeans, Midweight Vintage Inspired Denim, Fitted Through Hip and Thigh, Tinted Medium Blue, 28W x 30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KD7B"/>
    <s v="197153295602"/>
    <s v="UPC"/>
    <x v="2"/>
    <s v="Men's Low Stretch Straight Fit Jean"/>
    <x v="4"/>
    <s v="Tinted Medium Blue"/>
    <s v="28W x 32L"/>
    <s v="-"/>
    <s v="AEMN49469M25-Tinted Medium Blue_28wx32l"/>
    <s v="Amazon Essentials Men's Straight-Fit Jeans, Midweight Vintage Inspired Denim, Fitted Through Hip and Thigh, Tinted Medium Blue, 28W x 32L"/>
    <s v="Accepted: In stock"/>
    <s v="Ship window (Collect)"/>
    <x v="0"/>
    <x v="0"/>
    <x v="0"/>
    <n v="204"/>
    <n v="204"/>
    <n v="216"/>
    <n v="216"/>
    <n v="0"/>
    <n v="-12"/>
    <m/>
    <m/>
    <n v="0"/>
    <m/>
    <m/>
    <n v="204"/>
    <x v="0"/>
    <n v="204"/>
    <n v="0"/>
    <m/>
    <n v="17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KCTR"/>
    <s v="197153296753"/>
    <s v="UPC"/>
    <x v="2"/>
    <s v="Men's Low Stretch Straight Fit Jean"/>
    <x v="4"/>
    <s v="Grey Wash"/>
    <s v="31W x 28L"/>
    <s v="-"/>
    <s v="AEMN49469M25-Grey Wash_31wx28l"/>
    <s v="Amazon Essentials Men's Straight-Fit Jeans, Midweight Vintage Inspired Denim, Fitted Through Hip and Thigh, Grey Wash, 31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JZT5"/>
    <s v="197153304533"/>
    <s v="UPC"/>
    <x v="2"/>
    <s v="Men's Heavyweight Stretch Straight-Fit Jean"/>
    <x v="7"/>
    <s v="Black-heavyweight"/>
    <s v="38W x 32L"/>
    <s v="-"/>
    <s v="AEMN64413M25-Black_38wx32l"/>
    <s v="Amazon Essentials Men's Men's Heavyweight Stretch Straight-Fit Jean, Black-Heavyweight, 38Wx32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JTLC"/>
    <s v="197153302966"/>
    <s v="UPC"/>
    <x v="2"/>
    <s v="Men's Medium Stretch Skinny-Fit Jean"/>
    <x v="5"/>
    <s v="Black"/>
    <s v="35W x 34L"/>
    <s v="-"/>
    <s v="AEMN30315M25-Black_35wx34l"/>
    <s v="Amazon Essentials Men's Medium Stretch Skinny-Fit Jeans, Black, 35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JNBH"/>
    <s v="197153295381"/>
    <s v="UPC"/>
    <x v="2"/>
    <s v="Men's Low Stretch Straight Fit Jean"/>
    <x v="4"/>
    <s v="Tinted Medium Blue"/>
    <s v="42W x 30L"/>
    <s v="-"/>
    <s v="AEMN49469M25-Tinted Medium Blue_42wx30l"/>
    <s v="Amazon Essentials Men's Straight-Fit Jeans, Midweight Vintage Inspired Denim, Fitted Through Hip and Thigh, Tinted Medium Blue, 42W x 30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J14M"/>
    <s v="197153296586"/>
    <s v="UPC"/>
    <x v="2"/>
    <s v="Men's Low Stretch Straight Fit Jean"/>
    <x v="4"/>
    <s v="Grey Wash"/>
    <s v="32W x 32L"/>
    <s v="-"/>
    <s v="AEMN49469M25-Grey Wash_32wx32l"/>
    <s v="Amazon Essentials Men's Straight-Fit Jeans, Midweight Vintage Inspired Denim, Fitted Through Hip and Thigh, Grey Wash, 32W x 32L"/>
    <s v="Accepted: In stock"/>
    <s v="Ship window (Collect)"/>
    <x v="0"/>
    <x v="0"/>
    <x v="0"/>
    <n v="168"/>
    <n v="168"/>
    <n v="168"/>
    <n v="168"/>
    <n v="0"/>
    <n v="0"/>
    <m/>
    <m/>
    <n v="0"/>
    <m/>
    <m/>
    <n v="168"/>
    <x v="0"/>
    <n v="168"/>
    <n v="0"/>
    <m/>
    <n v="1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HBQG"/>
    <s v="197153296647"/>
    <s v="UPC"/>
    <x v="2"/>
    <s v="Men's Low Stretch Straight Fit Jean"/>
    <x v="4"/>
    <s v="Grey Wash"/>
    <s v="35W x 28L"/>
    <s v="-"/>
    <s v="AEMN49469M25-Grey Wash_35wx28l"/>
    <s v="Amazon Essentials Men's Straight-Fit Jeans, Midweight Vintage Inspired Denim, Fitted Through Hip and Thigh, Grey Wash, 35W x 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H3GW"/>
    <s v="197153304724"/>
    <s v="UPC"/>
    <x v="2"/>
    <s v="Men's Heavyweight Stretch Straight-Fit Jean"/>
    <x v="7"/>
    <s v="Black-heavyweight"/>
    <s v="34W x 34L"/>
    <s v="-"/>
    <s v="AEMN64413M25-Black_34wx34l"/>
    <s v="Amazon Essentials Men's Men's Heavyweight Stretch Straight-Fit Jean, Black-Heavyweight, 34Wx34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H3DF"/>
    <s v="197153304236"/>
    <s v="UPC"/>
    <x v="2"/>
    <s v="Men's Medium Stretch Skinny-Fit Jean"/>
    <x v="5"/>
    <s v="Rinse"/>
    <s v="34W x 32L"/>
    <s v="-"/>
    <s v="AEMN30315M25-Rinse_34wx32l"/>
    <s v="Amazon Essentials Men's Men's Heavyweight Stretch Skinny-Fit Jean, Rinse, 34Wx32L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0"/>
    <n v="240"/>
    <n v="0"/>
    <m/>
    <n v="20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GRT9"/>
    <s v="197153303840"/>
    <s v="UPC"/>
    <x v="2"/>
    <s v="Men's Medium Stretch Skinny-Fit Jean"/>
    <x v="5"/>
    <s v="Stone Medium Wash"/>
    <s v="35W x 30L"/>
    <s v="-"/>
    <s v="AEMN30315M25-Stone Medium Wash_35wx30l"/>
    <s v="Amazon Essentials Men's Men's Heavyweight Stretch Skinny-Fit Jean, Stone Medium Wash, 35WX30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GMWR"/>
    <s v="197153296715"/>
    <s v="UPC"/>
    <x v="2"/>
    <s v="Men's Low Stretch Straight Fit Jean"/>
    <x v="4"/>
    <s v="Grey Wash"/>
    <s v="29W x 30L"/>
    <s v="-"/>
    <s v="AEMN49469M25-Grey Wash_29wx30l"/>
    <s v="Amazon Essentials Men's Straight-Fit Jeans, Midweight Vintage Inspired Denim, Fitted Through Hip and Thigh, Grey Wash, 29W x 30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GMVC"/>
    <s v="197153296463"/>
    <s v="UPC"/>
    <x v="2"/>
    <s v="Men's Low Stretch Straight Fit Jean"/>
    <x v="4"/>
    <s v="Grey Wash"/>
    <s v="34W x 32L"/>
    <s v="-"/>
    <s v="AEMN49469M25-Grey Wash_34wx32l"/>
    <s v="Amazon Essentials Men's Straight-Fit Jeans, Midweight Vintage Inspired Denim, Fitted Through Hip and Thigh, Grey Wash, 34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GMRV"/>
    <s v="197153296081"/>
    <s v="UPC"/>
    <x v="2"/>
    <s v="Men's Low Stretch Straight Fit Jean"/>
    <x v="4"/>
    <s v="Dark Midnight Wash"/>
    <s v="28W x 32L"/>
    <s v="-"/>
    <s v="AEMN49469M25-Dark Midnight Wash_28wx32l"/>
    <s v="Amazon Essentials Men's Straight-Fit Jeans, Midweight Vintage Inspired Denim, Fitted Through Hip and Thigh, Dark Midnight Wash, 28W x 32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FJV7"/>
    <s v="197153296760"/>
    <s v="UPC"/>
    <x v="2"/>
    <s v="Men's Low Stretch Straight Fit Jean"/>
    <x v="4"/>
    <s v="Grey Wash"/>
    <s v="31W x 30L"/>
    <s v="-"/>
    <s v="AEMN49469M25-Grey Wash_31wx30l"/>
    <s v="Amazon Essentials Men's Straight-Fit Jeans, Midweight Vintage Inspired Denim, Fitted Through Hip and Thigh, Grey Wash, 31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FC47"/>
    <s v="197153296739"/>
    <s v="UPC"/>
    <x v="2"/>
    <s v="Men's Low Stretch Straight Fit Jean"/>
    <x v="4"/>
    <s v="Grey Wash"/>
    <s v="31W x 34L"/>
    <s v="-"/>
    <s v="AEMN49469M25-Grey Wash_31wx34l"/>
    <s v="Amazon Essentials Men's Straight-Fit Jeans, Midweight Vintage Inspired Denim, Fitted Through Hip and Thigh, Grey Wash, 31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FBDC"/>
    <s v="197153303703"/>
    <s v="UPC"/>
    <x v="2"/>
    <s v="Men's Medium Stretch Skinny-Fit Jean"/>
    <x v="5"/>
    <s v="Stone Medium Wash"/>
    <s v="38W x 32L"/>
    <s v="-"/>
    <s v="AEMN30315M25-Stone Medium Wash_38wx32l"/>
    <s v="Amazon Essentials Men's Men's Heavyweight Stretch Skinny-Fit Jean, Stone Medium Wash, 38Wx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F5RS"/>
    <s v="197153313917"/>
    <s v="UPC"/>
    <x v="2"/>
    <s v="Men's Low Stretch Slim-Fit Jean"/>
    <x v="6"/>
    <s v="Iced Light Wash"/>
    <s v="32W x 32L"/>
    <s v="-"/>
    <s v="AEMN14928M25-Iced Light Wash_32wx32l"/>
    <s v="Amazon Essentials Men's Low Stretch Slim-Fit Jean, Tapered Leg, Vintage Inspired Midweight Denim, Iced Light Wash, 32W x 32L"/>
    <s v="Accepted: In stock"/>
    <s v="Ship window (Collect)"/>
    <x v="0"/>
    <x v="0"/>
    <x v="0"/>
    <n v="240"/>
    <n v="240"/>
    <n v="216"/>
    <n v="216"/>
    <n v="0"/>
    <n v="24"/>
    <n v="24"/>
    <m/>
    <n v="0"/>
    <m/>
    <m/>
    <n v="216"/>
    <x v="0"/>
    <n v="216"/>
    <n v="24"/>
    <m/>
    <n v="18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DFZ8"/>
    <s v="197153303833"/>
    <s v="UPC"/>
    <x v="2"/>
    <s v="Men's Medium Stretch Skinny-Fit Jean"/>
    <x v="5"/>
    <s v="Stone Medium Wash"/>
    <s v="32W x 28L"/>
    <s v="-"/>
    <s v="AEMN30315M25-Stone Medium Wash_32wx28l"/>
    <s v="Amazon Essentials Men's Men's Heavyweight Stretch Skinny-Fit Jean, Stone Medium Wash, 32WX28L"/>
    <s v="Accepted: In stock"/>
    <s v="Ship window (Collect)"/>
    <x v="0"/>
    <x v="0"/>
    <x v="0"/>
    <n v="144"/>
    <n v="144"/>
    <n v="120"/>
    <n v="120"/>
    <n v="0"/>
    <n v="24"/>
    <n v="24"/>
    <m/>
    <n v="0"/>
    <m/>
    <m/>
    <n v="120"/>
    <x v="0"/>
    <n v="120"/>
    <n v="24"/>
    <m/>
    <n v="10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CYXD"/>
    <s v="197153296067"/>
    <s v="UPC"/>
    <x v="2"/>
    <s v="Men's Low Stretch Straight Fit Jean"/>
    <x v="4"/>
    <s v="Dark Midnight Wash"/>
    <s v="42W x 32L"/>
    <s v="-"/>
    <s v="AEMN49469M25-Dark Midnight Wash_42wx32l"/>
    <s v="Amazon Essentials Men's Straight-Fit Jeans, Midweight Vintage Inspired Denim, Fitted Through Hip and Thigh, Dark Midnight Wash, 42W x 32L"/>
    <s v="Accepted: In stock"/>
    <s v="Ship window (Collect)"/>
    <x v="0"/>
    <x v="0"/>
    <x v="0"/>
    <n v="276"/>
    <n v="276"/>
    <n v="252"/>
    <n v="252"/>
    <n v="0"/>
    <n v="24"/>
    <n v="24"/>
    <m/>
    <n v="0"/>
    <m/>
    <m/>
    <n v="252"/>
    <x v="0"/>
    <n v="252"/>
    <n v="24"/>
    <m/>
    <n v="21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CLHV"/>
    <s v="197153302799"/>
    <s v="UPC"/>
    <x v="2"/>
    <s v="Men's Medium Stretch Skinny-Fit Jean"/>
    <x v="5"/>
    <s v="Black"/>
    <s v="34W x 32L"/>
    <s v="-"/>
    <s v="AEMN30315M25-Black_34wx32l"/>
    <s v="Amazon Essentials Men's Men's Heavyweight Stretch Skinny-Fit Jean, Black, 34Wx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CFZY"/>
    <s v="197153295398"/>
    <s v="UPC"/>
    <x v="2"/>
    <s v="Men's Low Stretch Straight Fit Jean"/>
    <x v="4"/>
    <s v="Tinted Medium Blue"/>
    <s v="28W x 28L"/>
    <s v="-"/>
    <s v="AEMN49469M25-Tinted Medium Blue_28wx28l"/>
    <s v="Amazon Essentials Men's Straight-Fit Jeans, Midweight Vintage Inspired Denim, Fitted Through Hip and Thigh, Tinted Medium Blue, 28W x 28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CF2K"/>
    <s v="197153303635"/>
    <s v="UPC"/>
    <x v="2"/>
    <s v="Men's Medium Stretch Skinny-Fit Jean"/>
    <x v="5"/>
    <s v="Stone Medium Wash"/>
    <s v="40W x 30L"/>
    <s v="-"/>
    <s v="AEMN30315M25-Stone Medium Wash_40wx30l"/>
    <s v="Amazon Essentials Men's Men's Heavyweight Stretch Skinny-Fit Jean, Stone Medium Wash, 40Wx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C78C"/>
    <s v="197153304021"/>
    <s v="UPC"/>
    <x v="2"/>
    <s v="Men's Medium Stretch Skinny-Fit Jean"/>
    <x v="5"/>
    <s v="Rinse"/>
    <s v="38W x 30L"/>
    <s v="-"/>
    <s v="AEMN30315M25-Rinse_38wx30l"/>
    <s v="Amazon Essentials Men's Men's Heavyweight Stretch Skinny-Fit Jean, Rinse, 38Wx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BQ7F"/>
    <s v="197153303611"/>
    <s v="UPC"/>
    <x v="2"/>
    <s v="Men's Medium Stretch Skinny-Fit Jean"/>
    <x v="5"/>
    <s v="Stone Medium Wash"/>
    <s v="30W x 34L"/>
    <s v="-"/>
    <s v="AEMN30315M25-Stone Medium Wash_30wx34l"/>
    <s v="Amazon Essentials Men's Men's Heavyweight Stretch Skinny-Fit Jean, Stone Medium Wash, 30Wx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BJGG"/>
    <s v="197153302850"/>
    <s v="UPC"/>
    <x v="2"/>
    <s v="Men's Medium Stretch Skinny-Fit Jean"/>
    <x v="5"/>
    <s v="Black"/>
    <s v="28W x 28L"/>
    <s v="-"/>
    <s v="AEMN30315M25-Black_28wx28l"/>
    <s v="Amazon Essentials Men's Men's Heavyweight Stretch Skinny-Fit Jean, Black, 28WX28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BJ25"/>
    <s v="197153302942"/>
    <s v="UPC"/>
    <x v="2"/>
    <s v="Men's Medium Stretch Skinny-Fit Jean"/>
    <x v="5"/>
    <s v="Black"/>
    <s v="33W x 28L"/>
    <s v="-"/>
    <s v="AEMN30315M25-Black_33wx28l"/>
    <s v="Amazon Essentials Men's Men's Heavyweight Stretch Skinny-Fit Jean, Black, 33WX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B22Q"/>
    <s v="197153303406"/>
    <s v="UPC"/>
    <x v="2"/>
    <s v="Men's Medium Stretch Skinny-Fit Jean"/>
    <x v="5"/>
    <s v="Tinted Dark Wash"/>
    <s v="31W x 32L"/>
    <s v="-"/>
    <s v="AEMN30315M25-Tinted Dark Wash_31wx32l"/>
    <s v="Amazon Essentials Men's Men's Heavyweight Stretch Skinny-Fit Jean, Tinted Dark Wash, 31WX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9GR5"/>
    <s v="197153296562"/>
    <s v="UPC"/>
    <x v="2"/>
    <s v="Men's Low Stretch Straight Fit Jean"/>
    <x v="4"/>
    <s v="Grey Wash"/>
    <s v="28W x 32L"/>
    <s v="-"/>
    <s v="AEMN49469M25-Grey Wash_28wx32l"/>
    <s v="Amazon Essentials Men's Straight-Fit Jeans, Midweight Vintage Inspired Denim, Fitted Through Hip and Thigh, Grey Wash, 28W x 32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9DJQ"/>
    <s v="197153296333"/>
    <s v="UPC"/>
    <x v="2"/>
    <s v="Men's Low Stretch Straight Fit Jean"/>
    <x v="4"/>
    <s v="Grey Wash"/>
    <s v="30W x 34L"/>
    <s v="-"/>
    <s v="AEMN49469M25-Grey Wash_30wx34l"/>
    <s v="Amazon Essentials Men's Straight-Fit Jeans, Midweight Vintage Inspired Denim, Fitted Through Hip and Thigh, Grey Wash, 30W x 34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95KJ"/>
    <s v="197153295817"/>
    <s v="UPC"/>
    <x v="2"/>
    <s v="Men's Low Stretch Straight Fit Jean"/>
    <x v="4"/>
    <s v="Tinted Medium Blue"/>
    <s v="29W x 32L"/>
    <s v="-"/>
    <s v="AEMN49469M25-Tinted Medium Blue_29wx32l"/>
    <s v="Amazon Essentials Men's Straight-Fit Jeans, Midweight Vintage Inspired Denim, Fitted Through Hip and Thigh, Tinted Medium Blue, 29W x 32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956H"/>
    <s v="197153304311"/>
    <s v="UPC"/>
    <x v="2"/>
    <s v="Men's Medium Stretch Skinny-Fit Jean"/>
    <x v="5"/>
    <s v="Rinse"/>
    <s v="32W x 28L"/>
    <s v="-"/>
    <s v="AEMN30315M25-Rinse_32wx28l"/>
    <s v="Amazon Essentials Men's Men's Heavyweight Stretch Skinny-Fit Jean, Rinse, 32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9529"/>
    <s v="197153296104"/>
    <s v="UPC"/>
    <x v="2"/>
    <s v="Men's Low Stretch Straight Fit Jean"/>
    <x v="4"/>
    <s v="Dark Midnight Wash"/>
    <s v="32W x 32L"/>
    <s v="-"/>
    <s v="AEMN49469M25-Dark Midnight Wash_32wx32l"/>
    <s v="Amazon Essentials Men's Straight-Fit Jeans, Midweight Vintage Inspired Denim, Fitted Through Hip and Thigh, Dark Midnight Wash, 32W x 32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8KSN"/>
    <s v="197153304168"/>
    <s v="UPC"/>
    <x v="2"/>
    <s v="Men's Medium Stretch Skinny-Fit Jean"/>
    <x v="5"/>
    <s v="Rinse"/>
    <s v="40W x 28L"/>
    <s v="-"/>
    <s v="AEMN30315M25-Rinse_40wx28l"/>
    <s v="Amazon Essentials Men's Men's Heavyweight Stretch Skinny-Fit Jean, Rinse, 40WX28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8K8K"/>
    <s v="197153296579"/>
    <s v="UPC"/>
    <x v="2"/>
    <s v="Men's Low Stretch Straight Fit Jean"/>
    <x v="4"/>
    <s v="Grey Wash"/>
    <s v="38W x 32L"/>
    <s v="-"/>
    <s v="AEMN49469M25-Grey Wash_38wx32l"/>
    <s v="Amazon Essentials Men's Straight-Fit Jeans, Midweight Vintage Inspired Denim, Fitted Through Hip and Thigh, Grey Wash, 38W x 32L"/>
    <s v="Accepted: In stock"/>
    <s v="Ship window (Collect)"/>
    <x v="0"/>
    <x v="0"/>
    <x v="0"/>
    <n v="192"/>
    <n v="192"/>
    <n v="204"/>
    <n v="204"/>
    <n v="0"/>
    <n v="-12"/>
    <m/>
    <m/>
    <m/>
    <m/>
    <m/>
    <n v="192"/>
    <x v="0"/>
    <n v="192"/>
    <n v="0"/>
    <m/>
    <n v="16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82RC"/>
    <s v="197153296302"/>
    <s v="UPC"/>
    <x v="2"/>
    <s v="Men's Low Stretch Straight Fit Jean"/>
    <x v="4"/>
    <s v="Dark Midnight Wash"/>
    <s v="33W x 30L"/>
    <s v="-"/>
    <s v="AEMN49469M25-Dark Midnight Wash_33wx30l"/>
    <s v="Amazon Essentials Men's Straight-Fit Jeans, Midweight Vintage Inspired Denim, Fitted Through Hip and Thigh, Dark Midnight Wash, 33W x 30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7TD5"/>
    <s v="197153304489"/>
    <s v="UPC"/>
    <x v="2"/>
    <s v="Men's Heavyweight Stretch Straight-Fit Jean"/>
    <x v="7"/>
    <s v="Black-heavyweight"/>
    <s v="30W x 34L"/>
    <s v="-"/>
    <s v="AEMN64413M25-Black_30wx34l"/>
    <s v="Amazon Essentials Men's Men's Heavyweight Stretch Straight-Fit Jean, Black-Heavyweight, 30Wx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7PSS"/>
    <s v="197153303451"/>
    <s v="UPC"/>
    <x v="2"/>
    <s v="Men's Medium Stretch Skinny-Fit Jean"/>
    <x v="5"/>
    <s v="Tinted Dark Wash"/>
    <s v="31W x 28L"/>
    <s v="-"/>
    <s v="AEMN30315M25-Tinted Dark Wash_31wx28l"/>
    <s v="Amazon Essentials Men's Men's Heavyweight Stretch Skinny-Fit Jean, Tinted Dark Wash, 31WX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768S"/>
    <s v="197153303895"/>
    <s v="UPC"/>
    <x v="2"/>
    <s v="Men's Medium Stretch Skinny-Fit Jean"/>
    <x v="5"/>
    <s v="Stone Medium Wash"/>
    <s v="29W x 30L"/>
    <s v="-"/>
    <s v="AEMN30315M25-Stone Medium Wash_29wx30l"/>
    <s v="Amazon Essentials Men's Men's Heavyweight Stretch Skinny-Fit Jean, Stone Medium Wash, 29WX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6SL2"/>
    <s v="197153303093"/>
    <s v="UPC"/>
    <x v="2"/>
    <s v="Men's Medium Stretch Skinny-Fit Jean"/>
    <x v="5"/>
    <s v="Tinted Dark Wash"/>
    <s v="36W x 28L"/>
    <s v="-"/>
    <s v="AEMN30315M25-Tinted Dark Wash_36wx28l"/>
    <s v="Amazon Essentials Men's Men's Heavyweight Stretch Skinny-Fit Jean, Tinted Dark Wash, 36WX28L"/>
    <s v="Accepted: In stock"/>
    <s v="Ship window (Collect)"/>
    <x v="0"/>
    <x v="0"/>
    <x v="0"/>
    <n v="180"/>
    <n v="180"/>
    <n v="168"/>
    <n v="168"/>
    <n v="0"/>
    <n v="12"/>
    <n v="12"/>
    <m/>
    <n v="0"/>
    <m/>
    <m/>
    <n v="168"/>
    <x v="0"/>
    <n v="168"/>
    <n v="12"/>
    <m/>
    <n v="14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36K69"/>
    <s v="197153303031"/>
    <s v="UPC"/>
    <x v="2"/>
    <s v="Men's Medium Stretch Skinny-Fit Jean"/>
    <x v="5"/>
    <s v="Black"/>
    <s v="33W x 30L"/>
    <s v="-"/>
    <s v="AEMN30315M25-Black_33wx30l"/>
    <s v="Amazon Essentials Men's Men's Heavyweight Stretch Skinny-Fit Jean, Black, 33WX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363WQ"/>
    <s v="197153304281"/>
    <s v="UPC"/>
    <x v="2"/>
    <s v="Men's Medium Stretch Skinny-Fit Jean"/>
    <x v="5"/>
    <s v="Rinse"/>
    <s v="34W x 30L"/>
    <s v="-"/>
    <s v="AEMN30315M25-Rinse_34wx30l"/>
    <s v="Amazon Essentials Men's Men's Heavyweight Stretch Skinny-Fit Jean, Rinse, 34Wx30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5TY9"/>
    <s v="197153303697"/>
    <s v="UPC"/>
    <x v="2"/>
    <s v="Men's Medium Stretch Skinny-Fit Jean"/>
    <x v="5"/>
    <s v="Stone Medium Wash"/>
    <s v="30W x 30L"/>
    <s v="-"/>
    <s v="AEMN30315M25-Stone Medium Wash_30wx30l"/>
    <s v="Amazon Essentials Men's Men's Heavyweight Stretch Skinny-Fit Jean, Stone Medium Wash, 30Wx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5L85"/>
    <s v="197153304434"/>
    <s v="UPC"/>
    <x v="2"/>
    <s v="Men's Medium Stretch Skinny-Fit Jean"/>
    <x v="5"/>
    <s v="Rinse"/>
    <s v="29W x 28L"/>
    <s v="-"/>
    <s v="AEMN30315M25-Rinse_29wx28l"/>
    <s v="Amazon Essentials Men's Medium Stretch Skinny-Fit Jeans, Rinse, 29W x 28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343X6"/>
    <s v="197153313825"/>
    <s v="UPC"/>
    <x v="2"/>
    <s v="Men's Low Stretch Slim-Fit Jean"/>
    <x v="6"/>
    <s v="Iced Light Wash"/>
    <s v="36W x 30L"/>
    <s v="-"/>
    <s v="AEMN14928M25-Iced Light Wash_36wx30l"/>
    <s v="Amazon Essentials Men's Low Stretch Slim-Fit Jean, Tapered Leg, Vintage Inspired Midweight Denim, Iced Light Wash, 36W x 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3JKT"/>
    <s v="197153313078"/>
    <s v="UPC"/>
    <x v="2"/>
    <s v="Men's Low Stretch Slim-Fit Jean"/>
    <x v="6"/>
    <s v="Dark Midnight Wash"/>
    <s v="35W x 28L"/>
    <s v="-"/>
    <s v="AEMN14928M25-Dark Midnight Wash_35wx28l"/>
    <s v="Amazon Essentials Men's Low Stretch Slim-Fit Jean, Tapered Leg, Vintage Inspired Midweight Denim, Dark Midnight Wash, 35W x 28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33FSP"/>
    <s v="197153296692"/>
    <s v="UPC"/>
    <x v="2"/>
    <s v="Men's Low Stretch Straight Fit Jean"/>
    <x v="4"/>
    <s v="Grey Wash"/>
    <s v="33W x 34L"/>
    <s v="-"/>
    <s v="AEMN49469M25-Grey Wash_33wx34l"/>
    <s v="Amazon Essentials Men's Straight-Fit Jeans, Midweight Vintage Inspired Denim, Fitted Through Hip and Thigh, Grey Wash, 33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32VPS"/>
    <s v="197153304847"/>
    <s v="UPC"/>
    <x v="2"/>
    <s v="Men's Heavyweight Stretch Straight-Fit Jean"/>
    <x v="7"/>
    <s v="Black-heavyweight"/>
    <s v="35W x 32L"/>
    <s v="-"/>
    <s v="AEMN64413M25-Black_35wx32l"/>
    <s v="Amazon Essentials Men's Men's Heavyweight Stretch Straight-Fit Jean, Black-Heavyweight, 35WX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2RRK"/>
    <s v="197153303864"/>
    <s v="UPC"/>
    <x v="2"/>
    <s v="Men's Medium Stretch Skinny-Fit Jean"/>
    <x v="5"/>
    <s v="Stone Medium Wash"/>
    <s v="33W x 34L"/>
    <s v="-"/>
    <s v="AEMN30315M25-Stone Medium Wash_33wx34l"/>
    <s v="Amazon Essentials Men's Men's Heavyweight Stretch Skinny-Fit Jean, Stone Medium Wash, 33WX34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2MLM"/>
    <s v="197153303710"/>
    <s v="UPC"/>
    <x v="2"/>
    <s v="Men's Medium Stretch Skinny-Fit Jean"/>
    <x v="5"/>
    <s v="Stone Medium Wash"/>
    <s v="42W x 30L"/>
    <s v="-"/>
    <s v="AEMN30315M25-Stone Medium Wash_42wx30l"/>
    <s v="Amazon Essentials Men's Men's Heavyweight Stretch Skinny-Fit Jean, Stone Medium Wash, 42Wx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32G69"/>
    <s v="197153295510"/>
    <s v="UPC"/>
    <x v="2"/>
    <s v="Men's Low Stretch Straight Fit Jean"/>
    <x v="4"/>
    <s v="Tinted Medium Blue"/>
    <s v="34W x 34L"/>
    <s v="-"/>
    <s v="AEMN49469M25-Tinted Medium Blue_34wx34l"/>
    <s v="Amazon Essentials Men's Straight-Fit Jeans, Midweight Vintage Inspired Denim, Fitted Through Hip and Thigh, Tinted Medium Blue, 34W x 34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277L"/>
    <s v="197153304793"/>
    <s v="UPC"/>
    <x v="2"/>
    <s v="Men's Heavyweight Stretch Straight-Fit Jean"/>
    <x v="7"/>
    <s v="Black-heavyweight"/>
    <s v="40W x 28L"/>
    <s v="-"/>
    <s v="AEMN64413M25-Black_40wx28l"/>
    <s v="Amazon Essentials Men's Men's Heavyweight Stretch Straight-Fit Jean, Black-Heavyweight, 40WX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31TS3"/>
    <s v="197153312668"/>
    <s v="UPC"/>
    <x v="2"/>
    <s v="Men's Low Stretch Slim-Fit Jean"/>
    <x v="6"/>
    <s v="Dark Midnight Wash"/>
    <s v="28W x 34L"/>
    <s v="-"/>
    <s v="AEMN14928M25-Dark Midnight Wash_28wx34l"/>
    <s v="Amazon Essentials Men's Low Stretch Slim-Fit Jean, Tapered Leg, Vintage Inspired Midweight Denim, Dark Midnight Wash, 2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31PMC"/>
    <s v="197153295572"/>
    <s v="UPC"/>
    <x v="2"/>
    <s v="Men's Low Stretch Straight Fit Jean"/>
    <x v="4"/>
    <s v="Tinted Medium Blue"/>
    <s v="40W x 32L"/>
    <s v="-"/>
    <s v="AEMN49469M25-Tinted Medium Blue_40wx32l"/>
    <s v="Amazon Essentials Men's Straight-Fit Jeans, Midweight Vintage Inspired Denim, Fitted Through Hip and Thigh, Tinted Medium Blue, 40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1MWG"/>
    <s v="197153295879"/>
    <s v="UPC"/>
    <x v="2"/>
    <s v="Men's Low Stretch Straight Fit Jean"/>
    <x v="4"/>
    <s v="Dark Midnight Wash"/>
    <s v="28W x 28L"/>
    <s v="-"/>
    <s v="AEMN49469M25-Dark Midnight Wash_28wx28l"/>
    <s v="Amazon Essentials Men's Straight-Fit Jeans, Midweight Vintage Inspired Denim, Fitted Through Hip and Thigh, Dark Midnight Wash, 28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31HG5"/>
    <s v="197153295725"/>
    <s v="UPC"/>
    <x v="2"/>
    <s v="Men's Low Stretch Straight Fit Jean"/>
    <x v="4"/>
    <s v="Tinted Medium Blue"/>
    <s v="33W x 32L"/>
    <s v="-"/>
    <s v="AEMN49469M25-Tinted Medium Blue_33wx32l"/>
    <s v="Amazon Essentials Men's Straight-Fit Jeans, Midweight Vintage Inspired Denim, Fitted Through Hip and Thigh, Tinted Medium Blue, 33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31GY1"/>
    <s v="197153313641"/>
    <s v="UPC"/>
    <x v="2"/>
    <s v="Men's Low Stretch Slim-Fit Jean"/>
    <x v="6"/>
    <s v="Iced Light Wash"/>
    <s v="34W x 32L"/>
    <s v="-"/>
    <s v="AEMN14928M25-Iced Light Wash_34wx32l"/>
    <s v="Amazon Essentials Men's Low Stretch Slim-Fit Jean, Tapered Leg, Vintage Inspired Midweight Denim, Iced Light Wash, 34W x 32L"/>
    <s v="Accepted: In stock"/>
    <s v="Ship window (Collect)"/>
    <x v="0"/>
    <x v="0"/>
    <x v="0"/>
    <n v="252"/>
    <n v="252"/>
    <n v="228"/>
    <n v="228"/>
    <n v="0"/>
    <n v="24"/>
    <n v="24"/>
    <m/>
    <n v="0"/>
    <m/>
    <m/>
    <n v="228"/>
    <x v="0"/>
    <n v="228"/>
    <n v="24"/>
    <m/>
    <n v="19"/>
    <n v="10.66"/>
    <s v="USD"/>
    <n v="10.66"/>
    <b v="1"/>
    <m/>
    <m/>
    <s v="TH"/>
    <x v="0"/>
    <s v="EGMCL"/>
    <s v="EG5-10326"/>
    <x v="2"/>
    <x v="2"/>
  </r>
  <r>
    <x v="2"/>
    <x v="2"/>
    <x v="0"/>
    <s v="ITHC - SI RACHA, Bangkok"/>
    <s v="B0DX23194L"/>
    <s v="197153296470"/>
    <s v="UPC"/>
    <x v="2"/>
    <s v="Men's Low Stretch Straight Fit Jean"/>
    <x v="4"/>
    <s v="Grey Wash"/>
    <s v="34W x 34L"/>
    <s v="-"/>
    <s v="AEMN49469M25-Grey Wash_34wx34l"/>
    <s v="Amazon Essentials Men's Straight-Fit Jeans, Midweight Vintage Inspired Denim, Fitted Through Hip and Thigh, Grey Wash, 34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ZZLJ"/>
    <s v="197153304380"/>
    <s v="UPC"/>
    <x v="2"/>
    <s v="Men's Medium Stretch Skinny-Fit Jean"/>
    <x v="5"/>
    <s v="Rinse"/>
    <s v="33W x 28L"/>
    <s v="-"/>
    <s v="AEMN30315M25-Rinse_33wx28l"/>
    <s v="Amazon Essentials Men's Men's Heavyweight Stretch Skinny-Fit Jean, Rinse, 33WX28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2ZZKQ"/>
    <s v="197153296456"/>
    <s v="UPC"/>
    <x v="2"/>
    <s v="Men's Low Stretch Straight Fit Jean"/>
    <x v="4"/>
    <s v="Grey Wash"/>
    <s v="28W x 30L"/>
    <s v="-"/>
    <s v="AEMN49469M25-Grey Wash_28wx30l"/>
    <s v="Amazon Essentials Men's Straight-Fit Jeans, Midweight Vintage Inspired Denim, Fitted Through Hip and Thigh, Grey Wash, 28W x 30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ZTY4"/>
    <s v="197153295732"/>
    <s v="UPC"/>
    <x v="2"/>
    <s v="Men's Low Stretch Straight Fit Jean"/>
    <x v="4"/>
    <s v="Tinted Medium Blue"/>
    <s v="33W x 34L"/>
    <s v="-"/>
    <s v="AEMN49469M25-Tinted Medium Blue_33wx34l"/>
    <s v="Amazon Essentials Men's Straight-Fit Jeans, Midweight Vintage Inspired Denim, Fitted Through Hip and Thigh, Tinted Medium Blue, 33W x 34L"/>
    <s v="Accepted: In stock"/>
    <s v="Ship window (Collect)"/>
    <x v="0"/>
    <x v="0"/>
    <x v="0"/>
    <n v="180"/>
    <n v="180"/>
    <n v="192"/>
    <n v="192"/>
    <n v="0"/>
    <n v="-12"/>
    <m/>
    <m/>
    <n v="0"/>
    <m/>
    <m/>
    <n v="180"/>
    <x v="0"/>
    <n v="180"/>
    <n v="0"/>
    <m/>
    <n v="15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2ZR14"/>
    <s v="197153296616"/>
    <s v="UPC"/>
    <x v="2"/>
    <s v="Men's Low Stretch Straight Fit Jean"/>
    <x v="4"/>
    <s v="Grey Wash"/>
    <s v="36W x 28L"/>
    <s v="-"/>
    <s v="AEMN49469M25-Grey Wash_36wx28l"/>
    <s v="Amazon Essentials Men's Straight-Fit Jeans, Midweight Vintage Inspired Denim, Fitted Through Hip and Thigh, Grey Wash, 36W x 28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YVYL"/>
    <s v="197153304755"/>
    <s v="UPC"/>
    <x v="2"/>
    <s v="Men's Heavyweight Stretch Straight-Fit Jean"/>
    <x v="7"/>
    <s v="Black-heavyweight"/>
    <s v="36W x 30L"/>
    <s v="-"/>
    <s v="AEMN64413M25-Black_36wx30l"/>
    <s v="Amazon Essentials Men's Men's Heavyweight Stretch Straight-Fit Jean, Black-Heavyweight, 36Wx30L"/>
    <s v="Accepted: In stock"/>
    <s v="Ship window (Collect)"/>
    <x v="0"/>
    <x v="0"/>
    <x v="0"/>
    <n v="144"/>
    <n v="144"/>
    <n v="156"/>
    <n v="156"/>
    <n v="0"/>
    <n v="-12"/>
    <m/>
    <m/>
    <m/>
    <m/>
    <m/>
    <n v="144"/>
    <x v="0"/>
    <n v="144"/>
    <n v="0"/>
    <m/>
    <n v="1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YB8T"/>
    <s v="197153304601"/>
    <s v="UPC"/>
    <x v="2"/>
    <s v="Men's Heavyweight Stretch Straight-Fit Jean"/>
    <x v="7"/>
    <s v="Black-heavyweight"/>
    <s v="28W x 30L"/>
    <s v="-"/>
    <s v="AEMN64413M25-Black_28wx30l"/>
    <s v="Amazon Essentials Men's Men's Heavyweight Stretch Straight-Fit Jean, Black-Heavyweight, 28Wx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Y6LW"/>
    <s v="197153296371"/>
    <s v="UPC"/>
    <x v="2"/>
    <s v="Men's Low Stretch Straight Fit Jean"/>
    <x v="4"/>
    <s v="Grey Wash"/>
    <s v="42W x 28L"/>
    <s v="-"/>
    <s v="AEMN49469M25-Grey Wash_42wx28l"/>
    <s v="Amazon Essentials Men's Straight-Fit Jeans, Midweight Vintage Inspired Denim, Fitted Through Hip and Thigh, Grey Wash, 42W x 28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XXKS"/>
    <s v="197153296609"/>
    <s v="UPC"/>
    <x v="2"/>
    <s v="Men's Low Stretch Straight Fit Jean"/>
    <x v="4"/>
    <s v="Grey Wash"/>
    <s v="32W x 28L"/>
    <s v="-"/>
    <s v="AEMN49469M25-Grey Wash_32wx28l"/>
    <s v="Amazon Essentials Men's Straight-Fit Jeans, Midweight Vintage Inspired Denim, Fitted Through Hip and Thigh, Grey Wash, 32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WV27"/>
    <s v="197153296319"/>
    <s v="UPC"/>
    <x v="2"/>
    <s v="Men's Low Stretch Straight Fit Jean"/>
    <x v="4"/>
    <s v="Dark Midnight Wash"/>
    <s v="29W x 34L"/>
    <s v="-"/>
    <s v="AEMN49469M25-Dark Midnight Wash_29wx34l"/>
    <s v="Amazon Essentials Men's Straight-Fit Jeans, Midweight Vintage Inspired Denim, Fitted Through Hip and Thigh, Dark Midnight Wash, 29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WCN4"/>
    <s v="197153313061"/>
    <s v="UPC"/>
    <x v="2"/>
    <s v="Men's Low Stretch Slim-Fit Jean"/>
    <x v="6"/>
    <s v="Dark Midnight Wash"/>
    <s v="33W x 28L"/>
    <s v="-"/>
    <s v="AEMN14928M25-Dark Midnight Wash_33wx28l"/>
    <s v="Amazon Essentials Men's Low Stretch Slim-Fit Jean, Tapered Leg, Vintage Inspired Midweight Denim, Dark Midnight Wash, 33W x 28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2TT88"/>
    <s v="197153304564"/>
    <s v="UPC"/>
    <x v="2"/>
    <s v="Men's Heavyweight Stretch Straight-Fit Jean"/>
    <x v="7"/>
    <s v="Black-heavyweight"/>
    <s v="36W x 28L"/>
    <s v="-"/>
    <s v="AEMN64413M25-Black_36wx28l"/>
    <s v="Amazon Essentials Men's Men's Heavyweight Stretch Straight-Fit Jean, Black-Heavyweight, 36WX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TQFX"/>
    <s v="197153296043"/>
    <s v="UPC"/>
    <x v="2"/>
    <s v="Men's Low Stretch Straight Fit Jean"/>
    <x v="4"/>
    <s v="Dark Midnight Wash"/>
    <s v="30W x 30L"/>
    <s v="-"/>
    <s v="AEMN49469M25-Dark Midnight Wash_30wx30l"/>
    <s v="Amazon Essentials Men's Straight-Fit Jeans, Midweight Vintage Inspired Denim, Fitted Through Hip and Thigh, Dark Midnight Wash, 30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TKP5"/>
    <s v="197153304397"/>
    <s v="UPC"/>
    <x v="2"/>
    <s v="Men's Medium Stretch Skinny-Fit Jean"/>
    <x v="5"/>
    <s v="Rinse"/>
    <s v="33W x 32L"/>
    <s v="-"/>
    <s v="AEMN30315M25-Rinse_33wx32l"/>
    <s v="Amazon Essentials Men's Medium Stretch Skinny-Fit Jeans, Rinse, 33W x 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2T78C"/>
    <s v="197153296197"/>
    <s v="UPC"/>
    <x v="2"/>
    <s v="Men's Low Stretch Straight Fit Jean"/>
    <x v="4"/>
    <s v="Dark Midnight Wash"/>
    <s v="35W x 32L"/>
    <s v="-"/>
    <s v="AEMN49469M25-Dark Midnight Wash_35wx32l"/>
    <s v="Amazon Essentials Men's Straight-Fit Jeans, Midweight Vintage Inspired Denim, Fitted Through Hip and Thigh, Dark Midnight Wash, 35W x 32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RWCB"/>
    <s v="197153304953"/>
    <s v="UPC"/>
    <x v="2"/>
    <s v="Men's Heavyweight Stretch Straight-Fit Jean"/>
    <x v="7"/>
    <s v="Black-heavyweight"/>
    <s v="31W x 28L"/>
    <s v="-"/>
    <s v="AEMN64413M25-Black_31wx28l"/>
    <s v="Amazon Essentials Men's Men's Heavyweight Stretch Straight-Fit Jean, Black-Heavyweight, 31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R1ZL"/>
    <s v="197153296289"/>
    <s v="UPC"/>
    <x v="2"/>
    <s v="Men's Low Stretch Straight Fit Jean"/>
    <x v="4"/>
    <s v="Dark Midnight Wash"/>
    <s v="31W x 30L"/>
    <s v="-"/>
    <s v="AEMN49469M25-Dark Midnight Wash_31wx30l"/>
    <s v="Amazon Essentials Men's Straight-Fit Jeans, Midweight Vintage Inspired Denim, Fitted Through Hip and Thigh, Dark Midnight Wash, 31W x 30L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QB96"/>
    <s v="197153296555"/>
    <s v="UPC"/>
    <x v="2"/>
    <s v="Men's Low Stretch Straight Fit Jean"/>
    <x v="4"/>
    <s v="Grey Wash"/>
    <s v="42W x 34L"/>
    <s v="-"/>
    <s v="AEMN49469M25-Grey Wash_42wx34l"/>
    <s v="Amazon Essentials Men's Straight-Fit Jeans, Midweight Vintage Inspired Denim, Fitted Through Hip and Thigh, Grey Wash, 42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QB7Z"/>
    <s v="197153296234"/>
    <s v="UPC"/>
    <x v="2"/>
    <s v="Men's Low Stretch Straight Fit Jean"/>
    <x v="4"/>
    <s v="Dark Midnight Wash"/>
    <s v="29W x 30L"/>
    <s v="-"/>
    <s v="AEMN49469M25-Dark Midnight Wash_29wx30l"/>
    <s v="Amazon Essentials Men's Straight-Fit Jeans, Midweight Vintage Inspired Denim, Fitted Through Hip and Thigh, Dark Midnight Wash, 29W x 30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PSS6"/>
    <s v="197153304878"/>
    <s v="UPC"/>
    <x v="2"/>
    <s v="Men's Heavyweight Stretch Straight-Fit Jean"/>
    <x v="7"/>
    <s v="Black-heavyweight"/>
    <s v="33W x 34L"/>
    <s v="-"/>
    <s v="AEMN64413M25-Black_33wx34l"/>
    <s v="Amazon Essentials Men's Men's Heavyweight Stretch Straight-Fit Jean, Black-Heavyweight, 33WX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PL4L"/>
    <s v="197153312927"/>
    <s v="UPC"/>
    <x v="2"/>
    <s v="Men's Low Stretch Slim-Fit Jean"/>
    <x v="6"/>
    <s v="Dark Midnight Wash"/>
    <s v="34W x 30L"/>
    <s v="-"/>
    <s v="AEMN14928M25-Dark Midnight Wash_34wx30l"/>
    <s v="Amazon Essentials Men's Low Stretch Slim-Fit Jean, Tapered Leg, Vintage Inspired Midweight Denim, Dark Midnight Wash, 34W x 30L"/>
    <s v="Accepted: In stock"/>
    <s v="Ship window (Collect)"/>
    <x v="0"/>
    <x v="0"/>
    <x v="0"/>
    <n v="348"/>
    <n v="348"/>
    <n v="372"/>
    <n v="372"/>
    <n v="0"/>
    <n v="-24"/>
    <m/>
    <m/>
    <n v="0"/>
    <m/>
    <m/>
    <n v="348"/>
    <x v="0"/>
    <n v="348"/>
    <n v="0"/>
    <m/>
    <n v="29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2PH77"/>
    <s v="197153312859"/>
    <s v="UPC"/>
    <x v="2"/>
    <s v="Men's Low Stretch Slim-Fit Jean"/>
    <x v="6"/>
    <s v="Dark Midnight Wash"/>
    <s v="28W x 32L"/>
    <s v="-"/>
    <s v="AEMN14928M25-Dark Midnight Wash_28wx32l"/>
    <s v="Amazon Essentials Men's Low Stretch Slim-Fit Jean, Tapered Leg, Vintage Inspired Midweight Denim, Dark Midnight Wash, 28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49"/>
    <s v="USD"/>
    <n v="10.49"/>
    <b v="1"/>
    <m/>
    <m/>
    <s v="TH"/>
    <x v="0"/>
    <s v="EGMCL"/>
    <s v="EG5-10326"/>
    <x v="2"/>
    <x v="2"/>
  </r>
  <r>
    <x v="2"/>
    <x v="2"/>
    <x v="0"/>
    <s v="ITHC - SI RACHA, Bangkok"/>
    <s v="B0DX22NJ1H"/>
    <s v="197153296418"/>
    <s v="UPC"/>
    <x v="2"/>
    <s v="Men's Low Stretch Straight Fit Jean"/>
    <x v="4"/>
    <s v="Grey Wash"/>
    <s v="30W x 32L"/>
    <s v="-"/>
    <s v="AEMN49469M25-Grey Wash_30wx32l"/>
    <s v="Amazon Essentials Men's Straight-Fit Jeans, Midweight Vintage Inspired Denim, Fitted Through Hip and Thigh, Grey Wash, 30W x 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N3M5"/>
    <s v="197153303413"/>
    <s v="UPC"/>
    <x v="2"/>
    <s v="Men's Medium Stretch Skinny-Fit Jean"/>
    <x v="5"/>
    <s v="Tinted Dark Wash"/>
    <s v="29W x 30L"/>
    <s v="-"/>
    <s v="AEMN30315M25-Tinted Dark Wash_29wx30l"/>
    <s v="Amazon Essentials Men's Men's Heavyweight Stretch Skinny-Fit Jean, Tinted Dark Wash, 29WX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2KHK5"/>
    <s v="197153304823"/>
    <s v="UPC"/>
    <x v="2"/>
    <s v="Men's Heavyweight Stretch Straight-Fit Jean"/>
    <x v="7"/>
    <s v="Black-heavyweight"/>
    <s v="33W x 28L"/>
    <s v="-"/>
    <s v="AEMN64413M25-Black_33wx28l"/>
    <s v="Amazon Essentials Men's Men's Heavyweight Stretch Straight-Fit Jean, Black-Heavyweight, 33WX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KDCR"/>
    <s v="197153304243"/>
    <s v="UPC"/>
    <x v="2"/>
    <s v="Men's Medium Stretch Skinny-Fit Jean"/>
    <x v="5"/>
    <s v="Rinse"/>
    <s v="40W x 34L"/>
    <s v="-"/>
    <s v="AEMN30315M25-Rinse_40wx34l"/>
    <s v="Amazon Essentials Men's Medium Stretch Skinny-Fit Jeans, Rinse, 4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2JBK4"/>
    <s v="197153304885"/>
    <s v="UPC"/>
    <x v="2"/>
    <s v="Men's Heavyweight Stretch Straight-Fit Jean"/>
    <x v="7"/>
    <s v="Black-heavyweight"/>
    <s v="33W x 30L"/>
    <s v="-"/>
    <s v="AEMN64413M25-Black_33wx30l"/>
    <s v="Amazon Essentials Men's Men's Heavyweight Stretch Straight-Fit Jean, Black-Heavyweight, 33WX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H6PV"/>
    <s v="197153296722"/>
    <s v="UPC"/>
    <x v="2"/>
    <s v="Men's Low Stretch Straight Fit Jean"/>
    <x v="4"/>
    <s v="Grey Wash"/>
    <s v="31W x 32L"/>
    <s v="-"/>
    <s v="AEMN49469M25-Grey Wash_31wx32l"/>
    <s v="Amazon Essentials Men's Straight-Fit Jeans, Midweight Vintage Inspired Denim, Fitted Through Hip and Thigh, Grey Wash, 31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2H6MM"/>
    <s v="197153296258"/>
    <s v="UPC"/>
    <x v="2"/>
    <s v="Men's Low Stretch Straight Fit Jean"/>
    <x v="4"/>
    <s v="Dark Midnight Wash"/>
    <s v="31W x 34L"/>
    <s v="-"/>
    <s v="AEMN49469M25-Dark Midnight Wash_31wx34l"/>
    <s v="Amazon Essentials Men's Straight-Fit Jeans, Midweight Vintage Inspired Denim, Fitted Through Hip and Thigh, Dark Midnight Wash, 31W x 34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0"/>
    <n v="36"/>
    <n v="0"/>
    <m/>
    <n v="3"/>
    <n v="10.9"/>
    <s v="USD"/>
    <n v="10.9"/>
    <b v="1"/>
    <m/>
    <m/>
    <s v="TH"/>
    <x v="0"/>
    <s v="EGMCL"/>
    <s v="EG5-10277"/>
    <x v="2"/>
    <x v="2"/>
  </r>
  <r>
    <x v="2"/>
    <x v="2"/>
    <x v="0"/>
    <s v="ITHC - SI RACHA, Bangkok"/>
    <s v="B0DX22GJGL"/>
    <s v="197153295718"/>
    <s v="UPC"/>
    <x v="2"/>
    <s v="Men's Low Stretch Straight Fit Jean"/>
    <x v="4"/>
    <s v="Tinted Medium Blue"/>
    <s v="35W x 32L"/>
    <s v="-"/>
    <s v="AEMN49469M25-Tinted Medium Blue_35wx32l"/>
    <s v="Amazon Essentials Men's Straight-Fit Jeans, Midweight Vintage Inspired Denim, Fitted Through Hip and Thigh, Tinted Medium Blue, 35W x 32L"/>
    <s v="Accepted: In stock"/>
    <s v="Ship window (Collect)"/>
    <x v="0"/>
    <x v="0"/>
    <x v="0"/>
    <n v="132"/>
    <n v="132"/>
    <n v="132"/>
    <n v="132"/>
    <n v="0"/>
    <n v="0"/>
    <m/>
    <m/>
    <n v="0"/>
    <m/>
    <m/>
    <n v="132"/>
    <x v="0"/>
    <n v="132"/>
    <n v="0"/>
    <m/>
    <n v="11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2DFJ6"/>
    <s v="197153302560"/>
    <s v="UPC"/>
    <x v="2"/>
    <s v="Men's Medium Stretch Skinny-Fit Jean"/>
    <x v="5"/>
    <s v="Black"/>
    <s v="42W x 32L"/>
    <s v="-"/>
    <s v="AEMN30315M25-Black_42wx32l"/>
    <s v="Amazon Essentials Men's Men's Heavyweight Stretch Skinny-Fit Jean, Black, 42Wx32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2CZL6"/>
    <s v="197153302584"/>
    <s v="UPC"/>
    <x v="2"/>
    <s v="Men's Medium Stretch Skinny-Fit Jean"/>
    <x v="5"/>
    <s v="Black"/>
    <s v="38W x 30L"/>
    <s v="-"/>
    <s v="AEMN30315M25-Black_38wx30l"/>
    <s v="Amazon Essentials Men's Men's Heavyweight Stretch Skinny-Fit Jean, Black, 38Wx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0.06"/>
    <s v="USD"/>
    <n v="10.06"/>
    <b v="1"/>
    <m/>
    <m/>
    <s v="TH"/>
    <x v="0"/>
    <s v="EGMCL"/>
    <s v="EG5-10327"/>
    <x v="2"/>
    <x v="2"/>
  </r>
  <r>
    <x v="2"/>
    <x v="2"/>
    <x v="0"/>
    <s v="ITHC - SI RACHA, Bangkok"/>
    <s v="B0DX22BHDW"/>
    <s v="197153303581"/>
    <s v="UPC"/>
    <x v="2"/>
    <s v="Men's Medium Stretch Skinny-Fit Jean"/>
    <x v="5"/>
    <s v="Stone Medium Wash"/>
    <s v="30W x 32L"/>
    <s v="-"/>
    <s v="AEMN30315M25-Stone Medium Wash_30wx32l"/>
    <s v="Amazon Essentials Men's Men's Heavyweight Stretch Skinny-Fit Jean, Stone Medium Wash, 30Wx32L"/>
    <s v="Accepted: In stock"/>
    <s v="Ship window (Collect)"/>
    <x v="0"/>
    <x v="0"/>
    <x v="0"/>
    <n v="120"/>
    <n v="120"/>
    <n v="132"/>
    <n v="132"/>
    <n v="0"/>
    <n v="-12"/>
    <m/>
    <m/>
    <m/>
    <m/>
    <m/>
    <n v="120"/>
    <x v="0"/>
    <n v="120"/>
    <n v="0"/>
    <m/>
    <n v="10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2BCRD"/>
    <s v="197153304175"/>
    <s v="UPC"/>
    <x v="2"/>
    <s v="Men's Medium Stretch Skinny-Fit Jean"/>
    <x v="5"/>
    <s v="Rinse"/>
    <s v="30W x 30L"/>
    <s v="-"/>
    <s v="AEMN30315M25-Rinse_30wx30l"/>
    <s v="Amazon Essentials Men's Men's Heavyweight Stretch Skinny-Fit Jean, Rinse, 30Wx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DX228VZY"/>
    <s v="197153304687"/>
    <s v="UPC"/>
    <x v="2"/>
    <s v="Men's Heavyweight Stretch Straight-Fit Jean"/>
    <x v="7"/>
    <s v="Black-heavyweight"/>
    <s v="42W x 34L"/>
    <s v="-"/>
    <s v="AEMN64413M25-Black_42wx34l"/>
    <s v="Amazon Essentials Men's Men's Heavyweight Stretch Straight-Fit Jean, Black-Heavyweight, 42Wx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263C5"/>
    <s v="197153303536"/>
    <s v="UPC"/>
    <x v="2"/>
    <s v="Men's Medium Stretch Skinny-Fit Jean"/>
    <x v="5"/>
    <s v="Stone Medium Wash"/>
    <s v="36W x 34L"/>
    <s v="-"/>
    <s v="AEMN30315M25-Stone Medium Wash_36wx34l"/>
    <s v="Amazon Essentials Men's Men's Heavyweight Stretch Skinny-Fit Jean, Stone Medium Wash, 36Wx34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0.16"/>
    <s v="USD"/>
    <n v="10.16"/>
    <b v="1"/>
    <m/>
    <m/>
    <s v="TH"/>
    <x v="0"/>
    <s v="EGMCL"/>
    <s v="EG5-10327"/>
    <x v="2"/>
    <x v="2"/>
  </r>
  <r>
    <x v="2"/>
    <x v="2"/>
    <x v="0"/>
    <s v="ITHC - SI RACHA, Bangkok"/>
    <s v="B0DX223YQH"/>
    <s v="197153295589"/>
    <s v="UPC"/>
    <x v="2"/>
    <s v="Men's Low Stretch Straight Fit Jean"/>
    <x v="4"/>
    <s v="Tinted Medium Blue"/>
    <s v="42W x 32L"/>
    <s v="-"/>
    <s v="AEMN49469M25-Tinted Medium Blue_42wx32l"/>
    <s v="Amazon Essentials Men's Straight-Fit Jeans, Midweight Vintage Inspired Denim, Fitted Through Hip and Thigh, Tinted Medium Blue, 42W x 32L"/>
    <s v="Accepted: In stock"/>
    <s v="Ship window (Collect)"/>
    <x v="0"/>
    <x v="0"/>
    <x v="0"/>
    <n v="144"/>
    <n v="144"/>
    <n v="120"/>
    <n v="120"/>
    <n v="0"/>
    <n v="24"/>
    <n v="24"/>
    <m/>
    <n v="0"/>
    <m/>
    <m/>
    <n v="120"/>
    <x v="0"/>
    <n v="120"/>
    <n v="24"/>
    <m/>
    <n v="10"/>
    <n v="11.2"/>
    <s v="USD"/>
    <n v="11.2"/>
    <b v="1"/>
    <m/>
    <m/>
    <s v="TH"/>
    <x v="0"/>
    <s v="EGMCL"/>
    <s v="EG5-10277"/>
    <x v="2"/>
    <x v="2"/>
  </r>
  <r>
    <x v="2"/>
    <x v="2"/>
    <x v="0"/>
    <s v="ITHC - SI RACHA, Bangkok"/>
    <s v="B0DX2235F7"/>
    <s v="197153296449"/>
    <s v="UPC"/>
    <x v="2"/>
    <s v="Men's Low Stretch Straight Fit Jean"/>
    <x v="4"/>
    <s v="Grey Wash"/>
    <s v="38W x 34L"/>
    <s v="-"/>
    <s v="AEMN49469M25-Grey Wash_38wx34l"/>
    <s v="Amazon Essentials Men's Straight-Fit Jeans, Midweight Vintage Inspired Denim, Fitted Through Hip and Thigh, Grey Wash, 38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1YVYW"/>
    <s v="197153304717"/>
    <s v="UPC"/>
    <x v="2"/>
    <s v="Men's Heavyweight Stretch Straight-Fit Jean"/>
    <x v="7"/>
    <s v="Black-heavyweight"/>
    <s v="32W x 28L"/>
    <s v="-"/>
    <s v="AEMN64413M25-Black_32wx28l"/>
    <s v="Amazon Essentials Men's Men's Heavyweight Stretch Straight-Fit Jean, Black-Heavyweight, 32WX28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1VLSV"/>
    <s v="197153296487"/>
    <s v="UPC"/>
    <x v="2"/>
    <s v="Men's Low Stretch Straight Fit Jean"/>
    <x v="4"/>
    <s v="Grey Wash"/>
    <s v="32W x 30L"/>
    <s v="-"/>
    <s v="AEMN49469M25-Grey Wash_32wx30l"/>
    <s v="Amazon Essentials Men's Straight-Fit Jeans, Midweight Vintage Inspired Denim, Fitted Through Hip and Thigh, Grey Wash, 32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87"/>
    <s v="USD"/>
    <n v="11.87"/>
    <b v="1"/>
    <m/>
    <m/>
    <s v="TH"/>
    <x v="0"/>
    <s v="EGMCL"/>
    <s v="EG5-10277"/>
    <x v="2"/>
    <x v="2"/>
  </r>
  <r>
    <x v="2"/>
    <x v="2"/>
    <x v="0"/>
    <s v="ITHC - SI RACHA, Bangkok"/>
    <s v="B0DX21R135"/>
    <s v="197153303123"/>
    <s v="UPC"/>
    <x v="2"/>
    <s v="Men's Medium Stretch Skinny-Fit Jean"/>
    <x v="5"/>
    <s v="Tinted Dark Wash"/>
    <s v="34W x 28L"/>
    <s v="-"/>
    <s v="AEMN30315M25-Tinted Dark Wash_34wx28l"/>
    <s v="Amazon Essentials Men's Men's Heavyweight Stretch Skinny-Fit Jean, Tinted Dark Wash, 34WX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0.220000000000001"/>
    <s v="USD"/>
    <n v="10.220000000000001"/>
    <b v="1"/>
    <m/>
    <m/>
    <s v="TH"/>
    <x v="0"/>
    <s v="EGMCL"/>
    <s v="EG5-10327"/>
    <x v="2"/>
    <x v="2"/>
  </r>
  <r>
    <x v="2"/>
    <x v="2"/>
    <x v="0"/>
    <s v="ITHC - SI RACHA, Bangkok"/>
    <s v="B0DX21BM2C"/>
    <s v="197153304908"/>
    <s v="UPC"/>
    <x v="2"/>
    <s v="Men's Heavyweight Stretch Straight-Fit Jean"/>
    <x v="7"/>
    <s v="Black-heavyweight"/>
    <s v="31W x 30L"/>
    <s v="-"/>
    <s v="AEMN64413M25-Black_31wx30l"/>
    <s v="Amazon Essentials Men's Men's Heavyweight Stretch Straight-Fit Jean, Black-Heavyweight, 31WX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0.19"/>
    <s v="USD"/>
    <n v="10.19"/>
    <b v="1"/>
    <m/>
    <m/>
    <s v="TH"/>
    <x v="0"/>
    <s v="EGMCL"/>
    <s v="EG5-10328"/>
    <x v="2"/>
    <x v="2"/>
  </r>
  <r>
    <x v="2"/>
    <x v="2"/>
    <x v="0"/>
    <s v="ITHC - SI RACHA, Bangkok"/>
    <s v="B0DX21BLY9"/>
    <s v="197153304106"/>
    <s v="UPC"/>
    <x v="2"/>
    <s v="Men's Medium Stretch Skinny-Fit Jean"/>
    <x v="5"/>
    <s v="Rinse"/>
    <s v="36W x 30L"/>
    <s v="-"/>
    <s v="AEMN30315M25-Rinse_36wx30l"/>
    <s v="Amazon Essentials Men's Men's Heavyweight Stretch Skinny-Fit Jean, Rinse, 36Wx30L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0"/>
    <n v="240"/>
    <n v="0"/>
    <m/>
    <n v="20"/>
    <n v="9.9499999999999993"/>
    <s v="USD"/>
    <n v="9.9499999999999993"/>
    <b v="1"/>
    <m/>
    <m/>
    <s v="TH"/>
    <x v="0"/>
    <s v="EGMCL"/>
    <s v="EG5-10327"/>
    <x v="2"/>
    <x v="2"/>
  </r>
  <r>
    <x v="2"/>
    <x v="2"/>
    <x v="0"/>
    <s v="ITHC - SI RACHA, Bangkok"/>
    <s v="B09LS6LLR4"/>
    <s v="196433248215"/>
    <s v="UPC"/>
    <x v="0"/>
    <s v="AE Broken Chino - Big &amp; Tall"/>
    <x v="8"/>
    <s v="Khaki"/>
    <s v="44W x 32L"/>
    <s v="-"/>
    <s v=""/>
    <s v="Amazon Essentials Men's Athletic-Fit Stretch Chino Pants, Casual Business Wear, Khaki, 44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32GY"/>
    <s v="196433248031"/>
    <s v="UPC"/>
    <x v="0"/>
    <s v="AE Broken Chino - Big &amp; Tall"/>
    <x v="8"/>
    <s v="Khaki"/>
    <s v="54W x 30L"/>
    <s v="-"/>
    <s v=""/>
    <s v="Amazon Essentials Men's Athletic-Fit Stretch Chino Pants, Casual Business Wear, Khaki, 54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PWD"/>
    <s v="196433248239"/>
    <s v="UPC"/>
    <x v="0"/>
    <s v="AE Broken Chino - Big &amp; Tall"/>
    <x v="8"/>
    <s v="Khaki"/>
    <s v="50W x 32L"/>
    <s v="-"/>
    <s v=""/>
    <s v="Amazon Essentials Men's Athletic-Fit Stretch Chino Pants, Casual Business Wear, Khaki, 50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PSM"/>
    <s v="196433247133"/>
    <s v="UPC"/>
    <x v="0"/>
    <s v="AE Broken Chino - Big &amp; Tall"/>
    <x v="8"/>
    <s v="Navy"/>
    <s v="46W x 34L"/>
    <s v="-"/>
    <s v=""/>
    <s v="Amazon Essentials Men's Athletic-Fit Stretch Chino Pants, Casual Business Wear, Navy, 46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KK4"/>
    <s v="196433247119"/>
    <s v="UPC"/>
    <x v="0"/>
    <s v="AE Broken Chino - Big &amp; Tall"/>
    <x v="8"/>
    <s v="Navy"/>
    <s v="60W x 30L"/>
    <s v="-"/>
    <s v=""/>
    <s v="Amazon Essentials Men's Athletic-Fit Stretch Chino Pants, Casual Business Wear, Navy, 6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KK1"/>
    <s v="196433247058"/>
    <s v="UPC"/>
    <x v="0"/>
    <s v="AE Broken Chino - Big &amp; Tall"/>
    <x v="8"/>
    <s v="Navy"/>
    <s v="50W x 34L"/>
    <s v="-"/>
    <s v=""/>
    <s v="Amazon Essentials Men's Athletic-Fit Stretch Chino Pants, Casual Business Wear, Navy, 5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KHL"/>
    <s v="196433246471"/>
    <s v="UPC"/>
    <x v="0"/>
    <s v="AE Broken Chino - Big &amp; Tall"/>
    <x v="8"/>
    <s v="Black"/>
    <s v="50W x 30L"/>
    <s v="-"/>
    <s v=""/>
    <s v="Amazon Essentials Men's Athletic-Fit Stretch Chino Pants, Casual Business Wear, Black, 50W x 30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KGY"/>
    <s v="196433246273"/>
    <s v="UPC"/>
    <x v="0"/>
    <s v="AE Broken Chino - Big &amp; Tall"/>
    <x v="8"/>
    <s v="Black"/>
    <s v="60W x 30L"/>
    <s v="-"/>
    <s v=""/>
    <s v="Amazon Essentials Men's Athletic-Fit Stretch Chino Pants, Casual Business Wear, Black, 60W x 30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9XP"/>
    <s v="196433246907"/>
    <s v="UPC"/>
    <x v="0"/>
    <s v="AE Broken Chino - Big &amp; Tall"/>
    <x v="8"/>
    <s v="Dark Khaki"/>
    <s v="46W x 30L"/>
    <s v="-"/>
    <s v=""/>
    <s v="Amazon Essentials Men's Athletic-Fit Stretch Chino Pants, Casual Business Wear, Dark Khaki Brown, 46W x 30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619WH"/>
    <s v="196433246327"/>
    <s v="UPC"/>
    <x v="0"/>
    <s v="AE Broken Chino - Big &amp; Tall"/>
    <x v="8"/>
    <s v="Black"/>
    <s v="58W x 34L"/>
    <s v="-"/>
    <s v=""/>
    <s v="Amazon Essentials Men's Athletic-Fit Stretch Chino Pants, Casual Business Wear, Black, 5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TV1F"/>
    <s v="196433247362"/>
    <s v="UPC"/>
    <x v="0"/>
    <s v="AE Broken Chino - Big &amp; Tall"/>
    <x v="8"/>
    <s v="Navy"/>
    <s v="44W x 32L"/>
    <s v="-"/>
    <s v=""/>
    <s v="Amazon Essentials Men's Athletic-Fit Stretch Chino Pants, Casual Business Wear, Navy, 44W x 32L"/>
    <s v="Accepted: In stock"/>
    <s v="Ship window (Collect)"/>
    <x v="0"/>
    <x v="0"/>
    <x v="0"/>
    <n v="288"/>
    <n v="288"/>
    <n v="252"/>
    <n v="252"/>
    <n v="0"/>
    <n v="36"/>
    <n v="36"/>
    <m/>
    <n v="0"/>
    <m/>
    <m/>
    <n v="252"/>
    <x v="0"/>
    <n v="252"/>
    <n v="36"/>
    <m/>
    <n v="2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TTZN"/>
    <s v="196433247201"/>
    <s v="UPC"/>
    <x v="0"/>
    <s v="AE Broken Chino - Big &amp; Tall"/>
    <x v="8"/>
    <s v="Navy"/>
    <s v="54W x 28L"/>
    <s v="-"/>
    <s v=""/>
    <s v="Amazon Essentials Men's Athletic-Fit Stretch Chino Pants, Casual Business Wear, Navy, 54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TTZ5"/>
    <s v="196433247065"/>
    <s v="UPC"/>
    <x v="0"/>
    <s v="AE Broken Chino - Big &amp; Tall"/>
    <x v="8"/>
    <s v="Navy"/>
    <s v="52W x 32L"/>
    <s v="-"/>
    <s v=""/>
    <s v="Amazon Essentials Men's Athletic-Fit Stretch Chino Pants, Casual Business Wear, Navy, 52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TTYY"/>
    <s v="196433246990"/>
    <s v="UPC"/>
    <x v="0"/>
    <s v="AE Broken Chino - Big &amp; Tall"/>
    <x v="8"/>
    <s v="Khaki"/>
    <s v="56W x 32L"/>
    <s v="-"/>
    <s v=""/>
    <s v="Amazon Essentials Men's Athletic-Fit Stretch Chino Pants, Casual Business Wear, Khaki, 56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SB5C"/>
    <s v="196433248178"/>
    <s v="UPC"/>
    <x v="0"/>
    <s v="AE Broken Chino - Big &amp; Tall"/>
    <x v="8"/>
    <s v="Khaki"/>
    <s v="46W x 28L"/>
    <s v="-"/>
    <s v=""/>
    <s v="Amazon Essentials Men's Athletic-Fit Stretch Chino Pants, Casual Business Wear, Khaki, 46W x 28L"/>
    <s v="Accepted: In stock"/>
    <s v="Ship window (Collect)"/>
    <x v="0"/>
    <x v="0"/>
    <x v="0"/>
    <n v="204"/>
    <n v="204"/>
    <n v="216"/>
    <n v="216"/>
    <n v="0"/>
    <n v="-12"/>
    <m/>
    <m/>
    <m/>
    <m/>
    <m/>
    <n v="204"/>
    <x v="0"/>
    <n v="204"/>
    <n v="0"/>
    <m/>
    <n v="1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SB1Q"/>
    <s v="196433246716"/>
    <s v="UPC"/>
    <x v="0"/>
    <s v="AE Broken Chino - Big &amp; Tall"/>
    <x v="8"/>
    <s v="Dark Khaki"/>
    <s v="54W x 30L"/>
    <s v="-"/>
    <s v=""/>
    <s v="Amazon Essentials Men's Athletic-Fit Stretch Chino Pants, Casual Business Wear, Dark Khaki Brown, 54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RXPC"/>
    <s v="196433246747"/>
    <s v="UPC"/>
    <x v="0"/>
    <s v="AE Broken Chino - Big &amp; Tall"/>
    <x v="8"/>
    <s v="Dark Khaki"/>
    <s v="60W x 28L"/>
    <s v="-"/>
    <s v=""/>
    <s v="Amazon Essentials Men's Athletic-Fit Stretch Chino Pants, Casual Business Wear, Dark Khaki Brown, 60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NC7Z"/>
    <s v="196433247089"/>
    <s v="UPC"/>
    <x v="0"/>
    <s v="AE Broken Chino - Big &amp; Tall"/>
    <x v="8"/>
    <s v="Navy"/>
    <s v="44W x 34L"/>
    <s v="-"/>
    <s v=""/>
    <s v="Amazon Essentials Men's Athletic-Fit Stretch Chino Pants, Casual Business Wear, Navy, 44W x 34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NC6H"/>
    <s v="196433246396"/>
    <s v="UPC"/>
    <x v="0"/>
    <s v="AE Broken Chino - Big &amp; Tall"/>
    <x v="8"/>
    <s v="Black"/>
    <s v="52W x 34L"/>
    <s v="-"/>
    <s v=""/>
    <s v="Amazon Essentials Men's Athletic-Fit Stretch Chino Pants, Casual Business Wear, Black, 52W x 34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N3HZ"/>
    <s v="196433247324"/>
    <s v="UPC"/>
    <x v="0"/>
    <s v="AE Broken Chino - Big &amp; Tall"/>
    <x v="8"/>
    <s v="Navy"/>
    <s v="46W x 28L"/>
    <s v="-"/>
    <s v=""/>
    <s v="Amazon Essentials Men's Athletic-Fit Stretch Chino Pants, Casual Business Wear, Navy, 46W x 28L"/>
    <s v="Accepted: In stock"/>
    <s v="Ship window (Collect)"/>
    <x v="0"/>
    <x v="0"/>
    <x v="0"/>
    <n v="192"/>
    <n v="192"/>
    <n v="168"/>
    <n v="168"/>
    <n v="0"/>
    <n v="24"/>
    <n v="24"/>
    <m/>
    <n v="0"/>
    <m/>
    <m/>
    <n v="168"/>
    <x v="0"/>
    <n v="168"/>
    <n v="24"/>
    <m/>
    <n v="1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N3H1"/>
    <s v="196433246914"/>
    <s v="UPC"/>
    <x v="0"/>
    <s v="AE Broken Chino - Big &amp; Tall"/>
    <x v="8"/>
    <s v="Dark Khaki"/>
    <s v="50W x 32L"/>
    <s v="-"/>
    <s v=""/>
    <s v="Amazon Essentials Men's Athletic-Fit Stretch Chino Pants, Casual Business Wear, Dark Khaki Brown, 50W x 32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XPS"/>
    <s v="196433246983"/>
    <s v="UPC"/>
    <x v="0"/>
    <s v="AE Broken Chino - Big &amp; Tall"/>
    <x v="8"/>
    <s v="Khaki"/>
    <s v="44W x 34L"/>
    <s v="-"/>
    <s v=""/>
    <s v="Amazon Essentials Men's Athletic-Fit Stretch Chino Pants, Casual Business Wear, Khaki, 44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XPM"/>
    <s v="196433246884"/>
    <s v="UPC"/>
    <x v="0"/>
    <s v="AE Broken Chino - Big &amp; Tall"/>
    <x v="8"/>
    <s v="Dark Khaki"/>
    <s v="54W x 34L"/>
    <s v="-"/>
    <s v=""/>
    <s v="Amazon Essentials Men's Athletic-Fit Stretch Chino Pants, Casual Business Wear, Dark Khaki Brown, 54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XPK"/>
    <s v="196433246877"/>
    <s v="UPC"/>
    <x v="0"/>
    <s v="AE Broken Chino - Big &amp; Tall"/>
    <x v="8"/>
    <s v="Dark Khaki"/>
    <s v="56W x 28L"/>
    <s v="-"/>
    <s v=""/>
    <s v="Amazon Essentials Men's Athletic-Fit Stretch Chino Pants, Casual Business Wear, Dark Khaki Brown, 5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TKF"/>
    <s v="196433247928"/>
    <s v="UPC"/>
    <x v="0"/>
    <s v="AE Broken Chino - Big &amp; Tall"/>
    <x v="8"/>
    <s v="Dark Grey"/>
    <s v="54W x 30L"/>
    <s v="-"/>
    <s v=""/>
    <s v="Amazon Essentials Men's Athletic-Fit Stretch Chino Pants, Casual Business Wear, Dark Grey, 54W x 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5KCVQ"/>
    <s v="196433248048"/>
    <s v="UPC"/>
    <x v="0"/>
    <s v="AE Broken Chino - Big &amp; Tall"/>
    <x v="8"/>
    <s v="Khaki"/>
    <s v="46W x 32L"/>
    <s v="-"/>
    <s v=""/>
    <s v="Amazon Essentials Men's Athletic-Fit Stretch Chino Pants, Casual Business Wear, Khaki, 46W x 32L"/>
    <s v="Accepted: In stock"/>
    <s v="Ship window (Collect)"/>
    <x v="0"/>
    <x v="0"/>
    <x v="0"/>
    <n v="228"/>
    <n v="228"/>
    <n v="252"/>
    <n v="252"/>
    <n v="0"/>
    <n v="-24"/>
    <m/>
    <m/>
    <n v="0"/>
    <m/>
    <m/>
    <n v="228"/>
    <x v="0"/>
    <n v="228"/>
    <n v="0"/>
    <m/>
    <n v="19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6JX"/>
    <s v="196433246198"/>
    <s v="UPC"/>
    <x v="0"/>
    <s v="AE Broken Chino - Big &amp; Tall"/>
    <x v="8"/>
    <s v="Black"/>
    <s v="58W x 28L"/>
    <s v="-"/>
    <s v=""/>
    <s v="Amazon Essentials Men's Athletic-Fit Stretch Chino Pants, Casual Business Wear, Black, 58W x 28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K6JH"/>
    <s v="196433246068"/>
    <s v="UPC"/>
    <x v="0"/>
    <s v="AE Broken Chino - Big &amp; Tall"/>
    <x v="8"/>
    <s v="Dark Grey"/>
    <s v="48W x 30L"/>
    <s v="-"/>
    <s v=""/>
    <s v="Amazon Essentials Men's Athletic-Fit Stretch Chino Pants, Casual Business Wear, Dark Grey, 48W x 30L"/>
    <s v="Accepted: In stock"/>
    <s v="Ship window (Collect)"/>
    <x v="0"/>
    <x v="0"/>
    <x v="0"/>
    <n v="240"/>
    <n v="240"/>
    <n v="216"/>
    <n v="216"/>
    <n v="0"/>
    <n v="24"/>
    <n v="24"/>
    <m/>
    <n v="0"/>
    <m/>
    <m/>
    <n v="216"/>
    <x v="0"/>
    <n v="216"/>
    <n v="24"/>
    <m/>
    <n v="18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5JYP2"/>
    <s v="196433247072"/>
    <s v="UPC"/>
    <x v="0"/>
    <s v="AE Broken Chino - Big &amp; Tall"/>
    <x v="8"/>
    <s v="Navy"/>
    <s v="50W x 28L"/>
    <s v="-"/>
    <s v=""/>
    <s v="Amazon Essentials Men's Athletic-Fit Stretch Chino Pants, Casual Business Wear, Navy, 50W x 28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JYNF"/>
    <s v="196433246822"/>
    <s v="UPC"/>
    <x v="0"/>
    <s v="AE Broken Chino - Big &amp; Tall"/>
    <x v="8"/>
    <s v="Dark Khaki"/>
    <s v="54W x 32L"/>
    <s v="-"/>
    <s v=""/>
    <s v="Amazon Essentials Men's Athletic-Fit Stretch Chino Pants, Casual Business Wear, Dark Khaki Brown, 54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JCVF"/>
    <s v="196433248185"/>
    <s v="UPC"/>
    <x v="0"/>
    <s v="AE Broken Chino - Big &amp; Tall"/>
    <x v="8"/>
    <s v="Khaki"/>
    <s v="48W x 34L"/>
    <s v="-"/>
    <s v=""/>
    <s v="Amazon Essentials Men's Athletic-Fit Stretch Chino Pants, Casual Business Wear, Khaki, 4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HJWC"/>
    <s v="196433246648"/>
    <s v="UPC"/>
    <x v="0"/>
    <s v="AE Broken Chino - Big &amp; Tall"/>
    <x v="8"/>
    <s v="Dark Khaki"/>
    <s v="60W x 30L"/>
    <s v="-"/>
    <s v=""/>
    <s v="Amazon Essentials Men's Athletic-Fit Stretch Chino Pants, Casual Business Wear, Dark Khaki Brown, 6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HJW5"/>
    <s v="196433246549"/>
    <s v="UPC"/>
    <x v="0"/>
    <s v="AE Broken Chino - Big &amp; Tall"/>
    <x v="8"/>
    <s v="Black"/>
    <s v="50W x 32L"/>
    <s v="-"/>
    <s v=""/>
    <s v="Amazon Essentials Men's Athletic-Fit Stretch Chino Pants, Casual Business Wear, Black, 50W x 32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FN4G"/>
    <s v="196433247041"/>
    <s v="UPC"/>
    <x v="0"/>
    <s v="AE Broken Chino - Big &amp; Tall"/>
    <x v="8"/>
    <s v="Navy"/>
    <s v="60W x 32L"/>
    <s v="-"/>
    <s v=""/>
    <s v="Amazon Essentials Men's Athletic-Fit Stretch Chino Pants, Casual Business Wear, Navy, 6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FN3C"/>
    <s v="196433246570"/>
    <s v="UPC"/>
    <x v="0"/>
    <s v="AE Broken Chino - Big &amp; Tall"/>
    <x v="8"/>
    <s v="Dark Khaki"/>
    <s v="60W x 32L"/>
    <s v="-"/>
    <s v=""/>
    <s v="Amazon Essentials Men's Athletic-Fit Stretch Chino Pants, Casual Business Wear, Dark Khaki Brown, 6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DTRM"/>
    <s v="196433246310"/>
    <s v="UPC"/>
    <x v="0"/>
    <s v="AE Broken Chino - Big &amp; Tall"/>
    <x v="8"/>
    <s v="Black"/>
    <s v="58W x 30L"/>
    <s v="-"/>
    <s v=""/>
    <s v="Amazon Essentials Men's Athletic-Fit Stretch Chino Pants, Casual Business Wear, Black, 58W x 30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CFCR"/>
    <s v="196433246150"/>
    <s v="UPC"/>
    <x v="0"/>
    <s v="AE Broken Chino - Big &amp; Tall"/>
    <x v="8"/>
    <s v="Dark Grey"/>
    <s v="44W x 32L"/>
    <s v="-"/>
    <s v=""/>
    <s v="Amazon Essentials Men's Athletic-Fit Stretch Chino Pants, Casual Business Wear, Dark Grey, 44W x 32L"/>
    <s v="Accepted: In stock"/>
    <s v="Ship window (Collect)"/>
    <x v="0"/>
    <x v="0"/>
    <x v="0"/>
    <n v="180"/>
    <n v="180"/>
    <n v="156"/>
    <n v="156"/>
    <n v="0"/>
    <n v="24"/>
    <n v="24"/>
    <m/>
    <n v="0"/>
    <m/>
    <m/>
    <n v="156"/>
    <x v="0"/>
    <n v="156"/>
    <n v="24"/>
    <m/>
    <n v="13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5962R"/>
    <s v="196433246587"/>
    <s v="UPC"/>
    <x v="0"/>
    <s v="AE Broken Chino - Big &amp; Tall"/>
    <x v="8"/>
    <s v="Dark Khaki"/>
    <s v="50W x 34L"/>
    <s v="-"/>
    <s v=""/>
    <s v="Amazon Essentials Men's Athletic-Fit Stretch Chino Pants, Casual Business Wear, Dark Khaki Brown, 5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87VY"/>
    <s v="196433247287"/>
    <s v="UPC"/>
    <x v="0"/>
    <s v="AE Broken Chino - Big &amp; Tall"/>
    <x v="8"/>
    <s v="Navy"/>
    <s v="52W x 30L"/>
    <s v="-"/>
    <s v=""/>
    <s v="Amazon Essentials Men's Athletic-Fit Stretch Chino Pants, Casual Business Wear, Navy, 52W x 30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772S"/>
    <s v="196433246426"/>
    <s v="UPC"/>
    <x v="0"/>
    <s v="AE Broken Chino - Big &amp; Tall"/>
    <x v="8"/>
    <s v="Black"/>
    <s v="58W x 32L"/>
    <s v="-"/>
    <s v=""/>
    <s v="Amazon Essentials Men's Athletic-Fit Stretch Chino Pants, Casual Business Wear, Black, 58W x 32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772C"/>
    <s v="196433246266"/>
    <s v="UPC"/>
    <x v="0"/>
    <s v="AE Broken Chino - Big &amp; Tall"/>
    <x v="8"/>
    <s v="Black"/>
    <s v="48W x 28L"/>
    <s v="-"/>
    <s v=""/>
    <s v="Amazon Essentials Men's Athletic-Fit Stretch Chino Pants, Casual Business Wear, Black, 48W x 28L"/>
    <s v="Accepted: In stock"/>
    <s v="Ship window (Collect)"/>
    <x v="0"/>
    <x v="0"/>
    <x v="0"/>
    <n v="384"/>
    <n v="384"/>
    <n v="408"/>
    <n v="408"/>
    <n v="0"/>
    <n v="-24"/>
    <m/>
    <m/>
    <m/>
    <m/>
    <m/>
    <n v="384"/>
    <x v="0"/>
    <n v="384"/>
    <n v="0"/>
    <m/>
    <n v="3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5VPC"/>
    <s v="196433248123"/>
    <s v="UPC"/>
    <x v="0"/>
    <s v="AE Broken Chino - Big &amp; Tall"/>
    <x v="8"/>
    <s v="Khaki"/>
    <s v="48W x 30L"/>
    <s v="-"/>
    <s v=""/>
    <s v="Amazon Essentials Men's Athletic-Fit Stretch Chino Pants, Casual Business Wear, Khaki, 48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5VMJ"/>
    <s v="196433247300"/>
    <s v="UPC"/>
    <x v="0"/>
    <s v="AE Broken Chino - Big &amp; Tall"/>
    <x v="8"/>
    <s v="Navy"/>
    <s v="60W x 34L"/>
    <s v="-"/>
    <s v=""/>
    <s v="Amazon Essentials Men's Athletic-Fit Stretch Chino Pants, Casual Business Wear, Navy, 6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5BSB"/>
    <s v="196433246235"/>
    <s v="UPC"/>
    <x v="0"/>
    <s v="AE Broken Chino - Big &amp; Tall"/>
    <x v="8"/>
    <s v="Black"/>
    <s v="50W x 28L"/>
    <s v="-"/>
    <s v=""/>
    <s v="Amazon Essentials Men's Athletic-Fit Stretch Chino Pants, Casual Business Wear, Black, 50W x 28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2XRS"/>
    <s v="196433246075"/>
    <s v="UPC"/>
    <x v="0"/>
    <s v="AE Broken Chino - Big &amp; Tall"/>
    <x v="8"/>
    <s v="Dark Grey"/>
    <s v="52W x 30L"/>
    <s v="-"/>
    <s v=""/>
    <s v="Amazon Essentials Men's Athletic-Fit Stretch Chino Pants, Casual Business Wear, Dark Grey, 52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51R4B"/>
    <s v="196433247348"/>
    <s v="UPC"/>
    <x v="0"/>
    <s v="AE Broken Chino - Big &amp; Tall"/>
    <x v="8"/>
    <s v="Navy"/>
    <s v="56W x 28L"/>
    <s v="-"/>
    <s v=""/>
    <s v="Amazon Essentials Men's Athletic-Fit Stretch Chino Pants, Casual Business Wear, Navy, 56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51P1R"/>
    <s v="196433246242"/>
    <s v="UPC"/>
    <x v="0"/>
    <s v="AE Broken Chino - Big &amp; Tall"/>
    <x v="8"/>
    <s v="Black"/>
    <s v="44W x 34L"/>
    <s v="-"/>
    <s v=""/>
    <s v="Amazon Essentials Men's Athletic-Fit Stretch Chino Pants, Casual Business Wear, Black, 44W x 34L"/>
    <s v="Accepted: In stock"/>
    <s v="Ship window (Collect)"/>
    <x v="0"/>
    <x v="0"/>
    <x v="0"/>
    <n v="312"/>
    <n v="312"/>
    <n v="288"/>
    <n v="288"/>
    <n v="0"/>
    <n v="24"/>
    <n v="24"/>
    <m/>
    <n v="0"/>
    <m/>
    <m/>
    <n v="288"/>
    <x v="0"/>
    <n v="288"/>
    <n v="24"/>
    <m/>
    <n v="2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ZDJ5"/>
    <s v="196433247027"/>
    <s v="UPC"/>
    <x v="0"/>
    <s v="AE Broken Chino - Big &amp; Tall"/>
    <x v="8"/>
    <s v="Navy"/>
    <s v="44W x 30L"/>
    <s v="-"/>
    <s v=""/>
    <s v="Amazon Essentials Men's Athletic-Fit Stretch Chino Pants, Casual Business Wear, Navy, 44W x 30L"/>
    <s v="Accepted: In stock"/>
    <s v="Ship window (Collect)"/>
    <x v="0"/>
    <x v="0"/>
    <x v="0"/>
    <n v="384"/>
    <n v="384"/>
    <n v="360"/>
    <n v="360"/>
    <n v="0"/>
    <n v="24"/>
    <n v="24"/>
    <m/>
    <n v="0"/>
    <m/>
    <m/>
    <n v="360"/>
    <x v="0"/>
    <n v="360"/>
    <n v="24"/>
    <m/>
    <n v="3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ZDHS"/>
    <s v="196433246808"/>
    <s v="UPC"/>
    <x v="0"/>
    <s v="AE Broken Chino - Big &amp; Tall"/>
    <x v="8"/>
    <s v="Dark Khaki"/>
    <s v="48W x 30L"/>
    <s v="-"/>
    <s v=""/>
    <s v="Amazon Essentials Men's Athletic-Fit Stretch Chino Pants, Casual Business Wear, Dark Khaki Brown, 48W x 30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YSTD"/>
    <s v="196433246464"/>
    <s v="UPC"/>
    <x v="0"/>
    <s v="AE Broken Chino - Big &amp; Tall"/>
    <x v="8"/>
    <s v="Black"/>
    <s v="60W x 34L"/>
    <s v="-"/>
    <s v=""/>
    <s v="Amazon Essentials Men's Athletic-Fit Stretch Chino Pants, Casual Business Wear, Black, 6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YMT6"/>
    <s v="196433246105"/>
    <s v="UPC"/>
    <x v="0"/>
    <s v="AE Broken Chino - Big &amp; Tall"/>
    <x v="8"/>
    <s v="Dark Grey"/>
    <s v="50W x 30L"/>
    <s v="-"/>
    <s v=""/>
    <s v="Amazon Essentials Men's Athletic-Fit Stretch Chino Pants, Casual Business Wear, Dark Grey, 50W x 30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YC7M"/>
    <s v="196433248208"/>
    <s v="UPC"/>
    <x v="0"/>
    <s v="AE Broken Chino - Big &amp; Tall"/>
    <x v="8"/>
    <s v="Khaki"/>
    <s v="54W x 34L"/>
    <s v="-"/>
    <s v=""/>
    <s v="Amazon Essentials Men's Athletic-Fit Stretch Chino Pants, Casual Business Wear, Khaki, 54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XRL8"/>
    <s v="196433247386"/>
    <s v="UPC"/>
    <x v="0"/>
    <s v="AE Broken Chino - Big &amp; Tall"/>
    <x v="8"/>
    <s v="Navy"/>
    <s v="50W x 32L"/>
    <s v="-"/>
    <s v=""/>
    <s v="Amazon Essentials Men's Athletic-Fit Stretch Chino Pants, Casual Business Wear, Navy, 50W x 32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XRJB"/>
    <s v="196433246594"/>
    <s v="UPC"/>
    <x v="0"/>
    <s v="AE Broken Chino - Big &amp; Tall"/>
    <x v="8"/>
    <s v="Dark Khaki"/>
    <s v="52W x 32L"/>
    <s v="-"/>
    <s v=""/>
    <s v="Amazon Essentials Men's Athletic-Fit Stretch Chino Pants, Casual Business Wear, Dark Khaki Brown, 52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WR6V"/>
    <s v="196433247997"/>
    <s v="UPC"/>
    <x v="0"/>
    <s v="AE Broken Chino - Big &amp; Tall"/>
    <x v="8"/>
    <s v="Khaki"/>
    <s v="52W x 28L"/>
    <s v="-"/>
    <s v=""/>
    <s v="Amazon Essentials Men's Athletic-Fit Stretch Chino Pants, Casual Business Wear, Khaki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W39P"/>
    <s v="196433246617"/>
    <s v="UPC"/>
    <x v="0"/>
    <s v="AE Broken Chino - Big &amp; Tall"/>
    <x v="8"/>
    <s v="Dark Khaki"/>
    <s v="44W x 34L"/>
    <s v="-"/>
    <s v=""/>
    <s v="Amazon Essentials Men's Athletic-Fit Stretch Chino Pants, Casual Business Wear, Dark Khaki Brown, 44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VV1R"/>
    <s v="196433247379"/>
    <s v="UPC"/>
    <x v="0"/>
    <s v="AE Broken Chino - Big &amp; Tall"/>
    <x v="8"/>
    <s v="Navy"/>
    <s v="46W x 30L"/>
    <s v="-"/>
    <s v=""/>
    <s v="Amazon Essentials Men's Athletic-Fit Stretch Chino Pants, Casual Business Wear, Navy, 46W x 30L"/>
    <s v="Accepted: In stock"/>
    <s v="Ship window (Collect)"/>
    <x v="0"/>
    <x v="0"/>
    <x v="0"/>
    <n v="324"/>
    <n v="324"/>
    <n v="288"/>
    <n v="288"/>
    <n v="0"/>
    <n v="36"/>
    <n v="36"/>
    <m/>
    <n v="0"/>
    <m/>
    <m/>
    <n v="288"/>
    <x v="0"/>
    <n v="288"/>
    <n v="36"/>
    <m/>
    <n v="2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VTHM"/>
    <s v="196433246761"/>
    <s v="UPC"/>
    <x v="0"/>
    <s v="AE Broken Chino - Big &amp; Tall"/>
    <x v="8"/>
    <s v="Dark Khaki"/>
    <s v="52W x 34L"/>
    <s v="-"/>
    <s v=""/>
    <s v="Amazon Essentials Men's Athletic-Fit Stretch Chino Pants, Casual Business Wear, Dark Khaki Brown, 52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VTGB"/>
    <s v="196433246181"/>
    <s v="UPC"/>
    <x v="0"/>
    <s v="AE Broken Chino - Big &amp; Tall"/>
    <x v="8"/>
    <s v="Black"/>
    <s v="44W x 30L"/>
    <s v="-"/>
    <s v=""/>
    <s v="Amazon Essentials Men's Athletic-Fit Stretch Chino Pants, Casual Business Wear, Black, 44W x 30L"/>
    <s v="Accepted: In stock"/>
    <s v="Ship window (Collect)"/>
    <x v="0"/>
    <x v="0"/>
    <x v="0"/>
    <n v="276"/>
    <n v="276"/>
    <n v="252"/>
    <n v="252"/>
    <n v="0"/>
    <n v="24"/>
    <n v="24"/>
    <m/>
    <n v="0"/>
    <m/>
    <m/>
    <n v="252"/>
    <x v="0"/>
    <n v="252"/>
    <n v="24"/>
    <m/>
    <n v="2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SS64"/>
    <s v="196433247195"/>
    <s v="UPC"/>
    <x v="0"/>
    <s v="AE Broken Chino - Big &amp; Tall"/>
    <x v="8"/>
    <s v="Navy"/>
    <s v="46W x 32L"/>
    <s v="-"/>
    <s v=""/>
    <s v="Amazon Essentials Men's Athletic-Fit Stretch Chino Pants, Casual Business Wear, Navy, 46W x 32L"/>
    <s v="Accepted: In stock"/>
    <s v="Ship window (Collect)"/>
    <x v="0"/>
    <x v="0"/>
    <x v="0"/>
    <n v="216"/>
    <n v="216"/>
    <n v="204"/>
    <n v="204"/>
    <n v="0"/>
    <n v="12"/>
    <n v="12"/>
    <m/>
    <n v="0"/>
    <m/>
    <m/>
    <n v="204"/>
    <x v="0"/>
    <n v="204"/>
    <n v="12"/>
    <m/>
    <n v="1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SS63"/>
    <s v="196433247171"/>
    <s v="UPC"/>
    <x v="0"/>
    <s v="AE Broken Chino - Big &amp; Tall"/>
    <x v="8"/>
    <s v="Navy"/>
    <s v="48W x 32L"/>
    <s v="-"/>
    <s v=""/>
    <s v="Amazon Essentials Men's Athletic-Fit Stretch Chino Pants, Casual Business Wear, Navy, 48W x 32L"/>
    <s v="Accepted: In stock"/>
    <s v="Ship window (Collect)"/>
    <x v="0"/>
    <x v="0"/>
    <x v="0"/>
    <n v="180"/>
    <n v="180"/>
    <n v="156"/>
    <n v="156"/>
    <n v="0"/>
    <n v="24"/>
    <n v="24"/>
    <m/>
    <n v="0"/>
    <m/>
    <m/>
    <n v="156"/>
    <x v="0"/>
    <n v="156"/>
    <n v="24"/>
    <m/>
    <n v="1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SJBK"/>
    <s v="196433246167"/>
    <s v="UPC"/>
    <x v="0"/>
    <s v="AE Broken Chino - Big &amp; Tall"/>
    <x v="8"/>
    <s v="Dark Grey"/>
    <s v="46W x 30L"/>
    <s v="-"/>
    <s v=""/>
    <s v="Amazon Essentials Men's Athletic-Fit Stretch Chino Pants, Casual Business Wear, Dark Grey, 46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SG1Q"/>
    <s v="196433247225"/>
    <s v="UPC"/>
    <x v="0"/>
    <s v="AE Broken Chino - Big &amp; Tall"/>
    <x v="8"/>
    <s v="Navy"/>
    <s v="56W x 30L"/>
    <s v="-"/>
    <s v=""/>
    <s v="Amazon Essentials Men's Athletic-Fit Stretch Chino Pants, Casual Business Wear, Navy, 5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SG1K"/>
    <s v="196433247188"/>
    <s v="UPC"/>
    <x v="0"/>
    <s v="AE Broken Chino - Big &amp; Tall"/>
    <x v="8"/>
    <s v="Navy"/>
    <s v="54W x 30L"/>
    <s v="-"/>
    <s v=""/>
    <s v="Amazon Essentials Men's Athletic-Fit Stretch Chino Pants, Casual Business Wear, Navy, 54W x 30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R6YC"/>
    <s v="196433247102"/>
    <s v="UPC"/>
    <x v="0"/>
    <s v="AE Broken Chino - Big &amp; Tall"/>
    <x v="8"/>
    <s v="Navy"/>
    <s v="48W x 28L"/>
    <s v="-"/>
    <s v=""/>
    <s v="Amazon Essentials Men's Athletic-Fit Stretch Chino Pants, Casual Business Wear, Navy, 48W x 28L"/>
    <s v="Accepted: In stock"/>
    <s v="Ship window (Collect)"/>
    <x v="0"/>
    <x v="0"/>
    <x v="0"/>
    <n v="204"/>
    <n v="204"/>
    <n v="192"/>
    <n v="192"/>
    <n v="0"/>
    <n v="12"/>
    <n v="12"/>
    <m/>
    <n v="0"/>
    <m/>
    <m/>
    <n v="192"/>
    <x v="0"/>
    <n v="192"/>
    <n v="12"/>
    <m/>
    <n v="1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R6Y8"/>
    <s v="196433247003"/>
    <s v="UPC"/>
    <x v="0"/>
    <s v="AE Broken Chino - Big &amp; Tall"/>
    <x v="8"/>
    <s v="Khaki"/>
    <s v="48W x 28L"/>
    <s v="-"/>
    <s v=""/>
    <s v="Amazon Essentials Men's Athletic-Fit Stretch Chino Pants, Casual Business Wear, Khaki, 48W x 28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R1WB"/>
    <s v="196433246860"/>
    <s v="UPC"/>
    <x v="0"/>
    <s v="AE Broken Chino - Big &amp; Tall"/>
    <x v="8"/>
    <s v="Dark Khaki"/>
    <s v="48W x 34L"/>
    <s v="-"/>
    <s v=""/>
    <s v="Amazon Essentials Men's Athletic-Fit Stretch Chino Pants, Casual Business Wear, Dark Khaki Brown, 48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R1TX"/>
    <s v="196433246228"/>
    <s v="UPC"/>
    <x v="0"/>
    <s v="AE Broken Chino - Big &amp; Tall"/>
    <x v="8"/>
    <s v="Black"/>
    <s v="52W x 32L"/>
    <s v="-"/>
    <s v=""/>
    <s v="Amazon Essentials Men's Athletic-Fit Stretch Chino Pants, Casual Business Wear, Black, 52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QFT5"/>
    <s v="196433246204"/>
    <s v="UPC"/>
    <x v="0"/>
    <s v="AE Broken Chino - Big &amp; Tall"/>
    <x v="8"/>
    <s v="Black"/>
    <s v="60W x 32L"/>
    <s v="-"/>
    <s v=""/>
    <s v="Amazon Essentials Men's Athletic-Fit Stretch Chino Pants, Casual Business Wear, Black, 60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PR61"/>
    <s v="196433246419"/>
    <s v="UPC"/>
    <x v="0"/>
    <s v="AE Broken Chino - Big &amp; Tall"/>
    <x v="8"/>
    <s v="Black"/>
    <s v="44W x 28L"/>
    <s v="-"/>
    <s v=""/>
    <s v="Amazon Essentials Men's Athletic-Fit Stretch Chino Pants, Casual Business Wear, Black, 44W x 28L"/>
    <s v="Accepted: In stock"/>
    <s v="Ship window (Collect)"/>
    <x v="0"/>
    <x v="0"/>
    <x v="0"/>
    <n v="240"/>
    <n v="240"/>
    <n v="216"/>
    <n v="216"/>
    <n v="0"/>
    <n v="24"/>
    <n v="24"/>
    <m/>
    <n v="0"/>
    <m/>
    <m/>
    <n v="216"/>
    <x v="0"/>
    <n v="216"/>
    <n v="24"/>
    <m/>
    <n v="18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PR5N"/>
    <s v="196433246365"/>
    <s v="UPC"/>
    <x v="0"/>
    <s v="AE Broken Chino - Big &amp; Tall"/>
    <x v="8"/>
    <s v="Black"/>
    <s v="54W x 28L"/>
    <s v="-"/>
    <s v=""/>
    <s v="Amazon Essentials Men's Athletic-Fit Stretch Chino Pants, Casual Business Wear, Black, 54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MD18"/>
    <s v="196433248161"/>
    <s v="UPC"/>
    <x v="0"/>
    <s v="AE Broken Chino - Big &amp; Tall"/>
    <x v="8"/>
    <s v="Khaki"/>
    <s v="50W x 30L"/>
    <s v="-"/>
    <s v=""/>
    <s v="Amazon Essentials Men's Athletic-Fit Stretch Chino Pants, Casual Business Wear, Khaki, 50W x 30L"/>
    <s v="Accepted: In stock"/>
    <s v="Ship window (Collect)"/>
    <x v="0"/>
    <x v="0"/>
    <x v="0"/>
    <n v="168"/>
    <n v="168"/>
    <n v="180"/>
    <n v="180"/>
    <n v="0"/>
    <n v="-12"/>
    <m/>
    <m/>
    <m/>
    <m/>
    <m/>
    <n v="168"/>
    <x v="0"/>
    <n v="168"/>
    <n v="0"/>
    <m/>
    <n v="1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FWB3"/>
    <s v="196433247256"/>
    <s v="UPC"/>
    <x v="0"/>
    <s v="AE Broken Chino - Big &amp; Tall"/>
    <x v="8"/>
    <s v="Navy"/>
    <s v="44W x 28L"/>
    <s v="-"/>
    <s v=""/>
    <s v="Amazon Essentials Men's Athletic-Fit Stretch Chino Pants, Casual Business Wear, Navy, 44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FW8D"/>
    <s v="196433246556"/>
    <s v="UPC"/>
    <x v="0"/>
    <s v="AE Broken Chino - Big &amp; Tall"/>
    <x v="8"/>
    <s v="Dark Khaki"/>
    <s v="44W x 30L"/>
    <s v="-"/>
    <s v=""/>
    <s v="Amazon Essentials Men's Athletic-Fit Stretch Chino Pants, Casual Business Wear, Dark Khaki Brown, 44W x 30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CBXM"/>
    <s v="196433246754"/>
    <s v="UPC"/>
    <x v="0"/>
    <s v="AE Broken Chino - Big &amp; Tall"/>
    <x v="8"/>
    <s v="Dark Khaki"/>
    <s v="56W x 30L"/>
    <s v="-"/>
    <s v=""/>
    <s v="Amazon Essentials Men's Athletic-Fit Stretch Chino Pants, Casual Business Wear, Dark Khaki Brown, 5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C7JR"/>
    <s v="196433247164"/>
    <s v="UPC"/>
    <x v="0"/>
    <s v="AE Broken Chino - Big &amp; Tall"/>
    <x v="8"/>
    <s v="Navy"/>
    <s v="58W x 34L"/>
    <s v="-"/>
    <s v=""/>
    <s v="Amazon Essentials Men's Athletic-Fit Stretch Chino Pants, Casual Business Wear, Navy, 5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BZK3"/>
    <s v="196433248222"/>
    <s v="UPC"/>
    <x v="0"/>
    <s v="AE Broken Chino - Big &amp; Tall"/>
    <x v="8"/>
    <s v="Khaki"/>
    <s v="46W x 30L"/>
    <s v="-"/>
    <s v=""/>
    <s v="Amazon Essentials Men's Athletic-Fit Stretch Chino Pants, Casual Business Wear, Khaki, 4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B44X"/>
    <s v="196433247843"/>
    <s v="UPC"/>
    <x v="0"/>
    <s v="AE Broken Chino - Big &amp; Tall"/>
    <x v="8"/>
    <s v="Dark Grey"/>
    <s v="48W x 28L"/>
    <s v="-"/>
    <s v=""/>
    <s v="Amazon Essentials Men's Athletic-Fit Stretch Chino Pants, Casual Business Wear, Dark Grey, 48W x 28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B41S"/>
    <s v="196433246457"/>
    <s v="UPC"/>
    <x v="0"/>
    <s v="AE Broken Chino - Big &amp; Tall"/>
    <x v="8"/>
    <s v="Black"/>
    <s v="54W x 32L"/>
    <s v="-"/>
    <s v=""/>
    <s v="Amazon Essentials Men's Athletic-Fit Stretch Chino Pants, Casual Business Wear, Black, 54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9TMT"/>
    <s v="196433246952"/>
    <s v="UPC"/>
    <x v="0"/>
    <s v="AE Broken Chino - Big &amp; Tall"/>
    <x v="8"/>
    <s v="Khaki"/>
    <s v="50W x 34L"/>
    <s v="-"/>
    <s v=""/>
    <s v="Amazon Essentials Men's Athletic-Fit Stretch Chino Pants, Casual Business Wear, Khaki, 50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9TLK"/>
    <s v="196433246334"/>
    <s v="UPC"/>
    <x v="0"/>
    <s v="AE Broken Chino - Big &amp; Tall"/>
    <x v="8"/>
    <s v="Black"/>
    <s v="48W x 32L"/>
    <s v="-"/>
    <s v=""/>
    <s v="Amazon Essentials Men's Athletic-Fit Stretch Chino Pants, Casual Business Wear, Black, 48W x 32L"/>
    <s v="Accepted: In stock"/>
    <s v="Ship window (Collect)"/>
    <x v="0"/>
    <x v="0"/>
    <x v="0"/>
    <n v="312"/>
    <n v="312"/>
    <n v="336"/>
    <n v="336"/>
    <n v="0"/>
    <n v="-24"/>
    <m/>
    <m/>
    <m/>
    <m/>
    <m/>
    <n v="312"/>
    <x v="0"/>
    <n v="312"/>
    <n v="0"/>
    <m/>
    <n v="2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9PHF"/>
    <s v="196433248109"/>
    <s v="UPC"/>
    <x v="0"/>
    <s v="AE Broken Chino - Big &amp; Tall"/>
    <x v="8"/>
    <s v="Khaki"/>
    <s v="44W x 28L"/>
    <s v="-"/>
    <s v=""/>
    <s v="Amazon Essentials Men's Athletic-Fit Stretch Chino Pants, Casual Business Wear, Khaki, 4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91M9"/>
    <s v="196433246211"/>
    <s v="UPC"/>
    <x v="0"/>
    <s v="AE Broken Chino - Big &amp; Tall"/>
    <x v="8"/>
    <s v="Black"/>
    <s v="50W x 34L"/>
    <s v="-"/>
    <s v=""/>
    <s v="Amazon Essentials Men's Athletic-Fit Stretch Chino Pants, Casual Business Wear, Black, 50W x 34L"/>
    <s v="Accepted: In stock"/>
    <s v="Ship window (Collect)"/>
    <x v="0"/>
    <x v="0"/>
    <x v="0"/>
    <n v="132"/>
    <n v="132"/>
    <n v="132"/>
    <n v="132"/>
    <n v="0"/>
    <n v="0"/>
    <m/>
    <m/>
    <n v="0"/>
    <m/>
    <m/>
    <n v="132"/>
    <x v="0"/>
    <n v="132"/>
    <n v="0"/>
    <m/>
    <n v="1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8WCQ"/>
    <s v="196433247829"/>
    <s v="UPC"/>
    <x v="0"/>
    <s v="AE Broken Chino - Big &amp; Tall"/>
    <x v="8"/>
    <s v="Dark Grey"/>
    <s v="44W x 34L"/>
    <s v="-"/>
    <s v=""/>
    <s v="Amazon Essentials Men's Athletic-Fit Stretch Chino Pants, Casual Business Wear, Dark Grey, 44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8CCV"/>
    <s v="196433246624"/>
    <s v="UPC"/>
    <x v="0"/>
    <s v="AE Broken Chino - Big &amp; Tall"/>
    <x v="8"/>
    <s v="Dark Khaki"/>
    <s v="56W x 32L"/>
    <s v="-"/>
    <s v=""/>
    <s v="Amazon Essentials Men's Athletic-Fit Stretch Chino Pants, Casual Business Wear, Dark Khaki Brown, 56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7VDG"/>
    <s v="196433246891"/>
    <s v="UPC"/>
    <x v="0"/>
    <s v="AE Broken Chino - Big &amp; Tall"/>
    <x v="8"/>
    <s v="Dark Khaki"/>
    <s v="44W x 32L"/>
    <s v="-"/>
    <s v=""/>
    <s v="Amazon Essentials Men's Athletic-Fit Stretch Chino Pants, Casual Business Wear, Dark Khaki Brown, 44W x 32L"/>
    <s v="Accepted: In stock"/>
    <s v="Ship window (Collect)"/>
    <x v="0"/>
    <x v="0"/>
    <x v="0"/>
    <n v="276"/>
    <n v="276"/>
    <n v="252"/>
    <n v="252"/>
    <n v="0"/>
    <n v="24"/>
    <n v="24"/>
    <m/>
    <n v="0"/>
    <m/>
    <m/>
    <n v="252"/>
    <x v="0"/>
    <n v="252"/>
    <n v="24"/>
    <m/>
    <n v="2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7VD4"/>
    <s v="196433246785"/>
    <s v="UPC"/>
    <x v="0"/>
    <s v="AE Broken Chino - Big &amp; Tall"/>
    <x v="8"/>
    <s v="Dark Khaki"/>
    <s v="44W x 28L"/>
    <s v="-"/>
    <s v=""/>
    <s v="Amazon Essentials Men's Athletic-Fit Stretch Chino Pants, Casual Business Wear, Dark Khaki Brown, 44W x 28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7FSF"/>
    <s v="196433246341"/>
    <s v="UPC"/>
    <x v="0"/>
    <s v="AE Broken Chino - Big &amp; Tall"/>
    <x v="8"/>
    <s v="Black"/>
    <s v="54W x 30L"/>
    <s v="-"/>
    <s v=""/>
    <s v="Amazon Essentials Men's Athletic-Fit Stretch Chino Pants, Casual Business Wear, Black, 54W x 30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7FRS"/>
    <s v="196433246044"/>
    <s v="UPC"/>
    <x v="0"/>
    <s v="AE Broken Chino - Big &amp; Tall"/>
    <x v="8"/>
    <s v="Dark Grey"/>
    <s v="44W x 28L"/>
    <s v="-"/>
    <s v=""/>
    <s v="Amazon Essentials Men's Athletic-Fit Stretch Chino Pants, Casual Business Wear, Dark Grey, 44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6XVS"/>
    <s v="196433248024"/>
    <s v="UPC"/>
    <x v="0"/>
    <s v="AE Broken Chino - Big &amp; Tall"/>
    <x v="8"/>
    <s v="Khaki"/>
    <s v="48W x 32L"/>
    <s v="-"/>
    <s v=""/>
    <s v="Amazon Essentials Men's Athletic-Fit Stretch Chino Pants, Casual Business Wear, Khaki, 48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6XVH"/>
    <s v="196433247911"/>
    <s v="UPC"/>
    <x v="0"/>
    <s v="AE Broken Chino - Big &amp; Tall"/>
    <x v="8"/>
    <s v="Dark Grey"/>
    <s v="48W x 32L"/>
    <s v="-"/>
    <s v=""/>
    <s v="Amazon Essentials Men's Athletic-Fit Stretch Chino Pants, Casual Business Wear, Dark Grey, 48W x 32L"/>
    <s v="Accepted: In stock"/>
    <s v="Ship window (Collect)"/>
    <x v="0"/>
    <x v="0"/>
    <x v="0"/>
    <n v="120"/>
    <n v="120"/>
    <n v="96"/>
    <n v="96"/>
    <n v="0"/>
    <n v="24"/>
    <n v="24"/>
    <m/>
    <n v="0"/>
    <m/>
    <m/>
    <n v="96"/>
    <x v="0"/>
    <n v="96"/>
    <n v="24"/>
    <m/>
    <n v="8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6RKB"/>
    <s v="196433246730"/>
    <s v="UPC"/>
    <x v="0"/>
    <s v="AE Broken Chino - Big &amp; Tall"/>
    <x v="8"/>
    <s v="Dark Khaki"/>
    <s v="54W x 28L"/>
    <s v="-"/>
    <s v=""/>
    <s v="Amazon Essentials Men's Athletic-Fit Stretch Chino Pants, Casual Business Wear, Dark Khaki Brown, 54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5MBT"/>
    <s v="196433247874"/>
    <s v="UPC"/>
    <x v="0"/>
    <s v="AE Broken Chino - Big &amp; Tall"/>
    <x v="8"/>
    <s v="Dark Grey"/>
    <s v="46W x 34L"/>
    <s v="-"/>
    <s v=""/>
    <s v="Amazon Essentials Men's Athletic-Fit Stretch Chino Pants, Casual Business Wear, Dark Grey, 46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5KXS"/>
    <s v="196433247140"/>
    <s v="UPC"/>
    <x v="0"/>
    <s v="AE Broken Chino - Big &amp; Tall"/>
    <x v="8"/>
    <s v="Navy"/>
    <s v="52W x 28L"/>
    <s v="-"/>
    <s v=""/>
    <s v="Amazon Essentials Men's Athletic-Fit Stretch Chino Pants, Casual Business Wear, Navy, 52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5KX7"/>
    <s v="196433246969"/>
    <s v="UPC"/>
    <x v="0"/>
    <s v="AE Broken Chino - Big &amp; Tall"/>
    <x v="8"/>
    <s v="Khaki"/>
    <s v="52W x 32L"/>
    <s v="-"/>
    <s v=""/>
    <s v="Amazon Essentials Men's Athletic-Fit Stretch Chino Pants, Casual Business Wear, Khaki, 5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4P1M"/>
    <s v="196433246945"/>
    <s v="UPC"/>
    <x v="0"/>
    <s v="AE Broken Chino - Big &amp; Tall"/>
    <x v="8"/>
    <s v="Khaki"/>
    <s v="60W x 32L"/>
    <s v="-"/>
    <s v=""/>
    <s v="Amazon Essentials Men's Athletic-Fit Stretch Chino Pants, Casual Business Wear, Khaki, 60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4NZ6"/>
    <s v="196433246259"/>
    <s v="UPC"/>
    <x v="0"/>
    <s v="AE Broken Chino - Big &amp; Tall"/>
    <x v="8"/>
    <s v="Black"/>
    <s v="56W x 32L"/>
    <s v="-"/>
    <s v=""/>
    <s v="Amazon Essentials Men's Athletic-Fit Stretch Chino Pants, Casual Business Wear, Black, 56W x 32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473L"/>
    <s v="196433246723"/>
    <s v="UPC"/>
    <x v="0"/>
    <s v="AE Broken Chino - Big &amp; Tall"/>
    <x v="8"/>
    <s v="Dark Khaki"/>
    <s v="46W x 32L"/>
    <s v="-"/>
    <s v=""/>
    <s v="Amazon Essentials Men's Athletic-Fit Stretch Chino Pants, Casual Business Wear, Dark Khaki Brown, 46W x 32L"/>
    <s v="Accepted: In stock"/>
    <s v="Ship window (Collect)"/>
    <x v="0"/>
    <x v="0"/>
    <x v="0"/>
    <n v="144"/>
    <n v="144"/>
    <n v="132"/>
    <n v="132"/>
    <n v="0"/>
    <n v="12"/>
    <n v="12"/>
    <m/>
    <n v="0"/>
    <m/>
    <m/>
    <n v="132"/>
    <x v="0"/>
    <n v="132"/>
    <n v="12"/>
    <m/>
    <n v="1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473D"/>
    <s v="196433246662"/>
    <s v="UPC"/>
    <x v="0"/>
    <s v="AE Broken Chino - Big &amp; Tall"/>
    <x v="8"/>
    <s v="Dark Khaki"/>
    <s v="46W x 34L"/>
    <s v="-"/>
    <s v=""/>
    <s v="Amazon Essentials Men's Athletic-Fit Stretch Chino Pants, Casual Business Wear, Dark Khaki Brown, 46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3JTP"/>
    <s v="196433246792"/>
    <s v="UPC"/>
    <x v="0"/>
    <s v="AE Broken Chino - Big &amp; Tall"/>
    <x v="8"/>
    <s v="Dark Khaki"/>
    <s v="58W x 32L"/>
    <s v="-"/>
    <s v=""/>
    <s v="Amazon Essentials Men's Athletic-Fit Stretch Chino Pants, Casual Business Wear, Dark Khaki Brown, 58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3JSB"/>
    <s v="196433246112"/>
    <s v="UPC"/>
    <x v="0"/>
    <s v="AE Broken Chino - Big &amp; Tall"/>
    <x v="8"/>
    <s v="Dark Grey"/>
    <s v="46W x 28L"/>
    <s v="-"/>
    <s v=""/>
    <s v="Amazon Essentials Men's Athletic-Fit Stretch Chino Pants, Casual Business Wear, Dark Grey, 46W x 28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2VV4"/>
    <s v="196433247768"/>
    <s v="UPC"/>
    <x v="0"/>
    <s v="AE Broken Chino - Big &amp; Tall"/>
    <x v="8"/>
    <s v="Dark Grey"/>
    <s v="44W x 30L"/>
    <s v="-"/>
    <s v=""/>
    <s v="Amazon Essentials Men's Athletic-Fit Stretch Chino Pants, Casual Business Wear, Dark Grey, 44W x 30L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0"/>
    <n v="240"/>
    <n v="0"/>
    <m/>
    <n v="20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2VQH"/>
    <s v="196433246297"/>
    <s v="UPC"/>
    <x v="0"/>
    <s v="AE Broken Chino - Big &amp; Tall"/>
    <x v="8"/>
    <s v="Black"/>
    <s v="46W x 34L"/>
    <s v="-"/>
    <s v=""/>
    <s v="Amazon Essentials Men's Athletic-Fit Stretch Chino Pants, Casual Business Wear, Black, 46W x 34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2VQ8"/>
    <s v="196433246174"/>
    <s v="UPC"/>
    <x v="0"/>
    <s v="AE Broken Chino - Big &amp; Tall"/>
    <x v="8"/>
    <s v="Dark Grey"/>
    <s v="50W x 32L"/>
    <s v="-"/>
    <s v=""/>
    <s v="Amazon Essentials Men's Athletic-Fit Stretch Chino Pants, Casual Business Wear, Dark Grey, 50W x 32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2V7T"/>
    <s v="196433247980"/>
    <s v="UPC"/>
    <x v="0"/>
    <s v="AE Broken Chino - Big &amp; Tall"/>
    <x v="8"/>
    <s v="Khaki"/>
    <s v="46W x 34L"/>
    <s v="-"/>
    <s v=""/>
    <s v="Amazon Essentials Men's Athletic-Fit Stretch Chino Pants, Casual Business Wear, Khaki, 46W x 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2V68"/>
    <s v="196433247270"/>
    <s v="UPC"/>
    <x v="0"/>
    <s v="AE Broken Chino - Big &amp; Tall"/>
    <x v="8"/>
    <s v="Navy"/>
    <s v="48W x 30L"/>
    <s v="-"/>
    <s v=""/>
    <s v="Amazon Essentials Men's Athletic-Fit Stretch Chino Pants, Casual Business Wear, Navy, 48W x 30L"/>
    <s v="Accepted: In stock"/>
    <s v="Ship window (Collect)"/>
    <x v="0"/>
    <x v="0"/>
    <x v="0"/>
    <n v="204"/>
    <n v="204"/>
    <n v="192"/>
    <n v="192"/>
    <n v="0"/>
    <n v="12"/>
    <n v="12"/>
    <m/>
    <n v="0"/>
    <m/>
    <m/>
    <n v="192"/>
    <x v="0"/>
    <n v="192"/>
    <n v="12"/>
    <m/>
    <n v="16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427JX"/>
    <s v="196433247805"/>
    <s v="UPC"/>
    <x v="0"/>
    <s v="AE Broken Chino - Big &amp; Tall"/>
    <x v="8"/>
    <s v="Dark Grey"/>
    <s v="52W x 32L"/>
    <s v="-"/>
    <s v=""/>
    <s v="Amazon Essentials Men's Athletic-Fit Stretch Chino Pants, Casual Business Wear, Dark Grey, 52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427GM"/>
    <s v="196433246815"/>
    <s v="UPC"/>
    <x v="0"/>
    <s v="AE Broken Chino - Big &amp; Tall"/>
    <x v="8"/>
    <s v="Dark Khaki"/>
    <s v="52W x 30L"/>
    <s v="-"/>
    <s v=""/>
    <s v="Amazon Essentials Men's Athletic-Fit Stretch Chino Pants, Casual Business Wear, Dark Khaki Brown, 52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XBRL"/>
    <s v="196433246846"/>
    <s v="UPC"/>
    <x v="0"/>
    <s v="AE Broken Chino - Big &amp; Tall"/>
    <x v="8"/>
    <s v="Dark Khaki"/>
    <s v="50W x 30L"/>
    <s v="-"/>
    <s v=""/>
    <s v="Amazon Essentials Men's Athletic-Fit Stretch Chino Pants, Casual Business Wear, Dark Khaki Brown, 50W x 30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WS6W"/>
    <s v="196433246600"/>
    <s v="UPC"/>
    <x v="0"/>
    <s v="AE Broken Chino - Big &amp; Tall"/>
    <x v="8"/>
    <s v="Dark Khaki"/>
    <s v="50W x 28L"/>
    <s v="-"/>
    <s v=""/>
    <s v="Amazon Essentials Men's Athletic-Fit Stretch Chino Pants, Casual Business Wear, Dark Khaki Brown, 50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WS6J"/>
    <s v="196433246495"/>
    <s v="UPC"/>
    <x v="0"/>
    <s v="AE Broken Chino - Big &amp; Tall"/>
    <x v="8"/>
    <s v="Black"/>
    <s v="48W x 34L"/>
    <s v="-"/>
    <s v=""/>
    <s v="Amazon Essentials Men's Athletic-Fit Stretch Chino Pants, Casual Business Wear, Black, 48W x 34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WS6B"/>
    <s v="196433246402"/>
    <s v="UPC"/>
    <x v="0"/>
    <s v="AE Broken Chino - Big &amp; Tall"/>
    <x v="8"/>
    <s v="Black"/>
    <s v="56W x 34L"/>
    <s v="-"/>
    <s v=""/>
    <s v="Amazon Essentials Men's Athletic-Fit Stretch Chino Pants, Casual Business Wear, Black, 56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SCPM"/>
    <s v="196433247331"/>
    <s v="UPC"/>
    <x v="0"/>
    <s v="AE Broken Chino - Big &amp; Tall"/>
    <x v="8"/>
    <s v="Navy"/>
    <s v="48W x 34L"/>
    <s v="-"/>
    <s v=""/>
    <s v="Amazon Essentials Men's Athletic-Fit Stretch Chino Pants, Casual Business Wear, Navy, 48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RML4"/>
    <s v="196433246532"/>
    <s v="UPC"/>
    <x v="0"/>
    <s v="AE Broken Chino - Big &amp; Tall"/>
    <x v="8"/>
    <s v="Black"/>
    <s v="46W x 30L"/>
    <s v="-"/>
    <s v=""/>
    <s v="Amazon Essentials Men's Athletic-Fit Stretch Chino Pants, Casual Business Wear, Black, 46W x 30L"/>
    <s v="Accepted: In stock"/>
    <s v="Ship window (Collect)"/>
    <x v="0"/>
    <x v="0"/>
    <x v="0"/>
    <n v="216"/>
    <n v="216"/>
    <n v="204"/>
    <n v="204"/>
    <n v="0"/>
    <n v="12"/>
    <n v="12"/>
    <m/>
    <n v="0"/>
    <m/>
    <m/>
    <n v="204"/>
    <x v="0"/>
    <n v="204"/>
    <n v="12"/>
    <m/>
    <n v="1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RMKY"/>
    <s v="196433246488"/>
    <s v="UPC"/>
    <x v="0"/>
    <s v="AE Broken Chino - Big &amp; Tall"/>
    <x v="8"/>
    <s v="Black"/>
    <s v="46W x 28L"/>
    <s v="-"/>
    <s v=""/>
    <s v="Amazon Essentials Men's Athletic-Fit Stretch Chino Pants, Casual Business Wear, Black, 46W x 28L"/>
    <s v="Accepted: In stock"/>
    <s v="Ship window (Collect)"/>
    <x v="0"/>
    <x v="0"/>
    <x v="0"/>
    <n v="228"/>
    <n v="228"/>
    <n v="240"/>
    <n v="240"/>
    <n v="0"/>
    <n v="-12"/>
    <m/>
    <m/>
    <n v="0"/>
    <m/>
    <m/>
    <n v="228"/>
    <x v="0"/>
    <n v="228"/>
    <n v="0"/>
    <m/>
    <n v="19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R4TV"/>
    <s v="196433246921"/>
    <s v="UPC"/>
    <x v="0"/>
    <s v="AE Broken Chino - Big &amp; Tall"/>
    <x v="8"/>
    <s v="Khaki"/>
    <s v="44W x 30L"/>
    <s v="-"/>
    <s v=""/>
    <s v="Amazon Essentials Men's Athletic-Fit Stretch Chino Pants, Casual Business Wear, Khaki, 44W x 30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LG4V"/>
    <s v="196433247935"/>
    <s v="UPC"/>
    <x v="0"/>
    <s v="AE Broken Chino - Big &amp; Tall"/>
    <x v="8"/>
    <s v="Dark Grey"/>
    <s v="46W x 32L"/>
    <s v="-"/>
    <s v=""/>
    <s v="Amazon Essentials Men's Athletic-Fit Stretch Chino Pants, Casual Business Wear, Dark Grey, 46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3LG4G"/>
    <s v="196433247812"/>
    <s v="UPC"/>
    <x v="0"/>
    <s v="AE Broken Chino - Big &amp; Tall"/>
    <x v="8"/>
    <s v="Dark Grey"/>
    <s v="50W x 28L"/>
    <s v="-"/>
    <s v=""/>
    <s v="Amazon Essentials Men's Athletic-Fit Stretch Chino Pants, Casual Business Wear, Dark Grey, 5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3LG2M"/>
    <s v="196433247010"/>
    <s v="UPC"/>
    <x v="0"/>
    <s v="AE Broken Chino - Big &amp; Tall"/>
    <x v="8"/>
    <s v="Khaki"/>
    <s v="60W x 30L"/>
    <s v="-"/>
    <s v=""/>
    <s v="Amazon Essentials Men's Athletic-Fit Stretch Chino Pants, Casual Business Wear, Khaki, 6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LG1K"/>
    <s v="196433246518"/>
    <s v="UPC"/>
    <x v="0"/>
    <s v="AE Broken Chino - Big &amp; Tall"/>
    <x v="8"/>
    <s v="Black"/>
    <s v="54W x 34L"/>
    <s v="-"/>
    <s v=""/>
    <s v="Amazon Essentials Men's Athletic-Fit Stretch Chino Pants, Casual Business Wear, Black, 54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JQNQ"/>
    <s v="196433247317"/>
    <s v="UPC"/>
    <x v="0"/>
    <s v="AE Broken Chino - Big &amp; Tall"/>
    <x v="8"/>
    <s v="Navy"/>
    <s v="50W x 30L"/>
    <s v="-"/>
    <s v=""/>
    <s v="Amazon Essentials Men's Athletic-Fit Stretch Chino Pants, Casual Business Wear, Navy, 50W x 30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J9Y8"/>
    <s v="196433246501"/>
    <s v="UPC"/>
    <x v="0"/>
    <s v="AE Broken Chino - Big &amp; Tall"/>
    <x v="8"/>
    <s v="Black"/>
    <s v="56W x 28L"/>
    <s v="-"/>
    <s v=""/>
    <s v="Amazon Essentials Men's Athletic-Fit Stretch Chino Pants, Casual Business Wear, Black, 56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HBC6"/>
    <s v="196433246440"/>
    <s v="UPC"/>
    <x v="0"/>
    <s v="AE Broken Chino - Big &amp; Tall"/>
    <x v="8"/>
    <s v="Black"/>
    <s v="52W x 30L"/>
    <s v="-"/>
    <s v=""/>
    <s v="Amazon Essentials Men's Athletic-Fit Stretch Chino Pants, Casual Business Wear, Black, 52W x 30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HBBV"/>
    <s v="196433246303"/>
    <s v="UPC"/>
    <x v="0"/>
    <s v="AE Broken Chino - Big &amp; Tall"/>
    <x v="8"/>
    <s v="Black"/>
    <s v="52W x 28L"/>
    <s v="-"/>
    <s v=""/>
    <s v="Amazon Essentials Men's Athletic-Fit Stretch Chino Pants, Casual Business Wear, Black, 52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HBBK"/>
    <s v="196433246129"/>
    <s v="UPC"/>
    <x v="0"/>
    <s v="AE Broken Chino - Big &amp; Tall"/>
    <x v="8"/>
    <s v="Dark Grey"/>
    <s v="48W x 34L"/>
    <s v="-"/>
    <s v=""/>
    <s v="Amazon Essentials Men's Athletic-Fit Stretch Chino Pants, Casual Business Wear, Dark Grey, 48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27"/>
    <s v="USD"/>
    <n v="11.27"/>
    <b v="1"/>
    <m/>
    <m/>
    <s v="TH"/>
    <x v="0"/>
    <s v="EGMCL"/>
    <s v="EG7-10270"/>
    <x v="2"/>
    <x v="2"/>
  </r>
  <r>
    <x v="2"/>
    <x v="2"/>
    <x v="0"/>
    <s v="ITHC - SI RACHA, Bangkok"/>
    <s v="B09LS3FLDK"/>
    <s v="196433246563"/>
    <s v="UPC"/>
    <x v="0"/>
    <s v="AE Broken Chino - Big &amp; Tall"/>
    <x v="8"/>
    <s v="Dark Khaki"/>
    <s v="58W x 28L"/>
    <s v="-"/>
    <s v=""/>
    <s v="Amazon Essentials Men's Athletic-Fit Stretch Chino Pants, Casual Business Wear, Dark Khaki Brown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9RWC"/>
    <s v="196433246389"/>
    <s v="UPC"/>
    <x v="0"/>
    <s v="AE Broken Chino - Big &amp; Tall"/>
    <x v="8"/>
    <s v="Black"/>
    <s v="56W x 30L"/>
    <s v="-"/>
    <s v=""/>
    <s v="Amazon Essentials Men's Athletic-Fit Stretch Chino Pants, Casual Business Wear, Black, 5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35GYP"/>
    <s v="196433246525"/>
    <s v="UPC"/>
    <x v="0"/>
    <s v="AE Broken Chino - Big &amp; Tall"/>
    <x v="8"/>
    <s v="Black"/>
    <s v="44W x 32L"/>
    <s v="-"/>
    <s v=""/>
    <s v="Amazon Essentials Men's Athletic-Fit Stretch Chino Pants, Casual Business Wear, Black, 44W x 32L"/>
    <s v="Accepted: In stock"/>
    <s v="Ship window (Collect)"/>
    <x v="0"/>
    <x v="0"/>
    <x v="0"/>
    <n v="264"/>
    <n v="264"/>
    <n v="288"/>
    <n v="288"/>
    <n v="0"/>
    <n v="-24"/>
    <m/>
    <m/>
    <n v="0"/>
    <m/>
    <m/>
    <n v="264"/>
    <x v="0"/>
    <n v="264"/>
    <n v="0"/>
    <m/>
    <n v="22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S2MJ9X"/>
    <s v="196433246433"/>
    <s v="UPC"/>
    <x v="0"/>
    <s v="AE Broken Chino - Big &amp; Tall"/>
    <x v="8"/>
    <s v="Black"/>
    <s v="48W x 30L"/>
    <s v="-"/>
    <s v=""/>
    <s v="Amazon Essentials Men's Athletic-Fit Stretch Chino Pants, Casual Business Wear, Black, 48W x 30L"/>
    <s v="Accepted: In stock"/>
    <s v="Ship window (Collect)"/>
    <x v="0"/>
    <x v="0"/>
    <x v="0"/>
    <n v="324"/>
    <n v="324"/>
    <n v="288"/>
    <n v="288"/>
    <n v="0"/>
    <n v="36"/>
    <n v="36"/>
    <m/>
    <n v="0"/>
    <m/>
    <m/>
    <n v="288"/>
    <x v="0"/>
    <n v="288"/>
    <n v="36"/>
    <m/>
    <n v="24"/>
    <n v="11.16"/>
    <s v="USD"/>
    <n v="11.16"/>
    <b v="1"/>
    <m/>
    <m/>
    <s v="TH"/>
    <x v="0"/>
    <s v="EGMCL"/>
    <s v="EG7-10270"/>
    <x v="2"/>
    <x v="2"/>
  </r>
  <r>
    <x v="2"/>
    <x v="2"/>
    <x v="0"/>
    <s v="ITHC - SI RACHA, Bangkok"/>
    <s v="B09LRXGCLD"/>
    <s v="196433248925"/>
    <s v="UPC"/>
    <x v="0"/>
    <s v="AE- Big &amp; tall Cargo Pant"/>
    <x v="9"/>
    <s v="Dark Grey"/>
    <s v="46W x 28L"/>
    <s v="-"/>
    <s v=""/>
    <s v="Amazon Essentials Men's Straight-Fit Breathable Stretch Cargo Pants (Available in Big &amp; Tall), Dark Grey, 46W x 28L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XG32T"/>
    <s v="196433248338"/>
    <s v="UPC"/>
    <x v="0"/>
    <s v="AE- Big &amp; tall Cargo Pant"/>
    <x v="9"/>
    <s v="Black"/>
    <s v="46W x 30L"/>
    <s v="-"/>
    <s v=""/>
    <s v="Amazon Essentials Men's Straight-Fit Breathable Stretch Cargo Pants (Available in Big &amp; Tall), Black, 46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XG32Q"/>
    <s v="196433248284"/>
    <s v="UPC"/>
    <x v="0"/>
    <s v="AE- Big &amp; tall Cargo Pant"/>
    <x v="9"/>
    <s v="Black"/>
    <s v="48W x 32L"/>
    <s v="-"/>
    <s v=""/>
    <s v="Amazon Essentials Men's Straight-Fit Breathable Stretch Cargo Pants (Available in Big &amp; Tall), Black, 48W x 32L"/>
    <s v="Accepted: In stock"/>
    <s v="Ship window (Collect)"/>
    <x v="0"/>
    <x v="0"/>
    <x v="0"/>
    <n v="252"/>
    <n v="252"/>
    <n v="276"/>
    <n v="276"/>
    <n v="0"/>
    <n v="-24"/>
    <m/>
    <m/>
    <n v="0"/>
    <m/>
    <m/>
    <n v="252"/>
    <x v="0"/>
    <n v="252"/>
    <n v="0"/>
    <m/>
    <n v="2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X2F8B"/>
    <s v="196433248802"/>
    <s v="UPC"/>
    <x v="0"/>
    <s v="AE- Big &amp; tall Cargo Pant"/>
    <x v="9"/>
    <s v="Dark Grey"/>
    <s v="52W x 30L"/>
    <s v="-"/>
    <s v=""/>
    <s v="Amazon Essentials Men's Straight-Fit Breathable Stretch Cargo Pants (Available in Big &amp; Tall), Dark Grey, 52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ZVS6"/>
    <s v="196433248901"/>
    <s v="UPC"/>
    <x v="0"/>
    <s v="AE- Big &amp; tall Cargo Pant"/>
    <x v="9"/>
    <s v="Dark Grey"/>
    <s v="50W x 30L"/>
    <s v="-"/>
    <s v=""/>
    <s v="Amazon Essentials Men's Straight-Fit Breathable Stretch Cargo Pants (Available in Big &amp; Tall), Dark Grey, 50W x 30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X8QX"/>
    <s v="196433248475"/>
    <s v="UPC"/>
    <x v="0"/>
    <s v="AE- Big &amp; tall Cargo Pant"/>
    <x v="9"/>
    <s v="Navy"/>
    <s v="50W x 32L"/>
    <s v="-"/>
    <s v=""/>
    <s v="Amazon Essentials Men's Straight-Fit Breathable Stretch Cargo Pants (Available in Big &amp; Tall), Navy, 50W x 32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X139"/>
    <s v="196433249021"/>
    <s v="UPC"/>
    <x v="0"/>
    <s v="AE- Big &amp; tall Cargo Pant"/>
    <x v="9"/>
    <s v="Dark Grey"/>
    <s v="48W x 32L"/>
    <s v="-"/>
    <s v=""/>
    <s v="Amazon Essentials Men's Straight-Fit Breathable Stretch Cargo Pants (Available in Big &amp; Tall), Dark Grey, 48W x 32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WZYX"/>
    <s v="196433248437"/>
    <s v="UPC"/>
    <x v="0"/>
    <s v="AE- Big &amp; tall Cargo Pant"/>
    <x v="9"/>
    <s v="Navy"/>
    <s v="52W x 30L"/>
    <s v="-"/>
    <s v=""/>
    <s v="Amazon Essentials Men's Straight-Fit Breathable Stretch Cargo Pants (Available in Big &amp; Tall), Navy, 52W x 30L"/>
    <s v="Accepted: In stock"/>
    <s v="Ship window (Collect)"/>
    <x v="0"/>
    <x v="0"/>
    <x v="0"/>
    <n v="180"/>
    <n v="180"/>
    <n v="192"/>
    <n v="192"/>
    <n v="0"/>
    <n v="-12"/>
    <m/>
    <m/>
    <m/>
    <m/>
    <m/>
    <n v="180"/>
    <x v="0"/>
    <n v="180"/>
    <n v="0"/>
    <m/>
    <n v="1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WZY9"/>
    <s v="196433250089"/>
    <s v="UPC"/>
    <x v="0"/>
    <s v="AE- Big &amp; tall Cargo Pant"/>
    <x v="9"/>
    <s v="Black"/>
    <s v="60W x 32L"/>
    <s v="-"/>
    <s v=""/>
    <s v="Amazon Essentials Men's Straight-Fit Breathable Stretch Cargo Pants (Available in Big &amp; Tall), Black, 60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VPZL"/>
    <s v="196433249861"/>
    <s v="UPC"/>
    <x v="0"/>
    <s v="AE- Big &amp; tall Cargo Pant"/>
    <x v="9"/>
    <s v="Black"/>
    <s v="56W x 32L"/>
    <s v="-"/>
    <s v=""/>
    <s v="Amazon Essentials Men's Straight-Fit Breathable Stretch Cargo Pants (Available in Big &amp; Tall), Black, 56W x 32L"/>
    <s v="Accepted: In stock"/>
    <s v="Ship window (Collect)"/>
    <x v="0"/>
    <x v="0"/>
    <x v="0"/>
    <n v="276"/>
    <n v="276"/>
    <n v="300"/>
    <n v="300"/>
    <n v="0"/>
    <n v="-24"/>
    <m/>
    <m/>
    <n v="0"/>
    <m/>
    <m/>
    <n v="276"/>
    <x v="0"/>
    <n v="276"/>
    <n v="0"/>
    <m/>
    <n v="2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T3YZ"/>
    <s v="196433248369"/>
    <s v="UPC"/>
    <x v="0"/>
    <s v="AE- Big &amp; tall Cargo Pant"/>
    <x v="9"/>
    <s v="Navy"/>
    <s v="54W x 34L"/>
    <s v="-"/>
    <s v=""/>
    <s v="Amazon Essentials Men's Straight-Fit Breathable Stretch Cargo Pants (Available in Big &amp; Tall), Navy, 5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T3W2"/>
    <s v="196433248529"/>
    <s v="UPC"/>
    <x v="0"/>
    <s v="AE- Big &amp; tall Cargo Pant"/>
    <x v="9"/>
    <s v="Navy"/>
    <s v="56W x 28L"/>
    <s v="-"/>
    <s v=""/>
    <s v="Amazon Essentials Men's Straight-Fit Breathable Stretch Cargo Pants (Available in Big &amp; Tall), Navy, 56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T3PX"/>
    <s v="196433248260"/>
    <s v="UPC"/>
    <x v="0"/>
    <s v="AE- Big &amp; tall Cargo Pant"/>
    <x v="9"/>
    <s v="Black"/>
    <s v="56W x 34L"/>
    <s v="-"/>
    <s v=""/>
    <s v="Amazon Essentials Men's Straight-Fit Breathable Stretch Cargo Pants (Available in Big &amp; Tall), Black, 56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S677"/>
    <s v="196433249984"/>
    <s v="UPC"/>
    <x v="0"/>
    <s v="AE- Big &amp; tall Cargo Pant"/>
    <x v="9"/>
    <s v="Black"/>
    <s v="58W x 32L"/>
    <s v="-"/>
    <s v=""/>
    <s v="Amazon Essentials Men's Straight-Fit Breathable Stretch Cargo Pants (Available in Big &amp; Tall), Black, 58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S5X4"/>
    <s v="196433248413"/>
    <s v="UPC"/>
    <x v="0"/>
    <s v="AE- Big &amp; tall Cargo Pant"/>
    <x v="9"/>
    <s v="Navy"/>
    <s v="48W x 28L"/>
    <s v="-"/>
    <s v=""/>
    <s v="Amazon Essentials Men's Straight-Fit Breathable Stretch Cargo Pants (Available in Big &amp; Tall), Navy, 48W x 28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RWJB"/>
    <s v="196433248840"/>
    <s v="UPC"/>
    <x v="0"/>
    <s v="AE- Big &amp; tall Cargo Pant"/>
    <x v="9"/>
    <s v="Dark Grey"/>
    <s v="50W x 32L"/>
    <s v="-"/>
    <s v=""/>
    <s v="Amazon Essentials Men's Straight-Fit Breathable Stretch Cargo Pants (Available in Big &amp; Tall), Dark Grey, 50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RH8S"/>
    <s v="196433248727"/>
    <s v="UPC"/>
    <x v="0"/>
    <s v="AE- Big &amp; tall Cargo Pant"/>
    <x v="9"/>
    <s v="Navy"/>
    <s v="44W x 32L"/>
    <s v="-"/>
    <s v=""/>
    <s v="Amazon Essentials Men's Straight-Fit Breathable Stretch Cargo Pants (Available in Big &amp; Tall), Navy, 44W x 32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RH4H"/>
    <s v="196433248826"/>
    <s v="UPC"/>
    <x v="0"/>
    <s v="AE- Big &amp; tall Cargo Pant"/>
    <x v="9"/>
    <s v="Dark Grey"/>
    <s v="54W x 32L"/>
    <s v="-"/>
    <s v=""/>
    <s v="Amazon Essentials Men's Straight-Fit Breathable Stretch Cargo Pants (Available in Big &amp; Tall), Dark Grey, 54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RB23"/>
    <s v="196433249656"/>
    <s v="UPC"/>
    <x v="0"/>
    <s v="AE- Big &amp; tall Cargo Pant"/>
    <x v="9"/>
    <s v="Khaki Brown"/>
    <s v="44W x 30L"/>
    <s v="-"/>
    <s v=""/>
    <s v="Amazon Essentials Men's Straight-Fit Breathable Stretch Cargo Pants (Available in Big &amp; Tall), Khaki Brown, 44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PMSK"/>
    <s v="196433248666"/>
    <s v="UPC"/>
    <x v="0"/>
    <s v="AE- Big &amp; tall Cargo Pant"/>
    <x v="9"/>
    <s v="Navy"/>
    <s v="44W x 34L"/>
    <s v="-"/>
    <s v=""/>
    <s v="Amazon Essentials Men's Straight-Fit Breathable Stretch Cargo Pants (Available in Big &amp; Tall), Navy, 44W x 34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PMRL"/>
    <s v="196433248246"/>
    <s v="UPC"/>
    <x v="0"/>
    <s v="AE- Big &amp; tall Cargo Pant"/>
    <x v="9"/>
    <s v="Black"/>
    <s v="46W x 34L"/>
    <s v="-"/>
    <s v=""/>
    <s v="Amazon Essentials Men's Straight-Fit Breathable Stretch Cargo Pants (Available in Big &amp; Tall), Black, 46W x 34L"/>
    <s v="Accepted: In stock"/>
    <s v="Ship window (Collect)"/>
    <x v="0"/>
    <x v="0"/>
    <x v="0"/>
    <n v="180"/>
    <n v="180"/>
    <n v="192"/>
    <n v="192"/>
    <n v="0"/>
    <n v="-12"/>
    <m/>
    <m/>
    <n v="0"/>
    <m/>
    <m/>
    <n v="180"/>
    <x v="0"/>
    <n v="180"/>
    <n v="0"/>
    <m/>
    <n v="1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PMPR"/>
    <s v="196433249199"/>
    <s v="UPC"/>
    <x v="0"/>
    <s v="AE- Big &amp; tall Cargo Pant"/>
    <x v="9"/>
    <s v="Olive"/>
    <s v="54W x 32L"/>
    <s v="-"/>
    <s v=""/>
    <s v="Amazon Essentials Men's Straight-Fit Breathable Stretch Cargo Pants (Available in Big &amp; Tall), Olive, 54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N57V"/>
    <s v="196433249038"/>
    <s v="UPC"/>
    <x v="0"/>
    <s v="AE- Big &amp; tall Cargo Pant"/>
    <x v="9"/>
    <s v="Dark Grey"/>
    <s v="44W x 34L"/>
    <s v="-"/>
    <s v=""/>
    <s v="Amazon Essentials Men's Straight-Fit Breathable Stretch Cargo Pants (Available in Big &amp; Tall), Dark Grey, 4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N57P"/>
    <s v="196433249168"/>
    <s v="UPC"/>
    <x v="0"/>
    <s v="AE- Big &amp; tall Cargo Pant"/>
    <x v="9"/>
    <s v="Olive"/>
    <s v="56W x 30L"/>
    <s v="-"/>
    <s v=""/>
    <s v="Amazon Essentials Men's Straight-Fit Breathable Stretch Cargo Pants (Available in Big &amp; Tall), Olive, 56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N4ZC"/>
    <s v="196433249991"/>
    <s v="UPC"/>
    <x v="0"/>
    <s v="AE- Big &amp; tall Cargo Pant"/>
    <x v="9"/>
    <s v="Black"/>
    <s v="60W x 28L"/>
    <s v="-"/>
    <s v=""/>
    <s v="Amazon Essentials Men's Straight-Fit Breathable Stretch Cargo Pants (Available in Big &amp; Tall), Black, 60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N4NV"/>
    <s v="196433249960"/>
    <s v="UPC"/>
    <x v="0"/>
    <s v="AE- Big &amp; tall Cargo Pant"/>
    <x v="9"/>
    <s v="Black"/>
    <s v="60W x 34L"/>
    <s v="-"/>
    <s v=""/>
    <s v="Amazon Essentials Men's Straight-Fit Breathable Stretch Cargo Pants (Available in Big &amp; Tall), Black, 60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MR1G"/>
    <s v="196433248581"/>
    <s v="UPC"/>
    <x v="0"/>
    <s v="AE- Big &amp; tall Cargo Pant"/>
    <x v="9"/>
    <s v="Navy"/>
    <s v="60W x 30L"/>
    <s v="-"/>
    <s v=""/>
    <s v="Amazon Essentials Men's Straight-Fit Breathable Stretch Cargo Pants (Available in Big &amp; Tall), Navy, 6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MR1C"/>
    <s v="196433248291"/>
    <s v="UPC"/>
    <x v="0"/>
    <s v="AE- Big &amp; tall Cargo Pant"/>
    <x v="9"/>
    <s v="Black"/>
    <s v="44W x 34L"/>
    <s v="-"/>
    <s v=""/>
    <s v="Amazon Essentials Men's Straight-Fit Breathable Stretch Cargo Pants (Available in Big &amp; Tall), Black, 4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MQYV"/>
    <s v="196433249229"/>
    <s v="UPC"/>
    <x v="0"/>
    <s v="AE- Big &amp; tall Cargo Pant"/>
    <x v="9"/>
    <s v="Olive"/>
    <s v="60W x 34L"/>
    <s v="-"/>
    <s v=""/>
    <s v="Amazon Essentials Men's Straight-Fit Breathable Stretch Cargo Pants (Available in Big &amp; Tall), Olive, 6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MKCW"/>
    <s v="196433249076"/>
    <s v="UPC"/>
    <x v="0"/>
    <s v="AE- Big &amp; tall Cargo Pant"/>
    <x v="9"/>
    <s v="Dark Grey"/>
    <s v="46W x 30L"/>
    <s v="-"/>
    <s v=""/>
    <s v="Amazon Essentials Men's Straight-Fit Breathable Stretch Cargo Pants (Available in Big &amp; Tall), Dark Grey, 46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MD1T"/>
    <s v="196433248451"/>
    <s v="UPC"/>
    <x v="0"/>
    <s v="AE- Big &amp; tall Cargo Pant"/>
    <x v="9"/>
    <s v="Navy"/>
    <s v="54W x 32L"/>
    <s v="-"/>
    <s v=""/>
    <s v="Amazon Essentials Men's Straight-Fit Breathable Stretch Cargo Pants (Available in Big &amp; Tall), Navy, 54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LT3Y"/>
    <s v="196433248352"/>
    <s v="UPC"/>
    <x v="0"/>
    <s v="AE- Big &amp; tall Cargo Pant"/>
    <x v="9"/>
    <s v="Black"/>
    <s v="44W x 32L"/>
    <s v="-"/>
    <s v=""/>
    <s v="Amazon Essentials Men's Straight-Fit Breathable Stretch Cargo Pants (Available in Big &amp; Tall), Black, 44W x 32L"/>
    <s v="Accepted: In stock"/>
    <s v="Ship window (Collect)"/>
    <x v="0"/>
    <x v="0"/>
    <x v="0"/>
    <n v="324"/>
    <n v="324"/>
    <n v="348"/>
    <n v="348"/>
    <n v="0"/>
    <n v="-24"/>
    <m/>
    <m/>
    <m/>
    <m/>
    <m/>
    <n v="324"/>
    <x v="0"/>
    <n v="324"/>
    <n v="0"/>
    <m/>
    <n v="2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LSSW"/>
    <s v="196433248420"/>
    <s v="UPC"/>
    <x v="0"/>
    <s v="AE- Big &amp; tall Cargo Pant"/>
    <x v="9"/>
    <s v="Navy"/>
    <s v="56W x 30L"/>
    <s v="-"/>
    <s v=""/>
    <s v="Amazon Essentials Men's Straight-Fit Breathable Stretch Cargo Pants (Available in Big &amp; Tall), Navy, 56W x 30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LSSB"/>
    <s v="196433248772"/>
    <s v="UPC"/>
    <x v="0"/>
    <s v="AE- Big &amp; tall Cargo Pant"/>
    <x v="9"/>
    <s v="Dark Grey"/>
    <s v="44W x 28L"/>
    <s v="-"/>
    <s v=""/>
    <s v="Amazon Essentials Men's Straight-Fit Breathable Stretch Cargo Pants (Available in Big &amp; Tall), Dark Grey, 44W x 28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K9VN"/>
    <s v="196433248789"/>
    <s v="UPC"/>
    <x v="0"/>
    <s v="AE- Big &amp; tall Cargo Pant"/>
    <x v="9"/>
    <s v="Dark Grey"/>
    <s v="48W x 28L"/>
    <s v="-"/>
    <s v=""/>
    <s v="Amazon Essentials Men's Straight-Fit Breathable Stretch Cargo Pants (Available in Big &amp; Tall), Dark Grey, 48W x 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JH45"/>
    <s v="196433248994"/>
    <s v="UPC"/>
    <x v="0"/>
    <s v="AE- Big &amp; tall Cargo Pant"/>
    <x v="9"/>
    <s v="Dark Grey"/>
    <s v="48W x 30L"/>
    <s v="-"/>
    <s v=""/>
    <s v="Amazon Essentials Men's Straight-Fit Breathable Stretch Cargo Pants (Available in Big &amp; Tall), Dark Grey, 48W x 30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H972"/>
    <s v="196433249823"/>
    <s v="UPC"/>
    <x v="0"/>
    <s v="AE- Big &amp; tall Cargo Pant"/>
    <x v="9"/>
    <s v="Khaki Brown"/>
    <s v="46W x 32L"/>
    <s v="-"/>
    <s v=""/>
    <s v="Amazon Essentials Men's Straight-Fit Breathable Stretch Cargo Pants (Available in Big &amp; Tall), Khaki Brown, 46W x 32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H8YS"/>
    <s v="196433248895"/>
    <s v="UPC"/>
    <x v="0"/>
    <s v="AE- Big &amp; tall Cargo Pant"/>
    <x v="9"/>
    <s v="Dark Grey"/>
    <s v="56W x 28L"/>
    <s v="-"/>
    <s v=""/>
    <s v="Amazon Essentials Men's Straight-Fit Breathable Stretch Cargo Pants (Available in Big &amp; Tall), Dark Grey, 56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G877"/>
    <s v="196433249908"/>
    <s v="UPC"/>
    <x v="0"/>
    <s v="AE- Big &amp; tall Cargo Pant"/>
    <x v="9"/>
    <s v="Black"/>
    <s v="56W x 30L"/>
    <s v="-"/>
    <s v=""/>
    <s v="Amazon Essentials Men's Straight-Fit Breathable Stretch Cargo Pants (Available in Big &amp; Tall), Black, 56W x 30L"/>
    <s v="Accepted: In stock"/>
    <s v="Ship window (Collect)"/>
    <x v="0"/>
    <x v="0"/>
    <x v="0"/>
    <n v="228"/>
    <n v="228"/>
    <n v="240"/>
    <n v="240"/>
    <n v="0"/>
    <n v="-12"/>
    <m/>
    <m/>
    <n v="0"/>
    <m/>
    <m/>
    <n v="228"/>
    <x v="0"/>
    <n v="228"/>
    <n v="0"/>
    <m/>
    <n v="1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G7VR"/>
    <s v="196433249144"/>
    <s v="UPC"/>
    <x v="0"/>
    <s v="AE- Big &amp; tall Cargo Pant"/>
    <x v="9"/>
    <s v="Olive"/>
    <s v="44W x 28L"/>
    <s v="-"/>
    <s v=""/>
    <s v="Amazon Essentials Men's Straight-Fit Breathable Stretch Cargo Pants (Available in Big &amp; Tall), Olive, 44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G7S2"/>
    <s v="196433248444"/>
    <s v="UPC"/>
    <x v="0"/>
    <s v="AE- Big &amp; tall Cargo Pant"/>
    <x v="9"/>
    <s v="Navy"/>
    <s v="54W x 30L"/>
    <s v="-"/>
    <s v=""/>
    <s v="Amazon Essentials Men's Straight-Fit Breathable Stretch Cargo Pants (Available in Big &amp; Tall), Navy, 54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FY6V"/>
    <s v="196433249632"/>
    <s v="UPC"/>
    <x v="0"/>
    <s v="AE- Big &amp; tall Cargo Pant"/>
    <x v="9"/>
    <s v="Khaki Brown"/>
    <s v="56W x 28L"/>
    <s v="-"/>
    <s v=""/>
    <s v="Amazon Essentials Men's Straight-Fit Breathable Stretch Cargo Pants (Available in Big &amp; Tall), Khaki Brown, 56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FGFJ"/>
    <s v="196433248543"/>
    <s v="UPC"/>
    <x v="0"/>
    <s v="AE- Big &amp; tall Cargo Pant"/>
    <x v="9"/>
    <s v="Navy"/>
    <s v="44W x 30L"/>
    <s v="-"/>
    <s v=""/>
    <s v="Amazon Essentials Men's Straight-Fit Breathable Stretch Cargo Pants (Available in Big &amp; Tall), Navy, 44W x 30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FD1Q"/>
    <s v="196433248796"/>
    <s v="UPC"/>
    <x v="0"/>
    <s v="AE- Big &amp; tall Cargo Pant"/>
    <x v="9"/>
    <s v="Dark Grey"/>
    <s v="56W x 30L"/>
    <s v="-"/>
    <s v=""/>
    <s v="Amazon Essentials Men's Straight-Fit Breathable Stretch Cargo Pants (Available in Big &amp; Tall), Dark Grey, 56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DP9B"/>
    <s v="196433248642"/>
    <s v="UPC"/>
    <x v="0"/>
    <s v="AE- Big &amp; tall Cargo Pant"/>
    <x v="9"/>
    <s v="Navy"/>
    <s v="52W x 34L"/>
    <s v="-"/>
    <s v=""/>
    <s v="Amazon Essentials Men's Straight-Fit Breathable Stretch Cargo Pants (Available in Big &amp; Tall), Navy, 52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DP96"/>
    <s v="196433248680"/>
    <s v="UPC"/>
    <x v="0"/>
    <s v="AE- Big &amp; tall Cargo Pant"/>
    <x v="9"/>
    <s v="Navy"/>
    <s v="50W x 34L"/>
    <s v="-"/>
    <s v=""/>
    <s v="Amazon Essentials Men's Straight-Fit Breathable Stretch Cargo Pants (Available in Big &amp; Tall), Navy, 50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DP8F"/>
    <s v="196433249083"/>
    <s v="UPC"/>
    <x v="0"/>
    <s v="AE- Big &amp; tall Cargo Pant"/>
    <x v="9"/>
    <s v="Dark Grey"/>
    <s v="46W x 32L"/>
    <s v="-"/>
    <s v=""/>
    <s v="Amazon Essentials Men's Straight-Fit Breathable Stretch Cargo Pants (Available in Big &amp; Tall), Dark Grey, 46W x 32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BXQ7"/>
    <s v="196433249090"/>
    <s v="UPC"/>
    <x v="0"/>
    <s v="AE- Big &amp; tall Cargo Pant"/>
    <x v="9"/>
    <s v="Dark Grey"/>
    <s v="44W x 32L"/>
    <s v="-"/>
    <s v=""/>
    <s v="Amazon Essentials Men's Straight-Fit Breathable Stretch Cargo Pants (Available in Big &amp; Tall), Dark Grey, 44W x 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BXPV"/>
    <s v="196433248253"/>
    <s v="UPC"/>
    <x v="0"/>
    <s v="AE- Big &amp; tall Cargo Pant"/>
    <x v="9"/>
    <s v="Black"/>
    <s v="48W x 30L"/>
    <s v="-"/>
    <s v=""/>
    <s v="Amazon Essentials Men's Straight-Fit Breathable Stretch Cargo Pants (Available in Big &amp; Tall), Black, 48W x 30L"/>
    <s v="Accepted: In stock"/>
    <s v="Ship window (Collect)"/>
    <x v="0"/>
    <x v="0"/>
    <x v="0"/>
    <n v="288"/>
    <n v="288"/>
    <n v="312"/>
    <n v="312"/>
    <n v="0"/>
    <n v="-24"/>
    <m/>
    <m/>
    <m/>
    <m/>
    <m/>
    <n v="288"/>
    <x v="0"/>
    <n v="288"/>
    <n v="0"/>
    <m/>
    <n v="2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BXMN"/>
    <s v="196433249892"/>
    <s v="UPC"/>
    <x v="0"/>
    <s v="AE- Big &amp; tall Cargo Pant"/>
    <x v="9"/>
    <s v="Black"/>
    <s v="48W x 28L"/>
    <s v="-"/>
    <s v=""/>
    <s v="Amazon Essentials Men's Straight-Fit Breathable Stretch Cargo Pants (Available in Big &amp; Tall), Black, 48W x 28L"/>
    <s v="Accepted: In stock"/>
    <s v="Ship window (Collect)"/>
    <x v="0"/>
    <x v="0"/>
    <x v="0"/>
    <n v="192"/>
    <n v="192"/>
    <n v="204"/>
    <n v="204"/>
    <n v="0"/>
    <n v="-12"/>
    <m/>
    <m/>
    <n v="0"/>
    <m/>
    <m/>
    <n v="192"/>
    <x v="0"/>
    <n v="192"/>
    <n v="0"/>
    <m/>
    <n v="16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9WSY"/>
    <s v="196433249335"/>
    <s v="UPC"/>
    <x v="0"/>
    <s v="AE- Big &amp; tall Cargo Pant"/>
    <x v="9"/>
    <s v="Olive"/>
    <s v="54W x 28L"/>
    <s v="-"/>
    <s v=""/>
    <s v="Amazon Essentials Men's Straight-Fit Breathable Stretch Cargo Pants (Available in Big &amp; Tall), Olive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W9WL7"/>
    <s v="196433248314"/>
    <s v="UPC"/>
    <x v="0"/>
    <s v="AE- Big &amp; tall Cargo Pant"/>
    <x v="9"/>
    <s v="Black"/>
    <s v="50W x 34L"/>
    <s v="-"/>
    <s v=""/>
    <s v="Amazon Essentials Men's Straight-Fit Breathable Stretch Cargo Pants (Available in Big &amp; Tall), Black, 50W x 34L"/>
    <s v="Accepted: In stock"/>
    <s v="Ship window (Collect)"/>
    <x v="0"/>
    <x v="0"/>
    <x v="0"/>
    <n v="288"/>
    <n v="288"/>
    <n v="300"/>
    <n v="300"/>
    <n v="0"/>
    <n v="-12"/>
    <m/>
    <m/>
    <n v="0"/>
    <m/>
    <m/>
    <n v="288"/>
    <x v="0"/>
    <n v="288"/>
    <n v="0"/>
    <m/>
    <n v="2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MB4M"/>
    <s v="196433250010"/>
    <s v="UPC"/>
    <x v="0"/>
    <s v="AE- Big &amp; tall Cargo Pant"/>
    <x v="9"/>
    <s v="Black"/>
    <s v="50W x 30L"/>
    <s v="-"/>
    <s v=""/>
    <s v="Amazon Essentials Men's Straight-Fit Breathable Stretch Cargo Pants (Available in Big &amp; Tall), Black, 50W x 30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LX5M"/>
    <s v="196433249793"/>
    <s v="UPC"/>
    <x v="0"/>
    <s v="AE- Big &amp; tall Cargo Pant"/>
    <x v="9"/>
    <s v="Khaki Brown"/>
    <s v="50W x 34L"/>
    <s v="-"/>
    <s v=""/>
    <s v="Amazon Essentials Men's Straight-Fit Breathable Stretch Cargo Pants (Available in Big &amp; Tall), Khaki Brown, 5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LNPM"/>
    <s v="196433249588"/>
    <s v="UPC"/>
    <x v="0"/>
    <s v="AE- Big &amp; tall Cargo Pant"/>
    <x v="9"/>
    <s v="Khaki Brown"/>
    <s v="50W x 32L"/>
    <s v="-"/>
    <s v=""/>
    <s v="Amazon Essentials Men's Straight-Fit Breathable Stretch Cargo Pants (Available in Big &amp; Tall), Khaki Brown, 50W x 32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L2WW"/>
    <s v="196433249885"/>
    <s v="UPC"/>
    <x v="0"/>
    <s v="AE- Big &amp; tall Cargo Pant"/>
    <x v="9"/>
    <s v="Black"/>
    <s v="44W x 28L"/>
    <s v="-"/>
    <s v=""/>
    <s v="Amazon Essentials Men's Straight-Fit Breathable Stretch Cargo Pants (Available in Big &amp; Tall), Black, 44W x 28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L2VG"/>
    <s v="196433249281"/>
    <s v="UPC"/>
    <x v="0"/>
    <s v="AE- Big &amp; tall Cargo Pant"/>
    <x v="9"/>
    <s v="Olive"/>
    <s v="44W x 30L"/>
    <s v="-"/>
    <s v=""/>
    <s v="Amazon Essentials Men's Straight-Fit Breathable Stretch Cargo Pants (Available in Big &amp; Tall), Olive, 44W x 30L"/>
    <s v="Accepted: In stock"/>
    <s v="Ship window (Collect)"/>
    <x v="0"/>
    <x v="0"/>
    <x v="0"/>
    <n v="144"/>
    <n v="144"/>
    <n v="156"/>
    <n v="156"/>
    <n v="0"/>
    <n v="-12"/>
    <m/>
    <m/>
    <m/>
    <m/>
    <m/>
    <n v="144"/>
    <x v="0"/>
    <n v="144"/>
    <n v="0"/>
    <m/>
    <n v="1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KK67"/>
    <s v="196433249670"/>
    <s v="UPC"/>
    <x v="0"/>
    <s v="AE- Big &amp; tall Cargo Pant"/>
    <x v="9"/>
    <s v="Khaki Brown"/>
    <s v="52W x 28L"/>
    <s v="-"/>
    <s v=""/>
    <s v="Amazon Essentials Men's Straight-Fit Breathable Stretch Cargo Pants (Available in Big &amp; Tall), Khaki Brown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KC3J"/>
    <s v="196433249182"/>
    <s v="UPC"/>
    <x v="0"/>
    <s v="AE- Big &amp; tall Cargo Pant"/>
    <x v="9"/>
    <s v="Olive"/>
    <s v="54W x 30L"/>
    <s v="-"/>
    <s v=""/>
    <s v="Amazon Essentials Men's Straight-Fit Breathable Stretch Cargo Pants (Available in Big &amp; Tall), Olive, 54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JHQF"/>
    <s v="196433249151"/>
    <s v="UPC"/>
    <x v="0"/>
    <s v="AE- Big &amp; tall Cargo Pant"/>
    <x v="9"/>
    <s v="Olive"/>
    <s v="48W x 28L"/>
    <s v="-"/>
    <s v=""/>
    <s v="Amazon Essentials Men's Straight-Fit Breathable Stretch Cargo Pants (Available in Big &amp; Tall), Olive, 4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H7BC"/>
    <s v="196433249663"/>
    <s v="UPC"/>
    <x v="0"/>
    <s v="AE- Big &amp; tall Cargo Pant"/>
    <x v="9"/>
    <s v="Khaki Brown"/>
    <s v="46W x 28L"/>
    <s v="-"/>
    <s v=""/>
    <s v="Amazon Essentials Men's Straight-Fit Breathable Stretch Cargo Pants (Available in Big &amp; Tall), Khaki Brown, 46W x 28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GWJQ"/>
    <s v="196433249304"/>
    <s v="UPC"/>
    <x v="0"/>
    <s v="AE- Big &amp; tall Cargo Pant"/>
    <x v="9"/>
    <s v="Olive"/>
    <s v="52W x 28L"/>
    <s v="-"/>
    <s v=""/>
    <s v="Amazon Essentials Men's Straight-Fit Breathable Stretch Cargo Pants (Available in Big &amp; Tall), Olive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GWJH"/>
    <s v="196433249854"/>
    <s v="UPC"/>
    <x v="0"/>
    <s v="AE- Big &amp; tall Cargo Pant"/>
    <x v="9"/>
    <s v="Black"/>
    <s v="52W x 32L"/>
    <s v="-"/>
    <s v=""/>
    <s v="Amazon Essentials Men's Straight-Fit Breathable Stretch Cargo Pants (Available in Big &amp; Tall), Black, 52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G55X"/>
    <s v="196433249472"/>
    <s v="UPC"/>
    <x v="0"/>
    <s v="AE- Big &amp; tall Cargo Pant"/>
    <x v="9"/>
    <s v="Khaki Brown"/>
    <s v="54W x 34L"/>
    <s v="-"/>
    <s v=""/>
    <s v="Amazon Essentials Men's Straight-Fit Breathable Stretch Cargo Pants (Available in Big &amp; Tall), Khaki Brown, 54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G538"/>
    <s v="196433248598"/>
    <s v="UPC"/>
    <x v="0"/>
    <s v="AE- Big &amp; tall Cargo Pant"/>
    <x v="9"/>
    <s v="Navy"/>
    <s v="54W x 28L"/>
    <s v="-"/>
    <s v=""/>
    <s v="Amazon Essentials Men's Straight-Fit Breathable Stretch Cargo Pants (Available in Big &amp; Tall), Navy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DKRS"/>
    <s v="196433249380"/>
    <s v="UPC"/>
    <x v="0"/>
    <s v="AE- Big &amp; tall Cargo Pant"/>
    <x v="9"/>
    <s v="Olive"/>
    <s v="52W x 34L"/>
    <s v="-"/>
    <s v=""/>
    <s v="Amazon Essentials Men's Straight-Fit Breathable Stretch Cargo Pants (Available in Big &amp; Tall), Olive, 52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BS4N"/>
    <s v="196433248307"/>
    <s v="UPC"/>
    <x v="0"/>
    <s v="AE- Big &amp; tall Cargo Pant"/>
    <x v="9"/>
    <s v="Black"/>
    <s v="48W x 34L"/>
    <s v="-"/>
    <s v=""/>
    <s v="Amazon Essentials Men's Straight-Fit Breathable Stretch Cargo Pants (Available in Big &amp; Tall), Black, 48W x 34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BCQN"/>
    <s v="196433249397"/>
    <s v="UPC"/>
    <x v="0"/>
    <s v="AE- Big &amp; tall Cargo Pant"/>
    <x v="9"/>
    <s v="Olive"/>
    <s v="48W x 32L"/>
    <s v="-"/>
    <s v=""/>
    <s v="Amazon Essentials Men's Straight-Fit Breathable Stretch Cargo Pants (Available in Big &amp; Tall), Olive, 48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B8KL"/>
    <s v="196433249298"/>
    <s v="UPC"/>
    <x v="0"/>
    <s v="AE- Big &amp; tall Cargo Pant"/>
    <x v="9"/>
    <s v="Olive"/>
    <s v="46W x 28L"/>
    <s v="-"/>
    <s v=""/>
    <s v="Amazon Essentials Men's Straight-Fit Breathable Stretch Cargo Pants (Available in Big &amp; Tall), Olive, 46W x 28L"/>
    <s v="Accepted: In stock"/>
    <s v="Ship window (Collect)"/>
    <x v="0"/>
    <x v="0"/>
    <x v="0"/>
    <n v="144"/>
    <n v="144"/>
    <n v="156"/>
    <n v="156"/>
    <n v="0"/>
    <n v="-12"/>
    <m/>
    <m/>
    <m/>
    <m/>
    <m/>
    <n v="144"/>
    <x v="0"/>
    <n v="144"/>
    <n v="0"/>
    <m/>
    <n v="1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B8FD"/>
    <s v="196433249939"/>
    <s v="UPC"/>
    <x v="0"/>
    <s v="AE- Big &amp; tall Cargo Pant"/>
    <x v="9"/>
    <s v="Black"/>
    <s v="54W x 32L"/>
    <s v="-"/>
    <s v=""/>
    <s v="Amazon Essentials Men's Straight-Fit Breathable Stretch Cargo Pants (Available in Big &amp; Tall), Black, 54W x 32L"/>
    <s v="Accepted: In stock"/>
    <s v="Ship window (Collect)"/>
    <x v="0"/>
    <x v="0"/>
    <x v="0"/>
    <n v="396"/>
    <n v="396"/>
    <n v="420"/>
    <n v="420"/>
    <n v="0"/>
    <n v="-24"/>
    <m/>
    <m/>
    <m/>
    <m/>
    <m/>
    <n v="396"/>
    <x v="0"/>
    <n v="396"/>
    <n v="0"/>
    <m/>
    <n v="3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B8FC"/>
    <s v="196433249830"/>
    <s v="UPC"/>
    <x v="0"/>
    <s v="AE- Big &amp; tall Cargo Pant"/>
    <x v="9"/>
    <s v="Khaki Brown"/>
    <s v="44W x 32L"/>
    <s v="-"/>
    <s v=""/>
    <s v="Amazon Essentials Men's Straight-Fit Breathable Stretch Cargo Pants (Available in Big &amp; Tall), Khaki Brown, 44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9VDK"/>
    <s v="196433249779"/>
    <s v="UPC"/>
    <x v="0"/>
    <s v="AE- Big &amp; tall Cargo Pant"/>
    <x v="9"/>
    <s v="Khaki Brown"/>
    <s v="44W x 34L"/>
    <s v="-"/>
    <s v=""/>
    <s v="Amazon Essentials Men's Straight-Fit Breathable Stretch Cargo Pants (Available in Big &amp; Tall), Khaki Brown, 4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8K62"/>
    <s v="196433249441"/>
    <s v="UPC"/>
    <x v="0"/>
    <s v="AE- Big &amp; tall Cargo Pant"/>
    <x v="9"/>
    <s v="Olive"/>
    <s v="46W x 30L"/>
    <s v="-"/>
    <s v=""/>
    <s v="Amazon Essentials Men's Straight-Fit Breathable Stretch Cargo Pants (Available in Big &amp; Tall), Olive, 46W x 30L"/>
    <s v="Accepted: In stock"/>
    <s v="Ship window (Collect)"/>
    <x v="0"/>
    <x v="0"/>
    <x v="0"/>
    <n v="168"/>
    <n v="168"/>
    <n v="180"/>
    <n v="180"/>
    <n v="0"/>
    <n v="-12"/>
    <m/>
    <m/>
    <m/>
    <m/>
    <m/>
    <n v="168"/>
    <x v="0"/>
    <n v="168"/>
    <n v="0"/>
    <m/>
    <n v="1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86FQ"/>
    <s v="196433248918"/>
    <s v="UPC"/>
    <x v="0"/>
    <s v="AE- Big &amp; tall Cargo Pant"/>
    <x v="9"/>
    <s v="Dark Grey"/>
    <s v="44W x 30L"/>
    <s v="-"/>
    <s v=""/>
    <s v="Amazon Essentials Men's Straight-Fit Breathable Stretch Cargo Pants (Available in Big &amp; Tall), Dark Grey, 44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7R1R"/>
    <s v="196433249601"/>
    <s v="UPC"/>
    <x v="0"/>
    <s v="AE- Big &amp; tall Cargo Pant"/>
    <x v="9"/>
    <s v="Khaki Brown"/>
    <s v="58W x 30L"/>
    <s v="-"/>
    <s v=""/>
    <s v="Amazon Essentials Men's Straight-Fit Breathable Stretch Cargo Pants (Available in Big &amp; Tall), Khaki Brown, 58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7R1N"/>
    <s v="196433249458"/>
    <s v="UPC"/>
    <x v="0"/>
    <s v="AE- Big &amp; tall Cargo Pant"/>
    <x v="9"/>
    <s v="Olive"/>
    <s v="46W x 32L"/>
    <s v="-"/>
    <s v=""/>
    <s v="Amazon Essentials Men's Straight-Fit Breathable Stretch Cargo Pants (Available in Big &amp; Tall), Olive, 46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79NZ"/>
    <s v="196433249175"/>
    <s v="UPC"/>
    <x v="0"/>
    <s v="AE- Big &amp; tall Cargo Pant"/>
    <x v="9"/>
    <s v="Olive"/>
    <s v="52W x 30L"/>
    <s v="-"/>
    <s v=""/>
    <s v="Amazon Essentials Men's Straight-Fit Breathable Stretch Cargo Pants (Available in Big &amp; Tall), Olive, 52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6SVZ"/>
    <s v="196433249724"/>
    <s v="UPC"/>
    <x v="0"/>
    <s v="AE- Big &amp; tall Cargo Pant"/>
    <x v="9"/>
    <s v="Khaki Brown"/>
    <s v="46W x 34L"/>
    <s v="-"/>
    <s v=""/>
    <s v="Amazon Essentials Men's Straight-Fit Breathable Stretch Cargo Pants (Available in Big &amp; Tall), Khaki Brown, 46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62YD"/>
    <s v="196433249557"/>
    <s v="UPC"/>
    <x v="0"/>
    <s v="AE- Big &amp; tall Cargo Pant"/>
    <x v="9"/>
    <s v="Khaki Brown"/>
    <s v="54W x 30L"/>
    <s v="-"/>
    <s v=""/>
    <s v="Amazon Essentials Men's Straight-Fit Breathable Stretch Cargo Pants (Available in Big &amp; Tall), Khaki Brown, 54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6212"/>
    <s v="196433248482"/>
    <s v="UPC"/>
    <x v="0"/>
    <s v="AE- Big &amp; tall Cargo Pant"/>
    <x v="9"/>
    <s v="Navy"/>
    <s v="60W x 34L"/>
    <s v="-"/>
    <s v=""/>
    <s v="Amazon Essentials Men's Straight-Fit Breathable Stretch Cargo Pants (Available in Big &amp; Tall), Navy, 6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4WWJ"/>
    <s v="196433250041"/>
    <s v="UPC"/>
    <x v="0"/>
    <s v="AE- Big &amp; tall Cargo Pant"/>
    <x v="9"/>
    <s v="Black"/>
    <s v="52W x 28L"/>
    <s v="-"/>
    <s v=""/>
    <s v="Amazon Essentials Men's Straight-Fit Breathable Stretch Cargo Pants (Available in Big &amp; Tall), Black, 52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3H23"/>
    <s v="196433249274"/>
    <s v="UPC"/>
    <x v="0"/>
    <s v="AE- Big &amp; tall Cargo Pant"/>
    <x v="9"/>
    <s v="Olive"/>
    <s v="50W x 30L"/>
    <s v="-"/>
    <s v=""/>
    <s v="Amazon Essentials Men's Straight-Fit Breathable Stretch Cargo Pants (Available in Big &amp; Tall), Olive, 50W x 30L"/>
    <s v="Accepted: In stock"/>
    <s v="Ship window (Collect)"/>
    <x v="0"/>
    <x v="0"/>
    <x v="0"/>
    <n v="156"/>
    <n v="156"/>
    <n v="168"/>
    <n v="168"/>
    <n v="0"/>
    <n v="-12"/>
    <m/>
    <m/>
    <m/>
    <m/>
    <m/>
    <n v="156"/>
    <x v="0"/>
    <n v="156"/>
    <n v="0"/>
    <m/>
    <n v="1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3H1N"/>
    <s v="196433249977"/>
    <s v="UPC"/>
    <x v="0"/>
    <s v="AE- Big &amp; tall Cargo Pant"/>
    <x v="9"/>
    <s v="Black"/>
    <s v="58W x 30L"/>
    <s v="-"/>
    <s v=""/>
    <s v="Amazon Essentials Men's Straight-Fit Breathable Stretch Cargo Pants (Available in Big &amp; Tall), Black, 58W x 30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3GYG"/>
    <s v="196433249427"/>
    <s v="UPC"/>
    <x v="0"/>
    <s v="AE- Big &amp; tall Cargo Pant"/>
    <x v="9"/>
    <s v="Olive"/>
    <s v="50W x 34L"/>
    <s v="-"/>
    <s v=""/>
    <s v="Amazon Essentials Men's Straight-Fit Breathable Stretch Cargo Pants (Available in Big &amp; Tall), Olive, 5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213V"/>
    <s v="196433250058"/>
    <s v="UPC"/>
    <x v="0"/>
    <s v="AE- Big &amp; tall Cargo Pant"/>
    <x v="9"/>
    <s v="Black"/>
    <s v="58W x 28L"/>
    <s v="-"/>
    <s v=""/>
    <s v="Amazon Essentials Men's Straight-Fit Breathable Stretch Cargo Pants (Available in Big &amp; Tall), Black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2124"/>
    <s v="196433249359"/>
    <s v="UPC"/>
    <x v="0"/>
    <s v="AE- Big &amp; tall Cargo Pant"/>
    <x v="9"/>
    <s v="Olive"/>
    <s v="46W x 34L"/>
    <s v="-"/>
    <s v=""/>
    <s v="Amazon Essentials Men's Straight-Fit Breathable Stretch Cargo Pants (Available in Big &amp; Tall), Olive, 46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1ZXJ"/>
    <s v="196433249311"/>
    <s v="UPC"/>
    <x v="0"/>
    <s v="AE- Big &amp; tall Cargo Pant"/>
    <x v="9"/>
    <s v="Olive"/>
    <s v="58W x 28L"/>
    <s v="-"/>
    <s v=""/>
    <s v="Amazon Essentials Men's Straight-Fit Breathable Stretch Cargo Pants (Available in Big &amp; Tall), Olive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1TCQ"/>
    <s v="196433249762"/>
    <s v="UPC"/>
    <x v="0"/>
    <s v="AE- Big &amp; tall Cargo Pant"/>
    <x v="9"/>
    <s v="Khaki Brown"/>
    <s v="48W x 32L"/>
    <s v="-"/>
    <s v=""/>
    <s v="Amazon Essentials Men's Straight-Fit Breathable Stretch Cargo Pants (Available in Big &amp; Tall), Khaki Brown, 48W x 32L"/>
    <s v="Accepted: In stock"/>
    <s v="Ship window (Collect)"/>
    <x v="0"/>
    <x v="0"/>
    <x v="0"/>
    <n v="132"/>
    <n v="132"/>
    <n v="132"/>
    <n v="132"/>
    <n v="0"/>
    <n v="0"/>
    <m/>
    <m/>
    <n v="0"/>
    <m/>
    <m/>
    <n v="132"/>
    <x v="0"/>
    <n v="132"/>
    <n v="0"/>
    <m/>
    <n v="1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1T8C"/>
    <s v="196433249489"/>
    <s v="UPC"/>
    <x v="0"/>
    <s v="AE- Big &amp; tall Cargo Pant"/>
    <x v="9"/>
    <s v="Khaki Brown"/>
    <s v="52W x 32L"/>
    <s v="-"/>
    <s v=""/>
    <s v="Amazon Essentials Men's Straight-Fit Breathable Stretch Cargo Pants (Available in Big &amp; Tall), Khaki Brown, 52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1DTD"/>
    <s v="196433248321"/>
    <s v="UPC"/>
    <x v="0"/>
    <s v="AE- Big &amp; tall Cargo Pant"/>
    <x v="9"/>
    <s v="Black"/>
    <s v="50W x 28L"/>
    <s v="-"/>
    <s v=""/>
    <s v="Amazon Essentials Men's Straight-Fit Breathable Stretch Cargo Pants (Available in Big &amp; Tall), Black, 5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V11BV"/>
    <s v="196433248673"/>
    <s v="UPC"/>
    <x v="0"/>
    <s v="AE- Big &amp; tall Cargo Pant"/>
    <x v="9"/>
    <s v="Navy"/>
    <s v="48W x 34L"/>
    <s v="-"/>
    <s v=""/>
    <s v="Amazon Essentials Men's Straight-Fit Breathable Stretch Cargo Pants (Available in Big &amp; Tall), Navy, 4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YNGF"/>
    <s v="196433250003"/>
    <s v="UPC"/>
    <x v="0"/>
    <s v="AE- Big &amp; tall Cargo Pant"/>
    <x v="9"/>
    <s v="Black"/>
    <s v="56W x 28L"/>
    <s v="-"/>
    <s v=""/>
    <s v="Amazon Essentials Men's Straight-Fit Breathable Stretch Cargo Pants (Available in Big &amp; Tall), Black, 56W x 28L"/>
    <s v="Accepted: In stock"/>
    <s v="Ship window (Collect)"/>
    <x v="0"/>
    <x v="0"/>
    <x v="0"/>
    <n v="252"/>
    <n v="252"/>
    <n v="276"/>
    <n v="276"/>
    <n v="0"/>
    <n v="-24"/>
    <m/>
    <m/>
    <n v="0"/>
    <m/>
    <m/>
    <n v="252"/>
    <x v="0"/>
    <n v="252"/>
    <n v="0"/>
    <m/>
    <n v="2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YNDB"/>
    <s v="196433249434"/>
    <s v="UPC"/>
    <x v="0"/>
    <s v="AE- Big &amp; tall Cargo Pant"/>
    <x v="9"/>
    <s v="Olive"/>
    <s v="50W x 28L"/>
    <s v="-"/>
    <s v=""/>
    <s v="Amazon Essentials Men's Straight-Fit Breathable Stretch Cargo Pants (Available in Big &amp; Tall), Olive, 50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XH64"/>
    <s v="196433248406"/>
    <s v="UPC"/>
    <x v="0"/>
    <s v="AE- Big &amp; tall Cargo Pant"/>
    <x v="9"/>
    <s v="Navy"/>
    <s v="44W x 28L"/>
    <s v="-"/>
    <s v=""/>
    <s v="Amazon Essentials Men's Straight-Fit Breathable Stretch Cargo Pants (Available in Big &amp; Tall), Navy, 44W x 28L"/>
    <s v="Accepted: In stock"/>
    <s v="Ship window (Collect)"/>
    <x v="0"/>
    <x v="0"/>
    <x v="0"/>
    <n v="192"/>
    <n v="192"/>
    <n v="204"/>
    <n v="204"/>
    <n v="0"/>
    <n v="-12"/>
    <m/>
    <m/>
    <n v="0"/>
    <m/>
    <m/>
    <n v="192"/>
    <x v="0"/>
    <n v="192"/>
    <n v="0"/>
    <m/>
    <n v="16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X2HL"/>
    <s v="196433248567"/>
    <s v="UPC"/>
    <x v="0"/>
    <s v="AE- Big &amp; tall Cargo Pant"/>
    <x v="9"/>
    <s v="Navy"/>
    <s v="52W x 28L"/>
    <s v="-"/>
    <s v=""/>
    <s v="Amazon Essentials Men's Straight-Fit Breathable Stretch Cargo Pants (Available in Big &amp; Tall), Navy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X2G2"/>
    <s v="196433248611"/>
    <s v="UPC"/>
    <x v="0"/>
    <s v="AE- Big &amp; tall Cargo Pant"/>
    <x v="9"/>
    <s v="Navy"/>
    <s v="46W x 34L"/>
    <s v="-"/>
    <s v=""/>
    <s v="Amazon Essentials Men's Straight-Fit Breathable Stretch Cargo Pants (Available in Big &amp; Tall), Navy, 46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WCL9"/>
    <s v="196433249786"/>
    <s v="UPC"/>
    <x v="0"/>
    <s v="AE- Big &amp; tall Cargo Pant"/>
    <x v="9"/>
    <s v="Khaki Brown"/>
    <s v="48W x 34L"/>
    <s v="-"/>
    <s v=""/>
    <s v="Amazon Essentials Men's Straight-Fit Breathable Stretch Cargo Pants (Available in Big &amp; Tall), Khaki Brown, 48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VRP3"/>
    <s v="196433248659"/>
    <s v="UPC"/>
    <x v="0"/>
    <s v="AE- Big &amp; tall Cargo Pant"/>
    <x v="9"/>
    <s v="Navy"/>
    <s v="48W x 32L"/>
    <s v="-"/>
    <s v=""/>
    <s v="Amazon Essentials Men's Straight-Fit Breathable Stretch Cargo Pants (Available in Big &amp; Tall), Navy, 48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V8F2"/>
    <s v="196433249731"/>
    <s v="UPC"/>
    <x v="0"/>
    <s v="AE- Big &amp; tall Cargo Pant"/>
    <x v="9"/>
    <s v="Khaki Brown"/>
    <s v="48W x 30L"/>
    <s v="-"/>
    <s v=""/>
    <s v="Amazon Essentials Men's Straight-Fit Breathable Stretch Cargo Pants (Available in Big &amp; Tall), Khaki Brown, 48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TX4J"/>
    <s v="196433248703"/>
    <s v="UPC"/>
    <x v="0"/>
    <s v="AE- Big &amp; tall Cargo Pant"/>
    <x v="9"/>
    <s v="Navy"/>
    <s v="46W x 30L"/>
    <s v="-"/>
    <s v=""/>
    <s v="Amazon Essentials Men's Straight-Fit Breathable Stretch Cargo Pants (Available in Big &amp; Tall), Navy, 4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R7RX"/>
    <s v="196433249519"/>
    <s v="UPC"/>
    <x v="0"/>
    <s v="AE- Big &amp; tall Cargo Pant"/>
    <x v="9"/>
    <s v="Khaki Brown"/>
    <s v="44W x 28L"/>
    <s v="-"/>
    <s v=""/>
    <s v="Amazon Essentials Men's Straight-Fit Breathable Stretch Cargo Pants (Available in Big &amp; Tall), Khaki Brown, 44W x 28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JTRX"/>
    <s v="196433248574"/>
    <s v="UPC"/>
    <x v="0"/>
    <s v="AE- Big &amp; tall Cargo Pant"/>
    <x v="9"/>
    <s v="Navy"/>
    <s v="58W x 28L"/>
    <s v="-"/>
    <s v=""/>
    <s v="Amazon Essentials Men's Straight-Fit Breathable Stretch Cargo Pants (Available in Big &amp; Tall), Navy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JTQM"/>
    <s v="196433248277"/>
    <s v="UPC"/>
    <x v="0"/>
    <s v="AE- Big &amp; tall Cargo Pant"/>
    <x v="9"/>
    <s v="Black"/>
    <s v="52W x 34L"/>
    <s v="-"/>
    <s v=""/>
    <s v="Amazon Essentials Men's Straight-Fit Breathable Stretch Cargo Pants (Available in Big &amp; Tall), Black, 52W x 34L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JRX9"/>
    <s v="196433248376"/>
    <s v="UPC"/>
    <x v="0"/>
    <s v="AE- Big &amp; tall Cargo Pant"/>
    <x v="9"/>
    <s v="Navy"/>
    <s v="52W x 32L"/>
    <s v="-"/>
    <s v=""/>
    <s v="Amazon Essentials Men's Straight-Fit Breathable Stretch Cargo Pants (Available in Big &amp; Tall), Navy, 52W x 32L"/>
    <s v="Accepted: In stock"/>
    <s v="Ship window (Collect)"/>
    <x v="0"/>
    <x v="0"/>
    <x v="0"/>
    <n v="144"/>
    <n v="144"/>
    <n v="132"/>
    <n v="132"/>
    <n v="0"/>
    <n v="12"/>
    <n v="12"/>
    <m/>
    <n v="0"/>
    <m/>
    <m/>
    <n v="132"/>
    <x v="0"/>
    <n v="132"/>
    <n v="12"/>
    <m/>
    <n v="1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HR8P"/>
    <s v="196433248550"/>
    <s v="UPC"/>
    <x v="0"/>
    <s v="AE- Big &amp; tall Cargo Pant"/>
    <x v="9"/>
    <s v="Navy"/>
    <s v="46W x 28L"/>
    <s v="-"/>
    <s v=""/>
    <s v="Amazon Essentials Men's Straight-Fit Breathable Stretch Cargo Pants (Available in Big &amp; Tall), Navy, 46W x 28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G3L9"/>
    <s v="196433248383"/>
    <s v="UPC"/>
    <x v="0"/>
    <s v="AE- Big &amp; tall Cargo Pant"/>
    <x v="9"/>
    <s v="Navy"/>
    <s v="56W x 32L"/>
    <s v="-"/>
    <s v=""/>
    <s v="Amazon Essentials Men's Straight-Fit Breathable Stretch Cargo Pants (Available in Big &amp; Tall), Navy, 56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G3GS"/>
    <s v="196433249014"/>
    <s v="UPC"/>
    <x v="0"/>
    <s v="AE- Big &amp; tall Cargo Pant"/>
    <x v="9"/>
    <s v="Dark Grey"/>
    <s v="52W x 34L"/>
    <s v="-"/>
    <s v=""/>
    <s v="Amazon Essentials Men's Straight-Fit Breathable Stretch Cargo Pants (Available in Big &amp; Tall), Dark Grey, 52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G3DN"/>
    <s v="196433249212"/>
    <s v="UPC"/>
    <x v="0"/>
    <s v="AE- Big &amp; tall Cargo Pant"/>
    <x v="9"/>
    <s v="Olive"/>
    <s v="50W x 32L"/>
    <s v="-"/>
    <s v=""/>
    <s v="Amazon Essentials Men's Straight-Fit Breathable Stretch Cargo Pants (Available in Big &amp; Tall), Olive, 5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FNYR"/>
    <s v="196433248758"/>
    <s v="UPC"/>
    <x v="0"/>
    <s v="AE- Big &amp; tall Cargo Pant"/>
    <x v="9"/>
    <s v="Dark Grey"/>
    <s v="56W x 32L"/>
    <s v="-"/>
    <s v=""/>
    <s v="Amazon Essentials Men's Straight-Fit Breathable Stretch Cargo Pants (Available in Big &amp; Tall), Dark Grey, 56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DGQ8"/>
    <s v="196433249533"/>
    <s v="UPC"/>
    <x v="0"/>
    <s v="AE- Big &amp; tall Cargo Pant"/>
    <x v="9"/>
    <s v="Khaki Brown"/>
    <s v="56W x 30L"/>
    <s v="-"/>
    <s v=""/>
    <s v="Amazon Essentials Men's Straight-Fit Breathable Stretch Cargo Pants (Available in Big &amp; Tall), Khaki Brown, 56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CK4J"/>
    <s v="196433249922"/>
    <s v="UPC"/>
    <x v="0"/>
    <s v="AE- Big &amp; tall Cargo Pant"/>
    <x v="9"/>
    <s v="Black"/>
    <s v="54W x 30L"/>
    <s v="-"/>
    <s v=""/>
    <s v="Amazon Essentials Men's Straight-Fit Breathable Stretch Cargo Pants (Available in Big &amp; Tall), Black, 54W x 30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CJWX"/>
    <s v="196433249137"/>
    <s v="UPC"/>
    <x v="0"/>
    <s v="AE- Big &amp; tall Cargo Pant"/>
    <x v="9"/>
    <s v="Olive"/>
    <s v="58W x 34L"/>
    <s v="-"/>
    <s v=""/>
    <s v="Amazon Essentials Men's Straight-Fit Breathable Stretch Cargo Pants (Available in Big &amp; Tall), Olive, 5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CJWW"/>
    <s v="196433248987"/>
    <s v="UPC"/>
    <x v="0"/>
    <s v="AE- Big &amp; tall Cargo Pant"/>
    <x v="9"/>
    <s v="Dark Grey"/>
    <s v="46W x 34L"/>
    <s v="-"/>
    <s v=""/>
    <s v="Amazon Essentials Men's Straight-Fit Breathable Stretch Cargo Pants (Available in Big &amp; Tall), Dark Grey, 46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CJQF"/>
    <s v="196433249878"/>
    <s v="UPC"/>
    <x v="0"/>
    <s v="AE- Big &amp; tall Cargo Pant"/>
    <x v="9"/>
    <s v="Black"/>
    <s v="58W x 34L"/>
    <s v="-"/>
    <s v=""/>
    <s v="Amazon Essentials Men's Straight-Fit Breathable Stretch Cargo Pants (Available in Big &amp; Tall), Black, 5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C7M6"/>
    <s v="196433250065"/>
    <s v="UPC"/>
    <x v="0"/>
    <s v="AE- Big &amp; tall Cargo Pant"/>
    <x v="9"/>
    <s v="Black"/>
    <s v="60W x 30L"/>
    <s v="-"/>
    <s v=""/>
    <s v="Amazon Essentials Men's Straight-Fit Breathable Stretch Cargo Pants (Available in Big &amp; Tall), Black, 60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9LVL"/>
    <s v="196433249465"/>
    <s v="UPC"/>
    <x v="0"/>
    <s v="AE- Big &amp; tall Cargo Pant"/>
    <x v="9"/>
    <s v="Olive"/>
    <s v="44W x 32L"/>
    <s v="-"/>
    <s v=""/>
    <s v="Amazon Essentials Men's Straight-Fit Breathable Stretch Cargo Pants (Available in Big &amp; Tall), Olive, 44W x 32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9LTX"/>
    <s v="196433248536"/>
    <s v="UPC"/>
    <x v="0"/>
    <s v="AE- Big &amp; tall Cargo Pant"/>
    <x v="9"/>
    <s v="Navy"/>
    <s v="50W x 30L"/>
    <s v="-"/>
    <s v=""/>
    <s v="Amazon Essentials Men's Straight-Fit Breathable Stretch Cargo Pants (Available in Big &amp; Tall), Navy, 50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94LL"/>
    <s v="196433248819"/>
    <s v="UPC"/>
    <x v="0"/>
    <s v="AE- Big &amp; tall Cargo Pant"/>
    <x v="9"/>
    <s v="Dark Grey"/>
    <s v="54W x 30L"/>
    <s v="-"/>
    <s v=""/>
    <s v="Amazon Essentials Men's Straight-Fit Breathable Stretch Cargo Pants (Available in Big &amp; Tall), Dark Grey, 54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94J4"/>
    <s v="196433249113"/>
    <s v="UPC"/>
    <x v="0"/>
    <s v="AE- Big &amp; tall Cargo Pant"/>
    <x v="9"/>
    <s v="Olive"/>
    <s v="52W x 32L"/>
    <s v="-"/>
    <s v=""/>
    <s v="Amazon Essentials Men's Straight-Fit Breathable Stretch Cargo Pants (Available in Big &amp; Tall), Olive, 52W x 32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66PC"/>
    <s v="196433249120"/>
    <s v="UPC"/>
    <x v="0"/>
    <s v="AE- Big &amp; tall Cargo Pant"/>
    <x v="9"/>
    <s v="Olive"/>
    <s v="56W x 32L"/>
    <s v="-"/>
    <s v=""/>
    <s v="Amazon Essentials Men's Straight-Fit Breathable Stretch Cargo Pants (Available in Big &amp; Tall), Olive, 56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T26ZM"/>
    <s v="196433248697"/>
    <s v="UPC"/>
    <x v="0"/>
    <s v="AE- Big &amp; tall Cargo Pant"/>
    <x v="9"/>
    <s v="Navy"/>
    <s v="50W x 28L"/>
    <s v="-"/>
    <s v=""/>
    <s v="Amazon Essentials Men's Straight-Fit Breathable Stretch Cargo Pants (Available in Big &amp; Tall), Navy, 5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SV6FQ"/>
    <s v="196433249953"/>
    <s v="UPC"/>
    <x v="0"/>
    <s v="AE- Big &amp; tall Cargo Pant"/>
    <x v="9"/>
    <s v="Black"/>
    <s v="50W x 32L"/>
    <s v="-"/>
    <s v=""/>
    <s v="Amazon Essentials Men's Straight-Fit Breathable Stretch Cargo Pants (Available in Big &amp; Tall), Black, 50W x 32L"/>
    <s v="Accepted: In stock"/>
    <s v="Ship window (Collect)"/>
    <x v="0"/>
    <x v="0"/>
    <x v="0"/>
    <n v="276"/>
    <n v="276"/>
    <n v="300"/>
    <n v="300"/>
    <n v="0"/>
    <n v="-24"/>
    <m/>
    <m/>
    <m/>
    <m/>
    <m/>
    <n v="276"/>
    <x v="0"/>
    <n v="276"/>
    <n v="0"/>
    <m/>
    <n v="2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SQRT9"/>
    <s v="196433249915"/>
    <s v="UPC"/>
    <x v="0"/>
    <s v="AE- Big &amp; tall Cargo Pant"/>
    <x v="9"/>
    <s v="Black"/>
    <s v="52W x 30L"/>
    <s v="-"/>
    <s v=""/>
    <s v="Amazon Essentials Men's Straight-Fit Breathable Stretch Cargo Pants (Available in Big &amp; Tall), Black, 52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SPLDG"/>
    <s v="196433249267"/>
    <s v="UPC"/>
    <x v="0"/>
    <s v="AE- Big &amp; tall Cargo Pant"/>
    <x v="9"/>
    <s v="Olive"/>
    <s v="56W x 28L"/>
    <s v="-"/>
    <s v=""/>
    <s v="Amazon Essentials Men's Straight-Fit Breathable Stretch Cargo Pants (Available in Big &amp; Tall), Olive, 56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SMWTW"/>
    <s v="196433249618"/>
    <s v="UPC"/>
    <x v="0"/>
    <s v="AE- Big &amp; tall Cargo Pant"/>
    <x v="9"/>
    <s v="Khaki Brown"/>
    <s v="58W x 32L"/>
    <s v="-"/>
    <s v=""/>
    <s v="Amazon Essentials Men's Straight-Fit Breathable Stretch Cargo Pants (Available in Big &amp; Tall), Khaki Brown, 58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9LRSLQYL"/>
    <s v="196433249847"/>
    <s v="UPC"/>
    <x v="0"/>
    <s v="AE- Big &amp; tall Cargo Pant"/>
    <x v="9"/>
    <s v="Black"/>
    <s v="54W x 34L"/>
    <s v="-"/>
    <s v=""/>
    <s v="Amazon Essentials Men's Straight-Fit Breathable Stretch Cargo Pants (Available in Big &amp; Tall), Black, 54W x 34L"/>
    <s v="Accepted: In stock"/>
    <s v="Ship window (Collect)"/>
    <x v="0"/>
    <x v="0"/>
    <x v="0"/>
    <n v="276"/>
    <n v="276"/>
    <n v="300"/>
    <n v="300"/>
    <n v="0"/>
    <n v="-24"/>
    <m/>
    <m/>
    <m/>
    <m/>
    <m/>
    <n v="276"/>
    <x v="0"/>
    <n v="276"/>
    <n v="0"/>
    <m/>
    <n v="23"/>
    <n v="13.85"/>
    <s v="USD"/>
    <n v="13.85"/>
    <b v="1"/>
    <m/>
    <m/>
    <s v="TH"/>
    <x v="0"/>
    <s v="EGMCL"/>
    <s v="EG7-10268"/>
    <x v="2"/>
    <x v="2"/>
  </r>
  <r>
    <x v="2"/>
    <x v="2"/>
    <x v="0"/>
    <s v="ITHC - SI RACHA, Bangkok"/>
    <s v="B06XWQC2ZF"/>
    <s v="191770058114"/>
    <s v="UPC"/>
    <x v="0"/>
    <s v="AE FF 20x16 Cargo Shorts"/>
    <x v="10"/>
    <s v="Navy"/>
    <n v="36"/>
    <s v="-"/>
    <s v=""/>
    <s v="Amazon Essentials Men's 10&quot; Classic-Fit Cotton Twill Cargo Shorts, Multiple Pockets (Available in Big &amp; Tall), Navy, 36"/>
    <s v="Accepted: In stock"/>
    <s v="Ship window (Collect)"/>
    <x v="0"/>
    <x v="0"/>
    <x v="0"/>
    <n v="624"/>
    <n v="624"/>
    <n v="564"/>
    <n v="564"/>
    <n v="0"/>
    <n v="60"/>
    <n v="60"/>
    <m/>
    <n v="0"/>
    <m/>
    <m/>
    <n v="564"/>
    <x v="0"/>
    <n v="564"/>
    <n v="60"/>
    <m/>
    <n v="47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PD2TZ"/>
    <s v="191770058121"/>
    <s v="UPC"/>
    <x v="0"/>
    <s v="AE FF 20x16 Cargo Shorts"/>
    <x v="10"/>
    <s v="Navy"/>
    <n v="38"/>
    <s v="-"/>
    <s v=""/>
    <s v="Amazon Essentials Men's 10&quot; Classic-Fit Cotton Twill Cargo Shorts, Multiple Pockets (Available in Big &amp; Tall), Navy, 38"/>
    <s v="Accepted: In stock"/>
    <s v="Ship window (Collect)"/>
    <x v="0"/>
    <x v="0"/>
    <x v="0"/>
    <n v="24"/>
    <n v="24"/>
    <n v="24"/>
    <n v="24"/>
    <n v="0"/>
    <n v="0"/>
    <m/>
    <m/>
    <m/>
    <m/>
    <m/>
    <n v="24"/>
    <x v="0"/>
    <n v="24"/>
    <n v="0"/>
    <m/>
    <n v="2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NM7TT"/>
    <s v="191770058107"/>
    <s v="UPC"/>
    <x v="0"/>
    <s v="AE FF 20x16 Cargo Shorts"/>
    <x v="10"/>
    <s v="Navy"/>
    <n v="34"/>
    <s v="-"/>
    <s v=""/>
    <s v="Amazon Essentials Men's 10&quot; Classic-Fit Cotton Twill Cargo Shorts, Multiple Pockets (Available in Big &amp; Tall), Navy, 34"/>
    <s v="Accepted: In stock"/>
    <s v="Ship window (Collect)"/>
    <x v="0"/>
    <x v="0"/>
    <x v="0"/>
    <n v="564"/>
    <n v="564"/>
    <n v="504"/>
    <n v="504"/>
    <n v="0"/>
    <n v="60"/>
    <n v="60"/>
    <m/>
    <n v="0"/>
    <m/>
    <m/>
    <n v="504"/>
    <x v="0"/>
    <n v="504"/>
    <n v="60"/>
    <m/>
    <n v="42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N91JY"/>
    <s v="191770058084"/>
    <s v="UPC"/>
    <x v="0"/>
    <s v="AE FF 20x16 Cargo Shorts"/>
    <x v="10"/>
    <s v="Navy"/>
    <n v="32"/>
    <s v="-"/>
    <s v=""/>
    <s v="Amazon Essentials Men's 10&quot; Classic-Fit Cotton Twill Cargo Shorts, Multiple Pockets (Available in Big &amp; Tall), Navy, 32"/>
    <s v="Accepted: In stock"/>
    <s v="Ship window (Collect)"/>
    <x v="0"/>
    <x v="0"/>
    <x v="0"/>
    <n v="444"/>
    <n v="444"/>
    <n v="396"/>
    <n v="396"/>
    <n v="0"/>
    <n v="48"/>
    <n v="48"/>
    <m/>
    <n v="0"/>
    <m/>
    <m/>
    <n v="396"/>
    <x v="0"/>
    <n v="396"/>
    <n v="48"/>
    <m/>
    <n v="33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N7RR7"/>
    <s v="191770058138"/>
    <s v="UPC"/>
    <x v="0"/>
    <s v="AE FF 20x16 Cargo Shorts"/>
    <x v="10"/>
    <s v="Navy"/>
    <n v="40"/>
    <s v="-"/>
    <s v=""/>
    <s v="Amazon Essentials Men's 10&quot; Classic-Fit Cotton Twill Cargo Shorts, Multiple Pockets (Available in Big &amp; Tall), Navy, 40"/>
    <s v="Accepted: In stock"/>
    <s v="Ship window (Collect)"/>
    <x v="0"/>
    <x v="0"/>
    <x v="0"/>
    <n v="228"/>
    <n v="228"/>
    <n v="204"/>
    <n v="204"/>
    <n v="0"/>
    <n v="24"/>
    <n v="24"/>
    <m/>
    <n v="0"/>
    <m/>
    <m/>
    <n v="204"/>
    <x v="0"/>
    <n v="204"/>
    <n v="24"/>
    <m/>
    <n v="17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L3SJW"/>
    <s v="191770058091"/>
    <s v="UPC"/>
    <x v="0"/>
    <s v="AE FF 20x16 Cargo Shorts"/>
    <x v="10"/>
    <s v="Navy"/>
    <n v="33"/>
    <s v="-"/>
    <s v=""/>
    <s v="Amazon Essentials Men's 10&quot; Classic-Fit Cotton Twill Cargo Shorts, Multiple Pockets (Available in Big &amp; Tall), Navy, 33"/>
    <s v="Accepted: In stock"/>
    <s v="Ship window (Collect)"/>
    <x v="0"/>
    <x v="0"/>
    <x v="0"/>
    <n v="264"/>
    <n v="264"/>
    <n v="240"/>
    <n v="240"/>
    <n v="0"/>
    <n v="24"/>
    <n v="24"/>
    <m/>
    <n v="0"/>
    <m/>
    <m/>
    <n v="240"/>
    <x v="0"/>
    <n v="240"/>
    <n v="24"/>
    <m/>
    <n v="20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8Q216"/>
    <s v="191770058060"/>
    <s v="UPC"/>
    <x v="0"/>
    <s v="AE FF 20x16 Cargo Shorts"/>
    <x v="10"/>
    <s v="Navy"/>
    <n v="30"/>
    <s v="-"/>
    <s v=""/>
    <s v="Amazon Essentials Men's 10&quot; Classic-Fit Cotton Twill Cargo Shorts, Multiple Pockets (Available in Big &amp; Tall), Navy, 30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73BN9"/>
    <s v="191770058077"/>
    <s v="UPC"/>
    <x v="0"/>
    <s v="AE FF 20x16 Cargo Shorts"/>
    <x v="10"/>
    <s v="Navy"/>
    <n v="31"/>
    <s v="-"/>
    <s v=""/>
    <s v="Amazon Essentials Men's 10&quot; Classic-Fit Cotton Twill Cargo Shorts, Multiple Pockets (Available in Big &amp; Tall), Navy, 31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7377R"/>
    <s v="191770057841"/>
    <s v="UPC"/>
    <x v="0"/>
    <s v="AE FF 20x16 Cargo Shorts"/>
    <x v="10"/>
    <s v="Khaki"/>
    <n v="31"/>
    <s v="-"/>
    <s v=""/>
    <s v="Amazon Essentials Men's 10&quot; Classic-Fit Cotton Twill Cargo Shorts, Multiple Pockets (Available in Big &amp; Tall), Khaki, 31"/>
    <s v="Accepted: In stock"/>
    <s v="Ship window (Collect)"/>
    <x v="0"/>
    <x v="0"/>
    <x v="0"/>
    <n v="204"/>
    <n v="204"/>
    <n v="180"/>
    <n v="180"/>
    <n v="0"/>
    <n v="24"/>
    <n v="24"/>
    <m/>
    <n v="0"/>
    <m/>
    <m/>
    <n v="180"/>
    <x v="0"/>
    <n v="180"/>
    <n v="24"/>
    <m/>
    <n v="15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6XW35WDD"/>
    <s v="191770058145"/>
    <s v="UPC"/>
    <x v="0"/>
    <s v="AE FF 20x16 Cargo Shorts"/>
    <x v="10"/>
    <s v="Navy"/>
    <n v="42"/>
    <s v="-"/>
    <s v=""/>
    <s v="Amazon Essentials Men's 10&quot; Classic-Fit Cotton Twill Cargo Shorts, Multiple Pockets (Available in Big &amp; Tall), Navy, 42"/>
    <s v="Accepted: In stock"/>
    <s v="Ship window (Collect)"/>
    <x v="0"/>
    <x v="0"/>
    <x v="0"/>
    <n v="276"/>
    <n v="276"/>
    <n v="300"/>
    <n v="300"/>
    <n v="0"/>
    <n v="-24"/>
    <m/>
    <m/>
    <n v="0"/>
    <m/>
    <m/>
    <n v="276"/>
    <x v="0"/>
    <n v="276"/>
    <n v="0"/>
    <m/>
    <n v="23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MRXKXI9"/>
    <s v="842354134006"/>
    <s v="UPC"/>
    <x v="0"/>
    <s v="AE FF 20x16 Cargo Shorts"/>
    <x v="10"/>
    <s v="Black"/>
    <n v="31"/>
    <s v="-"/>
    <s v=""/>
    <s v="Amazon Essentials Men's 10&quot; Classic-Fit Cotton Twill Cargo Shorts, Multiple Pockets (Available in Big &amp; Tall), Black, 31"/>
    <s v="Accepted: In stock"/>
    <s v="Ship window (Collect)"/>
    <x v="0"/>
    <x v="0"/>
    <x v="0"/>
    <n v="264"/>
    <n v="264"/>
    <n v="240"/>
    <n v="240"/>
    <n v="0"/>
    <n v="24"/>
    <n v="24"/>
    <m/>
    <n v="0"/>
    <m/>
    <m/>
    <n v="240"/>
    <x v="0"/>
    <n v="240"/>
    <n v="24"/>
    <m/>
    <n v="20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MQW64HU"/>
    <s v="842354133993"/>
    <s v="UPC"/>
    <x v="0"/>
    <s v="AE FF 20x16 Cargo Shorts"/>
    <x v="10"/>
    <s v="Black"/>
    <n v="29"/>
    <s v="-"/>
    <s v=""/>
    <s v="Amazon Essentials Men's 10&quot; Classic-Fit Cotton Twill Cargo Shorts, Multiple Pockets (Available in Big &amp; Tall), Black, 29"/>
    <s v="Accepted: In stock"/>
    <s v="Ship window (Collect)"/>
    <x v="0"/>
    <x v="0"/>
    <x v="0"/>
    <n v="132"/>
    <n v="132"/>
    <n v="108"/>
    <n v="108"/>
    <n v="0"/>
    <n v="24"/>
    <n v="24"/>
    <m/>
    <n v="0"/>
    <m/>
    <m/>
    <n v="108"/>
    <x v="0"/>
    <n v="108"/>
    <n v="24"/>
    <m/>
    <n v="9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RML0"/>
    <s v="04893966201798"/>
    <s v="GTIN"/>
    <x v="0"/>
    <s v="AE FF 20x16 Cargo Shorts"/>
    <x v="10"/>
    <s v="Khaki"/>
    <n v="38"/>
    <s v="-"/>
    <s v=""/>
    <s v="Amazon Essentials Men's 10&quot; Classic-Fit Cotton Twill Cargo Shorts, Multiple Pockets (Available in Big &amp; Tall), Khaki, 38"/>
    <s v="Accepted: In stock"/>
    <s v="Ship window (Collect)"/>
    <x v="0"/>
    <x v="0"/>
    <x v="0"/>
    <n v="396"/>
    <n v="396"/>
    <n v="360"/>
    <n v="360"/>
    <n v="0"/>
    <n v="36"/>
    <n v="36"/>
    <m/>
    <n v="0"/>
    <m/>
    <m/>
    <n v="360"/>
    <x v="0"/>
    <n v="360"/>
    <n v="36"/>
    <m/>
    <n v="30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RMEC"/>
    <s v="04893966201811"/>
    <s v="GTIN"/>
    <x v="0"/>
    <s v="AE FF 20x16 Cargo Shorts"/>
    <x v="10"/>
    <s v="Khaki"/>
    <n v="42"/>
    <s v="-"/>
    <s v=""/>
    <s v="Amazon Essentials Men's 10&quot; Classic-Fit Cotton Twill Cargo Shorts, Multiple Pockets (Available in Big &amp; Tall), Khaki, 42"/>
    <s v="Accepted: In stock"/>
    <s v="Ship window (Collect)"/>
    <x v="0"/>
    <x v="0"/>
    <x v="0"/>
    <n v="372"/>
    <n v="372"/>
    <n v="336"/>
    <n v="336"/>
    <n v="0"/>
    <n v="36"/>
    <n v="36"/>
    <m/>
    <n v="0"/>
    <m/>
    <m/>
    <n v="336"/>
    <x v="0"/>
    <n v="336"/>
    <n v="36"/>
    <m/>
    <n v="28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RBZC"/>
    <s v="04893966201781"/>
    <s v="GTIN"/>
    <x v="0"/>
    <s v="AE FF 20x16 Cargo Shorts"/>
    <x v="10"/>
    <s v="Khaki"/>
    <n v="36"/>
    <s v="-"/>
    <s v=""/>
    <s v="Amazon Essentials Men's 10&quot; Classic-Fit Cotton Twill Cargo Shorts, Multiple Pockets (Available in Big &amp; Tall), Khaki, 36"/>
    <s v="Accepted: In stock"/>
    <s v="Ship window (Collect)"/>
    <x v="0"/>
    <x v="0"/>
    <x v="0"/>
    <n v="708"/>
    <n v="708"/>
    <n v="648"/>
    <n v="648"/>
    <n v="0"/>
    <n v="60"/>
    <n v="60"/>
    <m/>
    <n v="0"/>
    <m/>
    <m/>
    <n v="648"/>
    <x v="0"/>
    <n v="648"/>
    <n v="60"/>
    <m/>
    <n v="54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QLLW"/>
    <s v="04893966201767"/>
    <s v="GTIN"/>
    <x v="0"/>
    <s v="AE FF 20x16 Cargo Shorts"/>
    <x v="10"/>
    <s v="Khaki"/>
    <n v="33"/>
    <s v="-"/>
    <s v=""/>
    <s v="Amazon Essentials Men's 10&quot; Classic-Fit Cotton Twill Cargo Shorts, Multiple Pockets (Available in Big &amp; Tall), Khaki, 33"/>
    <s v="Accepted: In stock"/>
    <s v="Ship window (Collect)"/>
    <x v="0"/>
    <x v="0"/>
    <x v="0"/>
    <n v="420"/>
    <n v="420"/>
    <n v="372"/>
    <n v="372"/>
    <n v="0"/>
    <n v="48"/>
    <n v="48"/>
    <m/>
    <n v="0"/>
    <m/>
    <m/>
    <n v="372"/>
    <x v="0"/>
    <n v="372"/>
    <n v="48"/>
    <m/>
    <n v="31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QL4O"/>
    <s v="04893966201804"/>
    <s v="GTIN"/>
    <x v="0"/>
    <s v="AE FF 20x16 Cargo Shorts"/>
    <x v="10"/>
    <s v="Khaki"/>
    <n v="40"/>
    <s v="-"/>
    <s v=""/>
    <s v="Amazon Essentials Men's 10&quot; Classic-Fit Cotton Twill Cargo Shorts, Multiple Pockets (Available in Big &amp; Tall), Khaki, 40"/>
    <s v="Accepted: In stock"/>
    <s v="Ship window (Collect)"/>
    <x v="0"/>
    <x v="0"/>
    <x v="0"/>
    <n v="648"/>
    <n v="648"/>
    <n v="588"/>
    <n v="588"/>
    <n v="0"/>
    <n v="60"/>
    <n v="60"/>
    <m/>
    <n v="0"/>
    <m/>
    <m/>
    <n v="588"/>
    <x v="0"/>
    <n v="588"/>
    <n v="60"/>
    <m/>
    <n v="49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QAX6"/>
    <s v="04893966201736"/>
    <s v="GTIN"/>
    <x v="0"/>
    <s v="AE FF 20x16 Cargo Shorts"/>
    <x v="10"/>
    <s v="Khaki"/>
    <n v="29"/>
    <s v="-"/>
    <s v=""/>
    <s v="Amazon Essentials Men's 10&quot; Classic-Fit Cotton Twill Cargo Shorts, Multiple Pockets (Available in Big &amp; Tall), Khaki, 29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PQKE"/>
    <s v="04893966201750"/>
    <s v="GTIN"/>
    <x v="0"/>
    <s v="AE FF 20x16 Cargo Shorts"/>
    <x v="10"/>
    <s v="Khaki"/>
    <n v="32"/>
    <s v="-"/>
    <s v=""/>
    <s v="Amazon Essentials Men's 10&quot; Classic-Fit Cotton Twill Cargo Shorts, Multiple Pockets (Available in Big &amp; Tall), Khaki, 32"/>
    <s v="Accepted: In stock"/>
    <s v="Ship window (Collect)"/>
    <x v="0"/>
    <x v="0"/>
    <x v="0"/>
    <n v="516"/>
    <n v="516"/>
    <n v="456"/>
    <n v="456"/>
    <n v="0"/>
    <n v="60"/>
    <n v="60"/>
    <m/>
    <n v="0"/>
    <m/>
    <m/>
    <n v="456"/>
    <x v="0"/>
    <n v="456"/>
    <n v="60"/>
    <m/>
    <n v="38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AIAW"/>
    <s v="04893966201446"/>
    <s v="GTIN"/>
    <x v="0"/>
    <s v="AE FF 20x16 Cargo Shorts"/>
    <x v="10"/>
    <s v="Black"/>
    <n v="34"/>
    <s v="-"/>
    <s v=""/>
    <s v="Amazon Essentials Men's 10&quot; Classic-Fit Cotton Twill Cargo Shorts, Multiple Pockets (Available in Big &amp; Tall), Black, 34"/>
    <s v="Accepted: In stock"/>
    <s v="Ship window (Collect)"/>
    <x v="0"/>
    <x v="0"/>
    <x v="0"/>
    <n v="936"/>
    <n v="936"/>
    <n v="996"/>
    <n v="996"/>
    <n v="0"/>
    <n v="-60"/>
    <m/>
    <m/>
    <m/>
    <m/>
    <m/>
    <n v="936"/>
    <x v="0"/>
    <n v="936"/>
    <n v="0"/>
    <m/>
    <n v="78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AD2A"/>
    <s v="04893966201460"/>
    <s v="GTIN"/>
    <x v="0"/>
    <s v="AE FF 20x16 Cargo Shorts"/>
    <x v="10"/>
    <s v="Black"/>
    <n v="38"/>
    <s v="-"/>
    <s v=""/>
    <s v="Amazon Essentials Men's 10&quot; Classic-Fit Cotton Twill Cargo Shorts, Multiple Pockets (Available in Big &amp; Tall), Black, 38"/>
    <s v="Accepted: In stock"/>
    <s v="Ship window (Collect)"/>
    <x v="0"/>
    <x v="0"/>
    <x v="0"/>
    <n v="264"/>
    <n v="264"/>
    <n v="240"/>
    <n v="240"/>
    <n v="0"/>
    <n v="24"/>
    <n v="24"/>
    <m/>
    <n v="0"/>
    <m/>
    <m/>
    <n v="240"/>
    <x v="0"/>
    <n v="240"/>
    <n v="24"/>
    <m/>
    <n v="20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A794"/>
    <s v="04893966201422"/>
    <s v="GTIN"/>
    <x v="0"/>
    <s v="AE FF 20x16 Cargo Shorts"/>
    <x v="10"/>
    <s v="Black"/>
    <n v="32"/>
    <s v="-"/>
    <s v=""/>
    <s v="Amazon Essentials Men's 10&quot; Classic-Fit Cotton Twill Cargo Shorts, Multiple Pockets (Available in Big &amp; Tall), Black, 32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A1Q8"/>
    <s v="04893966201484"/>
    <s v="GTIN"/>
    <x v="0"/>
    <s v="AE FF 20x16 Cargo Shorts"/>
    <x v="10"/>
    <s v="Black"/>
    <n v="42"/>
    <s v="-"/>
    <s v=""/>
    <s v="Amazon Essentials Men's 10&quot; Classic-Fit Cotton Twill Cargo Shorts, Multiple Pockets (Available in Big &amp; Tall), Black, 42"/>
    <s v="Accepted: In stock"/>
    <s v="Ship window (Collect)"/>
    <x v="0"/>
    <x v="0"/>
    <x v="0"/>
    <n v="252"/>
    <n v="252"/>
    <n v="276"/>
    <n v="276"/>
    <n v="0"/>
    <n v="-24"/>
    <m/>
    <m/>
    <m/>
    <m/>
    <m/>
    <n v="252"/>
    <x v="0"/>
    <n v="252"/>
    <n v="0"/>
    <m/>
    <n v="21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9X44"/>
    <s v="04893966201453"/>
    <s v="GTIN"/>
    <x v="0"/>
    <s v="AE FF 20x16 Cargo Shorts"/>
    <x v="10"/>
    <s v="Black"/>
    <n v="36"/>
    <s v="-"/>
    <s v=""/>
    <s v="Amazon Essentials Men's 10&quot; Classic-Fit Cotton Twill Cargo Shorts, Multiple Pockets (Available in Big &amp; Tall), Black, 36"/>
    <s v="Accepted: In stock"/>
    <s v="Ship window (Collect)"/>
    <x v="0"/>
    <x v="0"/>
    <x v="0"/>
    <n v="828"/>
    <n v="828"/>
    <n v="876"/>
    <n v="876"/>
    <n v="0"/>
    <n v="-48"/>
    <m/>
    <m/>
    <m/>
    <m/>
    <m/>
    <n v="828"/>
    <x v="0"/>
    <n v="828"/>
    <n v="0"/>
    <m/>
    <n v="69"/>
    <n v="7.12"/>
    <s v="USD"/>
    <n v="7.12"/>
    <b v="1"/>
    <m/>
    <m/>
    <s v="TH"/>
    <x v="0"/>
    <s v="EGMCL"/>
    <s v="EG5-10343"/>
    <x v="2"/>
    <x v="2"/>
  </r>
  <r>
    <x v="2"/>
    <x v="2"/>
    <x v="0"/>
    <s v="ITHC - SI RACHA, Bangkok"/>
    <s v="B01JQT9NC6"/>
    <s v="04893966201415"/>
    <s v="GTIN"/>
    <x v="0"/>
    <s v="AE FF 20x16 Cargo Shorts"/>
    <x v="10"/>
    <s v="Black"/>
    <n v="30"/>
    <s v="-"/>
    <s v=""/>
    <s v="Amazon Essentials Men's 10&quot; Classic-Fit Cotton Twill Cargo Shorts, Multiple Pockets (Available in Big &amp; Tall), Black, 30"/>
    <s v="Accepted: In stock"/>
    <s v="Ship window (Collect)"/>
    <x v="0"/>
    <x v="0"/>
    <x v="0"/>
    <n v="288"/>
    <n v="288"/>
    <n v="264"/>
    <n v="264"/>
    <n v="0"/>
    <n v="24"/>
    <n v="24"/>
    <m/>
    <n v="0"/>
    <m/>
    <m/>
    <n v="264"/>
    <x v="0"/>
    <n v="264"/>
    <n v="24"/>
    <m/>
    <n v="22"/>
    <n v="7.12"/>
    <s v="USD"/>
    <n v="7.12"/>
    <b v="1"/>
    <m/>
    <m/>
    <s v="TH"/>
    <x v="0"/>
    <s v="EGMCL"/>
    <s v="EG5-10343"/>
    <x v="2"/>
    <x v="2"/>
  </r>
  <r>
    <x v="3"/>
    <x v="3"/>
    <x v="0"/>
    <s v="ITHC - SI RACHA, Bangkok"/>
    <s v="B0F7ND6P95"/>
    <s v="197153417981"/>
    <s v="UPC"/>
    <x v="2"/>
    <s v="Unisex Baby and Toddlers' Soft Stretch Regular-Fit Denim Jacket"/>
    <x v="11"/>
    <s v="Stone Medium Wash"/>
    <s v="4T"/>
    <s v="-"/>
    <s v="AEUB43108M25-Stone Medium Wash_4y"/>
    <s v="Amazon Essentials Unisex Babies' Unisex Baby and Toddlers' Soft Stretch Regular-Fit Denim Jacket, Stone Medium Wash, 4T"/>
    <s v="Accepted: In stock"/>
    <s v="Ship window (Collect)"/>
    <x v="0"/>
    <x v="0"/>
    <x v="0"/>
    <n v="264"/>
    <n v="264"/>
    <n v="288"/>
    <n v="288"/>
    <n v="0"/>
    <n v="-24"/>
    <m/>
    <m/>
    <m/>
    <m/>
    <m/>
    <n v="264"/>
    <x v="0"/>
    <n v="264"/>
    <n v="0"/>
    <m/>
    <n v="22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N4TJNS"/>
    <s v="197153418070"/>
    <s v="UPC"/>
    <x v="2"/>
    <s v="Unisex Baby and Toddlers' Soft Stretch Regular-Fit Denim Jacket"/>
    <x v="11"/>
    <s v="Stone Light Wash"/>
    <s v="2T"/>
    <s v="-"/>
    <s v="AEUB43108M25-Stone Light Wash_2y"/>
    <s v="Amazon Essentials Unisex Babies' Unisex Baby and Toddlers' Soft Stretch Regular-Fit Denim Jacket, Stone Light Wash, 2T"/>
    <s v="Accepted: In stock"/>
    <s v="Ship window (Collect)"/>
    <x v="0"/>
    <x v="0"/>
    <x v="0"/>
    <n v="288"/>
    <n v="288"/>
    <n v="312"/>
    <n v="312"/>
    <n v="0"/>
    <n v="-24"/>
    <m/>
    <m/>
    <m/>
    <m/>
    <m/>
    <n v="288"/>
    <x v="0"/>
    <n v="288"/>
    <n v="0"/>
    <m/>
    <n v="24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F7N3GY6K"/>
    <s v="197153417974"/>
    <s v="UPC"/>
    <x v="2"/>
    <s v="Unisex Baby and Toddlers' Soft Stretch Regular-Fit Denim Jacket"/>
    <x v="11"/>
    <s v="Stone Medium Wash"/>
    <s v="3T"/>
    <s v="-"/>
    <s v="AEUB43108M25-Stone Medium Wash_3y"/>
    <s v="Amazon Essentials Unisex Babies' Unisex Baby and Toddlers' Soft Stretch Regular-Fit Denim Jacket, Stone Medium Wash, 3T"/>
    <s v="Accepted: In stock"/>
    <s v="Ship window (Collect)"/>
    <x v="0"/>
    <x v="0"/>
    <x v="0"/>
    <n v="264"/>
    <n v="264"/>
    <n v="288"/>
    <n v="288"/>
    <n v="0"/>
    <n v="-24"/>
    <m/>
    <m/>
    <n v="0"/>
    <m/>
    <m/>
    <n v="264"/>
    <x v="0"/>
    <n v="264"/>
    <n v="0"/>
    <m/>
    <n v="22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N3GNLX"/>
    <s v="197153417998"/>
    <s v="UPC"/>
    <x v="2"/>
    <s v="Unisex Baby and Toddlers' Soft Stretch Regular-Fit Denim Jacket"/>
    <x v="11"/>
    <s v="Stone Medium Wash"/>
    <s v="2T"/>
    <s v="-"/>
    <s v="AEUB43108M25-Stone Medium Wash_2y"/>
    <s v="Amazon Essentials Unisex Babies' Unisex Baby and Toddlers' Soft Stretch Regular-Fit Denim Jacket, Stone Medium Wash, 2T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MYTRBM"/>
    <s v="197153417967"/>
    <s v="UPC"/>
    <x v="2"/>
    <s v="Unisex Baby and Toddlers' Soft Stretch Regular-Fit Denim Jacket"/>
    <x v="11"/>
    <s v="Stone Medium Wash"/>
    <s v="24 Months"/>
    <s v="-"/>
    <s v="AEUB43108M25-Stone Medium Wash_24m"/>
    <s v="Amazon Essentials Unisex Babies' Unisex Baby and Toddlers' Soft Stretch Regular-Fit Denim Jacket, Stone Medium Wash, 24 Months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MXD635"/>
    <s v="197153418117"/>
    <s v="UPC"/>
    <x v="2"/>
    <s v="Unisex Baby and Toddlers' Soft Stretch Regular-Fit Denim Jacket"/>
    <x v="11"/>
    <s v="Stone Light Wash"/>
    <s v="12 Months"/>
    <s v="-"/>
    <s v="AEUB43108M25-Stone Light Wash_12m"/>
    <s v="Amazon Essentials Unisex Babies' Unisex Baby and Toddlers' Soft Stretch Regular-Fit Denim Jacket, Stone Light Wash, 12 Months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F7MVY9Z5"/>
    <s v="197153418032"/>
    <s v="UPC"/>
    <x v="2"/>
    <s v="Unisex Baby and Toddlers' Soft Stretch Regular-Fit Denim Jacket"/>
    <x v="11"/>
    <s v="Stone Medium Wash"/>
    <s v="12 Months"/>
    <s v="-"/>
    <s v="AEUB43108M25-Stone Medium Wash_12m"/>
    <s v="Amazon Essentials Unisex Babies' Unisex Baby and Toddlers' Soft Stretch Regular-Fit Denim Jacket, Stone Medium Wash, 12 Months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MVFWYR"/>
    <s v="197153418063"/>
    <s v="UPC"/>
    <x v="2"/>
    <s v="Unisex Baby and Toddlers' Soft Stretch Regular-Fit Denim Jacket"/>
    <x v="11"/>
    <s v="Stone Light Wash"/>
    <s v="4T"/>
    <s v="-"/>
    <s v="AEUB43108M25-Stone Light Wash_4y"/>
    <s v="Amazon Essentials Unisex Babies' Unisex Baby and Toddlers' Soft Stretch Regular-Fit Denim Jacket, Stone Light Wash, 4T"/>
    <s v="Accepted: In stock"/>
    <s v="Ship window (Collect)"/>
    <x v="0"/>
    <x v="0"/>
    <x v="0"/>
    <n v="276"/>
    <n v="276"/>
    <n v="300"/>
    <n v="300"/>
    <n v="0"/>
    <n v="-24"/>
    <m/>
    <m/>
    <n v="0"/>
    <m/>
    <m/>
    <n v="276"/>
    <x v="0"/>
    <n v="276"/>
    <n v="0"/>
    <m/>
    <n v="23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F7MSCW37"/>
    <s v="197153418056"/>
    <s v="UPC"/>
    <x v="2"/>
    <s v="Unisex Baby and Toddlers' Soft Stretch Regular-Fit Denim Jacket"/>
    <x v="11"/>
    <s v="Stone Light Wash"/>
    <s v="3T"/>
    <s v="-"/>
    <s v="AEUB43108M25-Stone Light Wash_3y"/>
    <s v="Amazon Essentials Unisex Babies' Unisex Baby and Toddlers' Soft Stretch Regular-Fit Denim Jacket, Stone Light Wash, 3T"/>
    <s v="Accepted: In stock"/>
    <s v="Ship window (Collect)"/>
    <x v="0"/>
    <x v="0"/>
    <x v="0"/>
    <n v="300"/>
    <n v="300"/>
    <n v="324"/>
    <n v="324"/>
    <n v="0"/>
    <n v="-24"/>
    <m/>
    <m/>
    <n v="0"/>
    <m/>
    <m/>
    <n v="300"/>
    <x v="0"/>
    <n v="300"/>
    <n v="0"/>
    <m/>
    <n v="25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F7MRXMJ6"/>
    <s v="197153418018"/>
    <s v="UPC"/>
    <x v="2"/>
    <s v="Unisex Baby and Toddlers' Soft Stretch Regular-Fit Denim Jacket"/>
    <x v="11"/>
    <s v="Stone Medium Wash"/>
    <s v="18 Months"/>
    <s v="-"/>
    <s v="AEUB43108M25-Stone Medium Wash_18m"/>
    <s v="Amazon Essentials Unisex Babies' Unisex Baby and Toddlers' Soft Stretch Regular-Fit Denim Jacket, Stone Medium Wash, 18 Months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MM74YK"/>
    <s v="197153418094"/>
    <s v="UPC"/>
    <x v="2"/>
    <s v="Unisex Baby and Toddlers' Soft Stretch Regular-Fit Denim Jacket"/>
    <x v="11"/>
    <s v="Stone Light Wash"/>
    <s v="18 Months"/>
    <s v="-"/>
    <s v="AEUB43108M25-Stone Light Wash_18m"/>
    <s v="Amazon Essentials Unisex Babies' Unisex Baby and Toddlers' Soft Stretch Regular-Fit Denim Jacket, Stone Light Wash, 18 Months"/>
    <s v="Accepted: In stock"/>
    <s v="Ship window (Collect)"/>
    <x v="0"/>
    <x v="0"/>
    <x v="0"/>
    <n v="204"/>
    <n v="204"/>
    <n v="216"/>
    <n v="216"/>
    <n v="0"/>
    <n v="-12"/>
    <m/>
    <m/>
    <m/>
    <m/>
    <m/>
    <n v="204"/>
    <x v="0"/>
    <n v="204"/>
    <n v="0"/>
    <m/>
    <n v="17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F7MH1W9T"/>
    <s v="197153418025"/>
    <s v="UPC"/>
    <x v="2"/>
    <s v="Unisex Baby and Toddlers' Soft Stretch Regular-Fit Denim Jacket"/>
    <x v="11"/>
    <s v="Stone Medium Wash"/>
    <s v="6-9 Months"/>
    <s v="-"/>
    <s v="AEUB43108M25-Stone Medium Wash_6-9m"/>
    <s v="Amazon Essentials Unisex Babies' Unisex Baby and Toddlers' Soft Stretch Regular-Fit Denim Jacket, Stone Medium Wash, 6-9 Months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4.2"/>
    <s v="USD"/>
    <n v="14.2"/>
    <b v="1"/>
    <m/>
    <m/>
    <s v="TH"/>
    <x v="0"/>
    <s v="PGCL"/>
    <s v="PGCL-02474"/>
    <x v="3"/>
    <x v="2"/>
  </r>
  <r>
    <x v="3"/>
    <x v="3"/>
    <x v="0"/>
    <s v="ITHC - SI RACHA, Bangkok"/>
    <s v="B0F7MG4H6Z"/>
    <s v="197153418100"/>
    <s v="UPC"/>
    <x v="2"/>
    <s v="Unisex Baby and Toddlers' Soft Stretch Regular-Fit Denim Jacket"/>
    <x v="11"/>
    <s v="Stone Light Wash"/>
    <s v="6-9 Months"/>
    <s v="-"/>
    <s v="AEUB43108M25-Stone Light Wash_6-9m"/>
    <s v="Amazon Essentials Unisex Babies' Unisex Baby and Toddlers' Soft Stretch Regular-Fit Denim Jacket, Stone Light Wash, 6-9 Months"/>
    <s v="Accepted: In stock"/>
    <s v="Ship window (Collect)"/>
    <x v="0"/>
    <x v="0"/>
    <x v="0"/>
    <n v="180"/>
    <n v="180"/>
    <n v="192"/>
    <n v="192"/>
    <n v="0"/>
    <n v="-12"/>
    <m/>
    <m/>
    <m/>
    <m/>
    <m/>
    <n v="180"/>
    <x v="0"/>
    <n v="180"/>
    <n v="0"/>
    <m/>
    <n v="15"/>
    <n v="13.96"/>
    <s v="USD"/>
    <n v="13.96"/>
    <b v="1"/>
    <m/>
    <m/>
    <s v="TH"/>
    <x v="0"/>
    <s v="PGCL"/>
    <s v="PGCL-02474"/>
    <x v="3"/>
    <x v="2"/>
  </r>
  <r>
    <x v="3"/>
    <x v="3"/>
    <x v="0"/>
    <s v="ITHC - SI RACHA, Bangkok"/>
    <s v="B0DX23FSZT"/>
    <s v="197153282046"/>
    <s v="UPC"/>
    <x v="2"/>
    <s v="Women's Low Stretch Denim Regular-Fit Button-Front Trucker Jacket"/>
    <x v="12"/>
    <s v="Stone Dark Wash"/>
    <s v="Large"/>
    <s v="-"/>
    <s v="AEWM47457M25-Stone Dark Wash_l"/>
    <s v="Amazon Essentials Women's Oversized-Fit Rigid Denim Trucker Jacket, Stone Dark Wash, Large"/>
    <s v="Accepted: In stock"/>
    <s v="Ship window (Collect)"/>
    <x v="0"/>
    <x v="0"/>
    <x v="0"/>
    <n v="804"/>
    <n v="804"/>
    <n v="804"/>
    <n v="804"/>
    <n v="0"/>
    <n v="0"/>
    <m/>
    <m/>
    <n v="0"/>
    <m/>
    <m/>
    <n v="804"/>
    <x v="0"/>
    <n v="804"/>
    <n v="0"/>
    <m/>
    <n v="67"/>
    <n v="15.15"/>
    <s v="USD"/>
    <n v="15.15"/>
    <b v="1"/>
    <m/>
    <m/>
    <s v="TH"/>
    <x v="0"/>
    <s v="PGCL"/>
    <s v="PGCL-02485"/>
    <x v="3"/>
    <x v="2"/>
  </r>
  <r>
    <x v="3"/>
    <x v="3"/>
    <x v="0"/>
    <s v="ITHC - SI RACHA, Bangkok"/>
    <s v="B0DX236M5R"/>
    <s v="197153282084"/>
    <s v="UPC"/>
    <x v="2"/>
    <s v="Women's Low Stretch Denim Regular-Fit Button-Front Trucker Jacket"/>
    <x v="12"/>
    <s v="Stone Dark Wash"/>
    <s v="X-Small"/>
    <s v="-"/>
    <s v="AEWM47457M25-Stone Dark Wash_xs"/>
    <s v="Amazon Essentials Women's Oversized-Fit Rigid Denim Trucker Jacket, Stone Dark Wash, X-Smal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5.15"/>
    <s v="USD"/>
    <n v="15.15"/>
    <b v="1"/>
    <m/>
    <m/>
    <s v="TH"/>
    <x v="0"/>
    <s v="PGCL"/>
    <s v="PGCL-02485"/>
    <x v="3"/>
    <x v="2"/>
  </r>
  <r>
    <x v="3"/>
    <x v="3"/>
    <x v="0"/>
    <s v="ITHC - SI RACHA, Bangkok"/>
    <s v="B0DX22YFJ1"/>
    <s v="197153282060"/>
    <s v="UPC"/>
    <x v="2"/>
    <s v="Women's Low Stretch Denim Regular-Fit Button-Front Trucker Jacket"/>
    <x v="12"/>
    <s v="Stone Dark Wash"/>
    <s v="XX-Large"/>
    <s v="-"/>
    <s v="AEWM47457M25-Stone Dark Wash_xxl"/>
    <s v="Amazon Essentials Women's Oversized-Fit Rigid Denim Trucker Jacket, Stone Dark Wash, XX-Large"/>
    <s v="Accepted: In stock"/>
    <s v="Ship window (Collect)"/>
    <x v="0"/>
    <x v="0"/>
    <x v="0"/>
    <n v="612"/>
    <n v="612"/>
    <n v="576"/>
    <n v="576"/>
    <n v="0"/>
    <n v="36"/>
    <n v="36"/>
    <m/>
    <n v="0"/>
    <m/>
    <m/>
    <n v="576"/>
    <x v="0"/>
    <n v="576"/>
    <n v="36"/>
    <m/>
    <n v="48"/>
    <n v="15.15"/>
    <s v="USD"/>
    <n v="15.15"/>
    <b v="1"/>
    <m/>
    <m/>
    <s v="TH"/>
    <x v="0"/>
    <s v="PGCL"/>
    <s v="PGCL-02485"/>
    <x v="3"/>
    <x v="2"/>
  </r>
  <r>
    <x v="3"/>
    <x v="3"/>
    <x v="0"/>
    <s v="ITHC - SI RACHA, Bangkok"/>
    <s v="B0DX22NLYP"/>
    <s v="197153282077"/>
    <s v="UPC"/>
    <x v="2"/>
    <s v="Women's Low Stretch Denim Regular-Fit Button-Front Trucker Jacket"/>
    <x v="12"/>
    <s v="Stone Dark Wash"/>
    <s v="X-Large"/>
    <s v="-"/>
    <s v="AEWM47457M25-Stone Dark Wash_xl"/>
    <s v="Amazon Essentials Women's Oversized-Fit Rigid Denim Trucker Jacket, Stone Dark Wash, X-Large"/>
    <s v="Accepted: In stock"/>
    <s v="Ship window (Collect)"/>
    <x v="0"/>
    <x v="0"/>
    <x v="0"/>
    <n v="480"/>
    <n v="480"/>
    <n v="432"/>
    <n v="432"/>
    <n v="0"/>
    <n v="48"/>
    <n v="48"/>
    <m/>
    <n v="0"/>
    <m/>
    <m/>
    <n v="432"/>
    <x v="0"/>
    <n v="432"/>
    <n v="48"/>
    <m/>
    <n v="36"/>
    <n v="15.15"/>
    <s v="USD"/>
    <n v="15.15"/>
    <b v="1"/>
    <m/>
    <m/>
    <s v="TH"/>
    <x v="0"/>
    <s v="PGCL"/>
    <s v="PGCL-02485"/>
    <x v="3"/>
    <x v="2"/>
  </r>
  <r>
    <x v="3"/>
    <x v="3"/>
    <x v="0"/>
    <s v="ITHC - SI RACHA, Bangkok"/>
    <s v="B0DX22HRD8"/>
    <s v="197153282053"/>
    <s v="UPC"/>
    <x v="2"/>
    <s v="Women's Low Stretch Denim Regular-Fit Button-Front Trucker Jacket"/>
    <x v="12"/>
    <s v="Stone Dark Wash"/>
    <s v="Small"/>
    <s v="-"/>
    <s v="AEWM47457M25-Stone Dark Wash_s"/>
    <s v="Amazon Essentials Women's Oversized-Fit Rigid Denim Trucker Jacket, Stone Dark Wash, Small"/>
    <s v="Accepted: In stock"/>
    <s v="Ship window (Collect)"/>
    <x v="0"/>
    <x v="0"/>
    <x v="0"/>
    <n v="384"/>
    <n v="384"/>
    <n v="408"/>
    <n v="408"/>
    <n v="0"/>
    <n v="-24"/>
    <m/>
    <m/>
    <n v="0"/>
    <m/>
    <m/>
    <n v="384"/>
    <x v="0"/>
    <n v="384"/>
    <n v="0"/>
    <m/>
    <n v="32"/>
    <n v="15.15"/>
    <s v="USD"/>
    <n v="15.15"/>
    <b v="1"/>
    <m/>
    <m/>
    <s v="TH"/>
    <x v="0"/>
    <s v="PGCL"/>
    <s v="PGCL-02485"/>
    <x v="3"/>
    <x v="2"/>
  </r>
  <r>
    <x v="3"/>
    <x v="3"/>
    <x v="0"/>
    <s v="ITHC - SI RACHA, Bangkok"/>
    <s v="B0DX21Z7DX"/>
    <s v="197153282039"/>
    <s v="UPC"/>
    <x v="2"/>
    <s v="Women's Low Stretch Denim Regular-Fit Button-Front Trucker Jacket"/>
    <x v="12"/>
    <s v="Stone Dark Wash"/>
    <s v="Medium"/>
    <s v="-"/>
    <s v="AEWM47457M25-Stone Dark Wash_m"/>
    <s v="Amazon Essentials Women's Oversized-Fit Rigid Denim Trucker Jacket, Stone Dark Wash, Medium"/>
    <s v="Accepted: In stock"/>
    <s v="Ship window (Collect)"/>
    <x v="0"/>
    <x v="0"/>
    <x v="0"/>
    <n v="588"/>
    <n v="588"/>
    <n v="612"/>
    <n v="612"/>
    <n v="0"/>
    <n v="-24"/>
    <m/>
    <m/>
    <n v="0"/>
    <m/>
    <m/>
    <n v="588"/>
    <x v="0"/>
    <n v="588"/>
    <n v="0"/>
    <m/>
    <n v="49"/>
    <n v="15.15"/>
    <s v="USD"/>
    <n v="15.15"/>
    <b v="1"/>
    <m/>
    <m/>
    <s v="TH"/>
    <x v="0"/>
    <s v="PGCL"/>
    <s v="PGCL-02485"/>
    <x v="3"/>
    <x v="2"/>
  </r>
  <r>
    <x v="4"/>
    <x v="2"/>
    <x v="0"/>
    <s v="ITHC - SI RACHA, Bangkok"/>
    <s v="B0FS2XCKQ7"/>
    <s v="197153515045"/>
    <s v="UPC"/>
    <x v="3"/>
    <s v="Women's High Stretch Slim-Fit Pedal Pusher Jean"/>
    <x v="13"/>
    <s v="Black"/>
    <n v="20"/>
    <s v="-"/>
    <s v="AEWM16178M26-Black_20"/>
    <s v="Amazon Essentials Women's High Stretch Slim-Fit Pedal Pusher Jean, Black, 20"/>
    <s v="Accepted: In stock"/>
    <s v="Ship window (Collect)"/>
    <x v="0"/>
    <x v="0"/>
    <x v="0"/>
    <n v="200"/>
    <n v="200"/>
    <n v="200"/>
    <n v="200"/>
    <n v="0"/>
    <n v="0"/>
    <m/>
    <m/>
    <n v="0"/>
    <m/>
    <m/>
    <n v="200"/>
    <x v="4"/>
    <n v="200"/>
    <n v="0"/>
    <m/>
    <n v="10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LLNKX"/>
    <s v="197153515090"/>
    <s v="UPC"/>
    <x v="3"/>
    <s v="Women's High Stretch Slim-Fit Pedal Pusher Jean"/>
    <x v="13"/>
    <s v="Black"/>
    <n v="2"/>
    <s v="-"/>
    <s v="AEWM16178M26-Black_2"/>
    <s v="Amazon Essentials Women's High Stretch Slim-Fit Pedal Pusher Jean, Black, 2"/>
    <s v="Accepted: In stock"/>
    <s v="Ship window (Collect)"/>
    <x v="0"/>
    <x v="0"/>
    <x v="0"/>
    <n v="300"/>
    <n v="300"/>
    <n v="300"/>
    <n v="300"/>
    <n v="0"/>
    <n v="0"/>
    <m/>
    <m/>
    <n v="0"/>
    <m/>
    <m/>
    <n v="300"/>
    <x v="4"/>
    <n v="300"/>
    <n v="0"/>
    <m/>
    <n v="15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FWK8C"/>
    <s v="197153515052"/>
    <s v="UPC"/>
    <x v="3"/>
    <s v="Women's High Stretch Slim-Fit Pedal Pusher Jean"/>
    <x v="13"/>
    <s v="Black"/>
    <n v="10"/>
    <s v="-"/>
    <s v="AEWM16178M26-Black_10"/>
    <s v="Amazon Essentials Women's High Stretch Slim-Fit Pedal Pusher Jean, Black, 10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4"/>
    <n v="80"/>
    <n v="0"/>
    <m/>
    <n v="4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DNKJ6"/>
    <s v="197153515021"/>
    <s v="UPC"/>
    <x v="3"/>
    <s v="Women's High Stretch Slim-Fit Pedal Pusher Jean"/>
    <x v="13"/>
    <s v="Black"/>
    <n v="6"/>
    <s v="-"/>
    <s v="AEWM16178M26-Black_6"/>
    <s v="Amazon Essentials Women's High Stretch Slim-Fit Pedal Pusher Jean, Black, 6"/>
    <s v="Accepted: In stock"/>
    <s v="Ship window (Collect)"/>
    <x v="0"/>
    <x v="0"/>
    <x v="0"/>
    <n v="460"/>
    <n v="460"/>
    <n v="480"/>
    <n v="480"/>
    <n v="0"/>
    <n v="-20"/>
    <m/>
    <m/>
    <n v="0"/>
    <m/>
    <m/>
    <n v="460"/>
    <x v="4"/>
    <n v="460"/>
    <n v="0"/>
    <m/>
    <n v="23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DLZX1"/>
    <s v="197153515038"/>
    <s v="UPC"/>
    <x v="3"/>
    <s v="Women's High Stretch Slim-Fit Pedal Pusher Jean"/>
    <x v="13"/>
    <s v="Black"/>
    <n v="4"/>
    <s v="-"/>
    <s v="AEWM16178M26-Black_4"/>
    <s v="Amazon Essentials Women's High Stretch Slim-Fit Pedal Pusher Jean, Black, 4"/>
    <s v="Accepted: In stock"/>
    <s v="Ship window (Collect)"/>
    <x v="0"/>
    <x v="0"/>
    <x v="0"/>
    <n v="340"/>
    <n v="340"/>
    <n v="360"/>
    <n v="360"/>
    <n v="0"/>
    <n v="-20"/>
    <m/>
    <m/>
    <m/>
    <m/>
    <m/>
    <n v="340"/>
    <x v="4"/>
    <n v="340"/>
    <n v="0"/>
    <m/>
    <n v="17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D8652"/>
    <s v="197153515106"/>
    <s v="UPC"/>
    <x v="3"/>
    <s v="Women's High Stretch Slim-Fit Pedal Pusher Jean"/>
    <x v="13"/>
    <s v="Black"/>
    <n v="0"/>
    <s v="-"/>
    <s v="AEWM16178M26-Black_0"/>
    <s v="Amazon Essentials Women's High Stretch Slim-Fit Pedal Pusher Jean, Black, 0"/>
    <s v="Accepted: In stock"/>
    <s v="Ship window (Collect)"/>
    <x v="0"/>
    <x v="0"/>
    <x v="0"/>
    <n v="260"/>
    <n v="260"/>
    <n v="280"/>
    <n v="280"/>
    <n v="0"/>
    <n v="-20"/>
    <m/>
    <m/>
    <n v="0"/>
    <m/>
    <m/>
    <n v="260"/>
    <x v="4"/>
    <n v="260"/>
    <n v="0"/>
    <m/>
    <n v="13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CZ39S"/>
    <s v="197153515069"/>
    <s v="UPC"/>
    <x v="3"/>
    <s v="Women's High Stretch Slim-Fit Pedal Pusher Jean"/>
    <x v="13"/>
    <s v="Black"/>
    <n v="8"/>
    <s v="-"/>
    <s v="AEWM16178M26-Black_8"/>
    <s v="Amazon Essentials Women's High Stretch Slim-Fit Pedal Pusher Jean, Black, 8"/>
    <s v="Accepted: In stock"/>
    <s v="Ship window (Collect)"/>
    <x v="0"/>
    <x v="0"/>
    <x v="0"/>
    <n v="100"/>
    <n v="100"/>
    <n v="100"/>
    <n v="100"/>
    <n v="0"/>
    <n v="0"/>
    <m/>
    <m/>
    <n v="0"/>
    <m/>
    <m/>
    <n v="100"/>
    <x v="4"/>
    <n v="100"/>
    <n v="0"/>
    <m/>
    <n v="5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CYJM6"/>
    <s v="197153515014"/>
    <s v="UPC"/>
    <x v="3"/>
    <s v="Women's High Stretch Slim-Fit Pedal Pusher Jean"/>
    <x v="13"/>
    <s v="Black"/>
    <n v="16"/>
    <s v="-"/>
    <s v="AEWM16178M26-Black_16"/>
    <s v="Amazon Essentials Women's High Stretch Slim-Fit Pedal Pusher Jean, Black, 16"/>
    <s v="Accepted: In stock"/>
    <s v="Ship window (Collect)"/>
    <x v="0"/>
    <x v="0"/>
    <x v="0"/>
    <n v="80"/>
    <n v="80"/>
    <n v="80"/>
    <n v="80"/>
    <n v="0"/>
    <n v="0"/>
    <m/>
    <m/>
    <n v="0"/>
    <m/>
    <m/>
    <n v="80"/>
    <x v="4"/>
    <n v="80"/>
    <n v="0"/>
    <m/>
    <n v="4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C2R99"/>
    <s v="197153515113"/>
    <s v="UPC"/>
    <x v="3"/>
    <s v="Women's High Stretch Slim-Fit Pedal Pusher Jean"/>
    <x v="13"/>
    <s v="Black"/>
    <n v="12"/>
    <s v="-"/>
    <s v="AEWM16178M26-Black_12"/>
    <s v="Amazon Essentials Women's High-Rise Pedal Pusher Jean, Black, 12"/>
    <s v="Accepted: In stock"/>
    <s v="Ship window (Collect)"/>
    <x v="0"/>
    <x v="0"/>
    <x v="0"/>
    <n v="520"/>
    <n v="520"/>
    <n v="520"/>
    <n v="520"/>
    <n v="0"/>
    <n v="0"/>
    <m/>
    <m/>
    <n v="0"/>
    <m/>
    <m/>
    <n v="520"/>
    <x v="4"/>
    <n v="520"/>
    <n v="0"/>
    <m/>
    <n v="26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S2B6BHM"/>
    <s v="197153515076"/>
    <s v="UPC"/>
    <x v="3"/>
    <s v="Women's High Stretch Slim-Fit Pedal Pusher Jean"/>
    <x v="13"/>
    <s v="Black"/>
    <n v="14"/>
    <s v="-"/>
    <s v="AEWM16178M26-Black_14"/>
    <s v="Amazon Essentials Women's High-Rise Pedal Pusher Jean, Black, 14"/>
    <s v="Accepted: In stock"/>
    <s v="Ship window (Collect)"/>
    <x v="0"/>
    <x v="0"/>
    <x v="0"/>
    <n v="420"/>
    <n v="420"/>
    <n v="440"/>
    <n v="440"/>
    <n v="0"/>
    <n v="-20"/>
    <m/>
    <m/>
    <n v="0"/>
    <m/>
    <m/>
    <n v="420"/>
    <x v="4"/>
    <n v="420"/>
    <n v="0"/>
    <m/>
    <n v="21"/>
    <n v="10.06"/>
    <s v="USD"/>
    <n v="10.06"/>
    <b v="1"/>
    <m/>
    <m/>
    <s v="TH"/>
    <x v="0"/>
    <s v="EGMCL"/>
    <s v="EG5-10281"/>
    <x v="2"/>
    <x v="2"/>
  </r>
  <r>
    <x v="4"/>
    <x v="2"/>
    <x v="0"/>
    <s v="ITHC - SI RACHA, Bangkok"/>
    <s v="B0F7ND898B"/>
    <s v="197153421964"/>
    <s v="UPC"/>
    <x v="2"/>
    <s v="Men's Low Stretch Slim-Fit Bootcut Jean"/>
    <x v="14"/>
    <s v="Stone Medium Wash"/>
    <s v="29W x 32L"/>
    <s v="-"/>
    <s v="AEMN88118M25-Stone Medium Wash_29wx32l"/>
    <s v="Amazon Essentials Men's Low Stretch Slim-Fit Bootcut Jeans, Stone Medium Wash, 29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D69J4"/>
    <s v="197153423951"/>
    <s v="UPC"/>
    <x v="2"/>
    <s v="Men's Heavyweight Stretch Straight-Fit 9&quot; Jean Shorts"/>
    <x v="15"/>
    <s v="Iced Blue Light Wash"/>
    <n v="36"/>
    <s v="-"/>
    <s v="AEMN97005M25-Iced Blue Light Wash_36"/>
    <s v="Amazon Essentials Men's Heavyweight Stretch Straight-Fit Jean Shorts, Mid Rise, 9&quot; Inseam, Iced Blue Light Wash, 36"/>
    <s v="Accepted: In stock"/>
    <s v="Ship window (Collect)"/>
    <x v="0"/>
    <x v="0"/>
    <x v="0"/>
    <n v="792"/>
    <n v="792"/>
    <n v="792"/>
    <n v="792"/>
    <n v="0"/>
    <n v="0"/>
    <m/>
    <m/>
    <n v="0"/>
    <m/>
    <m/>
    <n v="792"/>
    <x v="5"/>
    <n v="792"/>
    <n v="0"/>
    <m/>
    <n v="33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NBFX4D"/>
    <s v="197153422053"/>
    <s v="UPC"/>
    <x v="2"/>
    <s v="Men's Low Stretch Slim-Fit Bootcut Jean"/>
    <x v="14"/>
    <s v="Stone Medium Wash"/>
    <s v="35W x 32L"/>
    <s v="-"/>
    <s v="AEMN88118M25-Stone Medium Wash_35wx32l"/>
    <s v="Amazon Essentials Men's Low Stretch Slim-Fit Bootcut Jeans, Stone Medium Wash, 35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BDQPT"/>
    <s v="197153422114"/>
    <s v="UPC"/>
    <x v="2"/>
    <s v="Men's Low Stretch Slim-Fit Bootcut Jean"/>
    <x v="14"/>
    <s v="Stone Medium Wash"/>
    <s v="31W x 34L"/>
    <s v="-"/>
    <s v="AEMN88118M25-Stone Medium Wash_31wx34l"/>
    <s v="Amazon Essentials Men's Low Stretch Slim-Fit Bootcut Jeans, Stone Medium Wash, 31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BCNQ9"/>
    <s v="197153420684"/>
    <s v="UPC"/>
    <x v="2"/>
    <s v="Men's Low Stretch Slim-Fit Bootcut Jean"/>
    <x v="14"/>
    <s v="Black"/>
    <s v="36W x 28L"/>
    <s v="-"/>
    <s v="AEMN88118M25-Black_36wx28l"/>
    <s v="Amazon Essentials Men's Low Stretch Slim-Fit Bootcut Jeans, Black, 36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BCMRS"/>
    <s v="197153421933"/>
    <s v="UPC"/>
    <x v="2"/>
    <s v="Men's Low Stretch Slim-Fit Bootcut Jean"/>
    <x v="14"/>
    <s v="Stone Medium Wash"/>
    <s v="30W x 30L"/>
    <s v="-"/>
    <s v="AEMN88118M25-Stone Medium Wash_30wx30l"/>
    <s v="Amazon Essentials Men's Low Stretch Slim-Fit Bootcut Jeans, Stone Medium Wash, 30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BCJR1"/>
    <s v="197153424392"/>
    <s v="UPC"/>
    <x v="2"/>
    <s v="Men's Rigid Relaxed-Fit 10&quot; Jean Shorts"/>
    <x v="16"/>
    <s v="Stone Medium Wash"/>
    <n v="36"/>
    <s v="-"/>
    <s v="AEMN41037M25-Stone Medium Wash_36"/>
    <s v="Amazon Essentials Men's Rigid Relaxed-Fit Jean Shorts, Stone Medium Wash, 36"/>
    <s v="Accepted: In stock"/>
    <s v="Ship window (Collect)"/>
    <x v="0"/>
    <x v="0"/>
    <x v="0"/>
    <n v="960"/>
    <n v="960"/>
    <n v="1032"/>
    <n v="1032"/>
    <n v="0"/>
    <n v="-72"/>
    <m/>
    <m/>
    <m/>
    <m/>
    <m/>
    <n v="960"/>
    <x v="5"/>
    <n v="960"/>
    <n v="0"/>
    <m/>
    <n v="40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NBCJQ7"/>
    <s v="197153423975"/>
    <s v="UPC"/>
    <x v="2"/>
    <s v="Men's Heavyweight Stretch Straight-Fit 9&quot; Jean Shorts"/>
    <x v="15"/>
    <s v="Iced Blue Light Wash"/>
    <n v="28"/>
    <s v="-"/>
    <s v="AEMN97005M25-Iced Blue Light Wash_28"/>
    <s v="Amazon Essentials Men's Heavyweight Stretch Straight-Fit Jean Shorts, Mid Rise, 9&quot; Inseam, Iced Blue Light Wash, 28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5"/>
    <n v="144"/>
    <n v="0"/>
    <m/>
    <n v="6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NBCJQ5"/>
    <s v="197153423890"/>
    <s v="UPC"/>
    <x v="2"/>
    <s v="Men's Heavyweight Stretch Straight-Fit 9&quot; Jean Shorts"/>
    <x v="15"/>
    <s v="Black"/>
    <n v="32"/>
    <s v="-"/>
    <s v="AEMN97005M25-Black_32"/>
    <s v="Amazon Essentials Men's Heavyweight Stretch Straight-Fit Jean Shorts, Mid Rise, 9&quot; Inseam, Black, 32"/>
    <s v="Accepted: In stock"/>
    <s v="Ship window (Collect)"/>
    <x v="0"/>
    <x v="0"/>
    <x v="0"/>
    <n v="528"/>
    <n v="528"/>
    <n v="576"/>
    <n v="576"/>
    <n v="0"/>
    <n v="-48"/>
    <m/>
    <m/>
    <m/>
    <m/>
    <m/>
    <n v="528"/>
    <x v="5"/>
    <n v="528"/>
    <n v="0"/>
    <m/>
    <n v="22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NBBPK7"/>
    <s v="197153418230"/>
    <s v="UPC"/>
    <x v="2"/>
    <s v="Toddlers' and Girls' Soft Stretch Denim Jegging"/>
    <x v="17"/>
    <s v="Stone Medium Wash"/>
    <s v="4T"/>
    <s v="-"/>
    <s v="AEGL13713M25-Stone Medium Wash_4y"/>
    <s v="Amazon Essentials Toddler Girls' Skinny Mid Rise Soft Stretch Denim Jegging, Stone Medium Wash, 4T"/>
    <s v="Accepted: In stock"/>
    <s v="Ship window (Collect)"/>
    <x v="0"/>
    <x v="0"/>
    <x v="0"/>
    <n v="288"/>
    <n v="288"/>
    <n v="312"/>
    <n v="312"/>
    <n v="0"/>
    <n v="-24"/>
    <m/>
    <m/>
    <m/>
    <m/>
    <m/>
    <n v="288"/>
    <x v="5"/>
    <n v="288"/>
    <n v="0"/>
    <m/>
    <n v="12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NBBMKM"/>
    <s v="197153418216"/>
    <s v="UPC"/>
    <x v="2"/>
    <s v="Toddlers' and Girls' Soft Stretch Denim Jegging"/>
    <x v="17"/>
    <s v="Stone Medium Wash"/>
    <s v="Large"/>
    <s v="-"/>
    <s v="AEGL13713M25-Stone Medium Wash_l"/>
    <s v="Amazon Essentials Girls' Skinny Mid Rise Soft Stretch Denim Jegging, Stone Medium Wash, Large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5"/>
    <n v="24"/>
    <n v="0"/>
    <m/>
    <n v="1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NBBKHL"/>
    <s v="197153420332"/>
    <s v="UPC"/>
    <x v="2"/>
    <s v="Unisex Baby and Toddlers' Soft Stretch Pull-On Jeans"/>
    <x v="18"/>
    <s v="Stone Light Wash"/>
    <s v="2T"/>
    <s v="-"/>
    <s v="AEUB83300M25-Stone Light Wash_2y"/>
    <s v="Amazon Essentials Unisex Toddlers' Soft Stretch Pull-On Jeans, Stone Light Wash, 2T"/>
    <s v="Accepted: In stock"/>
    <s v="Ship window (Collect)"/>
    <x v="0"/>
    <x v="0"/>
    <x v="0"/>
    <n v="624"/>
    <n v="624"/>
    <n v="672"/>
    <n v="672"/>
    <n v="0"/>
    <n v="-48"/>
    <m/>
    <m/>
    <m/>
    <m/>
    <m/>
    <n v="624"/>
    <x v="5"/>
    <n v="624"/>
    <n v="0"/>
    <m/>
    <n v="26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NBB36N"/>
    <s v="197153424149"/>
    <s v="UPC"/>
    <x v="2"/>
    <s v="Men's Heavyweight Stretch Straight-Fit 9&quot; Jean Shorts"/>
    <x v="15"/>
    <s v="Dark Midnight Wash"/>
    <n v="31"/>
    <s v="-"/>
    <s v="AEMN97005M25-Dark Midnight Wash_31"/>
    <s v="Amazon Essentials Men's Heavyweight Stretch Straight-Fit Jean Shorts, Mid Rise, 9&quot; Inseam, Dark Midnight Wash, 31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5"/>
    <n v="240"/>
    <n v="0"/>
    <m/>
    <n v="10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NB92CJ"/>
    <s v="197153420370"/>
    <s v="UPC"/>
    <x v="2"/>
    <s v="Unisex Baby and Toddlers' Soft Stretch Pull-On Jeans"/>
    <x v="18"/>
    <s v="Stone Medium Wash"/>
    <s v="3-6 Months"/>
    <s v="-"/>
    <s v="AEUB83300M25-Stone Medium Wash_3-6m"/>
    <s v="Amazon Essentials Unisex Babies' Soft Stretch Pull-On Jeans, Stone Medium Wash, 3-6 Months"/>
    <s v="Accepted: In stock"/>
    <s v="Ship window (Collect)"/>
    <x v="0"/>
    <x v="0"/>
    <x v="0"/>
    <n v="384"/>
    <n v="384"/>
    <n v="408"/>
    <n v="408"/>
    <n v="0"/>
    <n v="-24"/>
    <m/>
    <m/>
    <m/>
    <m/>
    <m/>
    <n v="384"/>
    <x v="5"/>
    <n v="384"/>
    <n v="0"/>
    <m/>
    <n v="16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NB8Q1C"/>
    <s v="197153420592"/>
    <s v="UPC"/>
    <x v="2"/>
    <s v="Men's Low Stretch Slim-Fit Bootcut Jean"/>
    <x v="14"/>
    <s v="Black"/>
    <s v="34W x 30L"/>
    <s v="-"/>
    <s v="AEMN88118M25-Black_34wx30l"/>
    <s v="Amazon Essentials Men's Low Stretch Slim-Fit Bootcut Jeans, Black, 34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B88T4"/>
    <s v="197153420868"/>
    <s v="UPC"/>
    <x v="2"/>
    <s v="Men's Low Stretch Slim-Fit Bootcut Jean"/>
    <x v="14"/>
    <s v="Black"/>
    <s v="38W x 32L"/>
    <s v="-"/>
    <s v="AEMN88118M25-Black_38wx32l"/>
    <s v="Amazon Essentials Men's Low Stretch Slim-Fit Bootcut Jeans, Black, 38W x 32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B88T3"/>
    <s v="197153420899"/>
    <s v="UPC"/>
    <x v="2"/>
    <s v="Men's Low Stretch Slim-Fit Bootcut Jean"/>
    <x v="14"/>
    <s v="Black"/>
    <s v="33W x 32L"/>
    <s v="-"/>
    <s v="AEMN88118M25-Black_33wx32l"/>
    <s v="Amazon Essentials Men's Low Stretch Slim-Fit Bootcut Jeans, Black, 33W x 32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B69TM"/>
    <s v="197153421087"/>
    <s v="UPC"/>
    <x v="2"/>
    <s v="Men's Low Stretch Slim-Fit Bootcut Jean"/>
    <x v="14"/>
    <s v="Dark Shadow Wash"/>
    <s v="38W x 34L"/>
    <s v="-"/>
    <s v="AEMN88118M25-Dark Shadow Wash_38wx34l"/>
    <s v="Amazon Essentials Men's Low Stretch Slim-Fit Bootcut Jeans, Dark Shadow Wash, 38W x 34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B63V8"/>
    <s v="197153421681"/>
    <s v="UPC"/>
    <x v="2"/>
    <s v="Men's Low Stretch Slim-Fit Bootcut Jean"/>
    <x v="14"/>
    <s v="Tinted Ice Light Wash"/>
    <s v="40W x 34L"/>
    <s v="-"/>
    <s v="AEMN88118M25-TintedIceLightWash_40wx34l"/>
    <s v="Amazon Essentials Men's Low Stretch Slim-Fit Bootcut Jeans, Tinted Ice Light Wash, 40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B5VHH"/>
    <s v="197153421513"/>
    <s v="UPC"/>
    <x v="2"/>
    <s v="Men's Low Stretch Slim-Fit Bootcut Jean"/>
    <x v="14"/>
    <s v="Tinted Ice Light Wash"/>
    <s v="30W x 28L"/>
    <s v="-"/>
    <s v="AEMN88118M25-TintedIceLightWash_30wx28l"/>
    <s v="Amazon Essentials Men's Low Stretch Slim-Fit Bootcut Jeans, Tinted Ice Light Wash, 30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B5VHB"/>
    <s v="197153421391"/>
    <s v="UPC"/>
    <x v="2"/>
    <s v="Men's Low Stretch Slim-Fit Bootcut Jean"/>
    <x v="14"/>
    <s v="Tinted Ice Light Wash"/>
    <s v="29W x 30L"/>
    <s v="-"/>
    <s v="AEMN88118M25-TintedIceLightWash_29wx30l"/>
    <s v="Amazon Essentials Men's Low Stretch Slim-Fit Bootcut Jeans, Tinted Ice Light Wash, 29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B5SH8"/>
    <s v="197153421629"/>
    <s v="UPC"/>
    <x v="2"/>
    <s v="Men's Low Stretch Slim-Fit Bootcut Jean"/>
    <x v="14"/>
    <s v="Tinted Ice Light Wash"/>
    <s v="29W x 34L"/>
    <s v="-"/>
    <s v="AEMN88118M25-TintedIceLightWash_29wx34l"/>
    <s v="Amazon Essentials Men's Low Stretch Slim-Fit Bootcut Jeans, Tinted Ice Light Wash, 29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B5LFY"/>
    <s v="197153424538"/>
    <s v="UPC"/>
    <x v="2"/>
    <s v="Men's Rigid Relaxed-Fit 10&quot; Jean Shorts"/>
    <x v="16"/>
    <s v="Dark Wash"/>
    <n v="29"/>
    <s v="-"/>
    <s v="AEMN41037M25-Dark Wash_29"/>
    <s v="Amazon Essentials Men's Rigid Relaxed-Fit Jean Shorts, Dark Wash, 29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5"/>
    <n v="144"/>
    <n v="0"/>
    <m/>
    <n v="6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NB5FFW"/>
    <s v="197153423814"/>
    <s v="UPC"/>
    <x v="2"/>
    <s v="Men's Heavyweight Stretch Straight-Fit 9&quot; Jean Shorts"/>
    <x v="15"/>
    <s v="Black"/>
    <n v="31"/>
    <s v="-"/>
    <s v="AEMN97005M25-Black_31"/>
    <s v="Amazon Essentials Men's Heavyweight Stretch Straight-Fit Jean Shorts, Mid Rise, 9&quot; Inseam, Black, 31"/>
    <s v="Accepted: In stock"/>
    <s v="Ship window (Collect)"/>
    <x v="0"/>
    <x v="0"/>
    <x v="0"/>
    <n v="240"/>
    <n v="240"/>
    <n v="240"/>
    <n v="240"/>
    <n v="0"/>
    <n v="0"/>
    <m/>
    <m/>
    <n v="0"/>
    <m/>
    <m/>
    <n v="240"/>
    <x v="5"/>
    <n v="240"/>
    <n v="0"/>
    <m/>
    <n v="10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NB51G5"/>
    <s v="197153421452"/>
    <s v="UPC"/>
    <x v="2"/>
    <s v="Men's Low Stretch Slim-Fit Bootcut Jean"/>
    <x v="14"/>
    <s v="Tinted Ice Light Wash"/>
    <s v="30W x 30L"/>
    <s v="-"/>
    <s v="AEMN88118M25-TintedIceLightWash_30wx30l"/>
    <s v="Amazon Essentials Men's Low Stretch Slim-Fit Bootcut Jeans, Tinted Ice Light Wash, 30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B51FS"/>
    <s v="197153421230"/>
    <s v="UPC"/>
    <x v="2"/>
    <s v="Men's Low Stretch Slim-Fit Bootcut Jean"/>
    <x v="14"/>
    <s v="Dark Shadow Wash"/>
    <s v="32W x 34L"/>
    <s v="-"/>
    <s v="AEMN88118M25-Dark Shadow Wash_32wx34l"/>
    <s v="Amazon Essentials Men's Low Stretch Slim-Fit Bootcut Jeans, Dark Shadow Wash, 32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B4K38"/>
    <s v="197153421223"/>
    <s v="UPC"/>
    <x v="2"/>
    <s v="Men's Low Stretch Slim-Fit Bootcut Jean"/>
    <x v="14"/>
    <s v="Dark Shadow Wash"/>
    <s v="28W x 28L"/>
    <s v="-"/>
    <s v="AEMN88118M25-Dark Shadow Wash_28wx28l"/>
    <s v="Amazon Essentials Men's Low Stretch Slim-Fit Bootcut Jeans, Dark Shadow Wash, 28W x 28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7JNSK"/>
    <s v="197153420875"/>
    <s v="UPC"/>
    <x v="2"/>
    <s v="Men's Low Stretch Slim-Fit Bootcut Jean"/>
    <x v="14"/>
    <s v="Black"/>
    <s v="31W x 32L"/>
    <s v="-"/>
    <s v="AEMN88118M25-Black_31wx32l"/>
    <s v="Amazon Essentials Men's Low Stretch Slim-Fit Bootcut Jeans, Black, 31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7HCD2"/>
    <s v="197153420813"/>
    <s v="UPC"/>
    <x v="2"/>
    <s v="Men's Low Stretch Slim-Fit Bootcut Jean"/>
    <x v="14"/>
    <s v="Black"/>
    <s v="36W x 32L"/>
    <s v="-"/>
    <s v="AEMN88118M25-Black_36wx32l"/>
    <s v="Amazon Essentials Men's Low Stretch Slim-Fit Bootcut Jeans, Black, 36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7H7DH"/>
    <s v="197153420097"/>
    <s v="UPC"/>
    <x v="2"/>
    <s v="Girls' Ultra Soft Relaxed-Fit Wide Leg Cargo Jeans"/>
    <x v="19"/>
    <s v="Classic Light Wash"/>
    <n v="7"/>
    <s v="-"/>
    <s v="AEGL35686M25-Classic Light Wash_7"/>
    <s v="Amazon Essentials Girls' Ultra Soft Relaxed-Fit Wide Leg Cargo Jeans, Classic Light Wash, 7"/>
    <s v="Accepted: In stock"/>
    <s v="Ship window (Collect)"/>
    <x v="0"/>
    <x v="0"/>
    <x v="0"/>
    <n v="336"/>
    <n v="336"/>
    <n v="312"/>
    <n v="312"/>
    <n v="0"/>
    <n v="24"/>
    <n v="24"/>
    <m/>
    <n v="0"/>
    <m/>
    <m/>
    <n v="312"/>
    <x v="5"/>
    <n v="312"/>
    <n v="24"/>
    <m/>
    <n v="13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N7G8RF"/>
    <s v="197153424170"/>
    <s v="UPC"/>
    <x v="2"/>
    <s v="Men's Heavyweight Stretch Straight-Fit 9&quot; Jean Shorts"/>
    <x v="15"/>
    <s v="Dark Midnight Wash"/>
    <n v="36"/>
    <s v="-"/>
    <s v="AEMN97005M25-Dark Midnight Wash_36"/>
    <s v="Amazon Essentials Men's Heavyweight Stretch Straight-Fit Jean Shorts, Mid Rise, 9&quot; Inseam, Dark Midnight Wash, 36"/>
    <s v="Accepted: In stock"/>
    <s v="Ship window (Collect)"/>
    <x v="0"/>
    <x v="0"/>
    <x v="0"/>
    <n v="912"/>
    <n v="912"/>
    <n v="864"/>
    <n v="864"/>
    <n v="0"/>
    <n v="48"/>
    <n v="48"/>
    <m/>
    <n v="0"/>
    <m/>
    <m/>
    <n v="864"/>
    <x v="5"/>
    <n v="864"/>
    <n v="48"/>
    <m/>
    <n v="36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N7DL72"/>
    <s v="197153422251"/>
    <s v="UPC"/>
    <x v="2"/>
    <s v="Men's Low Stretch Slim-Fit Bootcut Jean"/>
    <x v="14"/>
    <s v="Stone Medium Wash"/>
    <s v="36W x 32L"/>
    <s v="-"/>
    <s v="AEMN88118M25-Stone Medium Wash_36wx32l"/>
    <s v="Amazon Essentials Men's Low Stretch Slim-Fit Bootcut Jeans, Stone Medium Wash, 36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7DL6Y"/>
    <s v="197153424620"/>
    <s v="UPC"/>
    <x v="2"/>
    <s v="Men's Rigid Relaxed-Fit 10&quot; Jean Shorts"/>
    <x v="16"/>
    <s v="Vintage Blue"/>
    <n v="40"/>
    <s v="-"/>
    <s v="AEMN41037M25-Vintage Blue_40"/>
    <s v="Amazon Essentials Men's Rigid Relaxed-Fit Jean Shorts, Vintage Blue, 40"/>
    <s v="Accepted: In stock"/>
    <s v="Ship window (Collect)"/>
    <x v="0"/>
    <x v="0"/>
    <x v="0"/>
    <n v="384"/>
    <n v="384"/>
    <n v="408"/>
    <n v="408"/>
    <n v="0"/>
    <n v="-24"/>
    <m/>
    <m/>
    <m/>
    <m/>
    <m/>
    <n v="384"/>
    <x v="5"/>
    <n v="384"/>
    <n v="0"/>
    <m/>
    <n v="16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N775YJ"/>
    <s v="197153424019"/>
    <s v="UPC"/>
    <x v="2"/>
    <s v="Men's Heavyweight Stretch Straight-Fit 9&quot; Jean Shorts"/>
    <x v="15"/>
    <s v="Iced Blue Light Wash"/>
    <n v="38"/>
    <s v="-"/>
    <s v="AEMN97005M25-Iced Blue Light Wash_38"/>
    <s v="Amazon Essentials Men's Heavyweight Stretch Straight-Fit Jean Shorts, Mid Rise, 9&quot; Inseam, Iced Blue Light Wash, 38"/>
    <s v="Accepted: In stock"/>
    <s v="Ship window (Collect)"/>
    <x v="0"/>
    <x v="0"/>
    <x v="0"/>
    <n v="672"/>
    <n v="672"/>
    <n v="624"/>
    <n v="624"/>
    <n v="0"/>
    <n v="48"/>
    <n v="48"/>
    <m/>
    <n v="0"/>
    <m/>
    <m/>
    <n v="624"/>
    <x v="5"/>
    <n v="624"/>
    <n v="48"/>
    <m/>
    <n v="26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N771ZF"/>
    <s v="197153420523"/>
    <s v="UPC"/>
    <x v="2"/>
    <s v="Men's Low Stretch Slim-Fit Bootcut Jean"/>
    <x v="14"/>
    <s v="Black"/>
    <s v="29W x 32L"/>
    <s v="-"/>
    <s v="AEMN88118M25-Black_29wx32l"/>
    <s v="Amazon Essentials Men's Low Stretch Slim-Fit Bootcut Jeans, Black, 29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768KJ"/>
    <s v="197153424163"/>
    <s v="UPC"/>
    <x v="2"/>
    <s v="Men's Heavyweight Stretch Straight-Fit 9&quot; Jean Shorts"/>
    <x v="15"/>
    <s v="Dark Midnight Wash"/>
    <n v="34"/>
    <s v="-"/>
    <s v="AEMN97005M25-Dark Midnight Wash_34"/>
    <s v="Amazon Essentials Men's Heavyweight Stretch Straight-Fit Jean Shorts, Mid Rise, 9&quot; Inseam, Dark Midnight Wash, 34"/>
    <s v="Accepted: In stock"/>
    <s v="Ship window (Collect)"/>
    <x v="0"/>
    <x v="0"/>
    <x v="0"/>
    <n v="744"/>
    <n v="744"/>
    <n v="792"/>
    <n v="792"/>
    <n v="0"/>
    <n v="-48"/>
    <m/>
    <m/>
    <m/>
    <m/>
    <m/>
    <n v="744"/>
    <x v="5"/>
    <n v="744"/>
    <n v="0"/>
    <m/>
    <n v="31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N74Q87"/>
    <s v="197153420950"/>
    <s v="UPC"/>
    <x v="2"/>
    <s v="Men's Low Stretch Slim-Fit Bootcut Jean"/>
    <x v="14"/>
    <s v="Dark Shadow Wash"/>
    <s v="34W x 28L"/>
    <s v="-"/>
    <s v="AEMN88118M25-Dark Shadow Wash_34wx28l"/>
    <s v="Amazon Essentials Men's Low Stretch Slim-Fit Bootcut Jeans, Dark Shadow Wash, 34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74Q77"/>
    <s v="197153424668"/>
    <s v="UPC"/>
    <x v="2"/>
    <s v="Men's Rigid Relaxed-Fit 10&quot; Jean Shorts"/>
    <x v="16"/>
    <s v="Vintage Blue"/>
    <n v="34"/>
    <s v="-"/>
    <s v="AEMN41037M25-Vintage Blue_34"/>
    <s v="Amazon Essentials Men's Rigid Relaxed-Fit Jean Shorts, Vintage Blue, 34"/>
    <s v="Accepted: In stock"/>
    <s v="Ship window (Collect)"/>
    <x v="0"/>
    <x v="0"/>
    <x v="0"/>
    <n v="912"/>
    <n v="912"/>
    <n v="864"/>
    <n v="864"/>
    <n v="0"/>
    <n v="48"/>
    <n v="48"/>
    <m/>
    <n v="0"/>
    <m/>
    <m/>
    <n v="864"/>
    <x v="5"/>
    <n v="864"/>
    <n v="48"/>
    <m/>
    <n v="36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N73MY9"/>
    <s v="197153421285"/>
    <s v="UPC"/>
    <x v="2"/>
    <s v="Men's Low Stretch Slim-Fit Bootcut Jean"/>
    <x v="14"/>
    <s v="Dark Shadow Wash"/>
    <s v="38W x 30L"/>
    <s v="-"/>
    <s v="AEMN88118M25-Dark Shadow Wash_38wx30l"/>
    <s v="Amazon Essentials Men's Low Stretch Slim-Fit Bootcut Jeans, Dark Shadow Wash, 38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6Y9FX"/>
    <s v="197153421896"/>
    <s v="UPC"/>
    <x v="2"/>
    <s v="Men's Low Stretch Slim-Fit Bootcut Jean"/>
    <x v="14"/>
    <s v="Stone Medium Wash"/>
    <s v="34W x 34L"/>
    <s v="-"/>
    <s v="AEMN88118M25-Stone Medium Wash_34wx34l"/>
    <s v="Amazon Essentials Men's Low Stretch Slim-Fit Bootcut Jeans, Stone Medium Wash, 3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6V186"/>
    <s v="197153421773"/>
    <s v="UPC"/>
    <x v="2"/>
    <s v="Men's Low Stretch Slim-Fit Bootcut Jean"/>
    <x v="14"/>
    <s v="Tinted Ice Light Wash"/>
    <s v="36W x 32L"/>
    <s v="-"/>
    <s v="AEMN88118M25-TintedIceLightWash_36wx32l"/>
    <s v="Amazon Essentials Men's Low Stretch Slim-Fit Bootcut Jeans, Tinted Ice Light Wash, 36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58BM2"/>
    <s v="197153420912"/>
    <s v="UPC"/>
    <x v="2"/>
    <s v="Men's Low Stretch Slim-Fit Bootcut Jean"/>
    <x v="14"/>
    <s v="Dark Shadow Wash"/>
    <s v="29W x 30L"/>
    <s v="-"/>
    <s v="AEMN88118M25-Dark Shadow Wash_29wx30l"/>
    <s v="Amazon Essentials Men's Low Stretch Slim-Fit Bootcut Jeans, Dark Shadow Wash, 29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55KD7"/>
    <s v="197153421902"/>
    <s v="UPC"/>
    <x v="2"/>
    <s v="Men's Low Stretch Slim-Fit Bootcut Jean"/>
    <x v="14"/>
    <s v="Stone Medium Wash"/>
    <s v="40W x 30L"/>
    <s v="-"/>
    <s v="AEMN88118M25-Stone Medium Wash_40wx30l"/>
    <s v="Amazon Essentials Men's Low Stretch Slim-Fit Bootcut Jeans, Stone Medium Wash, 4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5235X"/>
    <s v="197153420738"/>
    <s v="UPC"/>
    <x v="2"/>
    <s v="Men's Low Stretch Slim-Fit Bootcut Jean"/>
    <x v="14"/>
    <s v="Black"/>
    <s v="33W x 28L"/>
    <s v="-"/>
    <s v="AEMN88118M25-Black_33wx28l"/>
    <s v="Amazon Essentials Men's Low Stretch Slim-Fit Bootcut Jeans, Black, 33W x 28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5216G"/>
    <s v="197153421063"/>
    <s v="UPC"/>
    <x v="2"/>
    <s v="Men's Low Stretch Slim-Fit Bootcut Jean"/>
    <x v="14"/>
    <s v="Dark Shadow Wash"/>
    <s v="32W x 28L"/>
    <s v="-"/>
    <s v="AEMN88118M25-Dark Shadow Wash_32wx28l"/>
    <s v="Amazon Essentials Men's Low Stretch Slim-Fit Bootcut Jeans, Dark Shadow Wash, 32W x 28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51FVR"/>
    <s v="197153421018"/>
    <s v="UPC"/>
    <x v="2"/>
    <s v="Men's Low Stretch Slim-Fit Bootcut Jean"/>
    <x v="14"/>
    <s v="Dark Shadow Wash"/>
    <s v="28W x 32L"/>
    <s v="-"/>
    <s v="AEMN88118M25-Dark Shadow Wash_28wx32l"/>
    <s v="Amazon Essentials Men's Low Stretch Slim-Fit Bootcut Jeans, Dark Shadow Wash, 28W x 32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4TJPV"/>
    <s v="197153422855"/>
    <s v="UPC"/>
    <x v="2"/>
    <s v="Women's Low Stretch Mid-Rise Regular-Fit Jean Short"/>
    <x v="20"/>
    <s v="Medium Blue Vintage"/>
    <n v="12"/>
    <s v="-"/>
    <s v="AEWM44862M25-Medium Blue Vintage_12"/>
    <s v="Amazon Essentials Women's Low Stretch Mid-Rise Regular-Fit Jean Short, Medium Blue Vintage, 12"/>
    <s v="Accepted: In stock"/>
    <s v="Ship window (Collect)"/>
    <x v="0"/>
    <x v="0"/>
    <x v="0"/>
    <n v="504"/>
    <n v="504"/>
    <n v="552"/>
    <n v="552"/>
    <n v="0"/>
    <n v="-48"/>
    <m/>
    <m/>
    <n v="0"/>
    <m/>
    <m/>
    <n v="504"/>
    <x v="5"/>
    <n v="504"/>
    <n v="0"/>
    <m/>
    <n v="21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N4TFK5"/>
    <s v="197153420455"/>
    <s v="UPC"/>
    <x v="2"/>
    <s v="Men's Low Stretch Slim-Fit Bootcut Jean"/>
    <x v="14"/>
    <s v="Black"/>
    <s v="34W x 34L"/>
    <s v="-"/>
    <s v="AEMN88118M25-Black_34wx34l"/>
    <s v="Amazon Essentials Men's Low Stretch Slim-Fit Bootcut Jeans, Black, 34W x 34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4SWND"/>
    <s v="197153420080"/>
    <s v="UPC"/>
    <x v="2"/>
    <s v="Girls' Ultra Soft Relaxed-Fit Wide Leg Cargo Jeans"/>
    <x v="19"/>
    <s v="Classic Light Wash"/>
    <n v="10"/>
    <s v="-"/>
    <s v="AEGL35686M25-Classic Light Wash_10"/>
    <s v="Amazon Essentials Girls' Ultra Soft Relaxed-Fit Wide Leg Cargo Jeans, Classic Light Wash, 10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5"/>
    <n v="72"/>
    <n v="0"/>
    <m/>
    <n v="3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N4SWLZ"/>
    <s v="197153422121"/>
    <s v="UPC"/>
    <x v="2"/>
    <s v="Men's Low Stretch Slim-Fit Bootcut Jean"/>
    <x v="14"/>
    <s v="Stone Medium Wash"/>
    <s v="36W x 28L"/>
    <s v="-"/>
    <s v="AEMN88118M25-Stone Medium Wash_36wx28l"/>
    <s v="Amazon Essentials Men's Low Stretch Slim-Fit Bootcut Jeans, Stone Medium Wash, 3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4SR2B"/>
    <s v="197153420615"/>
    <s v="UPC"/>
    <x v="2"/>
    <s v="Men's Low Stretch Slim-Fit Bootcut Jean"/>
    <x v="14"/>
    <s v="Black"/>
    <s v="35W x 32L"/>
    <s v="-"/>
    <s v="AEMN88118M25-Black_35wx32l"/>
    <s v="Amazon Essentials Men's Low Stretch Slim-Fit Bootcut Jeans, Black, 35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4SC2J"/>
    <s v="197153420301"/>
    <s v="UPC"/>
    <x v="2"/>
    <s v="Unisex Baby and Toddlers' Soft Stretch Pull-On Jeans"/>
    <x v="18"/>
    <s v="Stone Light Wash"/>
    <s v="24 Months"/>
    <s v="-"/>
    <s v="AEUB83300M25-Stone Light Wash_24m"/>
    <s v="Amazon Essentials Unisex Babies' Soft Stretch Pull-On Jeans, Stone Light Wash, 24 Months"/>
    <s v="Accepted: In stock"/>
    <s v="Ship window (Collect)"/>
    <x v="0"/>
    <x v="0"/>
    <x v="0"/>
    <n v="336"/>
    <n v="336"/>
    <n v="360"/>
    <n v="360"/>
    <n v="0"/>
    <n v="-24"/>
    <m/>
    <m/>
    <n v="0"/>
    <m/>
    <m/>
    <n v="336"/>
    <x v="5"/>
    <n v="336"/>
    <n v="0"/>
    <m/>
    <n v="14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N4RNP1"/>
    <s v="197153424545"/>
    <s v="UPC"/>
    <x v="2"/>
    <s v="Men's Rigid Relaxed-Fit 10&quot; Jean Shorts"/>
    <x v="16"/>
    <s v="Dark Wash"/>
    <n v="32"/>
    <s v="-"/>
    <s v="AEMN41037M25-Dark Wash_32"/>
    <s v="Amazon Essentials Men's Rigid Relaxed-Fit Jean Shorts, Dark Wash, 32"/>
    <s v="Accepted: In stock"/>
    <s v="Ship window (Collect)"/>
    <x v="0"/>
    <x v="0"/>
    <x v="0"/>
    <n v="480"/>
    <n v="480"/>
    <n v="456"/>
    <n v="456"/>
    <n v="0"/>
    <n v="24"/>
    <n v="24"/>
    <m/>
    <n v="0"/>
    <m/>
    <m/>
    <n v="456"/>
    <x v="5"/>
    <n v="456"/>
    <n v="24"/>
    <m/>
    <n v="19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N4NY9T"/>
    <s v="197153424217"/>
    <s v="UPC"/>
    <x v="2"/>
    <s v="Men's Heavyweight Stretch Straight-Fit 9&quot; Jean Shorts"/>
    <x v="15"/>
    <s v="Dark Midnight Wash"/>
    <n v="33"/>
    <s v="-"/>
    <s v="AEMN97005M25-Dark Midnight Wash_33"/>
    <s v="Amazon Essentials Men's Heavyweight Stretch Straight-Fit Jean Shorts, Mid Rise, 9&quot; Inseam, Dark Midnight Wash, 33"/>
    <s v="Accepted: In stock"/>
    <s v="Ship window (Collect)"/>
    <x v="0"/>
    <x v="0"/>
    <x v="0"/>
    <n v="264"/>
    <n v="264"/>
    <n v="288"/>
    <n v="288"/>
    <n v="0"/>
    <n v="-24"/>
    <m/>
    <m/>
    <n v="0"/>
    <m/>
    <m/>
    <n v="264"/>
    <x v="5"/>
    <n v="264"/>
    <n v="0"/>
    <m/>
    <n v="11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N4NHLR"/>
    <s v="197153420882"/>
    <s v="UPC"/>
    <x v="2"/>
    <s v="Men's Low Stretch Slim-Fit Bootcut Jean"/>
    <x v="14"/>
    <s v="Black"/>
    <s v="42W x 32L"/>
    <s v="-"/>
    <s v="AEMN88118M25-Black_42wx32l"/>
    <s v="Amazon Essentials Men's Low Stretch Slim-Fit Bootcut Jeans, Black, 4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4N778"/>
    <s v="197153418407"/>
    <s v="UPC"/>
    <x v="2"/>
    <s v="Baby Girls and Toddlers' Soft Stretch Relaxed-Fit Wide Leg Jeans"/>
    <x v="21"/>
    <s v="Classic Light Wash"/>
    <s v="3-6 Months"/>
    <s v="-"/>
    <s v="AEBG70043M25-Classic Light Wash_3-6m"/>
    <s v="Amazon Essentials Baby Girls' Soft Stretch Relaxed-Fit Wide Leg Jeans, Classic Light Wash, 3-6 Months"/>
    <s v="Accepted: In stock"/>
    <s v="Ship window (Collect)"/>
    <x v="0"/>
    <x v="0"/>
    <x v="0"/>
    <n v="312"/>
    <n v="312"/>
    <n v="336"/>
    <n v="336"/>
    <n v="0"/>
    <n v="-24"/>
    <m/>
    <m/>
    <m/>
    <m/>
    <m/>
    <n v="312"/>
    <x v="5"/>
    <n v="312"/>
    <n v="0"/>
    <m/>
    <n v="13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N3QGV3"/>
    <s v="197153421308"/>
    <s v="UPC"/>
    <x v="2"/>
    <s v="Men's Low Stretch Slim-Fit Bootcut Jean"/>
    <x v="14"/>
    <s v="Dark Shadow Wash"/>
    <s v="30W x 32L"/>
    <s v="-"/>
    <s v="AEMN88118M25-Dark Shadow Wash_30wx32l"/>
    <s v="Amazon Essentials Men's Low Stretch Slim-Fit Bootcut Jeans, Dark Shadow Wash, 3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3LXDJ"/>
    <s v="197153424415"/>
    <s v="UPC"/>
    <x v="2"/>
    <s v="Men's Rigid Relaxed-Fit 10&quot; Jean Shorts"/>
    <x v="16"/>
    <s v="Stone Medium Wash"/>
    <n v="28"/>
    <s v="-"/>
    <s v="AEMN41037M25-Stone Medium Wash_28"/>
    <s v="Amazon Essentials Men's Rigid Relaxed-Fit Jean Shorts, Stone Medium Wash, 28"/>
    <s v="Accepted: In stock"/>
    <s v="Ship window (Collect)"/>
    <x v="0"/>
    <x v="0"/>
    <x v="0"/>
    <n v="48"/>
    <n v="48"/>
    <n v="48"/>
    <n v="48"/>
    <n v="0"/>
    <n v="0"/>
    <m/>
    <m/>
    <m/>
    <m/>
    <m/>
    <n v="48"/>
    <x v="5"/>
    <n v="48"/>
    <n v="0"/>
    <m/>
    <n v="2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N3H76H"/>
    <s v="197153422152"/>
    <s v="UPC"/>
    <x v="2"/>
    <s v="Men's Low Stretch Slim-Fit Bootcut Jean"/>
    <x v="14"/>
    <s v="Stone Medium Wash"/>
    <s v="35W x 34L"/>
    <s v="-"/>
    <s v="AEMN88118M25-Stone Medium Wash_35wx34l"/>
    <s v="Amazon Essentials Men's Low Stretch Slim-Fit Bootcut Jeans, Stone Medium Wash, 35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3H67F"/>
    <s v="197153421605"/>
    <s v="UPC"/>
    <x v="2"/>
    <s v="Men's Low Stretch Slim-Fit Bootcut Jean"/>
    <x v="14"/>
    <s v="Tinted Ice Light Wash"/>
    <s v="36W x 34L"/>
    <s v="-"/>
    <s v="AEMN88118M25-TintedIceLightWash_36wx34l"/>
    <s v="Amazon Essentials Men's Low Stretch Slim-Fit Bootcut Jeans, Tinted Ice Light Wash, 36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3H66Y"/>
    <s v="197153421209"/>
    <s v="UPC"/>
    <x v="2"/>
    <s v="Men's Low Stretch Slim-Fit Bootcut Jean"/>
    <x v="14"/>
    <s v="Dark Shadow Wash"/>
    <s v="40W x 34L"/>
    <s v="-"/>
    <s v="AEMN88118M25-Dark Shadow Wash_40wx34l"/>
    <s v="Amazon Essentials Men's Low Stretch Slim-Fit Bootcut Jeans, Dark Shadow Wash, 40W x 34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3GY8P"/>
    <s v="197153421995"/>
    <s v="UPC"/>
    <x v="2"/>
    <s v="Men's Low Stretch Slim-Fit Bootcut Jean"/>
    <x v="14"/>
    <s v="Stone Medium Wash"/>
    <s v="30W x 28L"/>
    <s v="-"/>
    <s v="AEMN88118M25-Stone Medium Wash_30wx28l"/>
    <s v="Amazon Essentials Men's Low Stretch Slim-Fit Bootcut Jeans, Stone Medium Wash, 3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3GNMC"/>
    <s v="197153420905"/>
    <s v="UPC"/>
    <x v="2"/>
    <s v="Men's Low Stretch Slim-Fit Bootcut Jean"/>
    <x v="14"/>
    <s v="Dark Shadow Wash"/>
    <s v="35W x 30L"/>
    <s v="-"/>
    <s v="AEMN88118M25-Dark Shadow Wash_35wx30l"/>
    <s v="Amazon Essentials Men's Low Stretch Slim-Fit Bootcut Jeans, Dark Shadow Wash, 35W x 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3DCSQ"/>
    <s v="197153424484"/>
    <s v="UPC"/>
    <x v="2"/>
    <s v="Men's Rigid Relaxed-Fit 10&quot; Jean Shorts"/>
    <x v="16"/>
    <s v="Dark Wash"/>
    <n v="42"/>
    <s v="-"/>
    <s v="AEMN41037M25-Dark Wash_42"/>
    <s v="Amazon Essentials Men's Rigid Relaxed-Fit Jean Shorts, Dark Wash, 42"/>
    <s v="Accepted: In stock"/>
    <s v="Ship window (Collect)"/>
    <x v="0"/>
    <x v="0"/>
    <x v="0"/>
    <n v="504"/>
    <n v="504"/>
    <n v="552"/>
    <n v="552"/>
    <n v="0"/>
    <n v="-48"/>
    <m/>
    <m/>
    <n v="0"/>
    <m/>
    <m/>
    <n v="504"/>
    <x v="5"/>
    <n v="504"/>
    <n v="0"/>
    <m/>
    <n v="21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N3BFTK"/>
    <s v="197153422015"/>
    <s v="UPC"/>
    <x v="2"/>
    <s v="Men's Low Stretch Slim-Fit Bootcut Jean"/>
    <x v="14"/>
    <s v="Stone Medium Wash"/>
    <s v="32W x 32L"/>
    <s v="-"/>
    <s v="AEMN88118M25-Stone Medium Wash_32wx32l"/>
    <s v="Amazon Essentials Men's Low Stretch Slim-Fit Bootcut Jeans, Stone Medium Wash, 32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39VY1"/>
    <s v="197153421544"/>
    <s v="UPC"/>
    <x v="2"/>
    <s v="Men's Low Stretch Slim-Fit Bootcut Jean"/>
    <x v="14"/>
    <s v="Tinted Ice Light Wash"/>
    <s v="32W x 28L"/>
    <s v="-"/>
    <s v="AEMN88118M25-TintedIceLightWash_32wx28l"/>
    <s v="Amazon Essentials Men's Low Stretch Slim-Fit Bootcut Jeans, Tinted Ice Light Wash, 32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36QVQ"/>
    <s v="197153422206"/>
    <s v="UPC"/>
    <x v="2"/>
    <s v="Men's Low Stretch Slim-Fit Bootcut Jean"/>
    <x v="14"/>
    <s v="Stone Medium Wash"/>
    <s v="31W x 30L"/>
    <s v="-"/>
    <s v="AEMN88118M25-Stone Medium Wash_31wx30l"/>
    <s v="Amazon Essentials Men's Low Stretch Slim-Fit Bootcut Jeans, Stone Medium Wash, 31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33S9L"/>
    <s v="197153420547"/>
    <s v="UPC"/>
    <x v="2"/>
    <s v="Men's Low Stretch Slim-Fit Bootcut Jean"/>
    <x v="14"/>
    <s v="Black"/>
    <s v="36W x 30L"/>
    <s v="-"/>
    <s v="AEMN88118M25-Black_36wx30l"/>
    <s v="Amazon Essentials Men's Low Stretch Slim-Fit Bootcut Jeans, Black, 36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33S9H"/>
    <s v="197153423968"/>
    <s v="UPC"/>
    <x v="2"/>
    <s v="Men's Heavyweight Stretch Straight-Fit 9&quot; Jean Shorts"/>
    <x v="15"/>
    <s v="Iced Blue Light Wash"/>
    <n v="30"/>
    <s v="-"/>
    <s v="AEMN97005M25-Iced Blue Light Wash_30"/>
    <s v="Amazon Essentials Men's Heavyweight Stretch Straight-Fit Jean Shorts, Mid Rise, 9&quot; Inseam, Iced Blue Light Wash, 30"/>
    <s v="Accepted: In stock"/>
    <s v="Ship window (Collect)"/>
    <x v="0"/>
    <x v="0"/>
    <x v="0"/>
    <n v="312"/>
    <n v="312"/>
    <n v="336"/>
    <n v="336"/>
    <n v="0"/>
    <n v="-24"/>
    <m/>
    <m/>
    <m/>
    <m/>
    <m/>
    <n v="312"/>
    <x v="5"/>
    <n v="312"/>
    <n v="0"/>
    <m/>
    <n v="13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N33S9F"/>
    <s v="197153423845"/>
    <s v="UPC"/>
    <x v="2"/>
    <s v="Men's Heavyweight Stretch Straight-Fit 9&quot; Jean Shorts"/>
    <x v="15"/>
    <s v="Black"/>
    <n v="36"/>
    <s v="-"/>
    <s v="AEMN97005M25-Black_36"/>
    <s v="Amazon Essentials Men's Heavyweight Stretch Straight-Fit Jean Shorts, Mid Rise, 9&quot; Inseam, Black, 36"/>
    <s v="Accepted: In stock"/>
    <s v="Ship window (Collect)"/>
    <x v="0"/>
    <x v="0"/>
    <x v="0"/>
    <n v="888"/>
    <n v="888"/>
    <n v="912"/>
    <n v="912"/>
    <n v="0"/>
    <n v="-24"/>
    <m/>
    <m/>
    <n v="0"/>
    <m/>
    <m/>
    <n v="888"/>
    <x v="5"/>
    <n v="888"/>
    <n v="0"/>
    <m/>
    <n v="37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N2YSTL"/>
    <s v="197153423883"/>
    <s v="UPC"/>
    <x v="2"/>
    <s v="Men's Heavyweight Stretch Straight-Fit 9&quot; Jean Shorts"/>
    <x v="15"/>
    <s v="Black"/>
    <n v="33"/>
    <s v="-"/>
    <s v="AEMN97005M25-Black_33"/>
    <s v="Amazon Essentials Men's Heavyweight Stretch Straight-Fit Jean Shorts, Mid Rise, 9&quot; Inseam, Black, 33"/>
    <s v="Accepted: In stock"/>
    <s v="Ship window (Collect)"/>
    <x v="0"/>
    <x v="0"/>
    <x v="0"/>
    <n v="528"/>
    <n v="528"/>
    <n v="576"/>
    <n v="576"/>
    <n v="0"/>
    <n v="-48"/>
    <m/>
    <m/>
    <n v="0"/>
    <m/>
    <m/>
    <n v="528"/>
    <x v="5"/>
    <n v="528"/>
    <n v="0"/>
    <m/>
    <n v="22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N2YSTD"/>
    <s v="197153424507"/>
    <s v="UPC"/>
    <x v="2"/>
    <s v="Men's Rigid Relaxed-Fit 10&quot; Jean Shorts"/>
    <x v="16"/>
    <s v="Dark Wash"/>
    <n v="36"/>
    <s v="-"/>
    <s v="AEMN41037M25-Dark Wash_36"/>
    <s v="Amazon Essentials Men's Rigid Relaxed-Fit Jean Shorts, Dark Wash, 36"/>
    <s v="Accepted: In stock"/>
    <s v="Ship window (Collect)"/>
    <x v="0"/>
    <x v="0"/>
    <x v="0"/>
    <n v="912"/>
    <n v="912"/>
    <n v="840"/>
    <n v="840"/>
    <n v="0"/>
    <n v="72"/>
    <n v="72"/>
    <m/>
    <n v="0"/>
    <m/>
    <m/>
    <n v="840"/>
    <x v="5"/>
    <n v="840"/>
    <n v="72"/>
    <m/>
    <n v="35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N2T1LC"/>
    <s v="197153420745"/>
    <s v="UPC"/>
    <x v="2"/>
    <s v="Men's Low Stretch Slim-Fit Bootcut Jean"/>
    <x v="14"/>
    <s v="Black"/>
    <s v="28W x 28L"/>
    <s v="-"/>
    <s v="AEMN88118M25-Black_28wx28l"/>
    <s v="Amazon Essentials Men's Low Stretch Slim-Fit Bootcut Jeans, Black, 2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N2RR1L"/>
    <s v="197153418469"/>
    <s v="UPC"/>
    <x v="2"/>
    <s v="Baby Girls and Toddlers' Soft Stretch Relaxed-Fit Wide Leg Jeans"/>
    <x v="21"/>
    <s v="Classic Light Wash"/>
    <s v="12 Months"/>
    <s v="-"/>
    <s v="AEBG70043M25-Classic Light Wash_12m"/>
    <s v="Amazon Essentials Baby Girls' Soft Stretch Relaxed-Fit Wide Leg Jeans, Classic Light Wash, 12 Months"/>
    <s v="Accepted: In stock"/>
    <s v="Ship window (Collect)"/>
    <x v="0"/>
    <x v="0"/>
    <x v="0"/>
    <n v="312"/>
    <n v="312"/>
    <n v="288"/>
    <n v="288"/>
    <n v="0"/>
    <n v="24"/>
    <n v="24"/>
    <m/>
    <n v="0"/>
    <m/>
    <m/>
    <n v="288"/>
    <x v="5"/>
    <n v="288"/>
    <n v="24"/>
    <m/>
    <n v="12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N2RM9B"/>
    <s v="197153421889"/>
    <s v="UPC"/>
    <x v="2"/>
    <s v="Men's Low Stretch Slim-Fit Bootcut Jean"/>
    <x v="14"/>
    <s v="Stone Medium Wash"/>
    <s v="30W x 34L"/>
    <s v="-"/>
    <s v="AEMN88118M25-Stone Medium Wash_30wx34l"/>
    <s v="Amazon Essentials Men's Low Stretch Slim-Fit Bootcut Jeans, Stone Medium Wash, 30W x 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2PNBX"/>
    <s v="197153421711"/>
    <s v="UPC"/>
    <x v="2"/>
    <s v="Men's Low Stretch Slim-Fit Bootcut Jean"/>
    <x v="14"/>
    <s v="Tinted Ice Light Wash"/>
    <s v="32W x 34L"/>
    <s v="-"/>
    <s v="AEMN88118M25-TintedIceLightWash_32wx34l"/>
    <s v="Amazon Essentials Men's Low Stretch Slim-Fit Bootcut Jeans, Tinted Ice Light Wash, 32W x 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2PN9Z"/>
    <s v="197153422817"/>
    <s v="UPC"/>
    <x v="2"/>
    <s v="Women's Low Stretch Mid-Rise Regular-Fit Jean Short"/>
    <x v="20"/>
    <s v="Medium Blue Vintage"/>
    <n v="6"/>
    <s v="-"/>
    <s v="AEWM44862M25-Medium Blue Vintage_6"/>
    <s v="Amazon Essentials Women's Low Stretch Mid-Rise Regular-Fit Jean Short, Medium Blue Vintage, 6"/>
    <s v="Accepted: In stock"/>
    <s v="Ship window (Collect)"/>
    <x v="0"/>
    <x v="0"/>
    <x v="0"/>
    <n v="336"/>
    <n v="336"/>
    <n v="360"/>
    <n v="360"/>
    <n v="0"/>
    <n v="-24"/>
    <m/>
    <m/>
    <m/>
    <m/>
    <m/>
    <n v="336"/>
    <x v="5"/>
    <n v="336"/>
    <n v="0"/>
    <m/>
    <n v="14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N2PN92"/>
    <s v="197153420400"/>
    <s v="UPC"/>
    <x v="2"/>
    <s v="Unisex Baby and Toddlers' Soft Stretch Pull-On Jeans"/>
    <x v="18"/>
    <s v="Stone Medium Wash"/>
    <s v="3T"/>
    <s v="-"/>
    <s v="AEUB83300M25-Stone Medium Wash_3y"/>
    <s v="Amazon Essentials Unisex Toddlers' Soft Stretch Pull-On Jeans, Stone Medium Wash, 3T"/>
    <s v="Accepted: In stock"/>
    <s v="Ship window (Collect)"/>
    <x v="0"/>
    <x v="0"/>
    <x v="0"/>
    <n v="600"/>
    <n v="600"/>
    <n v="648"/>
    <n v="648"/>
    <n v="0"/>
    <n v="-48"/>
    <m/>
    <m/>
    <m/>
    <m/>
    <m/>
    <n v="600"/>
    <x v="5"/>
    <n v="600"/>
    <n v="0"/>
    <m/>
    <n v="25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N2MCGR"/>
    <s v="197153420998"/>
    <s v="UPC"/>
    <x v="2"/>
    <s v="Men's Low Stretch Slim-Fit Bootcut Jean"/>
    <x v="14"/>
    <s v="Dark Shadow Wash"/>
    <s v="40W x 28L"/>
    <s v="-"/>
    <s v="AEMN88118M25-Dark Shadow Wash_40wx28l"/>
    <s v="Amazon Essentials Men's Low Stretch Slim-Fit Bootcut Jeans, Dark Shadow Wash, 40W x 28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2JF8W"/>
    <s v="197153421926"/>
    <s v="UPC"/>
    <x v="2"/>
    <s v="Men's Low Stretch Slim-Fit Bootcut Jean"/>
    <x v="14"/>
    <s v="Stone Medium Wash"/>
    <s v="42W x 34L"/>
    <s v="-"/>
    <s v="AEMN88118M25-Stone Medium Wash_42wx34l"/>
    <s v="Amazon Essentials Men's Low Stretch Slim-Fit Bootcut Jeans, Stone Medium Wash, 42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2J44W"/>
    <s v="197153421650"/>
    <s v="UPC"/>
    <x v="2"/>
    <s v="Men's Low Stretch Slim-Fit Bootcut Jean"/>
    <x v="14"/>
    <s v="Tinted Ice Light Wash"/>
    <s v="35W x 28L"/>
    <s v="-"/>
    <s v="AEMN88118M25-TintedIceLightWash_35wx28l"/>
    <s v="Amazon Essentials Men's Low Stretch Slim-Fit Bootcut Jeans, Tinted Ice Light Wash, 35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SD53"/>
    <s v="197153421483"/>
    <s v="UPC"/>
    <x v="2"/>
    <s v="Men's Low Stretch Slim-Fit Bootcut Jean"/>
    <x v="14"/>
    <s v="Tinted Ice Light Wash"/>
    <s v="29W x 32L"/>
    <s v="-"/>
    <s v="AEMN88118M25-TintedIceLightWash_29wx32l"/>
    <s v="Amazon Essentials Men's Low Stretch Slim-Fit Bootcut Jeans, Tinted Ice Light Wash, 29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S8HQ"/>
    <s v="197153422282"/>
    <s v="UPC"/>
    <x v="2"/>
    <s v="Men's Low Stretch Slim-Fit Bootcut Jean"/>
    <x v="14"/>
    <s v="Stone Medium Wash"/>
    <s v="33W x 34L"/>
    <s v="-"/>
    <s v="AEMN88118M25-Stone Medium Wash_33wx34l"/>
    <s v="Amazon Essentials Men's Low Stretch Slim-Fit Bootcut Jeans, Stone Medium Wash, 33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N1Q41L"/>
    <s v="197153424224"/>
    <s v="UPC"/>
    <x v="2"/>
    <s v="Men's Heavyweight Stretch Straight-Fit 9&quot; Jean Shorts"/>
    <x v="15"/>
    <s v="Dark Midnight Wash"/>
    <n v="32"/>
    <s v="-"/>
    <s v="AEMN97005M25-Dark Midnight Wash_32"/>
    <s v="Amazon Essentials Men's Heavyweight Stretch Straight-Fit Jean Shorts, Mid Rise, 9&quot; Inseam, Dark Midnight Wash, 32"/>
    <s v="Accepted: In stock"/>
    <s v="Ship window (Collect)"/>
    <x v="0"/>
    <x v="0"/>
    <x v="0"/>
    <n v="552"/>
    <n v="552"/>
    <n v="600"/>
    <n v="600"/>
    <n v="0"/>
    <n v="-48"/>
    <m/>
    <m/>
    <n v="0"/>
    <m/>
    <m/>
    <n v="552"/>
    <x v="5"/>
    <n v="552"/>
    <n v="0"/>
    <m/>
    <n v="23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N1ND5G"/>
    <s v="197153424033"/>
    <s v="UPC"/>
    <x v="2"/>
    <s v="Men's Heavyweight Stretch Straight-Fit 9&quot; Jean Shorts"/>
    <x v="15"/>
    <s v="Authentic Medium Wash"/>
    <n v="31"/>
    <s v="-"/>
    <s v="AEMN97005M25-Authentic Medium Wash_31"/>
    <s v="Amazon Essentials Men's Heavyweight Stretch Straight-Fit Jean Shorts, Mid Rise, 9&quot; Inseam, Authentic Medium Wash, 31"/>
    <s v="Accepted: In stock"/>
    <s v="Ship window (Collect)"/>
    <x v="0"/>
    <x v="0"/>
    <x v="0"/>
    <n v="312"/>
    <n v="312"/>
    <n v="336"/>
    <n v="336"/>
    <n v="0"/>
    <n v="-24"/>
    <m/>
    <m/>
    <m/>
    <m/>
    <m/>
    <n v="312"/>
    <x v="5"/>
    <n v="312"/>
    <n v="0"/>
    <m/>
    <n v="13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N1KH9W"/>
    <s v="197153420967"/>
    <s v="UPC"/>
    <x v="2"/>
    <s v="Men's Low Stretch Slim-Fit Bootcut Jean"/>
    <x v="14"/>
    <s v="Dark Shadow Wash"/>
    <s v="42W x 34L"/>
    <s v="-"/>
    <s v="AEMN88118M25-Dark Shadow Wash_42wx34l"/>
    <s v="Amazon Essentials Men's Low Stretch Slim-Fit Bootcut Jeans, Dark Shadow Wash, 42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1JGH7"/>
    <s v="197153421445"/>
    <s v="UPC"/>
    <x v="2"/>
    <s v="Men's Low Stretch Slim-Fit Bootcut Jean"/>
    <x v="14"/>
    <s v="Tinted Ice Light Wash"/>
    <s v="42W x 34L"/>
    <s v="-"/>
    <s v="AEMN88118M25-TintedIceLightWash_42wx34l"/>
    <s v="Amazon Essentials Men's Low Stretch Slim-Fit Bootcut Jeans, Tinted Ice Light Wash, 42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JGGQ"/>
    <s v="197153424422"/>
    <s v="UPC"/>
    <x v="2"/>
    <s v="Men's Rigid Relaxed-Fit 10&quot; Jean Shorts"/>
    <x v="16"/>
    <s v="Stone Medium Wash"/>
    <n v="29"/>
    <s v="-"/>
    <s v="AEMN41037M25-Stone Medium Wash_29"/>
    <s v="Amazon Essentials Men's Rigid Relaxed-Fit Jean Shorts, Stone Medium Wash, 29"/>
    <s v="Accepted: In stock"/>
    <s v="Ship window (Collect)"/>
    <x v="0"/>
    <x v="0"/>
    <x v="0"/>
    <n v="120"/>
    <n v="120"/>
    <n v="144"/>
    <n v="144"/>
    <n v="0"/>
    <n v="-24"/>
    <m/>
    <m/>
    <n v="0"/>
    <m/>
    <m/>
    <n v="120"/>
    <x v="5"/>
    <n v="120"/>
    <n v="0"/>
    <m/>
    <n v="5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N1HNS5"/>
    <s v="197153421599"/>
    <s v="UPC"/>
    <x v="2"/>
    <s v="Men's Low Stretch Slim-Fit Bootcut Jean"/>
    <x v="14"/>
    <s v="Tinted Ice Light Wash"/>
    <s v="32W x 30L"/>
    <s v="-"/>
    <s v="AEMN88118M25-TintedIceLightWash_32wx30l"/>
    <s v="Amazon Essentials Men's Low Stretch Slim-Fit Bootcut Jeans, Tinted Ice Light Wash, 32W x 30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HC55"/>
    <s v="197153418261"/>
    <s v="UPC"/>
    <x v="2"/>
    <s v="Toddlers' and Girls' Soft Stretch Denim Jegging"/>
    <x v="17"/>
    <s v="Stone Medium Wash"/>
    <s v="Medium"/>
    <s v="-"/>
    <s v="AEGL13713M25-Stone Medium Wash_m"/>
    <s v="Amazon Essentials Girls' Skinny Mid Rise Soft Stretch Denim Jegging, Stone Medium Wash, Medium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5"/>
    <n v="24"/>
    <n v="0"/>
    <m/>
    <n v="1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N1HC32"/>
    <s v="197153424552"/>
    <s v="UPC"/>
    <x v="2"/>
    <s v="Men's Rigid Relaxed-Fit 10&quot; Jean Shorts"/>
    <x v="16"/>
    <s v="Dark Wash"/>
    <n v="34"/>
    <s v="-"/>
    <s v="AEMN41037M25-Dark Wash_34"/>
    <s v="Amazon Essentials Men's Rigid Relaxed-Fit Jean Shorts, Dark Wash, 34"/>
    <s v="Accepted: In stock"/>
    <s v="Ship window (Collect)"/>
    <x v="0"/>
    <x v="0"/>
    <x v="0"/>
    <n v="936"/>
    <n v="936"/>
    <n v="840"/>
    <n v="840"/>
    <n v="0"/>
    <n v="96"/>
    <n v="96"/>
    <m/>
    <n v="0"/>
    <m/>
    <m/>
    <n v="840"/>
    <x v="5"/>
    <n v="840"/>
    <n v="96"/>
    <m/>
    <n v="35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N1FJ6Q"/>
    <s v="197153421315"/>
    <s v="UPC"/>
    <x v="2"/>
    <s v="Men's Low Stretch Slim-Fit Bootcut Jean"/>
    <x v="14"/>
    <s v="Dark Shadow Wash"/>
    <s v="38W x 28L"/>
    <s v="-"/>
    <s v="AEMN88118M25-Dark Shadow Wash_38wx28l"/>
    <s v="Amazon Essentials Men's Low Stretch Slim-Fit Bootcut Jeans, Dark Shadow Wash, 38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1BM4W"/>
    <s v="197153418391"/>
    <s v="UPC"/>
    <x v="2"/>
    <s v="Baby Girls and Toddlers' Soft Stretch Relaxed-Fit Wide Leg Jeans"/>
    <x v="21"/>
    <s v="Classic Light Wash"/>
    <s v="3T"/>
    <s v="-"/>
    <s v="AEBG70043M25-Classic Light Wash_3y"/>
    <s v="Amazon Essentials Toddler Girls' Soft Stretch Relaxed-Fit Wide Leg Jeans, Classic Light Wash, 3T"/>
    <s v="Accepted: In stock"/>
    <s v="Ship window (Collect)"/>
    <x v="0"/>
    <x v="0"/>
    <x v="0"/>
    <n v="432"/>
    <n v="432"/>
    <n v="456"/>
    <n v="456"/>
    <n v="0"/>
    <n v="-24"/>
    <m/>
    <m/>
    <n v="0"/>
    <m/>
    <m/>
    <n v="432"/>
    <x v="5"/>
    <n v="432"/>
    <n v="0"/>
    <m/>
    <n v="18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N19GSW"/>
    <s v="197153420356"/>
    <s v="UPC"/>
    <x v="2"/>
    <s v="Unisex Baby and Toddlers' Soft Stretch Pull-On Jeans"/>
    <x v="18"/>
    <s v="Stone Medium Wash"/>
    <s v="18 Months"/>
    <s v="-"/>
    <s v="AEUB83300M25-Stone Medium Wash_18m"/>
    <s v="Amazon Essentials Unisex Babies' Soft Stretch Pull-On Jeans, Stone Medium Wash, 18 Months"/>
    <s v="Accepted: In stock"/>
    <s v="Ship window (Collect)"/>
    <x v="0"/>
    <x v="0"/>
    <x v="0"/>
    <n v="456"/>
    <n v="456"/>
    <n v="504"/>
    <n v="504"/>
    <n v="0"/>
    <n v="-48"/>
    <m/>
    <m/>
    <n v="0"/>
    <m/>
    <m/>
    <n v="456"/>
    <x v="5"/>
    <n v="456"/>
    <n v="0"/>
    <m/>
    <n v="19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N17FS3"/>
    <s v="197153421179"/>
    <s v="UPC"/>
    <x v="2"/>
    <s v="Men's Low Stretch Slim-Fit Bootcut Jean"/>
    <x v="14"/>
    <s v="Dark Shadow Wash"/>
    <s v="35W x 28L"/>
    <s v="-"/>
    <s v="AEMN88118M25-Dark Shadow Wash_35wx28l"/>
    <s v="Amazon Essentials Men's Low Stretch Slim-Fit Bootcut Jeans, Dark Shadow Wash, 35W x 28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N163X4"/>
    <s v="197153421537"/>
    <s v="UPC"/>
    <x v="2"/>
    <s v="Men's Low Stretch Slim-Fit Bootcut Jean"/>
    <x v="14"/>
    <s v="Tinted Ice Light Wash"/>
    <s v="32W x 32L"/>
    <s v="-"/>
    <s v="AEMN88118M25-TintedIceLightWash_32wx32l"/>
    <s v="Amazon Essentials Men's Low Stretch Slim-Fit Bootcut Jeans, Tinted Ice Light Wash, 32W x 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3D9L"/>
    <s v="197153421490"/>
    <s v="UPC"/>
    <x v="2"/>
    <s v="Men's Low Stretch Slim-Fit Bootcut Jean"/>
    <x v="14"/>
    <s v="Tinted Ice Light Wash"/>
    <s v="28W x 32L"/>
    <s v="-"/>
    <s v="AEMN88118M25-TintedIceLightWash_28wx32l"/>
    <s v="Amazon Essentials Men's Low Stretch Slim-Fit Bootcut Jeans, Tinted Ice Light Wash, 28W x 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N12P3W"/>
    <s v="197153420530"/>
    <s v="UPC"/>
    <x v="2"/>
    <s v="Men's Low Stretch Slim-Fit Bootcut Jean"/>
    <x v="14"/>
    <s v="Black"/>
    <s v="28W x 32L"/>
    <s v="-"/>
    <s v="AEMN88118M25-Black_28wx32l"/>
    <s v="Amazon Essentials Men's Low Stretch Slim-Fit Bootcut Jeans, Black, 28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ZZQYB"/>
    <s v="197153421674"/>
    <s v="UPC"/>
    <x v="2"/>
    <s v="Men's Low Stretch Slim-Fit Bootcut Jean"/>
    <x v="14"/>
    <s v="Tinted Ice Light Wash"/>
    <s v="35W x 34L"/>
    <s v="-"/>
    <s v="AEMN88118M25-TintedIceLightWash_35wx34l"/>
    <s v="Amazon Essentials Men's Low Stretch Slim-Fit Bootcut Jeans, Tinted Ice Light Wash, 35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ZZDD1"/>
    <s v="197153418438"/>
    <s v="UPC"/>
    <x v="2"/>
    <s v="Baby Girls and Toddlers' Soft Stretch Relaxed-Fit Wide Leg Jeans"/>
    <x v="21"/>
    <s v="Classic Light Wash"/>
    <s v="18 Months"/>
    <s v="-"/>
    <s v="AEBG70043M25-Classic Light Wash_18m"/>
    <s v="Amazon Essentials Baby Girls' Soft Stretch Relaxed-Fit Wide Leg Jeans, Classic Light Wash, 18 Months"/>
    <s v="Accepted: In stock"/>
    <s v="Ship window (Collect)"/>
    <x v="0"/>
    <x v="0"/>
    <x v="0"/>
    <n v="384"/>
    <n v="384"/>
    <n v="360"/>
    <n v="360"/>
    <n v="0"/>
    <n v="24"/>
    <n v="24"/>
    <m/>
    <n v="0"/>
    <m/>
    <m/>
    <n v="360"/>
    <x v="5"/>
    <n v="360"/>
    <n v="24"/>
    <m/>
    <n v="15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MZYP24"/>
    <s v="197153424590"/>
    <s v="UPC"/>
    <x v="2"/>
    <s v="Men's Rigid Relaxed-Fit 10&quot; Jean Shorts"/>
    <x v="16"/>
    <s v="Vintage Blue"/>
    <n v="42"/>
    <s v="-"/>
    <s v="AEMN41037M25-Vintage Blue_42"/>
    <s v="Amazon Essentials Men's Rigid Relaxed-Fit Jean Shorts, Vintage Blue, 42"/>
    <s v="Accepted: In stock"/>
    <s v="Ship window (Collect)"/>
    <x v="0"/>
    <x v="0"/>
    <x v="0"/>
    <n v="336"/>
    <n v="336"/>
    <n v="360"/>
    <n v="360"/>
    <n v="0"/>
    <n v="-24"/>
    <m/>
    <m/>
    <m/>
    <m/>
    <m/>
    <n v="336"/>
    <x v="5"/>
    <n v="336"/>
    <n v="0"/>
    <m/>
    <n v="14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ZX1KV"/>
    <s v="197153422862"/>
    <s v="UPC"/>
    <x v="2"/>
    <s v="Women's Low Stretch Mid-Rise Regular-Fit Jean Short"/>
    <x v="20"/>
    <s v="Medium Blue Vintage"/>
    <n v="0"/>
    <s v="-"/>
    <s v="AEWM44862M25-Medium Blue Vintage_0"/>
    <s v="Amazon Essentials Women's Low Stretch Mid-Rise Regular-Fit Jean Short, Medium Blue Vintage, 0"/>
    <s v="Accepted: In stock"/>
    <s v="Ship window (Collect)"/>
    <x v="0"/>
    <x v="0"/>
    <x v="0"/>
    <n v="384"/>
    <n v="384"/>
    <n v="408"/>
    <n v="408"/>
    <n v="0"/>
    <n v="-24"/>
    <m/>
    <m/>
    <n v="0"/>
    <m/>
    <m/>
    <n v="384"/>
    <x v="5"/>
    <n v="384"/>
    <n v="0"/>
    <m/>
    <n v="16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ZVPCH"/>
    <s v="197153421766"/>
    <s v="UPC"/>
    <x v="2"/>
    <s v="Men's Low Stretch Slim-Fit Bootcut Jean"/>
    <x v="14"/>
    <s v="Tinted Ice Light Wash"/>
    <s v="38W x 30L"/>
    <s v="-"/>
    <s v="AEMN88118M25-TintedIceLightWash_38wx30l"/>
    <s v="Amazon Essentials Men's Low Stretch Slim-Fit Bootcut Jeans, Tinted Ice Light Wash, 38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ZTMW9"/>
    <s v="197153424088"/>
    <s v="UPC"/>
    <x v="2"/>
    <s v="Men's Heavyweight Stretch Straight-Fit 9&quot; Jean Shorts"/>
    <x v="15"/>
    <s v="Authentic Medium Wash"/>
    <n v="28"/>
    <s v="-"/>
    <s v="AEMN97005M25-Authentic Medium Wash_28"/>
    <s v="Amazon Essentials Men's Heavyweight Stretch Straight-Fit Jean Shorts, Mid Rise, 9&quot; Inseam, Authentic Medium Wash, 28"/>
    <s v="Accepted: In stock"/>
    <s v="Ship window (Collect)"/>
    <x v="0"/>
    <x v="0"/>
    <x v="0"/>
    <n v="120"/>
    <n v="120"/>
    <n v="120"/>
    <n v="120"/>
    <n v="0"/>
    <n v="0"/>
    <m/>
    <m/>
    <n v="0"/>
    <m/>
    <m/>
    <n v="120"/>
    <x v="5"/>
    <n v="120"/>
    <n v="0"/>
    <m/>
    <n v="5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ZH1KV"/>
    <s v="197153420066"/>
    <s v="UPC"/>
    <x v="2"/>
    <s v="Girls' Ultra Soft Relaxed-Fit Wide Leg Cargo Jeans"/>
    <x v="19"/>
    <s v="Classic Light Wash"/>
    <n v="12"/>
    <s v="-"/>
    <s v="AEGL35686M25-Classic Light Wash_12"/>
    <s v="Amazon Essentials Girls' Ultra Soft Relaxed-Fit Wide Leg Cargo Jeans, Classic Light Wash, 12"/>
    <s v="Accepted: In stock"/>
    <s v="Ship window (Collect)"/>
    <x v="0"/>
    <x v="0"/>
    <x v="0"/>
    <n v="840"/>
    <n v="840"/>
    <n v="888"/>
    <n v="888"/>
    <n v="0"/>
    <n v="-48"/>
    <m/>
    <m/>
    <m/>
    <m/>
    <m/>
    <n v="840"/>
    <x v="5"/>
    <n v="840"/>
    <n v="0"/>
    <m/>
    <n v="35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MZDRNQ"/>
    <s v="197153420752"/>
    <s v="UPC"/>
    <x v="2"/>
    <s v="Men's Low Stretch Slim-Fit Bootcut Jean"/>
    <x v="14"/>
    <s v="Black"/>
    <s v="32W x 34L"/>
    <s v="-"/>
    <s v="AEMN88118M25-Black_32wx34l"/>
    <s v="Amazon Essentials Men's Low Stretch Slim-Fit Bootcut Jeans, Black, 32W x 34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YTRCK"/>
    <s v="197153420783"/>
    <s v="UPC"/>
    <x v="2"/>
    <s v="Men's Low Stretch Slim-Fit Bootcut Jean"/>
    <x v="14"/>
    <s v="Black"/>
    <s v="42W x 28L"/>
    <s v="-"/>
    <s v="AEMN88118M25-Black_42wx28l"/>
    <s v="Amazon Essentials Men's Low Stretch Slim-Fit Bootcut Jeans, Black, 42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YTRBW"/>
    <s v="197153420509"/>
    <s v="UPC"/>
    <x v="2"/>
    <s v="Men's Low Stretch Slim-Fit Bootcut Jean"/>
    <x v="14"/>
    <s v="Black"/>
    <s v="28W x 30L"/>
    <s v="-"/>
    <s v="AEMN88118M25-Black_28wx30l"/>
    <s v="Amazon Essentials Men's Low Stretch Slim-Fit Bootcut Jeans, Black, 28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YSZLC"/>
    <s v="197153421155"/>
    <s v="UPC"/>
    <x v="2"/>
    <s v="Men's Low Stretch Slim-Fit Bootcut Jean"/>
    <x v="14"/>
    <s v="Dark Shadow Wash"/>
    <s v="31W x 34L"/>
    <s v="-"/>
    <s v="AEMN88118M25-Dark Shadow Wash_31wx34l"/>
    <s v="Amazon Essentials Men's Low Stretch Slim-Fit Bootcut Jeans, Dark Shadow Wash, 31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YQM3R"/>
    <s v="197153422275"/>
    <s v="UPC"/>
    <x v="2"/>
    <s v="Men's Low Stretch Slim-Fit Bootcut Jean"/>
    <x v="14"/>
    <s v="Stone Medium Wash"/>
    <s v="38W x 28L"/>
    <s v="-"/>
    <s v="AEMN88118M25-Stone Medium Wash_38wx28l"/>
    <s v="Amazon Essentials Men's Low Stretch Slim-Fit Bootcut Jeans, Stone Medium Wash, 38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YQL61"/>
    <s v="197153422077"/>
    <s v="UPC"/>
    <x v="2"/>
    <s v="Men's Low Stretch Slim-Fit Bootcut Jean"/>
    <x v="14"/>
    <s v="Stone Medium Wash"/>
    <s v="32W x 30L"/>
    <s v="-"/>
    <s v="AEMN88118M25-Stone Medium Wash_32wx30l"/>
    <s v="Amazon Essentials Men's Low Stretch Slim-Fit Bootcut Jeans, Stone Medium Wash, 32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YQFV3"/>
    <s v="197153421322"/>
    <s v="UPC"/>
    <x v="2"/>
    <s v="Men's Low Stretch Slim-Fit Bootcut Jean"/>
    <x v="14"/>
    <s v="Dark Shadow Wash"/>
    <s v="33W x 34L"/>
    <s v="-"/>
    <s v="AEMN88118M25-Dark Shadow Wash_33wx34l"/>
    <s v="Amazon Essentials Men's Low Stretch Slim-Fit Bootcut Jeans, Dark Shadow Wash, 33W x 34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YPPYD"/>
    <s v="197153418452"/>
    <s v="UPC"/>
    <x v="2"/>
    <s v="Baby Girls and Toddlers' Soft Stretch Relaxed-Fit Wide Leg Jeans"/>
    <x v="21"/>
    <s v="Classic Light Wash"/>
    <s v="2T"/>
    <s v="-"/>
    <s v="AEBG70043M25-Classic Light Wash_2y"/>
    <s v="Amazon Essentials Toddler Girls' Soft Stretch Relaxed-Fit Wide Leg Jeans, Classic Light Wash, 2T"/>
    <s v="Accepted: In stock"/>
    <s v="Ship window (Collect)"/>
    <x v="0"/>
    <x v="0"/>
    <x v="0"/>
    <n v="480"/>
    <n v="480"/>
    <n v="528"/>
    <n v="528"/>
    <n v="0"/>
    <n v="-48"/>
    <m/>
    <m/>
    <n v="0"/>
    <m/>
    <m/>
    <n v="480"/>
    <x v="5"/>
    <n v="480"/>
    <n v="0"/>
    <m/>
    <n v="20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MYPL6V"/>
    <s v="197153420394"/>
    <s v="UPC"/>
    <x v="2"/>
    <s v="Unisex Baby and Toddlers' Soft Stretch Pull-On Jeans"/>
    <x v="18"/>
    <s v="Stone Medium Wash"/>
    <s v="4T"/>
    <s v="-"/>
    <s v="AEUB83300M25-Stone Medium Wash_4y"/>
    <s v="Amazon Essentials Unisex Toddlers' Soft Stretch Pull-On Jeans, Stone Medium Wash, 4T"/>
    <s v="Accepted: In stock"/>
    <s v="Ship window (Collect)"/>
    <x v="0"/>
    <x v="0"/>
    <x v="0"/>
    <n v="648"/>
    <n v="648"/>
    <n v="696"/>
    <n v="696"/>
    <n v="0"/>
    <n v="-48"/>
    <m/>
    <m/>
    <m/>
    <m/>
    <m/>
    <n v="648"/>
    <x v="5"/>
    <n v="648"/>
    <n v="0"/>
    <m/>
    <n v="27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MYP3WP"/>
    <s v="197153420271"/>
    <s v="UPC"/>
    <x v="2"/>
    <s v="Unisex Baby and Toddlers' Soft Stretch Pull-On Jeans"/>
    <x v="18"/>
    <s v="Stone Light Wash"/>
    <s v="18 Months"/>
    <s v="-"/>
    <s v="AEUB83300M25-Stone Light Wash_18m"/>
    <s v="Amazon Essentials Unisex Babies' Soft Stretch Pull-On Jeans, Stone Light Wash, 18 Months"/>
    <s v="Accepted: In stock"/>
    <s v="Ship window (Collect)"/>
    <x v="0"/>
    <x v="0"/>
    <x v="0"/>
    <n v="456"/>
    <n v="456"/>
    <n v="504"/>
    <n v="504"/>
    <n v="0"/>
    <n v="-48"/>
    <m/>
    <m/>
    <n v="0"/>
    <m/>
    <m/>
    <n v="456"/>
    <x v="5"/>
    <n v="456"/>
    <n v="0"/>
    <m/>
    <n v="19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YNJW5"/>
    <s v="197153423944"/>
    <s v="UPC"/>
    <x v="2"/>
    <s v="Men's Heavyweight Stretch Straight-Fit 9&quot; Jean Shorts"/>
    <x v="15"/>
    <s v="Iced Blue Light Wash"/>
    <n v="34"/>
    <s v="-"/>
    <s v="AEMN97005M25-Iced Blue Light Wash_34"/>
    <s v="Amazon Essentials Men's Heavyweight Stretch Straight-Fit Jean Shorts, Mid Rise, 9&quot; Inseam, Iced Blue Light Wash, 34"/>
    <s v="Accepted: In stock"/>
    <s v="Ship window (Collect)"/>
    <x v="0"/>
    <x v="0"/>
    <x v="0"/>
    <n v="672"/>
    <n v="672"/>
    <n v="720"/>
    <n v="720"/>
    <n v="0"/>
    <n v="-48"/>
    <m/>
    <m/>
    <n v="0"/>
    <m/>
    <m/>
    <n v="672"/>
    <x v="5"/>
    <n v="672"/>
    <n v="0"/>
    <m/>
    <n v="28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YMP5B"/>
    <s v="197153420431"/>
    <s v="UPC"/>
    <x v="2"/>
    <s v="Men's Low Stretch Slim-Fit Bootcut Jean"/>
    <x v="14"/>
    <s v="Black"/>
    <s v="29W x 30L"/>
    <s v="-"/>
    <s v="AEMN88118M25-Black_29wx30l"/>
    <s v="Amazon Essentials Men's Low Stretch Slim-Fit Bootcut Jeans, Black, 29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YM9J1"/>
    <s v="197153424118"/>
    <s v="UPC"/>
    <x v="2"/>
    <s v="Men's Heavyweight Stretch Straight-Fit 9&quot; Jean Shorts"/>
    <x v="15"/>
    <s v="Authentic Medium Wash"/>
    <n v="32"/>
    <s v="-"/>
    <s v="AEMN97005M25-Authentic Medium Wash_32"/>
    <s v="Amazon Essentials Men's Heavyweight Stretch Straight-Fit Jean Shorts, Mid Rise, 9&quot; Inseam, Authentic Medium Wash, 32"/>
    <s v="Accepted: In stock"/>
    <s v="Ship window (Collect)"/>
    <x v="0"/>
    <x v="0"/>
    <x v="0"/>
    <n v="600"/>
    <n v="600"/>
    <n v="576"/>
    <n v="576"/>
    <n v="0"/>
    <n v="24"/>
    <n v="24"/>
    <m/>
    <n v="0"/>
    <m/>
    <m/>
    <n v="576"/>
    <x v="5"/>
    <n v="576"/>
    <n v="24"/>
    <m/>
    <n v="24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YKYR3"/>
    <s v="197153424439"/>
    <s v="UPC"/>
    <x v="2"/>
    <s v="Men's Rigid Relaxed-Fit 10&quot; Jean Shorts"/>
    <x v="16"/>
    <s v="Stone Medium Wash"/>
    <n v="32"/>
    <s v="-"/>
    <s v="AEMN41037M25-Stone Medium Wash_32"/>
    <s v="Amazon Essentials Men's Rigid Relaxed-Fit Jean Shorts, Stone Medium Wash, 32"/>
    <s v="Accepted: In stock"/>
    <s v="Ship window (Collect)"/>
    <x v="0"/>
    <x v="0"/>
    <x v="0"/>
    <n v="576"/>
    <n v="576"/>
    <n v="624"/>
    <n v="624"/>
    <n v="0"/>
    <n v="-48"/>
    <m/>
    <m/>
    <m/>
    <m/>
    <m/>
    <n v="576"/>
    <x v="5"/>
    <n v="576"/>
    <n v="0"/>
    <m/>
    <n v="24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YH4VV"/>
    <s v="197153421742"/>
    <s v="UPC"/>
    <x v="2"/>
    <s v="Men's Low Stretch Slim-Fit Bootcut Jean"/>
    <x v="14"/>
    <s v="Tinted Ice Light Wash"/>
    <s v="42W x 28L"/>
    <s v="-"/>
    <s v="AEMN88118M25-TintedIceLightWash_42wx28l"/>
    <s v="Amazon Essentials Men's Low Stretch Slim-Fit Bootcut Jeans, Tinted Ice Light Wash, 4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YH4TW"/>
    <s v="197153421278"/>
    <s v="UPC"/>
    <x v="2"/>
    <s v="Men's Low Stretch Slim-Fit Bootcut Jean"/>
    <x v="14"/>
    <s v="Dark Shadow Wash"/>
    <s v="29W x 28L"/>
    <s v="-"/>
    <s v="AEMN88118M25-Dark Shadow Wash_29wx28l"/>
    <s v="Amazon Essentials Men's Low Stretch Slim-Fit Bootcut Jeans, Dark Shadow Wash, 29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YGVG4"/>
    <s v="197153422107"/>
    <s v="UPC"/>
    <x v="2"/>
    <s v="Men's Low Stretch Slim-Fit Bootcut Jean"/>
    <x v="14"/>
    <s v="Stone Medium Wash"/>
    <s v="29W x 34L"/>
    <s v="-"/>
    <s v="AEMN88118M25-Stone Medium Wash_29wx34l"/>
    <s v="Amazon Essentials Men's Low Stretch Slim-Fit Bootcut Jeans, Stone Medium Wash, 29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YGVFG"/>
    <s v="197153421612"/>
    <s v="UPC"/>
    <x v="2"/>
    <s v="Men's Low Stretch Slim-Fit Bootcut Jean"/>
    <x v="14"/>
    <s v="Tinted Ice Light Wash"/>
    <s v="40W x 32L"/>
    <s v="-"/>
    <s v="AEMN88118M25-TintedIceLightWash_40wx32l"/>
    <s v="Amazon Essentials Men's Low Stretch Slim-Fit Bootcut Jeans, Tinted Ice Light Wash, 4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YFKC1"/>
    <s v="197153424125"/>
    <s v="UPC"/>
    <x v="2"/>
    <s v="Men's Heavyweight Stretch Straight-Fit 9&quot; Jean Shorts"/>
    <x v="15"/>
    <s v="Authentic Medium Wash"/>
    <n v="38"/>
    <s v="-"/>
    <s v="AEMN97005M25-Authentic Medium Wash_38"/>
    <s v="Amazon Essentials Men's Heavyweight Stretch Straight-Fit Jean Shorts, Mid Rise, 9&quot; Inseam, Authentic Medium Wash, 38"/>
    <s v="Accepted: In stock"/>
    <s v="Ship window (Collect)"/>
    <x v="0"/>
    <x v="0"/>
    <x v="0"/>
    <n v="696"/>
    <n v="696"/>
    <n v="744"/>
    <n v="744"/>
    <n v="0"/>
    <n v="-48"/>
    <m/>
    <m/>
    <m/>
    <m/>
    <m/>
    <n v="696"/>
    <x v="5"/>
    <n v="696"/>
    <n v="0"/>
    <m/>
    <n v="29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YF1MV"/>
    <s v="197153420417"/>
    <s v="UPC"/>
    <x v="2"/>
    <s v="Unisex Baby and Toddlers' Soft Stretch Pull-On Jeans"/>
    <x v="18"/>
    <s v="Stone Medium Wash"/>
    <s v="2T"/>
    <s v="-"/>
    <s v="AEUB83300M25-Stone Medium Wash_2y"/>
    <s v="Amazon Essentials Unisex Toddlers' Soft Stretch Pull-On Jeans, Stone Medium Wash, 2T"/>
    <s v="Accepted: In stock"/>
    <s v="Ship window (Collect)"/>
    <x v="0"/>
    <x v="0"/>
    <x v="0"/>
    <n v="408"/>
    <n v="408"/>
    <n v="432"/>
    <n v="432"/>
    <n v="0"/>
    <n v="-24"/>
    <m/>
    <m/>
    <m/>
    <m/>
    <m/>
    <n v="408"/>
    <x v="5"/>
    <n v="408"/>
    <n v="0"/>
    <m/>
    <n v="17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MYDVPF"/>
    <s v="197153422909"/>
    <s v="UPC"/>
    <x v="2"/>
    <s v="Women's Low Stretch Mid-Rise Regular-Fit Jean Short"/>
    <x v="20"/>
    <s v="Medium Blue Vintage"/>
    <n v="18"/>
    <s v="-"/>
    <s v="AEWM44862M25-Medium Blue Vintage_18"/>
    <s v="Amazon Essentials Women's Low Stretch Mid-Rise Regular-Fit Jean Short, Medium Blue Vintage, 18"/>
    <s v="Accepted: In stock"/>
    <s v="Ship window (Collect)"/>
    <x v="0"/>
    <x v="0"/>
    <x v="0"/>
    <n v="384"/>
    <n v="384"/>
    <n v="384"/>
    <n v="384"/>
    <n v="0"/>
    <n v="0"/>
    <m/>
    <m/>
    <n v="0"/>
    <m/>
    <m/>
    <n v="384"/>
    <x v="5"/>
    <n v="384"/>
    <n v="0"/>
    <m/>
    <n v="16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YCVJF"/>
    <s v="197153421001"/>
    <s v="UPC"/>
    <x v="2"/>
    <s v="Men's Low Stretch Slim-Fit Bootcut Jean"/>
    <x v="14"/>
    <s v="Dark Shadow Wash"/>
    <s v="29W x 32L"/>
    <s v="-"/>
    <s v="AEMN88118M25-Dark Shadow Wash_29wx32l"/>
    <s v="Amazon Essentials Men's Low Stretch Slim-Fit Bootcut Jeans, Dark Shadow Wash, 29W x 32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YCVHN"/>
    <s v="197153420486"/>
    <s v="UPC"/>
    <x v="2"/>
    <s v="Men's Low Stretch Slim-Fit Bootcut Jean"/>
    <x v="14"/>
    <s v="Black"/>
    <s v="42W x 34L"/>
    <s v="-"/>
    <s v="AEMN88118M25-Black_42wx34l"/>
    <s v="Amazon Essentials Men's Low Stretch Slim-Fit Bootcut Jeans, Black, 42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YBZP8"/>
    <s v="197153422008"/>
    <s v="UPC"/>
    <x v="2"/>
    <s v="Men's Low Stretch Slim-Fit Bootcut Jean"/>
    <x v="14"/>
    <s v="Stone Medium Wash"/>
    <s v="34W x 32L"/>
    <s v="-"/>
    <s v="AEMN88118M25-Stone Medium Wash_34wx32l"/>
    <s v="Amazon Essentials Men's Low Stretch Slim-Fit Bootcut Jeans, Stone Medium Wash, 34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YBZMQ"/>
    <s v="197153420974"/>
    <s v="UPC"/>
    <x v="2"/>
    <s v="Men's Low Stretch Slim-Fit Bootcut Jean"/>
    <x v="14"/>
    <s v="Dark Shadow Wash"/>
    <s v="30W x 30L"/>
    <s v="-"/>
    <s v="AEMN88118M25-Dark Shadow Wash_30wx30l"/>
    <s v="Amazon Essentials Men's Low Stretch Slim-Fit Bootcut Jeans, Dark Shadow Wash, 30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Y8DT2"/>
    <s v="197153421421"/>
    <s v="UPC"/>
    <x v="2"/>
    <s v="Men's Low Stretch Slim-Fit Bootcut Jean"/>
    <x v="14"/>
    <s v="Tinted Ice Light Wash"/>
    <s v="40W x 30L"/>
    <s v="-"/>
    <s v="AEMN88118M25-TintedIceLightWash_40wx30l"/>
    <s v="Amazon Essentials Men's Low Stretch Slim-Fit Bootcut Jeans, Tinted Ice Light Wash, 40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Y7KCS"/>
    <s v="197153422176"/>
    <s v="UPC"/>
    <x v="2"/>
    <s v="Men's Low Stretch Slim-Fit Bootcut Jean"/>
    <x v="14"/>
    <s v="Stone Medium Wash"/>
    <s v="33W x 28L"/>
    <s v="-"/>
    <s v="AEMN88118M25-Stone Medium Wash_33wx28l"/>
    <s v="Amazon Essentials Men's Low Stretch Slim-Fit Bootcut Jeans, Stone Medium Wash, 33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Y6RQG"/>
    <s v="197153423906"/>
    <s v="UPC"/>
    <x v="2"/>
    <s v="Men's Heavyweight Stretch Straight-Fit 9&quot; Jean Shorts"/>
    <x v="15"/>
    <s v="Black"/>
    <n v="38"/>
    <s v="-"/>
    <s v="AEMN97005M25-Black_38"/>
    <s v="Amazon Essentials Men's Heavyweight Stretch Straight-Fit Jean Shorts, Mid Rise, 9&quot; Inseam, Black, 38"/>
    <s v="Accepted: In stock"/>
    <s v="Ship window (Collect)"/>
    <x v="0"/>
    <x v="0"/>
    <x v="0"/>
    <n v="816"/>
    <n v="816"/>
    <n v="864"/>
    <n v="864"/>
    <n v="0"/>
    <n v="-48"/>
    <m/>
    <m/>
    <n v="0"/>
    <m/>
    <m/>
    <n v="816"/>
    <x v="5"/>
    <n v="816"/>
    <n v="0"/>
    <m/>
    <n v="34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Y458Q"/>
    <s v="197153424606"/>
    <s v="UPC"/>
    <x v="2"/>
    <s v="Men's Rigid Relaxed-Fit 10&quot; Jean Shorts"/>
    <x v="16"/>
    <s v="Vintage Blue"/>
    <n v="38"/>
    <s v="-"/>
    <s v="AEMN41037M25-Vintage Blue_38"/>
    <s v="Amazon Essentials Men's Rigid Relaxed-Fit Jean Shorts, Vintage Blue, 38"/>
    <s v="Accepted: In stock"/>
    <s v="Ship window (Collect)"/>
    <x v="0"/>
    <x v="0"/>
    <x v="0"/>
    <n v="672"/>
    <n v="672"/>
    <n v="720"/>
    <n v="720"/>
    <n v="0"/>
    <n v="-48"/>
    <m/>
    <m/>
    <n v="0"/>
    <m/>
    <m/>
    <n v="672"/>
    <x v="5"/>
    <n v="672"/>
    <n v="0"/>
    <m/>
    <n v="28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Y2MGT"/>
    <s v="197153424194"/>
    <s v="UPC"/>
    <x v="2"/>
    <s v="Men's Heavyweight Stretch Straight-Fit 9&quot; Jean Shorts"/>
    <x v="15"/>
    <s v="Dark Midnight Wash"/>
    <n v="28"/>
    <s v="-"/>
    <s v="AEMN97005M25-Dark Midnight Wash_28"/>
    <s v="Amazon Essentials Men's Heavyweight Stretch Straight-Fit Jean Shorts, Mid Rise, 9&quot; Inseam, Dark Midnight Wash, 28"/>
    <s v="Accepted: In stock"/>
    <s v="Ship window (Collect)"/>
    <x v="0"/>
    <x v="0"/>
    <x v="0"/>
    <n v="120"/>
    <n v="120"/>
    <n v="144"/>
    <n v="144"/>
    <n v="0"/>
    <n v="-24"/>
    <m/>
    <m/>
    <n v="0"/>
    <m/>
    <m/>
    <n v="120"/>
    <x v="5"/>
    <n v="120"/>
    <n v="0"/>
    <m/>
    <n v="5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MY2DHQ"/>
    <s v="197153421988"/>
    <s v="UPC"/>
    <x v="2"/>
    <s v="Men's Low Stretch Slim-Fit Bootcut Jean"/>
    <x v="14"/>
    <s v="Stone Medium Wash"/>
    <s v="36W x 30L"/>
    <s v="-"/>
    <s v="AEMN88118M25-Stone Medium Wash_36wx30l"/>
    <s v="Amazon Essentials Men's Low Stretch Slim-Fit Bootcut Jeans, Stone Medium Wash, 36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XX6NC"/>
    <s v="197153424453"/>
    <s v="UPC"/>
    <x v="2"/>
    <s v="Men's Rigid Relaxed-Fit 10&quot; Jean Shorts"/>
    <x v="16"/>
    <s v="Stone Medium Wash"/>
    <n v="31"/>
    <s v="-"/>
    <s v="AEMN41037M25-Stone Medium Wash_31"/>
    <s v="Amazon Essentials Men's Rigid Relaxed-Fit Jean Shorts, Stone Medium Wash, 31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5"/>
    <n v="240"/>
    <n v="0"/>
    <m/>
    <n v="10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XX6MV"/>
    <s v="197153424026"/>
    <s v="UPC"/>
    <x v="2"/>
    <s v="Men's Heavyweight Stretch Straight-Fit 9&quot; Jean Shorts"/>
    <x v="15"/>
    <s v="Authentic Medium Wash"/>
    <n v="42"/>
    <s v="-"/>
    <s v="AEMN97005M25-Authentic Medium Wash_42"/>
    <s v="Amazon Essentials Men's Heavyweight Stretch Straight-Fit Jean Shorts, Mid Rise, 9&quot; Inseam, Authentic Medium Wash, 42"/>
    <s v="Accepted: In stock"/>
    <s v="Ship window (Collect)"/>
    <x v="0"/>
    <x v="0"/>
    <x v="0"/>
    <n v="336"/>
    <n v="336"/>
    <n v="360"/>
    <n v="360"/>
    <n v="0"/>
    <n v="-24"/>
    <m/>
    <m/>
    <n v="0"/>
    <m/>
    <m/>
    <n v="336"/>
    <x v="5"/>
    <n v="336"/>
    <n v="0"/>
    <m/>
    <n v="14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XX3P6"/>
    <s v="197153421353"/>
    <s v="UPC"/>
    <x v="2"/>
    <s v="Men's Low Stretch Slim-Fit Bootcut Jean"/>
    <x v="14"/>
    <s v="Dark Shadow Wash"/>
    <s v="31W x 32L"/>
    <s v="-"/>
    <s v="AEMN88118M25-Dark Shadow Wash_31wx32l"/>
    <s v="Amazon Essentials Men's Low Stretch Slim-Fit Bootcut Jeans, Dark Shadow Wash, 31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XS54V"/>
    <s v="197153420288"/>
    <s v="UPC"/>
    <x v="2"/>
    <s v="Unisex Baby and Toddlers' Soft Stretch Pull-On Jeans"/>
    <x v="18"/>
    <s v="Stone Light Wash"/>
    <s v="12 Months"/>
    <s v="-"/>
    <s v="AEUB83300M25-Stone Light Wash_12m"/>
    <s v="Amazon Essentials Unisex Babies' Soft Stretch Pull-On Jeans, Stone Light Wash, 12 Months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5"/>
    <n v="216"/>
    <n v="0"/>
    <m/>
    <n v="9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XL85H"/>
    <s v="197153420646"/>
    <s v="UPC"/>
    <x v="2"/>
    <s v="Men's Low Stretch Slim-Fit Bootcut Jean"/>
    <x v="14"/>
    <s v="Black"/>
    <s v="36W x 34L"/>
    <s v="-"/>
    <s v="AEMN88118M25-Black_36wx34l"/>
    <s v="Amazon Essentials Men's Low Stretch Slim-Fit Bootcut Jeans, Black, 36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XKMDJ"/>
    <s v="197153421919"/>
    <s v="UPC"/>
    <x v="2"/>
    <s v="Men's Low Stretch Slim-Fit Bootcut Jean"/>
    <x v="14"/>
    <s v="Stone Medium Wash"/>
    <s v="34W x 28L"/>
    <s v="-"/>
    <s v="AEMN88118M25-Stone Medium Wash_34wx28l"/>
    <s v="Amazon Essentials Men's Low Stretch Slim-Fit Bootcut Jeans, Stone Medium Wash, 34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XHMFS"/>
    <s v="197153421131"/>
    <s v="UPC"/>
    <x v="2"/>
    <s v="Men's Low Stretch Slim-Fit Bootcut Jean"/>
    <x v="14"/>
    <s v="Dark Shadow Wash"/>
    <s v="40W x 32L"/>
    <s v="-"/>
    <s v="AEMN88118M25-Dark Shadow Wash_40wx32l"/>
    <s v="Amazon Essentials Men's Low Stretch Slim-Fit Bootcut Jeans, Dark Shadow Wash, 40W x 32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XH9W6"/>
    <s v="197153422060"/>
    <s v="UPC"/>
    <x v="2"/>
    <s v="Men's Low Stretch Slim-Fit Bootcut Jean"/>
    <x v="14"/>
    <s v="Stone Medium Wash"/>
    <s v="33W x 30L"/>
    <s v="-"/>
    <s v="AEMN88118M25-Stone Medium Wash_33wx30l"/>
    <s v="Amazon Essentials Men's Low Stretch Slim-Fit Bootcut Jeans, Stone Medium Wash, 33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XH9W5"/>
    <s v="197153422084"/>
    <s v="UPC"/>
    <x v="2"/>
    <s v="Men's Low Stretch Slim-Fit Bootcut Jean"/>
    <x v="14"/>
    <s v="Stone Medium Wash"/>
    <s v="36W x 34L"/>
    <s v="-"/>
    <s v="AEMN88118M25-Stone Medium Wash_36wx34l"/>
    <s v="Amazon Essentials Men's Low Stretch Slim-Fit Bootcut Jeans, Stone Medium Wash, 36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XG1H8"/>
    <s v="197153421957"/>
    <s v="UPC"/>
    <x v="2"/>
    <s v="Men's Low Stretch Slim-Fit Bootcut Jean"/>
    <x v="14"/>
    <s v="Stone Medium Wash"/>
    <s v="40W x 28L"/>
    <s v="-"/>
    <s v="AEMN88118M25-Stone Medium Wash_40wx28l"/>
    <s v="Amazon Essentials Men's Low Stretch Slim-Fit Bootcut Jeans, Stone Medium Wash, 4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XCJXT"/>
    <s v="197153424460"/>
    <s v="UPC"/>
    <x v="2"/>
    <s v="Men's Rigid Relaxed-Fit 10&quot; Jean Shorts"/>
    <x v="16"/>
    <s v="Dark Wash"/>
    <n v="33"/>
    <s v="-"/>
    <s v="AEMN41037M25-Dark Wash_33"/>
    <s v="Amazon Essentials Men's Rigid Relaxed-Fit Jean Shorts, Dark Wash, 33"/>
    <s v="Accepted: In stock"/>
    <s v="Ship window (Collect)"/>
    <x v="0"/>
    <x v="0"/>
    <x v="0"/>
    <n v="456"/>
    <n v="456"/>
    <n v="456"/>
    <n v="456"/>
    <n v="0"/>
    <n v="0"/>
    <m/>
    <m/>
    <n v="0"/>
    <m/>
    <m/>
    <n v="456"/>
    <x v="5"/>
    <n v="456"/>
    <n v="0"/>
    <m/>
    <n v="19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XBGTS"/>
    <s v="197153420479"/>
    <s v="UPC"/>
    <x v="2"/>
    <s v="Men's Low Stretch Slim-Fit Bootcut Jean"/>
    <x v="14"/>
    <s v="Black"/>
    <s v="34W x 28L"/>
    <s v="-"/>
    <s v="AEMN88118M25-Black_34wx28l"/>
    <s v="Amazon Essentials Men's Low Stretch Slim-Fit Bootcut Jeans, Black, 34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X9ZH3"/>
    <s v="197153422183"/>
    <s v="UPC"/>
    <x v="2"/>
    <s v="Men's Low Stretch Slim-Fit Bootcut Jean"/>
    <x v="14"/>
    <s v="Stone Medium Wash"/>
    <s v="28W x 28L"/>
    <s v="-"/>
    <s v="AEMN88118M25-Stone Medium Wash_28wx28l"/>
    <s v="Amazon Essentials Men's Low Stretch Slim-Fit Bootcut Jeans, Stone Medium Wash, 28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WVK55"/>
    <s v="197153422831"/>
    <s v="UPC"/>
    <x v="2"/>
    <s v="Women's Low Stretch Mid-Rise Regular-Fit Jean Short"/>
    <x v="20"/>
    <s v="Medium Blue Vintage"/>
    <n v="16"/>
    <s v="-"/>
    <s v="AEWM44862M25-Medium Blue Vintage_16"/>
    <s v="Amazon Essentials Women's Low Stretch Mid-Rise Regular-Fit Jean Short, Medium Blue Vintage, 16"/>
    <s v="Accepted: In stock"/>
    <s v="Ship window (Collect)"/>
    <x v="0"/>
    <x v="0"/>
    <x v="0"/>
    <n v="600"/>
    <n v="600"/>
    <n v="648"/>
    <n v="648"/>
    <n v="0"/>
    <n v="-48"/>
    <m/>
    <m/>
    <m/>
    <m/>
    <m/>
    <n v="600"/>
    <x v="5"/>
    <n v="600"/>
    <n v="0"/>
    <m/>
    <n v="25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WSMHF"/>
    <s v="197153421254"/>
    <s v="UPC"/>
    <x v="2"/>
    <s v="Men's Low Stretch Slim-Fit Bootcut Jean"/>
    <x v="14"/>
    <s v="Dark Shadow Wash"/>
    <s v="42W x 30L"/>
    <s v="-"/>
    <s v="AEMN88118M25-Dark Shadow Wash_42wx30l"/>
    <s v="Amazon Essentials Men's Low Stretch Slim-Fit Bootcut Jeans, Dark Shadow Wash, 42W x 30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WS9M3"/>
    <s v="197153421575"/>
    <s v="UPC"/>
    <x v="2"/>
    <s v="Men's Low Stretch Slim-Fit Bootcut Jean"/>
    <x v="14"/>
    <s v="Tinted Ice Light Wash"/>
    <s v="35W x 32L"/>
    <s v="-"/>
    <s v="AEMN88118M25-TintedIceLightWash_35wx32l"/>
    <s v="Amazon Essentials Men's Low Stretch Slim-Fit Bootcut Jeans, Tinted Ice Light Wash, 35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WRZ71"/>
    <s v="197153418414"/>
    <s v="UPC"/>
    <x v="2"/>
    <s v="Baby Girls and Toddlers' Soft Stretch Relaxed-Fit Wide Leg Jeans"/>
    <x v="21"/>
    <s v="Classic Light Wash"/>
    <s v="4T"/>
    <s v="-"/>
    <s v="AEBG70043M25-Classic Light Wash_4y"/>
    <s v="Amazon Essentials Toddler Girls' Soft Stretch Relaxed-Fit Wide Leg Jeans, Classic Light Wash, 4T"/>
    <s v="Accepted: In stock"/>
    <s v="Ship window (Collect)"/>
    <x v="0"/>
    <x v="0"/>
    <x v="0"/>
    <n v="504"/>
    <n v="504"/>
    <n v="504"/>
    <n v="504"/>
    <n v="0"/>
    <n v="0"/>
    <m/>
    <m/>
    <n v="0"/>
    <m/>
    <m/>
    <n v="504"/>
    <x v="5"/>
    <n v="504"/>
    <n v="0"/>
    <m/>
    <n v="21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MWQCVS"/>
    <s v="197153424132"/>
    <s v="UPC"/>
    <x v="2"/>
    <s v="Men's Heavyweight Stretch Straight-Fit 9&quot; Jean Shorts"/>
    <x v="15"/>
    <s v="Dark Midnight Wash"/>
    <n v="42"/>
    <s v="-"/>
    <s v="AEMN97005M25-Dark Midnight Wash_42"/>
    <s v="Amazon Essentials Men's Heavyweight Stretch Straight-Fit Jean Shorts, Mid Rise, 9&quot; Inseam, Dark Midnight Wash, 42"/>
    <s v="Accepted: In stock"/>
    <s v="Ship window (Collect)"/>
    <x v="0"/>
    <x v="0"/>
    <x v="0"/>
    <n v="264"/>
    <n v="264"/>
    <n v="240"/>
    <n v="240"/>
    <n v="0"/>
    <n v="24"/>
    <n v="24"/>
    <m/>
    <n v="0"/>
    <m/>
    <m/>
    <n v="240"/>
    <x v="5"/>
    <n v="240"/>
    <n v="24"/>
    <m/>
    <n v="10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MWQ1L3"/>
    <s v="197153421162"/>
    <s v="UPC"/>
    <x v="2"/>
    <s v="Men's Low Stretch Slim-Fit Bootcut Jean"/>
    <x v="14"/>
    <s v="Dark Shadow Wash"/>
    <s v="36W x 28L"/>
    <s v="-"/>
    <s v="AEMN88118M25-Dark Shadow Wash_36wx28l"/>
    <s v="Amazon Essentials Men's Low Stretch Slim-Fit Bootcut Jeans, Dark Shadow Wash, 3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WQ1L1"/>
    <s v="197153421193"/>
    <s v="UPC"/>
    <x v="2"/>
    <s v="Men's Low Stretch Slim-Fit Bootcut Jean"/>
    <x v="14"/>
    <s v="Dark Shadow Wash"/>
    <s v="35W x 34L"/>
    <s v="-"/>
    <s v="AEMN88118M25-Dark Shadow Wash_35wx34l"/>
    <s v="Amazon Essentials Men's Low Stretch Slim-Fit Bootcut Jeans, Dark Shadow Wash, 35W x 34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WP2QX"/>
    <s v="197153424101"/>
    <s v="UPC"/>
    <x v="2"/>
    <s v="Men's Heavyweight Stretch Straight-Fit 9&quot; Jean Shorts"/>
    <x v="15"/>
    <s v="Authentic Medium Wash"/>
    <n v="33"/>
    <s v="-"/>
    <s v="AEMN97005M25-Authentic Medium Wash_33"/>
    <s v="Amazon Essentials Men's Heavyweight Stretch Straight-Fit Jean Shorts, Mid Rise, 9&quot; Inseam, Authentic Medium Wash, 33"/>
    <s v="Accepted: In stock"/>
    <s v="Ship window (Collect)"/>
    <x v="0"/>
    <x v="0"/>
    <x v="0"/>
    <n v="456"/>
    <n v="456"/>
    <n v="480"/>
    <n v="480"/>
    <n v="0"/>
    <n v="-24"/>
    <m/>
    <m/>
    <n v="0"/>
    <m/>
    <m/>
    <n v="456"/>
    <x v="5"/>
    <n v="456"/>
    <n v="0"/>
    <m/>
    <n v="19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W16QM"/>
    <s v="197153423913"/>
    <s v="UPC"/>
    <x v="2"/>
    <s v="Men's Heavyweight Stretch Straight-Fit 9&quot; Jean Shorts"/>
    <x v="15"/>
    <s v="Iced Blue Light Wash"/>
    <n v="42"/>
    <s v="-"/>
    <s v="AEMN97005M25-Iced Blue Light Wash_42"/>
    <s v="Amazon Essentials Men's Heavyweight Stretch Straight-Fit Jean Shorts, Mid Rise, 9&quot; Inseam, Iced Blue Light Wash, 42"/>
    <s v="Accepted: In stock"/>
    <s v="Ship window (Collect)"/>
    <x v="0"/>
    <x v="0"/>
    <x v="0"/>
    <n v="312"/>
    <n v="312"/>
    <n v="336"/>
    <n v="336"/>
    <n v="0"/>
    <n v="-24"/>
    <m/>
    <m/>
    <n v="0"/>
    <m/>
    <m/>
    <n v="312"/>
    <x v="5"/>
    <n v="312"/>
    <n v="0"/>
    <m/>
    <n v="13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VYB1X"/>
    <s v="197153422039"/>
    <s v="UPC"/>
    <x v="2"/>
    <s v="Men's Low Stretch Slim-Fit Bootcut Jean"/>
    <x v="14"/>
    <s v="Stone Medium Wash"/>
    <s v="34W x 30L"/>
    <s v="-"/>
    <s v="AEMN88118M25-Stone Medium Wash_34wx30l"/>
    <s v="Amazon Essentials Men's Low Stretch Slim-Fit Bootcut Jeans, Stone Medium Wash, 34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VWS2H"/>
    <s v="197153422336"/>
    <s v="UPC"/>
    <x v="2"/>
    <s v="Men's Low Stretch Slim-Fit Bootcut Jean"/>
    <x v="14"/>
    <s v="Stone Medium Wash"/>
    <s v="33W x 32L"/>
    <s v="-"/>
    <s v="AEMN88118M25-Stone Medium Wash_33wx32l"/>
    <s v="Amazon Essentials Men's Low Stretch Slim-Fit Bootcut Jeans, Stone Medium Wash, 33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VWF4D"/>
    <s v="197153421506"/>
    <s v="UPC"/>
    <x v="2"/>
    <s v="Men's Low Stretch Slim-Fit Bootcut Jean"/>
    <x v="14"/>
    <s v="Tinted Ice Light Wash"/>
    <s v="36W x 30L"/>
    <s v="-"/>
    <s v="AEMN88118M25-TintedIceLightWash_36wx30l"/>
    <s v="Amazon Essentials Men's Low Stretch Slim-Fit Bootcut Jeans, Tinted Ice Light Wash, 36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VC6N"/>
    <s v="197153418209"/>
    <s v="UPC"/>
    <x v="2"/>
    <s v="Toddlers' and Girls' Soft Stretch Denim Jegging"/>
    <x v="17"/>
    <s v="Stone Light Wash"/>
    <s v="Small"/>
    <s v="-"/>
    <s v="AEGL13713M25-Stone Light Wash_s"/>
    <s v="Amazon Essentials Girls' Skinny Mid Rise Soft Stretch Denim Jegging, Stone Light Wash, Smal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5"/>
    <n v="96"/>
    <n v="0"/>
    <m/>
    <n v="4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VVC5T"/>
    <s v="197153421261"/>
    <s v="UPC"/>
    <x v="2"/>
    <s v="Men's Low Stretch Slim-Fit Bootcut Jean"/>
    <x v="14"/>
    <s v="Dark Shadow Wash"/>
    <s v="42W x 28L"/>
    <s v="-"/>
    <s v="AEMN88118M25-Dark Shadow Wash_42wx28l"/>
    <s v="Amazon Essentials Men's Low Stretch Slim-Fit Bootcut Jeans, Dark Shadow Wash, 42W x 28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VV93W"/>
    <s v="197153424583"/>
    <s v="UPC"/>
    <x v="2"/>
    <s v="Men's Rigid Relaxed-Fit 10&quot; Jean Shorts"/>
    <x v="16"/>
    <s v="Vintage Blue"/>
    <n v="30"/>
    <s v="-"/>
    <s v="AEMN41037M25-Vintage Blue_30"/>
    <s v="Amazon Essentials Men's Rigid Relaxed-Fit Jean Shorts, Vintage Blue, 30"/>
    <s v="Accepted: In stock"/>
    <s v="Ship window (Collect)"/>
    <x v="0"/>
    <x v="0"/>
    <x v="0"/>
    <n v="336"/>
    <n v="336"/>
    <n v="336"/>
    <n v="336"/>
    <n v="0"/>
    <n v="0"/>
    <m/>
    <m/>
    <n v="0"/>
    <m/>
    <m/>
    <n v="336"/>
    <x v="5"/>
    <n v="336"/>
    <n v="0"/>
    <m/>
    <n v="14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VS7X3"/>
    <s v="197153422848"/>
    <s v="UPC"/>
    <x v="2"/>
    <s v="Women's Low Stretch Mid-Rise Regular-Fit Jean Short"/>
    <x v="20"/>
    <s v="Medium Blue Vintage"/>
    <n v="10"/>
    <s v="-"/>
    <s v="AEWM44862M25-Medium Blue Vintage_10"/>
    <s v="Amazon Essentials Women's Low Stretch Mid-Rise Regular-Fit Jean Short, Medium Blue Vintage, 10"/>
    <s v="Accepted: In stock"/>
    <s v="Ship window (Collect)"/>
    <x v="0"/>
    <x v="0"/>
    <x v="0"/>
    <n v="312"/>
    <n v="312"/>
    <n v="336"/>
    <n v="336"/>
    <n v="0"/>
    <n v="-24"/>
    <m/>
    <m/>
    <m/>
    <m/>
    <m/>
    <n v="312"/>
    <x v="5"/>
    <n v="312"/>
    <n v="0"/>
    <m/>
    <n v="13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VS7WB"/>
    <s v="197153422237"/>
    <s v="UPC"/>
    <x v="2"/>
    <s v="Men's Low Stretch Slim-Fit Bootcut Jean"/>
    <x v="14"/>
    <s v="Stone Medium Wash"/>
    <s v="29W x 28L"/>
    <s v="-"/>
    <s v="AEMN88118M25-Stone Medium Wash_29wx28l"/>
    <s v="Amazon Essentials Men's Low Stretch Slim-Fit Bootcut Jeans, Stone Medium Wash, 29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VQSN5"/>
    <s v="197153420776"/>
    <s v="UPC"/>
    <x v="2"/>
    <s v="Men's Low Stretch Slim-Fit Bootcut Jean"/>
    <x v="14"/>
    <s v="Black"/>
    <s v="42W x 30L"/>
    <s v="-"/>
    <s v="AEMN88118M25-Black_42wx30l"/>
    <s v="Amazon Essentials Men's Low Stretch Slim-Fit Bootcut Jeans, Black, 42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VPFQ3"/>
    <s v="197153421568"/>
    <s v="UPC"/>
    <x v="2"/>
    <s v="Men's Low Stretch Slim-Fit Bootcut Jean"/>
    <x v="14"/>
    <s v="Tinted Ice Light Wash"/>
    <s v="38W x 34L"/>
    <s v="-"/>
    <s v="AEMN88118M25-TintedIceLightWash_38wx34l"/>
    <s v="Amazon Essentials Men's Low Stretch Slim-Fit Bootcut Jeans, Tinted Ice Light Wash, 38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N11R"/>
    <s v="197153420349"/>
    <s v="UPC"/>
    <x v="2"/>
    <s v="Unisex Baby and Toddlers' Soft Stretch Pull-On Jeans"/>
    <x v="18"/>
    <s v="Stone Medium Wash"/>
    <s v="6-9 Months"/>
    <s v="-"/>
    <s v="AEUB83300M25-Stone Medium Wash_6-9m"/>
    <s v="Amazon Essentials Unisex Babies' Soft Stretch Pull-On Jeans, Stone Medium Wash, 6-9 Months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5"/>
    <n v="240"/>
    <n v="0"/>
    <m/>
    <n v="10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MVLYTH"/>
    <s v="197153421438"/>
    <s v="UPC"/>
    <x v="2"/>
    <s v="Men's Low Stretch Slim-Fit Bootcut Jean"/>
    <x v="14"/>
    <s v="Tinted Ice Light Wash"/>
    <s v="34W x 28L"/>
    <s v="-"/>
    <s v="AEMN88118M25-TintedIceLightWash_34wx28l"/>
    <s v="Amazon Essentials Men's Low Stretch Slim-Fit Bootcut Jeans, Tinted Ice Light Wash, 34W x 28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LLHY"/>
    <s v="197153420516"/>
    <s v="UPC"/>
    <x v="2"/>
    <s v="Men's Low Stretch Slim-Fit Bootcut Jean"/>
    <x v="14"/>
    <s v="Black"/>
    <s v="40W x 28L"/>
    <s v="-"/>
    <s v="AEMN88118M25-Black_40wx28l"/>
    <s v="Amazon Essentials Men's Low Stretch Slim-Fit Bootcut Jeans, Black, 4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VL8ZH"/>
    <s v="197153418193"/>
    <s v="UPC"/>
    <x v="2"/>
    <s v="Toddlers' and Girls' Soft Stretch Denim Jegging"/>
    <x v="17"/>
    <s v="Stone Light Wash"/>
    <s v="3T"/>
    <s v="-"/>
    <s v="AEGL13713M25-Stone Light Wash_3y"/>
    <s v="Amazon Essentials Toddler Girls' Skinny Mid Rise Soft Stretch Denim Jegging, Stone Light Wash, 3T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5"/>
    <n v="288"/>
    <n v="0"/>
    <m/>
    <n v="12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VKSPP"/>
    <s v="197153422213"/>
    <s v="UPC"/>
    <x v="2"/>
    <s v="Men's Low Stretch Slim-Fit Bootcut Jean"/>
    <x v="14"/>
    <s v="Stone Medium Wash"/>
    <s v="42W x 30L"/>
    <s v="-"/>
    <s v="AEMN88118M25-Stone Medium Wash_42wx30l"/>
    <s v="Amazon Essentials Men's Low Stretch Slim-Fit Bootcut Jeans, Stone Medium Wash, 42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VDHTQ"/>
    <s v="197153420318"/>
    <s v="UPC"/>
    <x v="2"/>
    <s v="Unisex Baby and Toddlers' Soft Stretch Pull-On Jeans"/>
    <x v="18"/>
    <s v="Stone Light Wash"/>
    <s v="4T"/>
    <s v="-"/>
    <s v="AEUB83300M25-Stone Light Wash_4y"/>
    <s v="Amazon Essentials Unisex Toddlers' Soft Stretch Pull-On Jeans, Stone Light Wash, 4T"/>
    <s v="Accepted: In stock"/>
    <s v="Ship window (Collect)"/>
    <x v="0"/>
    <x v="0"/>
    <x v="0"/>
    <n v="840"/>
    <n v="840"/>
    <n v="912"/>
    <n v="912"/>
    <n v="0"/>
    <n v="-72"/>
    <m/>
    <m/>
    <m/>
    <m/>
    <m/>
    <n v="840"/>
    <x v="5"/>
    <n v="840"/>
    <n v="0"/>
    <m/>
    <n v="35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VCYHF"/>
    <s v="197153421728"/>
    <s v="UPC"/>
    <x v="2"/>
    <s v="Men's Low Stretch Slim-Fit Bootcut Jean"/>
    <x v="14"/>
    <s v="Tinted Ice Light Wash"/>
    <s v="31W x 30L"/>
    <s v="-"/>
    <s v="AEMN88118M25-TintedIceLightWash_31wx30l"/>
    <s v="Amazon Essentials Men's Low Stretch Slim-Fit Bootcut Jeans, Tinted Ice Light Wash, 31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8NK4"/>
    <s v="197153421049"/>
    <s v="UPC"/>
    <x v="2"/>
    <s v="Men's Low Stretch Slim-Fit Bootcut Jean"/>
    <x v="14"/>
    <s v="Dark Shadow Wash"/>
    <s v="34W x 32L"/>
    <s v="-"/>
    <s v="AEMN88118M25-Dark Shadow Wash_34wx32l"/>
    <s v="Amazon Essentials Men's Low Stretch Slim-Fit Bootcut Jeans, Dark Shadow Wash, 34W x 32L"/>
    <s v="Accepted: In stock"/>
    <s v="Ship window (Collect)"/>
    <x v="0"/>
    <x v="0"/>
    <x v="0"/>
    <n v="144"/>
    <n v="144"/>
    <n v="132"/>
    <n v="132"/>
    <n v="0"/>
    <n v="12"/>
    <n v="12"/>
    <m/>
    <n v="0"/>
    <m/>
    <m/>
    <n v="132"/>
    <x v="0"/>
    <n v="132"/>
    <n v="12"/>
    <m/>
    <n v="11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V7VWK"/>
    <s v="197153421414"/>
    <s v="UPC"/>
    <x v="2"/>
    <s v="Men's Low Stretch Slim-Fit Bootcut Jean"/>
    <x v="14"/>
    <s v="Tinted Ice Light Wash"/>
    <s v="34W x 34L"/>
    <s v="-"/>
    <s v="AEMN88118M25-TintedIceLightWash_34wx34l"/>
    <s v="Amazon Essentials Men's Low Stretch Slim-Fit Bootcut Jeans, Tinted Ice Light Wash, 34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55L5"/>
    <s v="197153418179"/>
    <s v="UPC"/>
    <x v="2"/>
    <s v="Toddlers' and Girls' Soft Stretch Denim Jegging"/>
    <x v="17"/>
    <s v="Stone Light Wash"/>
    <s v="Medium"/>
    <s v="-"/>
    <s v="AEGL13713M25-Stone Light Wash_m"/>
    <s v="Amazon Essentials Girls' Skinny Mid Rise Soft Stretch Denim Jegging, Stone Light Wash, Medium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5"/>
    <n v="48"/>
    <n v="0"/>
    <m/>
    <n v="2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V3T2B"/>
    <s v="197153421803"/>
    <s v="UPC"/>
    <x v="2"/>
    <s v="Men's Low Stretch Slim-Fit Bootcut Jean"/>
    <x v="14"/>
    <s v="Tinted Ice Light Wash"/>
    <s v="33W x 34L"/>
    <s v="-"/>
    <s v="AEMN88118M25-TintedIceLightWash_33wx34l"/>
    <s v="Amazon Essentials Men's Low Stretch Slim-Fit Bootcut Jeans, Tinted Ice Light Wash, 33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V2FD2"/>
    <s v="197153424002"/>
    <s v="UPC"/>
    <x v="2"/>
    <s v="Men's Heavyweight Stretch Straight-Fit 9&quot; Jean Shorts"/>
    <x v="15"/>
    <s v="Iced Blue Light Wash"/>
    <n v="32"/>
    <s v="-"/>
    <s v="AEMN97005M25-Iced Blue Light Wash_32"/>
    <s v="Amazon Essentials Men's Heavyweight Stretch Straight-Fit Jean Shorts, Mid Rise, 9&quot; Inseam, Iced Blue Light Wash, 32"/>
    <s v="Accepted: In stock"/>
    <s v="Ship window (Collect)"/>
    <x v="0"/>
    <x v="0"/>
    <x v="0"/>
    <n v="744"/>
    <n v="744"/>
    <n v="744"/>
    <n v="744"/>
    <n v="0"/>
    <n v="0"/>
    <m/>
    <m/>
    <n v="0"/>
    <m/>
    <m/>
    <n v="744"/>
    <x v="5"/>
    <n v="744"/>
    <n v="0"/>
    <m/>
    <n v="31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V2FCD"/>
    <s v="197153424644"/>
    <s v="UPC"/>
    <x v="2"/>
    <s v="Men's Rigid Relaxed-Fit 10&quot; Jean Shorts"/>
    <x v="16"/>
    <s v="Vintage Blue"/>
    <n v="29"/>
    <s v="-"/>
    <s v="AEMN41037M25-Vintage Blue_29"/>
    <s v="Amazon Essentials Men's Rigid Relaxed-Fit Jean Shorts, Vintage Blue, 29"/>
    <s v="Accepted: In stock"/>
    <s v="Ship window (Collect)"/>
    <x v="0"/>
    <x v="0"/>
    <x v="0"/>
    <n v="168"/>
    <n v="168"/>
    <n v="168"/>
    <n v="168"/>
    <n v="0"/>
    <n v="0"/>
    <m/>
    <m/>
    <n v="0"/>
    <m/>
    <m/>
    <n v="168"/>
    <x v="5"/>
    <n v="168"/>
    <n v="0"/>
    <m/>
    <n v="7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TZ6SQ"/>
    <s v="197153422138"/>
    <s v="UPC"/>
    <x v="2"/>
    <s v="Men's Low Stretch Slim-Fit Bootcut Jean"/>
    <x v="14"/>
    <s v="Stone Medium Wash"/>
    <s v="35W x 28L"/>
    <s v="-"/>
    <s v="AEMN88118M25-Stone Medium Wash_35wx28l"/>
    <s v="Amazon Essentials Men's Low Stretch Slim-Fit Bootcut Jeans, Stone Medium Wash, 35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TLVHG"/>
    <s v="197153420448"/>
    <s v="UPC"/>
    <x v="2"/>
    <s v="Men's Low Stretch Slim-Fit Bootcut Jean"/>
    <x v="14"/>
    <s v="Black"/>
    <s v="30W x 34L"/>
    <s v="-"/>
    <s v="AEMN88118M25-Black_30wx34l"/>
    <s v="Amazon Essentials Men's Low Stretch Slim-Fit Bootcut Jeans, Black, 30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TLH6T"/>
    <s v="197153418278"/>
    <s v="UPC"/>
    <x v="2"/>
    <s v="Toddlers' and Girls' Soft Stretch Denim Jegging"/>
    <x v="17"/>
    <s v="Stone Medium Wash"/>
    <s v="X-Large"/>
    <s v="-"/>
    <s v="AEGL13713M25-Stone Medium Wash_xl"/>
    <s v="Amazon Essentials Girls' Skinny Mid Rise Soft Stretch Denim Jegging, Stone Medium Wash, X-Large"/>
    <s v="Accepted: In stock"/>
    <s v="Ship window (Collect)"/>
    <x v="0"/>
    <x v="0"/>
    <x v="0"/>
    <n v="168"/>
    <n v="168"/>
    <n v="192"/>
    <n v="192"/>
    <n v="0"/>
    <n v="-24"/>
    <m/>
    <m/>
    <n v="0"/>
    <m/>
    <m/>
    <n v="168"/>
    <x v="5"/>
    <n v="168"/>
    <n v="0"/>
    <m/>
    <n v="7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TLH5G"/>
    <s v="197153424361"/>
    <s v="UPC"/>
    <x v="2"/>
    <s v="Men's Rigid Relaxed-Fit 10&quot; Jean Shorts"/>
    <x v="16"/>
    <s v="Stone Medium Wash"/>
    <n v="30"/>
    <s v="-"/>
    <s v="AEMN41037M25-Stone Medium Wash_30"/>
    <s v="Amazon Essentials Men's Rigid Relaxed-Fit Jean Shorts, Stone Medium Wash, 30"/>
    <s v="Accepted: In stock"/>
    <s v="Ship window (Collect)"/>
    <x v="0"/>
    <x v="0"/>
    <x v="0"/>
    <n v="312"/>
    <n v="312"/>
    <n v="288"/>
    <n v="288"/>
    <n v="0"/>
    <n v="24"/>
    <n v="24"/>
    <m/>
    <n v="0"/>
    <m/>
    <m/>
    <n v="288"/>
    <x v="5"/>
    <n v="288"/>
    <n v="24"/>
    <m/>
    <n v="12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TK5S7"/>
    <s v="197153420721"/>
    <s v="UPC"/>
    <x v="2"/>
    <s v="Men's Low Stretch Slim-Fit Bootcut Jean"/>
    <x v="14"/>
    <s v="Black"/>
    <s v="40W x 34L"/>
    <s v="-"/>
    <s v="AEMN88118M25-Black_40wx34l"/>
    <s v="Amazon Essentials Men's Low Stretch Slim-Fit Bootcut Jeans, Black, 4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T4HHX"/>
    <s v="197153418148"/>
    <s v="UPC"/>
    <x v="2"/>
    <s v="Toddlers' and Girls' Soft Stretch Denim Jegging"/>
    <x v="17"/>
    <s v="Stone Light Wash"/>
    <s v="4T"/>
    <s v="-"/>
    <s v="AEGL13713M25-Stone Light Wash_4y"/>
    <s v="Amazon Essentials Toddler Girls' Skinny Mid Rise Soft Stretch Denim Jegging, Stone Light Wash, 4T"/>
    <s v="Accepted: In stock"/>
    <s v="Ship window (Collect)"/>
    <x v="0"/>
    <x v="0"/>
    <x v="0"/>
    <n v="360"/>
    <n v="360"/>
    <n v="384"/>
    <n v="384"/>
    <n v="0"/>
    <n v="-24"/>
    <m/>
    <m/>
    <m/>
    <m/>
    <m/>
    <n v="360"/>
    <x v="5"/>
    <n v="360"/>
    <n v="0"/>
    <m/>
    <n v="15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T3312"/>
    <s v="197153420981"/>
    <s v="UPC"/>
    <x v="2"/>
    <s v="Men's Low Stretch Slim-Fit Bootcut Jean"/>
    <x v="14"/>
    <s v="Dark Shadow Wash"/>
    <s v="28W x 30L"/>
    <s v="-"/>
    <s v="AEMN88118M25-Dark Shadow Wash_28wx30l"/>
    <s v="Amazon Essentials Men's Low Stretch Slim-Fit Bootcut Jeans, Dark Shadow Wash, 28W x 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T31Y7"/>
    <s v="197153424156"/>
    <s v="UPC"/>
    <x v="2"/>
    <s v="Men's Heavyweight Stretch Straight-Fit 9&quot; Jean Shorts"/>
    <x v="15"/>
    <s v="Dark Midnight Wash"/>
    <n v="29"/>
    <s v="-"/>
    <s v="AEMN97005M25-Dark Midnight Wash_29"/>
    <s v="Amazon Essentials Men's Heavyweight Stretch Straight-Fit Jean Shorts, Mid Rise, 9&quot; Inseam, Dark Midnight Wash, 29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5"/>
    <n v="216"/>
    <n v="0"/>
    <m/>
    <n v="9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MT2SY8"/>
    <s v="197153422169"/>
    <s v="UPC"/>
    <x v="2"/>
    <s v="Men's Low Stretch Slim-Fit Bootcut Jean"/>
    <x v="14"/>
    <s v="Stone Medium Wash"/>
    <s v="40W x 34L"/>
    <s v="-"/>
    <s v="AEMN88118M25-Stone Medium Wash_40wx34l"/>
    <s v="Amazon Essentials Men's Low Stretch Slim-Fit Bootcut Jeans, Stone Medium Wash, 4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T2LJ7"/>
    <s v="197153421971"/>
    <s v="UPC"/>
    <x v="2"/>
    <s v="Men's Low Stretch Slim-Fit Bootcut Jean"/>
    <x v="14"/>
    <s v="Stone Medium Wash"/>
    <s v="28W x 32L"/>
    <s v="-"/>
    <s v="AEMN88118M25-Stone Medium Wash_28wx32l"/>
    <s v="Amazon Essentials Men's Low Stretch Slim-Fit Bootcut Jeans, Stone Medium Wash, 28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T1DJM"/>
    <s v="197153420622"/>
    <s v="UPC"/>
    <x v="2"/>
    <s v="Men's Low Stretch Slim-Fit Bootcut Jean"/>
    <x v="14"/>
    <s v="Black"/>
    <s v="33W x 30L"/>
    <s v="-"/>
    <s v="AEMN88118M25-Black_33wx30l"/>
    <s v="Amazon Essentials Men's Low Stretch Slim-Fit Bootcut Jeans, Black, 33W x 30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T1BTH"/>
    <s v="197153424408"/>
    <s v="UPC"/>
    <x v="2"/>
    <s v="Men's Rigid Relaxed-Fit 10&quot; Jean Shorts"/>
    <x v="16"/>
    <s v="Stone Medium Wash"/>
    <n v="40"/>
    <s v="-"/>
    <s v="AEMN41037M25-Stone Medium Wash_40"/>
    <s v="Amazon Essentials Men's Rigid Relaxed-Fit Jean Shorts, Stone Medium Wash, 40"/>
    <s v="Accepted: In stock"/>
    <s v="Ship window (Collect)"/>
    <x v="0"/>
    <x v="0"/>
    <x v="0"/>
    <n v="408"/>
    <n v="408"/>
    <n v="432"/>
    <n v="432"/>
    <n v="0"/>
    <n v="-24"/>
    <m/>
    <m/>
    <m/>
    <m/>
    <m/>
    <n v="408"/>
    <x v="5"/>
    <n v="408"/>
    <n v="0"/>
    <m/>
    <n v="17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SZXSD"/>
    <s v="197153421292"/>
    <s v="UPC"/>
    <x v="2"/>
    <s v="Men's Low Stretch Slim-Fit Bootcut Jean"/>
    <x v="14"/>
    <s v="Dark Shadow Wash"/>
    <s v="36W x 32L"/>
    <s v="-"/>
    <s v="AEMN88118M25-Dark Shadow Wash_36wx32l"/>
    <s v="Amazon Essentials Men's Low Stretch Slim-Fit Bootcut Jeans, Dark Shadow Wash, 36W x 32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Y42T"/>
    <s v="197153424187"/>
    <s v="UPC"/>
    <x v="2"/>
    <s v="Men's Heavyweight Stretch Straight-Fit 9&quot; Jean Shorts"/>
    <x v="15"/>
    <s v="Dark Midnight Wash"/>
    <n v="30"/>
    <s v="-"/>
    <s v="AEMN97005M25-Dark Midnight Wash_30"/>
    <s v="Amazon Essentials Men's Heavyweight Stretch Straight-Fit Jean Shorts, Mid Rise, 9&quot; Inseam, Dark Midnight Wash, 30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5"/>
    <n v="240"/>
    <n v="0"/>
    <m/>
    <n v="10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MSWNL9"/>
    <s v="197153420691"/>
    <s v="UPC"/>
    <x v="2"/>
    <s v="Men's Low Stretch Slim-Fit Bootcut Jean"/>
    <x v="14"/>
    <s v="Black"/>
    <s v="35W x 28L"/>
    <s v="-"/>
    <s v="AEMN88118M25-Black_35wx28l"/>
    <s v="Amazon Essentials Men's Low Stretch Slim-Fit Bootcut Jeans, Black, 35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SVDBQ"/>
    <s v="197153424521"/>
    <s v="UPC"/>
    <x v="2"/>
    <s v="Men's Rigid Relaxed-Fit 10&quot; Jean Shorts"/>
    <x v="16"/>
    <s v="Dark Wash"/>
    <n v="28"/>
    <s v="-"/>
    <s v="AEMN41037M25-Dark Wash_28"/>
    <s v="Amazon Essentials Men's Rigid Relaxed-Fit Jean Shorts, Dark Wash, 28"/>
    <s v="Accepted: In stock"/>
    <s v="Ship window (Collect)"/>
    <x v="0"/>
    <x v="0"/>
    <x v="0"/>
    <n v="144"/>
    <n v="144"/>
    <n v="120"/>
    <n v="120"/>
    <n v="0"/>
    <n v="24"/>
    <n v="24"/>
    <m/>
    <n v="0"/>
    <m/>
    <m/>
    <n v="120"/>
    <x v="5"/>
    <n v="120"/>
    <n v="24"/>
    <m/>
    <n v="5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SRX7S"/>
    <s v="197153422879"/>
    <s v="UPC"/>
    <x v="2"/>
    <s v="Women's Low Stretch Mid-Rise Regular-Fit Jean Short"/>
    <x v="20"/>
    <s v="Medium Blue Vintage"/>
    <n v="2"/>
    <s v="-"/>
    <s v="AEWM44862M25-Medium Blue Vintage_2"/>
    <s v="Amazon Essentials Women's Low Stretch Mid-Rise Regular-Fit Jean Short, Medium Blue Vintage, 2"/>
    <s v="Accepted: In stock"/>
    <s v="Ship window (Collect)"/>
    <x v="0"/>
    <x v="0"/>
    <x v="0"/>
    <n v="480"/>
    <n v="480"/>
    <n v="504"/>
    <n v="504"/>
    <n v="0"/>
    <n v="-24"/>
    <m/>
    <m/>
    <n v="0"/>
    <m/>
    <m/>
    <n v="480"/>
    <x v="5"/>
    <n v="480"/>
    <n v="0"/>
    <m/>
    <n v="20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SRLMC"/>
    <s v="197153420578"/>
    <s v="UPC"/>
    <x v="2"/>
    <s v="Men's Low Stretch Slim-Fit Bootcut Jean"/>
    <x v="14"/>
    <s v="Black"/>
    <s v="32W x 32L"/>
    <s v="-"/>
    <s v="AEMN88118M25-Black_32wx32l"/>
    <s v="Amazon Essentials Men's Low Stretch Slim-Fit Bootcut Jeans, Black, 32W x 32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SR8ZF"/>
    <s v="197153423821"/>
    <s v="UPC"/>
    <x v="2"/>
    <s v="Men's Heavyweight Stretch Straight-Fit 9&quot; Jean Shorts"/>
    <x v="15"/>
    <s v="Black"/>
    <n v="29"/>
    <s v="-"/>
    <s v="AEMN97005M25-Black_29"/>
    <s v="Amazon Essentials Men's Heavyweight Stretch Straight-Fit Jean Shorts, Mid Rise, 9&quot; Inseam, Black, 29"/>
    <s v="Accepted: In stock"/>
    <s v="Ship window (Collect)"/>
    <x v="0"/>
    <x v="0"/>
    <x v="0"/>
    <n v="216"/>
    <n v="216"/>
    <n v="216"/>
    <n v="216"/>
    <n v="0"/>
    <n v="0"/>
    <m/>
    <m/>
    <n v="0"/>
    <m/>
    <m/>
    <n v="216"/>
    <x v="5"/>
    <n v="216"/>
    <n v="0"/>
    <m/>
    <n v="9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SQVD3"/>
    <s v="197153421407"/>
    <s v="UPC"/>
    <x v="2"/>
    <s v="Men's Low Stretch Slim-Fit Bootcut Jean"/>
    <x v="14"/>
    <s v="Tinted Ice Light Wash"/>
    <s v="30W x 34L"/>
    <s v="-"/>
    <s v="AEMN88118M25-TintedIceLightWash_30wx34l"/>
    <s v="Amazon Essentials Men's Low Stretch Slim-Fit Bootcut Jeans, Tinted Ice Light Wash, 30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SQVCW"/>
    <s v="197153422893"/>
    <s v="UPC"/>
    <x v="2"/>
    <s v="Women's Low Stretch Mid-Rise Regular-Fit Jean Short"/>
    <x v="20"/>
    <s v="Medium Blue Vintage"/>
    <n v="20"/>
    <s v="-"/>
    <s v="AEWM44862M25-Medium Blue Vintage_20"/>
    <s v="Amazon Essentials Women's Low Stretch Mid-Rise Regular-Fit Jean Short, Medium Blue Vintage, 20"/>
    <s v="Accepted: In stock"/>
    <s v="Ship window (Collect)"/>
    <x v="0"/>
    <x v="0"/>
    <x v="0"/>
    <n v="216"/>
    <n v="216"/>
    <n v="192"/>
    <n v="192"/>
    <n v="0"/>
    <n v="24"/>
    <n v="24"/>
    <m/>
    <n v="0"/>
    <m/>
    <m/>
    <n v="192"/>
    <x v="5"/>
    <n v="192"/>
    <n v="24"/>
    <m/>
    <n v="8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SQ7PT"/>
    <s v="197153421094"/>
    <s v="UPC"/>
    <x v="2"/>
    <s v="Men's Low Stretch Slim-Fit Bootcut Jean"/>
    <x v="14"/>
    <s v="Dark Shadow Wash"/>
    <s v="35W x 32L"/>
    <s v="-"/>
    <s v="AEMN88118M25-Dark Shadow Wash_35wx32l"/>
    <s v="Amazon Essentials Men's Low Stretch Slim-Fit Bootcut Jeans, Dark Shadow Wash, 35W x 32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PGYT"/>
    <s v="197153421247"/>
    <s v="UPC"/>
    <x v="2"/>
    <s v="Men's Low Stretch Slim-Fit Bootcut Jean"/>
    <x v="14"/>
    <s v="Dark Shadow Wash"/>
    <s v="31W x 30L"/>
    <s v="-"/>
    <s v="AEMN88118M25-Dark Shadow Wash_31wx30l"/>
    <s v="Amazon Essentials Men's Low Stretch Slim-Fit Bootcut Jeans, Dark Shadow Wash, 31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N9NN"/>
    <s v="197153424491"/>
    <s v="UPC"/>
    <x v="2"/>
    <s v="Men's Rigid Relaxed-Fit 10&quot; Jean Shorts"/>
    <x v="16"/>
    <s v="Dark Wash"/>
    <n v="38"/>
    <s v="-"/>
    <s v="AEMN41037M25-Dark Wash_38"/>
    <s v="Amazon Essentials Men's Rigid Relaxed-Fit Jean Shorts, Dark Wash, 38"/>
    <s v="Accepted: In stock"/>
    <s v="Ship window (Collect)"/>
    <x v="0"/>
    <x v="0"/>
    <x v="0"/>
    <n v="888"/>
    <n v="888"/>
    <n v="864"/>
    <n v="864"/>
    <n v="0"/>
    <n v="24"/>
    <n v="24"/>
    <m/>
    <n v="0"/>
    <m/>
    <m/>
    <n v="864"/>
    <x v="5"/>
    <n v="864"/>
    <n v="24"/>
    <m/>
    <n v="36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SMQZJ"/>
    <s v="197153418247"/>
    <s v="UPC"/>
    <x v="2"/>
    <s v="Toddlers' and Girls' Soft Stretch Denim Jegging"/>
    <x v="17"/>
    <s v="Stone Medium Wash"/>
    <s v="2T"/>
    <s v="-"/>
    <s v="AEGL13713M25-Stone Medium Wash_2y"/>
    <s v="Amazon Essentials Toddler Girls' Skinny Mid Rise Soft Stretch Denim Jegging, Stone Medium Wash, 2T"/>
    <s v="Accepted: In stock"/>
    <s v="Ship window (Collect)"/>
    <x v="0"/>
    <x v="0"/>
    <x v="0"/>
    <n v="192"/>
    <n v="192"/>
    <n v="216"/>
    <n v="216"/>
    <n v="0"/>
    <n v="-24"/>
    <m/>
    <m/>
    <n v="0"/>
    <m/>
    <m/>
    <n v="192"/>
    <x v="5"/>
    <n v="192"/>
    <n v="0"/>
    <m/>
    <n v="8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SMQZB"/>
    <s v="197153418155"/>
    <s v="UPC"/>
    <x v="2"/>
    <s v="Toddlers' and Girls' Soft Stretch Denim Jegging"/>
    <x v="17"/>
    <s v="Stone Light Wash"/>
    <s v="2T"/>
    <s v="-"/>
    <s v="AEGL13713M25-Stone Light Wash_2y"/>
    <s v="Amazon Essentials Toddler Girls' Skinny Mid Rise Soft Stretch Denim Jegging, Stone Light Wash, 2T"/>
    <s v="Accepted: In stock"/>
    <s v="Ship window (Collect)"/>
    <x v="0"/>
    <x v="0"/>
    <x v="0"/>
    <n v="192"/>
    <n v="192"/>
    <n v="192"/>
    <n v="192"/>
    <n v="0"/>
    <n v="0"/>
    <m/>
    <m/>
    <n v="0"/>
    <m/>
    <m/>
    <n v="192"/>
    <x v="5"/>
    <n v="192"/>
    <n v="0"/>
    <m/>
    <n v="8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SLSYF"/>
    <s v="197153424637"/>
    <s v="UPC"/>
    <x v="2"/>
    <s v="Men's Rigid Relaxed-Fit 10&quot; Jean Shorts"/>
    <x v="16"/>
    <s v="Vintage Blue"/>
    <n v="28"/>
    <s v="-"/>
    <s v="AEMN41037M25-Vintage Blue_28"/>
    <s v="Amazon Essentials Men's Rigid Relaxed-Fit Jean Shorts, Vintage Blue, 28"/>
    <s v="Accepted: In stock"/>
    <s v="Ship window (Collect)"/>
    <x v="0"/>
    <x v="0"/>
    <x v="0"/>
    <n v="216"/>
    <n v="216"/>
    <n v="192"/>
    <n v="192"/>
    <n v="0"/>
    <n v="24"/>
    <n v="24"/>
    <m/>
    <n v="0"/>
    <m/>
    <m/>
    <n v="192"/>
    <x v="5"/>
    <n v="192"/>
    <n v="24"/>
    <m/>
    <n v="8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SLRZ4"/>
    <s v="197153420561"/>
    <s v="UPC"/>
    <x v="2"/>
    <s v="Men's Low Stretch Slim-Fit Bootcut Jean"/>
    <x v="14"/>
    <s v="Black"/>
    <s v="34W x 32L"/>
    <s v="-"/>
    <s v="AEMN88118M25-Black_34wx32l"/>
    <s v="Amazon Essentials Men's Low Stretch Slim-Fit Bootcut Jeans, Black, 34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SH1LC"/>
    <s v="197153420073"/>
    <s v="UPC"/>
    <x v="2"/>
    <s v="Girls' Ultra Soft Relaxed-Fit Wide Leg Cargo Jeans"/>
    <x v="19"/>
    <s v="Classic Light Wash"/>
    <n v="6"/>
    <s v="-"/>
    <s v="AEGL35686M25-Classic Light Wash_6"/>
    <s v="Amazon Essentials Girls' Ultra Soft Relaxed-Fit Wide Leg Cargo Jeans, Classic Light Wash, 6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5"/>
    <n v="72"/>
    <n v="0"/>
    <m/>
    <n v="3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MSGMGP"/>
    <s v="197153421186"/>
    <s v="UPC"/>
    <x v="2"/>
    <s v="Men's Low Stretch Slim-Fit Bootcut Jean"/>
    <x v="14"/>
    <s v="Dark Shadow Wash"/>
    <s v="31W x 28L"/>
    <s v="-"/>
    <s v="AEMN88118M25-Dark Shadow Wash_31wx28l"/>
    <s v="Amazon Essentials Men's Low Stretch Slim-Fit Bootcut Jeans, Dark Shadow Wash, 31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DN7Q"/>
    <s v="197153421025"/>
    <s v="UPC"/>
    <x v="2"/>
    <s v="Men's Low Stretch Slim-Fit Bootcut Jean"/>
    <x v="14"/>
    <s v="Dark Shadow Wash"/>
    <s v="36W x 30L"/>
    <s v="-"/>
    <s v="AEMN88118M25-Dark Shadow Wash_36wx30l"/>
    <s v="Amazon Essentials Men's Low Stretch Slim-Fit Bootcut Jeans, Dark Shadow Wash, 36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D7GW"/>
    <s v="197153422824"/>
    <s v="UPC"/>
    <x v="2"/>
    <s v="Women's Low Stretch Mid-Rise Regular-Fit Jean Short"/>
    <x v="20"/>
    <s v="Medium Blue Vintage"/>
    <n v="14"/>
    <s v="-"/>
    <s v="AEWM44862M25-Medium Blue Vintage_14"/>
    <s v="Amazon Essentials Women's Low Stretch Mid-Rise Regular-Fit Jean Short, Medium Blue Vintage, 14"/>
    <s v="Accepted: In stock"/>
    <s v="Ship window (Collect)"/>
    <x v="0"/>
    <x v="0"/>
    <x v="0"/>
    <n v="360"/>
    <n v="360"/>
    <n v="384"/>
    <n v="384"/>
    <n v="0"/>
    <n v="-24"/>
    <m/>
    <m/>
    <n v="0"/>
    <m/>
    <m/>
    <n v="360"/>
    <x v="5"/>
    <n v="360"/>
    <n v="0"/>
    <m/>
    <n v="15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SC2X6"/>
    <s v="197153421117"/>
    <s v="UPC"/>
    <x v="2"/>
    <s v="Men's Low Stretch Slim-Fit Bootcut Jean"/>
    <x v="14"/>
    <s v="Dark Shadow Wash"/>
    <s v="32W x 30L"/>
    <s v="-"/>
    <s v="AEMN88118M25-Dark Shadow Wash_32wx30l"/>
    <s v="Amazon Essentials Men's Low Stretch Slim-Fit Bootcut Jeans, Dark Shadow Wash, 32W x 30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SB8TF"/>
    <s v="197153420653"/>
    <s v="UPC"/>
    <x v="2"/>
    <s v="Men's Low Stretch Slim-Fit Bootcut Jean"/>
    <x v="14"/>
    <s v="Black"/>
    <s v="40W x 32L"/>
    <s v="-"/>
    <s v="AEMN88118M25-Black_40wx32l"/>
    <s v="Amazon Essentials Men's Low Stretch Slim-Fit Bootcut Jeans, Black, 4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RYYQC"/>
    <s v="197153421032"/>
    <s v="UPC"/>
    <x v="2"/>
    <s v="Men's Low Stretch Slim-Fit Bootcut Jean"/>
    <x v="14"/>
    <s v="Dark Shadow Wash"/>
    <s v="30W x 28L"/>
    <s v="-"/>
    <s v="AEMN88118M25-Dark Shadow Wash_30wx28l"/>
    <s v="Amazon Essentials Men's Low Stretch Slim-Fit Bootcut Jeans, Dark Shadow Wash, 3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RYBL2"/>
    <s v="197153423838"/>
    <s v="UPC"/>
    <x v="2"/>
    <s v="Men's Heavyweight Stretch Straight-Fit 9&quot; Jean Shorts"/>
    <x v="15"/>
    <s v="Black"/>
    <n v="34"/>
    <s v="-"/>
    <s v="AEMN97005M25-Black_34"/>
    <s v="Amazon Essentials Men's Heavyweight Stretch Straight-Fit Jean Shorts, Mid Rise, 9&quot; Inseam, Black, 34"/>
    <s v="Accepted: In stock"/>
    <s v="Ship window (Collect)"/>
    <x v="0"/>
    <x v="0"/>
    <x v="0"/>
    <n v="576"/>
    <n v="576"/>
    <n v="600"/>
    <n v="600"/>
    <n v="0"/>
    <n v="-24"/>
    <m/>
    <m/>
    <n v="0"/>
    <m/>
    <m/>
    <n v="576"/>
    <x v="5"/>
    <n v="576"/>
    <n v="0"/>
    <m/>
    <n v="24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RXZRR"/>
    <s v="197153418131"/>
    <s v="UPC"/>
    <x v="2"/>
    <s v="Toddlers' and Girls' Soft Stretch Denim Jegging"/>
    <x v="17"/>
    <s v="Stone Light Wash"/>
    <s v="X-Small"/>
    <s v="-"/>
    <s v="AEGL13713M25-Stone Light Wash_xs"/>
    <s v="Amazon Essentials Girls' Skinny Mid Rise Soft Stretch Denim Jegging, Stone Light Wash, X-Small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5"/>
    <n v="144"/>
    <n v="0"/>
    <m/>
    <n v="6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RXZPV"/>
    <s v="197153423807"/>
    <s v="UPC"/>
    <x v="2"/>
    <s v="Men's Heavyweight Stretch Straight-Fit 9&quot; Jean Shorts"/>
    <x v="15"/>
    <s v="Black"/>
    <n v="42"/>
    <s v="-"/>
    <s v="AEMN97005M25-Black_42"/>
    <s v="Amazon Essentials Men's Heavyweight Stretch Straight-Fit Jean Shorts, Mid Rise, 9&quot; Inseam, Black, 42"/>
    <s v="Accepted: In stock"/>
    <s v="Ship window (Collect)"/>
    <x v="0"/>
    <x v="0"/>
    <x v="0"/>
    <n v="576"/>
    <n v="576"/>
    <n v="624"/>
    <n v="624"/>
    <n v="0"/>
    <n v="-48"/>
    <m/>
    <m/>
    <m/>
    <m/>
    <m/>
    <n v="576"/>
    <x v="5"/>
    <n v="576"/>
    <n v="0"/>
    <m/>
    <n v="24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RXMJ1"/>
    <s v="197153422244"/>
    <s v="UPC"/>
    <x v="2"/>
    <s v="Men's Low Stretch Slim-Fit Bootcut Jean"/>
    <x v="14"/>
    <s v="Stone Medium Wash"/>
    <s v="38W x 30L"/>
    <s v="-"/>
    <s v="AEMN88118M25-Stone Medium Wash_38wx30l"/>
    <s v="Amazon Essentials Men's Low Stretch Slim-Fit Bootcut Jeans, Stone Medium Wash, 38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RXBSQ"/>
    <s v="197153421667"/>
    <s v="UPC"/>
    <x v="2"/>
    <s v="Men's Low Stretch Slim-Fit Bootcut Jean"/>
    <x v="14"/>
    <s v="Tinted Ice Light Wash"/>
    <s v="31W x 28L"/>
    <s v="-"/>
    <s v="AEMN88118M25-TintedIceLightWash_31wx28l"/>
    <s v="Amazon Essentials Men's Low Stretch Slim-Fit Bootcut Jeans, Tinted Ice Light Wash, 31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RW41K"/>
    <s v="197153424446"/>
    <s v="UPC"/>
    <x v="2"/>
    <s v="Men's Rigid Relaxed-Fit 10&quot; Jean Shorts"/>
    <x v="16"/>
    <s v="Stone Medium Wash"/>
    <n v="34"/>
    <s v="-"/>
    <s v="AEMN41037M25-Stone Medium Wash_34"/>
    <s v="Amazon Essentials Men's Rigid Relaxed-Fit Jean Shorts, Stone Medium Wash, 34"/>
    <s v="Accepted: In stock"/>
    <s v="Ship window (Collect)"/>
    <x v="0"/>
    <x v="0"/>
    <x v="0"/>
    <n v="864"/>
    <n v="864"/>
    <n v="912"/>
    <n v="912"/>
    <n v="0"/>
    <n v="-48"/>
    <m/>
    <m/>
    <m/>
    <m/>
    <m/>
    <n v="864"/>
    <x v="5"/>
    <n v="864"/>
    <n v="0"/>
    <m/>
    <n v="36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RVS1W"/>
    <s v="197153421056"/>
    <s v="UPC"/>
    <x v="2"/>
    <s v="Men's Low Stretch Slim-Fit Bootcut Jean"/>
    <x v="14"/>
    <s v="Dark Shadow Wash"/>
    <s v="32W x 32L"/>
    <s v="-"/>
    <s v="AEMN88118M25-Dark Shadow Wash_32wx32l"/>
    <s v="Amazon Essentials Men's Low Stretch Slim-Fit Bootcut Jeans, Dark Shadow Wash, 32W x 32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QYRCH"/>
    <s v="197153420707"/>
    <s v="UPC"/>
    <x v="2"/>
    <s v="Men's Low Stretch Slim-Fit Bootcut Jean"/>
    <x v="14"/>
    <s v="Black"/>
    <s v="31W x 28L"/>
    <s v="-"/>
    <s v="AEMN88118M25-Black_31wx28l"/>
    <s v="Amazon Essentials Men's Low Stretch Slim-Fit Bootcut Jeans, Black, 31W x 28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QYFST"/>
    <s v="197153424071"/>
    <s v="UPC"/>
    <x v="2"/>
    <s v="Men's Heavyweight Stretch Straight-Fit 9&quot; Jean Shorts"/>
    <x v="15"/>
    <s v="Authentic Medium Wash"/>
    <n v="30"/>
    <s v="-"/>
    <s v="AEMN97005M25-Authentic Medium Wash_30"/>
    <s v="Amazon Essentials Men's Heavyweight Stretch Straight-Fit Jean Shorts, Mid Rise, 9&quot; Inseam, Authentic Medium Wash, 30"/>
    <s v="Accepted: In stock"/>
    <s v="Ship window (Collect)"/>
    <x v="0"/>
    <x v="0"/>
    <x v="0"/>
    <n v="216"/>
    <n v="216"/>
    <n v="216"/>
    <n v="216"/>
    <n v="0"/>
    <n v="0"/>
    <m/>
    <m/>
    <n v="0"/>
    <m/>
    <m/>
    <n v="216"/>
    <x v="5"/>
    <n v="216"/>
    <n v="0"/>
    <m/>
    <n v="9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QYFSL"/>
    <s v="197153420325"/>
    <s v="UPC"/>
    <x v="2"/>
    <s v="Unisex Baby and Toddlers' Soft Stretch Pull-On Jeans"/>
    <x v="18"/>
    <s v="Stone Light Wash"/>
    <s v="3T"/>
    <s v="-"/>
    <s v="AEUB83300M25-Stone Light Wash_3y"/>
    <s v="Amazon Essentials Unisex Toddlers' Soft Stretch Pull-On Jeans, Stone Light Wash, 3T"/>
    <s v="Accepted: In stock"/>
    <s v="Ship window (Collect)"/>
    <x v="0"/>
    <x v="0"/>
    <x v="0"/>
    <n v="888"/>
    <n v="888"/>
    <n v="960"/>
    <n v="960"/>
    <n v="0"/>
    <n v="-72"/>
    <m/>
    <m/>
    <m/>
    <m/>
    <m/>
    <n v="888"/>
    <x v="5"/>
    <n v="888"/>
    <n v="0"/>
    <m/>
    <n v="37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QYFSK"/>
    <s v="197153422268"/>
    <s v="UPC"/>
    <x v="2"/>
    <s v="Men's Low Stretch Slim-Fit Bootcut Jean"/>
    <x v="14"/>
    <s v="Stone Medium Wash"/>
    <s v="30W x 32L"/>
    <s v="-"/>
    <s v="AEMN88118M25-Stone Medium Wash_30wx32l"/>
    <s v="Amazon Essentials Men's Low Stretch Slim-Fit Bootcut Jeans, Stone Medium Wash, 30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QWPHW"/>
    <s v="197153418285"/>
    <s v="UPC"/>
    <x v="2"/>
    <s v="Toddlers' and Girls' Soft Stretch Denim Jegging"/>
    <x v="17"/>
    <s v="Stone Medium Wash"/>
    <s v="3T"/>
    <s v="-"/>
    <s v="AEGL13713M25-Stone Medium Wash_3y"/>
    <s v="Amazon Essentials Toddler Girls' Skinny Mid Rise Soft Stretch Denim Jegging, Stone Medium Wash, 3T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5"/>
    <n v="288"/>
    <n v="0"/>
    <m/>
    <n v="12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QWPHL"/>
    <s v="197153422046"/>
    <s v="UPC"/>
    <x v="2"/>
    <s v="Men's Low Stretch Slim-Fit Bootcut Jean"/>
    <x v="14"/>
    <s v="Stone Medium Wash"/>
    <s v="38W x 34L"/>
    <s v="-"/>
    <s v="AEMN88118M25-Stone Medium Wash_38wx34l"/>
    <s v="Amazon Essentials Men's Low Stretch Slim-Fit Bootcut Jeans, Stone Medium Wash, 38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QS6T2"/>
    <s v="197153420424"/>
    <s v="UPC"/>
    <x v="2"/>
    <s v="Men's Low Stretch Slim-Fit Bootcut Jean"/>
    <x v="14"/>
    <s v="Black"/>
    <s v="35W x 30L"/>
    <s v="-"/>
    <s v="AEMN88118M25-Black_35wx30l"/>
    <s v="Amazon Essentials Men's Low Stretch Slim-Fit Bootcut Jeans, Black, 35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QM174"/>
    <s v="197153423869"/>
    <s v="UPC"/>
    <x v="2"/>
    <s v="Men's Heavyweight Stretch Straight-Fit 9&quot; Jean Shorts"/>
    <x v="15"/>
    <s v="Black"/>
    <n v="28"/>
    <s v="-"/>
    <s v="AEMN97005M25-Black_28"/>
    <s v="Amazon Essentials Men's Heavyweight Stretch Straight-Fit Jean Shorts, Mid Rise, 9&quot; Inseam, Black, 28"/>
    <s v="Accepted: In stock"/>
    <s v="Ship window (Collect)"/>
    <x v="0"/>
    <x v="0"/>
    <x v="0"/>
    <n v="120"/>
    <n v="120"/>
    <n v="120"/>
    <n v="120"/>
    <n v="0"/>
    <n v="0"/>
    <m/>
    <m/>
    <n v="0"/>
    <m/>
    <m/>
    <n v="120"/>
    <x v="5"/>
    <n v="120"/>
    <n v="0"/>
    <m/>
    <n v="5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QLQ6Y"/>
    <s v="197153424064"/>
    <s v="UPC"/>
    <x v="2"/>
    <s v="Men's Heavyweight Stretch Straight-Fit 9&quot; Jean Shorts"/>
    <x v="15"/>
    <s v="Authentic Medium Wash"/>
    <n v="36"/>
    <s v="-"/>
    <s v="AEMN97005M25-Authentic Medium Wash_36"/>
    <s v="Amazon Essentials Men's Heavyweight Stretch Straight-Fit Jean Shorts, Mid Rise, 9&quot; Inseam, Authentic Medium Wash, 36"/>
    <s v="Accepted: In stock"/>
    <s v="Ship window (Collect)"/>
    <x v="0"/>
    <x v="0"/>
    <x v="0"/>
    <n v="816"/>
    <n v="816"/>
    <n v="720"/>
    <n v="720"/>
    <n v="0"/>
    <n v="96"/>
    <n v="96"/>
    <m/>
    <n v="0"/>
    <m/>
    <m/>
    <n v="720"/>
    <x v="5"/>
    <n v="720"/>
    <n v="96"/>
    <m/>
    <n v="30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QLLVD"/>
    <s v="197153423852"/>
    <s v="UPC"/>
    <x v="2"/>
    <s v="Men's Heavyweight Stretch Straight-Fit 9&quot; Jean Shorts"/>
    <x v="15"/>
    <s v="Black"/>
    <n v="30"/>
    <s v="-"/>
    <s v="AEMN97005M25-Black_30"/>
    <s v="Amazon Essentials Men's Heavyweight Stretch Straight-Fit Jean Shorts, Mid Rise, 9&quot; Inseam, Black, 30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5"/>
    <n v="72"/>
    <n v="0"/>
    <m/>
    <n v="3"/>
    <n v="9.58"/>
    <s v="USD"/>
    <n v="9.58"/>
    <b v="1"/>
    <m/>
    <m/>
    <s v="TH"/>
    <x v="0"/>
    <s v="EGMCL"/>
    <s v="EG5-10278"/>
    <x v="2"/>
    <x v="2"/>
  </r>
  <r>
    <x v="4"/>
    <x v="2"/>
    <x v="0"/>
    <s v="ITHC - SI RACHA, Bangkok"/>
    <s v="B0F7MQGV7B"/>
    <s v="197153418186"/>
    <s v="UPC"/>
    <x v="2"/>
    <s v="Toddlers' and Girls' Soft Stretch Denim Jegging"/>
    <x v="17"/>
    <s v="Stone Light Wash"/>
    <s v="X-Large"/>
    <s v="-"/>
    <s v="AEGL13713M25-Stone Light Wash_xl"/>
    <s v="Amazon Essentials Girls' Skinny Mid Rise Soft Stretch Denim Jegging, Stone Light Wash, X-Large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5"/>
    <n v="96"/>
    <n v="0"/>
    <m/>
    <n v="4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QGV5J"/>
    <s v="197153420554"/>
    <s v="UPC"/>
    <x v="2"/>
    <s v="Men's Low Stretch Slim-Fit Bootcut Jean"/>
    <x v="14"/>
    <s v="Black"/>
    <s v="30W x 28L"/>
    <s v="-"/>
    <s v="AEMN88118M25-Black_30wx28l"/>
    <s v="Amazon Essentials Men's Low Stretch Slim-Fit Bootcut Jeans, Black, 30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QDFNJ"/>
    <s v="197153422312"/>
    <s v="UPC"/>
    <x v="2"/>
    <s v="Men's Low Stretch Slim-Fit Bootcut Jean"/>
    <x v="14"/>
    <s v="Stone Medium Wash"/>
    <s v="31W x 32L"/>
    <s v="-"/>
    <s v="AEMN88118M25-Stone Medium Wash_31wx32l"/>
    <s v="Amazon Essentials Men's Low Stretch Slim-Fit Bootcut Jeans, Stone Medium Wash, 31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QBD6W"/>
    <s v="197153421940"/>
    <s v="UPC"/>
    <x v="2"/>
    <s v="Men's Low Stretch Slim-Fit Bootcut Jean"/>
    <x v="14"/>
    <s v="Stone Medium Wash"/>
    <s v="28W x 30L"/>
    <s v="-"/>
    <s v="AEMN88118M25-Stone Medium Wash_28wx30l"/>
    <s v="Amazon Essentials Men's Low Stretch Slim-Fit Bootcut Jeans, Stone Medium Wash, 28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Q1HBT"/>
    <s v="197153418223"/>
    <s v="UPC"/>
    <x v="2"/>
    <s v="Toddlers' and Girls' Soft Stretch Denim Jegging"/>
    <x v="17"/>
    <s v="Stone Medium Wash"/>
    <s v="X-Small"/>
    <s v="-"/>
    <s v="AEGL13713M25-Stone Medium Wash_xs"/>
    <s v="Amazon Essentials Girls' Skinny Mid Rise Soft Stretch Denim Jegging, Stone Medium Wash, X-Small"/>
    <s v="Accepted: In stock"/>
    <s v="Ship window (Collect)"/>
    <x v="0"/>
    <x v="0"/>
    <x v="0"/>
    <n v="360"/>
    <n v="360"/>
    <n v="384"/>
    <n v="384"/>
    <n v="0"/>
    <n v="-24"/>
    <m/>
    <m/>
    <m/>
    <m/>
    <m/>
    <n v="360"/>
    <x v="5"/>
    <n v="360"/>
    <n v="0"/>
    <m/>
    <n v="15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Q1H9C"/>
    <s v="197153424378"/>
    <s v="UPC"/>
    <x v="2"/>
    <s v="Men's Rigid Relaxed-Fit 10&quot; Jean Shorts"/>
    <x v="16"/>
    <s v="Stone Medium Wash"/>
    <n v="42"/>
    <s v="-"/>
    <s v="AEMN41037M25-Stone Medium Wash_42"/>
    <s v="Amazon Essentials Men's Rigid Relaxed-Fit Jean Shorts, Stone Medium Wash, 42"/>
    <s v="Accepted: In stock"/>
    <s v="Ship window (Collect)"/>
    <x v="0"/>
    <x v="0"/>
    <x v="0"/>
    <n v="360"/>
    <n v="360"/>
    <n v="384"/>
    <n v="384"/>
    <n v="0"/>
    <n v="-24"/>
    <m/>
    <m/>
    <m/>
    <m/>
    <m/>
    <n v="360"/>
    <x v="5"/>
    <n v="360"/>
    <n v="0"/>
    <m/>
    <n v="15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Q1H91"/>
    <s v="197153420660"/>
    <s v="UPC"/>
    <x v="2"/>
    <s v="Men's Low Stretch Slim-Fit Bootcut Jean"/>
    <x v="14"/>
    <s v="Black"/>
    <s v="29W x 34L"/>
    <s v="-"/>
    <s v="AEMN88118M25-Black_29wx34l"/>
    <s v="Amazon Essentials Men's Low Stretch Slim-Fit Bootcut Jeans, Black, 29W x 34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Q1H8P"/>
    <s v="197153424613"/>
    <s v="UPC"/>
    <x v="2"/>
    <s v="Men's Rigid Relaxed-Fit 10&quot; Jean Shorts"/>
    <x v="16"/>
    <s v="Vintage Blue"/>
    <n v="36"/>
    <s v="-"/>
    <s v="AEMN41037M25-Vintage Blue_36"/>
    <s v="Amazon Essentials Men's Rigid Relaxed-Fit Jean Shorts, Vintage Blue, 36"/>
    <s v="Accepted: In stock"/>
    <s v="Ship window (Collect)"/>
    <x v="0"/>
    <x v="0"/>
    <x v="0"/>
    <n v="1008"/>
    <n v="1008"/>
    <n v="936"/>
    <n v="936"/>
    <n v="0"/>
    <n v="72"/>
    <n v="72"/>
    <m/>
    <n v="0"/>
    <m/>
    <m/>
    <n v="936"/>
    <x v="5"/>
    <n v="936"/>
    <n v="72"/>
    <m/>
    <n v="39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PYT5J"/>
    <s v="197153424576"/>
    <s v="UPC"/>
    <x v="2"/>
    <s v="Men's Rigid Relaxed-Fit 10&quot; Jean Shorts"/>
    <x v="16"/>
    <s v="Vintage Blue"/>
    <n v="33"/>
    <s v="-"/>
    <s v="AEMN41037M25-Vintage Blue_33"/>
    <s v="Amazon Essentials Men's Rigid Relaxed-Fit Jean Shorts, Vintage Blue, 33"/>
    <s v="Accepted: In stock"/>
    <s v="Ship window (Collect)"/>
    <x v="0"/>
    <x v="0"/>
    <x v="0"/>
    <n v="432"/>
    <n v="432"/>
    <n v="408"/>
    <n v="408"/>
    <n v="0"/>
    <n v="24"/>
    <n v="24"/>
    <m/>
    <n v="0"/>
    <m/>
    <m/>
    <n v="408"/>
    <x v="5"/>
    <n v="408"/>
    <n v="24"/>
    <m/>
    <n v="17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PVH1T"/>
    <s v="197153421780"/>
    <s v="UPC"/>
    <x v="2"/>
    <s v="Men's Low Stretch Slim-Fit Bootcut Jean"/>
    <x v="14"/>
    <s v="Tinted Ice Light Wash"/>
    <s v="30W x 32L"/>
    <s v="-"/>
    <s v="AEMN88118M25-TintedIceLightWash_30wx32l"/>
    <s v="Amazon Essentials Men's Low Stretch Slim-Fit Bootcut Jeans, Tinted Ice Light Wash, 30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PV1G5"/>
    <s v="197153420493"/>
    <s v="UPC"/>
    <x v="2"/>
    <s v="Men's Low Stretch Slim-Fit Bootcut Jean"/>
    <x v="14"/>
    <s v="Black"/>
    <s v="30W x 30L"/>
    <s v="-"/>
    <s v="AEMN88118M25-Black_30wx30l"/>
    <s v="Amazon Essentials Men's Low Stretch Slim-Fit Bootcut Jeans, Black, 30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NSW3V"/>
    <s v="197153418445"/>
    <s v="UPC"/>
    <x v="2"/>
    <s v="Baby Girls and Toddlers' Soft Stretch Relaxed-Fit Wide Leg Jeans"/>
    <x v="21"/>
    <s v="Classic Light Wash"/>
    <s v="24 Months"/>
    <s v="-"/>
    <s v="AEBG70043M25-Classic Light Wash_24m"/>
    <s v="Amazon Essentials Baby Girls' Soft Stretch Relaxed-Fit Wide Leg Jeans, Classic Light Wash, 24 Months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5"/>
    <n v="288"/>
    <n v="0"/>
    <m/>
    <n v="12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MNS79N"/>
    <s v="197153424569"/>
    <s v="UPC"/>
    <x v="2"/>
    <s v="Men's Rigid Relaxed-Fit 10&quot; Jean Shorts"/>
    <x v="16"/>
    <s v="Dark Wash"/>
    <n v="31"/>
    <s v="-"/>
    <s v="AEMN41037M25-Dark Wash_31"/>
    <s v="Amazon Essentials Men's Rigid Relaxed-Fit Jean Shorts, Dark Wash, 31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5"/>
    <n v="288"/>
    <n v="0"/>
    <m/>
    <n v="12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NQNLR"/>
    <s v="197153424514"/>
    <s v="UPC"/>
    <x v="2"/>
    <s v="Men's Rigid Relaxed-Fit 10&quot; Jean Shorts"/>
    <x v="16"/>
    <s v="Dark Wash"/>
    <n v="40"/>
    <s v="-"/>
    <s v="AEMN41037M25-Dark Wash_40"/>
    <s v="Amazon Essentials Men's Rigid Relaxed-Fit Jean Shorts, Dark Wash, 40"/>
    <s v="Accepted: In stock"/>
    <s v="Ship window (Collect)"/>
    <x v="0"/>
    <x v="0"/>
    <x v="0"/>
    <n v="600"/>
    <n v="600"/>
    <n v="648"/>
    <n v="648"/>
    <n v="0"/>
    <n v="-48"/>
    <m/>
    <m/>
    <n v="0"/>
    <m/>
    <m/>
    <n v="600"/>
    <x v="5"/>
    <n v="600"/>
    <n v="0"/>
    <m/>
    <n v="25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NPYYJ"/>
    <s v="197153420769"/>
    <s v="UPC"/>
    <x v="2"/>
    <s v="Men's Low Stretch Slim-Fit Bootcut Jean"/>
    <x v="14"/>
    <s v="Black"/>
    <s v="31W x 30L"/>
    <s v="-"/>
    <s v="AEMN88118M25-Black_31wx30l"/>
    <s v="Amazon Essentials Men's Low Stretch Slim-Fit Bootcut Jeans, Black, 31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NNQTT"/>
    <s v="197153421735"/>
    <s v="UPC"/>
    <x v="2"/>
    <s v="Men's Low Stretch Slim-Fit Bootcut Jean"/>
    <x v="14"/>
    <s v="Tinted Ice Light Wash"/>
    <s v="42W x 30L"/>
    <s v="-"/>
    <s v="AEMN88118M25-TintedIceLightWash_42wx30l"/>
    <s v="Amazon Essentials Men's Low Stretch Slim-Fit Bootcut Jeans, Tinted Ice Light Wash, 42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NMZ2T"/>
    <s v="197153421865"/>
    <s v="UPC"/>
    <x v="2"/>
    <s v="Men's Low Stretch Slim-Fit Bootcut Jean"/>
    <x v="14"/>
    <s v="Stone Medium Wash"/>
    <s v="35W x 30L"/>
    <s v="-"/>
    <s v="AEMN88118M25-Stone Medium Wash_35wx30l"/>
    <s v="Amazon Essentials Men's Low Stretch Slim-Fit Bootcut Jeans, Stone Medium Wash, 35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NM54F"/>
    <s v="197153421520"/>
    <s v="UPC"/>
    <x v="2"/>
    <s v="Men's Low Stretch Slim-Fit Bootcut Jean"/>
    <x v="14"/>
    <s v="Tinted Ice Light Wash"/>
    <s v="34W x 32L"/>
    <s v="-"/>
    <s v="AEMN88118M25-TintedIceLightWash_34wx32l"/>
    <s v="Amazon Essentials Men's Low Stretch Slim-Fit Bootcut Jeans, Tinted Ice Light Wash, 34W x 32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NL1L5"/>
    <s v="197153418292"/>
    <s v="UPC"/>
    <x v="2"/>
    <s v="Toddlers' and Girls' Soft Stretch Denim Jegging"/>
    <x v="17"/>
    <s v="Stone Medium Wash"/>
    <s v="Small"/>
    <s v="-"/>
    <s v="AEGL13713M25-Stone Medium Wash_s"/>
    <s v="Amazon Essentials Girls' Skinny Mid Rise Soft Stretch Denim Jegging, Stone Medium Wash, Small"/>
    <s v="Accepted: In stock"/>
    <s v="Ship window (Collect)"/>
    <x v="0"/>
    <x v="0"/>
    <x v="0"/>
    <n v="360"/>
    <n v="360"/>
    <n v="384"/>
    <n v="384"/>
    <n v="0"/>
    <n v="-24"/>
    <m/>
    <m/>
    <m/>
    <m/>
    <m/>
    <n v="360"/>
    <x v="5"/>
    <n v="360"/>
    <n v="0"/>
    <m/>
    <n v="15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NL1J4"/>
    <s v="197153424057"/>
    <s v="UPC"/>
    <x v="2"/>
    <s v="Men's Heavyweight Stretch Straight-Fit 9&quot; Jean Shorts"/>
    <x v="15"/>
    <s v="Authentic Medium Wash"/>
    <n v="34"/>
    <s v="-"/>
    <s v="AEMN97005M25-Authentic Medium Wash_34"/>
    <s v="Amazon Essentials Men's Heavyweight Stretch Straight-Fit Jean Shorts, Mid Rise, 9&quot; Inseam, Authentic Medium Wash, 34"/>
    <s v="Accepted: In stock"/>
    <s v="Ship window (Collect)"/>
    <x v="0"/>
    <x v="0"/>
    <x v="0"/>
    <n v="648"/>
    <n v="648"/>
    <n v="600"/>
    <n v="600"/>
    <n v="0"/>
    <n v="48"/>
    <n v="48"/>
    <m/>
    <n v="0"/>
    <m/>
    <m/>
    <n v="600"/>
    <x v="5"/>
    <n v="600"/>
    <n v="48"/>
    <m/>
    <n v="25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NG3NK"/>
    <s v="197153424354"/>
    <s v="UPC"/>
    <x v="2"/>
    <s v="Men's Rigid Relaxed-Fit 10&quot; Jean Shorts"/>
    <x v="16"/>
    <s v="Stone Medium Wash"/>
    <n v="33"/>
    <s v="-"/>
    <s v="AEMN41037M25-Stone Medium Wash_33"/>
    <s v="Amazon Essentials Men's Rigid Relaxed-Fit Jean Shorts, Stone Medium Wash, 33"/>
    <s v="Accepted: In stock"/>
    <s v="Ship window (Collect)"/>
    <x v="0"/>
    <x v="0"/>
    <x v="0"/>
    <n v="360"/>
    <n v="360"/>
    <n v="384"/>
    <n v="384"/>
    <n v="0"/>
    <n v="-24"/>
    <m/>
    <m/>
    <n v="0"/>
    <m/>
    <m/>
    <n v="360"/>
    <x v="5"/>
    <n v="360"/>
    <n v="0"/>
    <m/>
    <n v="15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NFP5B"/>
    <s v="197153421124"/>
    <s v="UPC"/>
    <x v="2"/>
    <s v="Men's Low Stretch Slim-Fit Bootcut Jean"/>
    <x v="14"/>
    <s v="Dark Shadow Wash"/>
    <s v="36W x 34L"/>
    <s v="-"/>
    <s v="AEMN88118M25-Dark Shadow Wash_36wx34l"/>
    <s v="Amazon Essentials Men's Low Stretch Slim-Fit Bootcut Jeans, Dark Shadow Wash, 36W x 34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N71T4"/>
    <s v="197153420714"/>
    <s v="UPC"/>
    <x v="2"/>
    <s v="Men's Low Stretch Slim-Fit Bootcut Jean"/>
    <x v="14"/>
    <s v="Black"/>
    <s v="35W x 34L"/>
    <s v="-"/>
    <s v="AEMN88118M25-Black_35wx34l"/>
    <s v="Amazon Essentials Men's Low Stretch Slim-Fit Bootcut Jeans, Black, 35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N5V37"/>
    <s v="197153420363"/>
    <s v="UPC"/>
    <x v="2"/>
    <s v="Unisex Baby and Toddlers' Soft Stretch Pull-On Jeans"/>
    <x v="18"/>
    <s v="Stone Medium Wash"/>
    <s v="12 Months"/>
    <s v="-"/>
    <s v="AEUB83300M25-Stone Medium Wash_12m"/>
    <s v="Amazon Essentials Unisex Babies' Soft Stretch Pull-On Jeans, Stone Medium Wash, 12 Months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5"/>
    <n v="48"/>
    <n v="0"/>
    <m/>
    <n v="2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MN5JHN"/>
    <s v="197153420639"/>
    <s v="UPC"/>
    <x v="2"/>
    <s v="Men's Low Stretch Slim-Fit Bootcut Jean"/>
    <x v="14"/>
    <s v="Black"/>
    <s v="32W x 30L"/>
    <s v="-"/>
    <s v="AEMN88118M25-Black_32wx30l"/>
    <s v="Amazon Essentials Men's Low Stretch Slim-Fit Bootcut Jeans, Black, 32W x 30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N56J5"/>
    <s v="197153423982"/>
    <s v="UPC"/>
    <x v="2"/>
    <s v="Men's Heavyweight Stretch Straight-Fit 9&quot; Jean Shorts"/>
    <x v="15"/>
    <s v="Iced Blue Light Wash"/>
    <n v="40"/>
    <s v="-"/>
    <s v="AEMN97005M25-Iced Blue Light Wash_40"/>
    <s v="Amazon Essentials Men's Heavyweight Stretch Straight-Fit Jean Shorts, Mid Rise, 9&quot; Inseam, Iced Blue Light Wash, 40"/>
    <s v="Accepted: In stock"/>
    <s v="Ship window (Collect)"/>
    <x v="0"/>
    <x v="0"/>
    <x v="0"/>
    <n v="336"/>
    <n v="336"/>
    <n v="360"/>
    <n v="360"/>
    <n v="0"/>
    <n v="-24"/>
    <m/>
    <m/>
    <n v="0"/>
    <m/>
    <m/>
    <n v="336"/>
    <x v="5"/>
    <n v="336"/>
    <n v="0"/>
    <m/>
    <n v="14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N56J4"/>
    <s v="197153424040"/>
    <s v="UPC"/>
    <x v="2"/>
    <s v="Men's Heavyweight Stretch Straight-Fit 9&quot; Jean Shorts"/>
    <x v="15"/>
    <s v="Authentic Medium Wash"/>
    <n v="29"/>
    <s v="-"/>
    <s v="AEMN97005M25-Authentic Medium Wash_29"/>
    <s v="Amazon Essentials Men's Heavyweight Stretch Straight-Fit Jean Shorts, Mid Rise, 9&quot; Inseam, Authentic Medium Wash, 29"/>
    <s v="Accepted: In stock"/>
    <s v="Ship window (Collect)"/>
    <x v="0"/>
    <x v="0"/>
    <x v="0"/>
    <n v="120"/>
    <n v="120"/>
    <n v="96"/>
    <n v="96"/>
    <n v="0"/>
    <n v="24"/>
    <n v="24"/>
    <m/>
    <n v="0"/>
    <m/>
    <m/>
    <n v="96"/>
    <x v="5"/>
    <n v="96"/>
    <n v="24"/>
    <m/>
    <n v="4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N4TBL"/>
    <s v="197153418162"/>
    <s v="UPC"/>
    <x v="2"/>
    <s v="Toddlers' and Girls' Soft Stretch Denim Jegging"/>
    <x v="17"/>
    <s v="Stone Light Wash"/>
    <s v="XX-Large"/>
    <s v="-"/>
    <s v="AEGL13713M25-Stone Light Wash_xxl"/>
    <s v="Amazon Essentials Girls' Skinny Mid Rise Soft Stretch Denim Jegging, Stone Light Wash, XX-Large"/>
    <s v="Accepted: In stock"/>
    <s v="Ship window (Collect)"/>
    <x v="0"/>
    <x v="0"/>
    <x v="0"/>
    <n v="96"/>
    <n v="96"/>
    <n v="120"/>
    <n v="120"/>
    <n v="0"/>
    <n v="-24"/>
    <m/>
    <m/>
    <n v="0"/>
    <m/>
    <m/>
    <n v="96"/>
    <x v="5"/>
    <n v="96"/>
    <n v="0"/>
    <m/>
    <n v="4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N2HLJ"/>
    <s v="197153424385"/>
    <s v="UPC"/>
    <x v="2"/>
    <s v="Men's Rigid Relaxed-Fit 10&quot; Jean Shorts"/>
    <x v="16"/>
    <s v="Stone Medium Wash"/>
    <n v="38"/>
    <s v="-"/>
    <s v="AEMN41037M25-Stone Medium Wash_38"/>
    <s v="Amazon Essentials Men's Rigid Relaxed-Fit Jean Shorts, Stone Medium Wash, 38"/>
    <s v="Accepted: In stock"/>
    <s v="Ship window (Collect)"/>
    <x v="0"/>
    <x v="0"/>
    <x v="0"/>
    <n v="624"/>
    <n v="624"/>
    <n v="672"/>
    <n v="672"/>
    <n v="0"/>
    <n v="-48"/>
    <m/>
    <m/>
    <m/>
    <m/>
    <m/>
    <n v="624"/>
    <x v="5"/>
    <n v="624"/>
    <n v="0"/>
    <m/>
    <n v="26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MYQW6"/>
    <s v="197153421360"/>
    <s v="UPC"/>
    <x v="2"/>
    <s v="Men's Low Stretch Slim-Fit Bootcut Jean"/>
    <x v="14"/>
    <s v="Dark Shadow Wash"/>
    <s v="42W x 32L"/>
    <s v="-"/>
    <s v="AEMN88118M25-Dark Shadow Wash_42wx32l"/>
    <s v="Amazon Essentials Men's Low Stretch Slim-Fit Bootcut Jeans, Dark Shadow Wash, 42W x 32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MX4SQ"/>
    <s v="197153420264"/>
    <s v="UPC"/>
    <x v="2"/>
    <s v="Unisex Baby and Toddlers' Soft Stretch Pull-On Jeans"/>
    <x v="18"/>
    <s v="Stone Light Wash"/>
    <s v="6-9 Months"/>
    <s v="-"/>
    <s v="AEUB83300M25-Stone Light Wash_6-9m"/>
    <s v="Amazon Essentials Unisex Babies' Soft Stretch Pull-On Jeans, Stone Light Wash, 6-9 Months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5"/>
    <n v="216"/>
    <n v="0"/>
    <m/>
    <n v="9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MVWLZ"/>
    <s v="197153421858"/>
    <s v="UPC"/>
    <x v="2"/>
    <s v="Men's Low Stretch Slim-Fit Bootcut Jean"/>
    <x v="14"/>
    <s v="Tinted Ice Light Wash"/>
    <s v="33W x 32L"/>
    <s v="-"/>
    <s v="AEMN88118M25-TintedIceLightWash_33wx32l"/>
    <s v="Amazon Essentials Men's Low Stretch Slim-Fit Bootcut Jeans, Tinted Ice Light Wash, 33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MVKPR"/>
    <s v="197153420943"/>
    <s v="UPC"/>
    <x v="2"/>
    <s v="Men's Low Stretch Slim-Fit Bootcut Jean"/>
    <x v="14"/>
    <s v="Dark Shadow Wash"/>
    <s v="40W x 30L"/>
    <s v="-"/>
    <s v="AEMN88118M25-Dark Shadow Wash_40wx30l"/>
    <s v="Amazon Essentials Men's Low Stretch Slim-Fit Bootcut Jeans, Dark Shadow Wash, 40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MTTWG"/>
    <s v="197153421698"/>
    <s v="UPC"/>
    <x v="2"/>
    <s v="Men's Low Stretch Slim-Fit Bootcut Jean"/>
    <x v="14"/>
    <s v="Tinted Ice Light Wash"/>
    <s v="33W x 28L"/>
    <s v="-"/>
    <s v="AEMN88118M25-TintedIceLightWash_33wx28l"/>
    <s v="Amazon Essentials Men's Low Stretch Slim-Fit Bootcut Jeans, Tinted Ice Light Wash, 33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MSPJT"/>
    <s v="197153421216"/>
    <s v="UPC"/>
    <x v="2"/>
    <s v="Men's Low Stretch Slim-Fit Bootcut Jean"/>
    <x v="14"/>
    <s v="Dark Shadow Wash"/>
    <s v="33W x 28L"/>
    <s v="-"/>
    <s v="AEMN88118M25-Dark Shadow Wash_33wx28l"/>
    <s v="Amazon Essentials Men's Low Stretch Slim-Fit Bootcut Jeans, Dark Shadow Wash, 33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M9TDS"/>
    <s v="197153421148"/>
    <s v="UPC"/>
    <x v="2"/>
    <s v="Men's Low Stretch Slim-Fit Bootcut Jean"/>
    <x v="14"/>
    <s v="Dark Shadow Wash"/>
    <s v="29W x 34L"/>
    <s v="-"/>
    <s v="AEMN88118M25-Dark Shadow Wash_29wx34l"/>
    <s v="Amazon Essentials Men's Low Stretch Slim-Fit Bootcut Jeans, Dark Shadow Wash, 29W x 34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M7512"/>
    <s v="197153421551"/>
    <s v="UPC"/>
    <x v="2"/>
    <s v="Men's Low Stretch Slim-Fit Bootcut Jean"/>
    <x v="14"/>
    <s v="Tinted Ice Light Wash"/>
    <s v="34W x 30L"/>
    <s v="-"/>
    <s v="AEMN88118M25-TintedIceLightWash_34wx30l"/>
    <s v="Amazon Essentials Men's Low Stretch Slim-Fit Bootcut Jeans, Tinted Ice Light Wash, 34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M6HYH"/>
    <s v="197153421582"/>
    <s v="UPC"/>
    <x v="2"/>
    <s v="Men's Low Stretch Slim-Fit Bootcut Jean"/>
    <x v="14"/>
    <s v="Tinted Ice Light Wash"/>
    <s v="33W x 30L"/>
    <s v="-"/>
    <s v="AEMN88118M25-TintedIceLightWash_33wx30l"/>
    <s v="Amazon Essentials Men's Low Stretch Slim-Fit Bootcut Jeans, Tinted Ice Light Wash, 33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M6HWS"/>
    <s v="197153422329"/>
    <s v="UPC"/>
    <x v="2"/>
    <s v="Men's Low Stretch Slim-Fit Bootcut Jean"/>
    <x v="14"/>
    <s v="Stone Medium Wash"/>
    <s v="42W x 32L"/>
    <s v="-"/>
    <s v="AEMN88118M25-Stone Medium Wash_42wx32l"/>
    <s v="Amazon Essentials Men's Low Stretch Slim-Fit Bootcut Jeans, Stone Medium Wash, 42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M5KHT"/>
    <s v="197153420677"/>
    <s v="UPC"/>
    <x v="2"/>
    <s v="Men's Low Stretch Slim-Fit Bootcut Jean"/>
    <x v="14"/>
    <s v="Black"/>
    <s v="31W x 34L"/>
    <s v="-"/>
    <s v="AEMN88118M25-Black_31wx34l"/>
    <s v="Amazon Essentials Men's Low Stretch Slim-Fit Bootcut Jeans, Black, 31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M4JD8"/>
    <s v="197153421377"/>
    <s v="UPC"/>
    <x v="2"/>
    <s v="Men's Low Stretch Slim-Fit Bootcut Jean"/>
    <x v="14"/>
    <s v="Dark Shadow Wash"/>
    <s v="33W x 32L"/>
    <s v="-"/>
    <s v="AEMN88118M25-Dark Shadow Wash_33wx32l"/>
    <s v="Amazon Essentials Men's Low Stretch Slim-Fit Bootcut Jeans, Dark Shadow Wash, 33W x 32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M2T8T"/>
    <s v="197153422190"/>
    <s v="UPC"/>
    <x v="2"/>
    <s v="Men's Low Stretch Slim-Fit Bootcut Jean"/>
    <x v="14"/>
    <s v="Stone Medium Wash"/>
    <s v="32W x 34L"/>
    <s v="-"/>
    <s v="AEMN88118M25-Stone Medium Wash_32wx34l"/>
    <s v="Amazon Essentials Men's Low Stretch Slim-Fit Bootcut Jeans, Stone Medium Wash, 32W x 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M2DK2"/>
    <s v="197153420790"/>
    <s v="UPC"/>
    <x v="2"/>
    <s v="Men's Low Stretch Slim-Fit Bootcut Jean"/>
    <x v="14"/>
    <s v="Black"/>
    <s v="29W x 28L"/>
    <s v="-"/>
    <s v="AEMN88118M25-Black_29wx28l"/>
    <s v="Amazon Essentials Men's Low Stretch Slim-Fit Bootcut Jeans, Black, 29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KD8VL"/>
    <s v="197153420387"/>
    <s v="UPC"/>
    <x v="2"/>
    <s v="Unisex Baby and Toddlers' Soft Stretch Pull-On Jeans"/>
    <x v="18"/>
    <s v="Stone Medium Wash"/>
    <s v="24 Months"/>
    <s v="-"/>
    <s v="AEUB83300M25-Stone Medium Wash_24m"/>
    <s v="Amazon Essentials Unisex Babies' Soft Stretch Pull-On Jeans, Stone Medium Wash, 24 Months"/>
    <s v="Accepted: In stock"/>
    <s v="Ship window (Collect)"/>
    <x v="0"/>
    <x v="0"/>
    <x v="0"/>
    <n v="288"/>
    <n v="288"/>
    <n v="312"/>
    <n v="312"/>
    <n v="0"/>
    <n v="-24"/>
    <m/>
    <m/>
    <n v="0"/>
    <m/>
    <m/>
    <n v="288"/>
    <x v="5"/>
    <n v="288"/>
    <n v="0"/>
    <m/>
    <n v="12"/>
    <n v="6.15"/>
    <s v="USD"/>
    <n v="6.15"/>
    <b v="1"/>
    <m/>
    <m/>
    <s v="TH"/>
    <x v="0"/>
    <s v="EGMCL"/>
    <s v="EG5-10276"/>
    <x v="2"/>
    <x v="2"/>
  </r>
  <r>
    <x v="4"/>
    <x v="2"/>
    <x v="0"/>
    <s v="ITHC - SI RACHA, Bangkok"/>
    <s v="B0F7MK9N1D"/>
    <s v="197153420806"/>
    <s v="UPC"/>
    <x v="2"/>
    <s v="Men's Low Stretch Slim-Fit Bootcut Jean"/>
    <x v="14"/>
    <s v="Black"/>
    <s v="38W x 30L"/>
    <s v="-"/>
    <s v="AEMN88118M25-Black_38wx30l"/>
    <s v="Amazon Essentials Men's Low Stretch Slim-Fit Bootcut Jeans, Black, 38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K8ZTM"/>
    <s v="197153421346"/>
    <s v="UPC"/>
    <x v="2"/>
    <s v="Men's Low Stretch Slim-Fit Bootcut Jean"/>
    <x v="14"/>
    <s v="Dark Shadow Wash"/>
    <s v="38W x 32L"/>
    <s v="-"/>
    <s v="AEMN88118M25-Dark Shadow Wash_38wx32l"/>
    <s v="Amazon Essentials Men's Low Stretch Slim-Fit Bootcut Jeans, Dark Shadow Wash, 38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K8ZT2"/>
    <s v="197153420936"/>
    <s v="UPC"/>
    <x v="2"/>
    <s v="Men's Low Stretch Slim-Fit Bootcut Jean"/>
    <x v="14"/>
    <s v="Dark Shadow Wash"/>
    <s v="34W x 34L"/>
    <s v="-"/>
    <s v="AEMN88118M25-Dark Shadow Wash_34wx34l"/>
    <s v="Amazon Essentials Men's Low Stretch Slim-Fit Bootcut Jeans, Dark Shadow Wash, 34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K7C6L"/>
    <s v="197153420844"/>
    <s v="UPC"/>
    <x v="2"/>
    <s v="Men's Low Stretch Slim-Fit Bootcut Jean"/>
    <x v="14"/>
    <s v="Black"/>
    <s v="33W x 34L"/>
    <s v="-"/>
    <s v="AEMN88118M25-Black_33wx34l"/>
    <s v="Amazon Essentials Men's Low Stretch Slim-Fit Bootcut Jeans, Black, 33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K6Q4R"/>
    <s v="197153418124"/>
    <s v="UPC"/>
    <x v="2"/>
    <s v="Toddlers' and Girls' Soft Stretch Denim Jegging"/>
    <x v="17"/>
    <s v="Stone Light Wash"/>
    <s v="Large"/>
    <s v="-"/>
    <s v="AEGL13713M25-Stone Light Wash_l"/>
    <s v="Amazon Essentials Girls' Skinny Mid Rise Soft Stretch Denim Jegging, Stone Light Wash, Large"/>
    <s v="Accepted: In stock"/>
    <s v="Ship window (Collect)"/>
    <x v="0"/>
    <x v="0"/>
    <x v="0"/>
    <n v="72"/>
    <n v="72"/>
    <n v="48"/>
    <n v="48"/>
    <n v="0"/>
    <n v="24"/>
    <n v="24"/>
    <m/>
    <n v="0"/>
    <m/>
    <m/>
    <n v="48"/>
    <x v="5"/>
    <n v="48"/>
    <n v="24"/>
    <m/>
    <n v="2"/>
    <n v="4.92"/>
    <s v="USD"/>
    <n v="4.92"/>
    <b v="1"/>
    <m/>
    <m/>
    <s v="TH"/>
    <x v="0"/>
    <s v="EGMCL"/>
    <s v="EG5-10276"/>
    <x v="2"/>
    <x v="2"/>
  </r>
  <r>
    <x v="4"/>
    <x v="2"/>
    <x v="0"/>
    <s v="ITHC - SI RACHA, Bangkok"/>
    <s v="B0F7MJV2H4"/>
    <s v="197153424095"/>
    <s v="UPC"/>
    <x v="2"/>
    <s v="Men's Heavyweight Stretch Straight-Fit 9&quot; Jean Shorts"/>
    <x v="15"/>
    <s v="Authentic Medium Wash"/>
    <n v="40"/>
    <s v="-"/>
    <s v="AEMN97005M25-Authentic Medium Wash_40"/>
    <s v="Amazon Essentials Men's Heavyweight Stretch Straight-Fit Jean Shorts, Mid Rise, 9&quot; Inseam, Authentic Medium Wash, 40"/>
    <s v="Accepted: In stock"/>
    <s v="Ship window (Collect)"/>
    <x v="0"/>
    <x v="0"/>
    <x v="0"/>
    <n v="528"/>
    <n v="528"/>
    <n v="552"/>
    <n v="552"/>
    <n v="0"/>
    <n v="-24"/>
    <m/>
    <m/>
    <n v="0"/>
    <m/>
    <m/>
    <n v="528"/>
    <x v="5"/>
    <n v="528"/>
    <n v="0"/>
    <m/>
    <n v="22"/>
    <n v="10.24"/>
    <s v="USD"/>
    <n v="10.24"/>
    <b v="1"/>
    <m/>
    <m/>
    <s v="TH"/>
    <x v="0"/>
    <s v="EGMCL"/>
    <s v="EG5-10278"/>
    <x v="2"/>
    <x v="2"/>
  </r>
  <r>
    <x v="4"/>
    <x v="2"/>
    <x v="0"/>
    <s v="ITHC - SI RACHA, Bangkok"/>
    <s v="B0F7MJTN6P"/>
    <s v="197153421643"/>
    <s v="UPC"/>
    <x v="2"/>
    <s v="Men's Low Stretch Slim-Fit Bootcut Jean"/>
    <x v="14"/>
    <s v="Tinted Ice Light Wash"/>
    <s v="36W x 28L"/>
    <s v="-"/>
    <s v="AEMN88118M25-TintedIceLightWash_36wx28l"/>
    <s v="Amazon Essentials Men's Low Stretch Slim-Fit Bootcut Jeans, Tinted Ice Light Wash, 3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JTC1Y"/>
    <s v="197153421636"/>
    <s v="UPC"/>
    <x v="2"/>
    <s v="Men's Low Stretch Slim-Fit Bootcut Jean"/>
    <x v="14"/>
    <s v="Tinted Ice Light Wash"/>
    <s v="31W x 34L"/>
    <s v="-"/>
    <s v="AEMN88118M25-TintedIceLightWash_31wx34l"/>
    <s v="Amazon Essentials Men's Low Stretch Slim-Fit Bootcut Jeans, Tinted Ice Light Wash, 31W x 34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JT1L9"/>
    <s v="197153421100"/>
    <s v="UPC"/>
    <x v="2"/>
    <s v="Men's Low Stretch Slim-Fit Bootcut Jean"/>
    <x v="14"/>
    <s v="Dark Shadow Wash"/>
    <s v="33W x 30L"/>
    <s v="-"/>
    <s v="AEMN88118M25-Dark Shadow Wash_33wx30l"/>
    <s v="Amazon Essentials Men's Low Stretch Slim-Fit Bootcut Jeans, Dark Shadow Wash, 33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JSNW2"/>
    <s v="197153420103"/>
    <s v="UPC"/>
    <x v="2"/>
    <s v="Girls' Ultra Soft Relaxed-Fit Wide Leg Cargo Jeans"/>
    <x v="19"/>
    <s v="Classic Light Wash"/>
    <n v="14"/>
    <s v="-"/>
    <s v="AEGL35686M25-Classic Light Wash_14"/>
    <s v="Amazon Essentials Girls' Ultra Soft Relaxed-Fit Wide Leg Cargo Jeans, Classic Light Wash, 14"/>
    <s v="Accepted: In stock"/>
    <s v="Ship window (Collect)"/>
    <x v="0"/>
    <x v="0"/>
    <x v="0"/>
    <n v="840"/>
    <n v="840"/>
    <n v="888"/>
    <n v="888"/>
    <n v="0"/>
    <n v="-48"/>
    <m/>
    <m/>
    <m/>
    <m/>
    <m/>
    <n v="840"/>
    <x v="5"/>
    <n v="840"/>
    <n v="0"/>
    <m/>
    <n v="35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MJSNVB"/>
    <s v="197153420820"/>
    <s v="UPC"/>
    <x v="2"/>
    <s v="Men's Low Stretch Slim-Fit Bootcut Jean"/>
    <x v="14"/>
    <s v="Black"/>
    <s v="30W x 32L"/>
    <s v="-"/>
    <s v="AEMN88118M25-Black_30wx32l"/>
    <s v="Amazon Essentials Men's Low Stretch Slim-Fit Bootcut Jeans, Black, 30W x 32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JQR9M"/>
    <s v="197153421759"/>
    <s v="UPC"/>
    <x v="2"/>
    <s v="Men's Low Stretch Slim-Fit Bootcut Jean"/>
    <x v="14"/>
    <s v="Tinted Ice Light Wash"/>
    <s v="29W x 28L"/>
    <s v="-"/>
    <s v="AEMN88118M25-TintedIceLightWash_29wx28l"/>
    <s v="Amazon Essentials Men's Low Stretch Slim-Fit Bootcut Jeans, Tinted Ice Light Wash, 29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JPR4G"/>
    <s v="197153420585"/>
    <s v="UPC"/>
    <x v="2"/>
    <s v="Men's Low Stretch Slim-Fit Bootcut Jean"/>
    <x v="14"/>
    <s v="Black"/>
    <s v="32W x 28L"/>
    <s v="-"/>
    <s v="AEMN88118M25-Black_32wx28l"/>
    <s v="Amazon Essentials Men's Low Stretch Slim-Fit Bootcut Jeans, Black, 32W x 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JNSQ3"/>
    <s v="197153424675"/>
    <s v="UPC"/>
    <x v="2"/>
    <s v="Men's Rigid Relaxed-Fit 10&quot; Jean Shorts"/>
    <x v="16"/>
    <s v="Vintage Blue"/>
    <n v="31"/>
    <s v="-"/>
    <s v="AEMN41037M25-Vintage Blue_31"/>
    <s v="Amazon Essentials Men's Rigid Relaxed-Fit Jean Shorts, Vintage Blue, 31"/>
    <s v="Accepted: In stock"/>
    <s v="Ship window (Collect)"/>
    <x v="0"/>
    <x v="0"/>
    <x v="0"/>
    <n v="240"/>
    <n v="240"/>
    <n v="240"/>
    <n v="240"/>
    <n v="0"/>
    <n v="0"/>
    <m/>
    <m/>
    <n v="0"/>
    <m/>
    <m/>
    <n v="240"/>
    <x v="5"/>
    <n v="240"/>
    <n v="0"/>
    <m/>
    <n v="10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H27R4"/>
    <s v="197153422305"/>
    <s v="UPC"/>
    <x v="2"/>
    <s v="Men's Low Stretch Slim-Fit Bootcut Jean"/>
    <x v="14"/>
    <s v="Stone Medium Wash"/>
    <s v="38W x 32L"/>
    <s v="-"/>
    <s v="AEMN88118M25-Stone Medium Wash_38wx32l"/>
    <s v="Amazon Essentials Men's Low Stretch Slim-Fit Bootcut Jeans, Stone Medium Wash, 38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GZXVP"/>
    <s v="197153420608"/>
    <s v="UPC"/>
    <x v="2"/>
    <s v="Men's Low Stretch Slim-Fit Bootcut Jean"/>
    <x v="14"/>
    <s v="Black"/>
    <s v="38W x 34L"/>
    <s v="-"/>
    <s v="AEMN88118M25-Black_38wx34l"/>
    <s v="Amazon Essentials Men's Low Stretch Slim-Fit Bootcut Jeans, Black, 38W x 34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87"/>
    <s v="USD"/>
    <n v="12.87"/>
    <b v="1"/>
    <m/>
    <m/>
    <s v="TH"/>
    <x v="0"/>
    <s v="EGMCL"/>
    <s v="EG5-10138"/>
    <x v="2"/>
    <x v="2"/>
  </r>
  <r>
    <x v="4"/>
    <x v="2"/>
    <x v="0"/>
    <s v="ITHC - SI RACHA, Bangkok"/>
    <s v="B0F7MGZMFY"/>
    <s v="197153418421"/>
    <s v="UPC"/>
    <x v="2"/>
    <s v="Baby Girls and Toddlers' Soft Stretch Relaxed-Fit Wide Leg Jeans"/>
    <x v="21"/>
    <s v="Classic Light Wash"/>
    <s v="6-9 Months"/>
    <s v="-"/>
    <s v="AEBG70043M25-Classic Light Wash_6-9m"/>
    <s v="Amazon Essentials Baby Girls' Soft Stretch Relaxed-Fit Wide Leg Jeans, Classic Light Wash, 6-9 Months"/>
    <s v="Accepted: In stock"/>
    <s v="Ship window (Collect)"/>
    <x v="0"/>
    <x v="0"/>
    <x v="0"/>
    <n v="240"/>
    <n v="240"/>
    <n v="216"/>
    <n v="216"/>
    <n v="0"/>
    <n v="24"/>
    <n v="24"/>
    <m/>
    <n v="0"/>
    <m/>
    <m/>
    <n v="216"/>
    <x v="5"/>
    <n v="216"/>
    <n v="24"/>
    <m/>
    <n v="9"/>
    <n v="6.2"/>
    <s v="USD"/>
    <n v="6.2"/>
    <b v="1"/>
    <m/>
    <m/>
    <s v="TH"/>
    <x v="0"/>
    <s v="EGMCL"/>
    <s v="EG5-10325"/>
    <x v="2"/>
    <x v="2"/>
  </r>
  <r>
    <x v="4"/>
    <x v="2"/>
    <x v="0"/>
    <s v="ITHC - SI RACHA, Bangkok"/>
    <s v="B0F7MGYNL5"/>
    <s v="197153422916"/>
    <s v="UPC"/>
    <x v="2"/>
    <s v="Women's Low Stretch Mid-Rise Regular-Fit Jean Short"/>
    <x v="20"/>
    <s v="Medium Blue Vintage"/>
    <n v="4"/>
    <s v="-"/>
    <s v="AEWM44862M25-Medium Blue Vintage_4"/>
    <s v="Amazon Essentials Women's Low Stretch Mid-Rise Regular-Fit Jean Short, Medium Blue Vintage, 4"/>
    <s v="Accepted: In stock"/>
    <s v="Ship window (Collect)"/>
    <x v="0"/>
    <x v="0"/>
    <x v="0"/>
    <n v="792"/>
    <n v="792"/>
    <n v="840"/>
    <n v="840"/>
    <n v="0"/>
    <n v="-48"/>
    <m/>
    <m/>
    <m/>
    <m/>
    <m/>
    <n v="792"/>
    <x v="5"/>
    <n v="792"/>
    <n v="0"/>
    <m/>
    <n v="33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GYNL3"/>
    <s v="197153421070"/>
    <s v="UPC"/>
    <x v="2"/>
    <s v="Men's Low Stretch Slim-Fit Bootcut Jean"/>
    <x v="14"/>
    <s v="Dark Shadow Wash"/>
    <s v="34W x 30L"/>
    <s v="-"/>
    <s v="AEMN88118M25-Dark Shadow Wash_34wx30l"/>
    <s v="Amazon Essentials Men's Low Stretch Slim-Fit Bootcut Jeans, Dark Shadow Wash, 34W x 30L"/>
    <s v="Accepted: In stock"/>
    <s v="Ship window (Collect)"/>
    <x v="0"/>
    <x v="0"/>
    <x v="0"/>
    <n v="84"/>
    <n v="84"/>
    <n v="72"/>
    <n v="72"/>
    <n v="0"/>
    <n v="12"/>
    <n v="12"/>
    <m/>
    <n v="0"/>
    <m/>
    <m/>
    <n v="72"/>
    <x v="0"/>
    <n v="72"/>
    <n v="12"/>
    <m/>
    <n v="6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GY1DH"/>
    <s v="197153422091"/>
    <s v="UPC"/>
    <x v="2"/>
    <s v="Men's Low Stretch Slim-Fit Bootcut Jean"/>
    <x v="14"/>
    <s v="Stone Medium Wash"/>
    <s v="40W x 32L"/>
    <s v="-"/>
    <s v="AEMN88118M25-Stone Medium Wash_40wx32l"/>
    <s v="Amazon Essentials Men's Low Stretch Slim-Fit Bootcut Jeans, Stone Medium Wash, 40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GY1CC"/>
    <s v="197153420042"/>
    <s v="UPC"/>
    <x v="2"/>
    <s v="Girls' Ultra Soft Relaxed-Fit Wide Leg Cargo Jeans"/>
    <x v="19"/>
    <s v="Classic Light Wash"/>
    <n v="8"/>
    <s v="-"/>
    <s v="AEGL35686M25-Classic Light Wash_8"/>
    <s v="Amazon Essentials Girls' Ultra Soft Relaxed-Fit Wide Leg Cargo Jeans, Classic Light Wash, 8"/>
    <s v="Accepted: In stock"/>
    <s v="Ship window (Collect)"/>
    <x v="0"/>
    <x v="0"/>
    <x v="0"/>
    <n v="624"/>
    <n v="624"/>
    <n v="672"/>
    <n v="672"/>
    <n v="0"/>
    <n v="-48"/>
    <m/>
    <m/>
    <m/>
    <m/>
    <m/>
    <n v="624"/>
    <x v="5"/>
    <n v="624"/>
    <n v="0"/>
    <m/>
    <n v="26"/>
    <n v="10.79"/>
    <s v="USD"/>
    <n v="10.79"/>
    <b v="1"/>
    <m/>
    <m/>
    <s v="TH"/>
    <x v="0"/>
    <s v="EGMCL"/>
    <s v="EG5-10325"/>
    <x v="2"/>
    <x v="2"/>
  </r>
  <r>
    <x v="4"/>
    <x v="2"/>
    <x v="0"/>
    <s v="ITHC - SI RACHA, Bangkok"/>
    <s v="B0F7MGY1B6"/>
    <s v="197153423937"/>
    <s v="UPC"/>
    <x v="2"/>
    <s v="Men's Heavyweight Stretch Straight-Fit 9&quot; Jean Shorts"/>
    <x v="15"/>
    <s v="Iced Blue Light Wash"/>
    <n v="29"/>
    <s v="-"/>
    <s v="AEMN97005M25-Iced Blue Light Wash_29"/>
    <s v="Amazon Essentials Men's Heavyweight Stretch Straight-Fit Jean Shorts, Mid Rise, 9&quot; Inseam, Iced Blue Light Wash, 29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5"/>
    <n v="144"/>
    <n v="0"/>
    <m/>
    <n v="6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GWR2F"/>
    <s v="197153424231"/>
    <s v="UPC"/>
    <x v="2"/>
    <s v="Men's Heavyweight Stretch Straight-Fit 9&quot; Jean Shorts"/>
    <x v="15"/>
    <s v="Dark Midnight Wash"/>
    <n v="38"/>
    <s v="-"/>
    <s v="AEMN97005M25-Dark Midnight Wash_38"/>
    <s v="Amazon Essentials Men's Heavyweight Stretch Straight-Fit Jean Shorts, Mid Rise, 9&quot; Inseam, Dark Midnight Wash, 38"/>
    <s v="Accepted: In stock"/>
    <s v="Ship window (Collect)"/>
    <x v="0"/>
    <x v="0"/>
    <x v="0"/>
    <n v="600"/>
    <n v="600"/>
    <n v="648"/>
    <n v="648"/>
    <n v="0"/>
    <n v="-48"/>
    <m/>
    <m/>
    <n v="0"/>
    <m/>
    <m/>
    <n v="600"/>
    <x v="5"/>
    <n v="600"/>
    <n v="0"/>
    <m/>
    <n v="25"/>
    <n v="10.14"/>
    <s v="USD"/>
    <n v="10.14"/>
    <b v="1"/>
    <m/>
    <m/>
    <s v="TH"/>
    <x v="0"/>
    <s v="EGMCL"/>
    <s v="EG5-10278"/>
    <x v="2"/>
    <x v="2"/>
  </r>
  <r>
    <x v="4"/>
    <x v="2"/>
    <x v="0"/>
    <s v="ITHC - SI RACHA, Bangkok"/>
    <s v="B0F7MGWFL3"/>
    <s v="197153422145"/>
    <s v="UPC"/>
    <x v="2"/>
    <s v="Men's Low Stretch Slim-Fit Bootcut Jean"/>
    <x v="14"/>
    <s v="Stone Medium Wash"/>
    <s v="31W x 28L"/>
    <s v="-"/>
    <s v="AEMN88118M25-Stone Medium Wash_31wx28l"/>
    <s v="Amazon Essentials Men's Low Stretch Slim-Fit Bootcut Jeans, Stone Medium Wash, 31W x 28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GW42F"/>
    <s v="197153421872"/>
    <s v="UPC"/>
    <x v="2"/>
    <s v="Men's Low Stretch Slim-Fit Bootcut Jean"/>
    <x v="14"/>
    <s v="Stone Medium Wash"/>
    <s v="29W x 30L"/>
    <s v="-"/>
    <s v="AEMN88118M25-Stone Medium Wash_29wx30l"/>
    <s v="Amazon Essentials Men's Low Stretch Slim-Fit Bootcut Jeans, Stone Medium Wash, 29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GTSKQ"/>
    <s v="197153422022"/>
    <s v="UPC"/>
    <x v="2"/>
    <s v="Men's Low Stretch Slim-Fit Bootcut Jean"/>
    <x v="14"/>
    <s v="Stone Medium Wash"/>
    <s v="32W x 28L"/>
    <s v="-"/>
    <s v="AEMN88118M25-Stone Medium Wash_32wx28l"/>
    <s v="Amazon Essentials Men's Low Stretch Slim-Fit Bootcut Jeans, Stone Medium Wash, 32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GTDNQ"/>
    <s v="197153418254"/>
    <s v="UPC"/>
    <x v="2"/>
    <s v="Toddlers' and Girls' Soft Stretch Denim Jegging"/>
    <x v="17"/>
    <s v="Stone Medium Wash"/>
    <s v="XX-Large"/>
    <s v="-"/>
    <s v="AEGL13713M25-Stone Medium Wash_xxl"/>
    <s v="Amazon Essentials Girls' Skinny Mid Rise Soft Stretch Denim Jegging, Stone Medium Wash, XX-Large"/>
    <s v="Accepted: In stock"/>
    <s v="Ship window (Collect)"/>
    <x v="0"/>
    <x v="0"/>
    <x v="0"/>
    <n v="120"/>
    <n v="120"/>
    <n v="144"/>
    <n v="144"/>
    <n v="0"/>
    <n v="-24"/>
    <m/>
    <m/>
    <n v="0"/>
    <m/>
    <m/>
    <n v="120"/>
    <x v="5"/>
    <n v="120"/>
    <n v="0"/>
    <m/>
    <n v="5"/>
    <n v="5.03"/>
    <s v="USD"/>
    <n v="5.03"/>
    <b v="1"/>
    <m/>
    <m/>
    <s v="TH"/>
    <x v="0"/>
    <s v="EGMCL"/>
    <s v="EG5-10276"/>
    <x v="2"/>
    <x v="2"/>
  </r>
  <r>
    <x v="4"/>
    <x v="2"/>
    <x v="0"/>
    <s v="ITHC - SI RACHA, Bangkok"/>
    <s v="B0F7MGS91D"/>
    <s v="197153423999"/>
    <s v="UPC"/>
    <x v="2"/>
    <s v="Men's Heavyweight Stretch Straight-Fit 9&quot; Jean Shorts"/>
    <x v="15"/>
    <s v="Iced Blue Light Wash"/>
    <n v="33"/>
    <s v="-"/>
    <s v="AEMN97005M25-Iced Blue Light Wash_33"/>
    <s v="Amazon Essentials Men's Heavyweight Stretch Straight-Fit Jean Shorts, Mid Rise, 9&quot; Inseam, Iced Blue Light Wash, 33"/>
    <s v="Accepted: In stock"/>
    <s v="Ship window (Collect)"/>
    <x v="0"/>
    <x v="0"/>
    <x v="0"/>
    <n v="408"/>
    <n v="408"/>
    <n v="360"/>
    <n v="360"/>
    <n v="0"/>
    <n v="48"/>
    <n v="48"/>
    <m/>
    <n v="0"/>
    <m/>
    <m/>
    <n v="360"/>
    <x v="5"/>
    <n v="360"/>
    <n v="48"/>
    <m/>
    <n v="15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GR7DG"/>
    <s v="197153420295"/>
    <s v="UPC"/>
    <x v="2"/>
    <s v="Unisex Baby and Toddlers' Soft Stretch Pull-On Jeans"/>
    <x v="18"/>
    <s v="Stone Light Wash"/>
    <s v="3-6 Months"/>
    <s v="-"/>
    <s v="AEUB83300M25-Stone Light Wash_3-6m"/>
    <s v="Amazon Essentials Unisex Babies' Soft Stretch Pull-On Jeans, Stone Light Wash, 3-6 Months"/>
    <s v="Accepted: In stock"/>
    <s v="Ship window (Collect)"/>
    <x v="0"/>
    <x v="0"/>
    <x v="0"/>
    <n v="96"/>
    <n v="96"/>
    <n v="120"/>
    <n v="120"/>
    <n v="0"/>
    <n v="-24"/>
    <m/>
    <m/>
    <n v="0"/>
    <m/>
    <m/>
    <n v="96"/>
    <x v="5"/>
    <n v="96"/>
    <n v="0"/>
    <m/>
    <n v="4"/>
    <n v="6.05"/>
    <s v="USD"/>
    <n v="6.05"/>
    <b v="1"/>
    <m/>
    <m/>
    <s v="TH"/>
    <x v="0"/>
    <s v="EGMCL"/>
    <s v="EG5-10276"/>
    <x v="2"/>
    <x v="2"/>
  </r>
  <r>
    <x v="4"/>
    <x v="2"/>
    <x v="0"/>
    <s v="ITHC - SI RACHA, Bangkok"/>
    <s v="B0F7MDKMXF"/>
    <s v="197153421384"/>
    <s v="UPC"/>
    <x v="2"/>
    <s v="Men's Low Stretch Slim-Fit Bootcut Jean"/>
    <x v="14"/>
    <s v="Tinted Ice Light Wash"/>
    <s v="35W x 30L"/>
    <s v="-"/>
    <s v="AEMN88118M25-TintedIceLightWash_35wx30l"/>
    <s v="Amazon Essentials Men's Low Stretch Slim-Fit Bootcut Jeans, Tinted Ice Light Wash, 35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DK5VV"/>
    <s v="197153424477"/>
    <s v="UPC"/>
    <x v="2"/>
    <s v="Men's Rigid Relaxed-Fit 10&quot; Jean Shorts"/>
    <x v="16"/>
    <s v="Dark Wash"/>
    <n v="30"/>
    <s v="-"/>
    <s v="AEMN41037M25-Dark Wash_30"/>
    <s v="Amazon Essentials Men's Rigid Relaxed-Fit Jean Shorts, Dark Wash, 30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5"/>
    <n v="24"/>
    <n v="0"/>
    <m/>
    <n v="1"/>
    <n v="10.01"/>
    <s v="USD"/>
    <n v="10.01"/>
    <b v="1"/>
    <m/>
    <m/>
    <s v="TH"/>
    <x v="0"/>
    <s v="EGMCL"/>
    <s v="EG5-10139"/>
    <x v="2"/>
    <x v="2"/>
  </r>
  <r>
    <x v="4"/>
    <x v="2"/>
    <x v="0"/>
    <s v="ITHC - SI RACHA, Bangkok"/>
    <s v="B0F7MB2STQ"/>
    <s v="197153422220"/>
    <s v="UPC"/>
    <x v="2"/>
    <s v="Men's Low Stretch Slim-Fit Bootcut Jean"/>
    <x v="14"/>
    <s v="Stone Medium Wash"/>
    <s v="42W x 28L"/>
    <s v="-"/>
    <s v="AEMN88118M25-Stone Medium Wash_42wx28l"/>
    <s v="Amazon Essentials Men's Low Stretch Slim-Fit Bootcut Jeans, Stone Medium Wash, 42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89"/>
    <s v="USD"/>
    <n v="12.89"/>
    <b v="1"/>
    <m/>
    <m/>
    <s v="TH"/>
    <x v="0"/>
    <s v="EGMCL"/>
    <s v="EG5-10138"/>
    <x v="2"/>
    <x v="2"/>
  </r>
  <r>
    <x v="4"/>
    <x v="2"/>
    <x v="0"/>
    <s v="ITHC - SI RACHA, Bangkok"/>
    <s v="B0F7MB24GR"/>
    <s v="197153420929"/>
    <s v="UPC"/>
    <x v="2"/>
    <s v="Men's Low Stretch Slim-Fit Bootcut Jean"/>
    <x v="14"/>
    <s v="Dark Shadow Wash"/>
    <s v="30W x 34L"/>
    <s v="-"/>
    <s v="AEMN88118M25-Dark Shadow Wash_30wx34l"/>
    <s v="Amazon Essentials Men's Low Stretch Slim-Fit Bootcut Jeans, Dark Shadow Wash, 30W x 34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3.01"/>
    <s v="USD"/>
    <n v="13.01"/>
    <b v="1"/>
    <m/>
    <m/>
    <s v="TH"/>
    <x v="0"/>
    <s v="EGMCL"/>
    <s v="EG5-10138"/>
    <x v="2"/>
    <x v="2"/>
  </r>
  <r>
    <x v="4"/>
    <x v="2"/>
    <x v="0"/>
    <s v="ITHC - SI RACHA, Bangkok"/>
    <s v="B0F7MB24G8"/>
    <s v="197153423920"/>
    <s v="UPC"/>
    <x v="2"/>
    <s v="Men's Heavyweight Stretch Straight-Fit 9&quot; Jean Shorts"/>
    <x v="15"/>
    <s v="Iced Blue Light Wash"/>
    <n v="31"/>
    <s v="-"/>
    <s v="AEMN97005M25-Iced Blue Light Wash_31"/>
    <s v="Amazon Essentials Men's Heavyweight Stretch Straight-Fit Jean Shorts, Mid Rise, 9&quot; Inseam, Iced Blue Light Wash, 31"/>
    <s v="Accepted: In stock"/>
    <s v="Ship window (Collect)"/>
    <x v="0"/>
    <x v="0"/>
    <x v="0"/>
    <n v="216"/>
    <n v="216"/>
    <n v="216"/>
    <n v="216"/>
    <n v="0"/>
    <n v="0"/>
    <m/>
    <m/>
    <n v="0"/>
    <m/>
    <m/>
    <n v="216"/>
    <x v="5"/>
    <n v="216"/>
    <n v="0"/>
    <m/>
    <n v="9"/>
    <n v="10.45"/>
    <s v="USD"/>
    <n v="10.45"/>
    <b v="1"/>
    <m/>
    <m/>
    <s v="TH"/>
    <x v="0"/>
    <s v="EGMCL"/>
    <s v="EG5-10278"/>
    <x v="2"/>
    <x v="2"/>
  </r>
  <r>
    <x v="4"/>
    <x v="2"/>
    <x v="0"/>
    <s v="ITHC - SI RACHA, Bangkok"/>
    <s v="B0F7MB1QJN"/>
    <s v="197153422886"/>
    <s v="UPC"/>
    <x v="2"/>
    <s v="Women's Low Stretch Mid-Rise Regular-Fit Jean Short"/>
    <x v="20"/>
    <s v="Medium Blue Vintage"/>
    <n v="8"/>
    <s v="-"/>
    <s v="AEWM44862M25-Medium Blue Vintage_8"/>
    <s v="Amazon Essentials Women's Low Stretch Mid-Rise Regular-Fit Jean Short, Medium Blue Vintage, 8"/>
    <s v="Accepted: In stock"/>
    <s v="Ship window (Collect)"/>
    <x v="0"/>
    <x v="0"/>
    <x v="0"/>
    <n v="360"/>
    <n v="360"/>
    <n v="384"/>
    <n v="384"/>
    <n v="0"/>
    <n v="-24"/>
    <m/>
    <m/>
    <m/>
    <m/>
    <m/>
    <n v="360"/>
    <x v="5"/>
    <n v="360"/>
    <n v="0"/>
    <m/>
    <n v="15"/>
    <n v="6.99"/>
    <s v="USD"/>
    <n v="8.68"/>
    <b v="0"/>
    <m/>
    <m/>
    <s v="TH"/>
    <x v="0"/>
    <s v="EGMCL"/>
    <s v="EG5-10329"/>
    <x v="2"/>
    <x v="2"/>
  </r>
  <r>
    <x v="4"/>
    <x v="2"/>
    <x v="0"/>
    <s v="ITHC - SI RACHA, Bangkok"/>
    <s v="B0F7MB1QHF"/>
    <s v="197153424651"/>
    <s v="UPC"/>
    <x v="2"/>
    <s v="Men's Rigid Relaxed-Fit 10&quot; Jean Shorts"/>
    <x v="16"/>
    <s v="Vintage Blue"/>
    <n v="32"/>
    <s v="-"/>
    <s v="AEMN41037M25-Vintage Blue_32"/>
    <s v="Amazon Essentials Men's Rigid Relaxed-Fit Jean Shorts, Vintage Blue, 32"/>
    <s v="Accepted: In stock"/>
    <s v="Ship window (Collect)"/>
    <x v="0"/>
    <x v="0"/>
    <x v="0"/>
    <n v="624"/>
    <n v="624"/>
    <n v="672"/>
    <n v="672"/>
    <n v="0"/>
    <n v="-48"/>
    <m/>
    <m/>
    <m/>
    <m/>
    <m/>
    <n v="624"/>
    <x v="5"/>
    <n v="624"/>
    <n v="0"/>
    <m/>
    <n v="26"/>
    <n v="10.11"/>
    <s v="USD"/>
    <n v="10.11"/>
    <b v="1"/>
    <m/>
    <m/>
    <s v="TH"/>
    <x v="0"/>
    <s v="EGMCL"/>
    <s v="EG5-10139"/>
    <x v="2"/>
    <x v="2"/>
  </r>
  <r>
    <x v="4"/>
    <x v="2"/>
    <x v="0"/>
    <s v="ITHC - SI RACHA, Bangkok"/>
    <s v="B0F7MB1F3R"/>
    <s v="197153421469"/>
    <s v="UPC"/>
    <x v="2"/>
    <s v="Men's Low Stretch Slim-Fit Bootcut Jean"/>
    <x v="14"/>
    <s v="Tinted Ice Light Wash"/>
    <s v="28W x 30L"/>
    <s v="-"/>
    <s v="AEMN88118M25-TintedIceLightWash_28wx30l"/>
    <s v="Amazon Essentials Men's Low Stretch Slim-Fit Bootcut Jeans, Tinted Ice Light Wash, 28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9FBF9"/>
    <s v="197153421827"/>
    <s v="UPC"/>
    <x v="2"/>
    <s v="Men's Low Stretch Slim-Fit Bootcut Jean"/>
    <x v="14"/>
    <s v="Tinted Ice Light Wash"/>
    <s v="38W x 32L"/>
    <s v="-"/>
    <s v="AEMN88118M25-TintedIceLightWash_38wx32l"/>
    <s v="Amazon Essentials Men's Low Stretch Slim-Fit Bootcut Jeans, Tinted Ice Light Wash, 38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7NCWY"/>
    <s v="197153421834"/>
    <s v="UPC"/>
    <x v="2"/>
    <s v="Men's Low Stretch Slim-Fit Bootcut Jean"/>
    <x v="14"/>
    <s v="Tinted Ice Light Wash"/>
    <s v="31W x 32L"/>
    <s v="-"/>
    <s v="AEMN88118M25-TintedIceLightWash_31wx32l"/>
    <s v="Amazon Essentials Men's Low Stretch Slim-Fit Bootcut Jeans, Tinted Ice Light Wash, 31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3.33"/>
    <s v="USD"/>
    <n v="13.33"/>
    <b v="1"/>
    <m/>
    <m/>
    <s v="TH"/>
    <x v="0"/>
    <s v="EGMCL"/>
    <s v="EG5-10138"/>
    <x v="2"/>
    <x v="2"/>
  </r>
  <r>
    <x v="4"/>
    <x v="2"/>
    <x v="0"/>
    <s v="ITHC - SI RACHA, Bangkok"/>
    <s v="B0F7M7NCVK"/>
    <s v="197153424200"/>
    <s v="UPC"/>
    <x v="2"/>
    <s v="Men's Heavyweight Stretch Straight-Fit 9&quot; Jean Shorts"/>
    <x v="15"/>
    <s v="Dark Midnight Wash"/>
    <n v="40"/>
    <s v="-"/>
    <s v="AEMN97005M25-Dark Midnight Wash_40"/>
    <s v="Amazon Essentials Men's Heavyweight Stretch Straight-Fit Jean Shorts, Mid Rise, 9&quot; Inseam, Dark Midnight Wash, 40"/>
    <s v="Accepted: In stock"/>
    <s v="Ship window (Collect)"/>
    <x v="0"/>
    <x v="0"/>
    <x v="0"/>
    <n v="528"/>
    <n v="528"/>
    <n v="504"/>
    <n v="504"/>
    <n v="0"/>
    <n v="24"/>
    <n v="24"/>
    <m/>
    <n v="0"/>
    <m/>
    <m/>
    <n v="504"/>
    <x v="5"/>
    <n v="504"/>
    <n v="24"/>
    <m/>
    <n v="21"/>
    <n v="10.14"/>
    <s v="USD"/>
    <n v="10.14"/>
    <b v="1"/>
    <m/>
    <m/>
    <s v="TH"/>
    <x v="0"/>
    <s v="EGMCL"/>
    <s v="EG5-10278"/>
    <x v="2"/>
    <x v="2"/>
  </r>
  <r>
    <x v="5"/>
    <x v="4"/>
    <x v="0"/>
    <s v="ITHC - SI RACHA, Bangkok"/>
    <s v="B09LS6LM23"/>
    <s v="196433258115"/>
    <s v="UPC"/>
    <x v="0"/>
    <s v="AE  Big &amp; Tall Classic CVC Pleated Chino Pant"/>
    <x v="22"/>
    <s v="Black"/>
    <s v="60W x 34L"/>
    <s v="-"/>
    <s v=""/>
    <s v="Amazon Essentials Men's Big &amp; Tall Classic-fit Wrinkle-Resistant Pleated Chino Pant Pants, Black, 60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LM1V"/>
    <s v="196433258047"/>
    <s v="UPC"/>
    <x v="0"/>
    <s v="AE  Big &amp; Tall Classic CVC Pleated Chino Pant"/>
    <x v="22"/>
    <s v="Navy"/>
    <s v="48W x 28L"/>
    <s v="-"/>
    <s v=""/>
    <s v="Amazon Essentials Men's Big &amp; Tall Classic-fit Wrinkle-Resistant Pleated Chino Pant Pants, Navy, 48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LLWW"/>
    <s v="196433255817"/>
    <s v="UPC"/>
    <x v="0"/>
    <s v="AE  Big &amp; Tall Classic CVC FF Chino Pant"/>
    <x v="23"/>
    <s v="Charcoal"/>
    <s v="44W x 32L"/>
    <s v="-"/>
    <s v=""/>
    <s v="Amazon Essentials Men's Classic-Fit Wrinkle-Resistant Flat-Front Chino Pant, Charcoal, 44W x 32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LLVG"/>
    <s v="196433255213"/>
    <s v="UPC"/>
    <x v="0"/>
    <s v="AE  Big &amp; Tall Classic CVC FF Chino Pant"/>
    <x v="23"/>
    <s v="Dark Brown"/>
    <s v="50W x 30L"/>
    <s v="-"/>
    <s v=""/>
    <s v="Amazon Essentials Men's Classic-Fit Wrinkle-Resistant Flat-Front Chino Pant, Dark Brown, 50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LLVF"/>
    <s v="196433255176"/>
    <s v="UPC"/>
    <x v="0"/>
    <s v="AE  Big &amp; Tall Classic CVC FF Chino Pant"/>
    <x v="23"/>
    <s v="Dark Brown"/>
    <s v="44W x 34L"/>
    <s v="-"/>
    <s v=""/>
    <s v="Amazon Essentials Men's Classic-Fit Wrinkle-Resistant Flat-Front Chino Pant, Dark Brown, 44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LLVD"/>
    <s v="196433255183"/>
    <s v="UPC"/>
    <x v="0"/>
    <s v="AE  Big &amp; Tall Classic CVC FF Chino Pant"/>
    <x v="23"/>
    <s v="Dark Brown"/>
    <s v="52W x 30L"/>
    <s v="-"/>
    <s v=""/>
    <s v="Amazon Essentials Men's Classic-Fit Wrinkle-Resistant Flat-Front Chino Pant, Dark Brown, 52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CSX8"/>
    <s v="196433257477"/>
    <s v="UPC"/>
    <x v="0"/>
    <s v="AE  Big &amp; Tall Classic CVC Pleated Chino Pant"/>
    <x v="22"/>
    <s v="Black"/>
    <s v="56W x 34L"/>
    <s v="-"/>
    <s v=""/>
    <s v="Amazon Essentials Men's Big &amp; Tall Classic-fit Wrinkle-Resistant Pleated Chino Pant Pants, Black, 56W x 34L"/>
    <s v="Accepted: In stock"/>
    <s v="Ship window (Collect)"/>
    <x v="0"/>
    <x v="0"/>
    <x v="0"/>
    <n v="60"/>
    <n v="60"/>
    <n v="48"/>
    <n v="48"/>
    <n v="0"/>
    <n v="12"/>
    <n v="12"/>
    <m/>
    <n v="0"/>
    <m/>
    <m/>
    <n v="48"/>
    <x v="0"/>
    <n v="48"/>
    <n v="12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CSX6"/>
    <s v="196433257408"/>
    <s v="UPC"/>
    <x v="0"/>
    <s v="AE  Big &amp; Tall Classic CVC Pleated Chino Pant"/>
    <x v="22"/>
    <s v="Navy"/>
    <s v="56W x 32L"/>
    <s v="-"/>
    <s v=""/>
    <s v="Amazon Essentials Men's Big &amp; Tall Classic-fit Wrinkle-Resistant Pleated Chino Pant Pants, Navy, 56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CSWZ"/>
    <s v="196433257378"/>
    <s v="UPC"/>
    <x v="0"/>
    <s v="AE  Big &amp; Tall Classic CVC Pleated Chino Pant"/>
    <x v="22"/>
    <s v="Charcoal"/>
    <s v="56W x 32L"/>
    <s v="-"/>
    <s v=""/>
    <s v="Amazon Essentials Men's Big &amp; Tall Classic-fit Wrinkle-Resistant Pleated Chino Pant Pants, Grey, 56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CSWL"/>
    <s v="196433257194"/>
    <s v="UPC"/>
    <x v="0"/>
    <s v="AE  Big &amp; Tall Classic CVC Pleated Chino Pant"/>
    <x v="22"/>
    <s v="Charcoal"/>
    <s v="44W x 28L"/>
    <s v="-"/>
    <s v=""/>
    <s v="Amazon Essentials Men's Big &amp; Tall Classic-fit Wrinkle-Resistant Pleated Chino Pant Pants, Grey, 44W x 28L"/>
    <s v="Accepted: In stock"/>
    <s v="Ship window (Collect)"/>
    <x v="0"/>
    <x v="0"/>
    <x v="0"/>
    <n v="192"/>
    <n v="192"/>
    <n v="168"/>
    <n v="168"/>
    <n v="0"/>
    <n v="24"/>
    <n v="24"/>
    <m/>
    <n v="0"/>
    <m/>
    <m/>
    <n v="168"/>
    <x v="0"/>
    <n v="168"/>
    <n v="24"/>
    <m/>
    <n v="1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9MZ6"/>
    <s v="196433257903"/>
    <s v="UPC"/>
    <x v="0"/>
    <s v="AE  Big &amp; Tall Classic CVC Pleated Chino Pant"/>
    <x v="22"/>
    <s v="Khaki Beige"/>
    <s v="50W x 34L"/>
    <s v="-"/>
    <s v=""/>
    <s v="Amazon Essentials Men's Big &amp; Tall Classic-fit Wrinkle-Resistant Pleated Chino Pant Pants, Khaki, 5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9MW5"/>
    <s v="196433256272"/>
    <s v="UPC"/>
    <x v="0"/>
    <s v="AE  Big &amp; Tall Classic CVC Pleated Chino Pant"/>
    <x v="22"/>
    <s v="Black"/>
    <s v="56W x 30L"/>
    <s v="-"/>
    <s v=""/>
    <s v="Amazon Essentials Men's Big &amp; Tall Classic-fit Wrinkle-Resistant Pleated Chino Pant Pants, Black, 56W x 30L"/>
    <s v="Accepted: In stock"/>
    <s v="Ship window (Collect)"/>
    <x v="0"/>
    <x v="0"/>
    <x v="0"/>
    <n v="132"/>
    <n v="132"/>
    <n v="108"/>
    <n v="108"/>
    <n v="0"/>
    <n v="24"/>
    <n v="24"/>
    <m/>
    <n v="0"/>
    <m/>
    <m/>
    <n v="108"/>
    <x v="0"/>
    <n v="108"/>
    <n v="24"/>
    <m/>
    <n v="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8816"/>
    <s v="196433254964"/>
    <s v="UPC"/>
    <x v="0"/>
    <s v="AE  Big &amp; Tall Classic CVC FF Chino Pant"/>
    <x v="23"/>
    <s v="Dark Brown"/>
    <s v="50W x 34L"/>
    <s v="-"/>
    <s v=""/>
    <s v="Amazon Essentials Men's Classic-Fit Wrinkle-Resistant Flat-Front Chino Pant, Dark Brown, 5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87YB"/>
    <s v="196433254087"/>
    <s v="UPC"/>
    <x v="0"/>
    <s v="AE  Big &amp; Tall Classic CVC FF Chino Pant"/>
    <x v="23"/>
    <s v="Navy"/>
    <s v="52W x 28L"/>
    <s v="-"/>
    <s v=""/>
    <s v="Amazon Essentials Men's Classic-Fit Wrinkle-Resistant Flat-Front Chino Pant, Navy, 52W x 28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87XW"/>
    <s v="196433253936"/>
    <s v="UPC"/>
    <x v="0"/>
    <s v="AE  Big &amp; Tall Classic CVC FF Chino Pant"/>
    <x v="23"/>
    <s v="Navy"/>
    <s v="48W x 30L"/>
    <s v="-"/>
    <s v=""/>
    <s v="Amazon Essentials Men's Classic-Fit Wrinkle-Resistant Flat-Front Chino Pant, Navy, 48W x 30L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7WFZ"/>
    <s v="196433256395"/>
    <s v="UPC"/>
    <x v="0"/>
    <s v="AE  Big &amp; Tall Classic CVC Pleated Chino Pant"/>
    <x v="22"/>
    <s v="Black"/>
    <s v="50W x 30L"/>
    <s v="-"/>
    <s v=""/>
    <s v="Amazon Essentials Men's Big &amp; Tall Classic-fit Wrinkle-Resistant Pleated Chino Pant Pants, Black, 50W x 30L"/>
    <s v="Accepted: In stock"/>
    <s v="Ship window (Collect)"/>
    <x v="0"/>
    <x v="0"/>
    <x v="0"/>
    <n v="120"/>
    <n v="120"/>
    <n v="132"/>
    <n v="132"/>
    <n v="0"/>
    <n v="-12"/>
    <m/>
    <m/>
    <m/>
    <m/>
    <m/>
    <n v="120"/>
    <x v="0"/>
    <n v="120"/>
    <n v="0"/>
    <m/>
    <n v="1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7W95"/>
    <s v="196433254070"/>
    <s v="UPC"/>
    <x v="0"/>
    <s v="AE  Big &amp; Tall Classic CVC FF Chino Pant"/>
    <x v="23"/>
    <s v="Navy"/>
    <s v="52W x 30L"/>
    <s v="-"/>
    <s v=""/>
    <s v="Amazon Essentials Men's Classic-Fit Wrinkle-Resistant Flat-Front Chino Pant, Navy, 52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7W8T"/>
    <s v="196433253974"/>
    <s v="UPC"/>
    <x v="0"/>
    <s v="AE  Big &amp; Tall Classic CVC FF Chino Pant"/>
    <x v="23"/>
    <s v="Navy"/>
    <s v="54W x 32L"/>
    <s v="-"/>
    <s v=""/>
    <s v="Amazon Essentials Men's Classic-Fit Wrinkle-Resistant Flat-Front Chino Pant, Navy, 54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7QS9"/>
    <s v="196433256593"/>
    <s v="UPC"/>
    <x v="0"/>
    <s v="AE  Big &amp; Tall Classic CVC Pleated Chino Pant"/>
    <x v="22"/>
    <s v="Charcoal"/>
    <s v="54W x 30L"/>
    <s v="-"/>
    <s v=""/>
    <s v="Amazon Essentials Men's Big &amp; Tall Classic-fit Wrinkle-Resistant Pleated Chino Pant Pants, Grey, 54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7QQ7"/>
    <s v="196433255831"/>
    <s v="UPC"/>
    <x v="0"/>
    <s v="AE  Big &amp; Tall Classic CVC FF Chino Pant"/>
    <x v="23"/>
    <s v="Charcoal"/>
    <s v="46W x 34L"/>
    <s v="-"/>
    <s v=""/>
    <s v="Amazon Essentials Men's Classic-Fit Wrinkle-Resistant Flat-Front Chino Pant, Charcoal, 46W x 34L"/>
    <s v="Accepted: In stock"/>
    <s v="Ship window (Collect)"/>
    <x v="0"/>
    <x v="0"/>
    <x v="0"/>
    <n v="24"/>
    <n v="24"/>
    <n v="24"/>
    <n v="24"/>
    <n v="0"/>
    <n v="0"/>
    <m/>
    <m/>
    <m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7QMJ"/>
    <s v="196433254711"/>
    <s v="UPC"/>
    <x v="0"/>
    <s v="AE  Big &amp; Tall Classic CVC FF Chino Pant"/>
    <x v="23"/>
    <s v="Khaki Beige"/>
    <s v="54W x 32L"/>
    <s v="-"/>
    <s v=""/>
    <s v="Amazon Essentials Men's Classic-Fit Wrinkle-Resistant Flat-Front Chino Pant, Khaki Beige, 54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4Z37"/>
    <s v="196433257323"/>
    <s v="UPC"/>
    <x v="0"/>
    <s v="AE  Big &amp; Tall Classic CVC Pleated Chino Pant"/>
    <x v="22"/>
    <s v="Khaki Beige"/>
    <s v="54W x 34L"/>
    <s v="-"/>
    <s v=""/>
    <s v="Amazon Essentials Men's Big &amp; Tall Classic-fit Wrinkle-Resistant Pleated Chino Pant Pants, Khaki, 54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4YY3"/>
    <s v="196433255633"/>
    <s v="UPC"/>
    <x v="0"/>
    <s v="AE  Big &amp; Tall Classic CVC FF Chino Pant"/>
    <x v="23"/>
    <s v="Dark Olive"/>
    <s v="44W x 28L"/>
    <s v="-"/>
    <s v=""/>
    <s v="Amazon Essentials Men's Classic-Fit Wrinkle-Resistant Flat-Front Chino Pant, Dark Olive, 44W x 28L"/>
    <s v="Accepted: In stock"/>
    <s v="Ship window (Collect)"/>
    <x v="0"/>
    <x v="0"/>
    <x v="0"/>
    <n v="216"/>
    <n v="216"/>
    <n v="228"/>
    <n v="228"/>
    <n v="0"/>
    <n v="-12"/>
    <m/>
    <m/>
    <n v="0"/>
    <m/>
    <m/>
    <n v="216"/>
    <x v="0"/>
    <n v="216"/>
    <n v="0"/>
    <m/>
    <n v="1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46F2"/>
    <s v="196433257781"/>
    <s v="UPC"/>
    <x v="0"/>
    <s v="AE  Big &amp; Tall Classic CVC Pleated Chino Pant"/>
    <x v="22"/>
    <s v="Khaki Beige"/>
    <s v="46W x 34L"/>
    <s v="-"/>
    <s v=""/>
    <s v="Amazon Essentials Men's Big &amp; Tall Classic-fit Wrinkle-Resistant Pleated Chino Pant Pants, Khaki, 46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46DL"/>
    <s v="196433257439"/>
    <s v="UPC"/>
    <x v="0"/>
    <s v="AE  Big &amp; Tall Classic CVC Pleated Chino Pant"/>
    <x v="22"/>
    <s v="Charcoal"/>
    <s v="50W x 28L"/>
    <s v="-"/>
    <s v=""/>
    <s v="Amazon Essentials Men's Big &amp; Tall Classic-fit Wrinkle-Resistant Pleated Chino Pant Pants, Grey, 50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46D3"/>
    <s v="196433257132"/>
    <s v="UPC"/>
    <x v="0"/>
    <s v="AE  Big &amp; Tall Classic CVC Pleated Chino Pant"/>
    <x v="22"/>
    <s v="Charcoal"/>
    <s v="48W x 30L"/>
    <s v="-"/>
    <s v=""/>
    <s v="Amazon Essentials Men's Big &amp; Tall Classic-fit Wrinkle-Resistant Pleated Chino Pant Pants, Grey, 48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469G"/>
    <s v="196433255787"/>
    <s v="UPC"/>
    <x v="0"/>
    <s v="AE  Big &amp; Tall Classic CVC FF Chino Pant"/>
    <x v="23"/>
    <s v="Charcoal"/>
    <s v="48W x 30L"/>
    <s v="-"/>
    <s v=""/>
    <s v="Amazon Essentials Men's Classic-Fit Wrinkle-Resistant Flat-Front Chino Pant, Charcoal, 48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3GJH"/>
    <s v="196433256098"/>
    <s v="UPC"/>
    <x v="0"/>
    <s v="AE  Big &amp; Tall Classic CVC Pleated Chino Pant"/>
    <x v="22"/>
    <s v="Black"/>
    <s v="52W x 32L"/>
    <s v="-"/>
    <s v=""/>
    <s v="Amazon Essentials Men's Big &amp; Tall Classic-fit Wrinkle-Resistant Pleated Chino Pant Pants, Black, 52W x 32L"/>
    <s v="Accepted: In stock"/>
    <s v="Ship window (Collect)"/>
    <x v="0"/>
    <x v="0"/>
    <x v="0"/>
    <n v="168"/>
    <n v="168"/>
    <n v="144"/>
    <n v="144"/>
    <n v="0"/>
    <n v="24"/>
    <n v="24"/>
    <m/>
    <n v="0"/>
    <m/>
    <m/>
    <n v="144"/>
    <x v="0"/>
    <n v="144"/>
    <n v="24"/>
    <m/>
    <n v="1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3GFZ"/>
    <s v="196433255053"/>
    <s v="UPC"/>
    <x v="0"/>
    <s v="AE  Big &amp; Tall Classic CVC FF Chino Pant"/>
    <x v="23"/>
    <s v="Dark Brown"/>
    <s v="60W x 30L"/>
    <s v="-"/>
    <s v=""/>
    <s v="Amazon Essentials Men's Classic-Fit Wrinkle-Resistant Flat-Front Chino Pant, Dark Brown, 60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32T5"/>
    <s v="196433258085"/>
    <s v="UPC"/>
    <x v="0"/>
    <s v="AE  Big &amp; Tall Classic CVC Pleated Chino Pant"/>
    <x v="22"/>
    <s v="Khaki Beige"/>
    <s v="60W x 30L"/>
    <s v="-"/>
    <s v=""/>
    <s v="Amazon Essentials Men's Big &amp; Tall Classic-fit Wrinkle-Resistant Pleated Chino Pant Pants, Khaki, 60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32QW"/>
    <s v="196433256715"/>
    <s v="UPC"/>
    <x v="0"/>
    <s v="AE  Big &amp; Tall Classic CVC Pleated Chino Pant"/>
    <x v="22"/>
    <s v="Charcoal"/>
    <s v="54W x 32L"/>
    <s v="-"/>
    <s v=""/>
    <s v="Amazon Essentials Men's Big &amp; Tall Classic-fit Wrinkle-Resistant Pleated Chino Pant Pants, Grey, 54W x 32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32P3"/>
    <s v="196433255930"/>
    <s v="UPC"/>
    <x v="0"/>
    <s v="AE  Big &amp; Tall Classic CVC FF Chino Pant"/>
    <x v="23"/>
    <s v="Charcoal"/>
    <s v="52W x 28L"/>
    <s v="-"/>
    <s v=""/>
    <s v="Amazon Essentials Men's Classic-Fit Wrinkle-Resistant Flat-Front Chino Pant, Charcoal, 52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32K3"/>
    <s v="196433254193"/>
    <s v="UPC"/>
    <x v="0"/>
    <s v="AE  Big &amp; Tall Classic CVC FF Chino Pant"/>
    <x v="23"/>
    <s v="Black"/>
    <s v="58W x 34L"/>
    <s v="-"/>
    <s v=""/>
    <s v="Amazon Essentials Men's Classic-Fit Wrinkle-Resistant Flat-Front Chino Pant, Black, 5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32JL"/>
    <s v="196433254063"/>
    <s v="UPC"/>
    <x v="0"/>
    <s v="AE  Big &amp; Tall Classic CVC FF Chino Pant"/>
    <x v="23"/>
    <s v="Navy"/>
    <s v="44W x 34L"/>
    <s v="-"/>
    <s v=""/>
    <s v="Amazon Essentials Men's Classic-Fit Wrinkle-Resistant Flat-Front Chino Pant, Navy, 44W x 34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1Q51"/>
    <s v="196433257255"/>
    <s v="UPC"/>
    <x v="0"/>
    <s v="AE  Big &amp; Tall Classic CVC Pleated Chino Pant"/>
    <x v="22"/>
    <s v="Charcoal"/>
    <s v="58W x 32L"/>
    <s v="-"/>
    <s v=""/>
    <s v="Amazon Essentials Men's Big &amp; Tall Classic-fit Wrinkle-Resistant Pleated Chino Pant Pants, Grey, 58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1Q2W"/>
    <s v="196433256081"/>
    <s v="UPC"/>
    <x v="0"/>
    <s v="AE  Big &amp; Tall Classic CVC Pleated Chino Pant"/>
    <x v="22"/>
    <s v="Navy"/>
    <s v="46W x 28L"/>
    <s v="-"/>
    <s v=""/>
    <s v="Amazon Essentials Men's Classic-Fit Wrinkle-Resistant Pleated Chino Pant (Available in Big &amp; Tall), Navy, 4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61PYS"/>
    <s v="196433254780"/>
    <s v="UPC"/>
    <x v="0"/>
    <s v="AE  Big &amp; Tall Classic CVC FF Chino Pant"/>
    <x v="23"/>
    <s v="Khaki Beige"/>
    <s v="50W x 32L"/>
    <s v="-"/>
    <s v=""/>
    <s v="Amazon Essentials Men's Classic-Fit Wrinkle-Resistant Flat-Front Chino Pant, Khaki Beige, 50W x 32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1PY5"/>
    <s v="196433254506"/>
    <s v="UPC"/>
    <x v="0"/>
    <s v="AE  Big &amp; Tall Classic CVC FF Chino Pant"/>
    <x v="23"/>
    <s v="Black"/>
    <s v="56W x 32L"/>
    <s v="-"/>
    <s v=""/>
    <s v="Amazon Essentials Men's Classic-Fit Wrinkle-Resistant Flat-Front Chino Pant, Black, 56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61KQB"/>
    <s v="196433255077"/>
    <s v="UPC"/>
    <x v="0"/>
    <s v="AE  Big &amp; Tall Classic CVC FF Chino Pant"/>
    <x v="23"/>
    <s v="Dark Brown"/>
    <s v="44W x 32L"/>
    <s v="-"/>
    <s v=""/>
    <s v="Amazon Essentials Men's Classic-Fit Wrinkle-Resistant Flat-Front Chino Pant, Dark Brown, 44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ZZJJ"/>
    <s v="196433254704"/>
    <s v="UPC"/>
    <x v="0"/>
    <s v="AE  Big &amp; Tall Classic CVC FF Chino Pant"/>
    <x v="23"/>
    <s v="Khaki Beige"/>
    <s v="44W x 32L"/>
    <s v="-"/>
    <s v=""/>
    <s v="Amazon Essentials Men's Classic-Fit Wrinkle-Resistant Flat-Front Chino Pant, Khaki Beige, 44W x 32L"/>
    <s v="Accepted: In stock"/>
    <s v="Ship window (Collect)"/>
    <x v="0"/>
    <x v="0"/>
    <x v="0"/>
    <n v="204"/>
    <n v="204"/>
    <n v="216"/>
    <n v="216"/>
    <n v="0"/>
    <n v="-12"/>
    <m/>
    <m/>
    <m/>
    <m/>
    <m/>
    <n v="204"/>
    <x v="0"/>
    <n v="204"/>
    <n v="0"/>
    <m/>
    <n v="1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ZZHN"/>
    <s v="196433254438"/>
    <s v="UPC"/>
    <x v="0"/>
    <s v="AE  Big &amp; Tall Classic CVC FF Chino Pant"/>
    <x v="23"/>
    <s v="Black"/>
    <s v="44W x 34L"/>
    <s v="-"/>
    <s v=""/>
    <s v="Amazon Essentials Men's Classic-Fit Wrinkle-Resistant Flat-Front Chino Pant, Black, 44W x 34L"/>
    <s v="Accepted: In stock"/>
    <s v="Ship window (Collect)"/>
    <x v="0"/>
    <x v="0"/>
    <x v="0"/>
    <n v="144"/>
    <n v="144"/>
    <n v="156"/>
    <n v="156"/>
    <n v="0"/>
    <n v="-12"/>
    <m/>
    <m/>
    <m/>
    <m/>
    <m/>
    <n v="144"/>
    <x v="0"/>
    <n v="144"/>
    <n v="0"/>
    <m/>
    <n v="1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ZZHG"/>
    <s v="196433254346"/>
    <s v="UPC"/>
    <x v="0"/>
    <s v="AE  Big &amp; Tall Classic CVC FF Chino Pant"/>
    <x v="23"/>
    <s v="Black"/>
    <s v="54W x 32L"/>
    <s v="-"/>
    <s v=""/>
    <s v="Amazon Essentials Men's Classic-Fit Wrinkle-Resistant Flat-Front Chino Pant, Black, 54W x 32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WK29"/>
    <s v="196433257811"/>
    <s v="UPC"/>
    <x v="0"/>
    <s v="AE  Big &amp; Tall Classic CVC Pleated Chino Pant"/>
    <x v="22"/>
    <s v="Black"/>
    <s v="44W x 32L"/>
    <s v="-"/>
    <s v=""/>
    <s v="Amazon Essentials Men's Big &amp; Tall Classic-fit Wrinkle-Resistant Pleated Chino Pant Pants, Black, 44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WK1M"/>
    <s v="196433257538"/>
    <s v="UPC"/>
    <x v="0"/>
    <s v="AE  Big &amp; Tall Classic CVC Pleated Chino Pant"/>
    <x v="22"/>
    <s v="Black"/>
    <s v="58W x 30L"/>
    <s v="-"/>
    <s v=""/>
    <s v="Amazon Essentials Men's Classic-Fit Wrinkle-Resistant Pleated Chino Pant (Available in Big &amp; Tall), Black, 58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SQLB"/>
    <s v="196433256203"/>
    <s v="UPC"/>
    <x v="0"/>
    <s v="AE  Big &amp; Tall Classic CVC Pleated Chino Pant"/>
    <x v="22"/>
    <s v="Navy"/>
    <s v="60W x 28L"/>
    <s v="-"/>
    <s v=""/>
    <s v="Amazon Essentials Men's Big &amp; Tall Classic-fit Wrinkle-Resistant Pleated Chino Pant Pants, Navy, 60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SFP1"/>
    <s v="196433256579"/>
    <s v="UPC"/>
    <x v="0"/>
    <s v="AE  Big &amp; Tall Classic CVC Pleated Chino Pant"/>
    <x v="22"/>
    <s v="Black"/>
    <s v="54W x 30L"/>
    <s v="-"/>
    <s v=""/>
    <s v="Amazon Essentials Men's Big &amp; Tall Classic-fit Wrinkle-Resistant Pleated Chino Pant Pants, Black, 54W x 30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QJ4Q"/>
    <s v="196433257750"/>
    <s v="UPC"/>
    <x v="0"/>
    <s v="AE  Big &amp; Tall Classic CVC Pleated Chino Pant"/>
    <x v="22"/>
    <s v="Black"/>
    <s v="46W x 34L"/>
    <s v="-"/>
    <s v=""/>
    <s v="Amazon Essentials Men's Big &amp; Tall Classic-fit Wrinkle-Resistant Pleated Chino Pant Pants, Black, 46W x 34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QHX4"/>
    <s v="196433254117"/>
    <s v="UPC"/>
    <x v="0"/>
    <s v="AE  Big &amp; Tall Classic CVC FF Chino Pant"/>
    <x v="23"/>
    <s v="Navy"/>
    <s v="46W x 30L"/>
    <s v="-"/>
    <s v=""/>
    <s v="Amazon Essentials Men's Classic-Fit Wrinkle-Resistant Flat-Front Chino Pant, Navy, 46W x 30L"/>
    <s v="Accepted: In stock"/>
    <s v="Ship window (Collect)"/>
    <x v="0"/>
    <x v="0"/>
    <x v="0"/>
    <n v="180"/>
    <n v="180"/>
    <n v="192"/>
    <n v="192"/>
    <n v="0"/>
    <n v="-12"/>
    <m/>
    <m/>
    <n v="0"/>
    <m/>
    <m/>
    <n v="180"/>
    <x v="0"/>
    <n v="180"/>
    <n v="0"/>
    <m/>
    <n v="1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PQVR"/>
    <s v="196433257040"/>
    <s v="UPC"/>
    <x v="0"/>
    <s v="AE  Big &amp; Tall Classic CVC Pleated Chino Pant"/>
    <x v="22"/>
    <s v="Navy"/>
    <s v="50W x 32L"/>
    <s v="-"/>
    <s v=""/>
    <s v="Amazon Essentials Men's Big &amp; Tall Classic-fit Wrinkle-Resistant Pleated Chino Pant Pants, Navy, 5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PM14"/>
    <s v="196433256173"/>
    <s v="UPC"/>
    <x v="0"/>
    <s v="AE  Big &amp; Tall Classic CVC Pleated Chino Pant"/>
    <x v="22"/>
    <s v="Charcoal"/>
    <s v="60W x 28L"/>
    <s v="-"/>
    <s v=""/>
    <s v="Amazon Essentials Men's Big &amp; Tall Classic-fit Wrinkle-Resistant Pleated Chino Pant Pants, Grey, 6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PGNQ"/>
    <s v="196433254544"/>
    <s v="UPC"/>
    <x v="0"/>
    <s v="AE  Big &amp; Tall Classic CVC FF Chino Pant"/>
    <x v="23"/>
    <s v="Khaki Beige"/>
    <s v="54W x 30L"/>
    <s v="-"/>
    <s v=""/>
    <s v="Amazon Essentials Men's Classic-Fit Wrinkle-Resistant Flat-Front Chino Pant, Khaki Beige, 54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N39C"/>
    <s v="196433256838"/>
    <s v="UPC"/>
    <x v="0"/>
    <s v="AE  Big &amp; Tall Classic CVC Pleated Chino Pant"/>
    <x v="22"/>
    <s v="Charcoal"/>
    <s v="52W x 28L"/>
    <s v="-"/>
    <s v=""/>
    <s v="Amazon Essentials Men's Big &amp; Tall Classic-fit Wrinkle-Resistant Pleated Chino Pant Pants, Grey, 52W x 28L"/>
    <s v="Accepted: In stock"/>
    <s v="Ship window (Collect)"/>
    <x v="0"/>
    <x v="0"/>
    <x v="0"/>
    <n v="168"/>
    <n v="168"/>
    <n v="180"/>
    <n v="180"/>
    <n v="0"/>
    <n v="-12"/>
    <m/>
    <m/>
    <m/>
    <m/>
    <m/>
    <n v="168"/>
    <x v="0"/>
    <n v="168"/>
    <n v="0"/>
    <m/>
    <n v="1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N39B"/>
    <s v="196433256869"/>
    <s v="UPC"/>
    <x v="0"/>
    <s v="AE  Big &amp; Tall Classic CVC Pleated Chino Pant"/>
    <x v="22"/>
    <s v="Navy"/>
    <s v="52W x 28L"/>
    <s v="-"/>
    <s v=""/>
    <s v="Amazon Essentials Men's Big &amp; Tall Classic-fit Wrinkle-Resistant Pleated Chino Pant Pants, Navy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MBW3"/>
    <s v="196433255886"/>
    <s v="UPC"/>
    <x v="0"/>
    <s v="AE  Big &amp; Tall Classic CVC FF Chino Pant"/>
    <x v="23"/>
    <s v="Charcoal"/>
    <s v="48W x 28L"/>
    <s v="-"/>
    <s v=""/>
    <s v="Amazon Essentials Men's Classic-Fit Wrinkle-Resistant Flat-Front Chino Pant, Charcoal, 48W x 28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L2J6"/>
    <s v="196433258221"/>
    <s v="UPC"/>
    <x v="0"/>
    <s v="AE  Big &amp; Tall Classic CVC Pleated Chino Pant"/>
    <x v="22"/>
    <s v="Navy"/>
    <s v="46W x 32L"/>
    <s v="-"/>
    <s v=""/>
    <s v="Amazon Essentials Men's Big &amp; Tall Classic-fit Wrinkle-Resistant Pleated Chino Pant Pants, Navy, 46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L2HL"/>
    <s v="196433257958"/>
    <s v="UPC"/>
    <x v="0"/>
    <s v="AE  Big &amp; Tall Classic CVC Pleated Chino Pant"/>
    <x v="22"/>
    <s v="Charcoal"/>
    <s v="48W x 32L"/>
    <s v="-"/>
    <s v=""/>
    <s v="Amazon Essentials Men's Big &amp; Tall Classic-fit Wrinkle-Resistant Pleated Chino Pant Pants, Grey, 48W x 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KTMC"/>
    <s v="196433254162"/>
    <s v="UPC"/>
    <x v="0"/>
    <s v="AE  Big &amp; Tall Classic CVC FF Chino Pant"/>
    <x v="23"/>
    <s v="Black"/>
    <s v="60W x 34L"/>
    <s v="-"/>
    <s v=""/>
    <s v="Amazon Essentials Men's Classic-Fit Wrinkle-Resistant Flat-Front Chino Pant, Black, 60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KGT7"/>
    <s v="196433254582"/>
    <s v="UPC"/>
    <x v="0"/>
    <s v="AE  Big &amp; Tall Classic CVC FF Chino Pant"/>
    <x v="23"/>
    <s v="Khaki Beige"/>
    <s v="48W x 34L"/>
    <s v="-"/>
    <s v=""/>
    <s v="Amazon Essentials Men's Classic-Fit Wrinkle-Resistant Flat-Front Chino Pant, Khaki Beige, 48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KCX5"/>
    <s v="196433253967"/>
    <s v="UPC"/>
    <x v="0"/>
    <s v="AE  Big &amp; Tall Classic CVC FF Chino Pant"/>
    <x v="23"/>
    <s v="Navy"/>
    <s v="44W x 32L"/>
    <s v="-"/>
    <s v=""/>
    <s v="Amazon Essentials Men's Classic-Fit Wrinkle-Resistant Flat-Front Chino Pant, Navy, 44W x 32L"/>
    <s v="Accepted: In stock"/>
    <s v="Ship window (Collect)"/>
    <x v="0"/>
    <x v="0"/>
    <x v="0"/>
    <n v="180"/>
    <n v="180"/>
    <n v="192"/>
    <n v="192"/>
    <n v="0"/>
    <n v="-12"/>
    <m/>
    <m/>
    <n v="0"/>
    <m/>
    <m/>
    <n v="180"/>
    <x v="0"/>
    <n v="180"/>
    <n v="0"/>
    <m/>
    <n v="1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JTTT"/>
    <s v="196433254384"/>
    <s v="UPC"/>
    <x v="0"/>
    <s v="AE  Big &amp; Tall Classic CVC FF Chino Pant"/>
    <x v="23"/>
    <s v="Black"/>
    <s v="56W x 28L"/>
    <s v="-"/>
    <s v=""/>
    <s v="Amazon Essentials Men's Classic-Fit Wrinkle-Resistant Flat-Front Chino Pant, Black, 56W x 28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JCVY"/>
    <s v="196433253998"/>
    <s v="UPC"/>
    <x v="0"/>
    <s v="AE  Big &amp; Tall Classic CVC FF Chino Pant"/>
    <x v="23"/>
    <s v="Navy"/>
    <s v="50W x 28L"/>
    <s v="-"/>
    <s v=""/>
    <s v="Amazon Essentials Men's Classic-Fit Wrinkle-Resistant Flat-Front Chino Pant, Navy, 50W x 28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G4DY"/>
    <s v="196433257071"/>
    <s v="UPC"/>
    <x v="0"/>
    <s v="AE  Big &amp; Tall Classic CVC Pleated Chino Pant"/>
    <x v="22"/>
    <s v="Charcoal"/>
    <s v="44W x 30L"/>
    <s v="-"/>
    <s v=""/>
    <s v="Amazon Essentials Men's Big &amp; Tall Classic-fit Wrinkle-Resistant Pleated Chino Pant Pants, Grey, 44W x 30L"/>
    <s v="Accepted: In stock"/>
    <s v="Ship window (Collect)"/>
    <x v="0"/>
    <x v="0"/>
    <x v="0"/>
    <n v="240"/>
    <n v="240"/>
    <n v="252"/>
    <n v="252"/>
    <n v="0"/>
    <n v="-12"/>
    <m/>
    <m/>
    <n v="0"/>
    <m/>
    <m/>
    <n v="240"/>
    <x v="0"/>
    <n v="240"/>
    <n v="0"/>
    <m/>
    <n v="2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F3ZZ"/>
    <s v="196433256906"/>
    <s v="UPC"/>
    <x v="0"/>
    <s v="AE  Big &amp; Tall Classic CVC Pleated Chino Pant"/>
    <x v="22"/>
    <s v="Khaki Beige"/>
    <s v="44W x 34L"/>
    <s v="-"/>
    <s v=""/>
    <s v="Amazon Essentials Men's Big &amp; Tall Classic-fit Wrinkle-Resistant Pleated Chino Pant Pants, Khaki, 44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DP1R"/>
    <s v="196433255503"/>
    <s v="UPC"/>
    <x v="0"/>
    <s v="AE  Big &amp; Tall Classic CVC FF Chino Pant"/>
    <x v="23"/>
    <s v="Dark Olive"/>
    <s v="60W x 28L"/>
    <s v="-"/>
    <s v=""/>
    <s v="Amazon Essentials Men's Classic-Fit Wrinkle-Resistant Flat-Front Chino Pant, Dark Olive, 6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DNZY"/>
    <s v="196433255190"/>
    <s v="UPC"/>
    <x v="0"/>
    <s v="AE  Big &amp; Tall Classic CVC FF Chino Pant"/>
    <x v="23"/>
    <s v="Dark Brown"/>
    <s v="52W x 28L"/>
    <s v="-"/>
    <s v=""/>
    <s v="Amazon Essentials Men's Classic-Fit Wrinkle-Resistant Flat-Front Chino Pant, Dark Brown, 52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DNZL"/>
    <s v="196433255015"/>
    <s v="UPC"/>
    <x v="0"/>
    <s v="AE  Big &amp; Tall Classic CVC FF Chino Pant"/>
    <x v="23"/>
    <s v="Dark Brown"/>
    <s v="60W x 32L"/>
    <s v="-"/>
    <s v=""/>
    <s v="Amazon Essentials Men's Classic-Fit Wrinkle-Resistant Flat-Front Chino Pant, Dark Brown, 6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BWK4"/>
    <s v="196433256746"/>
    <s v="UPC"/>
    <x v="0"/>
    <s v="AE  Big &amp; Tall Classic CVC Pleated Chino Pant"/>
    <x v="22"/>
    <s v="Navy"/>
    <s v="54W x 32L"/>
    <s v="-"/>
    <s v=""/>
    <s v="Amazon Essentials Men's Big &amp; Tall Classic-fit Wrinkle-Resistant Pleated Chino Pant Pants, Navy, 54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BWH4"/>
    <s v="196433255961"/>
    <s v="UPC"/>
    <x v="0"/>
    <s v="AE  Big &amp; Tall Classic CVC FF Chino Pant"/>
    <x v="23"/>
    <s v="Charcoal"/>
    <s v="46W x 30L"/>
    <s v="-"/>
    <s v=""/>
    <s v="Amazon Essentials Men's Classic-Fit Wrinkle-Resistant Flat-Front Chino Pant, Charcoal, 46W x 30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B9Q3"/>
    <s v="196433257682"/>
    <s v="UPC"/>
    <x v="0"/>
    <s v="AE  Big &amp; Tall Classic CVC Pleated Chino Pant"/>
    <x v="22"/>
    <s v="Navy"/>
    <s v="46W x 30L"/>
    <s v="-"/>
    <s v=""/>
    <s v="Amazon Essentials Men's Big &amp; Tall Classic-fit Wrinkle-Resistant Pleated Chino Pant Pants, Navy, 46W x 30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99ZT"/>
    <s v="196433253868"/>
    <s v="UPC"/>
    <x v="0"/>
    <s v="AE  Big &amp; Tall Classic CVC FF Chino Pant"/>
    <x v="23"/>
    <s v="Navy"/>
    <s v="46W x 32L"/>
    <s v="-"/>
    <s v=""/>
    <s v="Amazon Essentials Men's Classic-Fit Wrinkle-Resistant Flat-Front Chino Pant, Navy, 46W x 32L"/>
    <s v="Accepted: In stock"/>
    <s v="Ship window (Collect)"/>
    <x v="0"/>
    <x v="0"/>
    <x v="0"/>
    <n v="144"/>
    <n v="144"/>
    <n v="120"/>
    <n v="120"/>
    <n v="0"/>
    <n v="24"/>
    <n v="24"/>
    <m/>
    <n v="0"/>
    <m/>
    <m/>
    <n v="120"/>
    <x v="0"/>
    <n v="120"/>
    <n v="24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834N"/>
    <s v="196433258054"/>
    <s v="UPC"/>
    <x v="0"/>
    <s v="AE  Big &amp; Tall Classic CVC Pleated Chino Pant"/>
    <x v="22"/>
    <s v="Black"/>
    <s v="60W x 30L"/>
    <s v="-"/>
    <s v=""/>
    <s v="Amazon Essentials Men's Classic-Fit Wrinkle-Resistant Pleated Chino Pant (Available in Big &amp; Tall), Black, 60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PTT"/>
    <s v="196433258108"/>
    <s v="UPC"/>
    <x v="0"/>
    <s v="AE  Big &amp; Tall Classic CVC Pleated Chino Pant"/>
    <x v="22"/>
    <s v="Navy"/>
    <s v="60W x 30L"/>
    <s v="-"/>
    <s v=""/>
    <s v="Amazon Essentials Men's Big &amp; Tall Classic-fit Wrinkle-Resistant Pleated Chino Pant Pants, Navy, 60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6KB"/>
    <s v="196433257774"/>
    <s v="UPC"/>
    <x v="0"/>
    <s v="AE  Big &amp; Tall Classic CVC Pleated Chino Pant"/>
    <x v="22"/>
    <s v="Charcoal"/>
    <s v="46W x 34L"/>
    <s v="-"/>
    <s v=""/>
    <s v="Amazon Essentials Men's Classic-Fit Wrinkle-Resistant Pleated Chino Pant (Available in Big &amp; Tall), Charcoal, 46W x 34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6J6"/>
    <s v="196433256814"/>
    <s v="UPC"/>
    <x v="0"/>
    <s v="AE  Big &amp; Tall Classic CVC Pleated Chino Pant"/>
    <x v="22"/>
    <s v="Black"/>
    <s v="52W x 28L"/>
    <s v="-"/>
    <s v=""/>
    <s v="Amazon Essentials Men's Classic-Fit Wrinkle-Resistant Pleated Chino Pant (Available in Big &amp; Tall), Black, 52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6CB"/>
    <s v="196433254575"/>
    <s v="UPC"/>
    <x v="0"/>
    <s v="AE  Big &amp; Tall Classic CVC FF Chino Pant"/>
    <x v="23"/>
    <s v="Khaki Beige"/>
    <s v="54W x 28L"/>
    <s v="-"/>
    <s v=""/>
    <s v="Amazon Essentials Men's Classic-Fit Wrinkle-Resistant Flat-Front Chino Pant, Khaki Beige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76BZ"/>
    <s v="196433254445"/>
    <s v="UPC"/>
    <x v="0"/>
    <s v="AE  Big &amp; Tall Classic CVC FF Chino Pant"/>
    <x v="23"/>
    <s v="Black"/>
    <s v="52W x 30L"/>
    <s v="-"/>
    <s v=""/>
    <s v="Amazon Essentials Men's Classic-Fit Wrinkle-Resistant Flat-Front Chino Pant, Black, 52W x 30L"/>
    <s v="Accepted: In stock"/>
    <s v="Ship window (Collect)"/>
    <x v="0"/>
    <x v="0"/>
    <x v="0"/>
    <n v="228"/>
    <n v="228"/>
    <n v="216"/>
    <n v="216"/>
    <n v="0"/>
    <n v="12"/>
    <n v="12"/>
    <m/>
    <n v="0"/>
    <m/>
    <m/>
    <n v="216"/>
    <x v="0"/>
    <n v="216"/>
    <n v="12"/>
    <m/>
    <n v="1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75X8"/>
    <s v="196433258146"/>
    <s v="UPC"/>
    <x v="0"/>
    <s v="AE  Big &amp; Tall Classic CVC Pleated Chino Pant"/>
    <x v="22"/>
    <s v="Khaki Beige"/>
    <s v="60W x 34L"/>
    <s v="-"/>
    <s v=""/>
    <s v="Amazon Essentials Men's Classic-Fit Wrinkle-Resistant Pleated Chino Pant (Available in Big &amp; Tall), Khaki Beige, 60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5TR"/>
    <s v="196433256692"/>
    <s v="UPC"/>
    <x v="0"/>
    <s v="AE  Big &amp; Tall Classic CVC Pleated Chino Pant"/>
    <x v="22"/>
    <s v="Black"/>
    <s v="54W x 32L"/>
    <s v="-"/>
    <s v=""/>
    <s v="Amazon Essentials Men's Classic-Fit Wrinkle-Resistant Pleated Chino Pant (Available in Big &amp; Tall), Black, 54W x 32L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0"/>
    <n v="144"/>
    <n v="0"/>
    <m/>
    <n v="1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5T4"/>
    <s v="196433256425"/>
    <s v="UPC"/>
    <x v="0"/>
    <s v="AE  Big &amp; Tall Classic CVC Pleated Chino Pant"/>
    <x v="22"/>
    <s v="Khaki Beige"/>
    <s v="50W x 30L"/>
    <s v="-"/>
    <s v=""/>
    <s v="Amazon Essentials Men's Big &amp; Tall Classic-fit Wrinkle-Resistant Pleated Chino Pant Pants, Khaki, 50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75SC"/>
    <s v="196433256128"/>
    <s v="UPC"/>
    <x v="0"/>
    <s v="AE  Big &amp; Tall Classic CVC Pleated Chino Pant"/>
    <x v="22"/>
    <s v="Khaki Beige"/>
    <s v="52W x 32L"/>
    <s v="-"/>
    <s v=""/>
    <s v="Amazon Essentials Men's Big &amp; Tall Classic-fit Wrinkle-Resistant Pleated Chino Pant Pants, Khaki, 5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6Z44"/>
    <s v="196433256968"/>
    <s v="UPC"/>
    <x v="0"/>
    <s v="AE  Big &amp; Tall Classic CVC Pleated Chino Pant"/>
    <x v="22"/>
    <s v="Khaki Beige"/>
    <s v="58W x 34L"/>
    <s v="-"/>
    <s v=""/>
    <s v="Amazon Essentials Men's Big &amp; Tall Classic-fit Wrinkle-Resistant Pleated Chino Pant Pants, Khaki, 5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6Z2G"/>
    <s v="196433255992"/>
    <s v="UPC"/>
    <x v="0"/>
    <s v="AE  Big &amp; Tall Classic CVC FF Chino Pant"/>
    <x v="23"/>
    <s v="Charcoal"/>
    <s v="58W x 30L"/>
    <s v="-"/>
    <s v=""/>
    <s v="Amazon Essentials Men's Classic-Fit Wrinkle-Resistant Flat-Front Chino Pant, Charcoal, 58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5SP7"/>
    <s v="196433256500"/>
    <s v="UPC"/>
    <x v="0"/>
    <s v="AE  Big &amp; Tall Classic CVC Pleated Chino Pant"/>
    <x v="22"/>
    <s v="Navy"/>
    <s v="60W x 32L"/>
    <s v="-"/>
    <s v=""/>
    <s v="Amazon Essentials Men's Big &amp; Tall Classic-fit Wrinkle-Resistant Pleated Chino Pant Pants, Navy, 60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5QBM"/>
    <s v="196433256036"/>
    <s v="UPC"/>
    <x v="0"/>
    <s v="AE  Big &amp; Tall Classic CVC Pleated Chino Pant"/>
    <x v="22"/>
    <s v="Black"/>
    <s v="46W x 28L"/>
    <s v="-"/>
    <s v=""/>
    <s v="Amazon Essentials Men's Big &amp; Tall Classic-fit Wrinkle-Resistant Pleated Chino Pant Pants, Black, 46W x 28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5QB9"/>
    <s v="196433255862"/>
    <s v="UPC"/>
    <x v="0"/>
    <s v="AE  Big &amp; Tall Classic CVC FF Chino Pant"/>
    <x v="23"/>
    <s v="Charcoal"/>
    <s v="56W x 28L"/>
    <s v="-"/>
    <s v=""/>
    <s v="Amazon Essentials Men's Classic-Fit Wrinkle-Resistant Flat-Front Chino Pant, Charcoal, 56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4RFR"/>
    <s v="196433257590"/>
    <s v="UPC"/>
    <x v="0"/>
    <s v="AE  Big &amp; Tall Classic CVC Pleated Chino Pant"/>
    <x v="22"/>
    <s v="Black"/>
    <s v="56W x 28L"/>
    <s v="-"/>
    <s v=""/>
    <s v="Amazon Essentials Men's Big &amp; Tall Classic-fit Wrinkle-Resistant Pleated Chino Pant Pants, Black, 5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4RDH"/>
    <s v="196433256890"/>
    <s v="UPC"/>
    <x v="0"/>
    <s v="AE  Big &amp; Tall Classic CVC Pleated Chino Pant"/>
    <x v="22"/>
    <s v="Charcoal"/>
    <s v="44W x 34L"/>
    <s v="-"/>
    <s v=""/>
    <s v="Amazon Essentials Men's Big &amp; Tall Classic-fit Wrinkle-Resistant Pleated Chino Pant Pants, Grey, 44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4RD8"/>
    <s v="196433256753"/>
    <s v="UPC"/>
    <x v="0"/>
    <s v="AE  Big &amp; Tall Classic CVC Pleated Chino Pant"/>
    <x v="22"/>
    <s v="Black"/>
    <s v="54W x 28L"/>
    <s v="-"/>
    <s v=""/>
    <s v="Amazon Essentials Men's Big &amp; Tall Classic-fit Wrinkle-Resistant Pleated Chino Pant Pants, Black, 54W x 28L"/>
    <s v="Accepted: In stock"/>
    <s v="Ship window (Collect)"/>
    <x v="0"/>
    <x v="0"/>
    <x v="0"/>
    <n v="108"/>
    <n v="108"/>
    <n v="96"/>
    <n v="96"/>
    <n v="0"/>
    <n v="12"/>
    <n v="12"/>
    <m/>
    <n v="0"/>
    <m/>
    <m/>
    <n v="96"/>
    <x v="0"/>
    <n v="96"/>
    <n v="12"/>
    <m/>
    <n v="8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4DMX"/>
    <s v="196433254414"/>
    <s v="UPC"/>
    <x v="0"/>
    <s v="AE  Big &amp; Tall Classic CVC FF Chino Pant"/>
    <x v="23"/>
    <s v="Black"/>
    <s v="50W x 32L"/>
    <s v="-"/>
    <s v=""/>
    <s v="Amazon Essentials Men's Classic-Fit Wrinkle-Resistant Flat-Front Chino Pant, Black, 50W x 32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3MJ2"/>
    <s v="196433255022"/>
    <s v="UPC"/>
    <x v="0"/>
    <s v="AE  Big &amp; Tall Classic CVC FF Chino Pant"/>
    <x v="23"/>
    <s v="Dark Brown"/>
    <s v="56W x 30L"/>
    <s v="-"/>
    <s v=""/>
    <s v="Amazon Essentials Men's Classic-Fit Wrinkle-Resistant Flat-Front Chino Pant, Dark Brown, 56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3MHR"/>
    <s v="196433254797"/>
    <s v="UPC"/>
    <x v="0"/>
    <s v="AE  Big &amp; Tall Classic CVC FF Chino Pant"/>
    <x v="23"/>
    <s v="Khaki Beige"/>
    <s v="52W x 34L"/>
    <s v="-"/>
    <s v=""/>
    <s v="Amazon Essentials Men's Classic-Fit Wrinkle-Resistant Flat-Front Chino Pant, Khaki Beige, 52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2WYV"/>
    <s v="196433256562"/>
    <s v="UPC"/>
    <x v="0"/>
    <s v="AE  Big &amp; Tall Classic CVC Pleated Chino Pant"/>
    <x v="22"/>
    <s v="Navy"/>
    <s v="48W x 34L"/>
    <s v="-"/>
    <s v=""/>
    <s v="Amazon Essentials Men's Big &amp; Tall Classic-fit Wrinkle-Resistant Pleated Chino Pant Pants, Navy, 4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52WV6"/>
    <s v="196433254674"/>
    <s v="UPC"/>
    <x v="0"/>
    <s v="AE  Big &amp; Tall Classic CVC FF Chino Pant"/>
    <x v="23"/>
    <s v="Khaki Beige"/>
    <s v="48W x 30L"/>
    <s v="-"/>
    <s v=""/>
    <s v="Amazon Essentials Men's Classic-Fit Wrinkle-Resistant Flat-Front Chino Pant, Khaki Beige, 48W x 30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2WTL"/>
    <s v="196433254353"/>
    <s v="UPC"/>
    <x v="0"/>
    <s v="AE  Big &amp; Tall Classic CVC FF Chino Pant"/>
    <x v="23"/>
    <s v="Black"/>
    <s v="46W x 34L"/>
    <s v="-"/>
    <s v=""/>
    <s v="Amazon Essentials Men's Classic-Fit Wrinkle-Resistant Flat-Front Chino Pant, Black, 46W x 34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2WTF"/>
    <s v="196433254278"/>
    <s v="UPC"/>
    <x v="0"/>
    <s v="AE  Big &amp; Tall Classic CVC FF Chino Pant"/>
    <x v="23"/>
    <s v="Black"/>
    <s v="60W x 32L"/>
    <s v="-"/>
    <s v=""/>
    <s v="Amazon Essentials Men's Classic-Fit Wrinkle-Resistant Flat-Front Chino Pant, Black, 60W x 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2RFX"/>
    <s v="196433254803"/>
    <s v="UPC"/>
    <x v="0"/>
    <s v="AE  Big &amp; Tall Classic CVC FF Chino Pant"/>
    <x v="23"/>
    <s v="Khaki Beige"/>
    <s v="44W x 34L"/>
    <s v="-"/>
    <s v=""/>
    <s v="Amazon Essentials Men's Classic-Fit Wrinkle-Resistant Flat-Front Chino Pant, Khaki Beige, 44W x 34L"/>
    <s v="Accepted: In stock"/>
    <s v="Ship window (Collect)"/>
    <x v="0"/>
    <x v="0"/>
    <x v="0"/>
    <n v="132"/>
    <n v="132"/>
    <n v="132"/>
    <n v="132"/>
    <n v="0"/>
    <n v="0"/>
    <m/>
    <m/>
    <n v="0"/>
    <m/>
    <m/>
    <n v="132"/>
    <x v="0"/>
    <n v="132"/>
    <n v="0"/>
    <m/>
    <n v="1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29Y3"/>
    <s v="196433254391"/>
    <s v="UPC"/>
    <x v="0"/>
    <s v="AE  Big &amp; Tall Classic CVC FF Chino Pant"/>
    <x v="23"/>
    <s v="Black"/>
    <s v="60W x 28L"/>
    <s v="-"/>
    <s v=""/>
    <s v="Amazon Essentials Men's Classic-Fit Wrinkle-Resistant Flat-Front Chino Pant, Black, 6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1L8Q"/>
    <s v="196433254650"/>
    <s v="UPC"/>
    <x v="0"/>
    <s v="AE  Big &amp; Tall Classic CVC FF Chino Pant"/>
    <x v="23"/>
    <s v="Khaki Beige"/>
    <s v="56W x 30L"/>
    <s v="-"/>
    <s v=""/>
    <s v="Amazon Essentials Men's Classic-Fit Wrinkle-Resistant Flat-Front Chino Pant, Khaki Beige, 56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51L8F"/>
    <s v="196433254452"/>
    <s v="UPC"/>
    <x v="0"/>
    <s v="AE  Big &amp; Tall Classic CVC FF Chino Pant"/>
    <x v="23"/>
    <s v="Black"/>
    <s v="52W x 28L"/>
    <s v="-"/>
    <s v=""/>
    <s v="Amazon Essentials Men's Classic-Fit Wrinkle-Resistant Flat-Front Chino Pant, Black, 52W x 28L"/>
    <s v="Accepted: In stock"/>
    <s v="Ship window (Collect)"/>
    <x v="0"/>
    <x v="0"/>
    <x v="0"/>
    <n v="156"/>
    <n v="156"/>
    <n v="144"/>
    <n v="144"/>
    <n v="0"/>
    <n v="12"/>
    <n v="12"/>
    <m/>
    <n v="0"/>
    <m/>
    <m/>
    <n v="144"/>
    <x v="0"/>
    <n v="144"/>
    <n v="12"/>
    <m/>
    <n v="1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ZZ76"/>
    <s v="196433255596"/>
    <s v="UPC"/>
    <x v="0"/>
    <s v="AE  Big &amp; Tall Classic CVC FF Chino Pant"/>
    <x v="23"/>
    <s v="Dark Olive"/>
    <s v="46W x 30L"/>
    <s v="-"/>
    <s v=""/>
    <s v="Amazon Essentials Men's Classic-Fit Wrinkle-Resistant Flat-Front Chino Pant, Dark Olive, 46W x 30L"/>
    <s v="Accepted: In stock"/>
    <s v="Ship window (Collect)"/>
    <x v="0"/>
    <x v="0"/>
    <x v="0"/>
    <n v="48"/>
    <n v="48"/>
    <n v="36"/>
    <n v="36"/>
    <n v="0"/>
    <n v="12"/>
    <n v="12"/>
    <m/>
    <n v="0"/>
    <m/>
    <m/>
    <n v="36"/>
    <x v="0"/>
    <n v="36"/>
    <n v="12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ZZ5W"/>
    <s v="196433255107"/>
    <s v="UPC"/>
    <x v="0"/>
    <s v="AE  Big &amp; Tall Classic CVC FF Chino Pant"/>
    <x v="23"/>
    <s v="Dark Brown"/>
    <s v="50W x 28L"/>
    <s v="-"/>
    <s v=""/>
    <s v="Amazon Essentials Men's Classic-Fit Wrinkle-Resistant Flat-Front Chino Pant, Dark Brown, 50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ZZ59"/>
    <s v="196433254933"/>
    <s v="UPC"/>
    <x v="0"/>
    <s v="AE  Big &amp; Tall Classic CVC FF Chino Pant"/>
    <x v="23"/>
    <s v="Dark Brown"/>
    <s v="58W x 34L"/>
    <s v="-"/>
    <s v=""/>
    <s v="Amazon Essentials Men's Classic-Fit Wrinkle-Resistant Flat-Front Chino Pant, Dark Brown, 58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Z8B6"/>
    <s v="196433254223"/>
    <s v="UPC"/>
    <x v="0"/>
    <s v="AE  Big &amp; Tall Classic CVC FF Chino Pant"/>
    <x v="23"/>
    <s v="Black"/>
    <s v="50W x 34L"/>
    <s v="-"/>
    <s v=""/>
    <s v="Amazon Essentials Men's Classic-Fit Wrinkle-Resistant Flat-Front Chino Pant, Black, 50W x 34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Z34G"/>
    <s v="196433256470"/>
    <s v="UPC"/>
    <x v="0"/>
    <s v="AE  Big &amp; Tall Classic CVC Pleated Chino Pant"/>
    <x v="22"/>
    <s v="Charcoal"/>
    <s v="60W x 32L"/>
    <s v="-"/>
    <s v=""/>
    <s v="Amazon Essentials Men's Classic-Fit Wrinkle-Resistant Pleated Chino Pant (Available in Big &amp; Tall), Charcoal, 60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YC9X"/>
    <s v="196433254735"/>
    <s v="UPC"/>
    <x v="0"/>
    <s v="AE  Big &amp; Tall Classic CVC FF Chino Pant"/>
    <x v="23"/>
    <s v="Khaki Beige"/>
    <s v="50W x 28L"/>
    <s v="-"/>
    <s v=""/>
    <s v="Amazon Essentials Men's Classic-Fit Wrinkle-Resistant Flat-Front Chino Pant, Khaki Beige, 50W x 28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Y957"/>
    <s v="196433256364"/>
    <s v="UPC"/>
    <x v="0"/>
    <s v="AE  Big &amp; Tall Classic CVC Pleated Chino Pant"/>
    <x v="22"/>
    <s v="Khaki Beige"/>
    <s v="58W x 28L"/>
    <s v="-"/>
    <s v=""/>
    <s v="Amazon Essentials Men's Big &amp; Tall Classic-fit Wrinkle-Resistant Pleated Chino Pant Pants, Khaki, 58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Y92Z"/>
    <s v="196433255558"/>
    <s v="UPC"/>
    <x v="0"/>
    <s v="AE  Big &amp; Tall Classic CVC FF Chino Pant"/>
    <x v="23"/>
    <s v="Dark Olive"/>
    <s v="52W x 30L"/>
    <s v="-"/>
    <s v=""/>
    <s v="Amazon Essentials Men's Classic-Fit Wrinkle-Resistant Flat-Front Chino Pant, Dark Olive, 52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X7K4"/>
    <s v="196433257996"/>
    <s v="UPC"/>
    <x v="0"/>
    <s v="AE  Big &amp; Tall Classic CVC Pleated Chino Pant"/>
    <x v="22"/>
    <s v="Black"/>
    <s v="48W x 28L"/>
    <s v="-"/>
    <s v=""/>
    <s v="Amazon Essentials Men's Big &amp; Tall Classic-fit Wrinkle-Resistant Pleated Chino Pant Pants, Black, 48W x 28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X7DF"/>
    <s v="196433255657"/>
    <s v="UPC"/>
    <x v="0"/>
    <s v="AE  Big &amp; Tall Classic CVC FF Chino Pant"/>
    <x v="23"/>
    <s v="Charcoal"/>
    <s v="54W x 30L"/>
    <s v="-"/>
    <s v=""/>
    <s v="Amazon Essentials Men's Classic-Fit Wrinkle-Resistant Flat-Front Chino Pant, Charcoal, 54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X7CV"/>
    <s v="196433255442"/>
    <s v="UPC"/>
    <x v="0"/>
    <s v="AE  Big &amp; Tall Classic CVC FF Chino Pant"/>
    <x v="23"/>
    <s v="Dark Olive"/>
    <s v="44W x 32L"/>
    <s v="-"/>
    <s v=""/>
    <s v="Amazon Essentials Men's Classic-Fit Wrinkle-Resistant Flat-Front Chino Pant, Dark Olive, 44W x 32L"/>
    <s v="Accepted: In stock"/>
    <s v="Ship window (Collect)"/>
    <x v="0"/>
    <x v="0"/>
    <x v="0"/>
    <n v="180"/>
    <n v="180"/>
    <n v="180"/>
    <n v="180"/>
    <n v="0"/>
    <n v="0"/>
    <m/>
    <m/>
    <n v="0"/>
    <m/>
    <m/>
    <n v="180"/>
    <x v="0"/>
    <n v="180"/>
    <n v="0"/>
    <m/>
    <n v="1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X6W5"/>
    <s v="196433257613"/>
    <s v="UPC"/>
    <x v="0"/>
    <s v="AE  Big &amp; Tall Classic CVC Pleated Chino Pant"/>
    <x v="22"/>
    <s v="Charcoal"/>
    <s v="56W x 28L"/>
    <s v="-"/>
    <s v=""/>
    <s v="Amazon Essentials Men's Big &amp; Tall Classic-fit Wrinkle-Resistant Pleated Chino Pant Pants, Grey, 56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X6VG"/>
    <s v="196433257231"/>
    <s v="UPC"/>
    <x v="0"/>
    <s v="AE  Big &amp; Tall Classic CVC Pleated Chino Pant"/>
    <x v="22"/>
    <s v="Black"/>
    <s v="58W x 32L"/>
    <s v="-"/>
    <s v=""/>
    <s v="Amazon Essentials Men's Big &amp; Tall Classic-fit Wrinkle-Resistant Pleated Chino Pant Pants, Black, 58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X31C"/>
    <s v="196433256159"/>
    <s v="UPC"/>
    <x v="0"/>
    <s v="AE  Big &amp; Tall Classic CVC Pleated Chino Pant"/>
    <x v="22"/>
    <s v="Black"/>
    <s v="60W x 28L"/>
    <s v="-"/>
    <s v=""/>
    <s v="Amazon Essentials Men's Big &amp; Tall Classic-fit Wrinkle-Resistant Pleated Chino Pant Pants, Black, 60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X2WZ"/>
    <s v="196433254872"/>
    <s v="UPC"/>
    <x v="0"/>
    <s v="AE  Big &amp; Tall Classic CVC FF Chino Pant"/>
    <x v="23"/>
    <s v="Khaki Beige"/>
    <s v="56W x 32L"/>
    <s v="-"/>
    <s v=""/>
    <s v="Amazon Essentials Men's Classic-Fit Wrinkle-Resistant Flat-Front Chino Pant, Khaki Beige, 56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VGR1"/>
    <s v="196433254810"/>
    <s v="UPC"/>
    <x v="0"/>
    <s v="AE  Big &amp; Tall Classic CVC FF Chino Pant"/>
    <x v="23"/>
    <s v="Khaki Beige"/>
    <s v="52W x 30L"/>
    <s v="-"/>
    <s v=""/>
    <s v="Amazon Essentials Men's Classic-Fit Wrinkle-Resistant Flat-Front Chino Pant, Khaki Beige, 52W x 30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SCY9"/>
    <s v="196433255978"/>
    <s v="UPC"/>
    <x v="0"/>
    <s v="AE  Big &amp; Tall Classic CVC FF Chino Pant"/>
    <x v="23"/>
    <s v="Charcoal"/>
    <s v="52W x 32L"/>
    <s v="-"/>
    <s v=""/>
    <s v="Amazon Essentials Men's Classic-Fit Wrinkle-Resistant Flat-Front Chino Pant, Charcoal, 5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R755"/>
    <s v="196433254896"/>
    <s v="UPC"/>
    <x v="0"/>
    <s v="AE  Big &amp; Tall Classic CVC FF Chino Pant"/>
    <x v="23"/>
    <s v="Khaki Beige"/>
    <s v="44W x 28L"/>
    <s v="-"/>
    <s v=""/>
    <s v="Amazon Essentials Men's Classic-Fit Wrinkle-Resistant Flat-Front Chino Pant, Khaki Beige, 44W x 28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R74S"/>
    <s v="196433254698"/>
    <s v="UPC"/>
    <x v="0"/>
    <s v="AE  Big &amp; Tall Classic CVC FF Chino Pant"/>
    <x v="23"/>
    <s v="Khaki Beige"/>
    <s v="48W x 32L"/>
    <s v="-"/>
    <s v=""/>
    <s v="Amazon Essentials Men's Classic-Fit Wrinkle-Resistant Flat-Front Chino Pant, Khaki Beige, 48W x 32L"/>
    <s v="Accepted: In stock"/>
    <s v="Ship window (Collect)"/>
    <x v="0"/>
    <x v="0"/>
    <x v="0"/>
    <n v="144"/>
    <n v="144"/>
    <n v="156"/>
    <n v="156"/>
    <n v="0"/>
    <n v="-12"/>
    <m/>
    <m/>
    <n v="0"/>
    <m/>
    <m/>
    <n v="144"/>
    <x v="0"/>
    <n v="144"/>
    <n v="0"/>
    <m/>
    <n v="1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R73Y"/>
    <s v="196433254407"/>
    <s v="UPC"/>
    <x v="0"/>
    <s v="AE  Big &amp; Tall Classic CVC FF Chino Pant"/>
    <x v="23"/>
    <s v="Black"/>
    <s v="48W x 28L"/>
    <s v="-"/>
    <s v=""/>
    <s v="Amazon Essentials Men's Classic-Fit Wrinkle-Resistant Flat-Front Chino Pant, Black, 48W x 28L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R72S"/>
    <s v="196433253981"/>
    <s v="UPC"/>
    <x v="0"/>
    <s v="AE  Big &amp; Tall Classic CVC FF Chino Pant"/>
    <x v="23"/>
    <s v="Navy"/>
    <s v="46W x 34L"/>
    <s v="-"/>
    <s v=""/>
    <s v="Amazon Essentials Men's Classic-Fit Wrinkle-Resistant Flat-Front Chino Pant, Navy, 46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R6PT"/>
    <s v="196433257286"/>
    <s v="UPC"/>
    <x v="0"/>
    <s v="AE  Big &amp; Tall Classic CVC Pleated Chino Pant"/>
    <x v="22"/>
    <s v="Navy"/>
    <s v="58W x 32L"/>
    <s v="-"/>
    <s v=""/>
    <s v="Amazon Essentials Men's Big &amp; Tall Classic-fit Wrinkle-Resistant Pleated Chino Pant Pants, Navy, 58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R6NW"/>
    <s v="196433256784"/>
    <s v="UPC"/>
    <x v="0"/>
    <s v="AE  Big &amp; Tall Classic CVC Pleated Chino Pant"/>
    <x v="22"/>
    <s v="Khaki Beige"/>
    <s v="54W x 28L"/>
    <s v="-"/>
    <s v=""/>
    <s v="Amazon Essentials Men's Classic-Fit Wrinkle-Resistant Pleated Chino Pant (Available in Big &amp; Tall), Khaki Beige, 54W x 28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R6NK"/>
    <s v="196433256623"/>
    <s v="UPC"/>
    <x v="0"/>
    <s v="AE  Big &amp; Tall Classic CVC Pleated Chino Pant"/>
    <x v="22"/>
    <s v="Navy"/>
    <s v="54W x 30L"/>
    <s v="-"/>
    <s v=""/>
    <s v="Amazon Essentials Men's Big &amp; Tall Classic-fit Wrinkle-Resistant Pleated Chino Pant Pants, Navy, 54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QQGG"/>
    <s v="196433254643"/>
    <s v="UPC"/>
    <x v="0"/>
    <s v="AE  Big &amp; Tall Classic CVC FF Chino Pant"/>
    <x v="23"/>
    <s v="Khaki Beige"/>
    <s v="60W x 32L"/>
    <s v="-"/>
    <s v=""/>
    <s v="Amazon Essentials Men's Classic-Fit Wrinkle-Resistant Flat-Front Chino Pant, Khaki Beige, 60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PXL3"/>
    <s v="196433257446"/>
    <s v="UPC"/>
    <x v="0"/>
    <s v="AE  Big &amp; Tall Classic CVC Pleated Chino Pant"/>
    <x v="22"/>
    <s v="Khaki Beige"/>
    <s v="50W x 28L"/>
    <s v="-"/>
    <s v=""/>
    <s v="Amazon Essentials Men's Big &amp; Tall Classic-fit Wrinkle-Resistant Pleated Chino Pant Pants, Khaki, 50W x 28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PM1D"/>
    <s v="196433256456"/>
    <s v="UPC"/>
    <x v="0"/>
    <s v="AE  Big &amp; Tall Classic CVC Pleated Chino Pant"/>
    <x v="22"/>
    <s v="Black"/>
    <s v="60W x 32L"/>
    <s v="-"/>
    <s v=""/>
    <s v="Amazon Essentials Men's Big &amp; Tall Classic-fit Wrinkle-Resistant Pleated Chino Pant Pants, Black, 60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NCK4"/>
    <s v="196433256029"/>
    <s v="UPC"/>
    <x v="0"/>
    <s v="AE  Big &amp; Tall Classic CVC Pleated Chino Pant"/>
    <x v="22"/>
    <s v="Navy"/>
    <s v="56W x 28L"/>
    <s v="-"/>
    <s v=""/>
    <s v="Amazon Essentials Men's Big &amp; Tall Classic-fit Wrinkle-Resistant Pleated Chino Pant Pants, Navy, 56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TRL"/>
    <s v="196433258177"/>
    <s v="UPC"/>
    <x v="0"/>
    <s v="AE  Big &amp; Tall Classic CVC Pleated Chino Pant"/>
    <x v="22"/>
    <s v="Black"/>
    <s v="46W x 32L"/>
    <s v="-"/>
    <s v=""/>
    <s v="Amazon Essentials Men's Big &amp; Tall Classic-fit Wrinkle-Resistant Pleated Chino Pant Pants, Black, 46W x 32L"/>
    <s v="Accepted: In stock"/>
    <s v="Ship window (Collect)"/>
    <x v="0"/>
    <x v="0"/>
    <x v="0"/>
    <n v="120"/>
    <n v="120"/>
    <n v="120"/>
    <n v="120"/>
    <n v="0"/>
    <n v="0"/>
    <m/>
    <m/>
    <n v="0"/>
    <m/>
    <m/>
    <n v="120"/>
    <x v="0"/>
    <n v="120"/>
    <n v="0"/>
    <m/>
    <n v="1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TQ7"/>
    <s v="196433257699"/>
    <s v="UPC"/>
    <x v="0"/>
    <s v="AE  Big &amp; Tall Classic CVC Pleated Chino Pant"/>
    <x v="22"/>
    <s v="Black"/>
    <s v="52W x 30L"/>
    <s v="-"/>
    <s v=""/>
    <s v="Amazon Essentials Men's Big &amp; Tall Classic-fit Wrinkle-Resistant Pleated Chino Pant Pants, Black, 52W x 30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TPG"/>
    <s v="196433257118"/>
    <s v="UPC"/>
    <x v="0"/>
    <s v="AE  Big &amp; Tall Classic CVC Pleated Chino Pant"/>
    <x v="22"/>
    <s v="Black"/>
    <s v="48W x 30L"/>
    <s v="-"/>
    <s v=""/>
    <s v="Amazon Essentials Men's Big &amp; Tall Classic-fit Wrinkle-Resistant Pleated Chino Pant Pants, Black, 48W x 30L"/>
    <s v="Accepted: In stock"/>
    <s v="Ship window (Collect)"/>
    <x v="0"/>
    <x v="0"/>
    <x v="0"/>
    <n v="180"/>
    <n v="180"/>
    <n v="192"/>
    <n v="192"/>
    <n v="0"/>
    <n v="-12"/>
    <m/>
    <m/>
    <n v="0"/>
    <m/>
    <m/>
    <n v="180"/>
    <x v="0"/>
    <n v="180"/>
    <n v="0"/>
    <m/>
    <n v="1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D5Y"/>
    <s v="196433255800"/>
    <s v="UPC"/>
    <x v="0"/>
    <s v="AE  Big &amp; Tall Classic CVC FF Chino Pant"/>
    <x v="23"/>
    <s v="Charcoal"/>
    <s v="48W x 32L"/>
    <s v="-"/>
    <s v=""/>
    <s v="Amazon Essentials Men's Classic-Fit Wrinkle-Resistant Flat-Front Chino Pant, Charcoal, 48W x 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MD34"/>
    <s v="196433254230"/>
    <s v="UPC"/>
    <x v="0"/>
    <s v="AE  Big &amp; Tall Classic CVC FF Chino Pant"/>
    <x v="23"/>
    <s v="Black"/>
    <s v="46W x 32L"/>
    <s v="-"/>
    <s v=""/>
    <s v="Amazon Essentials Men's Classic-Fit Wrinkle-Resistant Flat-Front Chino Pant, Black, 46W x 32L"/>
    <s v="Accepted: In stock"/>
    <s v="Ship window (Collect)"/>
    <x v="0"/>
    <x v="0"/>
    <x v="0"/>
    <n v="276"/>
    <n v="276"/>
    <n v="300"/>
    <n v="300"/>
    <n v="0"/>
    <n v="-24"/>
    <m/>
    <m/>
    <m/>
    <m/>
    <m/>
    <n v="276"/>
    <x v="0"/>
    <n v="276"/>
    <n v="0"/>
    <m/>
    <n v="2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MBSH"/>
    <s v="196433257989"/>
    <s v="UPC"/>
    <x v="0"/>
    <s v="AE  Big &amp; Tall Classic CVC Pleated Chino Pant"/>
    <x v="22"/>
    <s v="Navy"/>
    <s v="48W x 32L"/>
    <s v="-"/>
    <s v=""/>
    <s v="Amazon Essentials Men's Big &amp; Tall Classic-fit Wrinkle-Resistant Pleated Chino Pant Pants, Navy, 48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BS9"/>
    <s v="196433257835"/>
    <s v="UPC"/>
    <x v="0"/>
    <s v="AE  Big &amp; Tall Classic CVC Pleated Chino Pant"/>
    <x v="22"/>
    <s v="Charcoal"/>
    <s v="44W x 32L"/>
    <s v="-"/>
    <s v=""/>
    <s v="Amazon Essentials Men's Big &amp; Tall Classic-fit Wrinkle-Resistant Pleated Chino Pant Pants, Grey, 44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BQY"/>
    <s v="196433256999"/>
    <s v="UPC"/>
    <x v="0"/>
    <s v="AE  Big &amp; Tall Classic CVC Pleated Chino Pant"/>
    <x v="22"/>
    <s v="Black"/>
    <s v="50W x 32L"/>
    <s v="-"/>
    <s v=""/>
    <s v="Amazon Essentials Men's Big &amp; Tall Classic-fit Wrinkle-Resistant Pleated Chino Pant Pants, Black, 50W x 32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MBPY"/>
    <s v="196433256548"/>
    <s v="UPC"/>
    <x v="0"/>
    <s v="AE  Big &amp; Tall Classic CVC Pleated Chino Pant"/>
    <x v="22"/>
    <s v="Khaki Beige"/>
    <s v="48W x 34L"/>
    <s v="-"/>
    <s v=""/>
    <s v="Amazon Essentials Men's Big &amp; Tall Classic-fit Wrinkle-Resistant Pleated Chino Pant Pants, Khaki, 48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LL9G"/>
    <s v="196433257354"/>
    <s v="UPC"/>
    <x v="0"/>
    <s v="AE  Big &amp; Tall Classic CVC Pleated Chino Pant"/>
    <x v="22"/>
    <s v="Black"/>
    <s v="56W x 32L"/>
    <s v="-"/>
    <s v=""/>
    <s v="Amazon Essentials Men's Classic-Fit Wrinkle-Resistant Pleated Chino Pant (Available in Big &amp; Tall), Black, 56W x 32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LL7Y"/>
    <s v="196433256296"/>
    <s v="UPC"/>
    <x v="0"/>
    <s v="AE  Big &amp; Tall Classic CVC Pleated Chino Pant"/>
    <x v="22"/>
    <s v="Charcoal"/>
    <s v="56W x 30L"/>
    <s v="-"/>
    <s v=""/>
    <s v="Amazon Essentials Men's Big &amp; Tall Classic-fit Wrinkle-Resistant Pleated Chino Pant Pants, Grey, 56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KSLG"/>
    <s v="196433257507"/>
    <s v="UPC"/>
    <x v="0"/>
    <s v="AE  Big &amp; Tall Classic CVC Pleated Chino Pant"/>
    <x v="22"/>
    <s v="Khaki Beige"/>
    <s v="56W x 34L"/>
    <s v="-"/>
    <s v=""/>
    <s v="Amazon Essentials Men's Big &amp; Tall Classic-fit Wrinkle-Resistant Pleated Chino Pant Pants, Khaki, 56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JNBJ"/>
    <s v="196433254612"/>
    <s v="UPC"/>
    <x v="0"/>
    <s v="AE  Big &amp; Tall Classic CVC FF Chino Pant"/>
    <x v="23"/>
    <s v="Khaki Beige"/>
    <s v="44W x 30L"/>
    <s v="-"/>
    <s v=""/>
    <s v="Amazon Essentials Men's Classic-Fit Wrinkle-Resistant Flat-Front Chino Pant, Khaki Beige, 44W x 30L"/>
    <s v="Accepted: In stock"/>
    <s v="Ship window (Collect)"/>
    <x v="0"/>
    <x v="0"/>
    <x v="0"/>
    <n v="120"/>
    <n v="120"/>
    <n v="132"/>
    <n v="132"/>
    <n v="0"/>
    <n v="-12"/>
    <m/>
    <m/>
    <n v="0"/>
    <m/>
    <m/>
    <n v="120"/>
    <x v="0"/>
    <n v="120"/>
    <n v="0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JN9V"/>
    <s v="196433254322"/>
    <s v="UPC"/>
    <x v="0"/>
    <s v="AE  Big &amp; Tall Classic CVC FF Chino Pant"/>
    <x v="23"/>
    <s v="Black"/>
    <s v="48W x 32L"/>
    <s v="-"/>
    <s v=""/>
    <s v="Amazon Essentials Men's Classic-Fit Wrinkle-Resistant Flat-Front Chino Pant, Black, 48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JN95"/>
    <s v="196433254049"/>
    <s v="UPC"/>
    <x v="0"/>
    <s v="AE  Big &amp; Tall Classic CVC FF Chino Pant"/>
    <x v="23"/>
    <s v="Navy"/>
    <s v="50W x 32L"/>
    <s v="-"/>
    <s v=""/>
    <s v="Amazon Essentials Men's Classic-Fit Wrinkle-Resistant Flat-Front Chino Pant, Navy, 50W x 32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J3TM"/>
    <s v="196433256333"/>
    <s v="UPC"/>
    <x v="0"/>
    <s v="AE  Big &amp; Tall Classic CVC Pleated Chino Pant"/>
    <x v="22"/>
    <s v="Black"/>
    <s v="58W x 28L"/>
    <s v="-"/>
    <s v=""/>
    <s v="Amazon Essentials Men's Big &amp; Tall Classic-fit Wrinkle-Resistant Pleated Chino Pant Pants, Black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J3SG"/>
    <s v="196433255725"/>
    <s v="UPC"/>
    <x v="0"/>
    <s v="AE  Big &amp; Tall Classic CVC FF Chino Pant"/>
    <x v="23"/>
    <s v="Charcoal"/>
    <s v="44W x 30L"/>
    <s v="-"/>
    <s v=""/>
    <s v="Amazon Essentials Men's Classic-Fit Wrinkle-Resistant Flat-Front Chino Pant, Charcoal, 44W x 30L"/>
    <s v="Accepted: In stock"/>
    <s v="Ship window (Collect)"/>
    <x v="0"/>
    <x v="0"/>
    <x v="0"/>
    <n v="108"/>
    <n v="108"/>
    <n v="108"/>
    <n v="108"/>
    <n v="0"/>
    <n v="0"/>
    <m/>
    <m/>
    <n v="0"/>
    <m/>
    <m/>
    <n v="108"/>
    <x v="0"/>
    <n v="108"/>
    <n v="0"/>
    <m/>
    <n v="9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J3RH"/>
    <s v="196433255343"/>
    <s v="UPC"/>
    <x v="0"/>
    <s v="AE  Big &amp; Tall Classic CVC FF Chino Pant"/>
    <x v="23"/>
    <s v="Dark Olive"/>
    <s v="46W x 32L"/>
    <s v="-"/>
    <s v=""/>
    <s v="Amazon Essentials Men's Classic-Fit Wrinkle-Resistant Flat-Front Chino Pant, Dark Olive, 46W x 32L"/>
    <s v="Accepted: In stock"/>
    <s v="Ship window (Collect)"/>
    <x v="0"/>
    <x v="0"/>
    <x v="0"/>
    <n v="168"/>
    <n v="168"/>
    <n v="156"/>
    <n v="156"/>
    <n v="0"/>
    <n v="12"/>
    <n v="12"/>
    <m/>
    <n v="0"/>
    <m/>
    <m/>
    <n v="156"/>
    <x v="0"/>
    <n v="156"/>
    <n v="12"/>
    <m/>
    <n v="1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J3PL"/>
    <s v="196433254483"/>
    <s v="UPC"/>
    <x v="0"/>
    <s v="AE  Big &amp; Tall Classic CVC FF Chino Pant"/>
    <x v="23"/>
    <s v="Black"/>
    <s v="46W x 30L"/>
    <s v="-"/>
    <s v=""/>
    <s v="Amazon Essentials Men's Classic-Fit Wrinkle-Resistant Flat-Front Chino Pant, Black, 46W x 30L"/>
    <s v="Accepted: In stock"/>
    <s v="Ship window (Collect)"/>
    <x v="0"/>
    <x v="0"/>
    <x v="0"/>
    <n v="84"/>
    <n v="84"/>
    <n v="96"/>
    <n v="96"/>
    <n v="0"/>
    <n v="-12"/>
    <m/>
    <m/>
    <n v="0"/>
    <m/>
    <m/>
    <n v="84"/>
    <x v="0"/>
    <n v="84"/>
    <n v="0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GT48"/>
    <s v="196433256050"/>
    <s v="UPC"/>
    <x v="0"/>
    <s v="AE  Big &amp; Tall Classic CVC Pleated Chino Pant"/>
    <x v="22"/>
    <s v="Charcoal"/>
    <s v="46W x 28L"/>
    <s v="-"/>
    <s v=""/>
    <s v="Amazon Essentials Men's Big &amp; Tall Classic-fit Wrinkle-Resistant Pleated Chino Pant Pants, Grey, 46W x 28L"/>
    <s v="Accepted: In stock"/>
    <s v="Ship window (Collect)"/>
    <x v="0"/>
    <x v="0"/>
    <x v="0"/>
    <n v="168"/>
    <n v="168"/>
    <n v="180"/>
    <n v="180"/>
    <n v="0"/>
    <n v="-12"/>
    <m/>
    <m/>
    <n v="0"/>
    <m/>
    <m/>
    <n v="168"/>
    <x v="0"/>
    <n v="168"/>
    <n v="0"/>
    <m/>
    <n v="1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GPBP"/>
    <s v="196433256111"/>
    <s v="UPC"/>
    <x v="0"/>
    <s v="AE  Big &amp; Tall Classic CVC Pleated Chino Pant"/>
    <x v="22"/>
    <s v="Charcoal"/>
    <s v="52W x 32L"/>
    <s v="-"/>
    <s v=""/>
    <s v="Amazon Essentials Men's Big &amp; Tall Classic-fit Wrinkle-Resistant Pleated Chino Pant Pants, Grey, 52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GP7Y"/>
    <s v="196433254513"/>
    <s v="UPC"/>
    <x v="0"/>
    <s v="AE  Big &amp; Tall Classic CVC FF Chino Pant"/>
    <x v="23"/>
    <s v="Black"/>
    <s v="58W x 30L"/>
    <s v="-"/>
    <s v=""/>
    <s v="Amazon Essentials Men's Classic-Fit Wrinkle-Resistant Flat-Front Chino Pant, Black, 58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GP7M"/>
    <s v="196433254315"/>
    <s v="UPC"/>
    <x v="0"/>
    <s v="AE  Big &amp; Tall Classic CVC FF Chino Pant"/>
    <x v="23"/>
    <s v="Black"/>
    <s v="60W x 30L"/>
    <s v="-"/>
    <s v=""/>
    <s v="Amazon Essentials Men's Classic-Fit Wrinkle-Resistant Flat-Front Chino Pant, Black, 60W x 30L"/>
    <s v="Accepted: In stock"/>
    <s v="Ship window (Collect)"/>
    <x v="0"/>
    <x v="0"/>
    <x v="0"/>
    <n v="24"/>
    <n v="24"/>
    <n v="12"/>
    <n v="12"/>
    <n v="0"/>
    <n v="12"/>
    <n v="12"/>
    <m/>
    <n v="0"/>
    <m/>
    <m/>
    <n v="12"/>
    <x v="0"/>
    <n v="12"/>
    <n v="12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GP6H"/>
    <s v="196433253806"/>
    <s v="UPC"/>
    <x v="0"/>
    <s v="AE  Big &amp; Tall Classic CVC FF Chino Pant"/>
    <x v="23"/>
    <s v="Navy"/>
    <s v="54W x 30L"/>
    <s v="-"/>
    <s v=""/>
    <s v="Amazon Essentials Men's Classic-Fit Wrinkle-Resistant Flat-Front Chino Pant, Navy, 54W x 30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FY1P"/>
    <s v="196433257293"/>
    <s v="UPC"/>
    <x v="0"/>
    <s v="AE  Big &amp; Tall Classic CVC Pleated Chino Pant"/>
    <x v="22"/>
    <s v="Black"/>
    <s v="54W x 34L"/>
    <s v="-"/>
    <s v=""/>
    <s v="Amazon Essentials Men's Big &amp; Tall Classic-fit Wrinkle-Resistant Pleated Chino Pant Pants, Black, 54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Y18"/>
    <s v="196433257057"/>
    <s v="UPC"/>
    <x v="0"/>
    <s v="AE  Big &amp; Tall Classic CVC Pleated Chino Pant"/>
    <x v="22"/>
    <s v="Black"/>
    <s v="44W x 30L"/>
    <s v="-"/>
    <s v=""/>
    <s v="Amazon Essentials Men's Big &amp; Tall Classic-fit Wrinkle-Resistant Pleated Chino Pant Pants, Black, 44W x 30L"/>
    <s v="Accepted: In stock"/>
    <s v="Ship window (Collect)"/>
    <x v="0"/>
    <x v="0"/>
    <x v="0"/>
    <n v="228"/>
    <n v="228"/>
    <n v="252"/>
    <n v="252"/>
    <n v="0"/>
    <n v="-24"/>
    <m/>
    <m/>
    <n v="0"/>
    <m/>
    <m/>
    <n v="228"/>
    <x v="0"/>
    <n v="228"/>
    <n v="0"/>
    <m/>
    <n v="1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XYF"/>
    <s v="196433256210"/>
    <s v="UPC"/>
    <x v="0"/>
    <s v="AE  Big &amp; Tall Classic CVC Pleated Chino Pant"/>
    <x v="22"/>
    <s v="Black"/>
    <s v="52W x 34L"/>
    <s v="-"/>
    <s v=""/>
    <s v="Amazon Essentials Men's Big &amp; Tall Classic-fit Wrinkle-Resistant Pleated Chino Pant Pants, Black, 52W x 34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XY6"/>
    <s v="196433256142"/>
    <s v="UPC"/>
    <x v="0"/>
    <s v="AE  Big &amp; Tall Classic CVC Pleated Chino Pant"/>
    <x v="22"/>
    <s v="Navy"/>
    <s v="52W x 32L"/>
    <s v="-"/>
    <s v=""/>
    <s v="Amazon Essentials Men's Big &amp; Tall Classic-fit Wrinkle-Resistant Pleated Chino Pant Pants, Navy, 52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Q7J"/>
    <s v="196433257743"/>
    <s v="UPC"/>
    <x v="0"/>
    <s v="AE  Big &amp; Tall Classic CVC Pleated Chino Pant"/>
    <x v="22"/>
    <s v="Navy"/>
    <s v="52W x 30L"/>
    <s v="-"/>
    <s v=""/>
    <s v="Amazon Essentials Men's Big &amp; Tall Classic-fit Wrinkle-Resistant Pleated Chino Pant Pants, Navy, 52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Q7D"/>
    <s v="196433257729"/>
    <s v="UPC"/>
    <x v="0"/>
    <s v="AE  Big &amp; Tall Classic CVC Pleated Chino Pant"/>
    <x v="22"/>
    <s v="Khaki Beige"/>
    <s v="52W x 30L"/>
    <s v="-"/>
    <s v=""/>
    <s v="Amazon Essentials Men's Big &amp; Tall Classic-fit Wrinkle-Resistant Pleated Chino Pant Pants, Khaki, 52W x 30L"/>
    <s v="Accepted: In stock"/>
    <s v="Ship window (Collect)"/>
    <x v="0"/>
    <x v="0"/>
    <x v="0"/>
    <n v="228"/>
    <n v="228"/>
    <n v="252"/>
    <n v="252"/>
    <n v="0"/>
    <n v="-24"/>
    <m/>
    <m/>
    <n v="0"/>
    <m/>
    <m/>
    <n v="228"/>
    <x v="0"/>
    <n v="228"/>
    <n v="0"/>
    <m/>
    <n v="1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Q71"/>
    <s v="196433257316"/>
    <s v="UPC"/>
    <x v="0"/>
    <s v="AE  Big &amp; Tall Classic CVC Pleated Chino Pant"/>
    <x v="22"/>
    <s v="Charcoal"/>
    <s v="54W x 34L"/>
    <s v="-"/>
    <s v=""/>
    <s v="Amazon Essentials Men's Big &amp; Tall Classic-fit Wrinkle-Resistant Pleated Chino Pant Pants, Grey, 54W x 34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Q6F"/>
    <s v="196433257019"/>
    <s v="UPC"/>
    <x v="0"/>
    <s v="AE  Big &amp; Tall Classic CVC Pleated Chino Pant"/>
    <x v="22"/>
    <s v="Charcoal"/>
    <s v="50W x 32L"/>
    <s v="-"/>
    <s v=""/>
    <s v="Amazon Essentials Men's Big &amp; Tall Classic-fit Wrinkle-Resistant Pleated Chino Pant Pants, Grey, 50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Q2V"/>
    <s v="196433255152"/>
    <s v="UPC"/>
    <x v="0"/>
    <s v="AE  Big &amp; Tall Classic CVC FF Chino Pant"/>
    <x v="23"/>
    <s v="Dark Brown"/>
    <s v="50W x 32L"/>
    <s v="-"/>
    <s v=""/>
    <s v="Amazon Essentials Men's Classic-Fit Wrinkle-Resistant Flat-Front Chino Pant, Dark Brown, 50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FMQT"/>
    <s v="196433258016"/>
    <s v="UPC"/>
    <x v="0"/>
    <s v="AE  Big &amp; Tall Classic CVC Pleated Chino Pant"/>
    <x v="22"/>
    <s v="Charcoal"/>
    <s v="48W x 28L"/>
    <s v="-"/>
    <s v=""/>
    <s v="Amazon Essentials Men's Big &amp; Tall Classic-fit Wrinkle-Resistant Pleated Chino Pant Pants, Grey, 48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MQ5"/>
    <s v="196433257552"/>
    <s v="UPC"/>
    <x v="0"/>
    <s v="AE  Big &amp; Tall Classic CVC Pleated Chino Pant"/>
    <x v="22"/>
    <s v="Charcoal"/>
    <s v="58W x 30L"/>
    <s v="-"/>
    <s v=""/>
    <s v="Amazon Essentials Men's Big &amp; Tall Classic-fit Wrinkle-Resistant Pleated Chino Pant Pants, Grey, 58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MPX"/>
    <s v="196433257415"/>
    <s v="UPC"/>
    <x v="0"/>
    <s v="AE  Big &amp; Tall Classic CVC Pleated Chino Pant"/>
    <x v="22"/>
    <s v="Black"/>
    <s v="50W x 28L"/>
    <s v="-"/>
    <s v=""/>
    <s v="Amazon Essentials Men's Big &amp; Tall Classic-fit Wrinkle-Resistant Pleated Chino Pant Pants, Black, 50W x 28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F4RX"/>
    <s v="196433257712"/>
    <s v="UPC"/>
    <x v="0"/>
    <s v="AE  Big &amp; Tall Classic CVC Pleated Chino Pant"/>
    <x v="22"/>
    <s v="Charcoal"/>
    <s v="52W x 30L"/>
    <s v="-"/>
    <s v=""/>
    <s v="Amazon Essentials Men's Big &amp; Tall Classic-fit Wrinkle-Resistant Pleated Chino Pant Pants, Grey, 52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D174"/>
    <s v="196433258207"/>
    <s v="UPC"/>
    <x v="0"/>
    <s v="AE  Big &amp; Tall Classic CVC Pleated Chino Pant"/>
    <x v="22"/>
    <s v="Khaki Beige"/>
    <s v="46W x 32L"/>
    <s v="-"/>
    <s v=""/>
    <s v="Amazon Essentials Men's Big &amp; Tall Classic-fit Wrinkle-Resistant Pleated Chino Pant Pants, Khaki, 46W x 32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D167"/>
    <s v="196433257873"/>
    <s v="UPC"/>
    <x v="0"/>
    <s v="AE  Big &amp; Tall Classic CVC Pleated Chino Pant"/>
    <x v="22"/>
    <s v="Black"/>
    <s v="50W x 34L"/>
    <s v="-"/>
    <s v=""/>
    <s v="Amazon Essentials Men's Big &amp; Tall Classic-fit Wrinkle-Resistant Pleated Chino Pant Pants, Black, 50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CC16"/>
    <s v="196433253950"/>
    <s v="UPC"/>
    <x v="0"/>
    <s v="AE  Big &amp; Tall Classic CVC FF Chino Pant"/>
    <x v="23"/>
    <s v="Navy"/>
    <s v="48W x 32L"/>
    <s v="-"/>
    <s v=""/>
    <s v="Amazon Essentials Men's Classic-Fit Wrinkle-Resistant Flat-Front Chino Pant, Navy, 48W x 32L"/>
    <s v="Accepted: In stock"/>
    <s v="Ship window (Collect)"/>
    <x v="0"/>
    <x v="0"/>
    <x v="0"/>
    <n v="96"/>
    <n v="96"/>
    <n v="108"/>
    <n v="108"/>
    <n v="0"/>
    <n v="-12"/>
    <m/>
    <m/>
    <n v="0"/>
    <m/>
    <m/>
    <n v="96"/>
    <x v="0"/>
    <n v="96"/>
    <n v="0"/>
    <m/>
    <n v="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QF"/>
    <s v="196433255145"/>
    <s v="UPC"/>
    <x v="0"/>
    <s v="AE  Big &amp; Tall Classic CVC FF Chino Pant"/>
    <x v="23"/>
    <s v="Dark Brown"/>
    <s v="48W x 28L"/>
    <s v="-"/>
    <s v=""/>
    <s v="Amazon Essentials Men's Classic-Fit Wrinkle-Resistant Flat-Front Chino Pant, Dark Brown, 48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Q4"/>
    <s v="196433254988"/>
    <s v="UPC"/>
    <x v="0"/>
    <s v="AE  Big &amp; Tall Classic CVC FF Chino Pant"/>
    <x v="23"/>
    <s v="Dark Brown"/>
    <s v="44W x 30L"/>
    <s v="-"/>
    <s v=""/>
    <s v="Amazon Essentials Men's Classic-Fit Wrinkle-Resistant Flat-Front Chino Pant, Dark Brown, 44W x 30L"/>
    <s v="Accepted: In stock"/>
    <s v="Ship window (Collect)"/>
    <x v="0"/>
    <x v="0"/>
    <x v="0"/>
    <n v="192"/>
    <n v="192"/>
    <n v="168"/>
    <n v="168"/>
    <n v="0"/>
    <n v="24"/>
    <n v="24"/>
    <m/>
    <n v="0"/>
    <m/>
    <m/>
    <n v="168"/>
    <x v="0"/>
    <n v="168"/>
    <n v="24"/>
    <m/>
    <n v="1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PZ"/>
    <s v="196433254865"/>
    <s v="UPC"/>
    <x v="0"/>
    <s v="AE  Big &amp; Tall Classic CVC FF Chino Pant"/>
    <x v="23"/>
    <s v="Khaki Beige"/>
    <s v="52W x 32L"/>
    <s v="-"/>
    <s v=""/>
    <s v="Amazon Essentials Men's Classic-Fit Wrinkle-Resistant Flat-Front Chino Pant, Khaki Beige, 52W x 32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NV"/>
    <s v="196433254285"/>
    <s v="UPC"/>
    <x v="0"/>
    <s v="AE  Big &amp; Tall Classic CVC FF Chino Pant"/>
    <x v="23"/>
    <s v="Black"/>
    <s v="56W x 30L"/>
    <s v="-"/>
    <s v=""/>
    <s v="Amazon Essentials Men's Classic-Fit Wrinkle-Resistant Flat-Front Chino Pant, Black, 56W x 30L"/>
    <s v="Accepted: In stock"/>
    <s v="Ship window (Collect)"/>
    <x v="0"/>
    <x v="0"/>
    <x v="0"/>
    <n v="144"/>
    <n v="144"/>
    <n v="144"/>
    <n v="144"/>
    <n v="0"/>
    <n v="0"/>
    <m/>
    <m/>
    <n v="0"/>
    <m/>
    <m/>
    <n v="144"/>
    <x v="0"/>
    <n v="144"/>
    <n v="0"/>
    <m/>
    <n v="1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NT"/>
    <s v="196433254308"/>
    <s v="UPC"/>
    <x v="0"/>
    <s v="AE  Big &amp; Tall Classic CVC FF Chino Pant"/>
    <x v="23"/>
    <s v="Black"/>
    <s v="48W x 30L"/>
    <s v="-"/>
    <s v=""/>
    <s v="Amazon Essentials Men's Classic-Fit Wrinkle-Resistant Flat-Front Chino Pant, Black, 48W x 30L"/>
    <s v="Accepted: In stock"/>
    <s v="Ship window (Collect)"/>
    <x v="0"/>
    <x v="0"/>
    <x v="0"/>
    <n v="240"/>
    <n v="240"/>
    <n v="264"/>
    <n v="264"/>
    <n v="0"/>
    <n v="-24"/>
    <m/>
    <m/>
    <n v="0"/>
    <m/>
    <m/>
    <n v="240"/>
    <x v="0"/>
    <n v="240"/>
    <n v="0"/>
    <m/>
    <n v="2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C7NH"/>
    <s v="196433254155"/>
    <s v="UPC"/>
    <x v="0"/>
    <s v="AE  Big &amp; Tall Classic CVC FF Chino Pant"/>
    <x v="23"/>
    <s v="Navy"/>
    <s v="44W x 28L"/>
    <s v="-"/>
    <s v=""/>
    <s v="Amazon Essentials Men's Classic-Fit Wrinkle-Resistant Flat-Front Chino Pant, Navy, 44W x 28L"/>
    <s v="Accepted: In stock"/>
    <s v="Ship window (Collect)"/>
    <x v="0"/>
    <x v="0"/>
    <x v="0"/>
    <n v="156"/>
    <n v="156"/>
    <n v="168"/>
    <n v="168"/>
    <n v="0"/>
    <n v="-12"/>
    <m/>
    <m/>
    <n v="0"/>
    <m/>
    <m/>
    <n v="156"/>
    <x v="0"/>
    <n v="156"/>
    <n v="0"/>
    <m/>
    <n v="1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BZP5"/>
    <s v="196433255374"/>
    <s v="UPC"/>
    <x v="0"/>
    <s v="AE  Big &amp; Tall Classic CVC FF Chino Pant"/>
    <x v="23"/>
    <s v="Dark Olive"/>
    <s v="46W x 28L"/>
    <s v="-"/>
    <s v=""/>
    <s v="Amazon Essentials Men's Classic-Fit Wrinkle-Resistant Flat-Front Chino Pant, Dark Olive, 46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BWDQ"/>
    <s v="196433257965"/>
    <s v="UPC"/>
    <x v="0"/>
    <s v="AE  Big &amp; Tall Classic CVC Pleated Chino Pant"/>
    <x v="22"/>
    <s v="Khaki Beige"/>
    <s v="48W x 32L"/>
    <s v="-"/>
    <s v=""/>
    <s v="Amazon Essentials Men's Big &amp; Tall Classic-fit Wrinkle-Resistant Pleated Chino Pant Pants, Khaki, 48W x 32L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9PLR"/>
    <s v="196433254971"/>
    <s v="UPC"/>
    <x v="0"/>
    <s v="AE  Big &amp; Tall Classic CVC FF Chino Pant"/>
    <x v="23"/>
    <s v="Dark Brown"/>
    <s v="46W x 32L"/>
    <s v="-"/>
    <s v=""/>
    <s v="Amazon Essentials Men's Classic-Fit Wrinkle-Resistant Flat-Front Chino Pant, Dark Brown, 46W x 32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9PLM"/>
    <s v="196433254728"/>
    <s v="UPC"/>
    <x v="0"/>
    <s v="AE  Big &amp; Tall Classic CVC FF Chino Pant"/>
    <x v="23"/>
    <s v="Khaki Beige"/>
    <s v="46W x 34L"/>
    <s v="-"/>
    <s v=""/>
    <s v="Amazon Essentials Men's Classic-Fit Wrinkle-Resistant Flat-Front Chino Pant, Khaki Beige, 46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9PKH"/>
    <s v="196433254179"/>
    <s v="UPC"/>
    <x v="0"/>
    <s v="AE  Big &amp; Tall Classic CVC FF Chino Pant"/>
    <x v="23"/>
    <s v="Black"/>
    <s v="54W x 30L"/>
    <s v="-"/>
    <s v=""/>
    <s v="Amazon Essentials Men's Classic-Fit Wrinkle-Resistant Flat-Front Chino Pant, Black, 54W x 30L"/>
    <s v="Accepted: In stock"/>
    <s v="Ship window (Collect)"/>
    <x v="0"/>
    <x v="0"/>
    <x v="0"/>
    <n v="252"/>
    <n v="252"/>
    <n v="216"/>
    <n v="216"/>
    <n v="0"/>
    <n v="36"/>
    <n v="36"/>
    <m/>
    <n v="0"/>
    <m/>
    <m/>
    <n v="216"/>
    <x v="0"/>
    <n v="216"/>
    <n v="36"/>
    <m/>
    <n v="1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9GYX"/>
    <s v="196433255695"/>
    <s v="UPC"/>
    <x v="0"/>
    <s v="AE  Big &amp; Tall Classic CVC FF Chino Pant"/>
    <x v="23"/>
    <s v="Charcoal"/>
    <s v="48W x 34L"/>
    <s v="-"/>
    <s v=""/>
    <s v="Amazon Essentials Men's Classic-Fit Wrinkle-Resistant Flat-Front Chino Pant, Charcoal, 48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9GWW"/>
    <s v="196433254919"/>
    <s v="UPC"/>
    <x v="0"/>
    <s v="AE  Big &amp; Tall Classic CVC FF Chino Pant"/>
    <x v="23"/>
    <s v="Dark Brown"/>
    <s v="54W x 30L"/>
    <s v="-"/>
    <s v=""/>
    <s v="Amazon Essentials Men's Classic-Fit Wrinkle-Resistant Flat-Front Chino Pant, Dark Brown, 54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9GWJ"/>
    <s v="196433254605"/>
    <s v="UPC"/>
    <x v="0"/>
    <s v="AE  Big &amp; Tall Classic CVC FF Chino Pant"/>
    <x v="23"/>
    <s v="Khaki Beige"/>
    <s v="46W x 32L"/>
    <s v="-"/>
    <s v=""/>
    <s v="Amazon Essentials Men's Classic-Fit Wrinkle-Resistant Flat-Front Chino Pant, Khaki Beige, 46W x 32L"/>
    <s v="Accepted: In stock"/>
    <s v="Ship window (Collect)"/>
    <x v="0"/>
    <x v="0"/>
    <x v="0"/>
    <n v="192"/>
    <n v="192"/>
    <n v="204"/>
    <n v="204"/>
    <n v="0"/>
    <n v="-12"/>
    <m/>
    <m/>
    <m/>
    <m/>
    <m/>
    <n v="192"/>
    <x v="0"/>
    <n v="192"/>
    <n v="0"/>
    <m/>
    <n v="1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8WKD"/>
    <s v="196433255749"/>
    <s v="UPC"/>
    <x v="0"/>
    <s v="AE  Big &amp; Tall Classic CVC FF Chino Pant"/>
    <x v="23"/>
    <s v="Charcoal"/>
    <s v="46W x 28L"/>
    <s v="-"/>
    <s v=""/>
    <s v="Amazon Essentials Men's Classic-Fit Wrinkle-Resistant Flat-Front Chino Pant, Charcoal, 46W x 28L"/>
    <s v="Accepted: In stock"/>
    <s v="Ship window (Collect)"/>
    <x v="0"/>
    <x v="0"/>
    <x v="0"/>
    <n v="96"/>
    <n v="96"/>
    <n v="96"/>
    <n v="96"/>
    <n v="0"/>
    <n v="0"/>
    <m/>
    <m/>
    <n v="0"/>
    <m/>
    <m/>
    <n v="96"/>
    <x v="0"/>
    <n v="96"/>
    <n v="0"/>
    <m/>
    <n v="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8WHY"/>
    <s v="196433255091"/>
    <s v="UPC"/>
    <x v="0"/>
    <s v="AE  Big &amp; Tall Classic CVC FF Chino Pant"/>
    <x v="23"/>
    <s v="Dark Brown"/>
    <s v="46W x 34L"/>
    <s v="-"/>
    <s v=""/>
    <s v="Amazon Essentials Men's Classic-Fit Wrinkle-Resistant Flat-Front Chino Pant, Dark Brown, 46W x 34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8WF1"/>
    <s v="196433253837"/>
    <s v="UPC"/>
    <x v="0"/>
    <s v="AE  Big &amp; Tall Classic CVC FF Chino Pant"/>
    <x v="23"/>
    <s v="Navy"/>
    <s v="54W x 28L"/>
    <s v="-"/>
    <s v=""/>
    <s v="Amazon Essentials Men's Classic-Fit Wrinkle-Resistant Flat-Front Chino Pant, Navy, 54W x 28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7FZ1"/>
    <s v="196433254360"/>
    <s v="UPC"/>
    <x v="0"/>
    <s v="AE  Big &amp; Tall Classic CVC FF Chino Pant"/>
    <x v="23"/>
    <s v="Black"/>
    <s v="50W x 28L"/>
    <s v="-"/>
    <s v=""/>
    <s v="Amazon Essentials Men's Classic-Fit Wrinkle-Resistant Flat-Front Chino Pant, Black, 50W x 28L"/>
    <s v="Accepted: In stock"/>
    <s v="Ship window (Collect)"/>
    <x v="0"/>
    <x v="0"/>
    <x v="0"/>
    <n v="216"/>
    <n v="216"/>
    <n v="240"/>
    <n v="240"/>
    <n v="0"/>
    <n v="-24"/>
    <m/>
    <m/>
    <n v="0"/>
    <m/>
    <m/>
    <n v="216"/>
    <x v="0"/>
    <n v="216"/>
    <n v="0"/>
    <m/>
    <n v="1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6Y2P"/>
    <s v="196433256418"/>
    <s v="UPC"/>
    <x v="0"/>
    <s v="AE  Big &amp; Tall Classic CVC Pleated Chino Pant"/>
    <x v="22"/>
    <s v="Charcoal"/>
    <s v="50W x 30L"/>
    <s v="-"/>
    <s v=""/>
    <s v="Amazon Essentials Men's Big &amp; Tall Classic-fit Wrinkle-Resistant Pleated Chino Pant Pants, Grey, 50W x 30L"/>
    <s v="Accepted: In stock"/>
    <s v="Ship window (Collect)"/>
    <x v="0"/>
    <x v="0"/>
    <x v="0"/>
    <n v="108"/>
    <n v="108"/>
    <n v="120"/>
    <n v="120"/>
    <n v="0"/>
    <n v="-12"/>
    <m/>
    <m/>
    <n v="0"/>
    <m/>
    <m/>
    <n v="108"/>
    <x v="0"/>
    <n v="108"/>
    <n v="0"/>
    <m/>
    <n v="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6Y1Q"/>
    <s v="196433255718"/>
    <s v="UPC"/>
    <x v="0"/>
    <s v="AE  Big &amp; Tall Classic CVC FF Chino Pant"/>
    <x v="23"/>
    <s v="Charcoal"/>
    <s v="46W x 32L"/>
    <s v="-"/>
    <s v=""/>
    <s v="Amazon Essentials Men's Classic-Fit Wrinkle-Resistant Flat-Front Chino Pant, Charcoal, 46W x 32L"/>
    <s v="Accepted: In stock"/>
    <s v="Ship window (Collect)"/>
    <x v="0"/>
    <x v="0"/>
    <x v="0"/>
    <n v="120"/>
    <n v="120"/>
    <n v="96"/>
    <n v="96"/>
    <n v="0"/>
    <n v="24"/>
    <n v="24"/>
    <m/>
    <n v="0"/>
    <m/>
    <m/>
    <n v="96"/>
    <x v="0"/>
    <n v="96"/>
    <n v="24"/>
    <m/>
    <n v="8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6RVT"/>
    <s v="196433256777"/>
    <s v="UPC"/>
    <x v="0"/>
    <s v="AE  Big &amp; Tall Classic CVC Pleated Chino Pant"/>
    <x v="22"/>
    <s v="Charcoal"/>
    <s v="54W x 28L"/>
    <s v="-"/>
    <s v=""/>
    <s v="Amazon Essentials Men's Big &amp; Tall Classic-fit Wrinkle-Resistant Pleated Chino Pant Pants, Grey, 54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6RVB"/>
    <s v="196433256609"/>
    <s v="UPC"/>
    <x v="0"/>
    <s v="AE  Big &amp; Tall Classic CVC Pleated Chino Pant"/>
    <x v="22"/>
    <s v="Khaki Beige"/>
    <s v="54W x 30L"/>
    <s v="-"/>
    <s v=""/>
    <s v="Amazon Essentials Men's Big &amp; Tall Classic-fit Wrinkle-Resistant Pleated Chino Pant Pants, Khaki, 54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6RV6"/>
    <s v="196433256517"/>
    <s v="UPC"/>
    <x v="0"/>
    <s v="AE  Big &amp; Tall Classic CVC Pleated Chino Pant"/>
    <x v="22"/>
    <s v="Black"/>
    <s v="48W x 34L"/>
    <s v="-"/>
    <s v=""/>
    <s v="Amazon Essentials Men's Big &amp; Tall Classic-fit Wrinkle-Resistant Pleated Chino Pant Pants, Black, 48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6RTX"/>
    <s v="196433256357"/>
    <s v="UPC"/>
    <x v="0"/>
    <s v="AE  Big &amp; Tall Classic CVC Pleated Chino Pant"/>
    <x v="22"/>
    <s v="Charcoal"/>
    <s v="58W x 28L"/>
    <s v="-"/>
    <s v=""/>
    <s v="Amazon Essentials Men's Big &amp; Tall Classic-fit Wrinkle-Resistant Pleated Chino Pant Pants, Grey, 58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5NHW"/>
    <s v="196433255848"/>
    <s v="UPC"/>
    <x v="0"/>
    <s v="AE  Big &amp; Tall Classic CVC FF Chino Pant"/>
    <x v="23"/>
    <s v="Charcoal"/>
    <s v="50W x 28L"/>
    <s v="-"/>
    <s v=""/>
    <s v="Amazon Essentials Men's Classic-Fit Wrinkle-Resistant Flat-Front Chino Pant, Charcoal, 50W x 28L"/>
    <s v="Accepted: In stock"/>
    <s v="Ship window (Collect)"/>
    <x v="0"/>
    <x v="0"/>
    <x v="0"/>
    <n v="72"/>
    <n v="72"/>
    <n v="72"/>
    <n v="72"/>
    <n v="0"/>
    <n v="0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5MDJ"/>
    <s v="196433254100"/>
    <s v="UPC"/>
    <x v="0"/>
    <s v="AE  Big &amp; Tall Classic CVC FF Chino Pant"/>
    <x v="23"/>
    <s v="Navy"/>
    <s v="50W x 30L"/>
    <s v="-"/>
    <s v=""/>
    <s v="Amazon Essentials Men's Classic-Fit Wrinkle-Resistant Flat-Front Chino Pant, Navy, 50W x 30L"/>
    <s v="Accepted: In stock"/>
    <s v="Ship window (Collect)"/>
    <x v="0"/>
    <x v="0"/>
    <x v="0"/>
    <n v="72"/>
    <n v="72"/>
    <n v="84"/>
    <n v="84"/>
    <n v="0"/>
    <n v="-12"/>
    <m/>
    <m/>
    <n v="0"/>
    <m/>
    <m/>
    <n v="72"/>
    <x v="0"/>
    <n v="72"/>
    <n v="0"/>
    <m/>
    <n v="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5L4F"/>
    <s v="196433254889"/>
    <s v="UPC"/>
    <x v="0"/>
    <s v="AE  Big &amp; Tall Classic CVC FF Chino Pant"/>
    <x v="23"/>
    <s v="Khaki Beige"/>
    <s v="58W x 30L"/>
    <s v="-"/>
    <s v=""/>
    <s v="Amazon Essentials Men's Classic-Fit Wrinkle-Resistant Flat-Front Chino Pant, Khaki Beige, 58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5L3D"/>
    <s v="196433254421"/>
    <s v="UPC"/>
    <x v="0"/>
    <s v="AE  Big &amp; Tall Classic CVC FF Chino Pant"/>
    <x v="23"/>
    <s v="Black"/>
    <s v="52W x 34L"/>
    <s v="-"/>
    <s v=""/>
    <s v="Amazon Essentials Men's Classic-Fit Wrinkle-Resistant Flat-Front Chino Pant, Black, 52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5L32"/>
    <s v="196433254254"/>
    <s v="UPC"/>
    <x v="0"/>
    <s v="AE  Big &amp; Tall Classic CVC FF Chino Pant"/>
    <x v="23"/>
    <s v="Black"/>
    <s v="58W x 32L"/>
    <s v="-"/>
    <s v=""/>
    <s v="Amazon Essentials Men's Classic-Fit Wrinkle-Resistant Flat-Front Chino Pant, Black, 58W x 32L"/>
    <s v="Accepted: In stock"/>
    <s v="Ship window (Collect)"/>
    <x v="0"/>
    <x v="0"/>
    <x v="0"/>
    <n v="36"/>
    <n v="36"/>
    <n v="36"/>
    <n v="36"/>
    <n v="0"/>
    <n v="0"/>
    <m/>
    <m/>
    <m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53GV"/>
    <s v="196433258078"/>
    <s v="UPC"/>
    <x v="0"/>
    <s v="AE  Big &amp; Tall Classic CVC Pleated Chino Pant"/>
    <x v="22"/>
    <s v="Charcoal"/>
    <s v="60W x 30L"/>
    <s v="-"/>
    <s v=""/>
    <s v="Amazon Essentials Men's Big &amp; Tall Classic-fit Wrinkle-Resistant Pleated Chino Pant Pants, Grey, 60W x 30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533T"/>
    <s v="196433257163"/>
    <s v="UPC"/>
    <x v="0"/>
    <s v="AE  Big &amp; Tall Classic CVC Pleated Chino Pant"/>
    <x v="22"/>
    <s v="Navy"/>
    <s v="48W x 30L"/>
    <s v="-"/>
    <s v=""/>
    <s v="Amazon Essentials Men's Big &amp; Tall Classic-fit Wrinkle-Resistant Pleated Chino Pant Pants, Navy, 48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47CB"/>
    <s v="196433255398"/>
    <s v="UPC"/>
    <x v="0"/>
    <s v="AE  Big &amp; Tall Classic CVC FF Chino Pant"/>
    <x v="23"/>
    <s v="Dark Olive"/>
    <s v="56W x 30L"/>
    <s v="-"/>
    <s v=""/>
    <s v="Amazon Essentials Men's Classic-Fit Wrinkle-Resistant Flat-Front Chino Pant, Dark Olive, 56W x 30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47C9"/>
    <s v="196433255411"/>
    <s v="UPC"/>
    <x v="0"/>
    <s v="AE  Big &amp; Tall Classic CVC FF Chino Pant"/>
    <x v="23"/>
    <s v="Dark Olive"/>
    <s v="48W x 30L"/>
    <s v="-"/>
    <s v=""/>
    <s v="Amazon Essentials Men's Classic-Fit Wrinkle-Resistant Flat-Front Chino Pant, Dark Olive, 48W x 30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478T"/>
    <s v="196433254339"/>
    <s v="UPC"/>
    <x v="0"/>
    <s v="AE  Big &amp; Tall Classic CVC FF Chino Pant"/>
    <x v="23"/>
    <s v="Black"/>
    <s v="44W x 32L"/>
    <s v="-"/>
    <s v=""/>
    <s v="Amazon Essentials Men's Classic-Fit Wrinkle-Resistant Flat-Front Chino Pant, Black, 44W x 32L"/>
    <s v="Accepted: In stock"/>
    <s v="Ship window (Collect)"/>
    <x v="0"/>
    <x v="0"/>
    <x v="0"/>
    <n v="48"/>
    <n v="48"/>
    <n v="60"/>
    <n v="60"/>
    <n v="0"/>
    <n v="-12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478P"/>
    <s v="196433254261"/>
    <s v="UPC"/>
    <x v="0"/>
    <s v="AE  Big &amp; Tall Classic CVC FF Chino Pant"/>
    <x v="23"/>
    <s v="Black"/>
    <s v="46W x 28L"/>
    <s v="-"/>
    <s v=""/>
    <s v="Amazon Essentials Men's Classic-Fit Wrinkle-Resistant Flat-Front Chino Pant, Black, 46W x 28L"/>
    <s v="Accepted: In stock"/>
    <s v="Ship window (Collect)"/>
    <x v="0"/>
    <x v="0"/>
    <x v="0"/>
    <n v="192"/>
    <n v="192"/>
    <n v="204"/>
    <n v="204"/>
    <n v="0"/>
    <n v="-12"/>
    <m/>
    <m/>
    <n v="0"/>
    <m/>
    <m/>
    <n v="192"/>
    <x v="0"/>
    <n v="192"/>
    <n v="0"/>
    <m/>
    <n v="1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3C7L"/>
    <s v="196433258191"/>
    <s v="UPC"/>
    <x v="0"/>
    <s v="AE  Big &amp; Tall Classic CVC Pleated Chino Pant"/>
    <x v="22"/>
    <s v="Charcoal"/>
    <s v="46W x 32L"/>
    <s v="-"/>
    <s v=""/>
    <s v="Amazon Essentials Men's Big &amp; Tall Classic-fit Wrinkle-Resistant Pleated Chino Pant Pants, Grey, 46W x 32L"/>
    <s v="Accepted: In stock"/>
    <s v="Ship window (Collect)"/>
    <x v="0"/>
    <x v="0"/>
    <x v="0"/>
    <n v="132"/>
    <n v="132"/>
    <n v="144"/>
    <n v="144"/>
    <n v="0"/>
    <n v="-12"/>
    <m/>
    <m/>
    <n v="0"/>
    <m/>
    <m/>
    <n v="132"/>
    <x v="0"/>
    <n v="132"/>
    <n v="0"/>
    <m/>
    <n v="1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3C6Z"/>
    <s v="196433257934"/>
    <s v="UPC"/>
    <x v="0"/>
    <s v="AE  Big &amp; Tall Classic CVC Pleated Chino Pant"/>
    <x v="22"/>
    <s v="Black"/>
    <s v="48W x 32L"/>
    <s v="-"/>
    <s v=""/>
    <s v="Amazon Essentials Men's Big &amp; Tall Classic-fit Wrinkle-Resistant Pleated Chino Pant Pants, Black, 48W x 32L"/>
    <s v="Accepted: In stock"/>
    <s v="Ship window (Collect)"/>
    <x v="0"/>
    <x v="0"/>
    <x v="0"/>
    <n v="120"/>
    <n v="120"/>
    <n v="108"/>
    <n v="108"/>
    <n v="0"/>
    <n v="12"/>
    <n v="12"/>
    <m/>
    <n v="0"/>
    <m/>
    <m/>
    <n v="108"/>
    <x v="0"/>
    <n v="108"/>
    <n v="12"/>
    <m/>
    <n v="9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3C6K"/>
    <s v="196433257804"/>
    <s v="UPC"/>
    <x v="0"/>
    <s v="AE  Big &amp; Tall Classic CVC Pleated Chino Pant"/>
    <x v="22"/>
    <s v="Navy"/>
    <s v="46W x 34L"/>
    <s v="-"/>
    <s v=""/>
    <s v="Amazon Essentials Men's Big &amp; Tall Classic-fit Wrinkle-Resistant Pleated Chino Pant Pants, Navy, 46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3C6D"/>
    <s v="196433257668"/>
    <s v="UPC"/>
    <x v="0"/>
    <s v="AE  Big &amp; Tall Classic CVC Pleated Chino Pant"/>
    <x v="22"/>
    <s v="Khaki Beige"/>
    <s v="46W x 30L"/>
    <s v="-"/>
    <s v=""/>
    <s v="Amazon Essentials Men's Big &amp; Tall Classic-fit Wrinkle-Resistant Pleated Chino Pant Pants, Khaki, 46W x 30L"/>
    <s v="Accepted: In stock"/>
    <s v="Ship window (Collect)"/>
    <x v="0"/>
    <x v="0"/>
    <x v="0"/>
    <n v="312"/>
    <n v="312"/>
    <n v="312"/>
    <n v="312"/>
    <n v="0"/>
    <n v="0"/>
    <m/>
    <m/>
    <n v="0"/>
    <m/>
    <m/>
    <n v="312"/>
    <x v="0"/>
    <n v="312"/>
    <n v="0"/>
    <m/>
    <n v="26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3C1P"/>
    <s v="196433254995"/>
    <s v="UPC"/>
    <x v="0"/>
    <s v="AE  Big &amp; Tall Classic CVC FF Chino Pant"/>
    <x v="23"/>
    <s v="Dark Brown"/>
    <s v="58W x 32L"/>
    <s v="-"/>
    <s v=""/>
    <s v="Amazon Essentials Men's Classic-Fit Wrinkle-Resistant Flat-Front Chino Pant, Dark Brown, 58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3C1H"/>
    <s v="196433254827"/>
    <s v="UPC"/>
    <x v="0"/>
    <s v="AE  Big &amp; Tall Classic CVC FF Chino Pant"/>
    <x v="23"/>
    <s v="Khaki Beige"/>
    <s v="52W x 28L"/>
    <s v="-"/>
    <s v=""/>
    <s v="Amazon Essentials Men's Classic-Fit Wrinkle-Resistant Flat-Front Chino Pant, Khaki Beige, 52W x 28L"/>
    <s v="Accepted: In stock"/>
    <s v="Ship window (Collect)"/>
    <x v="0"/>
    <x v="0"/>
    <x v="0"/>
    <n v="60"/>
    <n v="60"/>
    <n v="60"/>
    <n v="60"/>
    <n v="0"/>
    <n v="0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3BZ9"/>
    <s v="196433254124"/>
    <s v="UPC"/>
    <x v="0"/>
    <s v="AE  Big &amp; Tall Classic CVC FF Chino Pant"/>
    <x v="23"/>
    <s v="Navy"/>
    <s v="52W x 32L"/>
    <s v="-"/>
    <s v=""/>
    <s v="Amazon Essentials Men's Classic-Fit Wrinkle-Resistant Flat-Front Chino Pant, Navy, 5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2W1C"/>
    <s v="196433255312"/>
    <s v="UPC"/>
    <x v="0"/>
    <s v="AE  Big &amp; Tall Classic CVC FF Chino Pant"/>
    <x v="23"/>
    <s v="Dark Olive"/>
    <s v="54W x 28L"/>
    <s v="-"/>
    <s v=""/>
    <s v="Amazon Essentials Men's Classic-Fit Wrinkle-Resistant Flat-Front Chino Pant, Dark Olive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2VHM"/>
    <s v="196433256920"/>
    <s v="UPC"/>
    <x v="0"/>
    <s v="AE  Big &amp; Tall Classic CVC Pleated Chino Pant"/>
    <x v="22"/>
    <s v="Navy"/>
    <s v="44W x 34L"/>
    <s v="-"/>
    <s v=""/>
    <s v="Amazon Essentials Men's Big &amp; Tall Classic-fit Wrinkle-Resistant Pleated Chino Pant Pants, Navy, 44W x 34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42VDF"/>
    <s v="196433255527"/>
    <s v="UPC"/>
    <x v="0"/>
    <s v="AE  Big &amp; Tall Classic CVC FF Chino Pant"/>
    <x v="23"/>
    <s v="Dark Olive"/>
    <s v="50W x 32L"/>
    <s v="-"/>
    <s v=""/>
    <s v="Amazon Essentials Men's Classic-Fit Wrinkle-Resistant Flat-Front Chino Pant, Dark Olive, 50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42VBT"/>
    <s v="196433254940"/>
    <s v="UPC"/>
    <x v="0"/>
    <s v="AE  Big &amp; Tall Classic CVC FF Chino Pant"/>
    <x v="23"/>
    <s v="Dark Brown"/>
    <s v="54W x 28L"/>
    <s v="-"/>
    <s v=""/>
    <s v="Amazon Essentials Men's Classic-Fit Wrinkle-Resistant Flat-Front Chino Pant, Dark Brown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ZSJV"/>
    <s v="196433254490"/>
    <s v="UPC"/>
    <x v="0"/>
    <s v="AE  Big &amp; Tall Classic CVC FF Chino Pant"/>
    <x v="23"/>
    <s v="Black"/>
    <s v="52W x 32L"/>
    <s v="-"/>
    <s v=""/>
    <s v="Amazon Essentials Men's Classic-Fit Wrinkle-Resistant Flat-Front Chino Pant, Black, 52W x 32L"/>
    <s v="Accepted: In stock"/>
    <s v="Ship window (Collect)"/>
    <x v="0"/>
    <x v="0"/>
    <x v="0"/>
    <n v="168"/>
    <n v="168"/>
    <n v="180"/>
    <n v="180"/>
    <n v="0"/>
    <n v="-12"/>
    <m/>
    <m/>
    <m/>
    <m/>
    <m/>
    <n v="168"/>
    <x v="0"/>
    <n v="168"/>
    <n v="0"/>
    <m/>
    <n v="1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YFFH"/>
    <s v="196433257101"/>
    <s v="UPC"/>
    <x v="0"/>
    <s v="AE  Big &amp; Tall Classic CVC Pleated Chino Pant"/>
    <x v="22"/>
    <s v="Navy"/>
    <s v="44W x 30L"/>
    <s v="-"/>
    <s v=""/>
    <s v="Amazon Essentials Men's Big &amp; Tall Classic-fit Wrinkle-Resistant Pleated Chino Pant Pants, Navy, 44W x 30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XBZZ"/>
    <s v="196433255664"/>
    <s v="UPC"/>
    <x v="0"/>
    <s v="AE  Big &amp; Tall Classic CVC FF Chino Pant"/>
    <x v="23"/>
    <s v="Charcoal"/>
    <s v="58W x 28L"/>
    <s v="-"/>
    <s v=""/>
    <s v="Amazon Essentials Men's Classic-Fit Wrinkle-Resistant Flat-Front Chino Pant, Charcoal, 58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X81R"/>
    <s v="196433257026"/>
    <s v="UPC"/>
    <x v="0"/>
    <s v="AE  Big &amp; Tall Classic CVC Pleated Chino Pant"/>
    <x v="22"/>
    <s v="Khaki Beige"/>
    <s v="50W x 32L"/>
    <s v="-"/>
    <s v=""/>
    <s v="Amazon Essentials Men's Big &amp; Tall Classic-fit Wrinkle-Resistant Pleated Chino Pant Pants, Khaki, 50W x 32L"/>
    <s v="Accepted: In stock"/>
    <s v="Ship window (Collect)"/>
    <x v="0"/>
    <x v="0"/>
    <x v="0"/>
    <n v="60"/>
    <n v="60"/>
    <n v="72"/>
    <n v="72"/>
    <n v="0"/>
    <n v="-12"/>
    <m/>
    <m/>
    <n v="0"/>
    <m/>
    <m/>
    <n v="60"/>
    <x v="0"/>
    <n v="60"/>
    <n v="0"/>
    <m/>
    <n v="5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WSGF"/>
    <s v="196433255459"/>
    <s v="UPC"/>
    <x v="0"/>
    <s v="AE  Big &amp; Tall Classic CVC FF Chino Pant"/>
    <x v="23"/>
    <s v="Dark Olive"/>
    <s v="54W x 32L"/>
    <s v="-"/>
    <s v=""/>
    <s v="Amazon Essentials Men's Classic-Fit Wrinkle-Resistant Flat-Front Chino Pant, Dark Olive, 54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RMTB"/>
    <s v="196433255510"/>
    <s v="UPC"/>
    <x v="0"/>
    <s v="AE  Big &amp; Tall Classic CVC FF Chino Pant"/>
    <x v="23"/>
    <s v="Dark Olive"/>
    <s v="48W x 28L"/>
    <s v="-"/>
    <s v=""/>
    <s v="Amazon Essentials Men's Classic-Fit Wrinkle-Resistant Flat-Front Chino Pant, Dark Olive, 48W x 28L"/>
    <s v="Accepted: In stock"/>
    <s v="Ship window (Collect)"/>
    <x v="0"/>
    <x v="0"/>
    <x v="0"/>
    <n v="132"/>
    <n v="132"/>
    <n v="120"/>
    <n v="120"/>
    <n v="0"/>
    <n v="12"/>
    <n v="12"/>
    <m/>
    <n v="0"/>
    <m/>
    <m/>
    <n v="120"/>
    <x v="0"/>
    <n v="120"/>
    <n v="12"/>
    <m/>
    <n v="10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RMRW"/>
    <s v="196433254957"/>
    <s v="UPC"/>
    <x v="0"/>
    <s v="AE  Big &amp; Tall Classic CVC FF Chino Pant"/>
    <x v="23"/>
    <s v="Dark Brown"/>
    <s v="48W x 34L"/>
    <s v="-"/>
    <s v=""/>
    <s v="Amazon Essentials Men's Classic-Fit Wrinkle-Resistant Flat-Front Chino Pant, Dark Brown, 48W x 34L"/>
    <s v="Accepted: In stock"/>
    <s v="Ship window (Collect)"/>
    <x v="0"/>
    <x v="0"/>
    <x v="0"/>
    <n v="72"/>
    <n v="72"/>
    <n v="60"/>
    <n v="60"/>
    <n v="0"/>
    <n v="12"/>
    <n v="12"/>
    <m/>
    <n v="0"/>
    <m/>
    <m/>
    <n v="60"/>
    <x v="0"/>
    <n v="60"/>
    <n v="12"/>
    <m/>
    <n v="5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P5TW"/>
    <s v="196433257583"/>
    <s v="UPC"/>
    <x v="0"/>
    <s v="AE  Big &amp; Tall Classic CVC Pleated Chino Pant"/>
    <x v="22"/>
    <s v="Navy"/>
    <s v="58W x 30L"/>
    <s v="-"/>
    <s v=""/>
    <s v="Amazon Essentials Men's Big &amp; Tall Classic-fit Wrinkle-Resistant Pleated Chino Pant Pants, Navy, 58W x 30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P5SJ"/>
    <s v="196433256876"/>
    <s v="UPC"/>
    <x v="0"/>
    <s v="AE  Big &amp; Tall Classic CVC Pleated Chino Pant"/>
    <x v="22"/>
    <s v="Black"/>
    <s v="44W x 34L"/>
    <s v="-"/>
    <s v=""/>
    <s v="Amazon Essentials Men's Big &amp; Tall Classic-fit Wrinkle-Resistant Pleated Chino Pant Pants, Black, 44W x 34L"/>
    <s v="Accepted: In stock"/>
    <s v="Ship window (Collect)"/>
    <x v="0"/>
    <x v="0"/>
    <x v="0"/>
    <n v="84"/>
    <n v="84"/>
    <n v="84"/>
    <n v="84"/>
    <n v="0"/>
    <n v="0"/>
    <m/>
    <m/>
    <n v="0"/>
    <m/>
    <m/>
    <n v="84"/>
    <x v="0"/>
    <n v="84"/>
    <n v="0"/>
    <m/>
    <n v="7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P5QH"/>
    <s v="196433255916"/>
    <s v="UPC"/>
    <x v="0"/>
    <s v="AE  Big &amp; Tall Classic CVC FF Chino Pant"/>
    <x v="23"/>
    <s v="Charcoal"/>
    <s v="44W x 34L"/>
    <s v="-"/>
    <s v=""/>
    <s v="Amazon Essentials Men's Classic-Fit Wrinkle-Resistant Flat-Front Chino Pant, Charcoal, 44W x 34L"/>
    <s v="Accepted: In stock"/>
    <s v="Ship window (Collect)"/>
    <x v="0"/>
    <x v="0"/>
    <x v="0"/>
    <n v="96"/>
    <n v="96"/>
    <n v="84"/>
    <n v="84"/>
    <n v="0"/>
    <n v="12"/>
    <n v="12"/>
    <m/>
    <n v="0"/>
    <m/>
    <m/>
    <n v="84"/>
    <x v="0"/>
    <n v="84"/>
    <n v="12"/>
    <m/>
    <n v="7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NN2V"/>
    <s v="196433255237"/>
    <s v="UPC"/>
    <x v="0"/>
    <s v="AE  Big &amp; Tall Classic CVC FF Chino Pant"/>
    <x v="23"/>
    <s v="Dark Brown"/>
    <s v="52W x 32L"/>
    <s v="-"/>
    <s v=""/>
    <s v="Amazon Essentials Men's Classic-Fit Wrinkle-Resistant Flat-Front Chino Pant, Dark Brown, 52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LG6K"/>
    <s v="196433254476"/>
    <s v="UPC"/>
    <x v="0"/>
    <s v="AE  Big &amp; Tall Classic CVC FF Chino Pant"/>
    <x v="23"/>
    <s v="Black"/>
    <s v="50W x 30L"/>
    <s v="-"/>
    <s v=""/>
    <s v="Amazon Essentials Men's Classic-Fit Wrinkle-Resistant Flat-Front Chino Pant, Black, 50W x 30L"/>
    <s v="Accepted: In stock"/>
    <s v="Ship window (Collect)"/>
    <x v="0"/>
    <x v="0"/>
    <x v="0"/>
    <n v="252"/>
    <n v="252"/>
    <n v="276"/>
    <n v="276"/>
    <n v="0"/>
    <n v="-24"/>
    <m/>
    <m/>
    <m/>
    <m/>
    <m/>
    <n v="252"/>
    <x v="0"/>
    <n v="252"/>
    <n v="0"/>
    <m/>
    <n v="2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LFJK"/>
    <s v="196433257347"/>
    <s v="UPC"/>
    <x v="0"/>
    <s v="AE  Big &amp; Tall Classic CVC Pleated Chino Pant"/>
    <x v="22"/>
    <s v="Navy"/>
    <s v="54W x 34L"/>
    <s v="-"/>
    <s v=""/>
    <s v="Amazon Essentials Men's Big &amp; Tall Classic-fit Wrinkle-Resistant Pleated Chino Pant Pants, Navy, 54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LFJJ"/>
    <s v="196433257385"/>
    <s v="UPC"/>
    <x v="0"/>
    <s v="AE  Big &amp; Tall Classic CVC Pleated Chino Pant"/>
    <x v="22"/>
    <s v="Khaki Beige"/>
    <s v="56W x 32L"/>
    <s v="-"/>
    <s v=""/>
    <s v="Amazon Essentials Men's Big &amp; Tall Classic-fit Wrinkle-Resistant Pleated Chino Pant Pants, Khaki, 56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3LFDR"/>
    <s v="196433255336"/>
    <s v="UPC"/>
    <x v="0"/>
    <s v="AE  Big &amp; Tall Classic CVC FF Chino Pant"/>
    <x v="23"/>
    <s v="Dark Olive"/>
    <s v="50W x 34L"/>
    <s v="-"/>
    <s v=""/>
    <s v="Amazon Essentials Men's Classic-Fit Wrinkle-Resistant Flat-Front Chino Pant, Dark Olive, 50W x 34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LFCZ"/>
    <s v="196433255084"/>
    <s v="UPC"/>
    <x v="0"/>
    <s v="AE  Big &amp; Tall Classic CVC FF Chino Pant"/>
    <x v="23"/>
    <s v="Dark Brown"/>
    <s v="54W x 32L"/>
    <s v="-"/>
    <s v=""/>
    <s v="Amazon Essentials Men's Classic-Fit Wrinkle-Resistant Flat-Front Chino Pant, Dark Brown, 54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JQSX"/>
    <s v="196433254841"/>
    <s v="UPC"/>
    <x v="0"/>
    <s v="AE  Big &amp; Tall Classic CVC FF Chino Pant"/>
    <x v="23"/>
    <s v="Khaki Beige"/>
    <s v="50W x 30L"/>
    <s v="-"/>
    <s v=""/>
    <s v="Amazon Essentials Men's Classic-Fit Wrinkle-Resistant Flat-Front Chino Pant, Khaki Beige, 50W x 30L"/>
    <s v="Accepted: In stock"/>
    <s v="Ship window (Collect)"/>
    <x v="0"/>
    <x v="0"/>
    <x v="0"/>
    <n v="216"/>
    <n v="216"/>
    <n v="192"/>
    <n v="192"/>
    <n v="0"/>
    <n v="24"/>
    <n v="24"/>
    <m/>
    <n v="0"/>
    <m/>
    <m/>
    <n v="192"/>
    <x v="0"/>
    <n v="192"/>
    <n v="24"/>
    <m/>
    <n v="16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JQSM"/>
    <s v="196433254629"/>
    <s v="UPC"/>
    <x v="0"/>
    <s v="AE  Big &amp; Tall Classic CVC FF Chino Pant"/>
    <x v="23"/>
    <s v="Khaki Beige"/>
    <s v="58W x 32L"/>
    <s v="-"/>
    <s v=""/>
    <s v="Amazon Essentials Men's Classic-Fit Wrinkle-Resistant Flat-Front Chino Pant, Khaki Beige, 58W x 32L"/>
    <s v="Accepted: In stock"/>
    <s v="Ship window (Collect)"/>
    <x v="0"/>
    <x v="0"/>
    <x v="0"/>
    <n v="12"/>
    <n v="12"/>
    <n v="12"/>
    <n v="12"/>
    <n v="0"/>
    <n v="0"/>
    <m/>
    <m/>
    <n v="0"/>
    <m/>
    <m/>
    <n v="12"/>
    <x v="0"/>
    <n v="12"/>
    <n v="0"/>
    <m/>
    <n v="1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3HBHG"/>
    <s v="196433253844"/>
    <s v="UPC"/>
    <x v="0"/>
    <s v="AE  Big &amp; Tall Classic CVC FF Chino Pant"/>
    <x v="23"/>
    <s v="Navy"/>
    <s v="48W x 34L"/>
    <s v="-"/>
    <s v=""/>
    <s v="Amazon Essentials Men's Classic-Fit Wrinkle-Resistant Flat-Front Chino Pant, Navy, 48W x 34L"/>
    <s v="Accepted: In stock"/>
    <s v="Ship window (Collect)"/>
    <x v="0"/>
    <x v="0"/>
    <x v="0"/>
    <n v="36"/>
    <n v="36"/>
    <n v="24"/>
    <n v="24"/>
    <n v="0"/>
    <n v="12"/>
    <n v="12"/>
    <m/>
    <n v="0"/>
    <m/>
    <m/>
    <n v="24"/>
    <x v="0"/>
    <n v="24"/>
    <n v="12"/>
    <m/>
    <n v="2"/>
    <n v="12.02"/>
    <s v="USD"/>
    <n v="12.02"/>
    <b v="1"/>
    <m/>
    <m/>
    <s v="TH"/>
    <x v="0"/>
    <s v="EGMCL"/>
    <s v="EG7-10272"/>
    <x v="4"/>
    <x v="0"/>
  </r>
  <r>
    <x v="5"/>
    <x v="4"/>
    <x v="0"/>
    <s v="ITHC - SI RACHA, Bangkok"/>
    <s v="B09LS2X559"/>
    <s v="196433257866"/>
    <s v="UPC"/>
    <x v="0"/>
    <s v="AE  Big &amp; Tall Classic CVC Pleated Chino Pant"/>
    <x v="22"/>
    <s v="Navy"/>
    <s v="44W x 32L"/>
    <s v="-"/>
    <s v=""/>
    <s v="Amazon Essentials Men's Big &amp; Tall Classic-fit Wrinkle-Resistant Pleated Chino Pant Pants, Navy, 44W x 32L"/>
    <s v="Accepted: In stock"/>
    <s v="Ship window (Collect)"/>
    <x v="0"/>
    <x v="0"/>
    <x v="0"/>
    <n v="48"/>
    <n v="48"/>
    <n v="48"/>
    <n v="48"/>
    <n v="0"/>
    <n v="0"/>
    <m/>
    <m/>
    <n v="0"/>
    <m/>
    <m/>
    <n v="48"/>
    <x v="0"/>
    <n v="48"/>
    <n v="0"/>
    <m/>
    <n v="4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2X54V"/>
    <s v="196433257651"/>
    <s v="UPC"/>
    <x v="0"/>
    <s v="AE  Big &amp; Tall Classic CVC Pleated Chino Pant"/>
    <x v="22"/>
    <s v="Charcoal"/>
    <s v="46W x 30L"/>
    <s v="-"/>
    <s v=""/>
    <s v="Amazon Essentials Men's Big &amp; Tall Classic-fit Wrinkle-Resistant Pleated Chino Pant Pants, Grey, 46W x 30L"/>
    <s v="Accepted: In stock"/>
    <s v="Ship window (Collect)"/>
    <x v="0"/>
    <x v="0"/>
    <x v="0"/>
    <n v="192"/>
    <n v="192"/>
    <n v="204"/>
    <n v="204"/>
    <n v="0"/>
    <n v="-12"/>
    <m/>
    <m/>
    <m/>
    <m/>
    <m/>
    <n v="192"/>
    <x v="0"/>
    <n v="192"/>
    <n v="0"/>
    <m/>
    <n v="16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2X54G"/>
    <s v="196433257460"/>
    <s v="UPC"/>
    <x v="0"/>
    <s v="AE  Big &amp; Tall Classic CVC Pleated Chino Pant"/>
    <x v="22"/>
    <s v="Navy"/>
    <s v="50W x 28L"/>
    <s v="-"/>
    <s v=""/>
    <s v="Amazon Essentials Men's Big &amp; Tall Classic-fit Wrinkle-Resistant Pleated Chino Pant Pants, Navy, 50W x 28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2X53T"/>
    <s v="196433256807"/>
    <s v="UPC"/>
    <x v="0"/>
    <s v="AE  Big &amp; Tall Classic CVC Pleated Chino Pant"/>
    <x v="22"/>
    <s v="Navy"/>
    <s v="54W x 28L"/>
    <s v="-"/>
    <s v=""/>
    <s v="Amazon Essentials Men's Big &amp; Tall Classic-fit Wrinkle-Resistant Pleated Chino Pant Pants, Navy, 54W x 28L"/>
    <s v="Accepted: In stock"/>
    <s v="Ship window (Collect)"/>
    <x v="0"/>
    <x v="0"/>
    <x v="0"/>
    <n v="24"/>
    <n v="24"/>
    <n v="24"/>
    <n v="24"/>
    <n v="0"/>
    <n v="0"/>
    <m/>
    <m/>
    <n v="0"/>
    <m/>
    <m/>
    <n v="24"/>
    <x v="0"/>
    <n v="24"/>
    <n v="0"/>
    <m/>
    <n v="2"/>
    <n v="12.09"/>
    <s v="USD"/>
    <n v="12.09"/>
    <b v="1"/>
    <m/>
    <m/>
    <s v="TH"/>
    <x v="0"/>
    <s v="EGMCL"/>
    <s v="EG5-10342"/>
    <x v="4"/>
    <x v="0"/>
  </r>
  <r>
    <x v="5"/>
    <x v="4"/>
    <x v="0"/>
    <s v="ITHC - SI RACHA, Bangkok"/>
    <s v="B09LS2X51P"/>
    <s v="196433255602"/>
    <s v="UPC"/>
    <x v="0"/>
    <s v="AE  Big &amp; Tall Classic CVC FF Chino Pant"/>
    <x v="23"/>
    <s v="Dark Olive"/>
    <s v="52W x 32L"/>
    <s v="-"/>
    <s v=""/>
    <s v="Amazon Essentials Men's Classic-Fit Wrinkle-Resistant Flat-Front Chino Pant, Dark Olive, 52W x 32L"/>
    <s v="Accepted: In stock"/>
    <s v="Ship window (Collect)"/>
    <x v="0"/>
    <x v="0"/>
    <x v="0"/>
    <n v="36"/>
    <n v="36"/>
    <n v="36"/>
    <n v="36"/>
    <n v="0"/>
    <n v="0"/>
    <m/>
    <m/>
    <n v="0"/>
    <m/>
    <m/>
    <n v="36"/>
    <x v="0"/>
    <n v="36"/>
    <n v="0"/>
    <m/>
    <n v="3"/>
    <n v="12.02"/>
    <s v="USD"/>
    <n v="12.02"/>
    <b v="1"/>
    <m/>
    <m/>
    <s v="TH"/>
    <x v="0"/>
    <s v="EGMCL"/>
    <s v="EG7-10272"/>
    <x v="4"/>
    <x v="0"/>
  </r>
  <r>
    <x v="6"/>
    <x v="0"/>
    <x v="0"/>
    <s v="ITHC - SI RACHA, Bangkok"/>
    <s v="B07F16TKYX"/>
    <s v="191770811108"/>
    <s v="UPC"/>
    <x v="0"/>
    <s v="GT FF Chino Shorts"/>
    <x v="0"/>
    <s v="Dark Green"/>
    <n v="32"/>
    <s v="-"/>
    <s v=""/>
    <s v="Amazon Essentials Men's Slim-Fit 5&quot; Lightweight Comfort Stretch Oxford Cotton Shorts, Dark Green, 32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F1521RT"/>
    <s v="191770810682"/>
    <s v="UPC"/>
    <x v="0"/>
    <s v="GT FF Chino Shorts"/>
    <x v="0"/>
    <s v="Washed Black"/>
    <n v="34"/>
    <s v="-"/>
    <s v=""/>
    <s v="Amazon Essentials Men's Slim-Fit 5&quot; Lightweight Comfort Stretch Oxford Cotton Shorts, Washed Black, 34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0"/>
    <n v="48"/>
    <n v="0"/>
    <m/>
    <n v="4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F14V6Y4"/>
    <s v="191770810675"/>
    <s v="UPC"/>
    <x v="0"/>
    <s v="GT FF Chino Shorts"/>
    <x v="0"/>
    <s v="Washed Black"/>
    <n v="33"/>
    <s v="-"/>
    <s v=""/>
    <s v="Amazon Essentials Men's Slim-Fit 5&quot; Lightweight Comfort Stretch Oxford Cotton Shorts, Washed Black, 33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DZX4WKH"/>
    <s v="191770811085"/>
    <s v="UPC"/>
    <x v="0"/>
    <s v="GT FF Chino Shorts"/>
    <x v="0"/>
    <s v="Dark Green"/>
    <n v="30"/>
    <s v="-"/>
    <s v=""/>
    <s v="Amazon Essentials Men's Slim-Fit 5&quot; Lightweight Comfort Stretch Oxford Cotton Shorts, Dark Green, 30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DZWVSYL"/>
    <s v="191770812112"/>
    <s v="UPC"/>
    <x v="0"/>
    <s v="GT FF Chino Shorts"/>
    <x v="0"/>
    <s v="Navy"/>
    <n v="34"/>
    <s v="-"/>
    <s v=""/>
    <s v="Amazon Essentials Men's Slim-Fit 5&quot; Lightweight Comfort Stretch Oxford Cotton Shorts, Navy, 34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DZVVBSK"/>
    <s v="191770810668"/>
    <s v="UPC"/>
    <x v="0"/>
    <s v="GT FF Chino Shorts"/>
    <x v="0"/>
    <s v="Washed Black"/>
    <n v="32"/>
    <s v="-"/>
    <s v=""/>
    <s v="Amazon Essentials Men's Slim-Fit 5&quot; Lightweight Comfort Stretch Oxford Cotton Shorts, Washed Black, 32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DZVSYR9"/>
    <s v="191770811122"/>
    <s v="UPC"/>
    <x v="0"/>
    <s v="GT FF Chino Shorts"/>
    <x v="0"/>
    <s v="Deep Depth/Olive"/>
    <n v="34"/>
    <s v="-"/>
    <s v=""/>
    <s v="Amazon Essentials Men's Slim-Fit 5&quot; Lightweight Comfort Stretch Oxford Cotton Shorts, Deep Depth/Olive, 34"/>
    <s v="Accepted: In stock"/>
    <s v="Ship window (Collect)"/>
    <x v="1"/>
    <x v="1"/>
    <x v="0"/>
    <n v="36"/>
    <n v="36"/>
    <n v="36"/>
    <n v="36"/>
    <n v="0"/>
    <m/>
    <m/>
    <m/>
    <n v="36"/>
    <m/>
    <m/>
    <n v="36"/>
    <x v="0"/>
    <n v="36"/>
    <n v="0"/>
    <m/>
    <n v="3"/>
    <n v="8.2100000000000009"/>
    <s v="USD"/>
    <n v="8.2100000000000009"/>
    <b v="1"/>
    <m/>
    <m/>
    <s v="TH"/>
    <x v="1"/>
    <s v="EGMCL"/>
    <s v="EG7-10273"/>
    <x v="0"/>
    <x v="3"/>
  </r>
  <r>
    <x v="6"/>
    <x v="0"/>
    <x v="0"/>
    <s v="ITHC - SI RACHA, Bangkok"/>
    <s v="B07DZVDKPJ"/>
    <s v="191770810699"/>
    <s v="UPC"/>
    <x v="0"/>
    <s v="GT FF Chino Shorts"/>
    <x v="0"/>
    <s v="Washed Black"/>
    <n v="36"/>
    <s v="-"/>
    <s v=""/>
    <s v="Amazon Essentials Men's Slim-Fit 5&quot; Lightweight Comfort Stretch Oxford Cotton Shorts, Washed Black, 36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8.2100000000000009"/>
    <s v="USD"/>
    <n v="8.2100000000000009"/>
    <b v="1"/>
    <m/>
    <m/>
    <s v="TH"/>
    <x v="1"/>
    <s v="EGMCL"/>
    <s v="EG7-10273"/>
    <x v="0"/>
    <x v="3"/>
  </r>
  <r>
    <x v="7"/>
    <x v="4"/>
    <x v="0"/>
    <s v="ITHC - SI RACHA, Bangkok"/>
    <s v="B09LS67WFZ"/>
    <s v="196433256395"/>
    <s v="UPC"/>
    <x v="0"/>
    <s v="AE  Big &amp; Tall Classic CVC Pleated Chino Pant"/>
    <x v="22"/>
    <s v="Black"/>
    <s v="50W x 30L"/>
    <s v="-"/>
    <s v=""/>
    <s v="Amazon Essentials Men's Big &amp; Tall Classic-fit Wrinkle-Resistant Pleated Chino Pant Pants, Black, 50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9"/>
    <s v="USD"/>
    <n v="12.09"/>
    <b v="1"/>
    <m/>
    <m/>
    <s v="TH"/>
    <x v="1"/>
    <s v="EGMCL"/>
    <s v="EG5-10342"/>
    <x v="4"/>
    <x v="3"/>
  </r>
  <r>
    <x v="7"/>
    <x v="4"/>
    <x v="0"/>
    <s v="ITHC - SI RACHA, Bangkok"/>
    <s v="B09LS67QQ7"/>
    <s v="196433255831"/>
    <s v="UPC"/>
    <x v="0"/>
    <s v="AE  Big &amp; Tall Classic CVC FF Chino Pant"/>
    <x v="23"/>
    <s v="Charcoal"/>
    <s v="46W x 34L"/>
    <s v="-"/>
    <s v=""/>
    <s v="Amazon Essentials Men's Classic-Fit Wrinkle-Resistant Flat-Front Chino Pant, Charcoal, 46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5ZZJJ"/>
    <s v="196433254704"/>
    <s v="UPC"/>
    <x v="0"/>
    <s v="AE  Big &amp; Tall Classic CVC FF Chino Pant"/>
    <x v="23"/>
    <s v="Khaki Beige"/>
    <s v="44W x 32L"/>
    <s v="-"/>
    <s v=""/>
    <s v="Amazon Essentials Men's Classic-Fit Wrinkle-Resistant Flat-Front Chino Pant, Khaki Beige, 4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5ZZHN"/>
    <s v="196433254438"/>
    <s v="UPC"/>
    <x v="0"/>
    <s v="AE  Big &amp; Tall Classic CVC FF Chino Pant"/>
    <x v="23"/>
    <s v="Black"/>
    <s v="44W x 34L"/>
    <s v="-"/>
    <s v=""/>
    <s v="Amazon Essentials Men's Classic-Fit Wrinkle-Resistant Flat-Front Chino Pant, Black, 44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5N39C"/>
    <s v="196433256838"/>
    <s v="UPC"/>
    <x v="0"/>
    <s v="AE  Big &amp; Tall Classic CVC Pleated Chino Pant"/>
    <x v="22"/>
    <s v="Charcoal"/>
    <s v="52W x 28L"/>
    <s v="-"/>
    <s v=""/>
    <s v="Amazon Essentials Men's Big &amp; Tall Classic-fit Wrinkle-Resistant Pleated Chino Pant Pants, Grey, 52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9"/>
    <s v="USD"/>
    <n v="12.09"/>
    <b v="1"/>
    <m/>
    <m/>
    <s v="TH"/>
    <x v="1"/>
    <s v="EGMCL"/>
    <s v="EG5-10342"/>
    <x v="4"/>
    <x v="3"/>
  </r>
  <r>
    <x v="7"/>
    <x v="4"/>
    <x v="0"/>
    <s v="ITHC - SI RACHA, Bangkok"/>
    <s v="B09LS4MD34"/>
    <s v="196433254230"/>
    <s v="UPC"/>
    <x v="0"/>
    <s v="AE  Big &amp; Tall Classic CVC FF Chino Pant"/>
    <x v="23"/>
    <s v="Black"/>
    <s v="46W x 32L"/>
    <s v="-"/>
    <s v=""/>
    <s v="Amazon Essentials Men's Classic-Fit Wrinkle-Resistant Flat-Front Chino Pant, Black, 46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49GWJ"/>
    <s v="196433254605"/>
    <s v="UPC"/>
    <x v="0"/>
    <s v="AE  Big &amp; Tall Classic CVC FF Chino Pant"/>
    <x v="23"/>
    <s v="Khaki Beige"/>
    <s v="46W x 32L"/>
    <s v="-"/>
    <s v=""/>
    <s v="Amazon Essentials Men's Classic-Fit Wrinkle-Resistant Flat-Front Chino Pant, Khaki Beige, 46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45L32"/>
    <s v="196433254254"/>
    <s v="UPC"/>
    <x v="0"/>
    <s v="AE  Big &amp; Tall Classic CVC FF Chino Pant"/>
    <x v="23"/>
    <s v="Black"/>
    <s v="58W x 32L"/>
    <s v="-"/>
    <s v=""/>
    <s v="Amazon Essentials Men's Classic-Fit Wrinkle-Resistant Flat-Front Chino Pant, Black, 58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3ZSJV"/>
    <s v="196433254490"/>
    <s v="UPC"/>
    <x v="0"/>
    <s v="AE  Big &amp; Tall Classic CVC FF Chino Pant"/>
    <x v="23"/>
    <s v="Black"/>
    <s v="52W x 32L"/>
    <s v="-"/>
    <s v=""/>
    <s v="Amazon Essentials Men's Classic-Fit Wrinkle-Resistant Flat-Front Chino Pant, Black, 52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3LG6K"/>
    <s v="196433254476"/>
    <s v="UPC"/>
    <x v="0"/>
    <s v="AE  Big &amp; Tall Classic CVC FF Chino Pant"/>
    <x v="23"/>
    <s v="Black"/>
    <s v="50W x 30L"/>
    <s v="-"/>
    <s v=""/>
    <s v="Amazon Essentials Men's Classic-Fit Wrinkle-Resistant Flat-Front Chino Pant, Black, 50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2"/>
    <s v="USD"/>
    <n v="12.02"/>
    <b v="1"/>
    <m/>
    <m/>
    <s v="TH"/>
    <x v="1"/>
    <s v="EGMCL"/>
    <s v="EG7-10272"/>
    <x v="4"/>
    <x v="3"/>
  </r>
  <r>
    <x v="7"/>
    <x v="4"/>
    <x v="0"/>
    <s v="ITHC - SI RACHA, Bangkok"/>
    <s v="B09LS2X54V"/>
    <s v="196433257651"/>
    <s v="UPC"/>
    <x v="0"/>
    <s v="AE  Big &amp; Tall Classic CVC Pleated Chino Pant"/>
    <x v="22"/>
    <s v="Charcoal"/>
    <s v="46W x 30L"/>
    <s v="-"/>
    <s v=""/>
    <s v="Amazon Essentials Men's Big &amp; Tall Classic-fit Wrinkle-Resistant Pleated Chino Pant Pants, Grey, 46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2.09"/>
    <s v="USD"/>
    <n v="12.09"/>
    <b v="1"/>
    <m/>
    <m/>
    <s v="TH"/>
    <x v="1"/>
    <s v="EGMCL"/>
    <s v="EG5-10342"/>
    <x v="4"/>
    <x v="3"/>
  </r>
  <r>
    <x v="8"/>
    <x v="3"/>
    <x v="0"/>
    <s v="ITHC - SI RACHA, Bangkok"/>
    <s v="B0F7ND6P95"/>
    <s v="197153417981"/>
    <s v="UPC"/>
    <x v="2"/>
    <s v="Unisex Baby and Toddlers' Soft Stretch Regular-Fit Denim Jacket"/>
    <x v="11"/>
    <s v="Stone Medium Wash"/>
    <s v="4T"/>
    <s v="-"/>
    <s v="AEUB43108M25-Stone Medium Wash_4y"/>
    <s v="Amazon Essentials Unisex Babies' Unisex Baby and Toddlers' Soft Stretch Regular-Fit Denim Jacket, Stone Medium Wash, 4T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4.2"/>
    <s v="USD"/>
    <n v="14.2"/>
    <b v="1"/>
    <m/>
    <m/>
    <s v="TH"/>
    <x v="2"/>
    <s v="PGCL"/>
    <s v="PGCL-02474"/>
    <x v="3"/>
    <x v="4"/>
  </r>
  <r>
    <x v="8"/>
    <x v="3"/>
    <x v="0"/>
    <s v="ITHC - SI RACHA, Bangkok"/>
    <s v="B0F7N4TJNS"/>
    <s v="197153418070"/>
    <s v="UPC"/>
    <x v="2"/>
    <s v="Unisex Baby and Toddlers' Soft Stretch Regular-Fit Denim Jacket"/>
    <x v="11"/>
    <s v="Stone Light Wash"/>
    <s v="2T"/>
    <s v="-"/>
    <s v="AEUB43108M25-Stone Light Wash_2y"/>
    <s v="Amazon Essentials Unisex Babies' Unisex Baby and Toddlers' Soft Stretch Regular-Fit Denim Jacket, Stone Light Wash, 2T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96"/>
    <s v="USD"/>
    <n v="13.96"/>
    <b v="1"/>
    <m/>
    <m/>
    <s v="TH"/>
    <x v="2"/>
    <s v="PGCL"/>
    <s v="PGCL-02474"/>
    <x v="3"/>
    <x v="4"/>
  </r>
  <r>
    <x v="8"/>
    <x v="3"/>
    <x v="0"/>
    <s v="ITHC - SI RACHA, Bangkok"/>
    <s v="B0F7MM74YK"/>
    <s v="197153418094"/>
    <s v="UPC"/>
    <x v="2"/>
    <s v="Unisex Baby and Toddlers' Soft Stretch Regular-Fit Denim Jacket"/>
    <x v="11"/>
    <s v="Stone Light Wash"/>
    <s v="18 Months"/>
    <s v="-"/>
    <s v="AEUB43108M25-Stone Light Wash_18m"/>
    <s v="Amazon Essentials Unisex Babies' Unisex Baby and Toddlers' Soft Stretch Regular-Fit Denim Jacket, Stone Light Wash, 18 Months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96"/>
    <s v="USD"/>
    <n v="13.96"/>
    <b v="1"/>
    <m/>
    <m/>
    <s v="TH"/>
    <x v="2"/>
    <s v="PGCL"/>
    <s v="PGCL-02474"/>
    <x v="3"/>
    <x v="4"/>
  </r>
  <r>
    <x v="8"/>
    <x v="3"/>
    <x v="0"/>
    <s v="ITHC - SI RACHA, Bangkok"/>
    <s v="B0F7MG4H6Z"/>
    <s v="197153418100"/>
    <s v="UPC"/>
    <x v="2"/>
    <s v="Unisex Baby and Toddlers' Soft Stretch Regular-Fit Denim Jacket"/>
    <x v="11"/>
    <s v="Stone Light Wash"/>
    <s v="6-9 Months"/>
    <s v="-"/>
    <s v="AEUB43108M25-Stone Light Wash_6-9m"/>
    <s v="Amazon Essentials Unisex Babies' Unisex Baby and Toddlers' Soft Stretch Regular-Fit Denim Jacket, Stone Light Wash, 6-9 Months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96"/>
    <s v="USD"/>
    <n v="13.96"/>
    <b v="1"/>
    <m/>
    <m/>
    <s v="TH"/>
    <x v="2"/>
    <s v="PGCL"/>
    <s v="PGCL-02474"/>
    <x v="3"/>
    <x v="4"/>
  </r>
  <r>
    <x v="9"/>
    <x v="1"/>
    <x v="0"/>
    <s v="ITHC - SI RACHA, Bangkok"/>
    <s v="B0FM6QR8J5"/>
    <s v="195515128032"/>
    <s v="UPC"/>
    <x v="1"/>
    <s v="Men's Duck Utility Workwear Pants"/>
    <x v="3"/>
    <s v="Black"/>
    <s v="32W x 30L"/>
    <s v="-"/>
    <s v="ABMN69404M25-Black_32wx30l"/>
    <s v="Amazon Basics Men's Relaxed Fit Duck Utility Workwear Pants, Black, 32W x 30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3"/>
    <n v="24"/>
    <n v="0"/>
    <m/>
    <n v="4"/>
    <n v="14.78"/>
    <s v="USD"/>
    <n v="14.78"/>
    <b v="1"/>
    <m/>
    <m/>
    <s v="TH"/>
    <x v="2"/>
    <s v="STAR"/>
    <s v="STAR-00014"/>
    <x v="1"/>
    <x v="4"/>
  </r>
  <r>
    <x v="10"/>
    <x v="2"/>
    <x v="0"/>
    <s v="ITHC - SI RACHA, Bangkok"/>
    <s v="B0FS2XCSC1"/>
    <s v="197153513515"/>
    <s v="UPC"/>
    <x v="3"/>
    <s v="Women's A-Line High-Rise Denim Button-Down Midi Skirt"/>
    <x v="24"/>
    <s v="Dark Midnight Wash"/>
    <n v="12"/>
    <s v="-"/>
    <s v="AEWM77548M26-Dark Midnight Wash_12"/>
    <s v="Amazon Essentials Women's A-Line High-Rise Denim Button-Down Midi Skirt, Dark Midnight Wash, 12"/>
    <s v="Accepted: In stock"/>
    <s v="Ship window (Collect)"/>
    <x v="1"/>
    <x v="1"/>
    <x v="0"/>
    <n v="130"/>
    <n v="130"/>
    <n v="140"/>
    <n v="140"/>
    <n v="0"/>
    <m/>
    <m/>
    <m/>
    <n v="130"/>
    <m/>
    <m/>
    <n v="130"/>
    <x v="2"/>
    <n v="130"/>
    <n v="0"/>
    <m/>
    <n v="13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RPGVR"/>
    <s v="197153513201"/>
    <s v="UPC"/>
    <x v="3"/>
    <s v="Women's A-Line High-Rise Denim Button-Down Midi Skirt"/>
    <x v="24"/>
    <s v="White"/>
    <n v="6"/>
    <s v="-"/>
    <s v="AEWM77548M26-White_6"/>
    <s v="Amazon Essentials Women's A-Line High-Rise Denim Button-Down Midi Skirt, White, 6"/>
    <s v="Accepted: In stock"/>
    <s v="Ship window (Collect)"/>
    <x v="1"/>
    <x v="1"/>
    <x v="0"/>
    <n v="300"/>
    <n v="300"/>
    <n v="320"/>
    <n v="320"/>
    <n v="0"/>
    <m/>
    <m/>
    <m/>
    <n v="300"/>
    <m/>
    <m/>
    <n v="300"/>
    <x v="2"/>
    <n v="300"/>
    <n v="0"/>
    <m/>
    <n v="30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RPDVY"/>
    <s v="197153513300"/>
    <s v="UPC"/>
    <x v="3"/>
    <s v="Women's A-Line High-Rise Denim Button-Down Midi Skirt"/>
    <x v="24"/>
    <s v="White"/>
    <n v="12"/>
    <s v="-"/>
    <s v="AEWM77548M26-White_12"/>
    <s v="Amazon Essentials Women's A-Line High-Rise Denim Button-Down Midi Skirt, White, 12"/>
    <s v="Accepted: In stock"/>
    <s v="Ship window (Collect)"/>
    <x v="1"/>
    <x v="1"/>
    <x v="0"/>
    <n v="230"/>
    <n v="230"/>
    <n v="250"/>
    <n v="250"/>
    <n v="0"/>
    <m/>
    <m/>
    <m/>
    <n v="230"/>
    <m/>
    <m/>
    <n v="230"/>
    <x v="2"/>
    <n v="230"/>
    <n v="0"/>
    <m/>
    <n v="23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P734S"/>
    <s v="197153513263"/>
    <s v="UPC"/>
    <x v="3"/>
    <s v="Women's A-Line High-Rise Denim Button-Down Midi Skirt"/>
    <x v="24"/>
    <s v="White"/>
    <n v="4"/>
    <s v="-"/>
    <s v="AEWM77548M26-White_4"/>
    <s v="Amazon Essentials Women's A-Line High-Rise Denim Button-Down Midi Skirt, White, 4"/>
    <s v="Accepted: In stock"/>
    <s v="Ship window (Collect)"/>
    <x v="1"/>
    <x v="1"/>
    <x v="0"/>
    <n v="280"/>
    <n v="280"/>
    <n v="300"/>
    <n v="300"/>
    <n v="0"/>
    <m/>
    <m/>
    <m/>
    <n v="280"/>
    <m/>
    <m/>
    <n v="280"/>
    <x v="2"/>
    <n v="280"/>
    <n v="0"/>
    <m/>
    <n v="28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J85WV"/>
    <s v="197153513294"/>
    <s v="UPC"/>
    <x v="3"/>
    <s v="Women's A-Line High-Rise Denim Button-Down Midi Skirt"/>
    <x v="24"/>
    <s v="White"/>
    <n v="16"/>
    <s v="-"/>
    <s v="AEWM77548M26-White_16"/>
    <s v="Amazon Essentials Women's A-Line High-Rise Denim Button-Down Midi Skirt, White, 16"/>
    <s v="Accepted: In stock"/>
    <s v="Ship window (Collect)"/>
    <x v="1"/>
    <x v="1"/>
    <x v="0"/>
    <n v="190"/>
    <n v="190"/>
    <n v="210"/>
    <n v="210"/>
    <n v="0"/>
    <m/>
    <m/>
    <m/>
    <n v="190"/>
    <m/>
    <m/>
    <n v="190"/>
    <x v="2"/>
    <n v="190"/>
    <n v="0"/>
    <m/>
    <n v="19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J7TYC"/>
    <s v="197153513447"/>
    <s v="UPC"/>
    <x v="3"/>
    <s v="Women's A-Line High-Rise Denim Button-Down Midi Skirt"/>
    <x v="24"/>
    <s v="Dark Midnight Wash"/>
    <n v="8"/>
    <s v="-"/>
    <s v="AEWM77548M26-Dark Midnight Wash_8"/>
    <s v="Amazon Essentials Women's A-Line High-Rise Denim Button-Down Midi Skirt, Dark Midnight Wash, 8"/>
    <s v="Accepted: In stock"/>
    <s v="Ship window (Collect)"/>
    <x v="1"/>
    <x v="1"/>
    <x v="0"/>
    <n v="20"/>
    <n v="20"/>
    <n v="20"/>
    <n v="20"/>
    <n v="0"/>
    <m/>
    <m/>
    <m/>
    <n v="20"/>
    <m/>
    <m/>
    <n v="20"/>
    <x v="2"/>
    <n v="20"/>
    <n v="0"/>
    <m/>
    <n v="2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J7HXB"/>
    <s v="197153513133"/>
    <s v="UPC"/>
    <x v="3"/>
    <s v="Women's A-Line High-Rise Denim Button-Down Midi Skirt"/>
    <x v="24"/>
    <s v="Rinse Denim"/>
    <n v="14"/>
    <s v="-"/>
    <s v="AEWM77548M26-Rinse Denim_14"/>
    <s v="Amazon Essentials Women's A-Line High-Rise Denim Button-Down Midi Skirt, Rinse Denim, 14"/>
    <s v="Accepted: In stock"/>
    <s v="Ship window (Collect)"/>
    <x v="1"/>
    <x v="1"/>
    <x v="0"/>
    <n v="270"/>
    <n v="270"/>
    <n v="290"/>
    <n v="290"/>
    <n v="0"/>
    <m/>
    <m/>
    <m/>
    <n v="270"/>
    <m/>
    <m/>
    <n v="270"/>
    <x v="2"/>
    <n v="270"/>
    <n v="0"/>
    <m/>
    <n v="27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J72JH"/>
    <s v="197153513423"/>
    <s v="UPC"/>
    <x v="3"/>
    <s v="Women's A-Line High-Rise Denim Button-Down Midi Skirt"/>
    <x v="24"/>
    <s v="Dark Midnight Wash"/>
    <n v="20"/>
    <s v="-"/>
    <s v="AEWM77548M26-Dark Midnight Wash_20"/>
    <s v="Amazon Essentials Women's A-Line High-Rise Denim Button-Down Midi Skirt, Dark Midnight Wash, 20"/>
    <s v="Accepted: In stock"/>
    <s v="Ship window (Collect)"/>
    <x v="1"/>
    <x v="1"/>
    <x v="0"/>
    <n v="220"/>
    <n v="220"/>
    <n v="240"/>
    <n v="240"/>
    <n v="0"/>
    <m/>
    <m/>
    <m/>
    <n v="220"/>
    <m/>
    <m/>
    <n v="220"/>
    <x v="2"/>
    <n v="220"/>
    <n v="0"/>
    <m/>
    <n v="22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FKKS6"/>
    <s v="197153513249"/>
    <s v="UPC"/>
    <x v="3"/>
    <s v="Women's A-Line High-Rise Denim Button-Down Midi Skirt"/>
    <x v="24"/>
    <s v="White"/>
    <n v="14"/>
    <s v="-"/>
    <s v="AEWM77548M26-White_14"/>
    <s v="Amazon Essentials Women's A-Line High-Rise Denim Button-Down Midi Skirt, White, 14"/>
    <s v="Accepted: In stock"/>
    <s v="Ship window (Collect)"/>
    <x v="1"/>
    <x v="1"/>
    <x v="0"/>
    <n v="180"/>
    <n v="180"/>
    <n v="190"/>
    <n v="190"/>
    <n v="0"/>
    <m/>
    <m/>
    <m/>
    <n v="180"/>
    <m/>
    <m/>
    <n v="180"/>
    <x v="2"/>
    <n v="180"/>
    <n v="0"/>
    <m/>
    <n v="18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F72XX"/>
    <s v="197153513157"/>
    <s v="UPC"/>
    <x v="3"/>
    <s v="Women's A-Line High-Rise Denim Button-Down Midi Skirt"/>
    <x v="24"/>
    <s v="Rinse Denim"/>
    <n v="2"/>
    <s v="-"/>
    <s v="AEWM77548M26-Rinse Denim_2"/>
    <s v="Amazon Essentials Women's A-Line High-Rise Denim Button-Down Midi Skirt, Rinse Denim, 2"/>
    <s v="Accepted: In stock"/>
    <s v="Ship window (Collect)"/>
    <x v="1"/>
    <x v="1"/>
    <x v="0"/>
    <n v="150"/>
    <n v="150"/>
    <n v="160"/>
    <n v="160"/>
    <n v="0"/>
    <m/>
    <m/>
    <m/>
    <n v="150"/>
    <m/>
    <m/>
    <n v="150"/>
    <x v="2"/>
    <n v="150"/>
    <n v="0"/>
    <m/>
    <n v="15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DYMLL"/>
    <s v="197153513270"/>
    <s v="UPC"/>
    <x v="3"/>
    <s v="Women's A-Line High-Rise Denim Button-Down Midi Skirt"/>
    <x v="24"/>
    <s v="White"/>
    <n v="10"/>
    <s v="-"/>
    <s v="AEWM77548M26-White_10"/>
    <s v="Amazon Essentials Women's A-Line High-Rise Denim Button-Down Midi Skirt, White, 10"/>
    <s v="Accepted: In stock"/>
    <s v="Ship window (Collect)"/>
    <x v="1"/>
    <x v="1"/>
    <x v="0"/>
    <n v="220"/>
    <n v="220"/>
    <n v="240"/>
    <n v="240"/>
    <n v="0"/>
    <m/>
    <m/>
    <m/>
    <n v="220"/>
    <m/>
    <m/>
    <n v="220"/>
    <x v="2"/>
    <n v="220"/>
    <n v="0"/>
    <m/>
    <n v="22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DMTC7"/>
    <s v="197153513287"/>
    <s v="UPC"/>
    <x v="3"/>
    <s v="Women's A-Line High-Rise Denim Button-Down Midi Skirt"/>
    <x v="24"/>
    <s v="White"/>
    <n v="2"/>
    <s v="-"/>
    <s v="AEWM77548M26-White_2"/>
    <s v="Amazon Essentials Women's A-Line High-Rise Denim Button-Down Midi Skirt, White, 2"/>
    <s v="Accepted: In stock"/>
    <s v="Ship window (Collect)"/>
    <x v="1"/>
    <x v="1"/>
    <x v="0"/>
    <n v="210"/>
    <n v="210"/>
    <n v="230"/>
    <n v="230"/>
    <n v="0"/>
    <m/>
    <m/>
    <m/>
    <n v="210"/>
    <m/>
    <m/>
    <n v="210"/>
    <x v="2"/>
    <n v="210"/>
    <n v="0"/>
    <m/>
    <n v="21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DLZX1"/>
    <s v="197153515038"/>
    <s v="UPC"/>
    <x v="3"/>
    <s v="Women's High Stretch Slim-Fit Pedal Pusher Jean"/>
    <x v="13"/>
    <s v="Black"/>
    <n v="4"/>
    <s v="-"/>
    <s v="AEWM16178M26-Black_4"/>
    <s v="Amazon Essentials Women's High Stretch Slim-Fit Pedal Pusher Jean, Black, 4"/>
    <s v="Accepted: In stock"/>
    <s v="Ship window (Collect)"/>
    <x v="1"/>
    <x v="1"/>
    <x v="0"/>
    <n v="20"/>
    <n v="20"/>
    <n v="20"/>
    <n v="20"/>
    <n v="0"/>
    <m/>
    <m/>
    <m/>
    <n v="20"/>
    <m/>
    <m/>
    <n v="20"/>
    <x v="4"/>
    <n v="20"/>
    <n v="0"/>
    <m/>
    <n v="1"/>
    <n v="10.06"/>
    <s v="USD"/>
    <n v="10.06"/>
    <b v="1"/>
    <m/>
    <m/>
    <s v="TH"/>
    <x v="2"/>
    <s v="EGMCL"/>
    <s v="EG5-10281"/>
    <x v="2"/>
    <x v="4"/>
  </r>
  <r>
    <x v="10"/>
    <x v="2"/>
    <x v="0"/>
    <s v="ITHC - SI RACHA, Bangkok"/>
    <s v="B0FS2DKKT7"/>
    <s v="197153513256"/>
    <s v="UPC"/>
    <x v="3"/>
    <s v="Women's A-Line High-Rise Denim Button-Down Midi Skirt"/>
    <x v="24"/>
    <s v="White"/>
    <n v="0"/>
    <s v="-"/>
    <s v="AEWM77548M26-White_0"/>
    <s v="Amazon Essentials Women's A-Line High-Rise Denim Button-Down Midi Skirt, White, 0"/>
    <s v="Accepted: In stock"/>
    <s v="Ship window (Collect)"/>
    <x v="1"/>
    <x v="1"/>
    <x v="0"/>
    <n v="200"/>
    <n v="200"/>
    <n v="220"/>
    <n v="220"/>
    <n v="0"/>
    <m/>
    <m/>
    <m/>
    <n v="200"/>
    <m/>
    <m/>
    <n v="200"/>
    <x v="2"/>
    <n v="200"/>
    <n v="0"/>
    <m/>
    <n v="20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DKK74"/>
    <s v="197153513102"/>
    <s v="UPC"/>
    <x v="3"/>
    <s v="Women's A-Line High-Rise Denim Button-Down Midi Skirt"/>
    <x v="24"/>
    <s v="Rinse Denim"/>
    <n v="8"/>
    <s v="-"/>
    <s v="AEWM77548M26-Rinse Denim_8"/>
    <s v="Amazon Essentials Women's A-Line High-Rise Denim Button-Down Midi Skirt, Rinse Denim, 8"/>
    <s v="Accepted: In stock"/>
    <s v="Ship window (Collect)"/>
    <x v="1"/>
    <x v="1"/>
    <x v="0"/>
    <n v="110"/>
    <n v="110"/>
    <n v="120"/>
    <n v="120"/>
    <n v="0"/>
    <m/>
    <m/>
    <m/>
    <n v="110"/>
    <m/>
    <m/>
    <n v="110"/>
    <x v="2"/>
    <n v="110"/>
    <n v="0"/>
    <m/>
    <n v="11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DC445"/>
    <s v="197153513126"/>
    <s v="UPC"/>
    <x v="3"/>
    <s v="Women's A-Line High-Rise Denim Button-Down Midi Skirt"/>
    <x v="24"/>
    <s v="Rinse Denim"/>
    <n v="0"/>
    <s v="-"/>
    <s v="AEWM77548M26-Rinse Denim_0"/>
    <s v="Amazon Essentials Women's A-Line High-Rise Denim Button-Down Midi Skirt, Rinse Denim, 0"/>
    <s v="Accepted: In stock"/>
    <s v="Ship window (Collect)"/>
    <x v="1"/>
    <x v="1"/>
    <x v="0"/>
    <n v="190"/>
    <n v="190"/>
    <n v="210"/>
    <n v="210"/>
    <n v="0"/>
    <m/>
    <m/>
    <m/>
    <n v="190"/>
    <m/>
    <m/>
    <n v="190"/>
    <x v="2"/>
    <n v="190"/>
    <n v="0"/>
    <m/>
    <n v="19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D8Y6H"/>
    <s v="197153513454"/>
    <s v="UPC"/>
    <x v="3"/>
    <s v="Women's A-Line High-Rise Denim Button-Down Midi Skirt"/>
    <x v="24"/>
    <s v="Dark Midnight Wash"/>
    <n v="18"/>
    <s v="-"/>
    <s v="AEWM77548M26-Dark Midnight Wash_18"/>
    <s v="Amazon Essentials Women's A-Line High-Rise Denim Button-Down Midi Skirt, Dark Midnight Wash, 18"/>
    <s v="Accepted: In stock"/>
    <s v="Ship window (Collect)"/>
    <x v="1"/>
    <x v="1"/>
    <x v="0"/>
    <n v="30"/>
    <n v="30"/>
    <n v="30"/>
    <n v="30"/>
    <n v="0"/>
    <m/>
    <m/>
    <m/>
    <n v="30"/>
    <m/>
    <m/>
    <n v="30"/>
    <x v="2"/>
    <n v="30"/>
    <n v="0"/>
    <m/>
    <n v="3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D8FVD"/>
    <s v="197153513546"/>
    <s v="UPC"/>
    <x v="3"/>
    <s v="Women's A-Line High-Rise Denim Button-Down Midi Skirt"/>
    <x v="24"/>
    <s v="Dark Midnight Wash"/>
    <n v="16"/>
    <s v="-"/>
    <s v="AEWM77548M26-Dark Midnight Wash_16"/>
    <s v="Amazon Essentials Women's A-Line High-Rise Denim Button-Down Midi Skirt, Dark Midnight Wash, 16"/>
    <s v="Accepted: In stock"/>
    <s v="Ship window (Collect)"/>
    <x v="1"/>
    <x v="1"/>
    <x v="0"/>
    <n v="20"/>
    <n v="20"/>
    <n v="20"/>
    <n v="20"/>
    <n v="0"/>
    <m/>
    <m/>
    <m/>
    <n v="20"/>
    <m/>
    <m/>
    <n v="20"/>
    <x v="2"/>
    <n v="20"/>
    <n v="0"/>
    <m/>
    <n v="2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D4T4R"/>
    <s v="197153513225"/>
    <s v="UPC"/>
    <x v="3"/>
    <s v="Women's A-Line High-Rise Denim Button-Down Midi Skirt"/>
    <x v="24"/>
    <s v="White"/>
    <n v="18"/>
    <s v="-"/>
    <s v="AEWM77548M26-White_18"/>
    <s v="Amazon Essentials Women's A-Line High-Rise Denim Button-Down Midi Skirt, White, 18"/>
    <s v="Accepted: In stock"/>
    <s v="Ship window (Collect)"/>
    <x v="1"/>
    <x v="1"/>
    <x v="0"/>
    <n v="200"/>
    <n v="200"/>
    <n v="220"/>
    <n v="220"/>
    <n v="0"/>
    <m/>
    <m/>
    <m/>
    <n v="200"/>
    <m/>
    <m/>
    <n v="200"/>
    <x v="2"/>
    <n v="200"/>
    <n v="0"/>
    <m/>
    <n v="20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D2WNR"/>
    <s v="197153513461"/>
    <s v="UPC"/>
    <x v="3"/>
    <s v="Women's A-Line High-Rise Denim Button-Down Midi Skirt"/>
    <x v="24"/>
    <s v="Dark Midnight Wash"/>
    <n v="14"/>
    <s v="-"/>
    <s v="AEWM77548M26-Dark Midnight Wash_14"/>
    <s v="Amazon Essentials Women's A-Line High-Rise Denim Button-Down Midi Skirt, Dark Midnight Wash, 14"/>
    <s v="Accepted: In stock"/>
    <s v="Ship window (Collect)"/>
    <x v="1"/>
    <x v="1"/>
    <x v="0"/>
    <n v="110"/>
    <n v="110"/>
    <n v="120"/>
    <n v="120"/>
    <n v="0"/>
    <m/>
    <m/>
    <m/>
    <n v="110"/>
    <m/>
    <m/>
    <n v="110"/>
    <x v="2"/>
    <n v="110"/>
    <n v="0"/>
    <m/>
    <n v="11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YNMB"/>
    <s v="197153513188"/>
    <s v="UPC"/>
    <x v="3"/>
    <s v="Women's A-Line High-Rise Denim Button-Down Midi Skirt"/>
    <x v="24"/>
    <s v="Rinse Denim"/>
    <n v="12"/>
    <s v="-"/>
    <s v="AEWM77548M26-Rinse Denim_12"/>
    <s v="Amazon Essentials Women's A-Line High-Rise Denim Button-Down Midi Skirt, Rinse Denim, 12"/>
    <s v="Accepted: In stock"/>
    <s v="Ship window (Collect)"/>
    <x v="1"/>
    <x v="1"/>
    <x v="0"/>
    <n v="250"/>
    <n v="250"/>
    <n v="270"/>
    <n v="270"/>
    <n v="0"/>
    <m/>
    <m/>
    <m/>
    <n v="250"/>
    <m/>
    <m/>
    <n v="250"/>
    <x v="2"/>
    <n v="250"/>
    <n v="0"/>
    <m/>
    <n v="25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Y57X"/>
    <s v="197153513478"/>
    <s v="UPC"/>
    <x v="3"/>
    <s v="Women's A-Line High-Rise Denim Button-Down Midi Skirt"/>
    <x v="24"/>
    <s v="Dark Midnight Wash"/>
    <n v="0"/>
    <s v="-"/>
    <s v="AEWM77548M26-Dark Midnight Wash_0"/>
    <s v="Amazon Essentials Women's A-Line High-Rise Denim Button-Down Midi Skirt, Dark Midnight Wash, 0"/>
    <s v="Accepted: In stock"/>
    <s v="Ship window (Collect)"/>
    <x v="1"/>
    <x v="1"/>
    <x v="0"/>
    <n v="190"/>
    <n v="190"/>
    <n v="210"/>
    <n v="210"/>
    <n v="0"/>
    <m/>
    <m/>
    <m/>
    <n v="190"/>
    <m/>
    <m/>
    <n v="190"/>
    <x v="2"/>
    <n v="190"/>
    <n v="0"/>
    <m/>
    <n v="19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Y39Q"/>
    <s v="197153513195"/>
    <s v="UPC"/>
    <x v="3"/>
    <s v="Women's A-Line High-Rise Denim Button-Down Midi Skirt"/>
    <x v="24"/>
    <s v="White"/>
    <n v="20"/>
    <s v="-"/>
    <s v="AEWM77548M26-White_20"/>
    <s v="Amazon Essentials Women's A-Line High-Rise Denim Button-Down Midi Skirt, White, 20"/>
    <s v="Accepted: In stock"/>
    <s v="Ship window (Collect)"/>
    <x v="1"/>
    <x v="1"/>
    <x v="0"/>
    <n v="130"/>
    <n v="130"/>
    <n v="140"/>
    <n v="140"/>
    <n v="0"/>
    <m/>
    <m/>
    <m/>
    <n v="130"/>
    <m/>
    <m/>
    <n v="130"/>
    <x v="2"/>
    <n v="130"/>
    <n v="0"/>
    <m/>
    <n v="13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CG8Y9"/>
    <s v="197153513140"/>
    <s v="UPC"/>
    <x v="3"/>
    <s v="Women's A-Line High-Rise Denim Button-Down Midi Skirt"/>
    <x v="24"/>
    <s v="Rinse Denim"/>
    <n v="10"/>
    <s v="-"/>
    <s v="AEWM77548M26-Rinse Denim_10"/>
    <s v="Amazon Essentials Women's A-Line High-Rise Denim Button-Down Midi Skirt, Rinse Denim, 10"/>
    <s v="Accepted: In stock"/>
    <s v="Ship window (Collect)"/>
    <x v="1"/>
    <x v="1"/>
    <x v="0"/>
    <n v="180"/>
    <n v="180"/>
    <n v="200"/>
    <n v="200"/>
    <n v="0"/>
    <m/>
    <m/>
    <m/>
    <n v="180"/>
    <m/>
    <m/>
    <n v="180"/>
    <x v="2"/>
    <n v="180"/>
    <n v="0"/>
    <m/>
    <n v="18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D4S8"/>
    <s v="197153513171"/>
    <s v="UPC"/>
    <x v="3"/>
    <s v="Women's A-Line High-Rise Denim Button-Down Midi Skirt"/>
    <x v="24"/>
    <s v="Rinse Denim"/>
    <n v="16"/>
    <s v="-"/>
    <s v="AEWM77548M26-Rinse Denim_16"/>
    <s v="Amazon Essentials Women's A-Line High-Rise Denim Button-Down Midi Skirt, Rinse Denim, 16"/>
    <s v="Accepted: In stock"/>
    <s v="Ship window (Collect)"/>
    <x v="1"/>
    <x v="1"/>
    <x v="0"/>
    <n v="140"/>
    <n v="140"/>
    <n v="150"/>
    <n v="150"/>
    <n v="0"/>
    <m/>
    <m/>
    <m/>
    <n v="140"/>
    <m/>
    <m/>
    <n v="140"/>
    <x v="2"/>
    <n v="140"/>
    <n v="0"/>
    <m/>
    <n v="14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9NJ1"/>
    <s v="197153513508"/>
    <s v="UPC"/>
    <x v="3"/>
    <s v="Women's A-Line High-Rise Denim Button-Down Midi Skirt"/>
    <x v="24"/>
    <s v="Dark Midnight Wash"/>
    <n v="10"/>
    <s v="-"/>
    <s v="AEWM77548M26-Dark Midnight Wash_10"/>
    <s v="Amazon Essentials Women's A-Line High-Rise Denim Button-Down Midi Skirt, Dark Midnight Wash, 10"/>
    <s v="Accepted: In stock"/>
    <s v="Ship window (Collect)"/>
    <x v="1"/>
    <x v="1"/>
    <x v="0"/>
    <n v="190"/>
    <n v="190"/>
    <n v="210"/>
    <n v="210"/>
    <n v="0"/>
    <m/>
    <m/>
    <m/>
    <n v="190"/>
    <m/>
    <m/>
    <n v="190"/>
    <x v="2"/>
    <n v="190"/>
    <n v="0"/>
    <m/>
    <n v="19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7XSB"/>
    <s v="197153513218"/>
    <s v="UPC"/>
    <x v="3"/>
    <s v="Women's A-Line High-Rise Denim Button-Down Midi Skirt"/>
    <x v="24"/>
    <s v="White"/>
    <n v="8"/>
    <s v="-"/>
    <s v="AEWM77548M26-White_8"/>
    <s v="Amazon Essentials Women's A-Line High-Rise Denim Button-Down Midi Skirt, White, 8"/>
    <s v="Accepted: In stock"/>
    <s v="Ship window (Collect)"/>
    <x v="1"/>
    <x v="1"/>
    <x v="0"/>
    <n v="290"/>
    <n v="290"/>
    <n v="310"/>
    <n v="310"/>
    <n v="0"/>
    <m/>
    <m/>
    <m/>
    <n v="290"/>
    <m/>
    <m/>
    <n v="290"/>
    <x v="2"/>
    <n v="290"/>
    <n v="0"/>
    <m/>
    <n v="29"/>
    <n v="15.37"/>
    <s v="USD"/>
    <n v="15.37"/>
    <b v="1"/>
    <m/>
    <m/>
    <s v="TH"/>
    <x v="2"/>
    <s v="EGMCL"/>
    <s v="EG5-10140"/>
    <x v="2"/>
    <x v="4"/>
  </r>
  <r>
    <x v="10"/>
    <x v="2"/>
    <x v="0"/>
    <s v="ITHC - SI RACHA, Bangkok"/>
    <s v="B0FS2C7RBN"/>
    <s v="197153513164"/>
    <s v="UPC"/>
    <x v="3"/>
    <s v="Women's A-Line High-Rise Denim Button-Down Midi Skirt"/>
    <x v="24"/>
    <s v="Rinse Denim"/>
    <n v="4"/>
    <s v="-"/>
    <s v="AEWM77548M26-Rinse Denim_4"/>
    <s v="Amazon Essentials Women's A-Line High-Rise Denim Button-Down Midi Skirt, Rinse Denim, 4"/>
    <s v="Accepted: In stock"/>
    <s v="Ship window (Collect)"/>
    <x v="1"/>
    <x v="1"/>
    <x v="0"/>
    <n v="140"/>
    <n v="140"/>
    <n v="150"/>
    <n v="150"/>
    <n v="0"/>
    <m/>
    <m/>
    <m/>
    <n v="140"/>
    <m/>
    <m/>
    <n v="140"/>
    <x v="2"/>
    <n v="140"/>
    <n v="0"/>
    <m/>
    <n v="14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7QHD"/>
    <s v="197153513492"/>
    <s v="UPC"/>
    <x v="3"/>
    <s v="Women's A-Line High-Rise Denim Button-Down Midi Skirt"/>
    <x v="24"/>
    <s v="Dark Midnight Wash"/>
    <n v="2"/>
    <s v="-"/>
    <s v="AEWM77548M26-Dark Midnight Wash_2"/>
    <s v="Amazon Essentials Women's A-Line High-Rise Denim Button-Down Midi Skirt, Dark Midnight Wash, 2"/>
    <s v="Accepted: In stock"/>
    <s v="Ship window (Collect)"/>
    <x v="1"/>
    <x v="1"/>
    <x v="0"/>
    <n v="310"/>
    <n v="310"/>
    <n v="330"/>
    <n v="330"/>
    <n v="0"/>
    <m/>
    <m/>
    <m/>
    <n v="310"/>
    <m/>
    <m/>
    <n v="310"/>
    <x v="2"/>
    <n v="310"/>
    <n v="0"/>
    <m/>
    <n v="31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6CPB"/>
    <s v="197153513485"/>
    <s v="UPC"/>
    <x v="3"/>
    <s v="Women's A-Line High-Rise Denim Button-Down Midi Skirt"/>
    <x v="24"/>
    <s v="Dark Midnight Wash"/>
    <n v="4"/>
    <s v="-"/>
    <s v="AEWM77548M26-Dark Midnight Wash_4"/>
    <s v="Amazon Essentials Women's A-Line High-Rise Denim Button-Down Midi Skirt, Dark Midnight Wash, 4"/>
    <s v="Accepted: In stock"/>
    <s v="Ship window (Collect)"/>
    <x v="1"/>
    <x v="1"/>
    <x v="0"/>
    <n v="210"/>
    <n v="210"/>
    <n v="230"/>
    <n v="230"/>
    <n v="0"/>
    <m/>
    <m/>
    <m/>
    <n v="210"/>
    <m/>
    <m/>
    <n v="210"/>
    <x v="2"/>
    <n v="210"/>
    <n v="0"/>
    <m/>
    <n v="21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5SWJ"/>
    <s v="197153513089"/>
    <s v="UPC"/>
    <x v="3"/>
    <s v="Women's A-Line High-Rise Denim Button-Down Midi Skirt"/>
    <x v="24"/>
    <s v="Rinse Denim"/>
    <n v="20"/>
    <s v="-"/>
    <s v="AEWM77548M26-Rinse Denim_20"/>
    <s v="Amazon Essentials Women's A-Line High-Rise Denim Button-Down Midi Skirt, Rinse Denim, 20"/>
    <s v="Accepted: In stock"/>
    <s v="Ship window (Collect)"/>
    <x v="1"/>
    <x v="1"/>
    <x v="0"/>
    <n v="110"/>
    <n v="110"/>
    <n v="120"/>
    <n v="120"/>
    <n v="0"/>
    <m/>
    <m/>
    <m/>
    <n v="110"/>
    <m/>
    <m/>
    <n v="110"/>
    <x v="2"/>
    <n v="110"/>
    <n v="0"/>
    <m/>
    <n v="11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C12L3"/>
    <s v="197153513430"/>
    <s v="UPC"/>
    <x v="3"/>
    <s v="Women's A-Line High-Rise Denim Button-Down Midi Skirt"/>
    <x v="24"/>
    <s v="Dark Midnight Wash"/>
    <n v="6"/>
    <s v="-"/>
    <s v="AEWM77548M26-Dark Midnight Wash_6"/>
    <s v="Amazon Essentials Women's A-Line High-Rise Denim Button-Down Midi Skirt, Dark Midnight Wash, 6"/>
    <s v="Accepted: In stock"/>
    <s v="Ship window (Collect)"/>
    <x v="1"/>
    <x v="1"/>
    <x v="0"/>
    <n v="240"/>
    <n v="240"/>
    <n v="260"/>
    <n v="260"/>
    <n v="0"/>
    <m/>
    <m/>
    <m/>
    <n v="240"/>
    <m/>
    <m/>
    <n v="240"/>
    <x v="2"/>
    <n v="240"/>
    <n v="0"/>
    <m/>
    <n v="24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BCVY8"/>
    <s v="197153513096"/>
    <s v="UPC"/>
    <x v="3"/>
    <s v="Women's A-Line High-Rise Denim Button-Down Midi Skirt"/>
    <x v="24"/>
    <s v="Rinse Denim"/>
    <n v="6"/>
    <s v="-"/>
    <s v="AEWM77548M26-Rinse Denim_6"/>
    <s v="Amazon Essentials Women's A-Line High-Rise Denim Button-Down Midi Skirt, Rinse Denim, 6"/>
    <s v="Accepted: In stock"/>
    <s v="Ship window (Collect)"/>
    <x v="1"/>
    <x v="1"/>
    <x v="0"/>
    <n v="160"/>
    <n v="160"/>
    <n v="170"/>
    <n v="170"/>
    <n v="0"/>
    <m/>
    <m/>
    <m/>
    <n v="160"/>
    <m/>
    <m/>
    <n v="160"/>
    <x v="2"/>
    <n v="160"/>
    <n v="0"/>
    <m/>
    <n v="16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S2BBX69"/>
    <s v="197153513119"/>
    <s v="UPC"/>
    <x v="3"/>
    <s v="Women's A-Line High-Rise Denim Button-Down Midi Skirt"/>
    <x v="24"/>
    <s v="Rinse Denim"/>
    <n v="18"/>
    <s v="-"/>
    <s v="AEWM77548M26-Rinse Denim_18"/>
    <s v="Amazon Essentials Women's A-Line High-Rise Denim Button-Down Midi Skirt, Rinse Denim, 18"/>
    <s v="Accepted: In stock"/>
    <s v="Ship window (Collect)"/>
    <x v="1"/>
    <x v="1"/>
    <x v="0"/>
    <n v="230"/>
    <n v="230"/>
    <n v="250"/>
    <n v="250"/>
    <n v="0"/>
    <m/>
    <m/>
    <m/>
    <n v="230"/>
    <m/>
    <m/>
    <n v="230"/>
    <x v="2"/>
    <n v="230"/>
    <n v="0"/>
    <m/>
    <n v="23"/>
    <n v="14.48"/>
    <s v="USD"/>
    <n v="14.48"/>
    <b v="1"/>
    <m/>
    <m/>
    <s v="TH"/>
    <x v="2"/>
    <s v="EGMCL"/>
    <s v="EG5-10140"/>
    <x v="2"/>
    <x v="4"/>
  </r>
  <r>
    <x v="10"/>
    <x v="2"/>
    <x v="0"/>
    <s v="ITHC - SI RACHA, Bangkok"/>
    <s v="B0F7NBCJR1"/>
    <s v="197153424392"/>
    <s v="UPC"/>
    <x v="2"/>
    <s v="Men's Rigid Relaxed-Fit 10&quot; Jean Shorts"/>
    <x v="16"/>
    <s v="Stone Medium Wash"/>
    <n v="36"/>
    <s v="-"/>
    <s v="AEMN41037M25-Stone Medium Wash_36"/>
    <s v="Amazon Essentials Men's Rigid Relaxed-Fit Jean Shorts, Stone Medium Wash, 36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NBCJQ5"/>
    <s v="197153423890"/>
    <s v="UPC"/>
    <x v="2"/>
    <s v="Men's Heavyweight Stretch Straight-Fit 9&quot; Jean Shorts"/>
    <x v="15"/>
    <s v="Black"/>
    <n v="32"/>
    <s v="-"/>
    <s v="AEMN97005M25-Black_32"/>
    <s v="Amazon Essentials Men's Heavyweight Stretch Straight-Fit Jean Shorts, Mid Rise, 9&quot; Inseam, Black, 3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9.58"/>
    <s v="USD"/>
    <n v="9.58"/>
    <b v="1"/>
    <m/>
    <m/>
    <s v="TH"/>
    <x v="2"/>
    <s v="EGMCL"/>
    <s v="EG5-10278"/>
    <x v="2"/>
    <x v="4"/>
  </r>
  <r>
    <x v="10"/>
    <x v="2"/>
    <x v="0"/>
    <s v="ITHC - SI RACHA, Bangkok"/>
    <s v="B0F7NBBPK7"/>
    <s v="197153418230"/>
    <s v="UPC"/>
    <x v="2"/>
    <s v="Toddlers' and Girls' Soft Stretch Denim Jegging"/>
    <x v="17"/>
    <s v="Stone Medium Wash"/>
    <s v="4T"/>
    <s v="-"/>
    <s v="AEGL13713M25-Stone Medium Wash_4y"/>
    <s v="Amazon Essentials Toddler Girls' Skinny Mid Rise Soft Stretch Denim Jegging, Stone Medium Wash, 4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5.03"/>
    <s v="USD"/>
    <n v="5.03"/>
    <b v="1"/>
    <m/>
    <m/>
    <s v="TH"/>
    <x v="2"/>
    <s v="EGMCL"/>
    <s v="EG5-10276"/>
    <x v="2"/>
    <x v="4"/>
  </r>
  <r>
    <x v="10"/>
    <x v="2"/>
    <x v="0"/>
    <s v="ITHC - SI RACHA, Bangkok"/>
    <s v="B0F7NBBKHL"/>
    <s v="197153420332"/>
    <s v="UPC"/>
    <x v="2"/>
    <s v="Unisex Baby and Toddlers' Soft Stretch Pull-On Jeans"/>
    <x v="18"/>
    <s v="Stone Light Wash"/>
    <s v="2T"/>
    <s v="-"/>
    <s v="AEUB83300M25-Stone Light Wash_2y"/>
    <s v="Amazon Essentials Unisex Toddlers' Soft Stretch Pull-On Jeans, Stone Light Wash, 2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05"/>
    <s v="USD"/>
    <n v="6.05"/>
    <b v="1"/>
    <m/>
    <m/>
    <s v="TH"/>
    <x v="2"/>
    <s v="EGMCL"/>
    <s v="EG5-10276"/>
    <x v="2"/>
    <x v="4"/>
  </r>
  <r>
    <x v="10"/>
    <x v="2"/>
    <x v="0"/>
    <s v="ITHC - SI RACHA, Bangkok"/>
    <s v="B0F7NB92CJ"/>
    <s v="197153420370"/>
    <s v="UPC"/>
    <x v="2"/>
    <s v="Unisex Baby and Toddlers' Soft Stretch Pull-On Jeans"/>
    <x v="18"/>
    <s v="Stone Medium Wash"/>
    <s v="3-6 Months"/>
    <s v="-"/>
    <s v="AEUB83300M25-Stone Medium Wash_3-6m"/>
    <s v="Amazon Essentials Unisex Babies' Soft Stretch Pull-On Jeans, Stone Medium Wash, 3-6 Months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15"/>
    <s v="USD"/>
    <n v="6.15"/>
    <b v="1"/>
    <m/>
    <m/>
    <s v="TH"/>
    <x v="2"/>
    <s v="EGMCL"/>
    <s v="EG5-10276"/>
    <x v="2"/>
    <x v="4"/>
  </r>
  <r>
    <x v="10"/>
    <x v="2"/>
    <x v="0"/>
    <s v="ITHC - SI RACHA, Bangkok"/>
    <s v="B0F7N7DL6Y"/>
    <s v="197153424620"/>
    <s v="UPC"/>
    <x v="2"/>
    <s v="Men's Rigid Relaxed-Fit 10&quot; Jean Shorts"/>
    <x v="16"/>
    <s v="Vintage Blue"/>
    <n v="40"/>
    <s v="-"/>
    <s v="AEMN41037M25-Vintage Blue_40"/>
    <s v="Amazon Essentials Men's Rigid Relaxed-Fit Jean Shorts, Vintage Blue, 40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N768KJ"/>
    <s v="197153424163"/>
    <s v="UPC"/>
    <x v="2"/>
    <s v="Men's Heavyweight Stretch Straight-Fit 9&quot; Jean Shorts"/>
    <x v="15"/>
    <s v="Dark Midnight Wash"/>
    <n v="34"/>
    <s v="-"/>
    <s v="AEMN97005M25-Dark Midnight Wash_34"/>
    <s v="Amazon Essentials Men's Heavyweight Stretch Straight-Fit Jean Shorts, Mid Rise, 9&quot; Inseam, Dark Midnight Wash, 34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4"/>
    <s v="USD"/>
    <n v="10.14"/>
    <b v="1"/>
    <m/>
    <m/>
    <s v="TH"/>
    <x v="2"/>
    <s v="EGMCL"/>
    <s v="EG5-10278"/>
    <x v="2"/>
    <x v="4"/>
  </r>
  <r>
    <x v="10"/>
    <x v="2"/>
    <x v="0"/>
    <s v="ITHC - SI RACHA, Bangkok"/>
    <s v="B0F7N4N778"/>
    <s v="197153418407"/>
    <s v="UPC"/>
    <x v="2"/>
    <s v="Baby Girls and Toddlers' Soft Stretch Relaxed-Fit Wide Leg Jeans"/>
    <x v="21"/>
    <s v="Classic Light Wash"/>
    <s v="3-6 Months"/>
    <s v="-"/>
    <s v="AEBG70043M25-Classic Light Wash_3-6m"/>
    <s v="Amazon Essentials Baby Girls' Baby Girls and Toddlers' Soft Stretch Relaxed-Fit Wide Leg Jeans, Classic Light Wash, 3-6 Months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2"/>
    <s v="USD"/>
    <n v="6.2"/>
    <b v="1"/>
    <m/>
    <m/>
    <s v="TH"/>
    <x v="2"/>
    <s v="EGMCL"/>
    <s v="EG5-10325"/>
    <x v="2"/>
    <x v="4"/>
  </r>
  <r>
    <x v="10"/>
    <x v="2"/>
    <x v="0"/>
    <s v="ITHC - SI RACHA, Bangkok"/>
    <s v="B0F7N3LXDJ"/>
    <s v="197153424415"/>
    <s v="UPC"/>
    <x v="2"/>
    <s v="Men's Rigid Relaxed-Fit 10&quot; Jean Shorts"/>
    <x v="16"/>
    <s v="Stone Medium Wash"/>
    <n v="28"/>
    <s v="-"/>
    <s v="AEMN41037M25-Stone Medium Wash_28"/>
    <s v="Amazon Essentials Men's Men's Rigid Relaxed-Fit Jean Shorts, Stone Medium Wash, 28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N33S9H"/>
    <s v="197153423968"/>
    <s v="UPC"/>
    <x v="2"/>
    <s v="Men's Heavyweight Stretch Straight-Fit 9&quot; Jean Shorts"/>
    <x v="15"/>
    <s v="Iced Blue Light Wash"/>
    <n v="30"/>
    <s v="-"/>
    <s v="AEMN97005M25-Iced Blue Light Wash_30"/>
    <s v="Amazon Essentials Men's Heavyweight Stretch Straight-Fit Jean Shorts, Mid Rise, 9&quot; Inseam, Iced Blue Light Wash, 30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45"/>
    <s v="USD"/>
    <n v="10.45"/>
    <b v="1"/>
    <m/>
    <m/>
    <s v="TH"/>
    <x v="2"/>
    <s v="EGMCL"/>
    <s v="EG5-10278"/>
    <x v="2"/>
    <x v="4"/>
  </r>
  <r>
    <x v="10"/>
    <x v="2"/>
    <x v="0"/>
    <s v="ITHC - SI RACHA, Bangkok"/>
    <s v="B0F7N2PN9Z"/>
    <s v="197153422817"/>
    <s v="UPC"/>
    <x v="2"/>
    <s v="Women's Low Stretch Mid-Rise Regular-Fit Jean Short"/>
    <x v="20"/>
    <s v="Medium Blue Vintage"/>
    <n v="6"/>
    <s v="-"/>
    <s v="AEWM44862M25-Medium Blue Vintage_6"/>
    <s v="Amazon Essentials Women's Low Stretch Mid-Rise Regular-Fit Jean Short, Medium Blue Vintage, 6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99"/>
    <s v="USD"/>
    <n v="8.68"/>
    <b v="0"/>
    <m/>
    <m/>
    <s v="TH"/>
    <x v="2"/>
    <s v="EGMCL"/>
    <s v="EG5-10329"/>
    <x v="2"/>
    <x v="4"/>
  </r>
  <r>
    <x v="10"/>
    <x v="2"/>
    <x v="0"/>
    <s v="ITHC - SI RACHA, Bangkok"/>
    <s v="B0F7N2PN92"/>
    <s v="197153420400"/>
    <s v="UPC"/>
    <x v="2"/>
    <s v="Unisex Baby and Toddlers' Soft Stretch Pull-On Jeans"/>
    <x v="18"/>
    <s v="Stone Medium Wash"/>
    <s v="3T"/>
    <s v="-"/>
    <s v="AEUB83300M25-Stone Medium Wash_3y"/>
    <s v="Amazon Essentials Unisex Toddlers' Soft Stretch Pull-On Jeans, Stone Medium Wash, 3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15"/>
    <s v="USD"/>
    <n v="6.15"/>
    <b v="1"/>
    <m/>
    <m/>
    <s v="TH"/>
    <x v="2"/>
    <s v="EGMCL"/>
    <s v="EG5-10276"/>
    <x v="2"/>
    <x v="4"/>
  </r>
  <r>
    <x v="10"/>
    <x v="2"/>
    <x v="0"/>
    <s v="ITHC - SI RACHA, Bangkok"/>
    <s v="B0F7N1ND5G"/>
    <s v="197153424033"/>
    <s v="UPC"/>
    <x v="2"/>
    <s v="Men's Heavyweight Stretch Straight-Fit 9&quot; Jean Shorts"/>
    <x v="15"/>
    <s v="Authentic Medium Wash"/>
    <n v="31"/>
    <s v="-"/>
    <s v="AEMN97005M25-Authentic Medium Wash_31"/>
    <s v="Amazon Essentials Men's Heavyweight Stretch Straight-Fit Jean Shorts, Mid Rise, 9&quot; Inseam, Authentic Medium Wash, 31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24"/>
    <s v="USD"/>
    <n v="10.24"/>
    <b v="1"/>
    <m/>
    <m/>
    <s v="TH"/>
    <x v="2"/>
    <s v="EGMCL"/>
    <s v="EG5-10278"/>
    <x v="2"/>
    <x v="4"/>
  </r>
  <r>
    <x v="10"/>
    <x v="2"/>
    <x v="0"/>
    <s v="ITHC - SI RACHA, Bangkok"/>
    <s v="B0F7MZYP24"/>
    <s v="197153424590"/>
    <s v="UPC"/>
    <x v="2"/>
    <s v="Men's Rigid Relaxed-Fit 10&quot; Jean Shorts"/>
    <x v="16"/>
    <s v="Vintage Blue"/>
    <n v="42"/>
    <s v="-"/>
    <s v="AEMN41037M25-Vintage Blue_42"/>
    <s v="Amazon Essentials Men's Rigid Relaxed-Fit Jean Shorts, Vintage Blue, 4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ZH1KV"/>
    <s v="197153420066"/>
    <s v="UPC"/>
    <x v="2"/>
    <s v="Girls' Ultra Soft Relaxed-Fit Wide Leg Cargo Jeans"/>
    <x v="19"/>
    <s v="Classic Light Wash"/>
    <n v="12"/>
    <s v="-"/>
    <s v="AEGL35686M25-Classic Light Wash_12"/>
    <s v="Amazon Essentials Girls' Girls' Ultra Soft Relaxed-Fit Wide Leg Cargo Jeans, Classic Light Wash, 1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79"/>
    <s v="USD"/>
    <n v="10.79"/>
    <b v="1"/>
    <m/>
    <m/>
    <s v="TH"/>
    <x v="2"/>
    <s v="EGMCL"/>
    <s v="EG5-10325"/>
    <x v="2"/>
    <x v="4"/>
  </r>
  <r>
    <x v="10"/>
    <x v="2"/>
    <x v="0"/>
    <s v="ITHC - SI RACHA, Bangkok"/>
    <s v="B0F7MYPL6V"/>
    <s v="197153420394"/>
    <s v="UPC"/>
    <x v="2"/>
    <s v="Unisex Baby and Toddlers' Soft Stretch Pull-On Jeans"/>
    <x v="18"/>
    <s v="Stone Medium Wash"/>
    <s v="4T"/>
    <s v="-"/>
    <s v="AEUB83300M25-Stone Medium Wash_4y"/>
    <s v="Amazon Essentials Unisex Toddlers' Soft Stretch Pull-On Jeans, Stone Medium Wash, 4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15"/>
    <s v="USD"/>
    <n v="6.15"/>
    <b v="1"/>
    <m/>
    <m/>
    <s v="TH"/>
    <x v="2"/>
    <s v="EGMCL"/>
    <s v="EG5-10276"/>
    <x v="2"/>
    <x v="4"/>
  </r>
  <r>
    <x v="10"/>
    <x v="2"/>
    <x v="0"/>
    <s v="ITHC - SI RACHA, Bangkok"/>
    <s v="B0F7MYKYR3"/>
    <s v="197153424439"/>
    <s v="UPC"/>
    <x v="2"/>
    <s v="Men's Rigid Relaxed-Fit 10&quot; Jean Shorts"/>
    <x v="16"/>
    <s v="Stone Medium Wash"/>
    <n v="32"/>
    <s v="-"/>
    <s v="AEMN41037M25-Stone Medium Wash_32"/>
    <s v="Amazon Essentials Men's Rigid Relaxed-Fit Jean Shorts, Stone Medium Wash, 3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YFKC1"/>
    <s v="197153424125"/>
    <s v="UPC"/>
    <x v="2"/>
    <s v="Men's Heavyweight Stretch Straight-Fit 9&quot; Jean Shorts"/>
    <x v="15"/>
    <s v="Authentic Medium Wash"/>
    <n v="38"/>
    <s v="-"/>
    <s v="AEMN97005M25-Authentic Medium Wash_38"/>
    <s v="Amazon Essentials Men's Heavyweight Stretch Straight-Fit Jean Shorts, Mid Rise, 9&quot; Inseam, Authentic Medium Wash, 38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5"/>
    <n v="48"/>
    <n v="0"/>
    <m/>
    <n v="2"/>
    <n v="10.24"/>
    <s v="USD"/>
    <n v="10.24"/>
    <b v="1"/>
    <m/>
    <m/>
    <s v="TH"/>
    <x v="2"/>
    <s v="EGMCL"/>
    <s v="EG5-10278"/>
    <x v="2"/>
    <x v="4"/>
  </r>
  <r>
    <x v="10"/>
    <x v="2"/>
    <x v="0"/>
    <s v="ITHC - SI RACHA, Bangkok"/>
    <s v="B0F7MYF1MV"/>
    <s v="197153420417"/>
    <s v="UPC"/>
    <x v="2"/>
    <s v="Unisex Baby and Toddlers' Soft Stretch Pull-On Jeans"/>
    <x v="18"/>
    <s v="Stone Medium Wash"/>
    <s v="2T"/>
    <s v="-"/>
    <s v="AEUB83300M25-Stone Medium Wash_2y"/>
    <s v="Amazon Essentials Unisex Toddlers' Soft Stretch Pull-On Jeans, Stone Medium Wash, 2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15"/>
    <s v="USD"/>
    <n v="6.15"/>
    <b v="1"/>
    <m/>
    <m/>
    <s v="TH"/>
    <x v="2"/>
    <s v="EGMCL"/>
    <s v="EG5-10276"/>
    <x v="2"/>
    <x v="4"/>
  </r>
  <r>
    <x v="10"/>
    <x v="2"/>
    <x v="0"/>
    <s v="ITHC - SI RACHA, Bangkok"/>
    <s v="B0F7MWVK55"/>
    <s v="197153422831"/>
    <s v="UPC"/>
    <x v="2"/>
    <s v="Women's Low Stretch Mid-Rise Regular-Fit Jean Short"/>
    <x v="20"/>
    <s v="Medium Blue Vintage"/>
    <n v="16"/>
    <s v="-"/>
    <s v="AEWM44862M25-Medium Blue Vintage_16"/>
    <s v="Amazon Essentials Women's Low Stretch Mid-Rise Regular-Fit Jean Short, Medium Blue Vintage, 16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99"/>
    <s v="USD"/>
    <n v="8.68"/>
    <b v="0"/>
    <m/>
    <m/>
    <s v="TH"/>
    <x v="2"/>
    <s v="EGMCL"/>
    <s v="EG5-10329"/>
    <x v="2"/>
    <x v="4"/>
  </r>
  <r>
    <x v="10"/>
    <x v="2"/>
    <x v="0"/>
    <s v="ITHC - SI RACHA, Bangkok"/>
    <s v="B0F7MVS7X3"/>
    <s v="197153422848"/>
    <s v="UPC"/>
    <x v="2"/>
    <s v="Women's Low Stretch Mid-Rise Regular-Fit Jean Short"/>
    <x v="20"/>
    <s v="Medium Blue Vintage"/>
    <n v="10"/>
    <s v="-"/>
    <s v="AEWM44862M25-Medium Blue Vintage_10"/>
    <s v="Amazon Essentials Women's Low Stretch Mid-Rise Regular-Fit Jean Short, Medium Blue Vintage, 10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99"/>
    <s v="USD"/>
    <n v="8.68"/>
    <b v="0"/>
    <m/>
    <m/>
    <s v="TH"/>
    <x v="2"/>
    <s v="EGMCL"/>
    <s v="EG5-10329"/>
    <x v="2"/>
    <x v="4"/>
  </r>
  <r>
    <x v="10"/>
    <x v="2"/>
    <x v="0"/>
    <s v="ITHC - SI RACHA, Bangkok"/>
    <s v="B0F7MVDHTQ"/>
    <s v="197153420318"/>
    <s v="UPC"/>
    <x v="2"/>
    <s v="Unisex Baby and Toddlers' Soft Stretch Pull-On Jeans"/>
    <x v="18"/>
    <s v="Stone Light Wash"/>
    <s v="4T"/>
    <s v="-"/>
    <s v="AEUB83300M25-Stone Light Wash_4y"/>
    <s v="Amazon Essentials Unisex Toddlers' Soft Stretch Pull-On Jeans, Stone Light Wash, 4T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5"/>
    <n v="48"/>
    <n v="0"/>
    <m/>
    <n v="2"/>
    <n v="6.05"/>
    <s v="USD"/>
    <n v="6.05"/>
    <b v="1"/>
    <m/>
    <m/>
    <s v="TH"/>
    <x v="2"/>
    <s v="EGMCL"/>
    <s v="EG5-10276"/>
    <x v="2"/>
    <x v="4"/>
  </r>
  <r>
    <x v="10"/>
    <x v="2"/>
    <x v="0"/>
    <s v="ITHC - SI RACHA, Bangkok"/>
    <s v="B0F7MT4HHX"/>
    <s v="197153418148"/>
    <s v="UPC"/>
    <x v="2"/>
    <s v="Toddlers' and Girls' Soft Stretch Denim Jegging"/>
    <x v="17"/>
    <s v="Stone Light Wash"/>
    <s v="4T"/>
    <s v="-"/>
    <s v="AEGL13713M25-Stone Light Wash_4y"/>
    <s v="Amazon Essentials Toddler Girls' Skinny Mid Rise Soft Stretch Denim Jegging, Stone Light Wash, 4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4.92"/>
    <s v="USD"/>
    <n v="4.92"/>
    <b v="1"/>
    <m/>
    <m/>
    <s v="TH"/>
    <x v="2"/>
    <s v="EGMCL"/>
    <s v="EG5-10276"/>
    <x v="2"/>
    <x v="4"/>
  </r>
  <r>
    <x v="10"/>
    <x v="2"/>
    <x v="0"/>
    <s v="ITHC - SI RACHA, Bangkok"/>
    <s v="B0F7MT1BTH"/>
    <s v="197153424408"/>
    <s v="UPC"/>
    <x v="2"/>
    <s v="Men's Rigid Relaxed-Fit 10&quot; Jean Shorts"/>
    <x v="16"/>
    <s v="Stone Medium Wash"/>
    <n v="40"/>
    <s v="-"/>
    <s v="AEMN41037M25-Stone Medium Wash_40"/>
    <s v="Amazon Essentials Men's Rigid Relaxed-Fit Jean Shorts, Stone Medium Wash, 40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RXZPV"/>
    <s v="197153423807"/>
    <s v="UPC"/>
    <x v="2"/>
    <s v="Men's Heavyweight Stretch Straight-Fit 9&quot; Jean Shorts"/>
    <x v="15"/>
    <s v="Black"/>
    <n v="42"/>
    <s v="-"/>
    <s v="AEMN97005M25-Black_42"/>
    <s v="Amazon Essentials Men's Heavyweight Stretch Straight-Fit Jean Shorts, Mid Rise, 9&quot; Inseam, Black, 4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9.58"/>
    <s v="USD"/>
    <n v="9.58"/>
    <b v="1"/>
    <m/>
    <m/>
    <s v="TH"/>
    <x v="2"/>
    <s v="EGMCL"/>
    <s v="EG5-10278"/>
    <x v="2"/>
    <x v="4"/>
  </r>
  <r>
    <x v="10"/>
    <x v="2"/>
    <x v="0"/>
    <s v="ITHC - SI RACHA, Bangkok"/>
    <s v="B0F7MRW41K"/>
    <s v="197153424446"/>
    <s v="UPC"/>
    <x v="2"/>
    <s v="Men's Rigid Relaxed-Fit 10&quot; Jean Shorts"/>
    <x v="16"/>
    <s v="Stone Medium Wash"/>
    <n v="34"/>
    <s v="-"/>
    <s v="AEMN41037M25-Stone Medium Wash_34"/>
    <s v="Amazon Essentials Men's Rigid Relaxed-Fit Jean Shorts, Stone Medium Wash, 34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QYFSL"/>
    <s v="197153420325"/>
    <s v="UPC"/>
    <x v="2"/>
    <s v="Unisex Baby and Toddlers' Soft Stretch Pull-On Jeans"/>
    <x v="18"/>
    <s v="Stone Light Wash"/>
    <s v="3T"/>
    <s v="-"/>
    <s v="AEUB83300M25-Stone Light Wash_3y"/>
    <s v="Amazon Essentials Unisex Toddlers' Soft Stretch Pull-On Jeans, Stone Light Wash, 3T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05"/>
    <s v="USD"/>
    <n v="6.05"/>
    <b v="1"/>
    <m/>
    <m/>
    <s v="TH"/>
    <x v="2"/>
    <s v="EGMCL"/>
    <s v="EG5-10276"/>
    <x v="2"/>
    <x v="4"/>
  </r>
  <r>
    <x v="10"/>
    <x v="2"/>
    <x v="0"/>
    <s v="ITHC - SI RACHA, Bangkok"/>
    <s v="B0F7MQ1HBT"/>
    <s v="197153418223"/>
    <s v="UPC"/>
    <x v="2"/>
    <s v="Toddlers' and Girls' Soft Stretch Denim Jegging"/>
    <x v="17"/>
    <s v="Stone Medium Wash"/>
    <s v="X-Small"/>
    <s v="-"/>
    <s v="AEGL13713M25-Stone Medium Wash_xs"/>
    <s v="Amazon Essentials Girls' Skinny Mid Rise Soft Stretch Denim Jegging, Stone Medium Wash, X-Smal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5.03"/>
    <s v="USD"/>
    <n v="5.03"/>
    <b v="1"/>
    <m/>
    <m/>
    <s v="TH"/>
    <x v="2"/>
    <s v="EGMCL"/>
    <s v="EG5-10276"/>
    <x v="2"/>
    <x v="4"/>
  </r>
  <r>
    <x v="10"/>
    <x v="2"/>
    <x v="0"/>
    <s v="ITHC - SI RACHA, Bangkok"/>
    <s v="B0F7MQ1H9C"/>
    <s v="197153424378"/>
    <s v="UPC"/>
    <x v="2"/>
    <s v="Men's Rigid Relaxed-Fit 10&quot; Jean Shorts"/>
    <x v="16"/>
    <s v="Stone Medium Wash"/>
    <n v="42"/>
    <s v="-"/>
    <s v="AEMN41037M25-Stone Medium Wash_42"/>
    <s v="Amazon Essentials Men's Rigid Relaxed-Fit Jean Shorts, Stone Medium Wash, 4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NL1L5"/>
    <s v="197153418292"/>
    <s v="UPC"/>
    <x v="2"/>
    <s v="Toddlers' and Girls' Soft Stretch Denim Jegging"/>
    <x v="17"/>
    <s v="Stone Medium Wash"/>
    <s v="Small"/>
    <s v="-"/>
    <s v="AEGL13713M25-Stone Medium Wash_s"/>
    <s v="Amazon Essentials Girls' Skinny Mid Rise Soft Stretch Denim Jegging, Stone Medium Wash, Smal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5.03"/>
    <s v="USD"/>
    <n v="5.03"/>
    <b v="1"/>
    <m/>
    <m/>
    <s v="TH"/>
    <x v="2"/>
    <s v="EGMCL"/>
    <s v="EG5-10276"/>
    <x v="2"/>
    <x v="4"/>
  </r>
  <r>
    <x v="10"/>
    <x v="2"/>
    <x v="0"/>
    <s v="ITHC - SI RACHA, Bangkok"/>
    <s v="B0F7MN2HLJ"/>
    <s v="197153424385"/>
    <s v="UPC"/>
    <x v="2"/>
    <s v="Men's Rigid Relaxed-Fit 10&quot; Jean Shorts"/>
    <x v="16"/>
    <s v="Stone Medium Wash"/>
    <n v="38"/>
    <s v="-"/>
    <s v="AEMN41037M25-Stone Medium Wash_38"/>
    <s v="Amazon Essentials Men's Rigid Relaxed-Fit Jean Shorts, Stone Medium Wash, 38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F7MJSNW2"/>
    <s v="197153420103"/>
    <s v="UPC"/>
    <x v="2"/>
    <s v="Girls' Ultra Soft Relaxed-Fit Wide Leg Cargo Jeans"/>
    <x v="19"/>
    <s v="Classic Light Wash"/>
    <n v="14"/>
    <s v="-"/>
    <s v="AEGL35686M25-Classic Light Wash_14"/>
    <s v="Amazon Essentials Girls' Girls' Ultra Soft Relaxed-Fit Wide Leg Cargo Jeans, Classic Light Wash, 14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5"/>
    <n v="48"/>
    <n v="0"/>
    <m/>
    <n v="2"/>
    <n v="10.79"/>
    <s v="USD"/>
    <n v="10.79"/>
    <b v="1"/>
    <m/>
    <m/>
    <s v="TH"/>
    <x v="2"/>
    <s v="EGMCL"/>
    <s v="EG5-10325"/>
    <x v="2"/>
    <x v="4"/>
  </r>
  <r>
    <x v="10"/>
    <x v="2"/>
    <x v="0"/>
    <s v="ITHC - SI RACHA, Bangkok"/>
    <s v="B0F7MGYNL5"/>
    <s v="197153422916"/>
    <s v="UPC"/>
    <x v="2"/>
    <s v="Women's Low Stretch Mid-Rise Regular-Fit Jean Short"/>
    <x v="20"/>
    <s v="Medium Blue Vintage"/>
    <n v="4"/>
    <s v="-"/>
    <s v="AEWM44862M25-Medium Blue Vintage_4"/>
    <s v="Amazon Essentials Women's Low Stretch Mid-Rise Regular-Fit Jean Short, Medium Blue Vintage, 4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5"/>
    <n v="48"/>
    <n v="0"/>
    <m/>
    <n v="2"/>
    <n v="6.99"/>
    <s v="USD"/>
    <n v="8.68"/>
    <b v="0"/>
    <m/>
    <m/>
    <s v="TH"/>
    <x v="2"/>
    <s v="EGMCL"/>
    <s v="EG5-10329"/>
    <x v="2"/>
    <x v="4"/>
  </r>
  <r>
    <x v="10"/>
    <x v="2"/>
    <x v="0"/>
    <s v="ITHC - SI RACHA, Bangkok"/>
    <s v="B0F7MGY1CC"/>
    <s v="197153420042"/>
    <s v="UPC"/>
    <x v="2"/>
    <s v="Girls' Ultra Soft Relaxed-Fit Wide Leg Cargo Jeans"/>
    <x v="19"/>
    <s v="Classic Light Wash"/>
    <n v="8"/>
    <s v="-"/>
    <s v="AEGL35686M25-Classic Light Wash_8"/>
    <s v="Amazon Essentials Girls' Girls' Ultra Soft Relaxed-Fit Wide Leg Cargo Jeans, Classic Light Wash, 8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79"/>
    <s v="USD"/>
    <n v="10.79"/>
    <b v="1"/>
    <m/>
    <m/>
    <s v="TH"/>
    <x v="2"/>
    <s v="EGMCL"/>
    <s v="EG5-10325"/>
    <x v="2"/>
    <x v="4"/>
  </r>
  <r>
    <x v="10"/>
    <x v="2"/>
    <x v="0"/>
    <s v="ITHC - SI RACHA, Bangkok"/>
    <s v="B0F7MB1QJN"/>
    <s v="197153422886"/>
    <s v="UPC"/>
    <x v="2"/>
    <s v="Women's Low Stretch Mid-Rise Regular-Fit Jean Short"/>
    <x v="20"/>
    <s v="Medium Blue Vintage"/>
    <n v="8"/>
    <s v="-"/>
    <s v="AEWM44862M25-Medium Blue Vintage_8"/>
    <s v="Amazon Essentials Women's Low Stretch Mid-Rise Regular-Fit Jean Short, Medium Blue Vintage, 8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6.99"/>
    <s v="USD"/>
    <n v="8.68"/>
    <b v="0"/>
    <m/>
    <m/>
    <s v="TH"/>
    <x v="2"/>
    <s v="EGMCL"/>
    <s v="EG5-10329"/>
    <x v="2"/>
    <x v="4"/>
  </r>
  <r>
    <x v="10"/>
    <x v="2"/>
    <x v="0"/>
    <s v="ITHC - SI RACHA, Bangkok"/>
    <s v="B0F7MB1QHF"/>
    <s v="197153424651"/>
    <s v="UPC"/>
    <x v="2"/>
    <s v="Men's Rigid Relaxed-Fit 10&quot; Jean Shorts"/>
    <x v="16"/>
    <s v="Vintage Blue"/>
    <n v="32"/>
    <s v="-"/>
    <s v="AEMN41037M25-Vintage Blue_32"/>
    <s v="Amazon Essentials Men's Rigid Relaxed-Fit Jean Shorts, Vintage Blue, 32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5"/>
    <n v="24"/>
    <n v="0"/>
    <m/>
    <n v="1"/>
    <n v="10.11"/>
    <s v="USD"/>
    <n v="10.11"/>
    <b v="1"/>
    <m/>
    <m/>
    <s v="TH"/>
    <x v="2"/>
    <s v="EGMCL"/>
    <s v="EG5-10139"/>
    <x v="2"/>
    <x v="4"/>
  </r>
  <r>
    <x v="10"/>
    <x v="2"/>
    <x v="0"/>
    <s v="ITHC - SI RACHA, Bangkok"/>
    <s v="B0DX26J2FY"/>
    <s v="197153312682"/>
    <s v="UPC"/>
    <x v="2"/>
    <s v="Men's Low Stretch Slim-Fit Jean"/>
    <x v="6"/>
    <s v="Dark Midnight Wash"/>
    <s v="34W x 32L"/>
    <s v="-"/>
    <s v="AEMN14928M25-Dark Midnight Wash_34wx32l"/>
    <s v="Amazon Essentials Men's Low Stretch Slim-Fit Jean, Tapered Leg, Vintage Inspired Midweight Denim, Dark Midnight Wash, 3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49"/>
    <s v="USD"/>
    <n v="10.49"/>
    <b v="1"/>
    <m/>
    <m/>
    <s v="TH"/>
    <x v="2"/>
    <s v="EGMCL"/>
    <s v="EG5-10326"/>
    <x v="2"/>
    <x v="4"/>
  </r>
  <r>
    <x v="10"/>
    <x v="2"/>
    <x v="0"/>
    <s v="ITHC - SI RACHA, Bangkok"/>
    <s v="B0DX268QZY"/>
    <s v="197153304526"/>
    <s v="UPC"/>
    <x v="2"/>
    <s v="Men's Heavyweight Stretch Straight-Fit Jean"/>
    <x v="7"/>
    <s v="Black-heavyweight"/>
    <s v="30W x 28L"/>
    <s v="-"/>
    <s v="AEMN64413M25-Black_30wx28l"/>
    <s v="Amazon Essentials Men's Men's Heavyweight Stretch Straight-Fit Jean, Black-Heavyweight, 30WX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19"/>
    <s v="USD"/>
    <n v="10.19"/>
    <b v="1"/>
    <m/>
    <m/>
    <s v="TH"/>
    <x v="2"/>
    <s v="EGMCL"/>
    <s v="EG5-10328"/>
    <x v="2"/>
    <x v="4"/>
  </r>
  <r>
    <x v="10"/>
    <x v="2"/>
    <x v="0"/>
    <s v="ITHC - SI RACHA, Bangkok"/>
    <s v="B0DX267LJ1"/>
    <s v="197153303017"/>
    <s v="UPC"/>
    <x v="2"/>
    <s v="Men's Medium Stretch Skinny-Fit Jean"/>
    <x v="5"/>
    <s v="Black"/>
    <s v="31W x 34L"/>
    <s v="-"/>
    <s v="AEMN30315M25-Black_31wx34l"/>
    <s v="Amazon Essentials Men's Medium Stretch Skinny-Fit Jeans, Black, 31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06"/>
    <s v="USD"/>
    <n v="10.06"/>
    <b v="1"/>
    <m/>
    <m/>
    <s v="TH"/>
    <x v="2"/>
    <s v="EGMCL"/>
    <s v="EG5-10327"/>
    <x v="2"/>
    <x v="4"/>
  </r>
  <r>
    <x v="10"/>
    <x v="2"/>
    <x v="0"/>
    <s v="ITHC - SI RACHA, Bangkok"/>
    <s v="B0DX25Z4K6"/>
    <s v="197153313757"/>
    <s v="UPC"/>
    <x v="2"/>
    <s v="Men's Low Stretch Slim-Fit Jean"/>
    <x v="6"/>
    <s v="Iced Light Wash"/>
    <s v="32W x 30L"/>
    <s v="-"/>
    <s v="AEMN14928M25-Iced Light Wash_32wx30l"/>
    <s v="Amazon Essentials Men's Low Stretch Slim-Fit Jean, Tapered Leg, Vintage Inspired Midweight Denim, Iced Light Wash, 32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66"/>
    <s v="USD"/>
    <n v="10.66"/>
    <b v="1"/>
    <m/>
    <m/>
    <s v="TH"/>
    <x v="2"/>
    <s v="EGMCL"/>
    <s v="EG5-10326"/>
    <x v="2"/>
    <x v="4"/>
  </r>
  <r>
    <x v="10"/>
    <x v="2"/>
    <x v="0"/>
    <s v="ITHC - SI RACHA, Bangkok"/>
    <s v="B0DX24BXNC"/>
    <s v="197153313726"/>
    <s v="UPC"/>
    <x v="2"/>
    <s v="Men's Low Stretch Slim-Fit Jean"/>
    <x v="6"/>
    <s v="Iced Light Wash"/>
    <s v="34W x 28L"/>
    <s v="-"/>
    <s v="AEMN14928M25-Iced Light Wash_34wx28l"/>
    <s v="Amazon Essentials Men's Low Stretch Slim-Fit Jean, Tapered Leg, Vintage Inspired Midweight Denim, Iced Light Wash, 34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66"/>
    <s v="USD"/>
    <n v="10.66"/>
    <b v="1"/>
    <m/>
    <m/>
    <s v="TH"/>
    <x v="2"/>
    <s v="EGMCL"/>
    <s v="EG5-10326"/>
    <x v="2"/>
    <x v="4"/>
  </r>
  <r>
    <x v="10"/>
    <x v="2"/>
    <x v="0"/>
    <s v="ITHC - SI RACHA, Bangkok"/>
    <s v="B0DX247N65"/>
    <s v="197153313092"/>
    <s v="UPC"/>
    <x v="2"/>
    <s v="Men's Low Stretch Slim-Fit Jean"/>
    <x v="6"/>
    <s v="Dark Midnight Wash"/>
    <s v="33W x 30L"/>
    <s v="-"/>
    <s v="AEMN14928M25-Dark Midnight Wash_33wx30l"/>
    <s v="Amazon Essentials Men's Low Stretch Slim-Fit Jean, Tapered Leg, Vintage Inspired Midweight Denim, Dark Midnight Wash, 33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49"/>
    <s v="USD"/>
    <n v="10.49"/>
    <b v="1"/>
    <m/>
    <m/>
    <s v="TH"/>
    <x v="2"/>
    <s v="EGMCL"/>
    <s v="EG5-10326"/>
    <x v="2"/>
    <x v="4"/>
  </r>
  <r>
    <x v="10"/>
    <x v="2"/>
    <x v="0"/>
    <s v="ITHC - SI RACHA, Bangkok"/>
    <s v="B0DX2456B4"/>
    <s v="197153295534"/>
    <s v="UPC"/>
    <x v="2"/>
    <s v="Men's Low Stretch Straight Fit Jean"/>
    <x v="4"/>
    <s v="Tinted Medium Blue"/>
    <s v="32W x 34L"/>
    <s v="-"/>
    <s v="AEMN49469M25-Tinted Medium Blue_32wx34l"/>
    <s v="Amazon Essentials Men's Straight-Fit Jeans, Midweight Vintage Inspired Denim, Fitted Through Hip and Thigh, Tinted Medium Blue, 32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2"/>
    <s v="USD"/>
    <n v="11.2"/>
    <b v="1"/>
    <m/>
    <m/>
    <s v="TH"/>
    <x v="2"/>
    <s v="EGMCL"/>
    <s v="EG5-10277"/>
    <x v="2"/>
    <x v="4"/>
  </r>
  <r>
    <x v="10"/>
    <x v="2"/>
    <x v="0"/>
    <s v="ITHC - SI RACHA, Bangkok"/>
    <s v="B0DX244HTK"/>
    <s v="197153295800"/>
    <s v="UPC"/>
    <x v="2"/>
    <s v="Men's Low Stretch Straight Fit Jean"/>
    <x v="4"/>
    <s v="Tinted Medium Blue"/>
    <s v="31W x 30L"/>
    <s v="-"/>
    <s v="AEMN49469M25-Tinted Medium Blue_31wx30l"/>
    <s v="Amazon Essentials Men's Straight-Fit Jeans, Midweight Vintage Inspired Denim, Fitted Through Hip and Thigh, Tinted Medium Blue, 31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2"/>
    <s v="USD"/>
    <n v="11.2"/>
    <b v="1"/>
    <m/>
    <m/>
    <s v="TH"/>
    <x v="2"/>
    <s v="EGMCL"/>
    <s v="EG5-10277"/>
    <x v="2"/>
    <x v="4"/>
  </r>
  <r>
    <x v="10"/>
    <x v="2"/>
    <x v="0"/>
    <s v="ITHC - SI RACHA, Bangkok"/>
    <s v="B0DX23PZQ1"/>
    <s v="197153304618"/>
    <s v="UPC"/>
    <x v="2"/>
    <s v="Men's Heavyweight Stretch Straight-Fit Jean"/>
    <x v="7"/>
    <s v="Black-heavyweight"/>
    <s v="36W x 34L"/>
    <s v="-"/>
    <s v="AEMN64413M25-Black_36wx34l"/>
    <s v="Amazon Essentials Men's Men's Heavyweight Stretch Straight-Fit Jean, Black-Heavyweight, 36Wx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19"/>
    <s v="USD"/>
    <n v="10.19"/>
    <b v="1"/>
    <m/>
    <m/>
    <s v="TH"/>
    <x v="2"/>
    <s v="EGMCL"/>
    <s v="EG5-10328"/>
    <x v="2"/>
    <x v="4"/>
  </r>
  <r>
    <x v="10"/>
    <x v="2"/>
    <x v="0"/>
    <s v="ITHC - SI RACHA, Bangkok"/>
    <s v="B0DX23KZRN"/>
    <s v="197153304496"/>
    <s v="UPC"/>
    <x v="2"/>
    <s v="Men's Heavyweight Stretch Straight-Fit Jean"/>
    <x v="7"/>
    <s v="Black-heavyweight"/>
    <s v="32W x 32L"/>
    <s v="-"/>
    <s v="AEMN64413M25-Black_32wx32l"/>
    <s v="Amazon Essentials Men's Men's Heavyweight Stretch Straight-Fit Jean, Black-Heavyweight, 32Wx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19"/>
    <s v="USD"/>
    <n v="10.19"/>
    <b v="1"/>
    <m/>
    <m/>
    <s v="TH"/>
    <x v="2"/>
    <s v="EGMCL"/>
    <s v="EG5-10328"/>
    <x v="2"/>
    <x v="4"/>
  </r>
  <r>
    <x v="10"/>
    <x v="2"/>
    <x v="0"/>
    <s v="ITHC - SI RACHA, Bangkok"/>
    <s v="B0DX238K8K"/>
    <s v="197153296579"/>
    <s v="UPC"/>
    <x v="2"/>
    <s v="Men's Low Stretch Straight Fit Jean"/>
    <x v="4"/>
    <s v="Grey Wash"/>
    <s v="38W x 32L"/>
    <s v="-"/>
    <s v="AEMN49469M25-Grey Wash_38wx32l"/>
    <s v="Amazon Essentials Men's Straight-Fit Jeans, Midweight Vintage Inspired Denim, Fitted Through Hip and Thigh, Grey Wash, 38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87"/>
    <s v="USD"/>
    <n v="11.87"/>
    <b v="1"/>
    <m/>
    <m/>
    <s v="TH"/>
    <x v="2"/>
    <s v="EGMCL"/>
    <s v="EG5-10277"/>
    <x v="2"/>
    <x v="4"/>
  </r>
  <r>
    <x v="10"/>
    <x v="2"/>
    <x v="0"/>
    <s v="ITHC - SI RACHA, Bangkok"/>
    <s v="B0DX22YVYL"/>
    <s v="197153304755"/>
    <s v="UPC"/>
    <x v="2"/>
    <s v="Men's Heavyweight Stretch Straight-Fit Jean"/>
    <x v="7"/>
    <s v="Black-heavyweight"/>
    <s v="36W x 30L"/>
    <s v="-"/>
    <s v="AEMN64413M25-Black_36wx30l"/>
    <s v="Amazon Essentials Men's Men's Heavyweight Stretch Straight-Fit Jean, Black-Heavyweight, 36Wx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19"/>
    <s v="USD"/>
    <n v="10.19"/>
    <b v="1"/>
    <m/>
    <m/>
    <s v="TH"/>
    <x v="2"/>
    <s v="EGMCL"/>
    <s v="EG5-10328"/>
    <x v="2"/>
    <x v="4"/>
  </r>
  <r>
    <x v="10"/>
    <x v="2"/>
    <x v="0"/>
    <s v="ITHC - SI RACHA, Bangkok"/>
    <s v="B0DX22H6MM"/>
    <s v="197153296258"/>
    <s v="UPC"/>
    <x v="2"/>
    <s v="Men's Low Stretch Straight Fit Jean"/>
    <x v="4"/>
    <s v="Dark Midnight Wash"/>
    <s v="31W x 34L"/>
    <s v="-"/>
    <s v="AEMN49469M25-Dark Midnight Wash_31wx34l"/>
    <s v="Amazon Essentials Men's Straight-Fit Jeans, Midweight Vintage Inspired Denim, Fitted Through Hip and Thigh, Dark Midnight Wash, 31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9"/>
    <s v="USD"/>
    <n v="10.9"/>
    <b v="1"/>
    <m/>
    <m/>
    <s v="TH"/>
    <x v="2"/>
    <s v="EGMCL"/>
    <s v="EG5-10277"/>
    <x v="2"/>
    <x v="4"/>
  </r>
  <r>
    <x v="10"/>
    <x v="2"/>
    <x v="0"/>
    <s v="ITHC - SI RACHA, Bangkok"/>
    <s v="B0DX22BHDW"/>
    <s v="197153303581"/>
    <s v="UPC"/>
    <x v="2"/>
    <s v="Men's Medium Stretch Skinny-Fit Jean"/>
    <x v="5"/>
    <s v="Stone Medium Wash"/>
    <s v="30W x 32L"/>
    <s v="-"/>
    <s v="AEMN30315M25-Stone Medium Wash_30wx32l"/>
    <s v="Amazon Essentials Men's Men's Heavyweight Stretch Skinny-Fit Jean, Stone Medium Wash, 30Wx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0.16"/>
    <s v="USD"/>
    <n v="10.16"/>
    <b v="1"/>
    <m/>
    <m/>
    <s v="TH"/>
    <x v="2"/>
    <s v="EGMCL"/>
    <s v="EG5-10327"/>
    <x v="2"/>
    <x v="4"/>
  </r>
  <r>
    <x v="10"/>
    <x v="2"/>
    <x v="0"/>
    <s v="ITHC - SI RACHA, Bangkok"/>
    <s v="B09LS5SB5C"/>
    <s v="196433248178"/>
    <s v="UPC"/>
    <x v="0"/>
    <s v="AE Broken Chino - Big &amp; Tall"/>
    <x v="8"/>
    <s v="Khaki"/>
    <s v="46W x 28L"/>
    <s v="-"/>
    <s v=""/>
    <s v="Amazon Essentials Men's Athletic-Fit Stretch Chino Pants, Casual Business Wear, Khaki, 46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16"/>
    <s v="USD"/>
    <n v="11.16"/>
    <b v="1"/>
    <m/>
    <m/>
    <s v="TH"/>
    <x v="2"/>
    <s v="EGMCL"/>
    <s v="EG7-10270"/>
    <x v="2"/>
    <x v="4"/>
  </r>
  <r>
    <x v="10"/>
    <x v="2"/>
    <x v="0"/>
    <s v="ITHC - SI RACHA, Bangkok"/>
    <s v="B09LS5772C"/>
    <s v="196433246266"/>
    <s v="UPC"/>
    <x v="0"/>
    <s v="AE Broken Chino - Big &amp; Tall"/>
    <x v="8"/>
    <s v="Black"/>
    <s v="48W x 28L"/>
    <s v="-"/>
    <s v=""/>
    <s v="Amazon Essentials Men's Athletic-Fit Stretch Chino Pants, Casual Business Wear, Black, 48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16"/>
    <s v="USD"/>
    <n v="11.16"/>
    <b v="1"/>
    <m/>
    <m/>
    <s v="TH"/>
    <x v="2"/>
    <s v="EGMCL"/>
    <s v="EG7-10270"/>
    <x v="2"/>
    <x v="4"/>
  </r>
  <r>
    <x v="10"/>
    <x v="2"/>
    <x v="0"/>
    <s v="ITHC - SI RACHA, Bangkok"/>
    <s v="B09LS4MD18"/>
    <s v="196433248161"/>
    <s v="UPC"/>
    <x v="0"/>
    <s v="AE Broken Chino - Big &amp; Tall"/>
    <x v="8"/>
    <s v="Khaki"/>
    <s v="50W x 30L"/>
    <s v="-"/>
    <s v=""/>
    <s v="Amazon Essentials Men's Athletic-Fit Stretch Chino Pants, Casual Business Wear, Khaki, 50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16"/>
    <s v="USD"/>
    <n v="11.16"/>
    <b v="1"/>
    <m/>
    <m/>
    <s v="TH"/>
    <x v="2"/>
    <s v="EGMCL"/>
    <s v="EG7-10270"/>
    <x v="2"/>
    <x v="4"/>
  </r>
  <r>
    <x v="10"/>
    <x v="2"/>
    <x v="0"/>
    <s v="ITHC - SI RACHA, Bangkok"/>
    <s v="B09LS49TLK"/>
    <s v="196433246334"/>
    <s v="UPC"/>
    <x v="0"/>
    <s v="AE Broken Chino - Big &amp; Tall"/>
    <x v="8"/>
    <s v="Black"/>
    <s v="48W x 32L"/>
    <s v="-"/>
    <s v=""/>
    <s v="Amazon Essentials Men's Athletic-Fit Stretch Chino Pants, Casual Business Wear, Black, 48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1.16"/>
    <s v="USD"/>
    <n v="11.16"/>
    <b v="1"/>
    <m/>
    <m/>
    <s v="TH"/>
    <x v="2"/>
    <s v="EGMCL"/>
    <s v="EG7-10270"/>
    <x v="2"/>
    <x v="4"/>
  </r>
  <r>
    <x v="10"/>
    <x v="2"/>
    <x v="0"/>
    <s v="ITHC - SI RACHA, Bangkok"/>
    <s v="B09LRXG2ZM"/>
    <s v="196433250072"/>
    <s v="UPC"/>
    <x v="0"/>
    <s v="AE- Big &amp; tall Cargo Pant"/>
    <x v="9"/>
    <s v="Black"/>
    <s v="54W x 28L"/>
    <s v="-"/>
    <s v=""/>
    <s v="Amazon Essentials Men's Straight-Fit Breathable Stretch Cargo Pants (Available in Big &amp; Tall), Black, 54W x 28L"/>
    <s v="Accepted: In stock"/>
    <s v="Ship window (Collect)"/>
    <x v="1"/>
    <x v="1"/>
    <x v="0"/>
    <n v="132"/>
    <n v="132"/>
    <n v="144"/>
    <n v="144"/>
    <n v="0"/>
    <m/>
    <m/>
    <m/>
    <n v="132"/>
    <m/>
    <m/>
    <n v="132"/>
    <x v="0"/>
    <n v="132"/>
    <n v="0"/>
    <m/>
    <n v="1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WZYX"/>
    <s v="196433248437"/>
    <s v="UPC"/>
    <x v="0"/>
    <s v="AE- Big &amp; tall Cargo Pant"/>
    <x v="9"/>
    <s v="Navy"/>
    <s v="52W x 30L"/>
    <s v="-"/>
    <s v=""/>
    <s v="Amazon Essentials Men's Straight-Fit Breathable Stretch Cargo Pants (Available in Big &amp; Tall), Navy, 52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T3X6"/>
    <s v="196433250027"/>
    <s v="UPC"/>
    <x v="0"/>
    <s v="AE- Big &amp; tall Cargo Pant"/>
    <x v="9"/>
    <s v="Black"/>
    <s v="44W x 30L"/>
    <s v="-"/>
    <s v=""/>
    <s v="Amazon Essentials Men's Straight-Fit Breathable Stretch Cargo Pants (Available in Big &amp; Tall), Black, 44W x 30L"/>
    <s v="Accepted: In stock"/>
    <s v="Ship window (Collect)"/>
    <x v="1"/>
    <x v="1"/>
    <x v="0"/>
    <n v="96"/>
    <n v="96"/>
    <n v="108"/>
    <n v="108"/>
    <n v="0"/>
    <m/>
    <m/>
    <m/>
    <n v="96"/>
    <m/>
    <m/>
    <n v="96"/>
    <x v="0"/>
    <n v="96"/>
    <n v="0"/>
    <m/>
    <n v="8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RH8S"/>
    <s v="196433248727"/>
    <s v="UPC"/>
    <x v="0"/>
    <s v="AE- Big &amp; tall Cargo Pant"/>
    <x v="9"/>
    <s v="Navy"/>
    <s v="44W x 32L"/>
    <s v="-"/>
    <s v=""/>
    <s v="Amazon Essentials Men's Straight-Fit Breathable Stretch Cargo Pants (Available in Big &amp; Tall), Navy, 4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NYSL"/>
    <s v="196433249700"/>
    <s v="UPC"/>
    <x v="0"/>
    <s v="AE- Big &amp; tall Cargo Pant"/>
    <x v="9"/>
    <s v="Khaki Brown"/>
    <s v="54W x 28L"/>
    <s v="-"/>
    <s v=""/>
    <s v="Amazon Essentials Men's Straight-Fit Breathable Stretch Cargo Pants (Available in Big &amp; Tall), Khaki Brown, 54W x 28L"/>
    <s v="Accepted: In stock"/>
    <s v="Ship window (Collect)"/>
    <x v="1"/>
    <x v="1"/>
    <x v="0"/>
    <n v="60"/>
    <n v="60"/>
    <n v="60"/>
    <n v="60"/>
    <n v="0"/>
    <m/>
    <m/>
    <m/>
    <n v="60"/>
    <m/>
    <m/>
    <n v="60"/>
    <x v="0"/>
    <n v="60"/>
    <n v="0"/>
    <m/>
    <n v="5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LT3Y"/>
    <s v="196433248352"/>
    <s v="UPC"/>
    <x v="0"/>
    <s v="AE- Big &amp; tall Cargo Pant"/>
    <x v="9"/>
    <s v="Black"/>
    <s v="44W x 32L"/>
    <s v="-"/>
    <s v=""/>
    <s v="Amazon Essentials Men's Straight-Fit Breathable Stretch Cargo Pants (Available in Big &amp; Tall), Black, 4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G7TN"/>
    <s v="196433248741"/>
    <s v="UPC"/>
    <x v="0"/>
    <s v="AE- Big &amp; tall Cargo Pant"/>
    <x v="9"/>
    <s v="Dark Grey"/>
    <s v="52W x 32L"/>
    <s v="-"/>
    <s v=""/>
    <s v="Amazon Essentials Men's Straight-Fit Breathable Stretch Cargo Pants (Available in Big &amp; Tall), Dark Grey, 52W x 32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FGNX"/>
    <s v="196433249403"/>
    <s v="UPC"/>
    <x v="0"/>
    <s v="AE- Big &amp; tall Cargo Pant"/>
    <x v="9"/>
    <s v="Olive"/>
    <s v="44W x 34L"/>
    <s v="-"/>
    <s v=""/>
    <s v="Amazon Essentials Men's Straight-Fit Breathable Stretch Cargo Pants (Available in Big &amp; Tall), Olive, 44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FGFJ"/>
    <s v="196433248543"/>
    <s v="UPC"/>
    <x v="0"/>
    <s v="AE- Big &amp; tall Cargo Pant"/>
    <x v="9"/>
    <s v="Navy"/>
    <s v="44W x 30L"/>
    <s v="-"/>
    <s v=""/>
    <s v="Amazon Essentials Men's Straight-Fit Breathable Stretch Cargo Pants (Available in Big &amp; Tall), Navy, 44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WBXPV"/>
    <s v="196433248253"/>
    <s v="UPC"/>
    <x v="0"/>
    <s v="AE- Big &amp; tall Cargo Pant"/>
    <x v="9"/>
    <s v="Black"/>
    <s v="48W x 30L"/>
    <s v="-"/>
    <s v=""/>
    <s v="Amazon Essentials Men's Straight-Fit Breathable Stretch Cargo Pants (Available in Big &amp; Tall), Black, 48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L2VG"/>
    <s v="196433249281"/>
    <s v="UPC"/>
    <x v="0"/>
    <s v="AE- Big &amp; tall Cargo Pant"/>
    <x v="9"/>
    <s v="Olive"/>
    <s v="44W x 30L"/>
    <s v="-"/>
    <s v=""/>
    <s v="Amazon Essentials Men's Straight-Fit Breathable Stretch Cargo Pants (Available in Big &amp; Tall), Olive, 44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J9SW"/>
    <s v="196433248628"/>
    <s v="UPC"/>
    <x v="0"/>
    <s v="AE- Big &amp; tall Cargo Pant"/>
    <x v="9"/>
    <s v="Navy"/>
    <s v="48W x 30L"/>
    <s v="-"/>
    <s v=""/>
    <s v="Amazon Essentials Men's Straight-Fit Breathable Stretch Cargo Pants (Available in Big &amp; Tall), Navy, 48W x 30L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0"/>
    <n v="48"/>
    <n v="0"/>
    <m/>
    <n v="4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J9Q3"/>
    <s v="196433249755"/>
    <s v="UPC"/>
    <x v="0"/>
    <s v="AE- Big &amp; tall Cargo Pant"/>
    <x v="9"/>
    <s v="Khaki Brown"/>
    <s v="52W x 34L"/>
    <s v="-"/>
    <s v=""/>
    <s v="Amazon Essentials Men's Straight-Fit Breathable Stretch Cargo Pants (Available in Big &amp; Tall), Khaki Brown, 52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HK32"/>
    <s v="196433248932"/>
    <s v="UPC"/>
    <x v="0"/>
    <s v="AE- Big &amp; tall Cargo Pant"/>
    <x v="9"/>
    <s v="Dark Grey"/>
    <s v="52W x 28L"/>
    <s v="-"/>
    <s v=""/>
    <s v="Amazon Essentials Men's Straight-Fit Breathable Stretch Cargo Pants (Available in Big &amp; Tall), Dark Grey, 52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HK2V"/>
    <s v="196433249328"/>
    <s v="UPC"/>
    <x v="0"/>
    <s v="AE- Big &amp; tall Cargo Pant"/>
    <x v="9"/>
    <s v="Olive"/>
    <s v="60W x 30L"/>
    <s v="-"/>
    <s v=""/>
    <s v="Amazon Essentials Men's Straight-Fit Breathable Stretch Cargo Pants (Available in Big &amp; Tall), Olive, 60W x 30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G563"/>
    <s v="196433249366"/>
    <s v="UPC"/>
    <x v="0"/>
    <s v="AE- Big &amp; tall Cargo Pant"/>
    <x v="9"/>
    <s v="Olive"/>
    <s v="48W x 30L"/>
    <s v="-"/>
    <s v=""/>
    <s v="Amazon Essentials Men's Straight-Fit Breathable Stretch Cargo Pants (Available in Big &amp; Tall), Olive, 48W x 30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BC1L"/>
    <s v="196433248963"/>
    <s v="UPC"/>
    <x v="0"/>
    <s v="AE- Big &amp; tall Cargo Pant"/>
    <x v="9"/>
    <s v="Dark Grey"/>
    <s v="54W x 28L"/>
    <s v="-"/>
    <s v=""/>
    <s v="Amazon Essentials Men's Straight-Fit Breathable Stretch Cargo Pants (Available in Big &amp; Tall), Dark Grey, 54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B8KL"/>
    <s v="196433249298"/>
    <s v="UPC"/>
    <x v="0"/>
    <s v="AE- Big &amp; tall Cargo Pant"/>
    <x v="9"/>
    <s v="Olive"/>
    <s v="46W x 28L"/>
    <s v="-"/>
    <s v=""/>
    <s v="Amazon Essentials Men's Straight-Fit Breathable Stretch Cargo Pants (Available in Big &amp; Tall), Olive, 46W x 28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B8FD"/>
    <s v="196433249939"/>
    <s v="UPC"/>
    <x v="0"/>
    <s v="AE- Big &amp; tall Cargo Pant"/>
    <x v="9"/>
    <s v="Black"/>
    <s v="54W x 32L"/>
    <s v="-"/>
    <s v=""/>
    <s v="Amazon Essentials Men's Straight-Fit Breathable Stretch Cargo Pants (Available in Big &amp; Tall), Black, 5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8K62"/>
    <s v="196433249441"/>
    <s v="UPC"/>
    <x v="0"/>
    <s v="AE- Big &amp; tall Cargo Pant"/>
    <x v="9"/>
    <s v="Olive"/>
    <s v="46W x 30L"/>
    <s v="-"/>
    <s v=""/>
    <s v="Amazon Essentials Men's Straight-Fit Breathable Stretch Cargo Pants (Available in Big &amp; Tall), Olive, 46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7CR2"/>
    <s v="196433249045"/>
    <s v="UPC"/>
    <x v="0"/>
    <s v="AE- Big &amp; tall Cargo Pant"/>
    <x v="9"/>
    <s v="Dark Grey"/>
    <s v="48W x 34L"/>
    <s v="-"/>
    <s v=""/>
    <s v="Amazon Essentials Men's Straight-Fit Breathable Stretch Cargo Pants (Available in Big &amp; Tall), Dark Grey, 48W x 34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3H26"/>
    <s v="196433248871"/>
    <s v="UPC"/>
    <x v="0"/>
    <s v="AE- Big &amp; tall Cargo Pant"/>
    <x v="9"/>
    <s v="Dark Grey"/>
    <s v="58W x 32L"/>
    <s v="-"/>
    <s v=""/>
    <s v="Amazon Essentials Men's Straight-Fit Breathable Stretch Cargo Pants (Available in Big &amp; Tall), Dark Grey, 58W x 32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3H23"/>
    <s v="196433249274"/>
    <s v="UPC"/>
    <x v="0"/>
    <s v="AE- Big &amp; tall Cargo Pant"/>
    <x v="9"/>
    <s v="Olive"/>
    <s v="50W x 30L"/>
    <s v="-"/>
    <s v=""/>
    <s v="Amazon Essentials Men's Straight-Fit Breathable Stretch Cargo Pants (Available in Big &amp; Tall), Olive, 50W x 30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V19Y2"/>
    <s v="196433249052"/>
    <s v="UPC"/>
    <x v="0"/>
    <s v="AE- Big &amp; tall Cargo Pant"/>
    <x v="9"/>
    <s v="Dark Grey"/>
    <s v="50W x 34L"/>
    <s v="-"/>
    <s v=""/>
    <s v="Amazon Essentials Men's Straight-Fit Breathable Stretch Cargo Pants (Available in Big &amp; Tall), Dark Grey, 50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TZ1H1"/>
    <s v="196433248857"/>
    <s v="UPC"/>
    <x v="0"/>
    <s v="AE- Big &amp; tall Cargo Pant"/>
    <x v="9"/>
    <s v="Dark Grey"/>
    <s v="60W x 34L"/>
    <s v="-"/>
    <s v=""/>
    <s v="Amazon Essentials Men's Straight-Fit Breathable Stretch Cargo Pants (Available in Big &amp; Tall), Dark Grey, 60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TV8KV"/>
    <s v="196433249069"/>
    <s v="UPC"/>
    <x v="0"/>
    <s v="AE- Big &amp; tall Cargo Pant"/>
    <x v="9"/>
    <s v="Dark Grey"/>
    <s v="50W x 28L"/>
    <s v="-"/>
    <s v=""/>
    <s v="Amazon Essentials Men's Straight-Fit Breathable Stretch Cargo Pants (Available in Big &amp; Tall), Dark Grey, 50W x 28L"/>
    <s v="Accepted: In stock"/>
    <s v="Ship window (Collect)"/>
    <x v="1"/>
    <x v="1"/>
    <x v="0"/>
    <n v="96"/>
    <n v="96"/>
    <n v="108"/>
    <n v="108"/>
    <n v="0"/>
    <m/>
    <m/>
    <m/>
    <n v="96"/>
    <m/>
    <m/>
    <n v="96"/>
    <x v="0"/>
    <n v="96"/>
    <n v="0"/>
    <m/>
    <n v="8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TJTP4"/>
    <s v="196433250034"/>
    <s v="UPC"/>
    <x v="0"/>
    <s v="AE- Big &amp; tall Cargo Pant"/>
    <x v="9"/>
    <s v="Black"/>
    <s v="46W x 28L"/>
    <s v="-"/>
    <s v=""/>
    <s v="Amazon Essentials Men's Straight-Fit Breathable Stretch Cargo Pants (Available in Big &amp; Tall), Black, 46W x 28L"/>
    <s v="Accepted: In stock"/>
    <s v="Ship window (Collect)"/>
    <x v="1"/>
    <x v="1"/>
    <x v="0"/>
    <n v="216"/>
    <n v="216"/>
    <n v="240"/>
    <n v="240"/>
    <n v="0"/>
    <m/>
    <m/>
    <m/>
    <n v="216"/>
    <m/>
    <m/>
    <n v="216"/>
    <x v="0"/>
    <n v="216"/>
    <n v="0"/>
    <m/>
    <n v="18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TFP12"/>
    <s v="196433249625"/>
    <s v="UPC"/>
    <x v="0"/>
    <s v="AE- Big &amp; tall Cargo Pant"/>
    <x v="9"/>
    <s v="Khaki Brown"/>
    <s v="60W x 28L"/>
    <s v="-"/>
    <s v=""/>
    <s v="Amazon Essentials Men's Straight-Fit Breathable Stretch Cargo Pants (Available in Big &amp; Tall), Khaki Brown, 60W x 28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TCJWJ"/>
    <s v="196433248345"/>
    <s v="UPC"/>
    <x v="0"/>
    <s v="AE- Big &amp; tall Cargo Pant"/>
    <x v="9"/>
    <s v="Black"/>
    <s v="46W x 32L"/>
    <s v="-"/>
    <s v=""/>
    <s v="Amazon Essentials Men's Straight-Fit Breathable Stretch Cargo Pants (Available in Big &amp; Tall), Black, 46W x 32L"/>
    <s v="Accepted: In stock"/>
    <s v="Ship window (Collect)"/>
    <x v="1"/>
    <x v="1"/>
    <x v="0"/>
    <n v="300"/>
    <n v="300"/>
    <n v="324"/>
    <n v="324"/>
    <n v="0"/>
    <m/>
    <m/>
    <m/>
    <n v="300"/>
    <m/>
    <m/>
    <n v="300"/>
    <x v="0"/>
    <n v="300"/>
    <n v="0"/>
    <m/>
    <n v="25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SV6FQ"/>
    <s v="196433249953"/>
    <s v="UPC"/>
    <x v="0"/>
    <s v="AE- Big &amp; tall Cargo Pant"/>
    <x v="9"/>
    <s v="Black"/>
    <s v="50W x 32L"/>
    <s v="-"/>
    <s v=""/>
    <s v="Amazon Essentials Men's Straight-Fit Breathable Stretch Cargo Pants (Available in Big &amp; Tall), Black, 50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SQRSS"/>
    <s v="196433249564"/>
    <s v="UPC"/>
    <x v="0"/>
    <s v="AE- Big &amp; tall Cargo Pant"/>
    <x v="9"/>
    <s v="Khaki Brown"/>
    <s v="54W x 32L"/>
    <s v="-"/>
    <s v=""/>
    <s v="Amazon Essentials Men's Straight-Fit Breathable Stretch Cargo Pants (Available in Big &amp; Tall), Khaki Brown, 54W x 32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SQRSP"/>
    <s v="196433249717"/>
    <s v="UPC"/>
    <x v="0"/>
    <s v="AE- Big &amp; tall Cargo Pant"/>
    <x v="9"/>
    <s v="Khaki Brown"/>
    <s v="60W x 32L"/>
    <s v="-"/>
    <s v=""/>
    <s v="Amazon Essentials Men's Straight-Fit Breathable Stretch Cargo Pants (Available in Big &amp; Tall), Khaki Brown, 60W x 32L"/>
    <s v="Accepted: In stock"/>
    <s v="Ship window (Collect)"/>
    <x v="1"/>
    <x v="1"/>
    <x v="0"/>
    <n v="24"/>
    <n v="24"/>
    <n v="24"/>
    <n v="24"/>
    <n v="0"/>
    <m/>
    <m/>
    <m/>
    <n v="24"/>
    <m/>
    <m/>
    <n v="24"/>
    <x v="0"/>
    <n v="24"/>
    <n v="0"/>
    <m/>
    <n v="2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SNHKZ"/>
    <s v="196433249816"/>
    <s v="UPC"/>
    <x v="0"/>
    <s v="AE- Big &amp; tall Cargo Pant"/>
    <x v="9"/>
    <s v="Khaki Brown"/>
    <s v="46W x 30L"/>
    <s v="-"/>
    <s v=""/>
    <s v="Amazon Essentials Men's Straight-Fit Breathable Stretch Cargo Pants (Available in Big &amp; Tall), Khaki Brown, 46W x 30L"/>
    <s v="Accepted: In stock"/>
    <s v="Ship window (Collect)"/>
    <x v="1"/>
    <x v="1"/>
    <x v="0"/>
    <n v="156"/>
    <n v="156"/>
    <n v="168"/>
    <n v="168"/>
    <n v="0"/>
    <m/>
    <m/>
    <m/>
    <n v="156"/>
    <m/>
    <m/>
    <n v="156"/>
    <x v="0"/>
    <n v="156"/>
    <n v="0"/>
    <m/>
    <n v="13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9LRSLQYL"/>
    <s v="196433249847"/>
    <s v="UPC"/>
    <x v="0"/>
    <s v="AE- Big &amp; tall Cargo Pant"/>
    <x v="9"/>
    <s v="Black"/>
    <s v="54W x 34L"/>
    <s v="-"/>
    <s v=""/>
    <s v="Amazon Essentials Men's Straight-Fit Breathable Stretch Cargo Pants (Available in Big &amp; Tall), Black, 54W x 34L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13.85"/>
    <s v="USD"/>
    <n v="13.85"/>
    <b v="1"/>
    <m/>
    <m/>
    <s v="TH"/>
    <x v="2"/>
    <s v="EGMCL"/>
    <s v="EG7-10268"/>
    <x v="2"/>
    <x v="4"/>
  </r>
  <r>
    <x v="10"/>
    <x v="2"/>
    <x v="0"/>
    <s v="ITHC - SI RACHA, Bangkok"/>
    <s v="B06XWPD2TZ"/>
    <s v="191770058121"/>
    <s v="UPC"/>
    <x v="0"/>
    <s v="AE FF 20x16 Cargo Shorts"/>
    <x v="10"/>
    <s v="Navy"/>
    <n v="38"/>
    <s v="-"/>
    <s v=""/>
    <s v="Amazon Essentials Men's 10&quot; Classic-Fit Cotton Twill Cargo Shorts, Multiple Pockets (Available in Big &amp; Tall), Navy, 38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7.12"/>
    <s v="USD"/>
    <n v="7.12"/>
    <b v="1"/>
    <m/>
    <m/>
    <s v="TH"/>
    <x v="2"/>
    <s v="EGMCL"/>
    <s v="EG5-10343"/>
    <x v="2"/>
    <x v="4"/>
  </r>
  <r>
    <x v="10"/>
    <x v="2"/>
    <x v="0"/>
    <s v="ITHC - SI RACHA, Bangkok"/>
    <s v="B01JQTAIAW"/>
    <s v="04893966201446"/>
    <s v="GTIN"/>
    <x v="0"/>
    <s v="AE FF 20x16 Cargo Shorts"/>
    <x v="10"/>
    <s v="Black"/>
    <n v="34"/>
    <s v="-"/>
    <s v=""/>
    <s v="Amazon Essentials Men's 10&quot; Classic-Fit Cotton Twill Cargo Shorts, Multiple Pockets (Available in Big &amp; Tall), Black, 34"/>
    <s v="Accepted: In stock"/>
    <s v="Ship window (Collect)"/>
    <x v="1"/>
    <x v="1"/>
    <x v="0"/>
    <n v="36"/>
    <n v="36"/>
    <n v="36"/>
    <n v="36"/>
    <n v="0"/>
    <m/>
    <m/>
    <m/>
    <n v="36"/>
    <m/>
    <m/>
    <n v="36"/>
    <x v="0"/>
    <n v="36"/>
    <n v="0"/>
    <m/>
    <n v="3"/>
    <n v="7.12"/>
    <s v="USD"/>
    <n v="7.12"/>
    <b v="1"/>
    <m/>
    <m/>
    <s v="TH"/>
    <x v="2"/>
    <s v="EGMCL"/>
    <s v="EG5-10343"/>
    <x v="2"/>
    <x v="4"/>
  </r>
  <r>
    <x v="10"/>
    <x v="2"/>
    <x v="0"/>
    <s v="ITHC - SI RACHA, Bangkok"/>
    <s v="B01JQTA1Q8"/>
    <s v="04893966201484"/>
    <s v="GTIN"/>
    <x v="0"/>
    <s v="AE FF 20x16 Cargo Shorts"/>
    <x v="10"/>
    <s v="Black"/>
    <n v="42"/>
    <s v="-"/>
    <s v=""/>
    <s v="Amazon Essentials Men's 10&quot; Classic-Fit Cotton Twill Cargo Shorts, Multiple Pockets (Available in Big &amp; Tall), Black, 42"/>
    <s v="Accepted: In stock"/>
    <s v="Ship window (Collect)"/>
    <x v="1"/>
    <x v="1"/>
    <x v="0"/>
    <n v="12"/>
    <n v="12"/>
    <n v="12"/>
    <n v="12"/>
    <n v="0"/>
    <m/>
    <m/>
    <m/>
    <n v="12"/>
    <m/>
    <m/>
    <n v="12"/>
    <x v="0"/>
    <n v="12"/>
    <n v="0"/>
    <m/>
    <n v="1"/>
    <n v="7.12"/>
    <s v="USD"/>
    <n v="7.12"/>
    <b v="1"/>
    <m/>
    <m/>
    <s v="TH"/>
    <x v="2"/>
    <s v="EGMCL"/>
    <s v="EG5-10343"/>
    <x v="2"/>
    <x v="4"/>
  </r>
  <r>
    <x v="10"/>
    <x v="2"/>
    <x v="0"/>
    <s v="ITHC - SI RACHA, Bangkok"/>
    <s v="B01JQT9X44"/>
    <s v="04893966201453"/>
    <s v="GTIN"/>
    <x v="0"/>
    <s v="AE FF 20x16 Cargo Shorts"/>
    <x v="10"/>
    <s v="Black"/>
    <n v="36"/>
    <s v="-"/>
    <s v=""/>
    <s v="Amazon Essentials Men's 10&quot; Classic-Fit Cotton Twill Cargo Shorts, Multiple Pockets (Available in Big &amp; Tall), Black, 36"/>
    <s v="Accepted: In stock"/>
    <s v="Ship window (Collect)"/>
    <x v="1"/>
    <x v="1"/>
    <x v="0"/>
    <n v="48"/>
    <n v="48"/>
    <n v="48"/>
    <n v="48"/>
    <n v="0"/>
    <m/>
    <m/>
    <m/>
    <n v="48"/>
    <m/>
    <m/>
    <n v="48"/>
    <x v="0"/>
    <n v="48"/>
    <n v="0"/>
    <m/>
    <n v="4"/>
    <n v="7.12"/>
    <s v="USD"/>
    <n v="7.12"/>
    <b v="1"/>
    <m/>
    <m/>
    <s v="TH"/>
    <x v="2"/>
    <s v="EGMCL"/>
    <s v="EG5-10343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18400-D4DB-4FC1-B984-9762E1B638F5}" name="PivotTable7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51" firstHeaderRow="0" firstDataRow="1" firstDataCol="12"/>
  <pivotFields count="49">
    <pivotField axis="axisRow" compact="0" outline="0" showAll="0" defaultSubtotal="0">
      <items count="11">
        <item x="0"/>
        <item x="4"/>
        <item x="3"/>
        <item x="2"/>
        <item x="5"/>
        <item x="1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2"/>
        <item x="3"/>
        <item x="1"/>
        <item x="21"/>
        <item x="17"/>
        <item x="19"/>
        <item x="8"/>
        <item x="9"/>
        <item x="23"/>
        <item x="22"/>
        <item x="6"/>
        <item x="5"/>
        <item x="16"/>
        <item x="4"/>
        <item x="7"/>
        <item x="14"/>
        <item x="15"/>
        <item x="11"/>
        <item x="18"/>
        <item x="13"/>
        <item x="20"/>
        <item x="12"/>
        <item x="10"/>
        <item x="0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1"/>
        <item x="2"/>
        <item x="0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1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47"/>
    <field x="7"/>
    <field x="0"/>
    <field x="1"/>
    <field x="2"/>
    <field x="9"/>
    <field x="17"/>
    <field x="18"/>
    <field x="19"/>
    <field x="44"/>
    <field x="32"/>
    <field x="48"/>
  </rowFields>
  <rowItems count="48">
    <i>
      <x/>
      <x v="3"/>
      <x v="4"/>
      <x v="1"/>
      <x/>
      <x v="8"/>
      <x/>
      <x/>
      <x/>
      <x/>
      <x v="3"/>
      <x v="2"/>
    </i>
    <i r="5">
      <x v="9"/>
      <x/>
      <x/>
      <x/>
      <x/>
      <x v="3"/>
      <x v="2"/>
    </i>
    <i r="2">
      <x v="7"/>
      <x v="1"/>
      <x/>
      <x v="8"/>
      <x v="1"/>
      <x v="1"/>
      <x/>
      <x v="1"/>
      <x v="3"/>
      <x v="3"/>
    </i>
    <i r="5">
      <x v="9"/>
      <x v="1"/>
      <x v="1"/>
      <x/>
      <x v="1"/>
      <x v="3"/>
      <x v="3"/>
    </i>
    <i>
      <x v="1"/>
      <x v="1"/>
      <x v="1"/>
      <x/>
      <x/>
      <x v="3"/>
      <x/>
      <x/>
      <x/>
      <x/>
      <x v="5"/>
      <x/>
    </i>
    <i r="5">
      <x v="4"/>
      <x/>
      <x/>
      <x/>
      <x/>
      <x v="5"/>
      <x/>
    </i>
    <i r="5">
      <x v="5"/>
      <x/>
      <x/>
      <x/>
      <x/>
      <x v="5"/>
      <x/>
    </i>
    <i r="5">
      <x v="12"/>
      <x/>
      <x/>
      <x/>
      <x/>
      <x v="5"/>
      <x/>
    </i>
    <i r="5">
      <x v="15"/>
      <x/>
      <x/>
      <x/>
      <x/>
      <x v="3"/>
      <x/>
    </i>
    <i r="5">
      <x v="16"/>
      <x/>
      <x/>
      <x/>
      <x/>
      <x v="5"/>
      <x/>
    </i>
    <i r="5">
      <x v="18"/>
      <x/>
      <x/>
      <x/>
      <x/>
      <x v="5"/>
      <x/>
    </i>
    <i r="5">
      <x v="20"/>
      <x/>
      <x/>
      <x/>
      <x/>
      <x v="5"/>
      <x/>
    </i>
    <i r="2">
      <x v="3"/>
      <x/>
      <x/>
      <x v="10"/>
      <x/>
      <x/>
      <x/>
      <x/>
      <x v="3"/>
      <x/>
    </i>
    <i r="5">
      <x v="11"/>
      <x/>
      <x/>
      <x/>
      <x/>
      <x v="3"/>
      <x/>
    </i>
    <i r="5">
      <x v="13"/>
      <x/>
      <x/>
      <x/>
      <x/>
      <x v="3"/>
      <x/>
    </i>
    <i r="5">
      <x v="14"/>
      <x/>
      <x/>
      <x/>
      <x/>
      <x v="3"/>
      <x/>
    </i>
    <i r="2">
      <x v="10"/>
      <x/>
      <x/>
      <x v="3"/>
      <x v="1"/>
      <x v="1"/>
      <x/>
      <x v="2"/>
      <x v="5"/>
      <x v="4"/>
    </i>
    <i r="5">
      <x v="4"/>
      <x v="1"/>
      <x v="1"/>
      <x/>
      <x v="2"/>
      <x v="5"/>
      <x v="4"/>
    </i>
    <i r="5">
      <x v="5"/>
      <x v="1"/>
      <x v="1"/>
      <x/>
      <x v="2"/>
      <x v="5"/>
      <x v="4"/>
    </i>
    <i r="5">
      <x v="10"/>
      <x v="1"/>
      <x v="1"/>
      <x/>
      <x v="2"/>
      <x v="3"/>
      <x v="4"/>
    </i>
    <i r="5">
      <x v="11"/>
      <x v="1"/>
      <x v="1"/>
      <x/>
      <x v="2"/>
      <x v="3"/>
      <x v="4"/>
    </i>
    <i r="5">
      <x v="12"/>
      <x v="1"/>
      <x v="1"/>
      <x/>
      <x v="2"/>
      <x v="5"/>
      <x v="4"/>
    </i>
    <i r="5">
      <x v="13"/>
      <x v="1"/>
      <x v="1"/>
      <x/>
      <x v="2"/>
      <x v="3"/>
      <x v="4"/>
    </i>
    <i r="5">
      <x v="14"/>
      <x v="1"/>
      <x v="1"/>
      <x/>
      <x v="2"/>
      <x v="3"/>
      <x v="4"/>
    </i>
    <i r="5">
      <x v="16"/>
      <x v="1"/>
      <x v="1"/>
      <x/>
      <x v="2"/>
      <x v="5"/>
      <x v="4"/>
    </i>
    <i r="5">
      <x v="18"/>
      <x v="1"/>
      <x v="1"/>
      <x/>
      <x v="2"/>
      <x v="5"/>
      <x v="4"/>
    </i>
    <i r="5">
      <x v="20"/>
      <x v="1"/>
      <x v="1"/>
      <x/>
      <x v="2"/>
      <x v="5"/>
      <x v="4"/>
    </i>
    <i r="1">
      <x v="2"/>
      <x v="1"/>
      <x/>
      <x/>
      <x v="19"/>
      <x/>
      <x/>
      <x/>
      <x/>
      <x v="4"/>
      <x/>
    </i>
    <i r="2">
      <x v="10"/>
      <x/>
      <x/>
      <x v="19"/>
      <x v="1"/>
      <x v="1"/>
      <x/>
      <x v="2"/>
      <x v="4"/>
      <x v="4"/>
    </i>
    <i r="5">
      <x v="24"/>
      <x v="1"/>
      <x v="1"/>
      <x/>
      <x v="2"/>
      <x v="2"/>
      <x v="4"/>
    </i>
    <i r="1">
      <x v="3"/>
      <x v="3"/>
      <x/>
      <x/>
      <x v="6"/>
      <x/>
      <x/>
      <x/>
      <x/>
      <x v="3"/>
      <x/>
    </i>
    <i r="5">
      <x v="7"/>
      <x/>
      <x/>
      <x/>
      <x/>
      <x v="3"/>
      <x/>
    </i>
    <i r="5">
      <x v="22"/>
      <x/>
      <x/>
      <x/>
      <x/>
      <x v="3"/>
      <x/>
    </i>
    <i r="2">
      <x v="10"/>
      <x/>
      <x/>
      <x v="6"/>
      <x v="1"/>
      <x v="1"/>
      <x/>
      <x v="2"/>
      <x v="3"/>
      <x v="4"/>
    </i>
    <i r="5">
      <x v="7"/>
      <x v="1"/>
      <x v="1"/>
      <x/>
      <x v="2"/>
      <x v="3"/>
      <x v="4"/>
    </i>
    <i r="5">
      <x v="22"/>
      <x v="1"/>
      <x v="1"/>
      <x/>
      <x v="2"/>
      <x v="3"/>
      <x v="4"/>
    </i>
    <i>
      <x v="2"/>
      <x v="3"/>
      <x/>
      <x v="2"/>
      <x/>
      <x v="23"/>
      <x/>
      <x/>
      <x/>
      <x/>
      <x v="3"/>
      <x v="2"/>
    </i>
    <i r="2">
      <x v="6"/>
      <x v="2"/>
      <x/>
      <x v="23"/>
      <x v="1"/>
      <x v="1"/>
      <x/>
      <x v="1"/>
      <x v="3"/>
      <x v="3"/>
    </i>
    <i>
      <x v="3"/>
      <x v="1"/>
      <x v="2"/>
      <x v="3"/>
      <x/>
      <x v="17"/>
      <x/>
      <x/>
      <x/>
      <x/>
      <x v="3"/>
      <x/>
    </i>
    <i r="5">
      <x v="21"/>
      <x/>
      <x/>
      <x/>
      <x/>
      <x v="3"/>
      <x/>
    </i>
    <i r="2">
      <x v="8"/>
      <x v="3"/>
      <x/>
      <x v="17"/>
      <x v="1"/>
      <x v="1"/>
      <x/>
      <x v="2"/>
      <x v="3"/>
      <x v="4"/>
    </i>
    <i>
      <x v="4"/>
      <x/>
      <x v="5"/>
      <x v="4"/>
      <x/>
      <x/>
      <x/>
      <x/>
      <x/>
      <x/>
      <x v="2"/>
      <x/>
    </i>
    <i r="11">
      <x v="1"/>
    </i>
    <i r="5">
      <x v="1"/>
      <x/>
      <x/>
      <x/>
      <x/>
      <x/>
      <x/>
    </i>
    <i r="11">
      <x v="1"/>
    </i>
    <i r="5">
      <x v="2"/>
      <x/>
      <x/>
      <x/>
      <x/>
      <x v="1"/>
      <x v="1"/>
    </i>
    <i r="2">
      <x v="9"/>
      <x v="4"/>
      <x/>
      <x v="1"/>
      <x v="1"/>
      <x v="1"/>
      <x/>
      <x v="2"/>
      <x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cted Quantity" fld="21" baseField="0" baseItem="0"/>
    <dataField name="Sum of Final Packable qty" fld="33" baseField="0" baseItem="0"/>
    <dataField name="Sum of Carton Qty" fld="36" baseField="0" baseItem="0"/>
  </dataFields>
  <formats count="9">
    <format dxfId="10">
      <pivotArea field="32" type="button" dataOnly="0" labelOnly="1" outline="0" axis="axisRow" fieldPosition="10"/>
    </format>
    <format dxfId="9">
      <pivotArea field="32" type="button" dataOnly="0" labelOnly="1" outline="0" axis="axisRow" fieldPosition="10"/>
    </format>
    <format dxfId="8">
      <pivotArea field="32" type="button" dataOnly="0" labelOnly="1" outline="0" axis="axisRow" fieldPosition="10"/>
    </format>
    <format dxfId="7">
      <pivotArea field="32" type="button" dataOnly="0" labelOnly="1" outline="0" axis="axisRow" fieldPosition="10"/>
    </format>
    <format dxfId="6">
      <pivotArea field="32" type="button" dataOnly="0" labelOnly="1" outline="0" axis="axisRow" fieldPosition="10"/>
    </format>
    <format dxfId="5">
      <pivotArea field="19" type="button" dataOnly="0" labelOnly="1" outline="0" axis="axisRow" fieldPosition="8"/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550-D34F-4CA0-A14A-D809E064F46A}">
  <dimension ref="A3:G18"/>
  <sheetViews>
    <sheetView topLeftCell="A10" zoomScale="80" zoomScaleNormal="80" workbookViewId="0">
      <selection activeCell="F13" sqref="F13"/>
    </sheetView>
  </sheetViews>
  <sheetFormatPr defaultRowHeight="15.5" x14ac:dyDescent="0.35"/>
  <cols>
    <col min="1" max="1" width="22.75" style="15" customWidth="1"/>
    <col min="2" max="2" width="17.25" customWidth="1"/>
    <col min="3" max="3" width="20.75" bestFit="1" customWidth="1"/>
    <col min="4" max="4" width="26.08203125" bestFit="1" customWidth="1"/>
    <col min="5" max="5" width="23.5" style="4" bestFit="1" customWidth="1"/>
    <col min="6" max="6" width="21.9140625" style="4" bestFit="1" customWidth="1"/>
    <col min="7" max="7" width="24" style="4" bestFit="1" customWidth="1"/>
  </cols>
  <sheetData>
    <row r="3" spans="1:7" x14ac:dyDescent="0.35">
      <c r="A3" s="26" t="s">
        <v>5059</v>
      </c>
      <c r="B3" s="27" t="s">
        <v>0</v>
      </c>
      <c r="C3" s="27" t="s">
        <v>5057</v>
      </c>
      <c r="D3" s="27" t="s">
        <v>5091</v>
      </c>
      <c r="E3" s="30" t="s">
        <v>5094</v>
      </c>
      <c r="F3" s="30" t="s">
        <v>5047</v>
      </c>
      <c r="G3" s="30" t="s">
        <v>5095</v>
      </c>
    </row>
    <row r="4" spans="1:7" x14ac:dyDescent="0.35">
      <c r="A4" s="46" t="s">
        <v>5086</v>
      </c>
      <c r="B4" s="24" t="s">
        <v>2796</v>
      </c>
      <c r="C4" s="24" t="s">
        <v>5062</v>
      </c>
      <c r="D4" s="24" t="s">
        <v>5062</v>
      </c>
      <c r="E4" s="25">
        <v>67452</v>
      </c>
      <c r="F4" s="25">
        <v>66180</v>
      </c>
      <c r="G4" s="25">
        <v>1272</v>
      </c>
    </row>
    <row r="5" spans="1:7" x14ac:dyDescent="0.35">
      <c r="A5" s="47"/>
      <c r="B5" s="24" t="s">
        <v>2718</v>
      </c>
      <c r="C5" s="24" t="s">
        <v>5074</v>
      </c>
      <c r="D5" s="24" t="s">
        <v>5074</v>
      </c>
      <c r="E5" s="25">
        <v>5628</v>
      </c>
      <c r="F5" s="25">
        <v>5544</v>
      </c>
      <c r="G5" s="25">
        <v>84</v>
      </c>
    </row>
    <row r="6" spans="1:7" x14ac:dyDescent="0.35">
      <c r="A6" s="47"/>
      <c r="B6" s="24" t="s">
        <v>871</v>
      </c>
      <c r="C6" s="24" t="s">
        <v>5062</v>
      </c>
      <c r="D6" s="24" t="s">
        <v>5062</v>
      </c>
      <c r="E6" s="25">
        <v>54996</v>
      </c>
      <c r="F6" s="25">
        <v>52464</v>
      </c>
      <c r="G6" s="25">
        <v>2532</v>
      </c>
    </row>
    <row r="7" spans="1:7" x14ac:dyDescent="0.35">
      <c r="A7" s="48"/>
      <c r="B7" s="24" t="s">
        <v>73</v>
      </c>
      <c r="C7" s="24" t="s">
        <v>5064</v>
      </c>
      <c r="D7" s="24" t="s">
        <v>5088</v>
      </c>
      <c r="E7" s="25">
        <v>7932</v>
      </c>
      <c r="F7" s="25">
        <v>7932</v>
      </c>
      <c r="G7" s="25">
        <v>0</v>
      </c>
    </row>
    <row r="8" spans="1:7" x14ac:dyDescent="0.35">
      <c r="A8" s="32" t="s">
        <v>5060</v>
      </c>
      <c r="B8" s="33" t="s">
        <v>73</v>
      </c>
      <c r="C8" s="33" t="s">
        <v>5064</v>
      </c>
      <c r="D8" s="33" t="s">
        <v>5088</v>
      </c>
      <c r="E8" s="34">
        <v>8182</v>
      </c>
      <c r="F8" s="34">
        <v>0</v>
      </c>
      <c r="G8" s="34">
        <v>8182</v>
      </c>
    </row>
    <row r="9" spans="1:7" x14ac:dyDescent="0.35">
      <c r="A9" s="49" t="s">
        <v>5090</v>
      </c>
      <c r="B9" s="29" t="s">
        <v>16</v>
      </c>
      <c r="C9" s="29" t="s">
        <v>5062</v>
      </c>
      <c r="D9" s="29" t="s">
        <v>5087</v>
      </c>
      <c r="E9" s="31">
        <v>5268</v>
      </c>
      <c r="F9" s="31">
        <v>5232</v>
      </c>
      <c r="G9" s="31">
        <v>36</v>
      </c>
    </row>
    <row r="10" spans="1:7" x14ac:dyDescent="0.35">
      <c r="A10" s="50"/>
      <c r="B10" s="29" t="s">
        <v>4105</v>
      </c>
      <c r="C10" s="29" t="s">
        <v>5062</v>
      </c>
      <c r="D10" s="29" t="s">
        <v>5089</v>
      </c>
      <c r="E10" s="31">
        <v>18864</v>
      </c>
      <c r="F10" s="31">
        <v>18384</v>
      </c>
      <c r="G10" s="31">
        <v>480</v>
      </c>
    </row>
    <row r="11" spans="1:7" x14ac:dyDescent="0.35">
      <c r="A11" s="26" t="s">
        <v>5092</v>
      </c>
      <c r="B11" s="27"/>
      <c r="C11" s="27"/>
      <c r="D11" s="27"/>
      <c r="E11" s="30">
        <v>168322</v>
      </c>
      <c r="F11" s="30">
        <v>155736</v>
      </c>
      <c r="G11" s="30">
        <v>12586</v>
      </c>
    </row>
    <row r="15" spans="1:7" x14ac:dyDescent="0.35">
      <c r="A15" s="26" t="s">
        <v>5059</v>
      </c>
      <c r="B15" s="27" t="s">
        <v>0</v>
      </c>
      <c r="C15" s="27" t="s">
        <v>5099</v>
      </c>
      <c r="D15" s="27" t="s">
        <v>5100</v>
      </c>
      <c r="E15" s="30" t="s">
        <v>5094</v>
      </c>
    </row>
    <row r="16" spans="1:7" x14ac:dyDescent="0.35">
      <c r="A16" s="28" t="s">
        <v>5090</v>
      </c>
      <c r="B16" s="29" t="s">
        <v>16</v>
      </c>
      <c r="C16" s="33" t="s">
        <v>872</v>
      </c>
      <c r="D16" s="29" t="s">
        <v>17</v>
      </c>
      <c r="E16" s="31">
        <v>5268</v>
      </c>
    </row>
    <row r="17" spans="1:5" x14ac:dyDescent="0.35">
      <c r="A17" s="28" t="s">
        <v>5090</v>
      </c>
      <c r="B17" s="29" t="s">
        <v>4105</v>
      </c>
      <c r="C17" s="33" t="s">
        <v>872</v>
      </c>
      <c r="D17" s="29" t="s">
        <v>4106</v>
      </c>
      <c r="E17" s="31">
        <v>18864</v>
      </c>
    </row>
    <row r="18" spans="1:5" x14ac:dyDescent="0.35">
      <c r="A18" s="26" t="s">
        <v>5092</v>
      </c>
      <c r="B18" s="27"/>
      <c r="C18" s="27"/>
      <c r="D18" s="27"/>
      <c r="E18" s="30">
        <f>SUM(E16:E17)</f>
        <v>24132</v>
      </c>
    </row>
  </sheetData>
  <autoFilter ref="A3:G11" xr:uid="{13EFF550-D34F-4CA0-A14A-D809E064F46A}"/>
  <mergeCells count="2">
    <mergeCell ref="A4:A7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F5BD-2D11-4281-AF69-BD0CF03CF179}">
  <sheetPr filterMode="1"/>
  <dimension ref="A1:Q51"/>
  <sheetViews>
    <sheetView tabSelected="1" zoomScale="60" zoomScaleNormal="60" workbookViewId="0">
      <selection activeCell="P20" sqref="P20:P44"/>
    </sheetView>
  </sheetViews>
  <sheetFormatPr defaultRowHeight="15.5" x14ac:dyDescent="0.35"/>
  <cols>
    <col min="1" max="1" width="37.4140625" bestFit="1" customWidth="1"/>
    <col min="2" max="2" width="27.5" customWidth="1"/>
    <col min="3" max="3" width="21.9140625" bestFit="1" customWidth="1"/>
    <col min="6" max="6" width="17" bestFit="1" customWidth="1"/>
    <col min="7" max="7" width="14.9140625" hidden="1" customWidth="1"/>
    <col min="8" max="8" width="8.6640625" hidden="1" customWidth="1"/>
    <col min="9" max="9" width="15.08203125" style="19" customWidth="1"/>
    <col min="10" max="10" width="13" customWidth="1"/>
    <col min="11" max="11" width="8.6640625" style="7"/>
    <col min="12" max="12" width="19" bestFit="1" customWidth="1"/>
    <col min="13" max="13" width="22.25" hidden="1" customWidth="1"/>
    <col min="14" max="14" width="10.6640625" customWidth="1"/>
    <col min="15" max="15" width="13.58203125" customWidth="1"/>
    <col min="16" max="16" width="23.1640625" style="4" customWidth="1"/>
    <col min="17" max="17" width="23.1640625" style="43" customWidth="1"/>
  </cols>
  <sheetData>
    <row r="1" spans="1:17" x14ac:dyDescent="0.35">
      <c r="J1" s="21"/>
      <c r="K1" s="38"/>
    </row>
    <row r="2" spans="1:17" x14ac:dyDescent="0.35">
      <c r="G2" s="42"/>
    </row>
    <row r="3" spans="1:17" x14ac:dyDescent="0.35">
      <c r="A3" s="23" t="s">
        <v>5091</v>
      </c>
      <c r="B3" s="23" t="s">
        <v>4820</v>
      </c>
      <c r="C3" s="23" t="s">
        <v>0</v>
      </c>
      <c r="D3" s="23" t="s">
        <v>1</v>
      </c>
      <c r="E3" s="23" t="s">
        <v>4819</v>
      </c>
      <c r="F3" s="23" t="s">
        <v>4822</v>
      </c>
      <c r="G3" s="23" t="s">
        <v>10</v>
      </c>
      <c r="H3" s="23" t="s">
        <v>11</v>
      </c>
      <c r="I3" s="36" t="s">
        <v>5036</v>
      </c>
      <c r="J3" s="23" t="s">
        <v>5056</v>
      </c>
      <c r="K3" s="35" t="s">
        <v>5046</v>
      </c>
      <c r="L3" s="23" t="s">
        <v>5059</v>
      </c>
      <c r="M3" t="s">
        <v>5096</v>
      </c>
      <c r="N3" t="s">
        <v>5093</v>
      </c>
      <c r="O3" s="37" t="s">
        <v>5097</v>
      </c>
      <c r="P3" s="44" t="s">
        <v>5098</v>
      </c>
      <c r="Q3" s="45" t="s">
        <v>5054</v>
      </c>
    </row>
    <row r="4" spans="1:17" hidden="1" x14ac:dyDescent="0.35">
      <c r="A4" t="s">
        <v>5089</v>
      </c>
      <c r="B4" t="s">
        <v>4826</v>
      </c>
      <c r="C4" t="s">
        <v>4105</v>
      </c>
      <c r="D4" t="s">
        <v>4106</v>
      </c>
      <c r="E4" t="s">
        <v>4818</v>
      </c>
      <c r="F4" t="s">
        <v>5031</v>
      </c>
      <c r="G4" t="s">
        <v>25</v>
      </c>
      <c r="H4" t="s">
        <v>26</v>
      </c>
      <c r="I4" s="42">
        <v>46307</v>
      </c>
      <c r="J4" s="21">
        <v>46276</v>
      </c>
      <c r="K4">
        <v>12</v>
      </c>
      <c r="L4" t="s">
        <v>5090</v>
      </c>
      <c r="M4">
        <v>10908</v>
      </c>
      <c r="N4">
        <v>10596</v>
      </c>
      <c r="O4">
        <v>883</v>
      </c>
    </row>
    <row r="5" spans="1:17" hidden="1" x14ac:dyDescent="0.35">
      <c r="A5" t="s">
        <v>5089</v>
      </c>
      <c r="B5" t="s">
        <v>4826</v>
      </c>
      <c r="C5" t="s">
        <v>4105</v>
      </c>
      <c r="D5" t="s">
        <v>4106</v>
      </c>
      <c r="E5" t="s">
        <v>4818</v>
      </c>
      <c r="F5" t="s">
        <v>5029</v>
      </c>
      <c r="G5" t="s">
        <v>25</v>
      </c>
      <c r="H5" t="s">
        <v>26</v>
      </c>
      <c r="I5" s="42">
        <v>46307</v>
      </c>
      <c r="J5" s="21">
        <v>46276</v>
      </c>
      <c r="K5">
        <v>12</v>
      </c>
      <c r="L5" t="s">
        <v>5090</v>
      </c>
      <c r="M5">
        <v>7956</v>
      </c>
      <c r="N5">
        <v>7788</v>
      </c>
      <c r="O5">
        <v>649</v>
      </c>
    </row>
    <row r="6" spans="1:17" hidden="1" x14ac:dyDescent="0.35">
      <c r="A6" t="s">
        <v>5089</v>
      </c>
      <c r="B6" t="s">
        <v>4826</v>
      </c>
      <c r="C6" t="s">
        <v>5102</v>
      </c>
      <c r="D6" t="s">
        <v>4106</v>
      </c>
      <c r="E6" t="s">
        <v>4818</v>
      </c>
      <c r="F6" t="s">
        <v>5031</v>
      </c>
      <c r="G6" t="s">
        <v>5216</v>
      </c>
      <c r="H6" t="s">
        <v>5217</v>
      </c>
      <c r="I6" s="42">
        <v>46307</v>
      </c>
      <c r="J6" s="21">
        <v>46285</v>
      </c>
      <c r="K6">
        <v>12</v>
      </c>
      <c r="L6" t="s">
        <v>5316</v>
      </c>
      <c r="M6">
        <v>96</v>
      </c>
      <c r="N6">
        <v>96</v>
      </c>
      <c r="O6">
        <v>8</v>
      </c>
    </row>
    <row r="7" spans="1:17" hidden="1" x14ac:dyDescent="0.35">
      <c r="A7" t="s">
        <v>5089</v>
      </c>
      <c r="B7" t="s">
        <v>4826</v>
      </c>
      <c r="C7" t="s">
        <v>5102</v>
      </c>
      <c r="D7" t="s">
        <v>4106</v>
      </c>
      <c r="E7" t="s">
        <v>4818</v>
      </c>
      <c r="F7" t="s">
        <v>5029</v>
      </c>
      <c r="G7" t="s">
        <v>5216</v>
      </c>
      <c r="H7" t="s">
        <v>5217</v>
      </c>
      <c r="I7" s="42">
        <v>46307</v>
      </c>
      <c r="J7" s="21">
        <v>46285</v>
      </c>
      <c r="K7">
        <v>12</v>
      </c>
      <c r="L7" t="s">
        <v>5316</v>
      </c>
      <c r="M7">
        <v>36</v>
      </c>
      <c r="N7">
        <v>36</v>
      </c>
      <c r="O7">
        <v>3</v>
      </c>
    </row>
    <row r="8" spans="1:17" hidden="1" x14ac:dyDescent="0.35">
      <c r="A8" t="s">
        <v>5062</v>
      </c>
      <c r="B8" t="s">
        <v>4888</v>
      </c>
      <c r="C8" t="s">
        <v>2796</v>
      </c>
      <c r="D8" t="s">
        <v>872</v>
      </c>
      <c r="E8" t="s">
        <v>4818</v>
      </c>
      <c r="F8" t="s">
        <v>5026</v>
      </c>
      <c r="G8" t="s">
        <v>25</v>
      </c>
      <c r="H8" t="s">
        <v>26</v>
      </c>
      <c r="I8" s="42">
        <v>46307</v>
      </c>
      <c r="J8" s="21">
        <v>46276</v>
      </c>
      <c r="K8">
        <v>24</v>
      </c>
      <c r="L8" t="s">
        <v>5086</v>
      </c>
      <c r="M8">
        <v>2952</v>
      </c>
      <c r="N8">
        <v>2880</v>
      </c>
      <c r="O8">
        <v>120</v>
      </c>
      <c r="P8" s="4" t="s">
        <v>5317</v>
      </c>
      <c r="Q8" s="43">
        <v>46282</v>
      </c>
    </row>
    <row r="9" spans="1:17" hidden="1" x14ac:dyDescent="0.35">
      <c r="A9" t="s">
        <v>5062</v>
      </c>
      <c r="B9" t="s">
        <v>4888</v>
      </c>
      <c r="C9" t="s">
        <v>2796</v>
      </c>
      <c r="D9" t="s">
        <v>872</v>
      </c>
      <c r="E9" t="s">
        <v>4818</v>
      </c>
      <c r="F9" t="s">
        <v>5011</v>
      </c>
      <c r="G9" t="s">
        <v>25</v>
      </c>
      <c r="H9" t="s">
        <v>26</v>
      </c>
      <c r="I9" s="42">
        <v>46307</v>
      </c>
      <c r="J9" s="21">
        <v>46276</v>
      </c>
      <c r="K9">
        <v>24</v>
      </c>
      <c r="L9" t="s">
        <v>5086</v>
      </c>
      <c r="M9">
        <v>3216</v>
      </c>
      <c r="N9">
        <v>3192</v>
      </c>
      <c r="O9">
        <v>133</v>
      </c>
      <c r="P9" s="4" t="s">
        <v>5318</v>
      </c>
      <c r="Q9" s="43">
        <v>46282</v>
      </c>
    </row>
    <row r="10" spans="1:17" hidden="1" x14ac:dyDescent="0.35">
      <c r="A10" t="s">
        <v>5062</v>
      </c>
      <c r="B10" t="s">
        <v>4888</v>
      </c>
      <c r="C10" t="s">
        <v>2796</v>
      </c>
      <c r="D10" t="s">
        <v>872</v>
      </c>
      <c r="E10" t="s">
        <v>4818</v>
      </c>
      <c r="F10" t="s">
        <v>5019</v>
      </c>
      <c r="G10" t="s">
        <v>25</v>
      </c>
      <c r="H10" t="s">
        <v>26</v>
      </c>
      <c r="I10" s="42">
        <v>46307</v>
      </c>
      <c r="J10" s="21">
        <v>46276</v>
      </c>
      <c r="K10">
        <v>24</v>
      </c>
      <c r="L10" t="s">
        <v>5086</v>
      </c>
      <c r="M10">
        <v>2784</v>
      </c>
      <c r="N10">
        <v>2760</v>
      </c>
      <c r="O10">
        <v>115</v>
      </c>
      <c r="P10" s="4" t="s">
        <v>5319</v>
      </c>
      <c r="Q10" s="43">
        <v>46282</v>
      </c>
    </row>
    <row r="11" spans="1:17" hidden="1" x14ac:dyDescent="0.35">
      <c r="A11" t="s">
        <v>5062</v>
      </c>
      <c r="B11" t="s">
        <v>4888</v>
      </c>
      <c r="C11" t="s">
        <v>2796</v>
      </c>
      <c r="D11" t="s">
        <v>872</v>
      </c>
      <c r="E11" t="s">
        <v>4818</v>
      </c>
      <c r="F11" t="s">
        <v>5009</v>
      </c>
      <c r="G11" t="s">
        <v>25</v>
      </c>
      <c r="H11" t="s">
        <v>26</v>
      </c>
      <c r="I11" s="42">
        <v>46307</v>
      </c>
      <c r="J11" s="21">
        <v>46276</v>
      </c>
      <c r="K11">
        <v>24</v>
      </c>
      <c r="L11" t="s">
        <v>5086</v>
      </c>
      <c r="M11">
        <v>15576</v>
      </c>
      <c r="N11">
        <v>15144</v>
      </c>
      <c r="O11">
        <v>631</v>
      </c>
      <c r="P11" s="4" t="s">
        <v>5320</v>
      </c>
      <c r="Q11" s="43">
        <v>46282</v>
      </c>
    </row>
    <row r="12" spans="1:17" hidden="1" x14ac:dyDescent="0.35">
      <c r="A12" t="s">
        <v>5062</v>
      </c>
      <c r="B12" t="s">
        <v>4888</v>
      </c>
      <c r="C12" t="s">
        <v>2796</v>
      </c>
      <c r="D12" t="s">
        <v>872</v>
      </c>
      <c r="E12" t="s">
        <v>4818</v>
      </c>
      <c r="F12" t="s">
        <v>5004</v>
      </c>
      <c r="G12" t="s">
        <v>25</v>
      </c>
      <c r="H12" t="s">
        <v>26</v>
      </c>
      <c r="I12" s="42">
        <v>46307</v>
      </c>
      <c r="J12" s="21">
        <v>46276</v>
      </c>
      <c r="K12">
        <v>12</v>
      </c>
      <c r="L12" t="s">
        <v>5086</v>
      </c>
      <c r="M12">
        <v>9852</v>
      </c>
      <c r="N12">
        <v>9540</v>
      </c>
      <c r="O12">
        <v>795</v>
      </c>
      <c r="P12" s="4" t="s">
        <v>5321</v>
      </c>
      <c r="Q12" s="43">
        <v>46282</v>
      </c>
    </row>
    <row r="13" spans="1:17" hidden="1" x14ac:dyDescent="0.35">
      <c r="A13" t="s">
        <v>5062</v>
      </c>
      <c r="B13" t="s">
        <v>4888</v>
      </c>
      <c r="C13" t="s">
        <v>2796</v>
      </c>
      <c r="D13" t="s">
        <v>872</v>
      </c>
      <c r="E13" t="s">
        <v>4818</v>
      </c>
      <c r="F13" t="s">
        <v>5006</v>
      </c>
      <c r="G13" t="s">
        <v>25</v>
      </c>
      <c r="H13" t="s">
        <v>26</v>
      </c>
      <c r="I13" s="42">
        <v>46307</v>
      </c>
      <c r="J13" s="21">
        <v>46276</v>
      </c>
      <c r="K13">
        <v>24</v>
      </c>
      <c r="L13" t="s">
        <v>5086</v>
      </c>
      <c r="M13">
        <v>18840</v>
      </c>
      <c r="N13">
        <v>18456</v>
      </c>
      <c r="O13">
        <v>769</v>
      </c>
      <c r="P13" s="4" t="s">
        <v>5322</v>
      </c>
      <c r="Q13" s="43">
        <v>46283</v>
      </c>
    </row>
    <row r="14" spans="1:17" hidden="1" x14ac:dyDescent="0.35">
      <c r="A14" t="s">
        <v>5062</v>
      </c>
      <c r="B14" t="s">
        <v>4888</v>
      </c>
      <c r="C14" t="s">
        <v>2796</v>
      </c>
      <c r="D14" t="s">
        <v>872</v>
      </c>
      <c r="E14" t="s">
        <v>4818</v>
      </c>
      <c r="F14" t="s">
        <v>5013</v>
      </c>
      <c r="G14" t="s">
        <v>25</v>
      </c>
      <c r="H14" t="s">
        <v>26</v>
      </c>
      <c r="I14" s="42">
        <v>46307</v>
      </c>
      <c r="J14" s="21">
        <v>46276</v>
      </c>
      <c r="K14">
        <v>24</v>
      </c>
      <c r="L14" t="s">
        <v>5086</v>
      </c>
      <c r="M14">
        <v>6744</v>
      </c>
      <c r="N14">
        <v>6744</v>
      </c>
      <c r="O14">
        <v>281</v>
      </c>
      <c r="P14" s="4" t="s">
        <v>5323</v>
      </c>
      <c r="Q14" s="43">
        <v>46283</v>
      </c>
    </row>
    <row r="15" spans="1:17" hidden="1" x14ac:dyDescent="0.35">
      <c r="A15" t="s">
        <v>5062</v>
      </c>
      <c r="B15" t="s">
        <v>4888</v>
      </c>
      <c r="C15" t="s">
        <v>2796</v>
      </c>
      <c r="D15" t="s">
        <v>872</v>
      </c>
      <c r="E15" t="s">
        <v>4818</v>
      </c>
      <c r="F15" t="s">
        <v>5023</v>
      </c>
      <c r="G15" t="s">
        <v>25</v>
      </c>
      <c r="H15" t="s">
        <v>26</v>
      </c>
      <c r="I15" s="42">
        <v>46307</v>
      </c>
      <c r="J15" s="21">
        <v>46276</v>
      </c>
      <c r="K15">
        <v>24</v>
      </c>
      <c r="L15" t="s">
        <v>5086</v>
      </c>
      <c r="M15">
        <v>4728</v>
      </c>
      <c r="N15">
        <v>4704</v>
      </c>
      <c r="O15">
        <v>196</v>
      </c>
      <c r="P15" s="4" t="s">
        <v>5324</v>
      </c>
      <c r="Q15" s="43">
        <v>46283</v>
      </c>
    </row>
    <row r="16" spans="1:17" hidden="1" x14ac:dyDescent="0.35">
      <c r="A16" t="s">
        <v>5062</v>
      </c>
      <c r="B16" t="s">
        <v>4888</v>
      </c>
      <c r="C16" t="s">
        <v>871</v>
      </c>
      <c r="D16" t="s">
        <v>872</v>
      </c>
      <c r="E16" t="s">
        <v>4818</v>
      </c>
      <c r="F16" t="s">
        <v>4903</v>
      </c>
      <c r="G16" t="s">
        <v>25</v>
      </c>
      <c r="H16" t="s">
        <v>26</v>
      </c>
      <c r="I16" s="42">
        <v>46307</v>
      </c>
      <c r="J16" s="21">
        <v>46276</v>
      </c>
      <c r="K16">
        <v>12</v>
      </c>
      <c r="L16" t="s">
        <v>5086</v>
      </c>
      <c r="M16">
        <v>4440</v>
      </c>
      <c r="N16">
        <v>4248</v>
      </c>
      <c r="O16">
        <v>354</v>
      </c>
      <c r="P16" s="4" t="s">
        <v>5325</v>
      </c>
      <c r="Q16" s="43">
        <v>46283</v>
      </c>
    </row>
    <row r="17" spans="1:17" hidden="1" x14ac:dyDescent="0.35">
      <c r="A17" t="s">
        <v>5062</v>
      </c>
      <c r="B17" t="s">
        <v>4888</v>
      </c>
      <c r="C17" t="s">
        <v>871</v>
      </c>
      <c r="D17" t="s">
        <v>872</v>
      </c>
      <c r="E17" t="s">
        <v>4818</v>
      </c>
      <c r="F17" t="s">
        <v>4894</v>
      </c>
      <c r="G17" t="s">
        <v>25</v>
      </c>
      <c r="H17" t="s">
        <v>26</v>
      </c>
      <c r="I17" s="42">
        <v>46307</v>
      </c>
      <c r="J17" s="21">
        <v>46276</v>
      </c>
      <c r="K17">
        <v>12</v>
      </c>
      <c r="L17" t="s">
        <v>5086</v>
      </c>
      <c r="M17">
        <v>7980</v>
      </c>
      <c r="N17">
        <v>7440</v>
      </c>
      <c r="O17">
        <v>620</v>
      </c>
      <c r="P17" s="4" t="s">
        <v>5326</v>
      </c>
      <c r="Q17" s="43">
        <v>46283</v>
      </c>
    </row>
    <row r="18" spans="1:17" hidden="1" x14ac:dyDescent="0.35">
      <c r="A18" t="s">
        <v>5062</v>
      </c>
      <c r="B18" t="s">
        <v>4888</v>
      </c>
      <c r="C18" t="s">
        <v>871</v>
      </c>
      <c r="D18" t="s">
        <v>872</v>
      </c>
      <c r="E18" t="s">
        <v>4818</v>
      </c>
      <c r="F18" t="s">
        <v>4890</v>
      </c>
      <c r="G18" t="s">
        <v>25</v>
      </c>
      <c r="H18" t="s">
        <v>26</v>
      </c>
      <c r="I18" s="42">
        <v>46307</v>
      </c>
      <c r="J18" s="21">
        <v>46276</v>
      </c>
      <c r="K18">
        <v>12</v>
      </c>
      <c r="L18" t="s">
        <v>5086</v>
      </c>
      <c r="M18">
        <v>7752</v>
      </c>
      <c r="N18">
        <v>7380</v>
      </c>
      <c r="O18">
        <v>615</v>
      </c>
      <c r="P18" s="4" t="s">
        <v>5327</v>
      </c>
      <c r="Q18" s="43">
        <v>46283</v>
      </c>
    </row>
    <row r="19" spans="1:17" hidden="1" x14ac:dyDescent="0.35">
      <c r="A19" t="s">
        <v>5062</v>
      </c>
      <c r="B19" t="s">
        <v>4888</v>
      </c>
      <c r="C19" t="s">
        <v>871</v>
      </c>
      <c r="D19" t="s">
        <v>872</v>
      </c>
      <c r="E19" t="s">
        <v>4818</v>
      </c>
      <c r="F19" t="s">
        <v>4907</v>
      </c>
      <c r="G19" t="s">
        <v>25</v>
      </c>
      <c r="H19" t="s">
        <v>26</v>
      </c>
      <c r="I19" s="42">
        <v>46307</v>
      </c>
      <c r="J19" s="21">
        <v>46276</v>
      </c>
      <c r="K19">
        <v>12</v>
      </c>
      <c r="L19" t="s">
        <v>5086</v>
      </c>
      <c r="M19">
        <v>2832</v>
      </c>
      <c r="N19">
        <v>2808</v>
      </c>
      <c r="O19">
        <v>234</v>
      </c>
      <c r="P19" s="4" t="s">
        <v>5328</v>
      </c>
      <c r="Q19" s="43">
        <v>46283</v>
      </c>
    </row>
    <row r="20" spans="1:17" x14ac:dyDescent="0.35">
      <c r="A20" t="s">
        <v>5062</v>
      </c>
      <c r="B20" t="s">
        <v>4888</v>
      </c>
      <c r="C20" t="s">
        <v>5105</v>
      </c>
      <c r="D20" t="s">
        <v>872</v>
      </c>
      <c r="E20" t="s">
        <v>4818</v>
      </c>
      <c r="F20" t="s">
        <v>5026</v>
      </c>
      <c r="G20" t="s">
        <v>5216</v>
      </c>
      <c r="H20" t="s">
        <v>5217</v>
      </c>
      <c r="I20" s="42">
        <v>46307</v>
      </c>
      <c r="J20" s="21">
        <v>46284</v>
      </c>
      <c r="K20">
        <v>24</v>
      </c>
      <c r="L20" t="s">
        <v>5311</v>
      </c>
      <c r="M20">
        <v>24</v>
      </c>
      <c r="N20">
        <v>24</v>
      </c>
      <c r="O20">
        <v>1</v>
      </c>
      <c r="P20" s="4" t="e">
        <v>#N/A</v>
      </c>
      <c r="Q20" s="43" t="e">
        <v>#N/A</v>
      </c>
    </row>
    <row r="21" spans="1:17" x14ac:dyDescent="0.35">
      <c r="A21" t="s">
        <v>5062</v>
      </c>
      <c r="B21" t="s">
        <v>4888</v>
      </c>
      <c r="C21" t="s">
        <v>5105</v>
      </c>
      <c r="D21" t="s">
        <v>872</v>
      </c>
      <c r="E21" t="s">
        <v>4818</v>
      </c>
      <c r="F21" t="s">
        <v>5011</v>
      </c>
      <c r="G21" t="s">
        <v>5216</v>
      </c>
      <c r="H21" t="s">
        <v>5217</v>
      </c>
      <c r="I21" s="42">
        <v>46307</v>
      </c>
      <c r="J21" s="21">
        <v>46284</v>
      </c>
      <c r="K21">
        <v>24</v>
      </c>
      <c r="L21" t="s">
        <v>5311</v>
      </c>
      <c r="M21">
        <v>96</v>
      </c>
      <c r="N21">
        <v>96</v>
      </c>
      <c r="O21">
        <v>4</v>
      </c>
      <c r="P21" s="4" t="e">
        <v>#N/A</v>
      </c>
      <c r="Q21" s="43" t="e">
        <v>#N/A</v>
      </c>
    </row>
    <row r="22" spans="1:17" x14ac:dyDescent="0.35">
      <c r="A22" t="s">
        <v>5062</v>
      </c>
      <c r="B22" t="s">
        <v>4888</v>
      </c>
      <c r="C22" t="s">
        <v>5105</v>
      </c>
      <c r="D22" t="s">
        <v>872</v>
      </c>
      <c r="E22" t="s">
        <v>4818</v>
      </c>
      <c r="F22" t="s">
        <v>5019</v>
      </c>
      <c r="G22" t="s">
        <v>5216</v>
      </c>
      <c r="H22" t="s">
        <v>5217</v>
      </c>
      <c r="I22" s="42">
        <v>46307</v>
      </c>
      <c r="J22" s="21">
        <v>46284</v>
      </c>
      <c r="K22">
        <v>24</v>
      </c>
      <c r="L22" t="s">
        <v>5311</v>
      </c>
      <c r="M22">
        <v>96</v>
      </c>
      <c r="N22">
        <v>96</v>
      </c>
      <c r="O22">
        <v>4</v>
      </c>
      <c r="P22" s="4" t="e">
        <v>#N/A</v>
      </c>
      <c r="Q22" s="43" t="e">
        <v>#N/A</v>
      </c>
    </row>
    <row r="23" spans="1:17" x14ac:dyDescent="0.35">
      <c r="A23" t="s">
        <v>5062</v>
      </c>
      <c r="B23" t="s">
        <v>4888</v>
      </c>
      <c r="C23" t="s">
        <v>5105</v>
      </c>
      <c r="D23" t="s">
        <v>872</v>
      </c>
      <c r="E23" t="s">
        <v>4818</v>
      </c>
      <c r="F23" t="s">
        <v>4903</v>
      </c>
      <c r="G23" t="s">
        <v>5216</v>
      </c>
      <c r="H23" t="s">
        <v>5217</v>
      </c>
      <c r="I23" s="42">
        <v>46307</v>
      </c>
      <c r="J23" s="21">
        <v>46284</v>
      </c>
      <c r="K23">
        <v>12</v>
      </c>
      <c r="L23" t="s">
        <v>5311</v>
      </c>
      <c r="M23">
        <v>48</v>
      </c>
      <c r="N23">
        <v>48</v>
      </c>
      <c r="O23">
        <v>4</v>
      </c>
      <c r="P23" s="4" t="e">
        <v>#N/A</v>
      </c>
      <c r="Q23" s="43" t="e">
        <v>#N/A</v>
      </c>
    </row>
    <row r="24" spans="1:17" x14ac:dyDescent="0.35">
      <c r="A24" t="s">
        <v>5062</v>
      </c>
      <c r="B24" t="s">
        <v>4888</v>
      </c>
      <c r="C24" t="s">
        <v>5105</v>
      </c>
      <c r="D24" t="s">
        <v>872</v>
      </c>
      <c r="E24" t="s">
        <v>4818</v>
      </c>
      <c r="F24" t="s">
        <v>4894</v>
      </c>
      <c r="G24" t="s">
        <v>5216</v>
      </c>
      <c r="H24" t="s">
        <v>5217</v>
      </c>
      <c r="I24" s="42">
        <v>46307</v>
      </c>
      <c r="J24" s="21">
        <v>46284</v>
      </c>
      <c r="K24">
        <v>12</v>
      </c>
      <c r="L24" t="s">
        <v>5311</v>
      </c>
      <c r="M24">
        <v>24</v>
      </c>
      <c r="N24">
        <v>24</v>
      </c>
      <c r="O24">
        <v>2</v>
      </c>
      <c r="P24" s="4" t="e">
        <v>#N/A</v>
      </c>
      <c r="Q24" s="43" t="e">
        <v>#N/A</v>
      </c>
    </row>
    <row r="25" spans="1:17" x14ac:dyDescent="0.35">
      <c r="A25" t="s">
        <v>5062</v>
      </c>
      <c r="B25" t="s">
        <v>4888</v>
      </c>
      <c r="C25" t="s">
        <v>5105</v>
      </c>
      <c r="D25" t="s">
        <v>872</v>
      </c>
      <c r="E25" t="s">
        <v>4818</v>
      </c>
      <c r="F25" t="s">
        <v>5009</v>
      </c>
      <c r="G25" t="s">
        <v>5216</v>
      </c>
      <c r="H25" t="s">
        <v>5217</v>
      </c>
      <c r="I25" s="42">
        <v>46307</v>
      </c>
      <c r="J25" s="21">
        <v>46284</v>
      </c>
      <c r="K25">
        <v>24</v>
      </c>
      <c r="L25" t="s">
        <v>5311</v>
      </c>
      <c r="M25">
        <v>240</v>
      </c>
      <c r="N25">
        <v>240</v>
      </c>
      <c r="O25">
        <v>10</v>
      </c>
      <c r="P25" s="4" t="e">
        <v>#N/A</v>
      </c>
      <c r="Q25" s="43" t="e">
        <v>#N/A</v>
      </c>
    </row>
    <row r="26" spans="1:17" x14ac:dyDescent="0.35">
      <c r="A26" t="s">
        <v>5062</v>
      </c>
      <c r="B26" t="s">
        <v>4888</v>
      </c>
      <c r="C26" t="s">
        <v>5105</v>
      </c>
      <c r="D26" t="s">
        <v>872</v>
      </c>
      <c r="E26" t="s">
        <v>4818</v>
      </c>
      <c r="F26" t="s">
        <v>4890</v>
      </c>
      <c r="G26" t="s">
        <v>5216</v>
      </c>
      <c r="H26" t="s">
        <v>5217</v>
      </c>
      <c r="I26" s="42">
        <v>46307</v>
      </c>
      <c r="J26" s="21">
        <v>46284</v>
      </c>
      <c r="K26">
        <v>12</v>
      </c>
      <c r="L26" t="s">
        <v>5311</v>
      </c>
      <c r="M26">
        <v>48</v>
      </c>
      <c r="N26">
        <v>48</v>
      </c>
      <c r="O26">
        <v>4</v>
      </c>
      <c r="P26" s="4" t="e">
        <v>#N/A</v>
      </c>
      <c r="Q26" s="43" t="e">
        <v>#N/A</v>
      </c>
    </row>
    <row r="27" spans="1:17" x14ac:dyDescent="0.35">
      <c r="A27" t="s">
        <v>5062</v>
      </c>
      <c r="B27" t="s">
        <v>4888</v>
      </c>
      <c r="C27" t="s">
        <v>5105</v>
      </c>
      <c r="D27" t="s">
        <v>872</v>
      </c>
      <c r="E27" t="s">
        <v>4818</v>
      </c>
      <c r="F27" t="s">
        <v>4907</v>
      </c>
      <c r="G27" t="s">
        <v>5216</v>
      </c>
      <c r="H27" t="s">
        <v>5217</v>
      </c>
      <c r="I27" s="42">
        <v>46307</v>
      </c>
      <c r="J27" s="21">
        <v>46284</v>
      </c>
      <c r="K27">
        <v>12</v>
      </c>
      <c r="L27" t="s">
        <v>5311</v>
      </c>
      <c r="M27">
        <v>48</v>
      </c>
      <c r="N27">
        <v>48</v>
      </c>
      <c r="O27">
        <v>4</v>
      </c>
      <c r="P27" s="4" t="e">
        <v>#N/A</v>
      </c>
      <c r="Q27" s="43" t="e">
        <v>#N/A</v>
      </c>
    </row>
    <row r="28" spans="1:17" x14ac:dyDescent="0.35">
      <c r="A28" t="s">
        <v>5062</v>
      </c>
      <c r="B28" t="s">
        <v>4888</v>
      </c>
      <c r="C28" t="s">
        <v>5105</v>
      </c>
      <c r="D28" t="s">
        <v>872</v>
      </c>
      <c r="E28" t="s">
        <v>4818</v>
      </c>
      <c r="F28" t="s">
        <v>5006</v>
      </c>
      <c r="G28" t="s">
        <v>5216</v>
      </c>
      <c r="H28" t="s">
        <v>5217</v>
      </c>
      <c r="I28" s="42">
        <v>46307</v>
      </c>
      <c r="J28" s="21">
        <v>46284</v>
      </c>
      <c r="K28">
        <v>24</v>
      </c>
      <c r="L28" t="s">
        <v>5311</v>
      </c>
      <c r="M28">
        <v>168</v>
      </c>
      <c r="N28">
        <v>168</v>
      </c>
      <c r="O28">
        <v>7</v>
      </c>
      <c r="P28" s="4" t="e">
        <v>#N/A</v>
      </c>
      <c r="Q28" s="43" t="e">
        <v>#N/A</v>
      </c>
    </row>
    <row r="29" spans="1:17" x14ac:dyDescent="0.35">
      <c r="A29" t="s">
        <v>5062</v>
      </c>
      <c r="B29" t="s">
        <v>4888</v>
      </c>
      <c r="C29" t="s">
        <v>5105</v>
      </c>
      <c r="D29" t="s">
        <v>872</v>
      </c>
      <c r="E29" t="s">
        <v>4818</v>
      </c>
      <c r="F29" t="s">
        <v>5013</v>
      </c>
      <c r="G29" t="s">
        <v>5216</v>
      </c>
      <c r="H29" t="s">
        <v>5217</v>
      </c>
      <c r="I29" s="42">
        <v>46307</v>
      </c>
      <c r="J29" s="21">
        <v>46284</v>
      </c>
      <c r="K29">
        <v>24</v>
      </c>
      <c r="L29" t="s">
        <v>5311</v>
      </c>
      <c r="M29">
        <v>192</v>
      </c>
      <c r="N29">
        <v>192</v>
      </c>
      <c r="O29">
        <v>8</v>
      </c>
      <c r="P29" s="4" t="e">
        <v>#N/A</v>
      </c>
      <c r="Q29" s="43" t="e">
        <v>#N/A</v>
      </c>
    </row>
    <row r="30" spans="1:17" x14ac:dyDescent="0.35">
      <c r="A30" t="s">
        <v>5062</v>
      </c>
      <c r="B30" t="s">
        <v>4888</v>
      </c>
      <c r="C30" t="s">
        <v>5105</v>
      </c>
      <c r="D30" t="s">
        <v>872</v>
      </c>
      <c r="E30" t="s">
        <v>4818</v>
      </c>
      <c r="F30" t="s">
        <v>5023</v>
      </c>
      <c r="G30" t="s">
        <v>5216</v>
      </c>
      <c r="H30" t="s">
        <v>5217</v>
      </c>
      <c r="I30" s="42">
        <v>46307</v>
      </c>
      <c r="J30" s="21">
        <v>46284</v>
      </c>
      <c r="K30">
        <v>24</v>
      </c>
      <c r="L30" t="s">
        <v>5311</v>
      </c>
      <c r="M30">
        <v>144</v>
      </c>
      <c r="N30">
        <v>144</v>
      </c>
      <c r="O30">
        <v>6</v>
      </c>
      <c r="P30" s="4" t="e">
        <v>#N/A</v>
      </c>
      <c r="Q30" s="43" t="e">
        <v>#N/A</v>
      </c>
    </row>
    <row r="31" spans="1:17" hidden="1" x14ac:dyDescent="0.35">
      <c r="A31" t="s">
        <v>5062</v>
      </c>
      <c r="B31" t="s">
        <v>5000</v>
      </c>
      <c r="C31" t="s">
        <v>2796</v>
      </c>
      <c r="D31" t="s">
        <v>872</v>
      </c>
      <c r="E31" t="s">
        <v>4818</v>
      </c>
      <c r="F31" t="s">
        <v>5002</v>
      </c>
      <c r="G31" t="s">
        <v>25</v>
      </c>
      <c r="H31" t="s">
        <v>26</v>
      </c>
      <c r="I31" s="42">
        <v>46307</v>
      </c>
      <c r="J31" s="21">
        <v>46276</v>
      </c>
      <c r="K31">
        <v>20</v>
      </c>
      <c r="L31" t="s">
        <v>5086</v>
      </c>
      <c r="M31">
        <v>2760</v>
      </c>
      <c r="N31">
        <v>2760</v>
      </c>
      <c r="O31">
        <v>138</v>
      </c>
      <c r="P31" s="4" t="s">
        <v>5329</v>
      </c>
      <c r="Q31" s="43">
        <v>46283</v>
      </c>
    </row>
    <row r="32" spans="1:17" x14ac:dyDescent="0.35">
      <c r="A32" t="s">
        <v>5062</v>
      </c>
      <c r="B32" t="s">
        <v>5000</v>
      </c>
      <c r="C32" t="s">
        <v>5105</v>
      </c>
      <c r="D32" t="s">
        <v>872</v>
      </c>
      <c r="E32" t="s">
        <v>4818</v>
      </c>
      <c r="F32" t="s">
        <v>5002</v>
      </c>
      <c r="G32" t="s">
        <v>5216</v>
      </c>
      <c r="H32" t="s">
        <v>5217</v>
      </c>
      <c r="I32" s="42">
        <v>46307</v>
      </c>
      <c r="J32" s="21">
        <v>46284</v>
      </c>
      <c r="K32">
        <v>20</v>
      </c>
      <c r="L32" t="s">
        <v>5311</v>
      </c>
      <c r="M32">
        <v>20</v>
      </c>
      <c r="N32">
        <v>20</v>
      </c>
      <c r="O32">
        <v>1</v>
      </c>
      <c r="P32" s="4" t="e">
        <v>#N/A</v>
      </c>
      <c r="Q32" s="43" t="e">
        <v>#N/A</v>
      </c>
    </row>
    <row r="33" spans="1:17" x14ac:dyDescent="0.35">
      <c r="A33" t="s">
        <v>5062</v>
      </c>
      <c r="B33" t="s">
        <v>5000</v>
      </c>
      <c r="C33" t="s">
        <v>5105</v>
      </c>
      <c r="D33" t="s">
        <v>872</v>
      </c>
      <c r="E33" t="s">
        <v>4818</v>
      </c>
      <c r="F33" t="s">
        <v>5313</v>
      </c>
      <c r="G33" t="s">
        <v>5216</v>
      </c>
      <c r="H33" t="s">
        <v>5217</v>
      </c>
      <c r="I33" s="42">
        <v>46307</v>
      </c>
      <c r="J33" s="21">
        <v>46284</v>
      </c>
      <c r="K33">
        <v>10</v>
      </c>
      <c r="L33" t="s">
        <v>5311</v>
      </c>
      <c r="M33">
        <v>6030</v>
      </c>
      <c r="N33">
        <v>6030</v>
      </c>
      <c r="O33">
        <v>603</v>
      </c>
      <c r="P33" s="4" t="e">
        <v>#N/A</v>
      </c>
      <c r="Q33" s="43" t="e">
        <v>#N/A</v>
      </c>
    </row>
    <row r="34" spans="1:17" hidden="1" x14ac:dyDescent="0.35">
      <c r="A34" t="s">
        <v>5062</v>
      </c>
      <c r="B34" t="s">
        <v>4826</v>
      </c>
      <c r="C34" t="s">
        <v>871</v>
      </c>
      <c r="D34" t="s">
        <v>872</v>
      </c>
      <c r="E34" t="s">
        <v>4818</v>
      </c>
      <c r="F34" t="s">
        <v>4936</v>
      </c>
      <c r="G34" t="s">
        <v>25</v>
      </c>
      <c r="H34" t="s">
        <v>26</v>
      </c>
      <c r="I34" s="42">
        <v>46307</v>
      </c>
      <c r="J34" s="21">
        <v>46276</v>
      </c>
      <c r="K34">
        <v>12</v>
      </c>
      <c r="L34" t="s">
        <v>5086</v>
      </c>
      <c r="M34">
        <v>12420</v>
      </c>
      <c r="N34">
        <v>11724</v>
      </c>
      <c r="O34">
        <v>977</v>
      </c>
      <c r="P34" s="4" t="s">
        <v>5330</v>
      </c>
      <c r="Q34" s="43">
        <v>46283</v>
      </c>
    </row>
    <row r="35" spans="1:17" hidden="1" x14ac:dyDescent="0.35">
      <c r="A35" t="s">
        <v>5062</v>
      </c>
      <c r="B35" t="s">
        <v>4826</v>
      </c>
      <c r="C35" t="s">
        <v>871</v>
      </c>
      <c r="D35" t="s">
        <v>872</v>
      </c>
      <c r="E35" t="s">
        <v>4818</v>
      </c>
      <c r="F35" t="s">
        <v>4977</v>
      </c>
      <c r="G35" t="s">
        <v>25</v>
      </c>
      <c r="H35" t="s">
        <v>26</v>
      </c>
      <c r="I35" s="42">
        <v>46307</v>
      </c>
      <c r="J35" s="21">
        <v>46276</v>
      </c>
      <c r="K35">
        <v>12</v>
      </c>
      <c r="L35" t="s">
        <v>5086</v>
      </c>
      <c r="M35">
        <v>10536</v>
      </c>
      <c r="N35">
        <v>10500</v>
      </c>
      <c r="O35">
        <v>875</v>
      </c>
      <c r="P35" s="4" t="s">
        <v>5331</v>
      </c>
      <c r="Q35" s="43">
        <v>46283</v>
      </c>
    </row>
    <row r="36" spans="1:17" hidden="1" x14ac:dyDescent="0.35">
      <c r="A36" t="s">
        <v>5062</v>
      </c>
      <c r="B36" t="s">
        <v>4826</v>
      </c>
      <c r="C36" t="s">
        <v>871</v>
      </c>
      <c r="D36" t="s">
        <v>872</v>
      </c>
      <c r="E36" t="s">
        <v>4818</v>
      </c>
      <c r="F36" t="s">
        <v>4980</v>
      </c>
      <c r="G36" t="s">
        <v>25</v>
      </c>
      <c r="H36" t="s">
        <v>26</v>
      </c>
      <c r="I36" s="42">
        <v>46307</v>
      </c>
      <c r="J36" s="21">
        <v>46276</v>
      </c>
      <c r="K36">
        <v>12</v>
      </c>
      <c r="L36" t="s">
        <v>5086</v>
      </c>
      <c r="M36">
        <v>9036</v>
      </c>
      <c r="N36">
        <v>8364</v>
      </c>
      <c r="O36">
        <v>697</v>
      </c>
      <c r="P36" s="4" t="s">
        <v>5332</v>
      </c>
      <c r="Q36" s="43">
        <v>46283</v>
      </c>
    </row>
    <row r="37" spans="1:17" x14ac:dyDescent="0.35">
      <c r="A37" t="s">
        <v>5062</v>
      </c>
      <c r="B37" t="s">
        <v>4826</v>
      </c>
      <c r="C37" t="s">
        <v>5105</v>
      </c>
      <c r="D37" t="s">
        <v>872</v>
      </c>
      <c r="E37" t="s">
        <v>4818</v>
      </c>
      <c r="F37" t="s">
        <v>4936</v>
      </c>
      <c r="G37" t="s">
        <v>5216</v>
      </c>
      <c r="H37" t="s">
        <v>5217</v>
      </c>
      <c r="I37" s="42">
        <v>46307</v>
      </c>
      <c r="J37" s="21">
        <v>46284</v>
      </c>
      <c r="K37">
        <v>12</v>
      </c>
      <c r="L37" t="s">
        <v>5311</v>
      </c>
      <c r="M37">
        <v>48</v>
      </c>
      <c r="N37">
        <v>48</v>
      </c>
      <c r="O37">
        <v>4</v>
      </c>
      <c r="P37" s="4" t="e">
        <v>#N/A</v>
      </c>
      <c r="Q37" s="43" t="e">
        <v>#N/A</v>
      </c>
    </row>
    <row r="38" spans="1:17" x14ac:dyDescent="0.35">
      <c r="A38" t="s">
        <v>5062</v>
      </c>
      <c r="B38" t="s">
        <v>4826</v>
      </c>
      <c r="C38" t="s">
        <v>5105</v>
      </c>
      <c r="D38" t="s">
        <v>872</v>
      </c>
      <c r="E38" t="s">
        <v>4818</v>
      </c>
      <c r="F38" t="s">
        <v>4977</v>
      </c>
      <c r="G38" t="s">
        <v>5216</v>
      </c>
      <c r="H38" t="s">
        <v>5217</v>
      </c>
      <c r="I38" s="42">
        <v>46307</v>
      </c>
      <c r="J38" s="21">
        <v>46284</v>
      </c>
      <c r="K38">
        <v>12</v>
      </c>
      <c r="L38" t="s">
        <v>5311</v>
      </c>
      <c r="M38">
        <v>1500</v>
      </c>
      <c r="N38">
        <v>1500</v>
      </c>
      <c r="O38">
        <v>125</v>
      </c>
      <c r="P38" s="4" t="e">
        <v>#N/A</v>
      </c>
      <c r="Q38" s="43" t="e">
        <v>#N/A</v>
      </c>
    </row>
    <row r="39" spans="1:17" x14ac:dyDescent="0.35">
      <c r="A39" t="s">
        <v>5062</v>
      </c>
      <c r="B39" t="s">
        <v>4826</v>
      </c>
      <c r="C39" t="s">
        <v>5105</v>
      </c>
      <c r="D39" t="s">
        <v>872</v>
      </c>
      <c r="E39" t="s">
        <v>4818</v>
      </c>
      <c r="F39" t="s">
        <v>4980</v>
      </c>
      <c r="G39" t="s">
        <v>5216</v>
      </c>
      <c r="H39" t="s">
        <v>5217</v>
      </c>
      <c r="I39" s="42">
        <v>46307</v>
      </c>
      <c r="J39" s="21">
        <v>46284</v>
      </c>
      <c r="K39">
        <v>12</v>
      </c>
      <c r="L39" t="s">
        <v>5311</v>
      </c>
      <c r="M39">
        <v>108</v>
      </c>
      <c r="N39">
        <v>108</v>
      </c>
      <c r="O39">
        <v>9</v>
      </c>
      <c r="P39" s="4" t="e">
        <v>#N/A</v>
      </c>
      <c r="Q39" s="43" t="e">
        <v>#N/A</v>
      </c>
    </row>
    <row r="40" spans="1:17" hidden="1" x14ac:dyDescent="0.35">
      <c r="A40" t="s">
        <v>5087</v>
      </c>
      <c r="B40" t="s">
        <v>4826</v>
      </c>
      <c r="C40" t="s">
        <v>16</v>
      </c>
      <c r="D40" t="s">
        <v>17</v>
      </c>
      <c r="E40" t="s">
        <v>4818</v>
      </c>
      <c r="F40" t="s">
        <v>4828</v>
      </c>
      <c r="G40" t="s">
        <v>25</v>
      </c>
      <c r="H40" t="s">
        <v>26</v>
      </c>
      <c r="I40" s="42">
        <v>46307</v>
      </c>
      <c r="J40" s="21">
        <v>46276</v>
      </c>
      <c r="K40">
        <v>12</v>
      </c>
      <c r="L40" t="s">
        <v>5090</v>
      </c>
      <c r="M40">
        <v>5268</v>
      </c>
      <c r="N40">
        <v>5232</v>
      </c>
      <c r="O40">
        <v>436</v>
      </c>
    </row>
    <row r="41" spans="1:17" hidden="1" x14ac:dyDescent="0.35">
      <c r="A41" t="s">
        <v>5087</v>
      </c>
      <c r="B41" t="s">
        <v>4826</v>
      </c>
      <c r="C41" t="s">
        <v>5101</v>
      </c>
      <c r="D41" t="s">
        <v>17</v>
      </c>
      <c r="E41" t="s">
        <v>4818</v>
      </c>
      <c r="F41" t="s">
        <v>4828</v>
      </c>
      <c r="G41" t="s">
        <v>5216</v>
      </c>
      <c r="H41" t="s">
        <v>5217</v>
      </c>
      <c r="I41" s="42">
        <v>46307</v>
      </c>
      <c r="J41" s="21">
        <v>46285</v>
      </c>
      <c r="K41">
        <v>12</v>
      </c>
      <c r="L41" t="s">
        <v>5316</v>
      </c>
      <c r="M41">
        <v>168</v>
      </c>
      <c r="N41">
        <v>168</v>
      </c>
      <c r="O41">
        <v>14</v>
      </c>
    </row>
    <row r="42" spans="1:17" hidden="1" x14ac:dyDescent="0.35">
      <c r="A42" t="s">
        <v>5074</v>
      </c>
      <c r="B42" t="s">
        <v>4888</v>
      </c>
      <c r="C42" t="s">
        <v>2718</v>
      </c>
      <c r="D42" t="s">
        <v>2719</v>
      </c>
      <c r="E42" t="s">
        <v>4818</v>
      </c>
      <c r="F42" t="s">
        <v>4982</v>
      </c>
      <c r="G42" t="s">
        <v>25</v>
      </c>
      <c r="H42" t="s">
        <v>26</v>
      </c>
      <c r="I42" s="42">
        <v>46307</v>
      </c>
      <c r="J42" s="21">
        <v>46276</v>
      </c>
      <c r="K42">
        <v>12</v>
      </c>
      <c r="L42" t="s">
        <v>5086</v>
      </c>
      <c r="M42">
        <v>2604</v>
      </c>
      <c r="N42">
        <v>2604</v>
      </c>
      <c r="O42">
        <v>217</v>
      </c>
      <c r="P42" s="4" t="s">
        <v>5333</v>
      </c>
      <c r="Q42" s="43">
        <v>46283</v>
      </c>
    </row>
    <row r="43" spans="1:17" hidden="1" x14ac:dyDescent="0.35">
      <c r="A43" t="s">
        <v>5074</v>
      </c>
      <c r="B43" t="s">
        <v>4888</v>
      </c>
      <c r="C43" t="s">
        <v>2718</v>
      </c>
      <c r="D43" t="s">
        <v>2719</v>
      </c>
      <c r="E43" t="s">
        <v>4818</v>
      </c>
      <c r="F43" t="s">
        <v>4992</v>
      </c>
      <c r="G43" t="s">
        <v>25</v>
      </c>
      <c r="H43" t="s">
        <v>26</v>
      </c>
      <c r="I43" s="42">
        <v>46307</v>
      </c>
      <c r="J43" s="21">
        <v>46276</v>
      </c>
      <c r="K43">
        <v>12</v>
      </c>
      <c r="L43" t="s">
        <v>5086</v>
      </c>
      <c r="M43">
        <v>3024</v>
      </c>
      <c r="N43">
        <v>2940</v>
      </c>
      <c r="O43">
        <v>245</v>
      </c>
      <c r="P43" s="4" t="s">
        <v>5334</v>
      </c>
      <c r="Q43" s="43">
        <v>46283</v>
      </c>
    </row>
    <row r="44" spans="1:17" x14ac:dyDescent="0.35">
      <c r="A44" t="s">
        <v>5074</v>
      </c>
      <c r="B44" t="s">
        <v>4888</v>
      </c>
      <c r="C44" t="s">
        <v>5103</v>
      </c>
      <c r="D44" t="s">
        <v>2719</v>
      </c>
      <c r="E44" t="s">
        <v>4818</v>
      </c>
      <c r="F44" t="s">
        <v>4982</v>
      </c>
      <c r="G44" t="s">
        <v>5216</v>
      </c>
      <c r="H44" t="s">
        <v>5217</v>
      </c>
      <c r="I44" s="42">
        <v>46307</v>
      </c>
      <c r="J44" s="21">
        <v>46284</v>
      </c>
      <c r="K44">
        <v>12</v>
      </c>
      <c r="L44" t="s">
        <v>5311</v>
      </c>
      <c r="M44">
        <v>48</v>
      </c>
      <c r="N44">
        <v>48</v>
      </c>
      <c r="O44">
        <v>4</v>
      </c>
      <c r="P44" s="4" t="e">
        <v>#N/A</v>
      </c>
      <c r="Q44" s="43" t="e">
        <v>#N/A</v>
      </c>
    </row>
    <row r="45" spans="1:17" hidden="1" x14ac:dyDescent="0.35">
      <c r="A45" t="s">
        <v>5088</v>
      </c>
      <c r="B45" t="s">
        <v>4834</v>
      </c>
      <c r="C45" t="s">
        <v>73</v>
      </c>
      <c r="D45" t="s">
        <v>74</v>
      </c>
      <c r="E45" t="s">
        <v>4818</v>
      </c>
      <c r="F45" t="s">
        <v>4840</v>
      </c>
      <c r="G45" t="s">
        <v>25</v>
      </c>
      <c r="H45" t="s">
        <v>26</v>
      </c>
      <c r="I45" s="42">
        <v>46307</v>
      </c>
      <c r="J45" s="21">
        <v>46276</v>
      </c>
      <c r="K45">
        <v>10</v>
      </c>
      <c r="L45" t="s">
        <v>5086</v>
      </c>
      <c r="M45">
        <v>4260</v>
      </c>
      <c r="N45">
        <v>4260</v>
      </c>
      <c r="O45">
        <v>426</v>
      </c>
      <c r="P45" s="4">
        <v>0</v>
      </c>
      <c r="Q45" s="43">
        <v>0</v>
      </c>
    </row>
    <row r="46" spans="1:17" hidden="1" x14ac:dyDescent="0.35">
      <c r="A46" t="s">
        <v>5088</v>
      </c>
      <c r="B46" t="s">
        <v>4834</v>
      </c>
      <c r="C46" t="s">
        <v>73</v>
      </c>
      <c r="D46" t="s">
        <v>74</v>
      </c>
      <c r="E46" t="s">
        <v>4818</v>
      </c>
      <c r="F46" t="s">
        <v>4840</v>
      </c>
      <c r="G46" t="s">
        <v>25</v>
      </c>
      <c r="H46" t="s">
        <v>26</v>
      </c>
      <c r="I46" s="42">
        <v>46307</v>
      </c>
      <c r="J46" s="21">
        <v>46276</v>
      </c>
      <c r="K46">
        <v>10</v>
      </c>
      <c r="L46" t="s">
        <v>5060</v>
      </c>
      <c r="M46">
        <v>2940</v>
      </c>
      <c r="N46">
        <v>0</v>
      </c>
      <c r="O46">
        <v>0</v>
      </c>
    </row>
    <row r="47" spans="1:17" hidden="1" x14ac:dyDescent="0.35">
      <c r="A47" t="s">
        <v>5088</v>
      </c>
      <c r="B47" t="s">
        <v>4834</v>
      </c>
      <c r="C47" t="s">
        <v>73</v>
      </c>
      <c r="D47" t="s">
        <v>74</v>
      </c>
      <c r="E47" t="s">
        <v>4818</v>
      </c>
      <c r="F47" t="s">
        <v>4850</v>
      </c>
      <c r="G47" t="s">
        <v>25</v>
      </c>
      <c r="H47" t="s">
        <v>26</v>
      </c>
      <c r="I47" s="42">
        <v>46307</v>
      </c>
      <c r="J47" s="21">
        <v>46276</v>
      </c>
      <c r="K47">
        <v>6</v>
      </c>
      <c r="L47" t="s">
        <v>5086</v>
      </c>
      <c r="M47">
        <v>3672</v>
      </c>
      <c r="N47">
        <v>3672</v>
      </c>
      <c r="O47">
        <v>612</v>
      </c>
      <c r="P47" s="4">
        <v>0</v>
      </c>
      <c r="Q47" s="43">
        <v>0</v>
      </c>
    </row>
    <row r="48" spans="1:17" hidden="1" x14ac:dyDescent="0.35">
      <c r="A48" t="s">
        <v>5088</v>
      </c>
      <c r="B48" t="s">
        <v>4834</v>
      </c>
      <c r="C48" t="s">
        <v>73</v>
      </c>
      <c r="D48" t="s">
        <v>74</v>
      </c>
      <c r="E48" t="s">
        <v>4818</v>
      </c>
      <c r="F48" t="s">
        <v>4850</v>
      </c>
      <c r="G48" t="s">
        <v>25</v>
      </c>
      <c r="H48" t="s">
        <v>26</v>
      </c>
      <c r="I48" s="42">
        <v>46307</v>
      </c>
      <c r="J48" s="21">
        <v>46276</v>
      </c>
      <c r="K48">
        <v>6</v>
      </c>
      <c r="L48" t="s">
        <v>5060</v>
      </c>
      <c r="M48">
        <v>546</v>
      </c>
      <c r="N48">
        <v>0</v>
      </c>
      <c r="O48">
        <v>0</v>
      </c>
    </row>
    <row r="49" spans="1:17" hidden="1" x14ac:dyDescent="0.35">
      <c r="A49" t="s">
        <v>5088</v>
      </c>
      <c r="B49" t="s">
        <v>4834</v>
      </c>
      <c r="C49" t="s">
        <v>73</v>
      </c>
      <c r="D49" t="s">
        <v>74</v>
      </c>
      <c r="E49" t="s">
        <v>4818</v>
      </c>
      <c r="F49" t="s">
        <v>4836</v>
      </c>
      <c r="G49" t="s">
        <v>25</v>
      </c>
      <c r="H49" t="s">
        <v>26</v>
      </c>
      <c r="I49" s="42">
        <v>46307</v>
      </c>
      <c r="J49" s="21">
        <v>46276</v>
      </c>
      <c r="K49">
        <v>8</v>
      </c>
      <c r="L49" t="s">
        <v>5060</v>
      </c>
      <c r="M49">
        <v>4696</v>
      </c>
      <c r="N49">
        <v>0</v>
      </c>
      <c r="O49">
        <v>0</v>
      </c>
    </row>
    <row r="50" spans="1:17" x14ac:dyDescent="0.35">
      <c r="A50" t="s">
        <v>5088</v>
      </c>
      <c r="B50" t="s">
        <v>4834</v>
      </c>
      <c r="C50" t="s">
        <v>5104</v>
      </c>
      <c r="D50" t="s">
        <v>74</v>
      </c>
      <c r="E50" t="s">
        <v>4818</v>
      </c>
      <c r="F50" t="s">
        <v>4850</v>
      </c>
      <c r="G50" t="s">
        <v>5216</v>
      </c>
      <c r="H50" t="s">
        <v>5217</v>
      </c>
      <c r="I50" s="42">
        <v>46307</v>
      </c>
      <c r="J50" s="21">
        <v>46284</v>
      </c>
      <c r="K50">
        <v>6</v>
      </c>
      <c r="L50" t="s">
        <v>5311</v>
      </c>
      <c r="M50">
        <v>24</v>
      </c>
      <c r="N50">
        <v>24</v>
      </c>
      <c r="O50">
        <v>4</v>
      </c>
      <c r="P50" s="4" t="e">
        <v>#N/A</v>
      </c>
      <c r="Q50" s="43" t="e">
        <v>#N/A</v>
      </c>
    </row>
    <row r="51" spans="1:17" hidden="1" x14ac:dyDescent="0.35">
      <c r="A51" t="s">
        <v>5092</v>
      </c>
      <c r="I51"/>
      <c r="K51"/>
      <c r="M51">
        <v>177528</v>
      </c>
      <c r="N51">
        <v>164942</v>
      </c>
      <c r="O51">
        <v>11847</v>
      </c>
    </row>
  </sheetData>
  <autoFilter ref="A3:Q51" xr:uid="{60CBF5BD-2D11-4281-AF69-BD0CF03CF179}">
    <filterColumn colId="9">
      <filters>
        <dateGroupItem year="2026" month="9" day="19" dateTimeGrouping="day"/>
      </filters>
    </filterColumn>
    <filterColumn colId="11">
      <filters blank="1">
        <filter val="Correct PO"/>
        <filter val="Manula PO"/>
      </filters>
    </filterColumn>
    <filterColumn colId="15">
      <filters>
        <filter val="0"/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dit Line Items"/>
  <dimension ref="A1:AW1483"/>
  <sheetViews>
    <sheetView topLeftCell="S1" zoomScale="80" zoomScaleNormal="80" workbookViewId="0">
      <selection activeCell="L2" sqref="A2:XFD2"/>
    </sheetView>
  </sheetViews>
  <sheetFormatPr defaultRowHeight="15.5" x14ac:dyDescent="0.35"/>
  <cols>
    <col min="5" max="5" width="13.9140625" bestFit="1" customWidth="1"/>
    <col min="8" max="9" width="33.6640625" customWidth="1"/>
    <col min="10" max="12" width="33.6640625" style="4" customWidth="1"/>
    <col min="13" max="13" width="8.6640625" style="4"/>
    <col min="19" max="19" width="13.75" bestFit="1" customWidth="1"/>
    <col min="20" max="20" width="14.6640625" style="7" bestFit="1" customWidth="1"/>
    <col min="22" max="22" width="18.25" bestFit="1" customWidth="1"/>
    <col min="33" max="33" width="8.6640625" style="4"/>
    <col min="47" max="47" width="15.1640625" bestFit="1" customWidth="1"/>
  </cols>
  <sheetData>
    <row r="1" spans="1:49" x14ac:dyDescent="0.35">
      <c r="S1" s="21"/>
      <c r="T1" s="38"/>
      <c r="V1" s="18">
        <f>SUBTOTAL(9,V3:V7188)</f>
        <v>177528</v>
      </c>
      <c r="W1" s="18">
        <f t="shared" ref="W1:AK1" si="0">SUBTOTAL(9,W3:W7188)</f>
        <v>181580</v>
      </c>
      <c r="X1" s="18">
        <f t="shared" si="0"/>
        <v>172816</v>
      </c>
      <c r="Y1" s="18">
        <f t="shared" si="0"/>
        <v>8764</v>
      </c>
      <c r="Z1" s="18">
        <f t="shared" si="0"/>
        <v>5308</v>
      </c>
      <c r="AA1" s="18">
        <f t="shared" si="0"/>
        <v>4404</v>
      </c>
      <c r="AB1" s="18">
        <f t="shared" si="0"/>
        <v>0</v>
      </c>
      <c r="AC1" s="18">
        <f t="shared" si="0"/>
        <v>9206</v>
      </c>
      <c r="AD1" s="18">
        <f t="shared" si="0"/>
        <v>0</v>
      </c>
      <c r="AE1" s="18">
        <f t="shared" si="0"/>
        <v>0</v>
      </c>
      <c r="AF1" s="18">
        <f t="shared" si="0"/>
        <v>164942</v>
      </c>
      <c r="AG1" s="18"/>
      <c r="AH1" s="18">
        <f t="shared" si="0"/>
        <v>164942</v>
      </c>
      <c r="AI1" s="18">
        <f t="shared" si="0"/>
        <v>12586</v>
      </c>
      <c r="AJ1" s="18">
        <f t="shared" si="0"/>
        <v>0</v>
      </c>
      <c r="AK1" s="18">
        <f t="shared" si="0"/>
        <v>11847</v>
      </c>
    </row>
    <row r="2" spans="1:49" s="16" customFormat="1" ht="108.5" x14ac:dyDescent="0.35">
      <c r="A2" s="16" t="s">
        <v>0</v>
      </c>
      <c r="B2" s="16" t="s">
        <v>1</v>
      </c>
      <c r="C2" s="17" t="s">
        <v>4819</v>
      </c>
      <c r="D2" s="16" t="s">
        <v>2</v>
      </c>
      <c r="E2" s="16" t="s">
        <v>3</v>
      </c>
      <c r="F2" s="16" t="s">
        <v>4</v>
      </c>
      <c r="G2" s="16" t="s">
        <v>5</v>
      </c>
      <c r="H2" s="2" t="s">
        <v>4820</v>
      </c>
      <c r="I2" s="2" t="s">
        <v>4821</v>
      </c>
      <c r="J2" s="3" t="s">
        <v>4822</v>
      </c>
      <c r="K2" s="3" t="s">
        <v>4823</v>
      </c>
      <c r="L2" s="3" t="s">
        <v>4824</v>
      </c>
      <c r="M2" s="3" t="s">
        <v>4825</v>
      </c>
      <c r="N2" s="16" t="s">
        <v>6</v>
      </c>
      <c r="O2" s="16" t="s">
        <v>7</v>
      </c>
      <c r="P2" s="16" t="s">
        <v>8</v>
      </c>
      <c r="Q2" s="16" t="s">
        <v>9</v>
      </c>
      <c r="R2" s="16" t="s">
        <v>10</v>
      </c>
      <c r="S2" s="16" t="s">
        <v>11</v>
      </c>
      <c r="T2" s="5" t="s">
        <v>5036</v>
      </c>
      <c r="U2" s="16" t="s">
        <v>12</v>
      </c>
      <c r="V2" s="16" t="s">
        <v>13</v>
      </c>
      <c r="W2" s="8" t="s">
        <v>5037</v>
      </c>
      <c r="X2" s="8" t="s">
        <v>5038</v>
      </c>
      <c r="Y2" s="8" t="s">
        <v>5039</v>
      </c>
      <c r="Z2" s="8" t="s">
        <v>5040</v>
      </c>
      <c r="AA2" s="8" t="s">
        <v>5041</v>
      </c>
      <c r="AB2" s="8" t="s">
        <v>5042</v>
      </c>
      <c r="AC2" s="8" t="s">
        <v>5043</v>
      </c>
      <c r="AD2" s="9" t="s">
        <v>5044</v>
      </c>
      <c r="AE2" s="10" t="s">
        <v>5044</v>
      </c>
      <c r="AF2" s="8" t="s">
        <v>5045</v>
      </c>
      <c r="AG2" s="20" t="s">
        <v>5046</v>
      </c>
      <c r="AH2" s="11" t="s">
        <v>5047</v>
      </c>
      <c r="AI2" s="8" t="s">
        <v>5048</v>
      </c>
      <c r="AJ2" s="8" t="s">
        <v>5049</v>
      </c>
      <c r="AK2" s="8" t="s">
        <v>5050</v>
      </c>
      <c r="AL2" s="16" t="s">
        <v>14</v>
      </c>
      <c r="AM2" s="12" t="s">
        <v>27</v>
      </c>
      <c r="AN2" s="2" t="s">
        <v>5051</v>
      </c>
      <c r="AO2" s="2" t="s">
        <v>5052</v>
      </c>
      <c r="AP2" s="13" t="s">
        <v>5053</v>
      </c>
      <c r="AQ2" s="14" t="s">
        <v>5054</v>
      </c>
      <c r="AR2" s="12" t="s">
        <v>5055</v>
      </c>
      <c r="AS2" s="12" t="s">
        <v>5056</v>
      </c>
      <c r="AT2" s="3" t="s">
        <v>5057</v>
      </c>
      <c r="AU2" s="2" t="s">
        <v>5058</v>
      </c>
      <c r="AV2" s="22" t="s">
        <v>5091</v>
      </c>
      <c r="AW2" s="12" t="s">
        <v>5059</v>
      </c>
    </row>
    <row r="3" spans="1:49" x14ac:dyDescent="0.35">
      <c r="A3" t="s">
        <v>16</v>
      </c>
      <c r="B3" t="s">
        <v>17</v>
      </c>
      <c r="C3" t="s">
        <v>4818</v>
      </c>
      <c r="D3" t="s">
        <v>18</v>
      </c>
      <c r="E3" t="s">
        <v>19</v>
      </c>
      <c r="F3" t="s">
        <v>20</v>
      </c>
      <c r="G3" t="s">
        <v>21</v>
      </c>
      <c r="H3" t="s">
        <v>4826</v>
      </c>
      <c r="I3" t="s">
        <v>4827</v>
      </c>
      <c r="J3" s="4" t="s">
        <v>4828</v>
      </c>
      <c r="K3" s="4" t="s">
        <v>4829</v>
      </c>
      <c r="L3" s="4">
        <v>32</v>
      </c>
      <c r="M3" s="4" t="s">
        <v>5035</v>
      </c>
      <c r="N3" t="s">
        <v>15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s="6">
        <v>46307</v>
      </c>
      <c r="U3">
        <v>324</v>
      </c>
      <c r="V3">
        <v>324</v>
      </c>
      <c r="W3">
        <v>348</v>
      </c>
      <c r="X3">
        <v>348</v>
      </c>
      <c r="Y3">
        <f>W3-X3</f>
        <v>0</v>
      </c>
      <c r="Z3">
        <f>V3-X3</f>
        <v>-24</v>
      </c>
      <c r="AC3" s="1"/>
      <c r="AF3">
        <f t="shared" ref="AF3:AF12" si="1">V3</f>
        <v>324</v>
      </c>
      <c r="AG3" s="7">
        <v>12</v>
      </c>
      <c r="AH3">
        <f>ROUNDUP(AF3/AG3,0)*AG3</f>
        <v>324</v>
      </c>
      <c r="AI3">
        <f t="shared" ref="AI3:AI66" si="2">V3-AH3</f>
        <v>0</v>
      </c>
      <c r="AK3">
        <f>AH3/AG3</f>
        <v>27</v>
      </c>
      <c r="AL3">
        <v>8.2100000000000009</v>
      </c>
      <c r="AM3" t="s">
        <v>27</v>
      </c>
      <c r="AN3">
        <v>8.2100000000000009</v>
      </c>
      <c r="AO3" t="b">
        <f>AL3=AN3</f>
        <v>1</v>
      </c>
      <c r="AR3" t="s">
        <v>5061</v>
      </c>
      <c r="AS3" s="21">
        <v>46276</v>
      </c>
      <c r="AT3" t="s">
        <v>5062</v>
      </c>
      <c r="AU3" t="s">
        <v>5063</v>
      </c>
      <c r="AV3" t="s">
        <v>5087</v>
      </c>
      <c r="AW3" t="s">
        <v>5090</v>
      </c>
    </row>
    <row r="4" spans="1:49" x14ac:dyDescent="0.35">
      <c r="A4" t="s">
        <v>16</v>
      </c>
      <c r="B4" t="s">
        <v>17</v>
      </c>
      <c r="C4" t="s">
        <v>4818</v>
      </c>
      <c r="D4" t="s">
        <v>18</v>
      </c>
      <c r="E4" t="s">
        <v>28</v>
      </c>
      <c r="F4" t="s">
        <v>29</v>
      </c>
      <c r="G4" t="s">
        <v>21</v>
      </c>
      <c r="H4" t="s">
        <v>4826</v>
      </c>
      <c r="I4" t="s">
        <v>4827</v>
      </c>
      <c r="J4" s="4" t="s">
        <v>4828</v>
      </c>
      <c r="K4" s="4" t="s">
        <v>4830</v>
      </c>
      <c r="L4" s="4">
        <v>31</v>
      </c>
      <c r="M4" s="4" t="s">
        <v>5035</v>
      </c>
      <c r="N4" t="s">
        <v>15</v>
      </c>
      <c r="O4" t="s">
        <v>30</v>
      </c>
      <c r="P4" t="s">
        <v>23</v>
      </c>
      <c r="Q4" t="s">
        <v>24</v>
      </c>
      <c r="R4" t="s">
        <v>25</v>
      </c>
      <c r="S4" t="s">
        <v>26</v>
      </c>
      <c r="T4" s="6">
        <v>46307</v>
      </c>
      <c r="U4">
        <v>72</v>
      </c>
      <c r="V4">
        <v>72</v>
      </c>
      <c r="W4">
        <v>84</v>
      </c>
      <c r="X4">
        <v>84</v>
      </c>
      <c r="Y4">
        <f t="shared" ref="Y4:Y67" si="3">W4-X4</f>
        <v>0</v>
      </c>
      <c r="Z4">
        <f t="shared" ref="Z4:Z67" si="4">V4-X4</f>
        <v>-12</v>
      </c>
      <c r="AC4" s="1">
        <v>0</v>
      </c>
      <c r="AF4">
        <f t="shared" si="1"/>
        <v>72</v>
      </c>
      <c r="AG4" s="7">
        <v>12</v>
      </c>
      <c r="AH4">
        <f t="shared" ref="AH4:AH67" si="5">ROUNDUP(AF4/AG4,0)*AG4</f>
        <v>72</v>
      </c>
      <c r="AI4">
        <f t="shared" si="2"/>
        <v>0</v>
      </c>
      <c r="AK4">
        <f t="shared" ref="AK4:AK67" si="6">AH4/AG4</f>
        <v>6</v>
      </c>
      <c r="AL4">
        <v>8.2100000000000009</v>
      </c>
      <c r="AM4" t="s">
        <v>27</v>
      </c>
      <c r="AN4">
        <v>8.2100000000000009</v>
      </c>
      <c r="AO4" t="b">
        <f t="shared" ref="AO4:AO67" si="7">AL4=AN4</f>
        <v>1</v>
      </c>
      <c r="AR4" t="s">
        <v>5061</v>
      </c>
      <c r="AS4" s="21">
        <v>46276</v>
      </c>
      <c r="AT4" t="s">
        <v>5062</v>
      </c>
      <c r="AU4" t="s">
        <v>5063</v>
      </c>
      <c r="AV4" t="s">
        <v>5087</v>
      </c>
      <c r="AW4" t="s">
        <v>5090</v>
      </c>
    </row>
    <row r="5" spans="1:49" x14ac:dyDescent="0.35">
      <c r="A5" t="s">
        <v>16</v>
      </c>
      <c r="B5" t="s">
        <v>17</v>
      </c>
      <c r="C5" t="s">
        <v>4818</v>
      </c>
      <c r="D5" t="s">
        <v>18</v>
      </c>
      <c r="E5" t="s">
        <v>31</v>
      </c>
      <c r="F5" t="s">
        <v>32</v>
      </c>
      <c r="G5" t="s">
        <v>21</v>
      </c>
      <c r="H5" t="s">
        <v>4826</v>
      </c>
      <c r="I5" t="s">
        <v>4827</v>
      </c>
      <c r="J5" s="4" t="s">
        <v>4828</v>
      </c>
      <c r="K5" s="4" t="s">
        <v>4830</v>
      </c>
      <c r="L5" s="4">
        <v>38</v>
      </c>
      <c r="M5" s="4" t="s">
        <v>5035</v>
      </c>
      <c r="N5" t="s">
        <v>15</v>
      </c>
      <c r="O5" t="s">
        <v>33</v>
      </c>
      <c r="P5" t="s">
        <v>23</v>
      </c>
      <c r="Q5" t="s">
        <v>24</v>
      </c>
      <c r="R5" t="s">
        <v>25</v>
      </c>
      <c r="S5" t="s">
        <v>26</v>
      </c>
      <c r="T5" s="6">
        <v>46307</v>
      </c>
      <c r="U5">
        <v>84</v>
      </c>
      <c r="V5">
        <v>84</v>
      </c>
      <c r="W5">
        <v>96</v>
      </c>
      <c r="X5">
        <v>96</v>
      </c>
      <c r="Y5">
        <f t="shared" si="3"/>
        <v>0</v>
      </c>
      <c r="Z5">
        <f t="shared" si="4"/>
        <v>-12</v>
      </c>
      <c r="AC5" s="1">
        <v>0</v>
      </c>
      <c r="AF5">
        <f t="shared" si="1"/>
        <v>84</v>
      </c>
      <c r="AG5" s="7">
        <v>12</v>
      </c>
      <c r="AH5">
        <f t="shared" si="5"/>
        <v>84</v>
      </c>
      <c r="AI5">
        <f t="shared" si="2"/>
        <v>0</v>
      </c>
      <c r="AK5">
        <f t="shared" si="6"/>
        <v>7</v>
      </c>
      <c r="AL5">
        <v>8.2100000000000009</v>
      </c>
      <c r="AM5" t="s">
        <v>27</v>
      </c>
      <c r="AN5">
        <v>8.2100000000000009</v>
      </c>
      <c r="AO5" t="b">
        <f t="shared" si="7"/>
        <v>1</v>
      </c>
      <c r="AR5" t="s">
        <v>5061</v>
      </c>
      <c r="AS5" s="21">
        <v>46276</v>
      </c>
      <c r="AT5" t="s">
        <v>5062</v>
      </c>
      <c r="AU5" t="s">
        <v>5063</v>
      </c>
      <c r="AV5" t="s">
        <v>5087</v>
      </c>
      <c r="AW5" t="s">
        <v>5090</v>
      </c>
    </row>
    <row r="6" spans="1:49" x14ac:dyDescent="0.35">
      <c r="A6" t="s">
        <v>16</v>
      </c>
      <c r="B6" t="s">
        <v>17</v>
      </c>
      <c r="C6" t="s">
        <v>4818</v>
      </c>
      <c r="D6" t="s">
        <v>18</v>
      </c>
      <c r="E6" t="s">
        <v>34</v>
      </c>
      <c r="F6" t="s">
        <v>35</v>
      </c>
      <c r="G6" t="s">
        <v>21</v>
      </c>
      <c r="H6" t="s">
        <v>4826</v>
      </c>
      <c r="I6" t="s">
        <v>4827</v>
      </c>
      <c r="J6" s="4" t="s">
        <v>4828</v>
      </c>
      <c r="K6" s="4" t="s">
        <v>4830</v>
      </c>
      <c r="L6" s="4">
        <v>34</v>
      </c>
      <c r="M6" s="4" t="s">
        <v>5035</v>
      </c>
      <c r="N6" t="s">
        <v>15</v>
      </c>
      <c r="O6" t="s">
        <v>36</v>
      </c>
      <c r="P6" t="s">
        <v>23</v>
      </c>
      <c r="Q6" t="s">
        <v>24</v>
      </c>
      <c r="R6" t="s">
        <v>25</v>
      </c>
      <c r="S6" t="s">
        <v>26</v>
      </c>
      <c r="T6" s="6">
        <v>46307</v>
      </c>
      <c r="U6">
        <v>804</v>
      </c>
      <c r="V6">
        <v>804</v>
      </c>
      <c r="W6">
        <v>852</v>
      </c>
      <c r="X6">
        <v>852</v>
      </c>
      <c r="Y6">
        <f t="shared" si="3"/>
        <v>0</v>
      </c>
      <c r="Z6">
        <f t="shared" si="4"/>
        <v>-48</v>
      </c>
      <c r="AC6" s="1"/>
      <c r="AF6">
        <f t="shared" si="1"/>
        <v>804</v>
      </c>
      <c r="AG6" s="7">
        <v>12</v>
      </c>
      <c r="AH6">
        <f t="shared" si="5"/>
        <v>804</v>
      </c>
      <c r="AI6">
        <f t="shared" si="2"/>
        <v>0</v>
      </c>
      <c r="AK6">
        <f t="shared" si="6"/>
        <v>67</v>
      </c>
      <c r="AL6">
        <v>8.2100000000000009</v>
      </c>
      <c r="AM6" t="s">
        <v>27</v>
      </c>
      <c r="AN6">
        <v>8.2100000000000009</v>
      </c>
      <c r="AO6" t="b">
        <f t="shared" si="7"/>
        <v>1</v>
      </c>
      <c r="AR6" t="s">
        <v>5061</v>
      </c>
      <c r="AS6" s="21">
        <v>46276</v>
      </c>
      <c r="AT6" t="s">
        <v>5062</v>
      </c>
      <c r="AU6" t="s">
        <v>5063</v>
      </c>
      <c r="AV6" t="s">
        <v>5087</v>
      </c>
      <c r="AW6" t="s">
        <v>5090</v>
      </c>
    </row>
    <row r="7" spans="1:49" x14ac:dyDescent="0.35">
      <c r="A7" t="s">
        <v>16</v>
      </c>
      <c r="B7" t="s">
        <v>17</v>
      </c>
      <c r="C7" t="s">
        <v>4818</v>
      </c>
      <c r="D7" t="s">
        <v>18</v>
      </c>
      <c r="E7" t="s">
        <v>37</v>
      </c>
      <c r="F7" t="s">
        <v>38</v>
      </c>
      <c r="G7" t="s">
        <v>21</v>
      </c>
      <c r="H7" t="s">
        <v>4826</v>
      </c>
      <c r="I7" t="s">
        <v>4827</v>
      </c>
      <c r="J7" s="4" t="s">
        <v>4828</v>
      </c>
      <c r="K7" s="4" t="s">
        <v>4830</v>
      </c>
      <c r="L7" s="4">
        <v>33</v>
      </c>
      <c r="M7" s="4" t="s">
        <v>5035</v>
      </c>
      <c r="N7" t="s">
        <v>15</v>
      </c>
      <c r="O7" t="s">
        <v>39</v>
      </c>
      <c r="P7" t="s">
        <v>23</v>
      </c>
      <c r="Q7" t="s">
        <v>24</v>
      </c>
      <c r="R7" t="s">
        <v>25</v>
      </c>
      <c r="S7" t="s">
        <v>26</v>
      </c>
      <c r="T7" s="6">
        <v>46307</v>
      </c>
      <c r="U7">
        <v>348</v>
      </c>
      <c r="V7">
        <v>348</v>
      </c>
      <c r="W7">
        <v>372</v>
      </c>
      <c r="X7">
        <v>372</v>
      </c>
      <c r="Y7">
        <f t="shared" si="3"/>
        <v>0</v>
      </c>
      <c r="Z7">
        <f t="shared" si="4"/>
        <v>-24</v>
      </c>
      <c r="AC7" s="1"/>
      <c r="AF7">
        <f t="shared" si="1"/>
        <v>348</v>
      </c>
      <c r="AG7" s="7">
        <v>12</v>
      </c>
      <c r="AH7">
        <f t="shared" si="5"/>
        <v>348</v>
      </c>
      <c r="AI7">
        <f t="shared" si="2"/>
        <v>0</v>
      </c>
      <c r="AK7">
        <f t="shared" si="6"/>
        <v>29</v>
      </c>
      <c r="AL7">
        <v>8.2100000000000009</v>
      </c>
      <c r="AM7" t="s">
        <v>27</v>
      </c>
      <c r="AN7">
        <v>8.2100000000000009</v>
      </c>
      <c r="AO7" t="b">
        <f t="shared" si="7"/>
        <v>1</v>
      </c>
      <c r="AR7" t="s">
        <v>5061</v>
      </c>
      <c r="AS7" s="21">
        <v>46276</v>
      </c>
      <c r="AT7" t="s">
        <v>5062</v>
      </c>
      <c r="AU7" t="s">
        <v>5063</v>
      </c>
      <c r="AV7" t="s">
        <v>5087</v>
      </c>
      <c r="AW7" t="s">
        <v>5090</v>
      </c>
    </row>
    <row r="8" spans="1:49" x14ac:dyDescent="0.35">
      <c r="A8" t="s">
        <v>16</v>
      </c>
      <c r="B8" t="s">
        <v>17</v>
      </c>
      <c r="C8" t="s">
        <v>4818</v>
      </c>
      <c r="D8" t="s">
        <v>18</v>
      </c>
      <c r="E8" t="s">
        <v>40</v>
      </c>
      <c r="F8" t="s">
        <v>41</v>
      </c>
      <c r="G8" t="s">
        <v>21</v>
      </c>
      <c r="H8" t="s">
        <v>4826</v>
      </c>
      <c r="I8" t="s">
        <v>4827</v>
      </c>
      <c r="J8" s="4" t="s">
        <v>4828</v>
      </c>
      <c r="K8" s="4" t="s">
        <v>4829</v>
      </c>
      <c r="L8" s="4">
        <v>30</v>
      </c>
      <c r="M8" s="4" t="s">
        <v>5035</v>
      </c>
      <c r="N8" t="s">
        <v>15</v>
      </c>
      <c r="O8" t="s">
        <v>42</v>
      </c>
      <c r="P8" t="s">
        <v>23</v>
      </c>
      <c r="Q8" t="s">
        <v>24</v>
      </c>
      <c r="R8" t="s">
        <v>25</v>
      </c>
      <c r="S8" t="s">
        <v>26</v>
      </c>
      <c r="T8" s="6">
        <v>46307</v>
      </c>
      <c r="U8">
        <v>348</v>
      </c>
      <c r="V8">
        <v>348</v>
      </c>
      <c r="W8">
        <v>372</v>
      </c>
      <c r="X8">
        <v>372</v>
      </c>
      <c r="Y8">
        <f t="shared" si="3"/>
        <v>0</v>
      </c>
      <c r="Z8">
        <f t="shared" si="4"/>
        <v>-24</v>
      </c>
      <c r="AC8" s="1"/>
      <c r="AF8">
        <f t="shared" si="1"/>
        <v>348</v>
      </c>
      <c r="AG8" s="7">
        <v>12</v>
      </c>
      <c r="AH8">
        <f t="shared" si="5"/>
        <v>348</v>
      </c>
      <c r="AI8">
        <f t="shared" si="2"/>
        <v>0</v>
      </c>
      <c r="AK8">
        <f t="shared" si="6"/>
        <v>29</v>
      </c>
      <c r="AL8">
        <v>8.2100000000000009</v>
      </c>
      <c r="AM8" t="s">
        <v>27</v>
      </c>
      <c r="AN8">
        <v>8.2100000000000009</v>
      </c>
      <c r="AO8" t="b">
        <f t="shared" si="7"/>
        <v>1</v>
      </c>
      <c r="AR8" t="s">
        <v>5061</v>
      </c>
      <c r="AS8" s="21">
        <v>46276</v>
      </c>
      <c r="AT8" t="s">
        <v>5062</v>
      </c>
      <c r="AU8" t="s">
        <v>5063</v>
      </c>
      <c r="AV8" t="s">
        <v>5087</v>
      </c>
      <c r="AW8" t="s">
        <v>5090</v>
      </c>
    </row>
    <row r="9" spans="1:49" x14ac:dyDescent="0.35">
      <c r="A9" t="s">
        <v>16</v>
      </c>
      <c r="B9" t="s">
        <v>17</v>
      </c>
      <c r="C9" t="s">
        <v>4818</v>
      </c>
      <c r="D9" t="s">
        <v>18</v>
      </c>
      <c r="E9" t="s">
        <v>43</v>
      </c>
      <c r="F9" t="s">
        <v>44</v>
      </c>
      <c r="G9" t="s">
        <v>21</v>
      </c>
      <c r="H9" t="s">
        <v>4826</v>
      </c>
      <c r="I9" t="s">
        <v>4827</v>
      </c>
      <c r="J9" s="4" t="s">
        <v>4828</v>
      </c>
      <c r="K9" s="4" t="s">
        <v>4831</v>
      </c>
      <c r="L9" s="4">
        <v>38</v>
      </c>
      <c r="M9" s="4" t="s">
        <v>5035</v>
      </c>
      <c r="N9" t="s">
        <v>15</v>
      </c>
      <c r="O9" t="s">
        <v>45</v>
      </c>
      <c r="P9" t="s">
        <v>23</v>
      </c>
      <c r="Q9" t="s">
        <v>24</v>
      </c>
      <c r="R9" t="s">
        <v>25</v>
      </c>
      <c r="S9" t="s">
        <v>26</v>
      </c>
      <c r="T9" s="6">
        <v>46307</v>
      </c>
      <c r="U9">
        <v>168</v>
      </c>
      <c r="V9">
        <v>168</v>
      </c>
      <c r="W9">
        <v>180</v>
      </c>
      <c r="X9">
        <v>180</v>
      </c>
      <c r="Y9">
        <f t="shared" si="3"/>
        <v>0</v>
      </c>
      <c r="Z9">
        <f t="shared" si="4"/>
        <v>-12</v>
      </c>
      <c r="AC9" s="1">
        <v>0</v>
      </c>
      <c r="AF9">
        <f t="shared" si="1"/>
        <v>168</v>
      </c>
      <c r="AG9" s="7">
        <v>12</v>
      </c>
      <c r="AH9">
        <f t="shared" si="5"/>
        <v>168</v>
      </c>
      <c r="AI9">
        <f t="shared" si="2"/>
        <v>0</v>
      </c>
      <c r="AK9">
        <f t="shared" si="6"/>
        <v>14</v>
      </c>
      <c r="AL9">
        <v>8.2100000000000009</v>
      </c>
      <c r="AM9" t="s">
        <v>27</v>
      </c>
      <c r="AN9">
        <v>8.2100000000000009</v>
      </c>
      <c r="AO9" t="b">
        <f t="shared" si="7"/>
        <v>1</v>
      </c>
      <c r="AR9" t="s">
        <v>5061</v>
      </c>
      <c r="AS9" s="21">
        <v>46276</v>
      </c>
      <c r="AT9" t="s">
        <v>5062</v>
      </c>
      <c r="AU9" t="s">
        <v>5063</v>
      </c>
      <c r="AV9" t="s">
        <v>5087</v>
      </c>
      <c r="AW9" t="s">
        <v>5090</v>
      </c>
    </row>
    <row r="10" spans="1:49" x14ac:dyDescent="0.35">
      <c r="A10" t="s">
        <v>16</v>
      </c>
      <c r="B10" t="s">
        <v>17</v>
      </c>
      <c r="C10" t="s">
        <v>4818</v>
      </c>
      <c r="D10" t="s">
        <v>18</v>
      </c>
      <c r="E10" t="s">
        <v>46</v>
      </c>
      <c r="F10" t="s">
        <v>47</v>
      </c>
      <c r="G10" t="s">
        <v>21</v>
      </c>
      <c r="H10" t="s">
        <v>4826</v>
      </c>
      <c r="I10" t="s">
        <v>4827</v>
      </c>
      <c r="J10" s="4" t="s">
        <v>4828</v>
      </c>
      <c r="K10" s="4" t="s">
        <v>4832</v>
      </c>
      <c r="L10" s="4">
        <v>31</v>
      </c>
      <c r="M10" s="4" t="s">
        <v>5035</v>
      </c>
      <c r="N10" t="s">
        <v>15</v>
      </c>
      <c r="O10" t="s">
        <v>48</v>
      </c>
      <c r="P10" t="s">
        <v>23</v>
      </c>
      <c r="Q10" t="s">
        <v>24</v>
      </c>
      <c r="R10" t="s">
        <v>25</v>
      </c>
      <c r="S10" t="s">
        <v>26</v>
      </c>
      <c r="T10" s="6">
        <v>46307</v>
      </c>
      <c r="U10">
        <v>228</v>
      </c>
      <c r="V10">
        <v>228</v>
      </c>
      <c r="W10">
        <v>252</v>
      </c>
      <c r="X10">
        <v>252</v>
      </c>
      <c r="Y10">
        <f t="shared" si="3"/>
        <v>0</v>
      </c>
      <c r="Z10">
        <f t="shared" si="4"/>
        <v>-24</v>
      </c>
      <c r="AC10" s="1">
        <v>0</v>
      </c>
      <c r="AF10">
        <f t="shared" si="1"/>
        <v>228</v>
      </c>
      <c r="AG10" s="7">
        <v>12</v>
      </c>
      <c r="AH10">
        <f t="shared" si="5"/>
        <v>228</v>
      </c>
      <c r="AI10">
        <f t="shared" si="2"/>
        <v>0</v>
      </c>
      <c r="AK10">
        <f t="shared" si="6"/>
        <v>19</v>
      </c>
      <c r="AL10">
        <v>8.2100000000000009</v>
      </c>
      <c r="AM10" t="s">
        <v>27</v>
      </c>
      <c r="AN10">
        <v>8.2100000000000009</v>
      </c>
      <c r="AO10" t="b">
        <f t="shared" si="7"/>
        <v>1</v>
      </c>
      <c r="AR10" t="s">
        <v>5061</v>
      </c>
      <c r="AS10" s="21">
        <v>46276</v>
      </c>
      <c r="AT10" t="s">
        <v>5062</v>
      </c>
      <c r="AU10" t="s">
        <v>5063</v>
      </c>
      <c r="AV10" t="s">
        <v>5087</v>
      </c>
      <c r="AW10" t="s">
        <v>5090</v>
      </c>
    </row>
    <row r="11" spans="1:49" x14ac:dyDescent="0.35">
      <c r="A11" t="s">
        <v>16</v>
      </c>
      <c r="B11" t="s">
        <v>17</v>
      </c>
      <c r="C11" t="s">
        <v>4818</v>
      </c>
      <c r="D11" t="s">
        <v>18</v>
      </c>
      <c r="E11" t="s">
        <v>49</v>
      </c>
      <c r="F11" t="s">
        <v>50</v>
      </c>
      <c r="G11" t="s">
        <v>21</v>
      </c>
      <c r="H11" t="s">
        <v>4826</v>
      </c>
      <c r="I11" t="s">
        <v>4827</v>
      </c>
      <c r="J11" s="4" t="s">
        <v>4828</v>
      </c>
      <c r="K11" s="4" t="s">
        <v>4831</v>
      </c>
      <c r="L11" s="4">
        <v>33</v>
      </c>
      <c r="M11" s="4" t="s">
        <v>5035</v>
      </c>
      <c r="N11" t="s">
        <v>15</v>
      </c>
      <c r="O11" t="s">
        <v>51</v>
      </c>
      <c r="P11" t="s">
        <v>23</v>
      </c>
      <c r="Q11" t="s">
        <v>24</v>
      </c>
      <c r="R11" t="s">
        <v>25</v>
      </c>
      <c r="S11" t="s">
        <v>26</v>
      </c>
      <c r="T11" s="6">
        <v>46307</v>
      </c>
      <c r="U11">
        <v>156</v>
      </c>
      <c r="V11">
        <v>156</v>
      </c>
      <c r="W11">
        <v>168</v>
      </c>
      <c r="X11">
        <v>168</v>
      </c>
      <c r="Y11">
        <f t="shared" si="3"/>
        <v>0</v>
      </c>
      <c r="Z11">
        <f t="shared" si="4"/>
        <v>-12</v>
      </c>
      <c r="AC11" s="1">
        <v>0</v>
      </c>
      <c r="AF11">
        <f t="shared" si="1"/>
        <v>156</v>
      </c>
      <c r="AG11" s="7">
        <v>12</v>
      </c>
      <c r="AH11">
        <f t="shared" si="5"/>
        <v>156</v>
      </c>
      <c r="AI11">
        <f t="shared" si="2"/>
        <v>0</v>
      </c>
      <c r="AK11">
        <f t="shared" si="6"/>
        <v>13</v>
      </c>
      <c r="AL11">
        <v>8.2100000000000009</v>
      </c>
      <c r="AM11" t="s">
        <v>27</v>
      </c>
      <c r="AN11">
        <v>8.2100000000000009</v>
      </c>
      <c r="AO11" t="b">
        <f t="shared" si="7"/>
        <v>1</v>
      </c>
      <c r="AR11" t="s">
        <v>5061</v>
      </c>
      <c r="AS11" s="21">
        <v>46276</v>
      </c>
      <c r="AT11" t="s">
        <v>5062</v>
      </c>
      <c r="AU11" t="s">
        <v>5063</v>
      </c>
      <c r="AV11" t="s">
        <v>5087</v>
      </c>
      <c r="AW11" t="s">
        <v>5090</v>
      </c>
    </row>
    <row r="12" spans="1:49" x14ac:dyDescent="0.35">
      <c r="A12" t="s">
        <v>16</v>
      </c>
      <c r="B12" t="s">
        <v>17</v>
      </c>
      <c r="C12" t="s">
        <v>4818</v>
      </c>
      <c r="D12" t="s">
        <v>18</v>
      </c>
      <c r="E12" t="s">
        <v>52</v>
      </c>
      <c r="F12" t="s">
        <v>53</v>
      </c>
      <c r="G12" t="s">
        <v>21</v>
      </c>
      <c r="H12" t="s">
        <v>4826</v>
      </c>
      <c r="I12" t="s">
        <v>4827</v>
      </c>
      <c r="J12" s="4" t="s">
        <v>4828</v>
      </c>
      <c r="K12" s="4" t="s">
        <v>4832</v>
      </c>
      <c r="L12" s="4">
        <v>34</v>
      </c>
      <c r="M12" s="4" t="s">
        <v>5035</v>
      </c>
      <c r="N12" t="s">
        <v>15</v>
      </c>
      <c r="O12" t="s">
        <v>54</v>
      </c>
      <c r="P12" t="s">
        <v>23</v>
      </c>
      <c r="Q12" t="s">
        <v>24</v>
      </c>
      <c r="R12" t="s">
        <v>25</v>
      </c>
      <c r="S12" t="s">
        <v>26</v>
      </c>
      <c r="T12" s="6">
        <v>46307</v>
      </c>
      <c r="U12">
        <v>492</v>
      </c>
      <c r="V12">
        <v>492</v>
      </c>
      <c r="W12">
        <v>528</v>
      </c>
      <c r="X12">
        <v>528</v>
      </c>
      <c r="Y12">
        <f t="shared" si="3"/>
        <v>0</v>
      </c>
      <c r="Z12">
        <f t="shared" si="4"/>
        <v>-36</v>
      </c>
      <c r="AC12" s="1"/>
      <c r="AF12">
        <f t="shared" si="1"/>
        <v>492</v>
      </c>
      <c r="AG12" s="7">
        <v>12</v>
      </c>
      <c r="AH12">
        <f t="shared" si="5"/>
        <v>492</v>
      </c>
      <c r="AI12">
        <f t="shared" si="2"/>
        <v>0</v>
      </c>
      <c r="AK12">
        <f t="shared" si="6"/>
        <v>41</v>
      </c>
      <c r="AL12">
        <v>8.2100000000000009</v>
      </c>
      <c r="AM12" t="s">
        <v>27</v>
      </c>
      <c r="AN12">
        <v>8.2100000000000009</v>
      </c>
      <c r="AO12" t="b">
        <f t="shared" si="7"/>
        <v>1</v>
      </c>
      <c r="AR12" t="s">
        <v>5061</v>
      </c>
      <c r="AS12" s="21">
        <v>46276</v>
      </c>
      <c r="AT12" t="s">
        <v>5062</v>
      </c>
      <c r="AU12" t="s">
        <v>5063</v>
      </c>
      <c r="AV12" t="s">
        <v>5087</v>
      </c>
      <c r="AW12" t="s">
        <v>5090</v>
      </c>
    </row>
    <row r="13" spans="1:49" x14ac:dyDescent="0.35">
      <c r="A13" t="s">
        <v>16</v>
      </c>
      <c r="B13" t="s">
        <v>17</v>
      </c>
      <c r="C13" t="s">
        <v>4818</v>
      </c>
      <c r="D13" t="s">
        <v>18</v>
      </c>
      <c r="E13" t="s">
        <v>55</v>
      </c>
      <c r="F13" t="s">
        <v>56</v>
      </c>
      <c r="G13" t="s">
        <v>21</v>
      </c>
      <c r="H13" t="s">
        <v>4826</v>
      </c>
      <c r="I13" t="s">
        <v>4827</v>
      </c>
      <c r="J13" s="4" t="s">
        <v>4828</v>
      </c>
      <c r="K13" s="4" t="s">
        <v>4831</v>
      </c>
      <c r="L13" s="4">
        <v>32</v>
      </c>
      <c r="M13" s="4" t="s">
        <v>5035</v>
      </c>
      <c r="N13" t="s">
        <v>15</v>
      </c>
      <c r="O13" t="s">
        <v>57</v>
      </c>
      <c r="P13" t="s">
        <v>23</v>
      </c>
      <c r="Q13" t="s">
        <v>24</v>
      </c>
      <c r="R13" t="s">
        <v>25</v>
      </c>
      <c r="S13" t="s">
        <v>26</v>
      </c>
      <c r="T13" s="6">
        <v>46307</v>
      </c>
      <c r="U13">
        <v>492</v>
      </c>
      <c r="V13">
        <v>492</v>
      </c>
      <c r="W13">
        <v>456</v>
      </c>
      <c r="X13">
        <v>456</v>
      </c>
      <c r="Y13">
        <f t="shared" si="3"/>
        <v>0</v>
      </c>
      <c r="Z13">
        <f t="shared" si="4"/>
        <v>36</v>
      </c>
      <c r="AA13">
        <f>Z13</f>
        <v>36</v>
      </c>
      <c r="AC13" s="1">
        <v>0</v>
      </c>
      <c r="AF13">
        <f>X13</f>
        <v>456</v>
      </c>
      <c r="AG13" s="7">
        <v>12</v>
      </c>
      <c r="AH13">
        <f t="shared" si="5"/>
        <v>456</v>
      </c>
      <c r="AI13">
        <f t="shared" si="2"/>
        <v>36</v>
      </c>
      <c r="AK13">
        <f t="shared" si="6"/>
        <v>38</v>
      </c>
      <c r="AL13">
        <v>8.2100000000000009</v>
      </c>
      <c r="AM13" t="s">
        <v>27</v>
      </c>
      <c r="AN13">
        <v>8.2100000000000009</v>
      </c>
      <c r="AO13" t="b">
        <f t="shared" si="7"/>
        <v>1</v>
      </c>
      <c r="AR13" t="s">
        <v>5061</v>
      </c>
      <c r="AS13" s="21">
        <v>46276</v>
      </c>
      <c r="AT13" t="s">
        <v>5062</v>
      </c>
      <c r="AU13" t="s">
        <v>5063</v>
      </c>
      <c r="AV13" t="s">
        <v>5087</v>
      </c>
      <c r="AW13" t="s">
        <v>5090</v>
      </c>
    </row>
    <row r="14" spans="1:49" x14ac:dyDescent="0.35">
      <c r="A14" t="s">
        <v>16</v>
      </c>
      <c r="B14" t="s">
        <v>17</v>
      </c>
      <c r="C14" t="s">
        <v>4818</v>
      </c>
      <c r="D14" t="s">
        <v>18</v>
      </c>
      <c r="E14" t="s">
        <v>58</v>
      </c>
      <c r="F14" t="s">
        <v>59</v>
      </c>
      <c r="G14" t="s">
        <v>21</v>
      </c>
      <c r="H14" t="s">
        <v>4826</v>
      </c>
      <c r="I14" t="s">
        <v>4827</v>
      </c>
      <c r="J14" s="4" t="s">
        <v>4828</v>
      </c>
      <c r="K14" s="4" t="s">
        <v>4830</v>
      </c>
      <c r="L14" s="4">
        <v>32</v>
      </c>
      <c r="M14" s="4" t="s">
        <v>5035</v>
      </c>
      <c r="N14" t="s">
        <v>15</v>
      </c>
      <c r="O14" t="s">
        <v>60</v>
      </c>
      <c r="P14" t="s">
        <v>23</v>
      </c>
      <c r="Q14" t="s">
        <v>24</v>
      </c>
      <c r="R14" t="s">
        <v>25</v>
      </c>
      <c r="S14" t="s">
        <v>26</v>
      </c>
      <c r="T14" s="6">
        <v>46307</v>
      </c>
      <c r="U14">
        <v>384</v>
      </c>
      <c r="V14">
        <v>384</v>
      </c>
      <c r="W14">
        <v>408</v>
      </c>
      <c r="X14">
        <v>408</v>
      </c>
      <c r="Y14">
        <f t="shared" si="3"/>
        <v>0</v>
      </c>
      <c r="Z14">
        <f t="shared" si="4"/>
        <v>-24</v>
      </c>
      <c r="AC14" s="1"/>
      <c r="AF14">
        <f>V14</f>
        <v>384</v>
      </c>
      <c r="AG14" s="7">
        <v>12</v>
      </c>
      <c r="AH14">
        <f t="shared" si="5"/>
        <v>384</v>
      </c>
      <c r="AI14">
        <f t="shared" si="2"/>
        <v>0</v>
      </c>
      <c r="AK14">
        <f t="shared" si="6"/>
        <v>32</v>
      </c>
      <c r="AL14">
        <v>8.2100000000000009</v>
      </c>
      <c r="AM14" t="s">
        <v>27</v>
      </c>
      <c r="AN14">
        <v>8.2100000000000009</v>
      </c>
      <c r="AO14" t="b">
        <f t="shared" si="7"/>
        <v>1</v>
      </c>
      <c r="AR14" t="s">
        <v>5061</v>
      </c>
      <c r="AS14" s="21">
        <v>46276</v>
      </c>
      <c r="AT14" t="s">
        <v>5062</v>
      </c>
      <c r="AU14" t="s">
        <v>5063</v>
      </c>
      <c r="AV14" t="s">
        <v>5087</v>
      </c>
      <c r="AW14" t="s">
        <v>5090</v>
      </c>
    </row>
    <row r="15" spans="1:49" x14ac:dyDescent="0.35">
      <c r="A15" t="s">
        <v>16</v>
      </c>
      <c r="B15" t="s">
        <v>17</v>
      </c>
      <c r="C15" t="s">
        <v>4818</v>
      </c>
      <c r="D15" t="s">
        <v>18</v>
      </c>
      <c r="E15" t="s">
        <v>61</v>
      </c>
      <c r="F15" t="s">
        <v>62</v>
      </c>
      <c r="G15" t="s">
        <v>21</v>
      </c>
      <c r="H15" t="s">
        <v>4826</v>
      </c>
      <c r="I15" t="s">
        <v>4827</v>
      </c>
      <c r="J15" s="4" t="s">
        <v>4828</v>
      </c>
      <c r="K15" s="4" t="s">
        <v>4832</v>
      </c>
      <c r="L15" s="4">
        <v>28</v>
      </c>
      <c r="M15" s="4" t="s">
        <v>5035</v>
      </c>
      <c r="N15" t="s">
        <v>15</v>
      </c>
      <c r="O15" t="s">
        <v>63</v>
      </c>
      <c r="P15" t="s">
        <v>23</v>
      </c>
      <c r="Q15" t="s">
        <v>24</v>
      </c>
      <c r="R15" t="s">
        <v>25</v>
      </c>
      <c r="S15" t="s">
        <v>26</v>
      </c>
      <c r="T15" s="6">
        <v>46307</v>
      </c>
      <c r="U15">
        <v>12</v>
      </c>
      <c r="V15">
        <v>12</v>
      </c>
      <c r="W15">
        <v>12</v>
      </c>
      <c r="X15">
        <v>12</v>
      </c>
      <c r="Y15">
        <f t="shared" si="3"/>
        <v>0</v>
      </c>
      <c r="Z15">
        <f t="shared" si="4"/>
        <v>0</v>
      </c>
      <c r="AC15" s="1">
        <v>0</v>
      </c>
      <c r="AF15">
        <f>V15</f>
        <v>12</v>
      </c>
      <c r="AG15" s="7">
        <v>12</v>
      </c>
      <c r="AH15">
        <f t="shared" si="5"/>
        <v>12</v>
      </c>
      <c r="AI15">
        <f t="shared" si="2"/>
        <v>0</v>
      </c>
      <c r="AK15">
        <f t="shared" si="6"/>
        <v>1</v>
      </c>
      <c r="AL15">
        <v>8.2100000000000009</v>
      </c>
      <c r="AM15" t="s">
        <v>27</v>
      </c>
      <c r="AN15">
        <v>8.2100000000000009</v>
      </c>
      <c r="AO15" t="b">
        <f t="shared" si="7"/>
        <v>1</v>
      </c>
      <c r="AR15" t="s">
        <v>5061</v>
      </c>
      <c r="AS15" s="21">
        <v>46276</v>
      </c>
      <c r="AT15" t="s">
        <v>5062</v>
      </c>
      <c r="AU15" t="s">
        <v>5063</v>
      </c>
      <c r="AV15" t="s">
        <v>5087</v>
      </c>
      <c r="AW15" t="s">
        <v>5090</v>
      </c>
    </row>
    <row r="16" spans="1:49" x14ac:dyDescent="0.35">
      <c r="A16" t="s">
        <v>16</v>
      </c>
      <c r="B16" t="s">
        <v>17</v>
      </c>
      <c r="C16" t="s">
        <v>4818</v>
      </c>
      <c r="D16" t="s">
        <v>18</v>
      </c>
      <c r="E16" t="s">
        <v>64</v>
      </c>
      <c r="F16" t="s">
        <v>65</v>
      </c>
      <c r="G16" t="s">
        <v>21</v>
      </c>
      <c r="H16" t="s">
        <v>4826</v>
      </c>
      <c r="I16" t="s">
        <v>4827</v>
      </c>
      <c r="J16" s="4" t="s">
        <v>4828</v>
      </c>
      <c r="K16" s="4" t="s">
        <v>4829</v>
      </c>
      <c r="L16" s="4">
        <v>31</v>
      </c>
      <c r="M16" s="4" t="s">
        <v>5035</v>
      </c>
      <c r="N16" t="s">
        <v>15</v>
      </c>
      <c r="O16" t="s">
        <v>66</v>
      </c>
      <c r="P16" t="s">
        <v>23</v>
      </c>
      <c r="Q16" t="s">
        <v>24</v>
      </c>
      <c r="R16" t="s">
        <v>25</v>
      </c>
      <c r="S16" t="s">
        <v>26</v>
      </c>
      <c r="T16" s="6">
        <v>46307</v>
      </c>
      <c r="U16">
        <v>60</v>
      </c>
      <c r="V16">
        <v>60</v>
      </c>
      <c r="W16">
        <v>72</v>
      </c>
      <c r="X16">
        <v>72</v>
      </c>
      <c r="Y16">
        <f t="shared" si="3"/>
        <v>0</v>
      </c>
      <c r="Z16">
        <f t="shared" si="4"/>
        <v>-12</v>
      </c>
      <c r="AC16" s="1">
        <v>0</v>
      </c>
      <c r="AF16">
        <f>V16</f>
        <v>60</v>
      </c>
      <c r="AG16" s="7">
        <v>12</v>
      </c>
      <c r="AH16">
        <f t="shared" si="5"/>
        <v>60</v>
      </c>
      <c r="AI16">
        <f t="shared" si="2"/>
        <v>0</v>
      </c>
      <c r="AK16">
        <f t="shared" si="6"/>
        <v>5</v>
      </c>
      <c r="AL16">
        <v>8.2100000000000009</v>
      </c>
      <c r="AM16" t="s">
        <v>27</v>
      </c>
      <c r="AN16">
        <v>8.2100000000000009</v>
      </c>
      <c r="AO16" t="b">
        <f t="shared" si="7"/>
        <v>1</v>
      </c>
      <c r="AR16" t="s">
        <v>5061</v>
      </c>
      <c r="AS16" s="21">
        <v>46276</v>
      </c>
      <c r="AT16" t="s">
        <v>5062</v>
      </c>
      <c r="AU16" t="s">
        <v>5063</v>
      </c>
      <c r="AV16" t="s">
        <v>5087</v>
      </c>
      <c r="AW16" t="s">
        <v>5090</v>
      </c>
    </row>
    <row r="17" spans="1:49" x14ac:dyDescent="0.35">
      <c r="A17" t="s">
        <v>16</v>
      </c>
      <c r="B17" t="s">
        <v>17</v>
      </c>
      <c r="C17" t="s">
        <v>4818</v>
      </c>
      <c r="D17" t="s">
        <v>18</v>
      </c>
      <c r="E17" t="s">
        <v>67</v>
      </c>
      <c r="F17" t="s">
        <v>68</v>
      </c>
      <c r="G17" t="s">
        <v>21</v>
      </c>
      <c r="H17" t="s">
        <v>4826</v>
      </c>
      <c r="I17" t="s">
        <v>4827</v>
      </c>
      <c r="J17" s="4" t="s">
        <v>4828</v>
      </c>
      <c r="K17" s="4" t="s">
        <v>4833</v>
      </c>
      <c r="L17" s="4">
        <v>34</v>
      </c>
      <c r="M17" s="4" t="s">
        <v>5035</v>
      </c>
      <c r="N17" t="s">
        <v>15</v>
      </c>
      <c r="O17" t="s">
        <v>69</v>
      </c>
      <c r="P17" t="s">
        <v>23</v>
      </c>
      <c r="Q17" t="s">
        <v>24</v>
      </c>
      <c r="R17" t="s">
        <v>25</v>
      </c>
      <c r="S17" t="s">
        <v>26</v>
      </c>
      <c r="T17" s="6">
        <v>46307</v>
      </c>
      <c r="U17">
        <v>720</v>
      </c>
      <c r="V17">
        <v>720</v>
      </c>
      <c r="W17">
        <v>768</v>
      </c>
      <c r="X17">
        <v>768</v>
      </c>
      <c r="Y17">
        <f t="shared" si="3"/>
        <v>0</v>
      </c>
      <c r="Z17">
        <f t="shared" si="4"/>
        <v>-48</v>
      </c>
      <c r="AC17" s="1"/>
      <c r="AF17">
        <f>V17</f>
        <v>720</v>
      </c>
      <c r="AG17" s="7">
        <v>12</v>
      </c>
      <c r="AH17">
        <f t="shared" si="5"/>
        <v>720</v>
      </c>
      <c r="AI17">
        <f t="shared" si="2"/>
        <v>0</v>
      </c>
      <c r="AK17">
        <f t="shared" si="6"/>
        <v>60</v>
      </c>
      <c r="AL17">
        <v>8.2100000000000009</v>
      </c>
      <c r="AM17" t="s">
        <v>27</v>
      </c>
      <c r="AN17">
        <v>8.2100000000000009</v>
      </c>
      <c r="AO17" t="b">
        <f t="shared" si="7"/>
        <v>1</v>
      </c>
      <c r="AR17" t="s">
        <v>5061</v>
      </c>
      <c r="AS17" s="21">
        <v>46276</v>
      </c>
      <c r="AT17" t="s">
        <v>5062</v>
      </c>
      <c r="AU17" t="s">
        <v>5063</v>
      </c>
      <c r="AV17" t="s">
        <v>5087</v>
      </c>
      <c r="AW17" t="s">
        <v>5090</v>
      </c>
    </row>
    <row r="18" spans="1:49" x14ac:dyDescent="0.35">
      <c r="A18" t="s">
        <v>16</v>
      </c>
      <c r="B18" t="s">
        <v>17</v>
      </c>
      <c r="C18" t="s">
        <v>4818</v>
      </c>
      <c r="D18" t="s">
        <v>18</v>
      </c>
      <c r="E18" t="s">
        <v>70</v>
      </c>
      <c r="F18" t="s">
        <v>71</v>
      </c>
      <c r="G18" t="s">
        <v>21</v>
      </c>
      <c r="H18" t="s">
        <v>4826</v>
      </c>
      <c r="I18" t="s">
        <v>4827</v>
      </c>
      <c r="J18" s="4" t="s">
        <v>4828</v>
      </c>
      <c r="K18" s="4" t="s">
        <v>4830</v>
      </c>
      <c r="L18" s="4">
        <v>36</v>
      </c>
      <c r="M18" s="4" t="s">
        <v>5035</v>
      </c>
      <c r="N18" t="s">
        <v>15</v>
      </c>
      <c r="O18" t="s">
        <v>72</v>
      </c>
      <c r="P18" t="s">
        <v>23</v>
      </c>
      <c r="Q18" t="s">
        <v>24</v>
      </c>
      <c r="R18" t="s">
        <v>25</v>
      </c>
      <c r="S18" t="s">
        <v>26</v>
      </c>
      <c r="T18" s="6">
        <v>46307</v>
      </c>
      <c r="U18">
        <v>576</v>
      </c>
      <c r="V18">
        <v>576</v>
      </c>
      <c r="W18">
        <v>612</v>
      </c>
      <c r="X18">
        <v>612</v>
      </c>
      <c r="Y18">
        <f t="shared" si="3"/>
        <v>0</v>
      </c>
      <c r="Z18">
        <f t="shared" si="4"/>
        <v>-36</v>
      </c>
      <c r="AC18" s="1"/>
      <c r="AF18">
        <f>V18</f>
        <v>576</v>
      </c>
      <c r="AG18" s="7">
        <v>12</v>
      </c>
      <c r="AH18">
        <f t="shared" si="5"/>
        <v>576</v>
      </c>
      <c r="AI18">
        <f t="shared" si="2"/>
        <v>0</v>
      </c>
      <c r="AK18">
        <f t="shared" si="6"/>
        <v>48</v>
      </c>
      <c r="AL18">
        <v>8.2100000000000009</v>
      </c>
      <c r="AM18" t="s">
        <v>27</v>
      </c>
      <c r="AN18">
        <v>8.2100000000000009</v>
      </c>
      <c r="AO18" t="b">
        <f t="shared" si="7"/>
        <v>1</v>
      </c>
      <c r="AR18" t="s">
        <v>5061</v>
      </c>
      <c r="AS18" s="21">
        <v>46276</v>
      </c>
      <c r="AT18" t="s">
        <v>5062</v>
      </c>
      <c r="AU18" t="s">
        <v>5063</v>
      </c>
      <c r="AV18" t="s">
        <v>5087</v>
      </c>
      <c r="AW18" t="s">
        <v>5090</v>
      </c>
    </row>
    <row r="19" spans="1:49" x14ac:dyDescent="0.35">
      <c r="A19" t="s">
        <v>73</v>
      </c>
      <c r="B19" t="s">
        <v>74</v>
      </c>
      <c r="C19" t="s">
        <v>4818</v>
      </c>
      <c r="D19" t="s">
        <v>18</v>
      </c>
      <c r="E19" t="s">
        <v>75</v>
      </c>
      <c r="F19" t="s">
        <v>76</v>
      </c>
      <c r="G19" t="s">
        <v>21</v>
      </c>
      <c r="H19" t="s">
        <v>4834</v>
      </c>
      <c r="I19" t="s">
        <v>4835</v>
      </c>
      <c r="J19" s="4" t="s">
        <v>4836</v>
      </c>
      <c r="K19" s="4" t="s">
        <v>4837</v>
      </c>
      <c r="L19" s="4" t="s">
        <v>4838</v>
      </c>
      <c r="M19" s="4" t="s">
        <v>5035</v>
      </c>
      <c r="N19" t="s">
        <v>77</v>
      </c>
      <c r="O19" t="s">
        <v>78</v>
      </c>
      <c r="P19" t="s">
        <v>23</v>
      </c>
      <c r="Q19" t="s">
        <v>24</v>
      </c>
      <c r="R19" t="s">
        <v>25</v>
      </c>
      <c r="S19" t="s">
        <v>26</v>
      </c>
      <c r="T19" s="6">
        <v>46307</v>
      </c>
      <c r="U19">
        <v>40</v>
      </c>
      <c r="V19">
        <v>40</v>
      </c>
      <c r="W19">
        <v>56</v>
      </c>
      <c r="X19">
        <v>0</v>
      </c>
      <c r="Y19">
        <f t="shared" si="3"/>
        <v>56</v>
      </c>
      <c r="Z19">
        <f t="shared" si="4"/>
        <v>40</v>
      </c>
      <c r="AC19" s="1">
        <v>0</v>
      </c>
      <c r="AF19">
        <v>0</v>
      </c>
      <c r="AG19" s="7">
        <v>8</v>
      </c>
      <c r="AH19">
        <f t="shared" si="5"/>
        <v>0</v>
      </c>
      <c r="AI19">
        <f t="shared" si="2"/>
        <v>40</v>
      </c>
      <c r="AK19">
        <f t="shared" si="6"/>
        <v>0</v>
      </c>
      <c r="AL19">
        <v>21.63</v>
      </c>
      <c r="AM19" t="s">
        <v>27</v>
      </c>
      <c r="AN19">
        <v>21.63</v>
      </c>
      <c r="AO19" t="b">
        <f t="shared" si="7"/>
        <v>1</v>
      </c>
      <c r="AR19" t="s">
        <v>5061</v>
      </c>
      <c r="AS19" s="21">
        <v>46276</v>
      </c>
      <c r="AT19" t="s">
        <v>15</v>
      </c>
      <c r="AU19" t="s">
        <v>5060</v>
      </c>
      <c r="AV19" t="s">
        <v>5088</v>
      </c>
      <c r="AW19" t="s">
        <v>5060</v>
      </c>
    </row>
    <row r="20" spans="1:49" x14ac:dyDescent="0.35">
      <c r="A20" t="s">
        <v>73</v>
      </c>
      <c r="B20" t="s">
        <v>74</v>
      </c>
      <c r="C20" t="s">
        <v>4818</v>
      </c>
      <c r="D20" t="s">
        <v>18</v>
      </c>
      <c r="E20" t="s">
        <v>79</v>
      </c>
      <c r="F20" t="s">
        <v>80</v>
      </c>
      <c r="G20" t="s">
        <v>21</v>
      </c>
      <c r="H20" t="s">
        <v>4834</v>
      </c>
      <c r="I20" t="s">
        <v>4839</v>
      </c>
      <c r="J20" s="4" t="s">
        <v>4840</v>
      </c>
      <c r="K20" s="4" t="s">
        <v>4837</v>
      </c>
      <c r="L20" s="4" t="s">
        <v>4841</v>
      </c>
      <c r="M20" s="4" t="s">
        <v>5035</v>
      </c>
      <c r="N20" t="s">
        <v>81</v>
      </c>
      <c r="O20" t="s">
        <v>82</v>
      </c>
      <c r="P20" t="s">
        <v>23</v>
      </c>
      <c r="Q20" t="s">
        <v>24</v>
      </c>
      <c r="R20" t="s">
        <v>25</v>
      </c>
      <c r="S20" t="s">
        <v>26</v>
      </c>
      <c r="T20" s="6">
        <v>46307</v>
      </c>
      <c r="U20">
        <v>100</v>
      </c>
      <c r="V20">
        <v>100</v>
      </c>
      <c r="W20">
        <v>100</v>
      </c>
      <c r="X20">
        <v>0</v>
      </c>
      <c r="Y20">
        <f t="shared" si="3"/>
        <v>100</v>
      </c>
      <c r="Z20">
        <f t="shared" si="4"/>
        <v>100</v>
      </c>
      <c r="AC20" s="1">
        <v>0</v>
      </c>
      <c r="AF20">
        <v>0</v>
      </c>
      <c r="AG20" s="7">
        <v>10</v>
      </c>
      <c r="AH20">
        <f t="shared" si="5"/>
        <v>0</v>
      </c>
      <c r="AI20">
        <f t="shared" si="2"/>
        <v>100</v>
      </c>
      <c r="AK20">
        <f t="shared" si="6"/>
        <v>0</v>
      </c>
      <c r="AL20">
        <v>20.420000000000002</v>
      </c>
      <c r="AM20" t="s">
        <v>27</v>
      </c>
      <c r="AN20">
        <v>20.420000000000002</v>
      </c>
      <c r="AO20" t="b">
        <f t="shared" si="7"/>
        <v>1</v>
      </c>
      <c r="AR20" t="s">
        <v>5061</v>
      </c>
      <c r="AS20" s="21">
        <v>46276</v>
      </c>
      <c r="AT20" t="s">
        <v>15</v>
      </c>
      <c r="AU20" t="s">
        <v>5060</v>
      </c>
      <c r="AV20" t="s">
        <v>5088</v>
      </c>
      <c r="AW20" t="s">
        <v>5060</v>
      </c>
    </row>
    <row r="21" spans="1:49" x14ac:dyDescent="0.35">
      <c r="A21" t="s">
        <v>73</v>
      </c>
      <c r="B21" t="s">
        <v>74</v>
      </c>
      <c r="C21" t="s">
        <v>4818</v>
      </c>
      <c r="D21" t="s">
        <v>18</v>
      </c>
      <c r="E21" t="s">
        <v>83</v>
      </c>
      <c r="F21" t="s">
        <v>84</v>
      </c>
      <c r="G21" t="s">
        <v>21</v>
      </c>
      <c r="H21" t="s">
        <v>4834</v>
      </c>
      <c r="I21" t="s">
        <v>4839</v>
      </c>
      <c r="J21" s="4" t="s">
        <v>4840</v>
      </c>
      <c r="K21" s="4" t="s">
        <v>4832</v>
      </c>
      <c r="L21" s="4" t="s">
        <v>4842</v>
      </c>
      <c r="M21" s="4" t="s">
        <v>5035</v>
      </c>
      <c r="N21" t="s">
        <v>85</v>
      </c>
      <c r="O21" t="s">
        <v>86</v>
      </c>
      <c r="P21" t="s">
        <v>23</v>
      </c>
      <c r="Q21" t="s">
        <v>24</v>
      </c>
      <c r="R21" t="s">
        <v>25</v>
      </c>
      <c r="S21" t="s">
        <v>26</v>
      </c>
      <c r="T21" s="6">
        <v>46307</v>
      </c>
      <c r="U21">
        <v>150</v>
      </c>
      <c r="V21">
        <v>150</v>
      </c>
      <c r="W21">
        <v>160</v>
      </c>
      <c r="X21">
        <v>160</v>
      </c>
      <c r="Y21">
        <f t="shared" si="3"/>
        <v>0</v>
      </c>
      <c r="Z21">
        <f t="shared" si="4"/>
        <v>-10</v>
      </c>
      <c r="AC21" s="1">
        <v>0</v>
      </c>
      <c r="AF21">
        <f>V21</f>
        <v>150</v>
      </c>
      <c r="AG21" s="7">
        <v>10</v>
      </c>
      <c r="AH21">
        <f t="shared" si="5"/>
        <v>150</v>
      </c>
      <c r="AI21">
        <f t="shared" si="2"/>
        <v>0</v>
      </c>
      <c r="AK21">
        <f t="shared" si="6"/>
        <v>15</v>
      </c>
      <c r="AL21">
        <v>20.420000000000002</v>
      </c>
      <c r="AM21" t="s">
        <v>27</v>
      </c>
      <c r="AN21">
        <v>20.420000000000002</v>
      </c>
      <c r="AO21" t="b">
        <f t="shared" si="7"/>
        <v>1</v>
      </c>
      <c r="AR21" t="s">
        <v>5061</v>
      </c>
      <c r="AS21" s="21">
        <v>46276</v>
      </c>
      <c r="AT21" t="s">
        <v>5064</v>
      </c>
      <c r="AU21" t="s">
        <v>5065</v>
      </c>
      <c r="AV21" t="s">
        <v>5088</v>
      </c>
      <c r="AW21" t="s">
        <v>5086</v>
      </c>
    </row>
    <row r="22" spans="1:49" x14ac:dyDescent="0.35">
      <c r="A22" t="s">
        <v>73</v>
      </c>
      <c r="B22" t="s">
        <v>74</v>
      </c>
      <c r="C22" t="s">
        <v>4818</v>
      </c>
      <c r="D22" t="s">
        <v>18</v>
      </c>
      <c r="E22" t="s">
        <v>87</v>
      </c>
      <c r="F22" t="s">
        <v>88</v>
      </c>
      <c r="G22" t="s">
        <v>21</v>
      </c>
      <c r="H22" t="s">
        <v>4834</v>
      </c>
      <c r="I22" t="s">
        <v>4839</v>
      </c>
      <c r="J22" s="4" t="s">
        <v>4840</v>
      </c>
      <c r="K22" s="4" t="s">
        <v>4843</v>
      </c>
      <c r="L22" s="4" t="s">
        <v>4844</v>
      </c>
      <c r="M22" s="4" t="s">
        <v>5035</v>
      </c>
      <c r="N22" t="s">
        <v>89</v>
      </c>
      <c r="O22" t="s">
        <v>90</v>
      </c>
      <c r="P22" t="s">
        <v>23</v>
      </c>
      <c r="Q22" t="s">
        <v>24</v>
      </c>
      <c r="R22" t="s">
        <v>25</v>
      </c>
      <c r="S22" t="s">
        <v>26</v>
      </c>
      <c r="T22" s="6">
        <v>46307</v>
      </c>
      <c r="U22">
        <v>80</v>
      </c>
      <c r="V22">
        <v>80</v>
      </c>
      <c r="W22">
        <v>80</v>
      </c>
      <c r="X22">
        <v>80</v>
      </c>
      <c r="Y22">
        <f t="shared" si="3"/>
        <v>0</v>
      </c>
      <c r="Z22">
        <f t="shared" si="4"/>
        <v>0</v>
      </c>
      <c r="AC22" s="1">
        <v>0</v>
      </c>
      <c r="AF22">
        <f>V22</f>
        <v>80</v>
      </c>
      <c r="AG22" s="7">
        <v>10</v>
      </c>
      <c r="AH22">
        <f t="shared" si="5"/>
        <v>80</v>
      </c>
      <c r="AI22">
        <f t="shared" si="2"/>
        <v>0</v>
      </c>
      <c r="AK22">
        <f t="shared" si="6"/>
        <v>8</v>
      </c>
      <c r="AL22">
        <v>20.420000000000002</v>
      </c>
      <c r="AM22" t="s">
        <v>27</v>
      </c>
      <c r="AN22">
        <v>20.420000000000002</v>
      </c>
      <c r="AO22" t="b">
        <f t="shared" si="7"/>
        <v>1</v>
      </c>
      <c r="AR22" t="s">
        <v>5061</v>
      </c>
      <c r="AS22" s="21">
        <v>46276</v>
      </c>
      <c r="AT22" t="s">
        <v>5064</v>
      </c>
      <c r="AU22" t="s">
        <v>5065</v>
      </c>
      <c r="AV22" t="s">
        <v>5088</v>
      </c>
      <c r="AW22" t="s">
        <v>5086</v>
      </c>
    </row>
    <row r="23" spans="1:49" x14ac:dyDescent="0.35">
      <c r="A23" t="s">
        <v>73</v>
      </c>
      <c r="B23" t="s">
        <v>74</v>
      </c>
      <c r="C23" t="s">
        <v>4818</v>
      </c>
      <c r="D23" t="s">
        <v>18</v>
      </c>
      <c r="E23" t="s">
        <v>91</v>
      </c>
      <c r="F23" t="s">
        <v>92</v>
      </c>
      <c r="G23" t="s">
        <v>21</v>
      </c>
      <c r="H23" t="s">
        <v>4834</v>
      </c>
      <c r="I23" t="s">
        <v>4835</v>
      </c>
      <c r="J23" s="4" t="s">
        <v>4836</v>
      </c>
      <c r="K23" s="4" t="s">
        <v>4845</v>
      </c>
      <c r="L23" s="4" t="s">
        <v>4846</v>
      </c>
      <c r="M23" s="4" t="s">
        <v>5035</v>
      </c>
      <c r="N23" t="s">
        <v>93</v>
      </c>
      <c r="O23" t="s">
        <v>94</v>
      </c>
      <c r="P23" t="s">
        <v>23</v>
      </c>
      <c r="Q23" t="s">
        <v>24</v>
      </c>
      <c r="R23" t="s">
        <v>25</v>
      </c>
      <c r="S23" t="s">
        <v>26</v>
      </c>
      <c r="T23" s="6">
        <v>46307</v>
      </c>
      <c r="U23">
        <v>80</v>
      </c>
      <c r="V23">
        <v>80</v>
      </c>
      <c r="W23">
        <v>80</v>
      </c>
      <c r="X23">
        <v>0</v>
      </c>
      <c r="Y23">
        <f t="shared" si="3"/>
        <v>80</v>
      </c>
      <c r="Z23">
        <f t="shared" si="4"/>
        <v>80</v>
      </c>
      <c r="AC23" s="1">
        <v>0</v>
      </c>
      <c r="AF23">
        <v>0</v>
      </c>
      <c r="AG23" s="7">
        <v>8</v>
      </c>
      <c r="AH23">
        <f t="shared" si="5"/>
        <v>0</v>
      </c>
      <c r="AI23">
        <f t="shared" si="2"/>
        <v>80</v>
      </c>
      <c r="AK23">
        <f t="shared" si="6"/>
        <v>0</v>
      </c>
      <c r="AL23">
        <v>21.63</v>
      </c>
      <c r="AM23" t="s">
        <v>27</v>
      </c>
      <c r="AN23">
        <v>21.63</v>
      </c>
      <c r="AO23" t="b">
        <f t="shared" si="7"/>
        <v>1</v>
      </c>
      <c r="AR23" t="s">
        <v>5061</v>
      </c>
      <c r="AS23" s="21">
        <v>46276</v>
      </c>
      <c r="AT23" t="s">
        <v>15</v>
      </c>
      <c r="AU23" t="s">
        <v>5060</v>
      </c>
      <c r="AV23" t="s">
        <v>5088</v>
      </c>
      <c r="AW23" t="s">
        <v>5060</v>
      </c>
    </row>
    <row r="24" spans="1:49" x14ac:dyDescent="0.35">
      <c r="A24" t="s">
        <v>73</v>
      </c>
      <c r="B24" t="s">
        <v>74</v>
      </c>
      <c r="C24" t="s">
        <v>4818</v>
      </c>
      <c r="D24" t="s">
        <v>18</v>
      </c>
      <c r="E24" t="s">
        <v>95</v>
      </c>
      <c r="F24" t="s">
        <v>96</v>
      </c>
      <c r="G24" t="s">
        <v>21</v>
      </c>
      <c r="H24" t="s">
        <v>4834</v>
      </c>
      <c r="I24" t="s">
        <v>4839</v>
      </c>
      <c r="J24" s="4" t="s">
        <v>4840</v>
      </c>
      <c r="K24" s="4" t="s">
        <v>4837</v>
      </c>
      <c r="L24" s="4" t="s">
        <v>4847</v>
      </c>
      <c r="M24" s="4" t="s">
        <v>5035</v>
      </c>
      <c r="N24" t="s">
        <v>97</v>
      </c>
      <c r="O24" t="s">
        <v>98</v>
      </c>
      <c r="P24" t="s">
        <v>23</v>
      </c>
      <c r="Q24" t="s">
        <v>24</v>
      </c>
      <c r="R24" t="s">
        <v>25</v>
      </c>
      <c r="S24" t="s">
        <v>26</v>
      </c>
      <c r="T24" s="6">
        <v>46307</v>
      </c>
      <c r="U24">
        <v>50</v>
      </c>
      <c r="V24">
        <v>50</v>
      </c>
      <c r="W24">
        <v>50</v>
      </c>
      <c r="X24">
        <v>0</v>
      </c>
      <c r="Y24">
        <f t="shared" si="3"/>
        <v>50</v>
      </c>
      <c r="Z24">
        <f t="shared" si="4"/>
        <v>50</v>
      </c>
      <c r="AC24" s="1">
        <v>0</v>
      </c>
      <c r="AF24">
        <v>0</v>
      </c>
      <c r="AG24" s="7">
        <v>10</v>
      </c>
      <c r="AH24">
        <f t="shared" si="5"/>
        <v>0</v>
      </c>
      <c r="AI24">
        <f t="shared" si="2"/>
        <v>50</v>
      </c>
      <c r="AK24">
        <f t="shared" si="6"/>
        <v>0</v>
      </c>
      <c r="AL24">
        <v>20.420000000000002</v>
      </c>
      <c r="AM24" t="s">
        <v>27</v>
      </c>
      <c r="AN24">
        <v>20.420000000000002</v>
      </c>
      <c r="AO24" t="b">
        <f t="shared" si="7"/>
        <v>1</v>
      </c>
      <c r="AR24" t="s">
        <v>5061</v>
      </c>
      <c r="AS24" s="21">
        <v>46276</v>
      </c>
      <c r="AT24" t="s">
        <v>15</v>
      </c>
      <c r="AU24" t="s">
        <v>5060</v>
      </c>
      <c r="AV24" t="s">
        <v>5088</v>
      </c>
      <c r="AW24" t="s">
        <v>5060</v>
      </c>
    </row>
    <row r="25" spans="1:49" x14ac:dyDescent="0.35">
      <c r="A25" t="s">
        <v>73</v>
      </c>
      <c r="B25" t="s">
        <v>74</v>
      </c>
      <c r="C25" t="s">
        <v>4818</v>
      </c>
      <c r="D25" t="s">
        <v>18</v>
      </c>
      <c r="E25" t="s">
        <v>99</v>
      </c>
      <c r="F25" t="s">
        <v>100</v>
      </c>
      <c r="G25" t="s">
        <v>21</v>
      </c>
      <c r="H25" t="s">
        <v>4834</v>
      </c>
      <c r="I25" t="s">
        <v>4835</v>
      </c>
      <c r="J25" s="4" t="s">
        <v>4836</v>
      </c>
      <c r="K25" s="4" t="s">
        <v>4832</v>
      </c>
      <c r="L25" s="4" t="s">
        <v>4848</v>
      </c>
      <c r="M25" s="4" t="s">
        <v>5035</v>
      </c>
      <c r="N25" t="s">
        <v>101</v>
      </c>
      <c r="O25" t="s">
        <v>102</v>
      </c>
      <c r="P25" t="s">
        <v>23</v>
      </c>
      <c r="Q25" t="s">
        <v>24</v>
      </c>
      <c r="R25" t="s">
        <v>25</v>
      </c>
      <c r="S25" t="s">
        <v>26</v>
      </c>
      <c r="T25" s="6">
        <v>46307</v>
      </c>
      <c r="U25">
        <v>80</v>
      </c>
      <c r="V25">
        <v>80</v>
      </c>
      <c r="W25">
        <v>80</v>
      </c>
      <c r="X25">
        <v>0</v>
      </c>
      <c r="Y25">
        <f t="shared" si="3"/>
        <v>80</v>
      </c>
      <c r="Z25">
        <f t="shared" si="4"/>
        <v>80</v>
      </c>
      <c r="AC25" s="1">
        <v>0</v>
      </c>
      <c r="AF25">
        <v>0</v>
      </c>
      <c r="AG25" s="7">
        <v>8</v>
      </c>
      <c r="AH25">
        <f t="shared" si="5"/>
        <v>0</v>
      </c>
      <c r="AI25">
        <f t="shared" si="2"/>
        <v>80</v>
      </c>
      <c r="AK25">
        <f t="shared" si="6"/>
        <v>0</v>
      </c>
      <c r="AL25">
        <v>21.63</v>
      </c>
      <c r="AM25" t="s">
        <v>27</v>
      </c>
      <c r="AN25">
        <v>21.63</v>
      </c>
      <c r="AO25" t="b">
        <f t="shared" si="7"/>
        <v>1</v>
      </c>
      <c r="AR25" t="s">
        <v>5061</v>
      </c>
      <c r="AS25" s="21">
        <v>46276</v>
      </c>
      <c r="AT25" t="s">
        <v>15</v>
      </c>
      <c r="AU25" t="s">
        <v>5060</v>
      </c>
      <c r="AV25" t="s">
        <v>5088</v>
      </c>
      <c r="AW25" t="s">
        <v>5060</v>
      </c>
    </row>
    <row r="26" spans="1:49" x14ac:dyDescent="0.35">
      <c r="A26" t="s">
        <v>73</v>
      </c>
      <c r="B26" t="s">
        <v>74</v>
      </c>
      <c r="C26" t="s">
        <v>4818</v>
      </c>
      <c r="D26" t="s">
        <v>18</v>
      </c>
      <c r="E26" t="s">
        <v>103</v>
      </c>
      <c r="F26" t="s">
        <v>104</v>
      </c>
      <c r="G26" t="s">
        <v>21</v>
      </c>
      <c r="H26" t="s">
        <v>4834</v>
      </c>
      <c r="I26" t="s">
        <v>4849</v>
      </c>
      <c r="J26" s="4" t="s">
        <v>4850</v>
      </c>
      <c r="K26" s="4" t="s">
        <v>4837</v>
      </c>
      <c r="L26" s="4" t="s">
        <v>4851</v>
      </c>
      <c r="M26" s="4" t="s">
        <v>5035</v>
      </c>
      <c r="N26" t="s">
        <v>105</v>
      </c>
      <c r="O26" t="s">
        <v>106</v>
      </c>
      <c r="P26" t="s">
        <v>23</v>
      </c>
      <c r="Q26" t="s">
        <v>24</v>
      </c>
      <c r="R26" t="s">
        <v>25</v>
      </c>
      <c r="S26" t="s">
        <v>26</v>
      </c>
      <c r="T26" s="6">
        <v>46307</v>
      </c>
      <c r="U26">
        <v>108</v>
      </c>
      <c r="V26">
        <v>108</v>
      </c>
      <c r="W26">
        <v>114</v>
      </c>
      <c r="X26">
        <v>114</v>
      </c>
      <c r="Y26">
        <f t="shared" si="3"/>
        <v>0</v>
      </c>
      <c r="Z26">
        <f t="shared" si="4"/>
        <v>-6</v>
      </c>
      <c r="AC26" s="1">
        <v>0</v>
      </c>
      <c r="AF26">
        <f>V26</f>
        <v>108</v>
      </c>
      <c r="AG26" s="7">
        <v>6</v>
      </c>
      <c r="AH26">
        <f t="shared" si="5"/>
        <v>108</v>
      </c>
      <c r="AI26">
        <f t="shared" si="2"/>
        <v>0</v>
      </c>
      <c r="AK26">
        <f t="shared" si="6"/>
        <v>18</v>
      </c>
      <c r="AL26">
        <v>14.78</v>
      </c>
      <c r="AM26" t="s">
        <v>27</v>
      </c>
      <c r="AN26">
        <v>14.78</v>
      </c>
      <c r="AO26" t="b">
        <f t="shared" si="7"/>
        <v>1</v>
      </c>
      <c r="AR26" t="s">
        <v>5061</v>
      </c>
      <c r="AS26" s="21">
        <v>46276</v>
      </c>
      <c r="AT26" t="s">
        <v>5064</v>
      </c>
      <c r="AU26" t="s">
        <v>5066</v>
      </c>
      <c r="AV26" t="s">
        <v>5088</v>
      </c>
      <c r="AW26" t="s">
        <v>5086</v>
      </c>
    </row>
    <row r="27" spans="1:49" x14ac:dyDescent="0.35">
      <c r="A27" t="s">
        <v>73</v>
      </c>
      <c r="B27" t="s">
        <v>74</v>
      </c>
      <c r="C27" t="s">
        <v>4818</v>
      </c>
      <c r="D27" t="s">
        <v>18</v>
      </c>
      <c r="E27" t="s">
        <v>107</v>
      </c>
      <c r="F27" t="s">
        <v>108</v>
      </c>
      <c r="G27" t="s">
        <v>21</v>
      </c>
      <c r="H27" t="s">
        <v>4834</v>
      </c>
      <c r="I27" t="s">
        <v>4849</v>
      </c>
      <c r="J27" s="4" t="s">
        <v>4850</v>
      </c>
      <c r="K27" s="4" t="s">
        <v>4852</v>
      </c>
      <c r="L27" s="4" t="s">
        <v>4853</v>
      </c>
      <c r="M27" s="4" t="s">
        <v>5035</v>
      </c>
      <c r="N27" t="s">
        <v>109</v>
      </c>
      <c r="O27" t="s">
        <v>110</v>
      </c>
      <c r="P27" t="s">
        <v>23</v>
      </c>
      <c r="Q27" t="s">
        <v>24</v>
      </c>
      <c r="R27" t="s">
        <v>25</v>
      </c>
      <c r="S27" t="s">
        <v>26</v>
      </c>
      <c r="T27" s="6">
        <v>46307</v>
      </c>
      <c r="U27">
        <v>72</v>
      </c>
      <c r="V27">
        <v>72</v>
      </c>
      <c r="W27">
        <v>78</v>
      </c>
      <c r="X27">
        <v>0</v>
      </c>
      <c r="Y27">
        <f t="shared" si="3"/>
        <v>78</v>
      </c>
      <c r="Z27">
        <f t="shared" si="4"/>
        <v>72</v>
      </c>
      <c r="AC27" s="1">
        <v>0</v>
      </c>
      <c r="AF27">
        <v>0</v>
      </c>
      <c r="AG27" s="7">
        <v>6</v>
      </c>
      <c r="AH27">
        <f t="shared" si="5"/>
        <v>0</v>
      </c>
      <c r="AI27">
        <f t="shared" si="2"/>
        <v>72</v>
      </c>
      <c r="AK27">
        <f t="shared" si="6"/>
        <v>0</v>
      </c>
      <c r="AL27">
        <v>14.78</v>
      </c>
      <c r="AM27" t="s">
        <v>27</v>
      </c>
      <c r="AN27">
        <v>14.78</v>
      </c>
      <c r="AO27" t="b">
        <f t="shared" si="7"/>
        <v>1</v>
      </c>
      <c r="AR27" t="s">
        <v>5061</v>
      </c>
      <c r="AS27" s="21">
        <v>46276</v>
      </c>
      <c r="AT27" t="s">
        <v>15</v>
      </c>
      <c r="AU27" t="s">
        <v>5060</v>
      </c>
      <c r="AV27" t="s">
        <v>5088</v>
      </c>
      <c r="AW27" t="s">
        <v>5060</v>
      </c>
    </row>
    <row r="28" spans="1:49" x14ac:dyDescent="0.35">
      <c r="A28" t="s">
        <v>73</v>
      </c>
      <c r="B28" t="s">
        <v>74</v>
      </c>
      <c r="C28" t="s">
        <v>4818</v>
      </c>
      <c r="D28" t="s">
        <v>18</v>
      </c>
      <c r="E28" t="s">
        <v>111</v>
      </c>
      <c r="F28" t="s">
        <v>112</v>
      </c>
      <c r="G28" t="s">
        <v>21</v>
      </c>
      <c r="H28" t="s">
        <v>4834</v>
      </c>
      <c r="I28" t="s">
        <v>4835</v>
      </c>
      <c r="J28" s="4" t="s">
        <v>4836</v>
      </c>
      <c r="K28" s="4" t="s">
        <v>4845</v>
      </c>
      <c r="L28" s="4" t="s">
        <v>4844</v>
      </c>
      <c r="M28" s="4" t="s">
        <v>5035</v>
      </c>
      <c r="N28" t="s">
        <v>113</v>
      </c>
      <c r="O28" t="s">
        <v>114</v>
      </c>
      <c r="P28" t="s">
        <v>23</v>
      </c>
      <c r="Q28" t="s">
        <v>24</v>
      </c>
      <c r="R28" t="s">
        <v>25</v>
      </c>
      <c r="S28" t="s">
        <v>26</v>
      </c>
      <c r="T28" s="6">
        <v>46307</v>
      </c>
      <c r="U28">
        <v>88</v>
      </c>
      <c r="V28">
        <v>88</v>
      </c>
      <c r="W28">
        <v>88</v>
      </c>
      <c r="X28">
        <v>0</v>
      </c>
      <c r="Y28">
        <f t="shared" si="3"/>
        <v>88</v>
      </c>
      <c r="Z28">
        <f t="shared" si="4"/>
        <v>88</v>
      </c>
      <c r="AC28" s="1">
        <v>0</v>
      </c>
      <c r="AF28">
        <v>0</v>
      </c>
      <c r="AG28" s="7">
        <v>8</v>
      </c>
      <c r="AH28">
        <f t="shared" si="5"/>
        <v>0</v>
      </c>
      <c r="AI28">
        <f t="shared" si="2"/>
        <v>88</v>
      </c>
      <c r="AK28">
        <f t="shared" si="6"/>
        <v>0</v>
      </c>
      <c r="AL28">
        <v>21.63</v>
      </c>
      <c r="AM28" t="s">
        <v>27</v>
      </c>
      <c r="AN28">
        <v>21.63</v>
      </c>
      <c r="AO28" t="b">
        <f t="shared" si="7"/>
        <v>1</v>
      </c>
      <c r="AR28" t="s">
        <v>5061</v>
      </c>
      <c r="AS28" s="21">
        <v>46276</v>
      </c>
      <c r="AT28" t="s">
        <v>15</v>
      </c>
      <c r="AU28" t="s">
        <v>5060</v>
      </c>
      <c r="AV28" t="s">
        <v>5088</v>
      </c>
      <c r="AW28" t="s">
        <v>5060</v>
      </c>
    </row>
    <row r="29" spans="1:49" x14ac:dyDescent="0.35">
      <c r="A29" t="s">
        <v>73</v>
      </c>
      <c r="B29" t="s">
        <v>74</v>
      </c>
      <c r="C29" t="s">
        <v>4818</v>
      </c>
      <c r="D29" t="s">
        <v>18</v>
      </c>
      <c r="E29" t="s">
        <v>115</v>
      </c>
      <c r="F29" t="s">
        <v>116</v>
      </c>
      <c r="G29" t="s">
        <v>21</v>
      </c>
      <c r="H29" t="s">
        <v>4834</v>
      </c>
      <c r="I29" t="s">
        <v>4839</v>
      </c>
      <c r="J29" s="4" t="s">
        <v>4840</v>
      </c>
      <c r="K29" s="4" t="s">
        <v>4854</v>
      </c>
      <c r="L29" s="4" t="s">
        <v>4846</v>
      </c>
      <c r="M29" s="4" t="s">
        <v>5035</v>
      </c>
      <c r="N29" t="s">
        <v>117</v>
      </c>
      <c r="O29" t="s">
        <v>118</v>
      </c>
      <c r="P29" t="s">
        <v>23</v>
      </c>
      <c r="Q29" t="s">
        <v>24</v>
      </c>
      <c r="R29" t="s">
        <v>25</v>
      </c>
      <c r="S29" t="s">
        <v>26</v>
      </c>
      <c r="T29" s="6">
        <v>46307</v>
      </c>
      <c r="U29">
        <v>100</v>
      </c>
      <c r="V29">
        <v>100</v>
      </c>
      <c r="W29">
        <v>100</v>
      </c>
      <c r="X29">
        <v>100</v>
      </c>
      <c r="Y29">
        <f t="shared" si="3"/>
        <v>0</v>
      </c>
      <c r="Z29">
        <f t="shared" si="4"/>
        <v>0</v>
      </c>
      <c r="AC29" s="1">
        <v>0</v>
      </c>
      <c r="AF29">
        <f>V29</f>
        <v>100</v>
      </c>
      <c r="AG29" s="7">
        <v>10</v>
      </c>
      <c r="AH29">
        <f t="shared" si="5"/>
        <v>100</v>
      </c>
      <c r="AI29">
        <f t="shared" si="2"/>
        <v>0</v>
      </c>
      <c r="AK29">
        <f t="shared" si="6"/>
        <v>10</v>
      </c>
      <c r="AL29">
        <v>20.420000000000002</v>
      </c>
      <c r="AM29" t="s">
        <v>27</v>
      </c>
      <c r="AN29">
        <v>20.420000000000002</v>
      </c>
      <c r="AO29" t="b">
        <f t="shared" si="7"/>
        <v>1</v>
      </c>
      <c r="AR29" t="s">
        <v>5061</v>
      </c>
      <c r="AS29" s="21">
        <v>46276</v>
      </c>
      <c r="AT29" t="s">
        <v>5064</v>
      </c>
      <c r="AU29" t="s">
        <v>5065</v>
      </c>
      <c r="AV29" t="s">
        <v>5088</v>
      </c>
      <c r="AW29" t="s">
        <v>5086</v>
      </c>
    </row>
    <row r="30" spans="1:49" x14ac:dyDescent="0.35">
      <c r="A30" t="s">
        <v>73</v>
      </c>
      <c r="B30" t="s">
        <v>74</v>
      </c>
      <c r="C30" t="s">
        <v>4818</v>
      </c>
      <c r="D30" t="s">
        <v>18</v>
      </c>
      <c r="E30" t="s">
        <v>119</v>
      </c>
      <c r="F30" t="s">
        <v>120</v>
      </c>
      <c r="G30" t="s">
        <v>21</v>
      </c>
      <c r="H30" t="s">
        <v>4834</v>
      </c>
      <c r="I30" t="s">
        <v>4849</v>
      </c>
      <c r="J30" s="4" t="s">
        <v>4850</v>
      </c>
      <c r="K30" s="4" t="s">
        <v>4852</v>
      </c>
      <c r="L30" s="4" t="s">
        <v>4855</v>
      </c>
      <c r="M30" s="4" t="s">
        <v>5035</v>
      </c>
      <c r="N30" t="s">
        <v>121</v>
      </c>
      <c r="O30" t="s">
        <v>122</v>
      </c>
      <c r="P30" t="s">
        <v>23</v>
      </c>
      <c r="Q30" t="s">
        <v>24</v>
      </c>
      <c r="R30" t="s">
        <v>25</v>
      </c>
      <c r="S30" t="s">
        <v>26</v>
      </c>
      <c r="T30" s="6">
        <v>46307</v>
      </c>
      <c r="U30">
        <v>66</v>
      </c>
      <c r="V30">
        <v>66</v>
      </c>
      <c r="W30">
        <v>72</v>
      </c>
      <c r="X30">
        <v>72</v>
      </c>
      <c r="Y30">
        <f t="shared" si="3"/>
        <v>0</v>
      </c>
      <c r="Z30">
        <f t="shared" si="4"/>
        <v>-6</v>
      </c>
      <c r="AC30" s="1">
        <v>0</v>
      </c>
      <c r="AF30">
        <f>V30</f>
        <v>66</v>
      </c>
      <c r="AG30" s="7">
        <v>6</v>
      </c>
      <c r="AH30">
        <f t="shared" si="5"/>
        <v>66</v>
      </c>
      <c r="AI30">
        <f t="shared" si="2"/>
        <v>0</v>
      </c>
      <c r="AK30">
        <f t="shared" si="6"/>
        <v>11</v>
      </c>
      <c r="AL30">
        <v>14.78</v>
      </c>
      <c r="AM30" t="s">
        <v>27</v>
      </c>
      <c r="AN30">
        <v>14.78</v>
      </c>
      <c r="AO30" t="b">
        <f t="shared" si="7"/>
        <v>1</v>
      </c>
      <c r="AR30" t="s">
        <v>5061</v>
      </c>
      <c r="AS30" s="21">
        <v>46276</v>
      </c>
      <c r="AT30" t="s">
        <v>5064</v>
      </c>
      <c r="AU30" t="s">
        <v>5066</v>
      </c>
      <c r="AV30" t="s">
        <v>5088</v>
      </c>
      <c r="AW30" t="s">
        <v>5086</v>
      </c>
    </row>
    <row r="31" spans="1:49" x14ac:dyDescent="0.35">
      <c r="A31" t="s">
        <v>73</v>
      </c>
      <c r="B31" t="s">
        <v>74</v>
      </c>
      <c r="C31" t="s">
        <v>4818</v>
      </c>
      <c r="D31" t="s">
        <v>18</v>
      </c>
      <c r="E31" t="s">
        <v>123</v>
      </c>
      <c r="F31" t="s">
        <v>124</v>
      </c>
      <c r="G31" t="s">
        <v>21</v>
      </c>
      <c r="H31" t="s">
        <v>4834</v>
      </c>
      <c r="I31" t="s">
        <v>4835</v>
      </c>
      <c r="J31" s="4" t="s">
        <v>4836</v>
      </c>
      <c r="K31" s="4" t="s">
        <v>4832</v>
      </c>
      <c r="L31" s="4" t="s">
        <v>4856</v>
      </c>
      <c r="M31" s="4" t="s">
        <v>5035</v>
      </c>
      <c r="N31" t="s">
        <v>125</v>
      </c>
      <c r="O31" t="s">
        <v>126</v>
      </c>
      <c r="P31" t="s">
        <v>23</v>
      </c>
      <c r="Q31" t="s">
        <v>24</v>
      </c>
      <c r="R31" t="s">
        <v>25</v>
      </c>
      <c r="S31" t="s">
        <v>26</v>
      </c>
      <c r="T31" s="6">
        <v>46307</v>
      </c>
      <c r="U31">
        <v>120</v>
      </c>
      <c r="V31">
        <v>120</v>
      </c>
      <c r="W31">
        <v>128</v>
      </c>
      <c r="X31">
        <v>0</v>
      </c>
      <c r="Y31">
        <f t="shared" si="3"/>
        <v>128</v>
      </c>
      <c r="Z31">
        <f t="shared" si="4"/>
        <v>120</v>
      </c>
      <c r="AC31" s="1">
        <v>0</v>
      </c>
      <c r="AF31">
        <v>0</v>
      </c>
      <c r="AG31" s="7">
        <v>8</v>
      </c>
      <c r="AH31">
        <f t="shared" si="5"/>
        <v>0</v>
      </c>
      <c r="AI31">
        <f t="shared" si="2"/>
        <v>120</v>
      </c>
      <c r="AK31">
        <f t="shared" si="6"/>
        <v>0</v>
      </c>
      <c r="AL31">
        <v>21.63</v>
      </c>
      <c r="AM31" t="s">
        <v>27</v>
      </c>
      <c r="AN31">
        <v>21.63</v>
      </c>
      <c r="AO31" t="b">
        <f t="shared" si="7"/>
        <v>1</v>
      </c>
      <c r="AR31" t="s">
        <v>5061</v>
      </c>
      <c r="AS31" s="21">
        <v>46276</v>
      </c>
      <c r="AT31" t="s">
        <v>15</v>
      </c>
      <c r="AU31" t="s">
        <v>5060</v>
      </c>
      <c r="AV31" t="s">
        <v>5088</v>
      </c>
      <c r="AW31" t="s">
        <v>5060</v>
      </c>
    </row>
    <row r="32" spans="1:49" x14ac:dyDescent="0.35">
      <c r="A32" t="s">
        <v>73</v>
      </c>
      <c r="B32" t="s">
        <v>74</v>
      </c>
      <c r="C32" t="s">
        <v>4818</v>
      </c>
      <c r="D32" t="s">
        <v>18</v>
      </c>
      <c r="E32" t="s">
        <v>127</v>
      </c>
      <c r="F32" t="s">
        <v>128</v>
      </c>
      <c r="G32" t="s">
        <v>21</v>
      </c>
      <c r="H32" t="s">
        <v>4834</v>
      </c>
      <c r="I32" t="s">
        <v>4849</v>
      </c>
      <c r="J32" s="4" t="s">
        <v>4850</v>
      </c>
      <c r="K32" s="4" t="s">
        <v>4837</v>
      </c>
      <c r="L32" s="4" t="s">
        <v>4857</v>
      </c>
      <c r="M32" s="4" t="s">
        <v>5035</v>
      </c>
      <c r="N32" t="s">
        <v>129</v>
      </c>
      <c r="O32" t="s">
        <v>130</v>
      </c>
      <c r="P32" t="s">
        <v>23</v>
      </c>
      <c r="Q32" t="s">
        <v>24</v>
      </c>
      <c r="R32" t="s">
        <v>25</v>
      </c>
      <c r="S32" t="s">
        <v>26</v>
      </c>
      <c r="T32" s="6">
        <v>46307</v>
      </c>
      <c r="U32">
        <v>30</v>
      </c>
      <c r="V32">
        <v>30</v>
      </c>
      <c r="W32">
        <v>30</v>
      </c>
      <c r="X32">
        <v>30</v>
      </c>
      <c r="Y32">
        <f t="shared" si="3"/>
        <v>0</v>
      </c>
      <c r="Z32">
        <f t="shared" si="4"/>
        <v>0</v>
      </c>
      <c r="AC32" s="1">
        <v>0</v>
      </c>
      <c r="AF32">
        <f>V32</f>
        <v>30</v>
      </c>
      <c r="AG32" s="7">
        <v>6</v>
      </c>
      <c r="AH32">
        <f t="shared" si="5"/>
        <v>30</v>
      </c>
      <c r="AI32">
        <f t="shared" si="2"/>
        <v>0</v>
      </c>
      <c r="AK32">
        <f t="shared" si="6"/>
        <v>5</v>
      </c>
      <c r="AL32">
        <v>14.78</v>
      </c>
      <c r="AM32" t="s">
        <v>27</v>
      </c>
      <c r="AN32">
        <v>14.78</v>
      </c>
      <c r="AO32" t="b">
        <f t="shared" si="7"/>
        <v>1</v>
      </c>
      <c r="AR32" t="s">
        <v>5061</v>
      </c>
      <c r="AS32" s="21">
        <v>46276</v>
      </c>
      <c r="AT32" t="s">
        <v>5064</v>
      </c>
      <c r="AU32" t="s">
        <v>5066</v>
      </c>
      <c r="AV32" t="s">
        <v>5088</v>
      </c>
      <c r="AW32" t="s">
        <v>5086</v>
      </c>
    </row>
    <row r="33" spans="1:49" x14ac:dyDescent="0.35">
      <c r="A33" t="s">
        <v>73</v>
      </c>
      <c r="B33" t="s">
        <v>74</v>
      </c>
      <c r="C33" t="s">
        <v>4818</v>
      </c>
      <c r="D33" t="s">
        <v>18</v>
      </c>
      <c r="E33" t="s">
        <v>131</v>
      </c>
      <c r="F33" t="s">
        <v>132</v>
      </c>
      <c r="G33" t="s">
        <v>21</v>
      </c>
      <c r="H33" t="s">
        <v>4834</v>
      </c>
      <c r="I33" t="s">
        <v>4839</v>
      </c>
      <c r="J33" s="4" t="s">
        <v>4840</v>
      </c>
      <c r="K33" s="4" t="s">
        <v>4843</v>
      </c>
      <c r="L33" s="4" t="s">
        <v>4858</v>
      </c>
      <c r="M33" s="4" t="s">
        <v>5035</v>
      </c>
      <c r="N33" t="s">
        <v>133</v>
      </c>
      <c r="O33" t="s">
        <v>134</v>
      </c>
      <c r="P33" t="s">
        <v>23</v>
      </c>
      <c r="Q33" t="s">
        <v>24</v>
      </c>
      <c r="R33" t="s">
        <v>25</v>
      </c>
      <c r="S33" t="s">
        <v>26</v>
      </c>
      <c r="T33" s="6">
        <v>46307</v>
      </c>
      <c r="U33">
        <v>100</v>
      </c>
      <c r="V33">
        <v>100</v>
      </c>
      <c r="W33">
        <v>100</v>
      </c>
      <c r="X33">
        <v>100</v>
      </c>
      <c r="Y33">
        <f t="shared" si="3"/>
        <v>0</v>
      </c>
      <c r="Z33">
        <f t="shared" si="4"/>
        <v>0</v>
      </c>
      <c r="AC33" s="1">
        <v>0</v>
      </c>
      <c r="AF33">
        <f>V33</f>
        <v>100</v>
      </c>
      <c r="AG33" s="7">
        <v>10</v>
      </c>
      <c r="AH33">
        <f t="shared" si="5"/>
        <v>100</v>
      </c>
      <c r="AI33">
        <f t="shared" si="2"/>
        <v>0</v>
      </c>
      <c r="AK33">
        <f t="shared" si="6"/>
        <v>10</v>
      </c>
      <c r="AL33">
        <v>20.420000000000002</v>
      </c>
      <c r="AM33" t="s">
        <v>27</v>
      </c>
      <c r="AN33">
        <v>20.420000000000002</v>
      </c>
      <c r="AO33" t="b">
        <f t="shared" si="7"/>
        <v>1</v>
      </c>
      <c r="AR33" t="s">
        <v>5061</v>
      </c>
      <c r="AS33" s="21">
        <v>46276</v>
      </c>
      <c r="AT33" t="s">
        <v>5064</v>
      </c>
      <c r="AU33" t="s">
        <v>5065</v>
      </c>
      <c r="AV33" t="s">
        <v>5088</v>
      </c>
      <c r="AW33" t="s">
        <v>5086</v>
      </c>
    </row>
    <row r="34" spans="1:49" x14ac:dyDescent="0.35">
      <c r="A34" t="s">
        <v>73</v>
      </c>
      <c r="B34" t="s">
        <v>74</v>
      </c>
      <c r="C34" t="s">
        <v>4818</v>
      </c>
      <c r="D34" t="s">
        <v>18</v>
      </c>
      <c r="E34" t="s">
        <v>135</v>
      </c>
      <c r="F34" t="s">
        <v>136</v>
      </c>
      <c r="G34" t="s">
        <v>21</v>
      </c>
      <c r="H34" t="s">
        <v>4834</v>
      </c>
      <c r="I34" t="s">
        <v>4839</v>
      </c>
      <c r="J34" s="4" t="s">
        <v>4840</v>
      </c>
      <c r="K34" s="4" t="s">
        <v>4837</v>
      </c>
      <c r="L34" s="4" t="s">
        <v>4859</v>
      </c>
      <c r="M34" s="4" t="s">
        <v>5035</v>
      </c>
      <c r="N34" t="s">
        <v>137</v>
      </c>
      <c r="O34" t="s">
        <v>138</v>
      </c>
      <c r="P34" t="s">
        <v>23</v>
      </c>
      <c r="Q34" t="s">
        <v>24</v>
      </c>
      <c r="R34" t="s">
        <v>25</v>
      </c>
      <c r="S34" t="s">
        <v>26</v>
      </c>
      <c r="T34" s="6">
        <v>46307</v>
      </c>
      <c r="U34">
        <v>110</v>
      </c>
      <c r="V34">
        <v>110</v>
      </c>
      <c r="W34">
        <v>110</v>
      </c>
      <c r="X34">
        <v>0</v>
      </c>
      <c r="Y34">
        <f t="shared" si="3"/>
        <v>110</v>
      </c>
      <c r="Z34">
        <f t="shared" si="4"/>
        <v>110</v>
      </c>
      <c r="AC34" s="1">
        <v>0</v>
      </c>
      <c r="AF34">
        <v>0</v>
      </c>
      <c r="AG34" s="7">
        <v>10</v>
      </c>
      <c r="AH34">
        <f t="shared" si="5"/>
        <v>0</v>
      </c>
      <c r="AI34">
        <f t="shared" si="2"/>
        <v>110</v>
      </c>
      <c r="AK34">
        <f t="shared" si="6"/>
        <v>0</v>
      </c>
      <c r="AL34">
        <v>20.420000000000002</v>
      </c>
      <c r="AM34" t="s">
        <v>27</v>
      </c>
      <c r="AN34">
        <v>20.420000000000002</v>
      </c>
      <c r="AO34" t="b">
        <f t="shared" si="7"/>
        <v>1</v>
      </c>
      <c r="AR34" t="s">
        <v>5061</v>
      </c>
      <c r="AS34" s="21">
        <v>46276</v>
      </c>
      <c r="AT34" t="s">
        <v>15</v>
      </c>
      <c r="AU34" t="s">
        <v>5060</v>
      </c>
      <c r="AV34" t="s">
        <v>5088</v>
      </c>
      <c r="AW34" t="s">
        <v>5060</v>
      </c>
    </row>
    <row r="35" spans="1:49" x14ac:dyDescent="0.35">
      <c r="A35" t="s">
        <v>73</v>
      </c>
      <c r="B35" t="s">
        <v>74</v>
      </c>
      <c r="C35" t="s">
        <v>4818</v>
      </c>
      <c r="D35" t="s">
        <v>18</v>
      </c>
      <c r="E35" t="s">
        <v>139</v>
      </c>
      <c r="F35" t="s">
        <v>140</v>
      </c>
      <c r="G35" t="s">
        <v>21</v>
      </c>
      <c r="H35" t="s">
        <v>4834</v>
      </c>
      <c r="I35" t="s">
        <v>4839</v>
      </c>
      <c r="J35" s="4" t="s">
        <v>4840</v>
      </c>
      <c r="K35" s="4" t="s">
        <v>4845</v>
      </c>
      <c r="L35" s="4" t="s">
        <v>4858</v>
      </c>
      <c r="M35" s="4" t="s">
        <v>5035</v>
      </c>
      <c r="N35" t="s">
        <v>141</v>
      </c>
      <c r="O35" t="s">
        <v>142</v>
      </c>
      <c r="P35" t="s">
        <v>23</v>
      </c>
      <c r="Q35" t="s">
        <v>24</v>
      </c>
      <c r="R35" t="s">
        <v>25</v>
      </c>
      <c r="S35" t="s">
        <v>26</v>
      </c>
      <c r="T35" s="6">
        <v>46307</v>
      </c>
      <c r="U35">
        <v>110</v>
      </c>
      <c r="V35">
        <v>110</v>
      </c>
      <c r="W35">
        <v>110</v>
      </c>
      <c r="X35">
        <v>0</v>
      </c>
      <c r="Y35">
        <f t="shared" si="3"/>
        <v>110</v>
      </c>
      <c r="Z35">
        <f t="shared" si="4"/>
        <v>110</v>
      </c>
      <c r="AC35" s="1">
        <v>0</v>
      </c>
      <c r="AF35">
        <v>0</v>
      </c>
      <c r="AG35" s="7">
        <v>10</v>
      </c>
      <c r="AH35">
        <f t="shared" si="5"/>
        <v>0</v>
      </c>
      <c r="AI35">
        <f t="shared" si="2"/>
        <v>110</v>
      </c>
      <c r="AK35">
        <f t="shared" si="6"/>
        <v>0</v>
      </c>
      <c r="AL35">
        <v>20.420000000000002</v>
      </c>
      <c r="AM35" t="s">
        <v>27</v>
      </c>
      <c r="AN35">
        <v>20.420000000000002</v>
      </c>
      <c r="AO35" t="b">
        <f t="shared" si="7"/>
        <v>1</v>
      </c>
      <c r="AR35" t="s">
        <v>5061</v>
      </c>
      <c r="AS35" s="21">
        <v>46276</v>
      </c>
      <c r="AT35" t="s">
        <v>15</v>
      </c>
      <c r="AU35" t="s">
        <v>5060</v>
      </c>
      <c r="AV35" t="s">
        <v>5088</v>
      </c>
      <c r="AW35" t="s">
        <v>5060</v>
      </c>
    </row>
    <row r="36" spans="1:49" x14ac:dyDescent="0.35">
      <c r="A36" t="s">
        <v>73</v>
      </c>
      <c r="B36" t="s">
        <v>74</v>
      </c>
      <c r="C36" t="s">
        <v>4818</v>
      </c>
      <c r="D36" t="s">
        <v>18</v>
      </c>
      <c r="E36" t="s">
        <v>143</v>
      </c>
      <c r="F36" t="s">
        <v>144</v>
      </c>
      <c r="G36" t="s">
        <v>21</v>
      </c>
      <c r="H36" t="s">
        <v>4834</v>
      </c>
      <c r="I36" t="s">
        <v>4839</v>
      </c>
      <c r="J36" s="4" t="s">
        <v>4840</v>
      </c>
      <c r="K36" s="4" t="s">
        <v>4845</v>
      </c>
      <c r="L36" s="4" t="s">
        <v>4860</v>
      </c>
      <c r="M36" s="4" t="s">
        <v>5035</v>
      </c>
      <c r="N36" t="s">
        <v>145</v>
      </c>
      <c r="O36" t="s">
        <v>146</v>
      </c>
      <c r="P36" t="s">
        <v>23</v>
      </c>
      <c r="Q36" t="s">
        <v>24</v>
      </c>
      <c r="R36" t="s">
        <v>25</v>
      </c>
      <c r="S36" t="s">
        <v>26</v>
      </c>
      <c r="T36" s="6">
        <v>46307</v>
      </c>
      <c r="U36">
        <v>150</v>
      </c>
      <c r="V36">
        <v>150</v>
      </c>
      <c r="W36">
        <v>160</v>
      </c>
      <c r="X36">
        <v>0</v>
      </c>
      <c r="Y36">
        <f t="shared" si="3"/>
        <v>160</v>
      </c>
      <c r="Z36">
        <f t="shared" si="4"/>
        <v>150</v>
      </c>
      <c r="AC36" s="1">
        <v>0</v>
      </c>
      <c r="AF36">
        <v>0</v>
      </c>
      <c r="AG36" s="7">
        <v>10</v>
      </c>
      <c r="AH36">
        <f t="shared" si="5"/>
        <v>0</v>
      </c>
      <c r="AI36">
        <f t="shared" si="2"/>
        <v>150</v>
      </c>
      <c r="AK36">
        <f t="shared" si="6"/>
        <v>0</v>
      </c>
      <c r="AL36">
        <v>20.420000000000002</v>
      </c>
      <c r="AM36" t="s">
        <v>27</v>
      </c>
      <c r="AN36">
        <v>20.420000000000002</v>
      </c>
      <c r="AO36" t="b">
        <f t="shared" si="7"/>
        <v>1</v>
      </c>
      <c r="AR36" t="s">
        <v>5061</v>
      </c>
      <c r="AS36" s="21">
        <v>46276</v>
      </c>
      <c r="AT36" t="s">
        <v>15</v>
      </c>
      <c r="AU36" t="s">
        <v>5060</v>
      </c>
      <c r="AV36" t="s">
        <v>5088</v>
      </c>
      <c r="AW36" t="s">
        <v>5060</v>
      </c>
    </row>
    <row r="37" spans="1:49" x14ac:dyDescent="0.35">
      <c r="A37" t="s">
        <v>73</v>
      </c>
      <c r="B37" t="s">
        <v>74</v>
      </c>
      <c r="C37" t="s">
        <v>4818</v>
      </c>
      <c r="D37" t="s">
        <v>18</v>
      </c>
      <c r="E37" t="s">
        <v>147</v>
      </c>
      <c r="F37" t="s">
        <v>148</v>
      </c>
      <c r="G37" t="s">
        <v>21</v>
      </c>
      <c r="H37" t="s">
        <v>4834</v>
      </c>
      <c r="I37" t="s">
        <v>4839</v>
      </c>
      <c r="J37" s="4" t="s">
        <v>4840</v>
      </c>
      <c r="K37" s="4" t="s">
        <v>4832</v>
      </c>
      <c r="L37" s="4" t="s">
        <v>4858</v>
      </c>
      <c r="M37" s="4" t="s">
        <v>5035</v>
      </c>
      <c r="N37" t="s">
        <v>149</v>
      </c>
      <c r="O37" t="s">
        <v>150</v>
      </c>
      <c r="P37" t="s">
        <v>23</v>
      </c>
      <c r="Q37" t="s">
        <v>24</v>
      </c>
      <c r="R37" t="s">
        <v>25</v>
      </c>
      <c r="S37" t="s">
        <v>26</v>
      </c>
      <c r="T37" s="6">
        <v>46307</v>
      </c>
      <c r="U37">
        <v>80</v>
      </c>
      <c r="V37">
        <v>80</v>
      </c>
      <c r="W37">
        <v>80</v>
      </c>
      <c r="X37">
        <v>80</v>
      </c>
      <c r="Y37">
        <f t="shared" si="3"/>
        <v>0</v>
      </c>
      <c r="Z37">
        <f t="shared" si="4"/>
        <v>0</v>
      </c>
      <c r="AC37" s="1">
        <v>0</v>
      </c>
      <c r="AF37">
        <f>V37</f>
        <v>80</v>
      </c>
      <c r="AG37" s="7">
        <v>10</v>
      </c>
      <c r="AH37">
        <f t="shared" si="5"/>
        <v>80</v>
      </c>
      <c r="AI37">
        <f t="shared" si="2"/>
        <v>0</v>
      </c>
      <c r="AK37">
        <f t="shared" si="6"/>
        <v>8</v>
      </c>
      <c r="AL37">
        <v>20.420000000000002</v>
      </c>
      <c r="AM37" t="s">
        <v>27</v>
      </c>
      <c r="AN37">
        <v>20.420000000000002</v>
      </c>
      <c r="AO37" t="b">
        <f t="shared" si="7"/>
        <v>1</v>
      </c>
      <c r="AR37" t="s">
        <v>5061</v>
      </c>
      <c r="AS37" s="21">
        <v>46276</v>
      </c>
      <c r="AT37" t="s">
        <v>5064</v>
      </c>
      <c r="AU37" t="s">
        <v>5065</v>
      </c>
      <c r="AV37" t="s">
        <v>5088</v>
      </c>
      <c r="AW37" t="s">
        <v>5086</v>
      </c>
    </row>
    <row r="38" spans="1:49" x14ac:dyDescent="0.35">
      <c r="A38" t="s">
        <v>73</v>
      </c>
      <c r="B38" t="s">
        <v>74</v>
      </c>
      <c r="C38" t="s">
        <v>4818</v>
      </c>
      <c r="D38" t="s">
        <v>18</v>
      </c>
      <c r="E38" t="s">
        <v>151</v>
      </c>
      <c r="F38" t="s">
        <v>152</v>
      </c>
      <c r="G38" t="s">
        <v>21</v>
      </c>
      <c r="H38" t="s">
        <v>4834</v>
      </c>
      <c r="I38" t="s">
        <v>4839</v>
      </c>
      <c r="J38" s="4" t="s">
        <v>4840</v>
      </c>
      <c r="K38" s="4" t="s">
        <v>4837</v>
      </c>
      <c r="L38" s="4" t="s">
        <v>4861</v>
      </c>
      <c r="M38" s="4" t="s">
        <v>5035</v>
      </c>
      <c r="N38" t="s">
        <v>153</v>
      </c>
      <c r="O38" t="s">
        <v>154</v>
      </c>
      <c r="P38" t="s">
        <v>23</v>
      </c>
      <c r="Q38" t="s">
        <v>24</v>
      </c>
      <c r="R38" t="s">
        <v>25</v>
      </c>
      <c r="S38" t="s">
        <v>26</v>
      </c>
      <c r="T38" s="6">
        <v>46307</v>
      </c>
      <c r="U38">
        <v>80</v>
      </c>
      <c r="V38">
        <v>80</v>
      </c>
      <c r="W38">
        <v>80</v>
      </c>
      <c r="X38">
        <v>0</v>
      </c>
      <c r="Y38">
        <f t="shared" si="3"/>
        <v>80</v>
      </c>
      <c r="Z38">
        <f t="shared" si="4"/>
        <v>80</v>
      </c>
      <c r="AC38" s="1">
        <v>0</v>
      </c>
      <c r="AF38">
        <v>0</v>
      </c>
      <c r="AG38" s="7">
        <v>10</v>
      </c>
      <c r="AH38">
        <f t="shared" si="5"/>
        <v>0</v>
      </c>
      <c r="AI38">
        <f t="shared" si="2"/>
        <v>80</v>
      </c>
      <c r="AK38">
        <f t="shared" si="6"/>
        <v>0</v>
      </c>
      <c r="AL38">
        <v>20.420000000000002</v>
      </c>
      <c r="AM38" t="s">
        <v>27</v>
      </c>
      <c r="AN38">
        <v>20.420000000000002</v>
      </c>
      <c r="AO38" t="b">
        <f t="shared" si="7"/>
        <v>1</v>
      </c>
      <c r="AR38" t="s">
        <v>5061</v>
      </c>
      <c r="AS38" s="21">
        <v>46276</v>
      </c>
      <c r="AT38" t="s">
        <v>15</v>
      </c>
      <c r="AU38" t="s">
        <v>5060</v>
      </c>
      <c r="AV38" t="s">
        <v>5088</v>
      </c>
      <c r="AW38" t="s">
        <v>5060</v>
      </c>
    </row>
    <row r="39" spans="1:49" x14ac:dyDescent="0.35">
      <c r="A39" t="s">
        <v>73</v>
      </c>
      <c r="B39" t="s">
        <v>74</v>
      </c>
      <c r="C39" t="s">
        <v>4818</v>
      </c>
      <c r="D39" t="s">
        <v>18</v>
      </c>
      <c r="E39" t="s">
        <v>155</v>
      </c>
      <c r="F39" t="s">
        <v>156</v>
      </c>
      <c r="G39" t="s">
        <v>21</v>
      </c>
      <c r="H39" t="s">
        <v>4834</v>
      </c>
      <c r="I39" t="s">
        <v>4849</v>
      </c>
      <c r="J39" s="4" t="s">
        <v>4850</v>
      </c>
      <c r="K39" s="4" t="s">
        <v>4862</v>
      </c>
      <c r="L39" s="4" t="s">
        <v>4863</v>
      </c>
      <c r="M39" s="4" t="s">
        <v>5035</v>
      </c>
      <c r="N39" t="s">
        <v>157</v>
      </c>
      <c r="O39" t="s">
        <v>158</v>
      </c>
      <c r="P39" t="s">
        <v>23</v>
      </c>
      <c r="Q39" t="s">
        <v>24</v>
      </c>
      <c r="R39" t="s">
        <v>25</v>
      </c>
      <c r="S39" t="s">
        <v>26</v>
      </c>
      <c r="T39" s="6">
        <v>46307</v>
      </c>
      <c r="U39">
        <v>84</v>
      </c>
      <c r="V39">
        <v>84</v>
      </c>
      <c r="W39">
        <v>90</v>
      </c>
      <c r="X39">
        <v>90</v>
      </c>
      <c r="Y39">
        <f t="shared" si="3"/>
        <v>0</v>
      </c>
      <c r="Z39">
        <f t="shared" si="4"/>
        <v>-6</v>
      </c>
      <c r="AC39" s="1">
        <v>0</v>
      </c>
      <c r="AF39">
        <f>V39</f>
        <v>84</v>
      </c>
      <c r="AG39" s="7">
        <v>6</v>
      </c>
      <c r="AH39">
        <f t="shared" si="5"/>
        <v>84</v>
      </c>
      <c r="AI39">
        <f t="shared" si="2"/>
        <v>0</v>
      </c>
      <c r="AK39">
        <f t="shared" si="6"/>
        <v>14</v>
      </c>
      <c r="AL39">
        <v>14.78</v>
      </c>
      <c r="AM39" t="s">
        <v>27</v>
      </c>
      <c r="AN39">
        <v>14.78</v>
      </c>
      <c r="AO39" t="b">
        <f t="shared" si="7"/>
        <v>1</v>
      </c>
      <c r="AR39" t="s">
        <v>5061</v>
      </c>
      <c r="AS39" s="21">
        <v>46276</v>
      </c>
      <c r="AT39" t="s">
        <v>5064</v>
      </c>
      <c r="AU39" t="s">
        <v>5066</v>
      </c>
      <c r="AV39" t="s">
        <v>5088</v>
      </c>
      <c r="AW39" t="s">
        <v>5086</v>
      </c>
    </row>
    <row r="40" spans="1:49" x14ac:dyDescent="0.35">
      <c r="A40" t="s">
        <v>73</v>
      </c>
      <c r="B40" t="s">
        <v>74</v>
      </c>
      <c r="C40" t="s">
        <v>4818</v>
      </c>
      <c r="D40" t="s">
        <v>18</v>
      </c>
      <c r="E40" t="s">
        <v>159</v>
      </c>
      <c r="F40" t="s">
        <v>160</v>
      </c>
      <c r="G40" t="s">
        <v>21</v>
      </c>
      <c r="H40" t="s">
        <v>4834</v>
      </c>
      <c r="I40" t="s">
        <v>4839</v>
      </c>
      <c r="J40" s="4" t="s">
        <v>4840</v>
      </c>
      <c r="K40" s="4" t="s">
        <v>4832</v>
      </c>
      <c r="L40" s="4" t="s">
        <v>4844</v>
      </c>
      <c r="M40" s="4" t="s">
        <v>5035</v>
      </c>
      <c r="N40" t="s">
        <v>161</v>
      </c>
      <c r="O40" t="s">
        <v>162</v>
      </c>
      <c r="P40" t="s">
        <v>23</v>
      </c>
      <c r="Q40" t="s">
        <v>24</v>
      </c>
      <c r="R40" t="s">
        <v>25</v>
      </c>
      <c r="S40" t="s">
        <v>26</v>
      </c>
      <c r="T40" s="6">
        <v>46307</v>
      </c>
      <c r="U40">
        <v>90</v>
      </c>
      <c r="V40">
        <v>90</v>
      </c>
      <c r="W40">
        <v>90</v>
      </c>
      <c r="X40">
        <v>90</v>
      </c>
      <c r="Y40">
        <f t="shared" si="3"/>
        <v>0</v>
      </c>
      <c r="Z40">
        <f t="shared" si="4"/>
        <v>0</v>
      </c>
      <c r="AC40" s="1">
        <v>0</v>
      </c>
      <c r="AF40">
        <f>V40</f>
        <v>90</v>
      </c>
      <c r="AG40" s="7">
        <v>10</v>
      </c>
      <c r="AH40">
        <f t="shared" si="5"/>
        <v>90</v>
      </c>
      <c r="AI40">
        <f t="shared" si="2"/>
        <v>0</v>
      </c>
      <c r="AK40">
        <f t="shared" si="6"/>
        <v>9</v>
      </c>
      <c r="AL40">
        <v>20.420000000000002</v>
      </c>
      <c r="AM40" t="s">
        <v>27</v>
      </c>
      <c r="AN40">
        <v>20.420000000000002</v>
      </c>
      <c r="AO40" t="b">
        <f t="shared" si="7"/>
        <v>1</v>
      </c>
      <c r="AR40" t="s">
        <v>5061</v>
      </c>
      <c r="AS40" s="21">
        <v>46276</v>
      </c>
      <c r="AT40" t="s">
        <v>5064</v>
      </c>
      <c r="AU40" t="s">
        <v>5065</v>
      </c>
      <c r="AV40" t="s">
        <v>5088</v>
      </c>
      <c r="AW40" t="s">
        <v>5086</v>
      </c>
    </row>
    <row r="41" spans="1:49" x14ac:dyDescent="0.35">
      <c r="A41" t="s">
        <v>73</v>
      </c>
      <c r="B41" t="s">
        <v>74</v>
      </c>
      <c r="C41" t="s">
        <v>4818</v>
      </c>
      <c r="D41" t="s">
        <v>18</v>
      </c>
      <c r="E41" t="s">
        <v>163</v>
      </c>
      <c r="F41" t="s">
        <v>164</v>
      </c>
      <c r="G41" t="s">
        <v>21</v>
      </c>
      <c r="H41" t="s">
        <v>4834</v>
      </c>
      <c r="I41" t="s">
        <v>4849</v>
      </c>
      <c r="J41" s="4" t="s">
        <v>4850</v>
      </c>
      <c r="K41" s="4" t="s">
        <v>4852</v>
      </c>
      <c r="L41" s="4" t="s">
        <v>4864</v>
      </c>
      <c r="M41" s="4" t="s">
        <v>5035</v>
      </c>
      <c r="N41" t="s">
        <v>165</v>
      </c>
      <c r="O41" t="s">
        <v>166</v>
      </c>
      <c r="P41" t="s">
        <v>23</v>
      </c>
      <c r="Q41" t="s">
        <v>24</v>
      </c>
      <c r="R41" t="s">
        <v>25</v>
      </c>
      <c r="S41" t="s">
        <v>26</v>
      </c>
      <c r="T41" s="6">
        <v>46307</v>
      </c>
      <c r="U41">
        <v>18</v>
      </c>
      <c r="V41">
        <v>18</v>
      </c>
      <c r="W41">
        <v>18</v>
      </c>
      <c r="X41">
        <v>18</v>
      </c>
      <c r="Y41">
        <f t="shared" si="3"/>
        <v>0</v>
      </c>
      <c r="Z41">
        <f t="shared" si="4"/>
        <v>0</v>
      </c>
      <c r="AC41" s="1">
        <v>0</v>
      </c>
      <c r="AF41">
        <f>V41</f>
        <v>18</v>
      </c>
      <c r="AG41" s="7">
        <v>6</v>
      </c>
      <c r="AH41">
        <f t="shared" si="5"/>
        <v>18</v>
      </c>
      <c r="AI41">
        <f t="shared" si="2"/>
        <v>0</v>
      </c>
      <c r="AK41">
        <f t="shared" si="6"/>
        <v>3</v>
      </c>
      <c r="AL41">
        <v>14.78</v>
      </c>
      <c r="AM41" t="s">
        <v>27</v>
      </c>
      <c r="AN41">
        <v>14.78</v>
      </c>
      <c r="AO41" t="b">
        <f t="shared" si="7"/>
        <v>1</v>
      </c>
      <c r="AR41" t="s">
        <v>5061</v>
      </c>
      <c r="AS41" s="21">
        <v>46276</v>
      </c>
      <c r="AT41" t="s">
        <v>5064</v>
      </c>
      <c r="AU41" t="s">
        <v>5066</v>
      </c>
      <c r="AV41" t="s">
        <v>5088</v>
      </c>
      <c r="AW41" t="s">
        <v>5086</v>
      </c>
    </row>
    <row r="42" spans="1:49" x14ac:dyDescent="0.35">
      <c r="A42" t="s">
        <v>73</v>
      </c>
      <c r="B42" t="s">
        <v>74</v>
      </c>
      <c r="C42" t="s">
        <v>4818</v>
      </c>
      <c r="D42" t="s">
        <v>18</v>
      </c>
      <c r="E42" t="s">
        <v>167</v>
      </c>
      <c r="F42" t="s">
        <v>168</v>
      </c>
      <c r="G42" t="s">
        <v>21</v>
      </c>
      <c r="H42" t="s">
        <v>4834</v>
      </c>
      <c r="I42" t="s">
        <v>4839</v>
      </c>
      <c r="J42" s="4" t="s">
        <v>4840</v>
      </c>
      <c r="K42" s="4" t="s">
        <v>4843</v>
      </c>
      <c r="L42" s="4" t="s">
        <v>4865</v>
      </c>
      <c r="M42" s="4" t="s">
        <v>5035</v>
      </c>
      <c r="N42" t="s">
        <v>169</v>
      </c>
      <c r="O42" t="s">
        <v>170</v>
      </c>
      <c r="P42" t="s">
        <v>23</v>
      </c>
      <c r="Q42" t="s">
        <v>24</v>
      </c>
      <c r="R42" t="s">
        <v>25</v>
      </c>
      <c r="S42" t="s">
        <v>26</v>
      </c>
      <c r="T42" s="6">
        <v>46307</v>
      </c>
      <c r="U42">
        <v>50</v>
      </c>
      <c r="V42">
        <v>50</v>
      </c>
      <c r="W42">
        <v>50</v>
      </c>
      <c r="X42">
        <v>50</v>
      </c>
      <c r="Y42">
        <f t="shared" si="3"/>
        <v>0</v>
      </c>
      <c r="Z42">
        <f t="shared" si="4"/>
        <v>0</v>
      </c>
      <c r="AC42" s="1">
        <v>0</v>
      </c>
      <c r="AF42">
        <f>V42</f>
        <v>50</v>
      </c>
      <c r="AG42" s="7">
        <v>10</v>
      </c>
      <c r="AH42">
        <f t="shared" si="5"/>
        <v>50</v>
      </c>
      <c r="AI42">
        <f t="shared" si="2"/>
        <v>0</v>
      </c>
      <c r="AK42">
        <f t="shared" si="6"/>
        <v>5</v>
      </c>
      <c r="AL42">
        <v>20.420000000000002</v>
      </c>
      <c r="AM42" t="s">
        <v>27</v>
      </c>
      <c r="AN42">
        <v>20.420000000000002</v>
      </c>
      <c r="AO42" t="b">
        <f t="shared" si="7"/>
        <v>1</v>
      </c>
      <c r="AR42" t="s">
        <v>5061</v>
      </c>
      <c r="AS42" s="21">
        <v>46276</v>
      </c>
      <c r="AT42" t="s">
        <v>5064</v>
      </c>
      <c r="AU42" t="s">
        <v>5065</v>
      </c>
      <c r="AV42" t="s">
        <v>5088</v>
      </c>
      <c r="AW42" t="s">
        <v>5086</v>
      </c>
    </row>
    <row r="43" spans="1:49" x14ac:dyDescent="0.35">
      <c r="A43" t="s">
        <v>73</v>
      </c>
      <c r="B43" t="s">
        <v>74</v>
      </c>
      <c r="C43" t="s">
        <v>4818</v>
      </c>
      <c r="D43" t="s">
        <v>18</v>
      </c>
      <c r="E43" t="s">
        <v>171</v>
      </c>
      <c r="F43" t="s">
        <v>172</v>
      </c>
      <c r="G43" t="s">
        <v>21</v>
      </c>
      <c r="H43" t="s">
        <v>4834</v>
      </c>
      <c r="I43" t="s">
        <v>4835</v>
      </c>
      <c r="J43" s="4" t="s">
        <v>4836</v>
      </c>
      <c r="K43" s="4" t="s">
        <v>4845</v>
      </c>
      <c r="L43" s="4" t="s">
        <v>4859</v>
      </c>
      <c r="M43" s="4" t="s">
        <v>5035</v>
      </c>
      <c r="N43" t="s">
        <v>173</v>
      </c>
      <c r="O43" t="s">
        <v>174</v>
      </c>
      <c r="P43" t="s">
        <v>23</v>
      </c>
      <c r="Q43" t="s">
        <v>24</v>
      </c>
      <c r="R43" t="s">
        <v>25</v>
      </c>
      <c r="S43" t="s">
        <v>26</v>
      </c>
      <c r="T43" s="6">
        <v>46307</v>
      </c>
      <c r="U43">
        <v>56</v>
      </c>
      <c r="V43">
        <v>56</v>
      </c>
      <c r="W43">
        <v>56</v>
      </c>
      <c r="X43">
        <v>0</v>
      </c>
      <c r="Y43">
        <f t="shared" si="3"/>
        <v>56</v>
      </c>
      <c r="Z43">
        <f t="shared" si="4"/>
        <v>56</v>
      </c>
      <c r="AC43" s="1">
        <v>0</v>
      </c>
      <c r="AF43">
        <v>0</v>
      </c>
      <c r="AG43" s="7">
        <v>8</v>
      </c>
      <c r="AH43">
        <f t="shared" si="5"/>
        <v>0</v>
      </c>
      <c r="AI43">
        <f t="shared" si="2"/>
        <v>56</v>
      </c>
      <c r="AK43">
        <f t="shared" si="6"/>
        <v>0</v>
      </c>
      <c r="AL43">
        <v>21.63</v>
      </c>
      <c r="AM43" t="s">
        <v>27</v>
      </c>
      <c r="AN43">
        <v>21.63</v>
      </c>
      <c r="AO43" t="b">
        <f t="shared" si="7"/>
        <v>1</v>
      </c>
      <c r="AR43" t="s">
        <v>5061</v>
      </c>
      <c r="AS43" s="21">
        <v>46276</v>
      </c>
      <c r="AT43" t="s">
        <v>15</v>
      </c>
      <c r="AU43" t="s">
        <v>5060</v>
      </c>
      <c r="AV43" t="s">
        <v>5088</v>
      </c>
      <c r="AW43" t="s">
        <v>5060</v>
      </c>
    </row>
    <row r="44" spans="1:49" x14ac:dyDescent="0.35">
      <c r="A44" t="s">
        <v>73</v>
      </c>
      <c r="B44" t="s">
        <v>74</v>
      </c>
      <c r="C44" t="s">
        <v>4818</v>
      </c>
      <c r="D44" t="s">
        <v>18</v>
      </c>
      <c r="E44" t="s">
        <v>175</v>
      </c>
      <c r="F44" t="s">
        <v>176</v>
      </c>
      <c r="G44" t="s">
        <v>21</v>
      </c>
      <c r="H44" t="s">
        <v>4834</v>
      </c>
      <c r="I44" t="s">
        <v>4839</v>
      </c>
      <c r="J44" s="4" t="s">
        <v>4840</v>
      </c>
      <c r="K44" s="4" t="s">
        <v>4854</v>
      </c>
      <c r="L44" s="4" t="s">
        <v>4866</v>
      </c>
      <c r="M44" s="4" t="s">
        <v>5035</v>
      </c>
      <c r="N44" t="s">
        <v>177</v>
      </c>
      <c r="O44" t="s">
        <v>178</v>
      </c>
      <c r="P44" t="s">
        <v>23</v>
      </c>
      <c r="Q44" t="s">
        <v>24</v>
      </c>
      <c r="R44" t="s">
        <v>25</v>
      </c>
      <c r="S44" t="s">
        <v>26</v>
      </c>
      <c r="T44" s="6">
        <v>46307</v>
      </c>
      <c r="U44">
        <v>100</v>
      </c>
      <c r="V44">
        <v>100</v>
      </c>
      <c r="W44">
        <v>100</v>
      </c>
      <c r="X44">
        <v>100</v>
      </c>
      <c r="Y44">
        <f t="shared" si="3"/>
        <v>0</v>
      </c>
      <c r="Z44">
        <f t="shared" si="4"/>
        <v>0</v>
      </c>
      <c r="AC44" s="1">
        <v>0</v>
      </c>
      <c r="AF44">
        <f>V44</f>
        <v>100</v>
      </c>
      <c r="AG44" s="7">
        <v>10</v>
      </c>
      <c r="AH44">
        <f t="shared" si="5"/>
        <v>100</v>
      </c>
      <c r="AI44">
        <f t="shared" si="2"/>
        <v>0</v>
      </c>
      <c r="AK44">
        <f t="shared" si="6"/>
        <v>10</v>
      </c>
      <c r="AL44">
        <v>20.420000000000002</v>
      </c>
      <c r="AM44" t="s">
        <v>27</v>
      </c>
      <c r="AN44">
        <v>20.420000000000002</v>
      </c>
      <c r="AO44" t="b">
        <f t="shared" si="7"/>
        <v>1</v>
      </c>
      <c r="AR44" t="s">
        <v>5061</v>
      </c>
      <c r="AS44" s="21">
        <v>46276</v>
      </c>
      <c r="AT44" t="s">
        <v>5064</v>
      </c>
      <c r="AU44" t="s">
        <v>5065</v>
      </c>
      <c r="AV44" t="s">
        <v>5088</v>
      </c>
      <c r="AW44" t="s">
        <v>5086</v>
      </c>
    </row>
    <row r="45" spans="1:49" x14ac:dyDescent="0.35">
      <c r="A45" t="s">
        <v>73</v>
      </c>
      <c r="B45" t="s">
        <v>74</v>
      </c>
      <c r="C45" t="s">
        <v>4818</v>
      </c>
      <c r="D45" t="s">
        <v>18</v>
      </c>
      <c r="E45" t="s">
        <v>179</v>
      </c>
      <c r="F45" t="s">
        <v>180</v>
      </c>
      <c r="G45" t="s">
        <v>21</v>
      </c>
      <c r="H45" t="s">
        <v>4834</v>
      </c>
      <c r="I45" t="s">
        <v>4835</v>
      </c>
      <c r="J45" s="4" t="s">
        <v>4836</v>
      </c>
      <c r="K45" s="4" t="s">
        <v>4845</v>
      </c>
      <c r="L45" s="4" t="s">
        <v>4847</v>
      </c>
      <c r="M45" s="4" t="s">
        <v>5035</v>
      </c>
      <c r="N45" t="s">
        <v>181</v>
      </c>
      <c r="O45" t="s">
        <v>182</v>
      </c>
      <c r="P45" t="s">
        <v>23</v>
      </c>
      <c r="Q45" t="s">
        <v>24</v>
      </c>
      <c r="R45" t="s">
        <v>25</v>
      </c>
      <c r="S45" t="s">
        <v>26</v>
      </c>
      <c r="T45" s="6">
        <v>46307</v>
      </c>
      <c r="U45">
        <v>40</v>
      </c>
      <c r="V45">
        <v>40</v>
      </c>
      <c r="W45">
        <v>40</v>
      </c>
      <c r="X45">
        <v>0</v>
      </c>
      <c r="Y45">
        <f t="shared" si="3"/>
        <v>40</v>
      </c>
      <c r="Z45">
        <f t="shared" si="4"/>
        <v>40</v>
      </c>
      <c r="AC45" s="1">
        <v>0</v>
      </c>
      <c r="AF45">
        <v>0</v>
      </c>
      <c r="AG45" s="7">
        <v>8</v>
      </c>
      <c r="AH45">
        <f t="shared" si="5"/>
        <v>0</v>
      </c>
      <c r="AI45">
        <f t="shared" si="2"/>
        <v>40</v>
      </c>
      <c r="AK45">
        <f t="shared" si="6"/>
        <v>0</v>
      </c>
      <c r="AL45">
        <v>21.63</v>
      </c>
      <c r="AM45" t="s">
        <v>27</v>
      </c>
      <c r="AN45">
        <v>21.63</v>
      </c>
      <c r="AO45" t="b">
        <f t="shared" si="7"/>
        <v>1</v>
      </c>
      <c r="AR45" t="s">
        <v>5061</v>
      </c>
      <c r="AS45" s="21">
        <v>46276</v>
      </c>
      <c r="AT45" t="s">
        <v>15</v>
      </c>
      <c r="AU45" t="s">
        <v>5060</v>
      </c>
      <c r="AV45" t="s">
        <v>5088</v>
      </c>
      <c r="AW45" t="s">
        <v>5060</v>
      </c>
    </row>
    <row r="46" spans="1:49" x14ac:dyDescent="0.35">
      <c r="A46" t="s">
        <v>73</v>
      </c>
      <c r="B46" t="s">
        <v>74</v>
      </c>
      <c r="C46" t="s">
        <v>4818</v>
      </c>
      <c r="D46" t="s">
        <v>18</v>
      </c>
      <c r="E46" t="s">
        <v>183</v>
      </c>
      <c r="F46" t="s">
        <v>184</v>
      </c>
      <c r="G46" t="s">
        <v>21</v>
      </c>
      <c r="H46" t="s">
        <v>4834</v>
      </c>
      <c r="I46" t="s">
        <v>4839</v>
      </c>
      <c r="J46" s="4" t="s">
        <v>4840</v>
      </c>
      <c r="K46" s="4" t="s">
        <v>4845</v>
      </c>
      <c r="L46" s="4" t="s">
        <v>4847</v>
      </c>
      <c r="M46" s="4" t="s">
        <v>5035</v>
      </c>
      <c r="N46" t="s">
        <v>185</v>
      </c>
      <c r="O46" t="s">
        <v>186</v>
      </c>
      <c r="P46" t="s">
        <v>23</v>
      </c>
      <c r="Q46" t="s">
        <v>24</v>
      </c>
      <c r="R46" t="s">
        <v>25</v>
      </c>
      <c r="S46" t="s">
        <v>26</v>
      </c>
      <c r="T46" s="6">
        <v>46307</v>
      </c>
      <c r="U46">
        <v>70</v>
      </c>
      <c r="V46">
        <v>70</v>
      </c>
      <c r="W46">
        <v>70</v>
      </c>
      <c r="X46">
        <v>0</v>
      </c>
      <c r="Y46">
        <f t="shared" si="3"/>
        <v>70</v>
      </c>
      <c r="Z46">
        <f t="shared" si="4"/>
        <v>70</v>
      </c>
      <c r="AC46" s="1">
        <v>0</v>
      </c>
      <c r="AF46">
        <v>0</v>
      </c>
      <c r="AG46" s="7">
        <v>10</v>
      </c>
      <c r="AH46">
        <f t="shared" si="5"/>
        <v>0</v>
      </c>
      <c r="AI46">
        <f t="shared" si="2"/>
        <v>70</v>
      </c>
      <c r="AK46">
        <f t="shared" si="6"/>
        <v>0</v>
      </c>
      <c r="AL46">
        <v>20.420000000000002</v>
      </c>
      <c r="AM46" t="s">
        <v>27</v>
      </c>
      <c r="AN46">
        <v>20.420000000000002</v>
      </c>
      <c r="AO46" t="b">
        <f t="shared" si="7"/>
        <v>1</v>
      </c>
      <c r="AR46" t="s">
        <v>5061</v>
      </c>
      <c r="AS46" s="21">
        <v>46276</v>
      </c>
      <c r="AT46" t="s">
        <v>15</v>
      </c>
      <c r="AU46" t="s">
        <v>5060</v>
      </c>
      <c r="AV46" t="s">
        <v>5088</v>
      </c>
      <c r="AW46" t="s">
        <v>5060</v>
      </c>
    </row>
    <row r="47" spans="1:49" x14ac:dyDescent="0.35">
      <c r="A47" t="s">
        <v>73</v>
      </c>
      <c r="B47" t="s">
        <v>74</v>
      </c>
      <c r="C47" t="s">
        <v>4818</v>
      </c>
      <c r="D47" t="s">
        <v>18</v>
      </c>
      <c r="E47" t="s">
        <v>187</v>
      </c>
      <c r="F47" t="s">
        <v>188</v>
      </c>
      <c r="G47" t="s">
        <v>21</v>
      </c>
      <c r="H47" t="s">
        <v>4834</v>
      </c>
      <c r="I47" t="s">
        <v>4849</v>
      </c>
      <c r="J47" s="4" t="s">
        <v>4850</v>
      </c>
      <c r="K47" s="4" t="s">
        <v>4852</v>
      </c>
      <c r="L47" s="4" t="s">
        <v>4867</v>
      </c>
      <c r="M47" s="4" t="s">
        <v>5035</v>
      </c>
      <c r="N47" t="s">
        <v>189</v>
      </c>
      <c r="O47" t="s">
        <v>190</v>
      </c>
      <c r="P47" t="s">
        <v>23</v>
      </c>
      <c r="Q47" t="s">
        <v>24</v>
      </c>
      <c r="R47" t="s">
        <v>25</v>
      </c>
      <c r="S47" t="s">
        <v>26</v>
      </c>
      <c r="T47" s="6">
        <v>46307</v>
      </c>
      <c r="U47">
        <v>84</v>
      </c>
      <c r="V47">
        <v>84</v>
      </c>
      <c r="W47">
        <v>90</v>
      </c>
      <c r="X47">
        <v>90</v>
      </c>
      <c r="Y47">
        <f t="shared" si="3"/>
        <v>0</v>
      </c>
      <c r="Z47">
        <f t="shared" si="4"/>
        <v>-6</v>
      </c>
      <c r="AC47" s="1">
        <v>0</v>
      </c>
      <c r="AF47">
        <f>V47</f>
        <v>84</v>
      </c>
      <c r="AG47" s="7">
        <v>6</v>
      </c>
      <c r="AH47">
        <f t="shared" si="5"/>
        <v>84</v>
      </c>
      <c r="AI47">
        <f t="shared" si="2"/>
        <v>0</v>
      </c>
      <c r="AK47">
        <f t="shared" si="6"/>
        <v>14</v>
      </c>
      <c r="AL47">
        <v>14.78</v>
      </c>
      <c r="AM47" t="s">
        <v>27</v>
      </c>
      <c r="AN47">
        <v>14.78</v>
      </c>
      <c r="AO47" t="b">
        <f t="shared" si="7"/>
        <v>1</v>
      </c>
      <c r="AR47" t="s">
        <v>5061</v>
      </c>
      <c r="AS47" s="21">
        <v>46276</v>
      </c>
      <c r="AT47" t="s">
        <v>5064</v>
      </c>
      <c r="AU47" t="s">
        <v>5066</v>
      </c>
      <c r="AV47" t="s">
        <v>5088</v>
      </c>
      <c r="AW47" t="s">
        <v>5086</v>
      </c>
    </row>
    <row r="48" spans="1:49" x14ac:dyDescent="0.35">
      <c r="A48" t="s">
        <v>73</v>
      </c>
      <c r="B48" t="s">
        <v>74</v>
      </c>
      <c r="C48" t="s">
        <v>4818</v>
      </c>
      <c r="D48" t="s">
        <v>18</v>
      </c>
      <c r="E48" t="s">
        <v>191</v>
      </c>
      <c r="F48" t="s">
        <v>192</v>
      </c>
      <c r="G48" t="s">
        <v>21</v>
      </c>
      <c r="H48" t="s">
        <v>4834</v>
      </c>
      <c r="I48" t="s">
        <v>4839</v>
      </c>
      <c r="J48" s="4" t="s">
        <v>4840</v>
      </c>
      <c r="K48" s="4" t="s">
        <v>4832</v>
      </c>
      <c r="L48" s="4" t="s">
        <v>4868</v>
      </c>
      <c r="M48" s="4" t="s">
        <v>5035</v>
      </c>
      <c r="N48" t="s">
        <v>193</v>
      </c>
      <c r="O48" t="s">
        <v>194</v>
      </c>
      <c r="P48" t="s">
        <v>23</v>
      </c>
      <c r="Q48" t="s">
        <v>24</v>
      </c>
      <c r="R48" t="s">
        <v>25</v>
      </c>
      <c r="S48" t="s">
        <v>26</v>
      </c>
      <c r="T48" s="6">
        <v>46307</v>
      </c>
      <c r="U48">
        <v>110</v>
      </c>
      <c r="V48">
        <v>110</v>
      </c>
      <c r="W48">
        <v>120</v>
      </c>
      <c r="X48">
        <v>120</v>
      </c>
      <c r="Y48">
        <f t="shared" si="3"/>
        <v>0</v>
      </c>
      <c r="Z48">
        <f t="shared" si="4"/>
        <v>-10</v>
      </c>
      <c r="AC48" s="1">
        <v>0</v>
      </c>
      <c r="AF48">
        <f>V48</f>
        <v>110</v>
      </c>
      <c r="AG48" s="7">
        <v>10</v>
      </c>
      <c r="AH48">
        <f t="shared" si="5"/>
        <v>110</v>
      </c>
      <c r="AI48">
        <f t="shared" si="2"/>
        <v>0</v>
      </c>
      <c r="AK48">
        <f t="shared" si="6"/>
        <v>11</v>
      </c>
      <c r="AL48">
        <v>20.420000000000002</v>
      </c>
      <c r="AM48" t="s">
        <v>27</v>
      </c>
      <c r="AN48">
        <v>20.420000000000002</v>
      </c>
      <c r="AO48" t="b">
        <f t="shared" si="7"/>
        <v>1</v>
      </c>
      <c r="AR48" t="s">
        <v>5061</v>
      </c>
      <c r="AS48" s="21">
        <v>46276</v>
      </c>
      <c r="AT48" t="s">
        <v>5064</v>
      </c>
      <c r="AU48" t="s">
        <v>5065</v>
      </c>
      <c r="AV48" t="s">
        <v>5088</v>
      </c>
      <c r="AW48" t="s">
        <v>5086</v>
      </c>
    </row>
    <row r="49" spans="1:49" x14ac:dyDescent="0.35">
      <c r="A49" t="s">
        <v>73</v>
      </c>
      <c r="B49" t="s">
        <v>74</v>
      </c>
      <c r="C49" t="s">
        <v>4818</v>
      </c>
      <c r="D49" t="s">
        <v>18</v>
      </c>
      <c r="E49" t="s">
        <v>195</v>
      </c>
      <c r="F49" t="s">
        <v>196</v>
      </c>
      <c r="G49" t="s">
        <v>21</v>
      </c>
      <c r="H49" t="s">
        <v>4834</v>
      </c>
      <c r="I49" t="s">
        <v>4849</v>
      </c>
      <c r="J49" s="4" t="s">
        <v>4850</v>
      </c>
      <c r="K49" s="4" t="s">
        <v>4862</v>
      </c>
      <c r="L49" s="4" t="s">
        <v>4869</v>
      </c>
      <c r="M49" s="4" t="s">
        <v>5035</v>
      </c>
      <c r="N49" t="s">
        <v>197</v>
      </c>
      <c r="O49" t="s">
        <v>198</v>
      </c>
      <c r="P49" t="s">
        <v>23</v>
      </c>
      <c r="Q49" t="s">
        <v>24</v>
      </c>
      <c r="R49" t="s">
        <v>25</v>
      </c>
      <c r="S49" t="s">
        <v>26</v>
      </c>
      <c r="T49" s="6">
        <v>46307</v>
      </c>
      <c r="U49">
        <v>84</v>
      </c>
      <c r="V49">
        <v>84</v>
      </c>
      <c r="W49">
        <v>84</v>
      </c>
      <c r="X49">
        <v>84</v>
      </c>
      <c r="Y49">
        <f t="shared" si="3"/>
        <v>0</v>
      </c>
      <c r="Z49">
        <f t="shared" si="4"/>
        <v>0</v>
      </c>
      <c r="AC49" s="1">
        <v>0</v>
      </c>
      <c r="AF49">
        <f>V49</f>
        <v>84</v>
      </c>
      <c r="AG49" s="7">
        <v>6</v>
      </c>
      <c r="AH49">
        <f t="shared" si="5"/>
        <v>84</v>
      </c>
      <c r="AI49">
        <f t="shared" si="2"/>
        <v>0</v>
      </c>
      <c r="AK49">
        <f t="shared" si="6"/>
        <v>14</v>
      </c>
      <c r="AL49">
        <v>14.78</v>
      </c>
      <c r="AM49" t="s">
        <v>27</v>
      </c>
      <c r="AN49">
        <v>14.78</v>
      </c>
      <c r="AO49" t="b">
        <f t="shared" si="7"/>
        <v>1</v>
      </c>
      <c r="AR49" t="s">
        <v>5061</v>
      </c>
      <c r="AS49" s="21">
        <v>46276</v>
      </c>
      <c r="AT49" t="s">
        <v>5064</v>
      </c>
      <c r="AU49" t="s">
        <v>5066</v>
      </c>
      <c r="AV49" t="s">
        <v>5088</v>
      </c>
      <c r="AW49" t="s">
        <v>5086</v>
      </c>
    </row>
    <row r="50" spans="1:49" x14ac:dyDescent="0.35">
      <c r="A50" t="s">
        <v>73</v>
      </c>
      <c r="B50" t="s">
        <v>74</v>
      </c>
      <c r="C50" t="s">
        <v>4818</v>
      </c>
      <c r="D50" t="s">
        <v>18</v>
      </c>
      <c r="E50" t="s">
        <v>199</v>
      </c>
      <c r="F50" t="s">
        <v>200</v>
      </c>
      <c r="G50" t="s">
        <v>21</v>
      </c>
      <c r="H50" t="s">
        <v>4834</v>
      </c>
      <c r="I50" t="s">
        <v>4835</v>
      </c>
      <c r="J50" s="4" t="s">
        <v>4836</v>
      </c>
      <c r="K50" s="4" t="s">
        <v>4845</v>
      </c>
      <c r="L50" s="4" t="s">
        <v>4848</v>
      </c>
      <c r="M50" s="4" t="s">
        <v>5035</v>
      </c>
      <c r="N50" t="s">
        <v>201</v>
      </c>
      <c r="O50" t="s">
        <v>202</v>
      </c>
      <c r="P50" t="s">
        <v>23</v>
      </c>
      <c r="Q50" t="s">
        <v>24</v>
      </c>
      <c r="R50" t="s">
        <v>25</v>
      </c>
      <c r="S50" t="s">
        <v>26</v>
      </c>
      <c r="T50" s="6">
        <v>46307</v>
      </c>
      <c r="U50">
        <v>40</v>
      </c>
      <c r="V50">
        <v>40</v>
      </c>
      <c r="W50">
        <v>48</v>
      </c>
      <c r="X50">
        <v>0</v>
      </c>
      <c r="Y50">
        <f t="shared" si="3"/>
        <v>48</v>
      </c>
      <c r="Z50">
        <f t="shared" si="4"/>
        <v>40</v>
      </c>
      <c r="AC50" s="1">
        <v>0</v>
      </c>
      <c r="AF50">
        <v>0</v>
      </c>
      <c r="AG50" s="7">
        <v>8</v>
      </c>
      <c r="AH50">
        <f t="shared" si="5"/>
        <v>0</v>
      </c>
      <c r="AI50">
        <f t="shared" si="2"/>
        <v>40</v>
      </c>
      <c r="AK50">
        <f t="shared" si="6"/>
        <v>0</v>
      </c>
      <c r="AL50">
        <v>21.63</v>
      </c>
      <c r="AM50" t="s">
        <v>27</v>
      </c>
      <c r="AN50">
        <v>21.63</v>
      </c>
      <c r="AO50" t="b">
        <f t="shared" si="7"/>
        <v>1</v>
      </c>
      <c r="AR50" t="s">
        <v>5061</v>
      </c>
      <c r="AS50" s="21">
        <v>46276</v>
      </c>
      <c r="AT50" t="s">
        <v>15</v>
      </c>
      <c r="AU50" t="s">
        <v>5060</v>
      </c>
      <c r="AV50" t="s">
        <v>5088</v>
      </c>
      <c r="AW50" t="s">
        <v>5060</v>
      </c>
    </row>
    <row r="51" spans="1:49" x14ac:dyDescent="0.35">
      <c r="A51" t="s">
        <v>73</v>
      </c>
      <c r="B51" t="s">
        <v>74</v>
      </c>
      <c r="C51" t="s">
        <v>4818</v>
      </c>
      <c r="D51" t="s">
        <v>18</v>
      </c>
      <c r="E51" t="s">
        <v>203</v>
      </c>
      <c r="F51" t="s">
        <v>204</v>
      </c>
      <c r="G51" t="s">
        <v>21</v>
      </c>
      <c r="H51" t="s">
        <v>4834</v>
      </c>
      <c r="I51" t="s">
        <v>4849</v>
      </c>
      <c r="J51" s="4" t="s">
        <v>4850</v>
      </c>
      <c r="K51" s="4" t="s">
        <v>4852</v>
      </c>
      <c r="L51" s="4" t="s">
        <v>4870</v>
      </c>
      <c r="M51" s="4" t="s">
        <v>5035</v>
      </c>
      <c r="N51" t="s">
        <v>205</v>
      </c>
      <c r="O51" t="s">
        <v>206</v>
      </c>
      <c r="P51" t="s">
        <v>23</v>
      </c>
      <c r="Q51" t="s">
        <v>24</v>
      </c>
      <c r="R51" t="s">
        <v>25</v>
      </c>
      <c r="S51" t="s">
        <v>26</v>
      </c>
      <c r="T51" s="6">
        <v>46307</v>
      </c>
      <c r="U51">
        <v>84</v>
      </c>
      <c r="V51">
        <v>84</v>
      </c>
      <c r="W51">
        <v>90</v>
      </c>
      <c r="X51">
        <v>90</v>
      </c>
      <c r="Y51">
        <f t="shared" si="3"/>
        <v>0</v>
      </c>
      <c r="Z51">
        <f t="shared" si="4"/>
        <v>-6</v>
      </c>
      <c r="AC51" s="1">
        <v>0</v>
      </c>
      <c r="AF51">
        <f>V51</f>
        <v>84</v>
      </c>
      <c r="AG51" s="7">
        <v>6</v>
      </c>
      <c r="AH51">
        <f t="shared" si="5"/>
        <v>84</v>
      </c>
      <c r="AI51">
        <f t="shared" si="2"/>
        <v>0</v>
      </c>
      <c r="AK51">
        <f t="shared" si="6"/>
        <v>14</v>
      </c>
      <c r="AL51">
        <v>14.78</v>
      </c>
      <c r="AM51" t="s">
        <v>27</v>
      </c>
      <c r="AN51">
        <v>14.78</v>
      </c>
      <c r="AO51" t="b">
        <f t="shared" si="7"/>
        <v>1</v>
      </c>
      <c r="AR51" t="s">
        <v>5061</v>
      </c>
      <c r="AS51" s="21">
        <v>46276</v>
      </c>
      <c r="AT51" t="s">
        <v>5064</v>
      </c>
      <c r="AU51" t="s">
        <v>5066</v>
      </c>
      <c r="AV51" t="s">
        <v>5088</v>
      </c>
      <c r="AW51" t="s">
        <v>5086</v>
      </c>
    </row>
    <row r="52" spans="1:49" x14ac:dyDescent="0.35">
      <c r="A52" t="s">
        <v>73</v>
      </c>
      <c r="B52" t="s">
        <v>74</v>
      </c>
      <c r="C52" t="s">
        <v>4818</v>
      </c>
      <c r="D52" t="s">
        <v>18</v>
      </c>
      <c r="E52" t="s">
        <v>207</v>
      </c>
      <c r="F52" t="s">
        <v>208</v>
      </c>
      <c r="G52" t="s">
        <v>21</v>
      </c>
      <c r="H52" t="s">
        <v>4834</v>
      </c>
      <c r="I52" t="s">
        <v>4835</v>
      </c>
      <c r="J52" s="4" t="s">
        <v>4836</v>
      </c>
      <c r="K52" s="4" t="s">
        <v>4845</v>
      </c>
      <c r="L52" s="4" t="s">
        <v>4842</v>
      </c>
      <c r="M52" s="4" t="s">
        <v>5035</v>
      </c>
      <c r="N52" t="s">
        <v>209</v>
      </c>
      <c r="O52" t="s">
        <v>210</v>
      </c>
      <c r="P52" t="s">
        <v>23</v>
      </c>
      <c r="Q52" t="s">
        <v>24</v>
      </c>
      <c r="R52" t="s">
        <v>25</v>
      </c>
      <c r="S52" t="s">
        <v>26</v>
      </c>
      <c r="T52" s="6">
        <v>46307</v>
      </c>
      <c r="U52">
        <v>104</v>
      </c>
      <c r="V52">
        <v>104</v>
      </c>
      <c r="W52">
        <v>112</v>
      </c>
      <c r="X52">
        <v>0</v>
      </c>
      <c r="Y52">
        <f t="shared" si="3"/>
        <v>112</v>
      </c>
      <c r="Z52">
        <f t="shared" si="4"/>
        <v>104</v>
      </c>
      <c r="AC52" s="1">
        <v>0</v>
      </c>
      <c r="AF52">
        <v>0</v>
      </c>
      <c r="AG52" s="7">
        <v>8</v>
      </c>
      <c r="AH52">
        <f t="shared" si="5"/>
        <v>0</v>
      </c>
      <c r="AI52">
        <f t="shared" si="2"/>
        <v>104</v>
      </c>
      <c r="AK52">
        <f t="shared" si="6"/>
        <v>0</v>
      </c>
      <c r="AL52">
        <v>21.63</v>
      </c>
      <c r="AM52" t="s">
        <v>27</v>
      </c>
      <c r="AN52">
        <v>21.63</v>
      </c>
      <c r="AO52" t="b">
        <f t="shared" si="7"/>
        <v>1</v>
      </c>
      <c r="AR52" t="s">
        <v>5061</v>
      </c>
      <c r="AS52" s="21">
        <v>46276</v>
      </c>
      <c r="AT52" t="s">
        <v>15</v>
      </c>
      <c r="AU52" t="s">
        <v>5060</v>
      </c>
      <c r="AV52" t="s">
        <v>5088</v>
      </c>
      <c r="AW52" t="s">
        <v>5060</v>
      </c>
    </row>
    <row r="53" spans="1:49" x14ac:dyDescent="0.35">
      <c r="A53" t="s">
        <v>73</v>
      </c>
      <c r="B53" t="s">
        <v>74</v>
      </c>
      <c r="C53" t="s">
        <v>4818</v>
      </c>
      <c r="D53" t="s">
        <v>18</v>
      </c>
      <c r="E53" t="s">
        <v>211</v>
      </c>
      <c r="F53" t="s">
        <v>212</v>
      </c>
      <c r="G53" t="s">
        <v>21</v>
      </c>
      <c r="H53" t="s">
        <v>4834</v>
      </c>
      <c r="I53" t="s">
        <v>4849</v>
      </c>
      <c r="J53" s="4" t="s">
        <v>4850</v>
      </c>
      <c r="K53" s="4" t="s">
        <v>4852</v>
      </c>
      <c r="L53" s="4" t="s">
        <v>4871</v>
      </c>
      <c r="M53" s="4" t="s">
        <v>5035</v>
      </c>
      <c r="N53" t="s">
        <v>213</v>
      </c>
      <c r="O53" t="s">
        <v>214</v>
      </c>
      <c r="P53" t="s">
        <v>23</v>
      </c>
      <c r="Q53" t="s">
        <v>24</v>
      </c>
      <c r="R53" t="s">
        <v>25</v>
      </c>
      <c r="S53" t="s">
        <v>26</v>
      </c>
      <c r="T53" s="6">
        <v>46307</v>
      </c>
      <c r="U53">
        <v>90</v>
      </c>
      <c r="V53">
        <v>90</v>
      </c>
      <c r="W53">
        <v>96</v>
      </c>
      <c r="X53">
        <v>96</v>
      </c>
      <c r="Y53">
        <f t="shared" si="3"/>
        <v>0</v>
      </c>
      <c r="Z53">
        <f t="shared" si="4"/>
        <v>-6</v>
      </c>
      <c r="AC53" s="1">
        <v>0</v>
      </c>
      <c r="AF53">
        <f>V53</f>
        <v>90</v>
      </c>
      <c r="AG53" s="7">
        <v>6</v>
      </c>
      <c r="AH53">
        <f t="shared" si="5"/>
        <v>90</v>
      </c>
      <c r="AI53">
        <f t="shared" si="2"/>
        <v>0</v>
      </c>
      <c r="AK53">
        <f t="shared" si="6"/>
        <v>15</v>
      </c>
      <c r="AL53">
        <v>14.78</v>
      </c>
      <c r="AM53" t="s">
        <v>27</v>
      </c>
      <c r="AN53">
        <v>14.78</v>
      </c>
      <c r="AO53" t="b">
        <f t="shared" si="7"/>
        <v>1</v>
      </c>
      <c r="AR53" t="s">
        <v>5061</v>
      </c>
      <c r="AS53" s="21">
        <v>46276</v>
      </c>
      <c r="AT53" t="s">
        <v>5064</v>
      </c>
      <c r="AU53" t="s">
        <v>5066</v>
      </c>
      <c r="AV53" t="s">
        <v>5088</v>
      </c>
      <c r="AW53" t="s">
        <v>5086</v>
      </c>
    </row>
    <row r="54" spans="1:49" x14ac:dyDescent="0.35">
      <c r="A54" t="s">
        <v>73</v>
      </c>
      <c r="B54" t="s">
        <v>74</v>
      </c>
      <c r="C54" t="s">
        <v>4818</v>
      </c>
      <c r="D54" t="s">
        <v>18</v>
      </c>
      <c r="E54" t="s">
        <v>215</v>
      </c>
      <c r="F54" t="s">
        <v>216</v>
      </c>
      <c r="G54" t="s">
        <v>21</v>
      </c>
      <c r="H54" t="s">
        <v>4834</v>
      </c>
      <c r="I54" t="s">
        <v>4839</v>
      </c>
      <c r="J54" s="4" t="s">
        <v>4840</v>
      </c>
      <c r="K54" s="4" t="s">
        <v>4837</v>
      </c>
      <c r="L54" s="4" t="s">
        <v>4856</v>
      </c>
      <c r="M54" s="4" t="s">
        <v>5035</v>
      </c>
      <c r="N54" t="s">
        <v>217</v>
      </c>
      <c r="O54" t="s">
        <v>218</v>
      </c>
      <c r="P54" t="s">
        <v>23</v>
      </c>
      <c r="Q54" t="s">
        <v>24</v>
      </c>
      <c r="R54" t="s">
        <v>25</v>
      </c>
      <c r="S54" t="s">
        <v>26</v>
      </c>
      <c r="T54" s="6">
        <v>46307</v>
      </c>
      <c r="U54">
        <v>70</v>
      </c>
      <c r="V54">
        <v>70</v>
      </c>
      <c r="W54">
        <v>70</v>
      </c>
      <c r="X54">
        <v>0</v>
      </c>
      <c r="Y54">
        <f t="shared" si="3"/>
        <v>70</v>
      </c>
      <c r="Z54">
        <f t="shared" si="4"/>
        <v>70</v>
      </c>
      <c r="AC54" s="1">
        <v>0</v>
      </c>
      <c r="AF54">
        <v>0</v>
      </c>
      <c r="AG54" s="7">
        <v>10</v>
      </c>
      <c r="AH54">
        <f t="shared" si="5"/>
        <v>0</v>
      </c>
      <c r="AI54">
        <f t="shared" si="2"/>
        <v>70</v>
      </c>
      <c r="AK54">
        <f t="shared" si="6"/>
        <v>0</v>
      </c>
      <c r="AL54">
        <v>20.420000000000002</v>
      </c>
      <c r="AM54" t="s">
        <v>27</v>
      </c>
      <c r="AN54">
        <v>20.420000000000002</v>
      </c>
      <c r="AO54" t="b">
        <f t="shared" si="7"/>
        <v>1</v>
      </c>
      <c r="AR54" t="s">
        <v>5061</v>
      </c>
      <c r="AS54" s="21">
        <v>46276</v>
      </c>
      <c r="AT54" t="s">
        <v>15</v>
      </c>
      <c r="AU54" t="s">
        <v>5060</v>
      </c>
      <c r="AV54" t="s">
        <v>5088</v>
      </c>
      <c r="AW54" t="s">
        <v>5060</v>
      </c>
    </row>
    <row r="55" spans="1:49" x14ac:dyDescent="0.35">
      <c r="A55" t="s">
        <v>73</v>
      </c>
      <c r="B55" t="s">
        <v>74</v>
      </c>
      <c r="C55" t="s">
        <v>4818</v>
      </c>
      <c r="D55" t="s">
        <v>18</v>
      </c>
      <c r="E55" t="s">
        <v>219</v>
      </c>
      <c r="F55" t="s">
        <v>220</v>
      </c>
      <c r="G55" t="s">
        <v>21</v>
      </c>
      <c r="H55" t="s">
        <v>4834</v>
      </c>
      <c r="I55" t="s">
        <v>4835</v>
      </c>
      <c r="J55" s="4" t="s">
        <v>4836</v>
      </c>
      <c r="K55" s="4" t="s">
        <v>4832</v>
      </c>
      <c r="L55" s="4" t="s">
        <v>4858</v>
      </c>
      <c r="M55" s="4" t="s">
        <v>5035</v>
      </c>
      <c r="N55" t="s">
        <v>221</v>
      </c>
      <c r="O55" t="s">
        <v>222</v>
      </c>
      <c r="P55" t="s">
        <v>23</v>
      </c>
      <c r="Q55" t="s">
        <v>24</v>
      </c>
      <c r="R55" t="s">
        <v>25</v>
      </c>
      <c r="S55" t="s">
        <v>26</v>
      </c>
      <c r="T55" s="6">
        <v>46307</v>
      </c>
      <c r="U55">
        <v>128</v>
      </c>
      <c r="V55">
        <v>128</v>
      </c>
      <c r="W55">
        <v>136</v>
      </c>
      <c r="X55">
        <v>0</v>
      </c>
      <c r="Y55">
        <f t="shared" si="3"/>
        <v>136</v>
      </c>
      <c r="Z55">
        <f t="shared" si="4"/>
        <v>128</v>
      </c>
      <c r="AC55" s="1">
        <v>0</v>
      </c>
      <c r="AF55">
        <v>0</v>
      </c>
      <c r="AG55" s="7">
        <v>8</v>
      </c>
      <c r="AH55">
        <f t="shared" si="5"/>
        <v>0</v>
      </c>
      <c r="AI55">
        <f t="shared" si="2"/>
        <v>128</v>
      </c>
      <c r="AK55">
        <f t="shared" si="6"/>
        <v>0</v>
      </c>
      <c r="AL55">
        <v>21.63</v>
      </c>
      <c r="AM55" t="s">
        <v>27</v>
      </c>
      <c r="AN55">
        <v>21.63</v>
      </c>
      <c r="AO55" t="b">
        <f t="shared" si="7"/>
        <v>1</v>
      </c>
      <c r="AR55" t="s">
        <v>5061</v>
      </c>
      <c r="AS55" s="21">
        <v>46276</v>
      </c>
      <c r="AT55" t="s">
        <v>15</v>
      </c>
      <c r="AU55" t="s">
        <v>5060</v>
      </c>
      <c r="AV55" t="s">
        <v>5088</v>
      </c>
      <c r="AW55" t="s">
        <v>5060</v>
      </c>
    </row>
    <row r="56" spans="1:49" x14ac:dyDescent="0.35">
      <c r="A56" t="s">
        <v>73</v>
      </c>
      <c r="B56" t="s">
        <v>74</v>
      </c>
      <c r="C56" t="s">
        <v>4818</v>
      </c>
      <c r="D56" t="s">
        <v>18</v>
      </c>
      <c r="E56" t="s">
        <v>223</v>
      </c>
      <c r="F56" t="s">
        <v>224</v>
      </c>
      <c r="G56" t="s">
        <v>21</v>
      </c>
      <c r="H56" t="s">
        <v>4834</v>
      </c>
      <c r="I56" t="s">
        <v>4839</v>
      </c>
      <c r="J56" s="4" t="s">
        <v>4840</v>
      </c>
      <c r="K56" s="4" t="s">
        <v>4837</v>
      </c>
      <c r="L56" s="4" t="s">
        <v>4872</v>
      </c>
      <c r="M56" s="4" t="s">
        <v>5035</v>
      </c>
      <c r="N56" t="s">
        <v>225</v>
      </c>
      <c r="O56" t="s">
        <v>226</v>
      </c>
      <c r="P56" t="s">
        <v>23</v>
      </c>
      <c r="Q56" t="s">
        <v>24</v>
      </c>
      <c r="R56" t="s">
        <v>25</v>
      </c>
      <c r="S56" t="s">
        <v>26</v>
      </c>
      <c r="T56" s="6">
        <v>46307</v>
      </c>
      <c r="U56">
        <v>60</v>
      </c>
      <c r="V56">
        <v>60</v>
      </c>
      <c r="W56">
        <v>60</v>
      </c>
      <c r="X56">
        <v>0</v>
      </c>
      <c r="Y56">
        <f t="shared" si="3"/>
        <v>60</v>
      </c>
      <c r="Z56">
        <f t="shared" si="4"/>
        <v>60</v>
      </c>
      <c r="AC56" s="1">
        <v>0</v>
      </c>
      <c r="AF56">
        <v>0</v>
      </c>
      <c r="AG56" s="7">
        <v>10</v>
      </c>
      <c r="AH56">
        <f t="shared" si="5"/>
        <v>0</v>
      </c>
      <c r="AI56">
        <f t="shared" si="2"/>
        <v>60</v>
      </c>
      <c r="AK56">
        <f t="shared" si="6"/>
        <v>0</v>
      </c>
      <c r="AL56">
        <v>20.420000000000002</v>
      </c>
      <c r="AM56" t="s">
        <v>27</v>
      </c>
      <c r="AN56">
        <v>20.420000000000002</v>
      </c>
      <c r="AO56" t="b">
        <f t="shared" si="7"/>
        <v>1</v>
      </c>
      <c r="AR56" t="s">
        <v>5061</v>
      </c>
      <c r="AS56" s="21">
        <v>46276</v>
      </c>
      <c r="AT56" t="s">
        <v>15</v>
      </c>
      <c r="AU56" t="s">
        <v>5060</v>
      </c>
      <c r="AV56" t="s">
        <v>5088</v>
      </c>
      <c r="AW56" t="s">
        <v>5060</v>
      </c>
    </row>
    <row r="57" spans="1:49" x14ac:dyDescent="0.35">
      <c r="A57" t="s">
        <v>73</v>
      </c>
      <c r="B57" t="s">
        <v>74</v>
      </c>
      <c r="C57" t="s">
        <v>4818</v>
      </c>
      <c r="D57" t="s">
        <v>18</v>
      </c>
      <c r="E57" t="s">
        <v>227</v>
      </c>
      <c r="F57" t="s">
        <v>228</v>
      </c>
      <c r="G57" t="s">
        <v>21</v>
      </c>
      <c r="H57" t="s">
        <v>4834</v>
      </c>
      <c r="I57" t="s">
        <v>4835</v>
      </c>
      <c r="J57" s="4" t="s">
        <v>4836</v>
      </c>
      <c r="K57" s="4" t="s">
        <v>4832</v>
      </c>
      <c r="L57" s="4" t="s">
        <v>4865</v>
      </c>
      <c r="M57" s="4" t="s">
        <v>5035</v>
      </c>
      <c r="N57" t="s">
        <v>229</v>
      </c>
      <c r="O57" t="s">
        <v>230</v>
      </c>
      <c r="P57" t="s">
        <v>23</v>
      </c>
      <c r="Q57" t="s">
        <v>24</v>
      </c>
      <c r="R57" t="s">
        <v>25</v>
      </c>
      <c r="S57" t="s">
        <v>26</v>
      </c>
      <c r="T57" s="6">
        <v>46307</v>
      </c>
      <c r="U57">
        <v>80</v>
      </c>
      <c r="V57">
        <v>80</v>
      </c>
      <c r="W57">
        <v>80</v>
      </c>
      <c r="X57">
        <v>0</v>
      </c>
      <c r="Y57">
        <f t="shared" si="3"/>
        <v>80</v>
      </c>
      <c r="Z57">
        <f t="shared" si="4"/>
        <v>80</v>
      </c>
      <c r="AC57" s="1">
        <v>0</v>
      </c>
      <c r="AF57">
        <v>0</v>
      </c>
      <c r="AG57" s="7">
        <v>8</v>
      </c>
      <c r="AH57">
        <f t="shared" si="5"/>
        <v>0</v>
      </c>
      <c r="AI57">
        <f t="shared" si="2"/>
        <v>80</v>
      </c>
      <c r="AK57">
        <f t="shared" si="6"/>
        <v>0</v>
      </c>
      <c r="AL57">
        <v>21.63</v>
      </c>
      <c r="AM57" t="s">
        <v>27</v>
      </c>
      <c r="AN57">
        <v>21.63</v>
      </c>
      <c r="AO57" t="b">
        <f t="shared" si="7"/>
        <v>1</v>
      </c>
      <c r="AR57" t="s">
        <v>5061</v>
      </c>
      <c r="AS57" s="21">
        <v>46276</v>
      </c>
      <c r="AT57" t="s">
        <v>15</v>
      </c>
      <c r="AU57" t="s">
        <v>5060</v>
      </c>
      <c r="AV57" t="s">
        <v>5088</v>
      </c>
      <c r="AW57" t="s">
        <v>5060</v>
      </c>
    </row>
    <row r="58" spans="1:49" x14ac:dyDescent="0.35">
      <c r="A58" t="s">
        <v>73</v>
      </c>
      <c r="B58" t="s">
        <v>74</v>
      </c>
      <c r="C58" t="s">
        <v>4818</v>
      </c>
      <c r="D58" t="s">
        <v>18</v>
      </c>
      <c r="E58" t="s">
        <v>231</v>
      </c>
      <c r="F58" t="s">
        <v>232</v>
      </c>
      <c r="G58" t="s">
        <v>21</v>
      </c>
      <c r="H58" t="s">
        <v>4834</v>
      </c>
      <c r="I58" t="s">
        <v>4849</v>
      </c>
      <c r="J58" s="4" t="s">
        <v>4850</v>
      </c>
      <c r="K58" s="4" t="s">
        <v>4837</v>
      </c>
      <c r="L58" s="4" t="s">
        <v>4873</v>
      </c>
      <c r="M58" s="4" t="s">
        <v>5035</v>
      </c>
      <c r="N58" t="s">
        <v>233</v>
      </c>
      <c r="O58" t="s">
        <v>234</v>
      </c>
      <c r="P58" t="s">
        <v>23</v>
      </c>
      <c r="Q58" t="s">
        <v>24</v>
      </c>
      <c r="R58" t="s">
        <v>25</v>
      </c>
      <c r="S58" t="s">
        <v>26</v>
      </c>
      <c r="T58" s="6">
        <v>46307</v>
      </c>
      <c r="U58">
        <v>42</v>
      </c>
      <c r="V58">
        <v>42</v>
      </c>
      <c r="W58">
        <v>42</v>
      </c>
      <c r="X58">
        <v>42</v>
      </c>
      <c r="Y58">
        <f t="shared" si="3"/>
        <v>0</v>
      </c>
      <c r="Z58">
        <f t="shared" si="4"/>
        <v>0</v>
      </c>
      <c r="AC58" s="1">
        <v>0</v>
      </c>
      <c r="AF58">
        <f>V58</f>
        <v>42</v>
      </c>
      <c r="AG58" s="7">
        <v>6</v>
      </c>
      <c r="AH58">
        <f t="shared" si="5"/>
        <v>42</v>
      </c>
      <c r="AI58">
        <f t="shared" si="2"/>
        <v>0</v>
      </c>
      <c r="AK58">
        <f t="shared" si="6"/>
        <v>7</v>
      </c>
      <c r="AL58">
        <v>14.78</v>
      </c>
      <c r="AM58" t="s">
        <v>27</v>
      </c>
      <c r="AN58">
        <v>14.78</v>
      </c>
      <c r="AO58" t="b">
        <f t="shared" si="7"/>
        <v>1</v>
      </c>
      <c r="AR58" t="s">
        <v>5061</v>
      </c>
      <c r="AS58" s="21">
        <v>46276</v>
      </c>
      <c r="AT58" t="s">
        <v>5064</v>
      </c>
      <c r="AU58" t="s">
        <v>5066</v>
      </c>
      <c r="AV58" t="s">
        <v>5088</v>
      </c>
      <c r="AW58" t="s">
        <v>5086</v>
      </c>
    </row>
    <row r="59" spans="1:49" x14ac:dyDescent="0.35">
      <c r="A59" t="s">
        <v>73</v>
      </c>
      <c r="B59" t="s">
        <v>74</v>
      </c>
      <c r="C59" t="s">
        <v>4818</v>
      </c>
      <c r="D59" t="s">
        <v>18</v>
      </c>
      <c r="E59" t="s">
        <v>235</v>
      </c>
      <c r="F59" t="s">
        <v>236</v>
      </c>
      <c r="G59" t="s">
        <v>21</v>
      </c>
      <c r="H59" t="s">
        <v>4834</v>
      </c>
      <c r="I59" t="s">
        <v>4835</v>
      </c>
      <c r="J59" s="4" t="s">
        <v>4836</v>
      </c>
      <c r="K59" s="4" t="s">
        <v>4832</v>
      </c>
      <c r="L59" s="4" t="s">
        <v>4874</v>
      </c>
      <c r="M59" s="4" t="s">
        <v>5035</v>
      </c>
      <c r="N59" t="s">
        <v>237</v>
      </c>
      <c r="O59" t="s">
        <v>238</v>
      </c>
      <c r="P59" t="s">
        <v>23</v>
      </c>
      <c r="Q59" t="s">
        <v>24</v>
      </c>
      <c r="R59" t="s">
        <v>25</v>
      </c>
      <c r="S59" t="s">
        <v>26</v>
      </c>
      <c r="T59" s="6">
        <v>46307</v>
      </c>
      <c r="U59">
        <v>64</v>
      </c>
      <c r="V59">
        <v>64</v>
      </c>
      <c r="W59">
        <v>64</v>
      </c>
      <c r="X59">
        <v>0</v>
      </c>
      <c r="Y59">
        <f t="shared" si="3"/>
        <v>64</v>
      </c>
      <c r="Z59">
        <f t="shared" si="4"/>
        <v>64</v>
      </c>
      <c r="AC59" s="1">
        <v>0</v>
      </c>
      <c r="AF59">
        <v>0</v>
      </c>
      <c r="AG59" s="7">
        <v>8</v>
      </c>
      <c r="AH59">
        <f t="shared" si="5"/>
        <v>0</v>
      </c>
      <c r="AI59">
        <f t="shared" si="2"/>
        <v>64</v>
      </c>
      <c r="AK59">
        <f t="shared" si="6"/>
        <v>0</v>
      </c>
      <c r="AL59">
        <v>21.63</v>
      </c>
      <c r="AM59" t="s">
        <v>27</v>
      </c>
      <c r="AN59">
        <v>21.63</v>
      </c>
      <c r="AO59" t="b">
        <f t="shared" si="7"/>
        <v>1</v>
      </c>
      <c r="AR59" t="s">
        <v>5061</v>
      </c>
      <c r="AS59" s="21">
        <v>46276</v>
      </c>
      <c r="AT59" t="s">
        <v>15</v>
      </c>
      <c r="AU59" t="s">
        <v>5060</v>
      </c>
      <c r="AV59" t="s">
        <v>5088</v>
      </c>
      <c r="AW59" t="s">
        <v>5060</v>
      </c>
    </row>
    <row r="60" spans="1:49" x14ac:dyDescent="0.35">
      <c r="A60" t="s">
        <v>73</v>
      </c>
      <c r="B60" t="s">
        <v>74</v>
      </c>
      <c r="C60" t="s">
        <v>4818</v>
      </c>
      <c r="D60" t="s">
        <v>18</v>
      </c>
      <c r="E60" t="s">
        <v>239</v>
      </c>
      <c r="F60" t="s">
        <v>240</v>
      </c>
      <c r="G60" t="s">
        <v>21</v>
      </c>
      <c r="H60" t="s">
        <v>4834</v>
      </c>
      <c r="I60" t="s">
        <v>4849</v>
      </c>
      <c r="J60" s="4" t="s">
        <v>4850</v>
      </c>
      <c r="K60" s="4" t="s">
        <v>4862</v>
      </c>
      <c r="L60" s="4" t="s">
        <v>4875</v>
      </c>
      <c r="M60" s="4" t="s">
        <v>5035</v>
      </c>
      <c r="N60" t="s">
        <v>241</v>
      </c>
      <c r="O60" t="s">
        <v>242</v>
      </c>
      <c r="P60" t="s">
        <v>23</v>
      </c>
      <c r="Q60" t="s">
        <v>24</v>
      </c>
      <c r="R60" t="s">
        <v>25</v>
      </c>
      <c r="S60" t="s">
        <v>26</v>
      </c>
      <c r="T60" s="6">
        <v>46307</v>
      </c>
      <c r="U60">
        <v>12</v>
      </c>
      <c r="V60">
        <v>12</v>
      </c>
      <c r="W60">
        <v>12</v>
      </c>
      <c r="X60">
        <v>0</v>
      </c>
      <c r="Y60">
        <f t="shared" si="3"/>
        <v>12</v>
      </c>
      <c r="Z60">
        <f t="shared" si="4"/>
        <v>12</v>
      </c>
      <c r="AC60" s="1">
        <v>0</v>
      </c>
      <c r="AF60">
        <v>0</v>
      </c>
      <c r="AG60" s="7">
        <v>6</v>
      </c>
      <c r="AH60">
        <f t="shared" si="5"/>
        <v>0</v>
      </c>
      <c r="AI60">
        <f t="shared" si="2"/>
        <v>12</v>
      </c>
      <c r="AK60">
        <f t="shared" si="6"/>
        <v>0</v>
      </c>
      <c r="AL60">
        <v>14.78</v>
      </c>
      <c r="AM60" t="s">
        <v>27</v>
      </c>
      <c r="AN60">
        <v>14.78</v>
      </c>
      <c r="AO60" t="b">
        <f t="shared" si="7"/>
        <v>1</v>
      </c>
      <c r="AR60" t="s">
        <v>5061</v>
      </c>
      <c r="AS60" s="21">
        <v>46276</v>
      </c>
      <c r="AT60" t="s">
        <v>15</v>
      </c>
      <c r="AU60" t="s">
        <v>5060</v>
      </c>
      <c r="AV60" t="s">
        <v>5088</v>
      </c>
      <c r="AW60" t="s">
        <v>5060</v>
      </c>
    </row>
    <row r="61" spans="1:49" x14ac:dyDescent="0.35">
      <c r="A61" t="s">
        <v>73</v>
      </c>
      <c r="B61" t="s">
        <v>74</v>
      </c>
      <c r="C61" t="s">
        <v>4818</v>
      </c>
      <c r="D61" t="s">
        <v>18</v>
      </c>
      <c r="E61" t="s">
        <v>243</v>
      </c>
      <c r="F61" t="s">
        <v>244</v>
      </c>
      <c r="G61" t="s">
        <v>21</v>
      </c>
      <c r="H61" t="s">
        <v>4834</v>
      </c>
      <c r="I61" t="s">
        <v>4849</v>
      </c>
      <c r="J61" s="4" t="s">
        <v>4850</v>
      </c>
      <c r="K61" s="4" t="s">
        <v>4854</v>
      </c>
      <c r="L61" s="4" t="s">
        <v>4857</v>
      </c>
      <c r="M61" s="4" t="s">
        <v>5035</v>
      </c>
      <c r="N61" t="s">
        <v>245</v>
      </c>
      <c r="O61" t="s">
        <v>246</v>
      </c>
      <c r="P61" t="s">
        <v>23</v>
      </c>
      <c r="Q61" t="s">
        <v>24</v>
      </c>
      <c r="R61" t="s">
        <v>25</v>
      </c>
      <c r="S61" t="s">
        <v>26</v>
      </c>
      <c r="T61" s="6">
        <v>46307</v>
      </c>
      <c r="U61">
        <v>72</v>
      </c>
      <c r="V61">
        <v>72</v>
      </c>
      <c r="W61">
        <v>78</v>
      </c>
      <c r="X61">
        <v>78</v>
      </c>
      <c r="Y61">
        <f t="shared" si="3"/>
        <v>0</v>
      </c>
      <c r="Z61">
        <f t="shared" si="4"/>
        <v>-6</v>
      </c>
      <c r="AC61" s="1">
        <v>0</v>
      </c>
      <c r="AF61">
        <f>V61</f>
        <v>72</v>
      </c>
      <c r="AG61" s="7">
        <v>6</v>
      </c>
      <c r="AH61">
        <f t="shared" si="5"/>
        <v>72</v>
      </c>
      <c r="AI61">
        <f t="shared" si="2"/>
        <v>0</v>
      </c>
      <c r="AK61">
        <f t="shared" si="6"/>
        <v>12</v>
      </c>
      <c r="AL61">
        <v>14.78</v>
      </c>
      <c r="AM61" t="s">
        <v>27</v>
      </c>
      <c r="AN61">
        <v>14.78</v>
      </c>
      <c r="AO61" t="b">
        <f t="shared" si="7"/>
        <v>1</v>
      </c>
      <c r="AR61" t="s">
        <v>5061</v>
      </c>
      <c r="AS61" s="21">
        <v>46276</v>
      </c>
      <c r="AT61" t="s">
        <v>5064</v>
      </c>
      <c r="AU61" t="s">
        <v>5066</v>
      </c>
      <c r="AV61" t="s">
        <v>5088</v>
      </c>
      <c r="AW61" t="s">
        <v>5086</v>
      </c>
    </row>
    <row r="62" spans="1:49" x14ac:dyDescent="0.35">
      <c r="A62" t="s">
        <v>73</v>
      </c>
      <c r="B62" t="s">
        <v>74</v>
      </c>
      <c r="C62" t="s">
        <v>4818</v>
      </c>
      <c r="D62" t="s">
        <v>18</v>
      </c>
      <c r="E62" t="s">
        <v>247</v>
      </c>
      <c r="F62" t="s">
        <v>248</v>
      </c>
      <c r="G62" t="s">
        <v>21</v>
      </c>
      <c r="H62" t="s">
        <v>4834</v>
      </c>
      <c r="I62" t="s">
        <v>4849</v>
      </c>
      <c r="J62" s="4" t="s">
        <v>4850</v>
      </c>
      <c r="K62" s="4" t="s">
        <v>4837</v>
      </c>
      <c r="L62" s="4" t="s">
        <v>4871</v>
      </c>
      <c r="M62" s="4" t="s">
        <v>5035</v>
      </c>
      <c r="N62" t="s">
        <v>249</v>
      </c>
      <c r="O62" t="s">
        <v>250</v>
      </c>
      <c r="P62" t="s">
        <v>23</v>
      </c>
      <c r="Q62" t="s">
        <v>24</v>
      </c>
      <c r="R62" t="s">
        <v>25</v>
      </c>
      <c r="S62" t="s">
        <v>26</v>
      </c>
      <c r="T62" s="6">
        <v>46307</v>
      </c>
      <c r="U62">
        <v>54</v>
      </c>
      <c r="V62">
        <v>54</v>
      </c>
      <c r="W62">
        <v>54</v>
      </c>
      <c r="X62">
        <v>54</v>
      </c>
      <c r="Y62">
        <f t="shared" si="3"/>
        <v>0</v>
      </c>
      <c r="Z62">
        <f t="shared" si="4"/>
        <v>0</v>
      </c>
      <c r="AC62" s="1">
        <v>0</v>
      </c>
      <c r="AF62">
        <f>V62</f>
        <v>54</v>
      </c>
      <c r="AG62" s="7">
        <v>6</v>
      </c>
      <c r="AH62">
        <f t="shared" si="5"/>
        <v>54</v>
      </c>
      <c r="AI62">
        <f t="shared" si="2"/>
        <v>0</v>
      </c>
      <c r="AK62">
        <f t="shared" si="6"/>
        <v>9</v>
      </c>
      <c r="AL62">
        <v>14.78</v>
      </c>
      <c r="AM62" t="s">
        <v>27</v>
      </c>
      <c r="AN62">
        <v>14.78</v>
      </c>
      <c r="AO62" t="b">
        <f t="shared" si="7"/>
        <v>1</v>
      </c>
      <c r="AR62" t="s">
        <v>5061</v>
      </c>
      <c r="AS62" s="21">
        <v>46276</v>
      </c>
      <c r="AT62" t="s">
        <v>5064</v>
      </c>
      <c r="AU62" t="s">
        <v>5066</v>
      </c>
      <c r="AV62" t="s">
        <v>5088</v>
      </c>
      <c r="AW62" t="s">
        <v>5086</v>
      </c>
    </row>
    <row r="63" spans="1:49" x14ac:dyDescent="0.35">
      <c r="A63" t="s">
        <v>73</v>
      </c>
      <c r="B63" t="s">
        <v>74</v>
      </c>
      <c r="C63" t="s">
        <v>4818</v>
      </c>
      <c r="D63" t="s">
        <v>18</v>
      </c>
      <c r="E63" t="s">
        <v>251</v>
      </c>
      <c r="F63" t="s">
        <v>252</v>
      </c>
      <c r="G63" t="s">
        <v>21</v>
      </c>
      <c r="H63" t="s">
        <v>4834</v>
      </c>
      <c r="I63" t="s">
        <v>4835</v>
      </c>
      <c r="J63" s="4" t="s">
        <v>4836</v>
      </c>
      <c r="K63" s="4" t="s">
        <v>4837</v>
      </c>
      <c r="L63" s="4" t="s">
        <v>4848</v>
      </c>
      <c r="M63" s="4" t="s">
        <v>5035</v>
      </c>
      <c r="N63" t="s">
        <v>253</v>
      </c>
      <c r="O63" t="s">
        <v>254</v>
      </c>
      <c r="P63" t="s">
        <v>23</v>
      </c>
      <c r="Q63" t="s">
        <v>24</v>
      </c>
      <c r="R63" t="s">
        <v>25</v>
      </c>
      <c r="S63" t="s">
        <v>26</v>
      </c>
      <c r="T63" s="6">
        <v>46307</v>
      </c>
      <c r="U63">
        <v>128</v>
      </c>
      <c r="V63">
        <v>128</v>
      </c>
      <c r="W63">
        <v>136</v>
      </c>
      <c r="X63">
        <v>0</v>
      </c>
      <c r="Y63">
        <f t="shared" si="3"/>
        <v>136</v>
      </c>
      <c r="Z63">
        <f t="shared" si="4"/>
        <v>128</v>
      </c>
      <c r="AC63" s="1">
        <v>0</v>
      </c>
      <c r="AF63">
        <v>0</v>
      </c>
      <c r="AG63" s="7">
        <v>8</v>
      </c>
      <c r="AH63">
        <f t="shared" si="5"/>
        <v>0</v>
      </c>
      <c r="AI63">
        <f t="shared" si="2"/>
        <v>128</v>
      </c>
      <c r="AK63">
        <f t="shared" si="6"/>
        <v>0</v>
      </c>
      <c r="AL63">
        <v>21.63</v>
      </c>
      <c r="AM63" t="s">
        <v>27</v>
      </c>
      <c r="AN63">
        <v>21.63</v>
      </c>
      <c r="AO63" t="b">
        <f t="shared" si="7"/>
        <v>1</v>
      </c>
      <c r="AR63" t="s">
        <v>5061</v>
      </c>
      <c r="AS63" s="21">
        <v>46276</v>
      </c>
      <c r="AT63" t="s">
        <v>15</v>
      </c>
      <c r="AU63" t="s">
        <v>5060</v>
      </c>
      <c r="AV63" t="s">
        <v>5088</v>
      </c>
      <c r="AW63" t="s">
        <v>5060</v>
      </c>
    </row>
    <row r="64" spans="1:49" x14ac:dyDescent="0.35">
      <c r="A64" t="s">
        <v>73</v>
      </c>
      <c r="B64" t="s">
        <v>74</v>
      </c>
      <c r="C64" t="s">
        <v>4818</v>
      </c>
      <c r="D64" t="s">
        <v>18</v>
      </c>
      <c r="E64" t="s">
        <v>255</v>
      </c>
      <c r="F64" t="s">
        <v>256</v>
      </c>
      <c r="G64" t="s">
        <v>21</v>
      </c>
      <c r="H64" t="s">
        <v>4834</v>
      </c>
      <c r="I64" t="s">
        <v>4839</v>
      </c>
      <c r="J64" s="4" t="s">
        <v>4840</v>
      </c>
      <c r="K64" s="4" t="s">
        <v>4854</v>
      </c>
      <c r="L64" s="4" t="s">
        <v>4872</v>
      </c>
      <c r="M64" s="4" t="s">
        <v>5035</v>
      </c>
      <c r="N64" t="s">
        <v>257</v>
      </c>
      <c r="O64" t="s">
        <v>258</v>
      </c>
      <c r="P64" t="s">
        <v>23</v>
      </c>
      <c r="Q64" t="s">
        <v>24</v>
      </c>
      <c r="R64" t="s">
        <v>25</v>
      </c>
      <c r="S64" t="s">
        <v>26</v>
      </c>
      <c r="T64" s="6">
        <v>46307</v>
      </c>
      <c r="U64">
        <v>50</v>
      </c>
      <c r="V64">
        <v>50</v>
      </c>
      <c r="W64">
        <v>50</v>
      </c>
      <c r="X64">
        <v>50</v>
      </c>
      <c r="Y64">
        <f t="shared" si="3"/>
        <v>0</v>
      </c>
      <c r="Z64">
        <f t="shared" si="4"/>
        <v>0</v>
      </c>
      <c r="AC64" s="1">
        <v>0</v>
      </c>
      <c r="AF64">
        <f>V64</f>
        <v>50</v>
      </c>
      <c r="AG64" s="7">
        <v>10</v>
      </c>
      <c r="AH64">
        <f t="shared" si="5"/>
        <v>50</v>
      </c>
      <c r="AI64">
        <f t="shared" si="2"/>
        <v>0</v>
      </c>
      <c r="AK64">
        <f t="shared" si="6"/>
        <v>5</v>
      </c>
      <c r="AL64">
        <v>20.420000000000002</v>
      </c>
      <c r="AM64" t="s">
        <v>27</v>
      </c>
      <c r="AN64">
        <v>20.420000000000002</v>
      </c>
      <c r="AO64" t="b">
        <f t="shared" si="7"/>
        <v>1</v>
      </c>
      <c r="AR64" t="s">
        <v>5061</v>
      </c>
      <c r="AS64" s="21">
        <v>46276</v>
      </c>
      <c r="AT64" t="s">
        <v>5064</v>
      </c>
      <c r="AU64" t="s">
        <v>5065</v>
      </c>
      <c r="AV64" t="s">
        <v>5088</v>
      </c>
      <c r="AW64" t="s">
        <v>5086</v>
      </c>
    </row>
    <row r="65" spans="1:49" x14ac:dyDescent="0.35">
      <c r="A65" t="s">
        <v>73</v>
      </c>
      <c r="B65" t="s">
        <v>74</v>
      </c>
      <c r="C65" t="s">
        <v>4818</v>
      </c>
      <c r="D65" t="s">
        <v>18</v>
      </c>
      <c r="E65" t="s">
        <v>259</v>
      </c>
      <c r="F65" t="s">
        <v>260</v>
      </c>
      <c r="G65" t="s">
        <v>21</v>
      </c>
      <c r="H65" t="s">
        <v>4834</v>
      </c>
      <c r="I65" t="s">
        <v>4835</v>
      </c>
      <c r="J65" s="4" t="s">
        <v>4836</v>
      </c>
      <c r="K65" s="4" t="s">
        <v>4837</v>
      </c>
      <c r="L65" s="4" t="s">
        <v>4856</v>
      </c>
      <c r="M65" s="4" t="s">
        <v>5035</v>
      </c>
      <c r="N65" t="s">
        <v>261</v>
      </c>
      <c r="O65" t="s">
        <v>262</v>
      </c>
      <c r="P65" t="s">
        <v>23</v>
      </c>
      <c r="Q65" t="s">
        <v>24</v>
      </c>
      <c r="R65" t="s">
        <v>25</v>
      </c>
      <c r="S65" t="s">
        <v>26</v>
      </c>
      <c r="T65" s="6">
        <v>46307</v>
      </c>
      <c r="U65">
        <v>96</v>
      </c>
      <c r="V65">
        <v>96</v>
      </c>
      <c r="W65">
        <v>96</v>
      </c>
      <c r="X65">
        <v>0</v>
      </c>
      <c r="Y65">
        <f t="shared" si="3"/>
        <v>96</v>
      </c>
      <c r="Z65">
        <f t="shared" si="4"/>
        <v>96</v>
      </c>
      <c r="AC65" s="1">
        <v>0</v>
      </c>
      <c r="AF65">
        <v>0</v>
      </c>
      <c r="AG65" s="7">
        <v>8</v>
      </c>
      <c r="AH65">
        <f t="shared" si="5"/>
        <v>0</v>
      </c>
      <c r="AI65">
        <f t="shared" si="2"/>
        <v>96</v>
      </c>
      <c r="AK65">
        <f t="shared" si="6"/>
        <v>0</v>
      </c>
      <c r="AL65">
        <v>21.63</v>
      </c>
      <c r="AM65" t="s">
        <v>27</v>
      </c>
      <c r="AN65">
        <v>21.63</v>
      </c>
      <c r="AO65" t="b">
        <f t="shared" si="7"/>
        <v>1</v>
      </c>
      <c r="AR65" t="s">
        <v>5061</v>
      </c>
      <c r="AS65" s="21">
        <v>46276</v>
      </c>
      <c r="AT65" t="s">
        <v>15</v>
      </c>
      <c r="AU65" t="s">
        <v>5060</v>
      </c>
      <c r="AV65" t="s">
        <v>5088</v>
      </c>
      <c r="AW65" t="s">
        <v>5060</v>
      </c>
    </row>
    <row r="66" spans="1:49" x14ac:dyDescent="0.35">
      <c r="A66" t="s">
        <v>73</v>
      </c>
      <c r="B66" t="s">
        <v>74</v>
      </c>
      <c r="C66" t="s">
        <v>4818</v>
      </c>
      <c r="D66" t="s">
        <v>18</v>
      </c>
      <c r="E66" t="s">
        <v>263</v>
      </c>
      <c r="F66" t="s">
        <v>264</v>
      </c>
      <c r="G66" t="s">
        <v>21</v>
      </c>
      <c r="H66" t="s">
        <v>4834</v>
      </c>
      <c r="I66" t="s">
        <v>4835</v>
      </c>
      <c r="J66" s="4" t="s">
        <v>4836</v>
      </c>
      <c r="K66" s="4" t="s">
        <v>4832</v>
      </c>
      <c r="L66" s="4" t="s">
        <v>4876</v>
      </c>
      <c r="M66" s="4" t="s">
        <v>5035</v>
      </c>
      <c r="N66" t="s">
        <v>265</v>
      </c>
      <c r="O66" t="s">
        <v>266</v>
      </c>
      <c r="P66" t="s">
        <v>23</v>
      </c>
      <c r="Q66" t="s">
        <v>24</v>
      </c>
      <c r="R66" t="s">
        <v>25</v>
      </c>
      <c r="S66" t="s">
        <v>26</v>
      </c>
      <c r="T66" s="6">
        <v>46307</v>
      </c>
      <c r="U66">
        <v>104</v>
      </c>
      <c r="V66">
        <v>104</v>
      </c>
      <c r="W66">
        <v>112</v>
      </c>
      <c r="X66">
        <v>0</v>
      </c>
      <c r="Y66">
        <f t="shared" si="3"/>
        <v>112</v>
      </c>
      <c r="Z66">
        <f t="shared" si="4"/>
        <v>104</v>
      </c>
      <c r="AC66" s="1">
        <v>0</v>
      </c>
      <c r="AF66">
        <v>0</v>
      </c>
      <c r="AG66" s="7">
        <v>8</v>
      </c>
      <c r="AH66">
        <f t="shared" si="5"/>
        <v>0</v>
      </c>
      <c r="AI66">
        <f t="shared" si="2"/>
        <v>104</v>
      </c>
      <c r="AK66">
        <f t="shared" si="6"/>
        <v>0</v>
      </c>
      <c r="AL66">
        <v>21.63</v>
      </c>
      <c r="AM66" t="s">
        <v>27</v>
      </c>
      <c r="AN66">
        <v>21.63</v>
      </c>
      <c r="AO66" t="b">
        <f t="shared" si="7"/>
        <v>1</v>
      </c>
      <c r="AR66" t="s">
        <v>5061</v>
      </c>
      <c r="AS66" s="21">
        <v>46276</v>
      </c>
      <c r="AT66" t="s">
        <v>15</v>
      </c>
      <c r="AU66" t="s">
        <v>5060</v>
      </c>
      <c r="AV66" t="s">
        <v>5088</v>
      </c>
      <c r="AW66" t="s">
        <v>5060</v>
      </c>
    </row>
    <row r="67" spans="1:49" x14ac:dyDescent="0.35">
      <c r="A67" t="s">
        <v>73</v>
      </c>
      <c r="B67" t="s">
        <v>74</v>
      </c>
      <c r="C67" t="s">
        <v>4818</v>
      </c>
      <c r="D67" t="s">
        <v>18</v>
      </c>
      <c r="E67" t="s">
        <v>267</v>
      </c>
      <c r="F67" t="s">
        <v>268</v>
      </c>
      <c r="G67" t="s">
        <v>21</v>
      </c>
      <c r="H67" t="s">
        <v>4834</v>
      </c>
      <c r="I67" t="s">
        <v>4839</v>
      </c>
      <c r="J67" s="4" t="s">
        <v>4840</v>
      </c>
      <c r="K67" s="4" t="s">
        <v>4843</v>
      </c>
      <c r="L67" s="4" t="s">
        <v>4866</v>
      </c>
      <c r="M67" s="4" t="s">
        <v>5035</v>
      </c>
      <c r="N67" t="s">
        <v>269</v>
      </c>
      <c r="O67" t="s">
        <v>270</v>
      </c>
      <c r="P67" t="s">
        <v>23</v>
      </c>
      <c r="Q67" t="s">
        <v>24</v>
      </c>
      <c r="R67" t="s">
        <v>25</v>
      </c>
      <c r="S67" t="s">
        <v>26</v>
      </c>
      <c r="T67" s="6">
        <v>46307</v>
      </c>
      <c r="U67">
        <v>160</v>
      </c>
      <c r="V67">
        <v>160</v>
      </c>
      <c r="W67">
        <v>170</v>
      </c>
      <c r="X67">
        <v>170</v>
      </c>
      <c r="Y67">
        <f t="shared" si="3"/>
        <v>0</v>
      </c>
      <c r="Z67">
        <f t="shared" si="4"/>
        <v>-10</v>
      </c>
      <c r="AC67" s="1">
        <v>0</v>
      </c>
      <c r="AF67">
        <f>V67</f>
        <v>160</v>
      </c>
      <c r="AG67" s="7">
        <v>10</v>
      </c>
      <c r="AH67">
        <f t="shared" si="5"/>
        <v>160</v>
      </c>
      <c r="AI67">
        <f t="shared" ref="AI67:AI130" si="8">V67-AH67</f>
        <v>0</v>
      </c>
      <c r="AK67">
        <f t="shared" si="6"/>
        <v>16</v>
      </c>
      <c r="AL67">
        <v>20.420000000000002</v>
      </c>
      <c r="AM67" t="s">
        <v>27</v>
      </c>
      <c r="AN67">
        <v>20.420000000000002</v>
      </c>
      <c r="AO67" t="b">
        <f t="shared" si="7"/>
        <v>1</v>
      </c>
      <c r="AR67" t="s">
        <v>5061</v>
      </c>
      <c r="AS67" s="21">
        <v>46276</v>
      </c>
      <c r="AT67" t="s">
        <v>5064</v>
      </c>
      <c r="AU67" t="s">
        <v>5065</v>
      </c>
      <c r="AV67" t="s">
        <v>5088</v>
      </c>
      <c r="AW67" t="s">
        <v>5086</v>
      </c>
    </row>
    <row r="68" spans="1:49" x14ac:dyDescent="0.35">
      <c r="A68" t="s">
        <v>73</v>
      </c>
      <c r="B68" t="s">
        <v>74</v>
      </c>
      <c r="C68" t="s">
        <v>4818</v>
      </c>
      <c r="D68" t="s">
        <v>18</v>
      </c>
      <c r="E68" t="s">
        <v>271</v>
      </c>
      <c r="F68" t="s">
        <v>272</v>
      </c>
      <c r="G68" t="s">
        <v>21</v>
      </c>
      <c r="H68" t="s">
        <v>4834</v>
      </c>
      <c r="I68" t="s">
        <v>4835</v>
      </c>
      <c r="J68" s="4" t="s">
        <v>4836</v>
      </c>
      <c r="K68" s="4" t="s">
        <v>4837</v>
      </c>
      <c r="L68" s="4" t="s">
        <v>4865</v>
      </c>
      <c r="M68" s="4" t="s">
        <v>5035</v>
      </c>
      <c r="N68" t="s">
        <v>273</v>
      </c>
      <c r="O68" t="s">
        <v>274</v>
      </c>
      <c r="P68" t="s">
        <v>23</v>
      </c>
      <c r="Q68" t="s">
        <v>24</v>
      </c>
      <c r="R68" t="s">
        <v>25</v>
      </c>
      <c r="S68" t="s">
        <v>26</v>
      </c>
      <c r="T68" s="6">
        <v>46307</v>
      </c>
      <c r="U68">
        <v>16</v>
      </c>
      <c r="V68">
        <v>16</v>
      </c>
      <c r="W68">
        <v>80</v>
      </c>
      <c r="X68">
        <v>0</v>
      </c>
      <c r="Y68">
        <f t="shared" ref="Y68:Y131" si="9">W68-X68</f>
        <v>80</v>
      </c>
      <c r="Z68">
        <f t="shared" ref="Z68:Z131" si="10">V68-X68</f>
        <v>16</v>
      </c>
      <c r="AC68" s="1">
        <v>0</v>
      </c>
      <c r="AF68">
        <v>0</v>
      </c>
      <c r="AG68" s="7">
        <v>8</v>
      </c>
      <c r="AH68">
        <f t="shared" ref="AH68:AH131" si="11">ROUNDUP(AF68/AG68,0)*AG68</f>
        <v>0</v>
      </c>
      <c r="AI68">
        <f t="shared" si="8"/>
        <v>16</v>
      </c>
      <c r="AK68">
        <f t="shared" ref="AK68:AK131" si="12">AH68/AG68</f>
        <v>0</v>
      </c>
      <c r="AL68">
        <v>21.63</v>
      </c>
      <c r="AM68" t="s">
        <v>27</v>
      </c>
      <c r="AN68">
        <v>21.63</v>
      </c>
      <c r="AO68" t="b">
        <f t="shared" ref="AO68:AO131" si="13">AL68=AN68</f>
        <v>1</v>
      </c>
      <c r="AR68" t="s">
        <v>5061</v>
      </c>
      <c r="AS68" s="21">
        <v>46276</v>
      </c>
      <c r="AT68" t="s">
        <v>15</v>
      </c>
      <c r="AU68" t="s">
        <v>5060</v>
      </c>
      <c r="AV68" t="s">
        <v>5088</v>
      </c>
      <c r="AW68" t="s">
        <v>5060</v>
      </c>
    </row>
    <row r="69" spans="1:49" x14ac:dyDescent="0.35">
      <c r="A69" t="s">
        <v>73</v>
      </c>
      <c r="B69" t="s">
        <v>74</v>
      </c>
      <c r="C69" t="s">
        <v>4818</v>
      </c>
      <c r="D69" t="s">
        <v>18</v>
      </c>
      <c r="E69" t="s">
        <v>275</v>
      </c>
      <c r="F69" t="s">
        <v>276</v>
      </c>
      <c r="G69" t="s">
        <v>21</v>
      </c>
      <c r="H69" t="s">
        <v>4834</v>
      </c>
      <c r="I69" t="s">
        <v>4835</v>
      </c>
      <c r="J69" s="4" t="s">
        <v>4836</v>
      </c>
      <c r="K69" s="4" t="s">
        <v>4845</v>
      </c>
      <c r="L69" s="4" t="s">
        <v>4866</v>
      </c>
      <c r="M69" s="4" t="s">
        <v>5035</v>
      </c>
      <c r="N69" t="s">
        <v>277</v>
      </c>
      <c r="O69" t="s">
        <v>278</v>
      </c>
      <c r="P69" t="s">
        <v>23</v>
      </c>
      <c r="Q69" t="s">
        <v>24</v>
      </c>
      <c r="R69" t="s">
        <v>25</v>
      </c>
      <c r="S69" t="s">
        <v>26</v>
      </c>
      <c r="T69" s="6">
        <v>46307</v>
      </c>
      <c r="U69">
        <v>184</v>
      </c>
      <c r="V69">
        <v>184</v>
      </c>
      <c r="W69">
        <v>192</v>
      </c>
      <c r="X69">
        <v>0</v>
      </c>
      <c r="Y69">
        <f t="shared" si="9"/>
        <v>192</v>
      </c>
      <c r="Z69">
        <f t="shared" si="10"/>
        <v>184</v>
      </c>
      <c r="AC69" s="1">
        <v>0</v>
      </c>
      <c r="AF69">
        <v>0</v>
      </c>
      <c r="AG69" s="7">
        <v>8</v>
      </c>
      <c r="AH69">
        <f t="shared" si="11"/>
        <v>0</v>
      </c>
      <c r="AI69">
        <f t="shared" si="8"/>
        <v>184</v>
      </c>
      <c r="AK69">
        <f t="shared" si="12"/>
        <v>0</v>
      </c>
      <c r="AL69">
        <v>21.63</v>
      </c>
      <c r="AM69" t="s">
        <v>27</v>
      </c>
      <c r="AN69">
        <v>21.63</v>
      </c>
      <c r="AO69" t="b">
        <f t="shared" si="13"/>
        <v>1</v>
      </c>
      <c r="AR69" t="s">
        <v>5061</v>
      </c>
      <c r="AS69" s="21">
        <v>46276</v>
      </c>
      <c r="AT69" t="s">
        <v>15</v>
      </c>
      <c r="AU69" t="s">
        <v>5060</v>
      </c>
      <c r="AV69" t="s">
        <v>5088</v>
      </c>
      <c r="AW69" t="s">
        <v>5060</v>
      </c>
    </row>
    <row r="70" spans="1:49" x14ac:dyDescent="0.35">
      <c r="A70" t="s">
        <v>73</v>
      </c>
      <c r="B70" t="s">
        <v>74</v>
      </c>
      <c r="C70" t="s">
        <v>4818</v>
      </c>
      <c r="D70" t="s">
        <v>18</v>
      </c>
      <c r="E70" t="s">
        <v>279</v>
      </c>
      <c r="F70" t="s">
        <v>280</v>
      </c>
      <c r="G70" t="s">
        <v>21</v>
      </c>
      <c r="H70" t="s">
        <v>4834</v>
      </c>
      <c r="I70" t="s">
        <v>4849</v>
      </c>
      <c r="J70" s="4" t="s">
        <v>4850</v>
      </c>
      <c r="K70" s="4" t="s">
        <v>4854</v>
      </c>
      <c r="L70" s="4" t="s">
        <v>4871</v>
      </c>
      <c r="M70" s="4" t="s">
        <v>5035</v>
      </c>
      <c r="N70" t="s">
        <v>281</v>
      </c>
      <c r="O70" t="s">
        <v>282</v>
      </c>
      <c r="P70" t="s">
        <v>23</v>
      </c>
      <c r="Q70" t="s">
        <v>24</v>
      </c>
      <c r="R70" t="s">
        <v>25</v>
      </c>
      <c r="S70" t="s">
        <v>26</v>
      </c>
      <c r="T70" s="6">
        <v>46307</v>
      </c>
      <c r="U70">
        <v>18</v>
      </c>
      <c r="V70">
        <v>18</v>
      </c>
      <c r="W70">
        <v>18</v>
      </c>
      <c r="X70">
        <v>18</v>
      </c>
      <c r="Y70">
        <f t="shared" si="9"/>
        <v>0</v>
      </c>
      <c r="Z70">
        <f t="shared" si="10"/>
        <v>0</v>
      </c>
      <c r="AC70" s="1">
        <v>0</v>
      </c>
      <c r="AF70">
        <f>V70</f>
        <v>18</v>
      </c>
      <c r="AG70" s="7">
        <v>6</v>
      </c>
      <c r="AH70">
        <f t="shared" si="11"/>
        <v>18</v>
      </c>
      <c r="AI70">
        <f t="shared" si="8"/>
        <v>0</v>
      </c>
      <c r="AK70">
        <f t="shared" si="12"/>
        <v>3</v>
      </c>
      <c r="AL70">
        <v>14.78</v>
      </c>
      <c r="AM70" t="s">
        <v>27</v>
      </c>
      <c r="AN70">
        <v>14.78</v>
      </c>
      <c r="AO70" t="b">
        <f t="shared" si="13"/>
        <v>1</v>
      </c>
      <c r="AR70" t="s">
        <v>5061</v>
      </c>
      <c r="AS70" s="21">
        <v>46276</v>
      </c>
      <c r="AT70" t="s">
        <v>5064</v>
      </c>
      <c r="AU70" t="s">
        <v>5066</v>
      </c>
      <c r="AV70" t="s">
        <v>5088</v>
      </c>
      <c r="AW70" t="s">
        <v>5086</v>
      </c>
    </row>
    <row r="71" spans="1:49" x14ac:dyDescent="0.35">
      <c r="A71" t="s">
        <v>73</v>
      </c>
      <c r="B71" t="s">
        <v>74</v>
      </c>
      <c r="C71" t="s">
        <v>4818</v>
      </c>
      <c r="D71" t="s">
        <v>18</v>
      </c>
      <c r="E71" t="s">
        <v>283</v>
      </c>
      <c r="F71" t="s">
        <v>284</v>
      </c>
      <c r="G71" t="s">
        <v>21</v>
      </c>
      <c r="H71" t="s">
        <v>4834</v>
      </c>
      <c r="I71" t="s">
        <v>4849</v>
      </c>
      <c r="J71" s="4" t="s">
        <v>4850</v>
      </c>
      <c r="K71" s="4" t="s">
        <v>4854</v>
      </c>
      <c r="L71" s="4" t="s">
        <v>4877</v>
      </c>
      <c r="M71" s="4" t="s">
        <v>5035</v>
      </c>
      <c r="N71" t="s">
        <v>285</v>
      </c>
      <c r="O71" t="s">
        <v>286</v>
      </c>
      <c r="P71" t="s">
        <v>23</v>
      </c>
      <c r="Q71" t="s">
        <v>24</v>
      </c>
      <c r="R71" t="s">
        <v>25</v>
      </c>
      <c r="S71" t="s">
        <v>26</v>
      </c>
      <c r="T71" s="6">
        <v>46307</v>
      </c>
      <c r="U71">
        <v>114</v>
      </c>
      <c r="V71">
        <v>114</v>
      </c>
      <c r="W71">
        <v>120</v>
      </c>
      <c r="X71">
        <v>120</v>
      </c>
      <c r="Y71">
        <f t="shared" si="9"/>
        <v>0</v>
      </c>
      <c r="Z71">
        <f t="shared" si="10"/>
        <v>-6</v>
      </c>
      <c r="AC71" s="1">
        <v>0</v>
      </c>
      <c r="AF71">
        <f>V71</f>
        <v>114</v>
      </c>
      <c r="AG71" s="7">
        <v>6</v>
      </c>
      <c r="AH71">
        <f t="shared" si="11"/>
        <v>114</v>
      </c>
      <c r="AI71">
        <f t="shared" si="8"/>
        <v>0</v>
      </c>
      <c r="AK71">
        <f t="shared" si="12"/>
        <v>19</v>
      </c>
      <c r="AL71">
        <v>14.78</v>
      </c>
      <c r="AM71" t="s">
        <v>27</v>
      </c>
      <c r="AN71">
        <v>14.78</v>
      </c>
      <c r="AO71" t="b">
        <f t="shared" si="13"/>
        <v>1</v>
      </c>
      <c r="AR71" t="s">
        <v>5061</v>
      </c>
      <c r="AS71" s="21">
        <v>46276</v>
      </c>
      <c r="AT71" t="s">
        <v>5064</v>
      </c>
      <c r="AU71" t="s">
        <v>5066</v>
      </c>
      <c r="AV71" t="s">
        <v>5088</v>
      </c>
      <c r="AW71" t="s">
        <v>5086</v>
      </c>
    </row>
    <row r="72" spans="1:49" x14ac:dyDescent="0.35">
      <c r="A72" t="s">
        <v>73</v>
      </c>
      <c r="B72" t="s">
        <v>74</v>
      </c>
      <c r="C72" t="s">
        <v>4818</v>
      </c>
      <c r="D72" t="s">
        <v>18</v>
      </c>
      <c r="E72" t="s">
        <v>287</v>
      </c>
      <c r="F72" t="s">
        <v>288</v>
      </c>
      <c r="G72" t="s">
        <v>21</v>
      </c>
      <c r="H72" t="s">
        <v>4834</v>
      </c>
      <c r="I72" t="s">
        <v>4839</v>
      </c>
      <c r="J72" s="4" t="s">
        <v>4840</v>
      </c>
      <c r="K72" s="4" t="s">
        <v>4854</v>
      </c>
      <c r="L72" s="4" t="s">
        <v>4878</v>
      </c>
      <c r="M72" s="4" t="s">
        <v>5035</v>
      </c>
      <c r="N72" t="s">
        <v>289</v>
      </c>
      <c r="O72" t="s">
        <v>290</v>
      </c>
      <c r="P72" t="s">
        <v>23</v>
      </c>
      <c r="Q72" t="s">
        <v>24</v>
      </c>
      <c r="R72" t="s">
        <v>25</v>
      </c>
      <c r="S72" t="s">
        <v>26</v>
      </c>
      <c r="T72" s="6">
        <v>46307</v>
      </c>
      <c r="U72">
        <v>110</v>
      </c>
      <c r="V72">
        <v>110</v>
      </c>
      <c r="W72">
        <v>120</v>
      </c>
      <c r="X72">
        <v>120</v>
      </c>
      <c r="Y72">
        <f t="shared" si="9"/>
        <v>0</v>
      </c>
      <c r="Z72">
        <f t="shared" si="10"/>
        <v>-10</v>
      </c>
      <c r="AC72" s="1">
        <v>0</v>
      </c>
      <c r="AF72">
        <f>V72</f>
        <v>110</v>
      </c>
      <c r="AG72" s="7">
        <v>10</v>
      </c>
      <c r="AH72">
        <f t="shared" si="11"/>
        <v>110</v>
      </c>
      <c r="AI72">
        <f t="shared" si="8"/>
        <v>0</v>
      </c>
      <c r="AK72">
        <f t="shared" si="12"/>
        <v>11</v>
      </c>
      <c r="AL72">
        <v>20.420000000000002</v>
      </c>
      <c r="AM72" t="s">
        <v>27</v>
      </c>
      <c r="AN72">
        <v>20.420000000000002</v>
      </c>
      <c r="AO72" t="b">
        <f t="shared" si="13"/>
        <v>1</v>
      </c>
      <c r="AR72" t="s">
        <v>5061</v>
      </c>
      <c r="AS72" s="21">
        <v>46276</v>
      </c>
      <c r="AT72" t="s">
        <v>5064</v>
      </c>
      <c r="AU72" t="s">
        <v>5065</v>
      </c>
      <c r="AV72" t="s">
        <v>5088</v>
      </c>
      <c r="AW72" t="s">
        <v>5086</v>
      </c>
    </row>
    <row r="73" spans="1:49" x14ac:dyDescent="0.35">
      <c r="A73" t="s">
        <v>73</v>
      </c>
      <c r="B73" t="s">
        <v>74</v>
      </c>
      <c r="C73" t="s">
        <v>4818</v>
      </c>
      <c r="D73" t="s">
        <v>18</v>
      </c>
      <c r="E73" t="s">
        <v>291</v>
      </c>
      <c r="F73" t="s">
        <v>292</v>
      </c>
      <c r="G73" t="s">
        <v>21</v>
      </c>
      <c r="H73" t="s">
        <v>4834</v>
      </c>
      <c r="I73" t="s">
        <v>4839</v>
      </c>
      <c r="J73" s="4" t="s">
        <v>4840</v>
      </c>
      <c r="K73" s="4" t="s">
        <v>4837</v>
      </c>
      <c r="L73" s="4" t="s">
        <v>4865</v>
      </c>
      <c r="M73" s="4" t="s">
        <v>5035</v>
      </c>
      <c r="N73" t="s">
        <v>293</v>
      </c>
      <c r="O73" t="s">
        <v>294</v>
      </c>
      <c r="P73" t="s">
        <v>23</v>
      </c>
      <c r="Q73" t="s">
        <v>24</v>
      </c>
      <c r="R73" t="s">
        <v>25</v>
      </c>
      <c r="S73" t="s">
        <v>26</v>
      </c>
      <c r="T73" s="6">
        <v>46307</v>
      </c>
      <c r="U73">
        <v>50</v>
      </c>
      <c r="V73">
        <v>50</v>
      </c>
      <c r="W73">
        <v>50</v>
      </c>
      <c r="X73">
        <v>0</v>
      </c>
      <c r="Y73">
        <f t="shared" si="9"/>
        <v>50</v>
      </c>
      <c r="Z73">
        <f t="shared" si="10"/>
        <v>50</v>
      </c>
      <c r="AC73" s="1">
        <v>0</v>
      </c>
      <c r="AF73">
        <v>0</v>
      </c>
      <c r="AG73" s="7">
        <v>10</v>
      </c>
      <c r="AH73">
        <f t="shared" si="11"/>
        <v>0</v>
      </c>
      <c r="AI73">
        <f t="shared" si="8"/>
        <v>50</v>
      </c>
      <c r="AK73">
        <f t="shared" si="12"/>
        <v>0</v>
      </c>
      <c r="AL73">
        <v>20.420000000000002</v>
      </c>
      <c r="AM73" t="s">
        <v>27</v>
      </c>
      <c r="AN73">
        <v>20.420000000000002</v>
      </c>
      <c r="AO73" t="b">
        <f t="shared" si="13"/>
        <v>1</v>
      </c>
      <c r="AR73" t="s">
        <v>5061</v>
      </c>
      <c r="AS73" s="21">
        <v>46276</v>
      </c>
      <c r="AT73" t="s">
        <v>15</v>
      </c>
      <c r="AU73" t="s">
        <v>5060</v>
      </c>
      <c r="AV73" t="s">
        <v>5088</v>
      </c>
      <c r="AW73" t="s">
        <v>5060</v>
      </c>
    </row>
    <row r="74" spans="1:49" x14ac:dyDescent="0.35">
      <c r="A74" t="s">
        <v>73</v>
      </c>
      <c r="B74" t="s">
        <v>74</v>
      </c>
      <c r="C74" t="s">
        <v>4818</v>
      </c>
      <c r="D74" t="s">
        <v>18</v>
      </c>
      <c r="E74" t="s">
        <v>295</v>
      </c>
      <c r="F74" t="s">
        <v>296</v>
      </c>
      <c r="G74" t="s">
        <v>21</v>
      </c>
      <c r="H74" t="s">
        <v>4834</v>
      </c>
      <c r="I74" t="s">
        <v>4835</v>
      </c>
      <c r="J74" s="4" t="s">
        <v>4836</v>
      </c>
      <c r="K74" s="4" t="s">
        <v>4832</v>
      </c>
      <c r="L74" s="4" t="s">
        <v>4838</v>
      </c>
      <c r="M74" s="4" t="s">
        <v>5035</v>
      </c>
      <c r="N74" t="s">
        <v>297</v>
      </c>
      <c r="O74" t="s">
        <v>298</v>
      </c>
      <c r="P74" t="s">
        <v>23</v>
      </c>
      <c r="Q74" t="s">
        <v>24</v>
      </c>
      <c r="R74" t="s">
        <v>25</v>
      </c>
      <c r="S74" t="s">
        <v>26</v>
      </c>
      <c r="T74" s="6">
        <v>46307</v>
      </c>
      <c r="U74">
        <v>56</v>
      </c>
      <c r="V74">
        <v>56</v>
      </c>
      <c r="W74">
        <v>56</v>
      </c>
      <c r="X74">
        <v>0</v>
      </c>
      <c r="Y74">
        <f t="shared" si="9"/>
        <v>56</v>
      </c>
      <c r="Z74">
        <f t="shared" si="10"/>
        <v>56</v>
      </c>
      <c r="AC74" s="1">
        <v>0</v>
      </c>
      <c r="AF74">
        <v>0</v>
      </c>
      <c r="AG74" s="7">
        <v>8</v>
      </c>
      <c r="AH74">
        <f t="shared" si="11"/>
        <v>0</v>
      </c>
      <c r="AI74">
        <f t="shared" si="8"/>
        <v>56</v>
      </c>
      <c r="AK74">
        <f t="shared" si="12"/>
        <v>0</v>
      </c>
      <c r="AL74">
        <v>21.63</v>
      </c>
      <c r="AM74" t="s">
        <v>27</v>
      </c>
      <c r="AN74">
        <v>21.63</v>
      </c>
      <c r="AO74" t="b">
        <f t="shared" si="13"/>
        <v>1</v>
      </c>
      <c r="AR74" t="s">
        <v>5061</v>
      </c>
      <c r="AS74" s="21">
        <v>46276</v>
      </c>
      <c r="AT74" t="s">
        <v>15</v>
      </c>
      <c r="AU74" t="s">
        <v>5060</v>
      </c>
      <c r="AV74" t="s">
        <v>5088</v>
      </c>
      <c r="AW74" t="s">
        <v>5060</v>
      </c>
    </row>
    <row r="75" spans="1:49" x14ac:dyDescent="0.35">
      <c r="A75" t="s">
        <v>73</v>
      </c>
      <c r="B75" t="s">
        <v>74</v>
      </c>
      <c r="C75" t="s">
        <v>4818</v>
      </c>
      <c r="D75" t="s">
        <v>18</v>
      </c>
      <c r="E75" t="s">
        <v>299</v>
      </c>
      <c r="F75" t="s">
        <v>300</v>
      </c>
      <c r="G75" t="s">
        <v>21</v>
      </c>
      <c r="H75" t="s">
        <v>4834</v>
      </c>
      <c r="I75" t="s">
        <v>4849</v>
      </c>
      <c r="J75" s="4" t="s">
        <v>4850</v>
      </c>
      <c r="K75" s="4" t="s">
        <v>4837</v>
      </c>
      <c r="L75" s="4" t="s">
        <v>4879</v>
      </c>
      <c r="M75" s="4" t="s">
        <v>5035</v>
      </c>
      <c r="N75" t="s">
        <v>301</v>
      </c>
      <c r="O75" t="s">
        <v>302</v>
      </c>
      <c r="P75" t="s">
        <v>23</v>
      </c>
      <c r="Q75" t="s">
        <v>24</v>
      </c>
      <c r="R75" t="s">
        <v>25</v>
      </c>
      <c r="S75" t="s">
        <v>26</v>
      </c>
      <c r="T75" s="6">
        <v>46307</v>
      </c>
      <c r="U75">
        <v>90</v>
      </c>
      <c r="V75">
        <v>90</v>
      </c>
      <c r="W75">
        <v>96</v>
      </c>
      <c r="X75">
        <v>96</v>
      </c>
      <c r="Y75">
        <f t="shared" si="9"/>
        <v>0</v>
      </c>
      <c r="Z75">
        <f t="shared" si="10"/>
        <v>-6</v>
      </c>
      <c r="AC75" s="1">
        <v>0</v>
      </c>
      <c r="AF75">
        <f>V75</f>
        <v>90</v>
      </c>
      <c r="AG75" s="7">
        <v>6</v>
      </c>
      <c r="AH75">
        <f t="shared" si="11"/>
        <v>90</v>
      </c>
      <c r="AI75">
        <f t="shared" si="8"/>
        <v>0</v>
      </c>
      <c r="AK75">
        <f t="shared" si="12"/>
        <v>15</v>
      </c>
      <c r="AL75">
        <v>14.78</v>
      </c>
      <c r="AM75" t="s">
        <v>27</v>
      </c>
      <c r="AN75">
        <v>14.78</v>
      </c>
      <c r="AO75" t="b">
        <f t="shared" si="13"/>
        <v>1</v>
      </c>
      <c r="AR75" t="s">
        <v>5061</v>
      </c>
      <c r="AS75" s="21">
        <v>46276</v>
      </c>
      <c r="AT75" t="s">
        <v>5064</v>
      </c>
      <c r="AU75" t="s">
        <v>5066</v>
      </c>
      <c r="AV75" t="s">
        <v>5088</v>
      </c>
      <c r="AW75" t="s">
        <v>5086</v>
      </c>
    </row>
    <row r="76" spans="1:49" x14ac:dyDescent="0.35">
      <c r="A76" t="s">
        <v>73</v>
      </c>
      <c r="B76" t="s">
        <v>74</v>
      </c>
      <c r="C76" t="s">
        <v>4818</v>
      </c>
      <c r="D76" t="s">
        <v>18</v>
      </c>
      <c r="E76" t="s">
        <v>303</v>
      </c>
      <c r="F76" t="s">
        <v>304</v>
      </c>
      <c r="G76" t="s">
        <v>21</v>
      </c>
      <c r="H76" t="s">
        <v>4834</v>
      </c>
      <c r="I76" t="s">
        <v>4839</v>
      </c>
      <c r="J76" s="4" t="s">
        <v>4840</v>
      </c>
      <c r="K76" s="4" t="s">
        <v>4845</v>
      </c>
      <c r="L76" s="4" t="s">
        <v>4859</v>
      </c>
      <c r="M76" s="4" t="s">
        <v>5035</v>
      </c>
      <c r="N76" t="s">
        <v>305</v>
      </c>
      <c r="O76" t="s">
        <v>306</v>
      </c>
      <c r="P76" t="s">
        <v>23</v>
      </c>
      <c r="Q76" t="s">
        <v>24</v>
      </c>
      <c r="R76" t="s">
        <v>25</v>
      </c>
      <c r="S76" t="s">
        <v>26</v>
      </c>
      <c r="T76" s="6">
        <v>46307</v>
      </c>
      <c r="U76">
        <v>110</v>
      </c>
      <c r="V76">
        <v>110</v>
      </c>
      <c r="W76">
        <v>120</v>
      </c>
      <c r="X76">
        <v>0</v>
      </c>
      <c r="Y76">
        <f t="shared" si="9"/>
        <v>120</v>
      </c>
      <c r="Z76">
        <f t="shared" si="10"/>
        <v>110</v>
      </c>
      <c r="AC76" s="1">
        <v>0</v>
      </c>
      <c r="AF76">
        <v>0</v>
      </c>
      <c r="AG76" s="7">
        <v>10</v>
      </c>
      <c r="AH76">
        <f t="shared" si="11"/>
        <v>0</v>
      </c>
      <c r="AI76">
        <f t="shared" si="8"/>
        <v>110</v>
      </c>
      <c r="AK76">
        <f t="shared" si="12"/>
        <v>0</v>
      </c>
      <c r="AL76">
        <v>20.420000000000002</v>
      </c>
      <c r="AM76" t="s">
        <v>27</v>
      </c>
      <c r="AN76">
        <v>20.420000000000002</v>
      </c>
      <c r="AO76" t="b">
        <f t="shared" si="13"/>
        <v>1</v>
      </c>
      <c r="AR76" t="s">
        <v>5061</v>
      </c>
      <c r="AS76" s="21">
        <v>46276</v>
      </c>
      <c r="AT76" t="s">
        <v>15</v>
      </c>
      <c r="AU76" t="s">
        <v>5060</v>
      </c>
      <c r="AV76" t="s">
        <v>5088</v>
      </c>
      <c r="AW76" t="s">
        <v>5060</v>
      </c>
    </row>
    <row r="77" spans="1:49" x14ac:dyDescent="0.35">
      <c r="A77" t="s">
        <v>73</v>
      </c>
      <c r="B77" t="s">
        <v>74</v>
      </c>
      <c r="C77" t="s">
        <v>4818</v>
      </c>
      <c r="D77" t="s">
        <v>18</v>
      </c>
      <c r="E77" t="s">
        <v>307</v>
      </c>
      <c r="F77" t="s">
        <v>308</v>
      </c>
      <c r="G77" t="s">
        <v>21</v>
      </c>
      <c r="H77" t="s">
        <v>4834</v>
      </c>
      <c r="I77" t="s">
        <v>4839</v>
      </c>
      <c r="J77" s="4" t="s">
        <v>4840</v>
      </c>
      <c r="K77" s="4" t="s">
        <v>4854</v>
      </c>
      <c r="L77" s="4" t="s">
        <v>4838</v>
      </c>
      <c r="M77" s="4" t="s">
        <v>5035</v>
      </c>
      <c r="N77" t="s">
        <v>309</v>
      </c>
      <c r="O77" t="s">
        <v>310</v>
      </c>
      <c r="P77" t="s">
        <v>23</v>
      </c>
      <c r="Q77" t="s">
        <v>24</v>
      </c>
      <c r="R77" t="s">
        <v>25</v>
      </c>
      <c r="S77" t="s">
        <v>26</v>
      </c>
      <c r="T77" s="6">
        <v>46307</v>
      </c>
      <c r="U77">
        <v>60</v>
      </c>
      <c r="V77">
        <v>60</v>
      </c>
      <c r="W77">
        <v>60</v>
      </c>
      <c r="X77">
        <v>60</v>
      </c>
      <c r="Y77">
        <f t="shared" si="9"/>
        <v>0</v>
      </c>
      <c r="Z77">
        <f t="shared" si="10"/>
        <v>0</v>
      </c>
      <c r="AC77" s="1">
        <v>0</v>
      </c>
      <c r="AF77">
        <f>V77</f>
        <v>60</v>
      </c>
      <c r="AG77" s="7">
        <v>10</v>
      </c>
      <c r="AH77">
        <f t="shared" si="11"/>
        <v>60</v>
      </c>
      <c r="AI77">
        <f t="shared" si="8"/>
        <v>0</v>
      </c>
      <c r="AK77">
        <f t="shared" si="12"/>
        <v>6</v>
      </c>
      <c r="AL77">
        <v>20.420000000000002</v>
      </c>
      <c r="AM77" t="s">
        <v>27</v>
      </c>
      <c r="AN77">
        <v>20.420000000000002</v>
      </c>
      <c r="AO77" t="b">
        <f t="shared" si="13"/>
        <v>1</v>
      </c>
      <c r="AR77" t="s">
        <v>5061</v>
      </c>
      <c r="AS77" s="21">
        <v>46276</v>
      </c>
      <c r="AT77" t="s">
        <v>5064</v>
      </c>
      <c r="AU77" t="s">
        <v>5065</v>
      </c>
      <c r="AV77" t="s">
        <v>5088</v>
      </c>
      <c r="AW77" t="s">
        <v>5086</v>
      </c>
    </row>
    <row r="78" spans="1:49" x14ac:dyDescent="0.35">
      <c r="A78" t="s">
        <v>73</v>
      </c>
      <c r="B78" t="s">
        <v>74</v>
      </c>
      <c r="C78" t="s">
        <v>4818</v>
      </c>
      <c r="D78" t="s">
        <v>18</v>
      </c>
      <c r="E78" t="s">
        <v>311</v>
      </c>
      <c r="F78" t="s">
        <v>312</v>
      </c>
      <c r="G78" t="s">
        <v>21</v>
      </c>
      <c r="H78" t="s">
        <v>4834</v>
      </c>
      <c r="I78" t="s">
        <v>4839</v>
      </c>
      <c r="J78" s="4" t="s">
        <v>4840</v>
      </c>
      <c r="K78" s="4" t="s">
        <v>4832</v>
      </c>
      <c r="L78" s="4" t="s">
        <v>4876</v>
      </c>
      <c r="M78" s="4" t="s">
        <v>5035</v>
      </c>
      <c r="N78" t="s">
        <v>313</v>
      </c>
      <c r="O78" t="s">
        <v>314</v>
      </c>
      <c r="P78" t="s">
        <v>23</v>
      </c>
      <c r="Q78" t="s">
        <v>24</v>
      </c>
      <c r="R78" t="s">
        <v>25</v>
      </c>
      <c r="S78" t="s">
        <v>26</v>
      </c>
      <c r="T78" s="6">
        <v>46307</v>
      </c>
      <c r="U78">
        <v>40</v>
      </c>
      <c r="V78">
        <v>40</v>
      </c>
      <c r="W78">
        <v>40</v>
      </c>
      <c r="X78">
        <v>40</v>
      </c>
      <c r="Y78">
        <f t="shared" si="9"/>
        <v>0</v>
      </c>
      <c r="Z78">
        <f t="shared" si="10"/>
        <v>0</v>
      </c>
      <c r="AC78" s="1">
        <v>0</v>
      </c>
      <c r="AF78">
        <f>V78</f>
        <v>40</v>
      </c>
      <c r="AG78" s="7">
        <v>10</v>
      </c>
      <c r="AH78">
        <f t="shared" si="11"/>
        <v>40</v>
      </c>
      <c r="AI78">
        <f t="shared" si="8"/>
        <v>0</v>
      </c>
      <c r="AK78">
        <f t="shared" si="12"/>
        <v>4</v>
      </c>
      <c r="AL78">
        <v>20.420000000000002</v>
      </c>
      <c r="AM78" t="s">
        <v>27</v>
      </c>
      <c r="AN78">
        <v>20.420000000000002</v>
      </c>
      <c r="AO78" t="b">
        <f t="shared" si="13"/>
        <v>1</v>
      </c>
      <c r="AR78" t="s">
        <v>5061</v>
      </c>
      <c r="AS78" s="21">
        <v>46276</v>
      </c>
      <c r="AT78" t="s">
        <v>5064</v>
      </c>
      <c r="AU78" t="s">
        <v>5065</v>
      </c>
      <c r="AV78" t="s">
        <v>5088</v>
      </c>
      <c r="AW78" t="s">
        <v>5086</v>
      </c>
    </row>
    <row r="79" spans="1:49" x14ac:dyDescent="0.35">
      <c r="A79" t="s">
        <v>73</v>
      </c>
      <c r="B79" t="s">
        <v>74</v>
      </c>
      <c r="C79" t="s">
        <v>4818</v>
      </c>
      <c r="D79" t="s">
        <v>18</v>
      </c>
      <c r="E79" t="s">
        <v>315</v>
      </c>
      <c r="F79" t="s">
        <v>316</v>
      </c>
      <c r="G79" t="s">
        <v>21</v>
      </c>
      <c r="H79" t="s">
        <v>4834</v>
      </c>
      <c r="I79" t="s">
        <v>4839</v>
      </c>
      <c r="J79" s="4" t="s">
        <v>4840</v>
      </c>
      <c r="K79" s="4" t="s">
        <v>4832</v>
      </c>
      <c r="L79" s="4" t="s">
        <v>4847</v>
      </c>
      <c r="M79" s="4" t="s">
        <v>5035</v>
      </c>
      <c r="N79" t="s">
        <v>317</v>
      </c>
      <c r="O79" t="s">
        <v>318</v>
      </c>
      <c r="P79" t="s">
        <v>23</v>
      </c>
      <c r="Q79" t="s">
        <v>24</v>
      </c>
      <c r="R79" t="s">
        <v>25</v>
      </c>
      <c r="S79" t="s">
        <v>26</v>
      </c>
      <c r="T79" s="6">
        <v>46307</v>
      </c>
      <c r="U79">
        <v>50</v>
      </c>
      <c r="V79">
        <v>50</v>
      </c>
      <c r="W79">
        <v>50</v>
      </c>
      <c r="X79">
        <v>50</v>
      </c>
      <c r="Y79">
        <f t="shared" si="9"/>
        <v>0</v>
      </c>
      <c r="Z79">
        <f t="shared" si="10"/>
        <v>0</v>
      </c>
      <c r="AC79" s="1">
        <v>0</v>
      </c>
      <c r="AF79">
        <f>V79</f>
        <v>50</v>
      </c>
      <c r="AG79" s="7">
        <v>10</v>
      </c>
      <c r="AH79">
        <f t="shared" si="11"/>
        <v>50</v>
      </c>
      <c r="AI79">
        <f t="shared" si="8"/>
        <v>0</v>
      </c>
      <c r="AK79">
        <f t="shared" si="12"/>
        <v>5</v>
      </c>
      <c r="AL79">
        <v>20.420000000000002</v>
      </c>
      <c r="AM79" t="s">
        <v>27</v>
      </c>
      <c r="AN79">
        <v>20.420000000000002</v>
      </c>
      <c r="AO79" t="b">
        <f t="shared" si="13"/>
        <v>1</v>
      </c>
      <c r="AR79" t="s">
        <v>5061</v>
      </c>
      <c r="AS79" s="21">
        <v>46276</v>
      </c>
      <c r="AT79" t="s">
        <v>5064</v>
      </c>
      <c r="AU79" t="s">
        <v>5065</v>
      </c>
      <c r="AV79" t="s">
        <v>5088</v>
      </c>
      <c r="AW79" t="s">
        <v>5086</v>
      </c>
    </row>
    <row r="80" spans="1:49" x14ac:dyDescent="0.35">
      <c r="A80" t="s">
        <v>73</v>
      </c>
      <c r="B80" t="s">
        <v>74</v>
      </c>
      <c r="C80" t="s">
        <v>4818</v>
      </c>
      <c r="D80" t="s">
        <v>18</v>
      </c>
      <c r="E80" t="s">
        <v>319</v>
      </c>
      <c r="F80" t="s">
        <v>320</v>
      </c>
      <c r="G80" t="s">
        <v>21</v>
      </c>
      <c r="H80" t="s">
        <v>4834</v>
      </c>
      <c r="I80" t="s">
        <v>4839</v>
      </c>
      <c r="J80" s="4" t="s">
        <v>4840</v>
      </c>
      <c r="K80" s="4" t="s">
        <v>4843</v>
      </c>
      <c r="L80" s="4" t="s">
        <v>4856</v>
      </c>
      <c r="M80" s="4" t="s">
        <v>5035</v>
      </c>
      <c r="N80" t="s">
        <v>321</v>
      </c>
      <c r="O80" t="s">
        <v>322</v>
      </c>
      <c r="P80" t="s">
        <v>23</v>
      </c>
      <c r="Q80" t="s">
        <v>24</v>
      </c>
      <c r="R80" t="s">
        <v>25</v>
      </c>
      <c r="S80" t="s">
        <v>26</v>
      </c>
      <c r="T80" s="6">
        <v>46307</v>
      </c>
      <c r="U80">
        <v>50</v>
      </c>
      <c r="V80">
        <v>50</v>
      </c>
      <c r="W80">
        <v>50</v>
      </c>
      <c r="X80">
        <v>50</v>
      </c>
      <c r="Y80">
        <f t="shared" si="9"/>
        <v>0</v>
      </c>
      <c r="Z80">
        <f t="shared" si="10"/>
        <v>0</v>
      </c>
      <c r="AC80" s="1">
        <v>0</v>
      </c>
      <c r="AF80">
        <f>V80</f>
        <v>50</v>
      </c>
      <c r="AG80" s="7">
        <v>10</v>
      </c>
      <c r="AH80">
        <f t="shared" si="11"/>
        <v>50</v>
      </c>
      <c r="AI80">
        <f t="shared" si="8"/>
        <v>0</v>
      </c>
      <c r="AK80">
        <f t="shared" si="12"/>
        <v>5</v>
      </c>
      <c r="AL80">
        <v>20.420000000000002</v>
      </c>
      <c r="AM80" t="s">
        <v>27</v>
      </c>
      <c r="AN80">
        <v>20.420000000000002</v>
      </c>
      <c r="AO80" t="b">
        <f t="shared" si="13"/>
        <v>1</v>
      </c>
      <c r="AR80" t="s">
        <v>5061</v>
      </c>
      <c r="AS80" s="21">
        <v>46276</v>
      </c>
      <c r="AT80" t="s">
        <v>5064</v>
      </c>
      <c r="AU80" t="s">
        <v>5065</v>
      </c>
      <c r="AV80" t="s">
        <v>5088</v>
      </c>
      <c r="AW80" t="s">
        <v>5086</v>
      </c>
    </row>
    <row r="81" spans="1:49" x14ac:dyDescent="0.35">
      <c r="A81" t="s">
        <v>73</v>
      </c>
      <c r="B81" t="s">
        <v>74</v>
      </c>
      <c r="C81" t="s">
        <v>4818</v>
      </c>
      <c r="D81" t="s">
        <v>18</v>
      </c>
      <c r="E81" t="s">
        <v>323</v>
      </c>
      <c r="F81" t="s">
        <v>324</v>
      </c>
      <c r="G81" t="s">
        <v>21</v>
      </c>
      <c r="H81" t="s">
        <v>4834</v>
      </c>
      <c r="I81" t="s">
        <v>4849</v>
      </c>
      <c r="J81" s="4" t="s">
        <v>4850</v>
      </c>
      <c r="K81" s="4" t="s">
        <v>4852</v>
      </c>
      <c r="L81" s="4" t="s">
        <v>4880</v>
      </c>
      <c r="M81" s="4" t="s">
        <v>5035</v>
      </c>
      <c r="N81" t="s">
        <v>325</v>
      </c>
      <c r="O81" t="s">
        <v>326</v>
      </c>
      <c r="P81" t="s">
        <v>23</v>
      </c>
      <c r="Q81" t="s">
        <v>24</v>
      </c>
      <c r="R81" t="s">
        <v>25</v>
      </c>
      <c r="S81" t="s">
        <v>26</v>
      </c>
      <c r="T81" s="6">
        <v>46307</v>
      </c>
      <c r="U81">
        <v>84</v>
      </c>
      <c r="V81">
        <v>84</v>
      </c>
      <c r="W81">
        <v>84</v>
      </c>
      <c r="X81">
        <v>0</v>
      </c>
      <c r="Y81">
        <f t="shared" si="9"/>
        <v>84</v>
      </c>
      <c r="Z81">
        <f t="shared" si="10"/>
        <v>84</v>
      </c>
      <c r="AC81" s="1">
        <v>0</v>
      </c>
      <c r="AF81">
        <v>0</v>
      </c>
      <c r="AG81" s="7">
        <v>6</v>
      </c>
      <c r="AH81">
        <f t="shared" si="11"/>
        <v>0</v>
      </c>
      <c r="AI81">
        <f t="shared" si="8"/>
        <v>84</v>
      </c>
      <c r="AK81">
        <f t="shared" si="12"/>
        <v>0</v>
      </c>
      <c r="AL81">
        <v>14.78</v>
      </c>
      <c r="AM81" t="s">
        <v>27</v>
      </c>
      <c r="AN81">
        <v>14.78</v>
      </c>
      <c r="AO81" t="b">
        <f t="shared" si="13"/>
        <v>1</v>
      </c>
      <c r="AR81" t="s">
        <v>5061</v>
      </c>
      <c r="AS81" s="21">
        <v>46276</v>
      </c>
      <c r="AT81" t="s">
        <v>15</v>
      </c>
      <c r="AU81" t="s">
        <v>5060</v>
      </c>
      <c r="AV81" t="s">
        <v>5088</v>
      </c>
      <c r="AW81" t="s">
        <v>5060</v>
      </c>
    </row>
    <row r="82" spans="1:49" x14ac:dyDescent="0.35">
      <c r="A82" t="s">
        <v>73</v>
      </c>
      <c r="B82" t="s">
        <v>74</v>
      </c>
      <c r="C82" t="s">
        <v>4818</v>
      </c>
      <c r="D82" t="s">
        <v>18</v>
      </c>
      <c r="E82" t="s">
        <v>327</v>
      </c>
      <c r="F82" t="s">
        <v>328</v>
      </c>
      <c r="G82" t="s">
        <v>21</v>
      </c>
      <c r="H82" t="s">
        <v>4834</v>
      </c>
      <c r="I82" t="s">
        <v>4835</v>
      </c>
      <c r="J82" s="4" t="s">
        <v>4836</v>
      </c>
      <c r="K82" s="4" t="s">
        <v>4845</v>
      </c>
      <c r="L82" s="4" t="s">
        <v>4881</v>
      </c>
      <c r="M82" s="4" t="s">
        <v>5035</v>
      </c>
      <c r="N82" t="s">
        <v>329</v>
      </c>
      <c r="O82" t="s">
        <v>330</v>
      </c>
      <c r="P82" t="s">
        <v>23</v>
      </c>
      <c r="Q82" t="s">
        <v>24</v>
      </c>
      <c r="R82" t="s">
        <v>25</v>
      </c>
      <c r="S82" t="s">
        <v>26</v>
      </c>
      <c r="T82" s="6">
        <v>46307</v>
      </c>
      <c r="U82">
        <v>120</v>
      </c>
      <c r="V82">
        <v>120</v>
      </c>
      <c r="W82">
        <v>120</v>
      </c>
      <c r="X82">
        <v>0</v>
      </c>
      <c r="Y82">
        <f t="shared" si="9"/>
        <v>120</v>
      </c>
      <c r="Z82">
        <f t="shared" si="10"/>
        <v>120</v>
      </c>
      <c r="AC82" s="1">
        <v>0</v>
      </c>
      <c r="AF82">
        <v>0</v>
      </c>
      <c r="AG82" s="7">
        <v>8</v>
      </c>
      <c r="AH82">
        <f t="shared" si="11"/>
        <v>0</v>
      </c>
      <c r="AI82">
        <f t="shared" si="8"/>
        <v>120</v>
      </c>
      <c r="AK82">
        <f t="shared" si="12"/>
        <v>0</v>
      </c>
      <c r="AL82">
        <v>21.63</v>
      </c>
      <c r="AM82" t="s">
        <v>27</v>
      </c>
      <c r="AN82">
        <v>21.63</v>
      </c>
      <c r="AO82" t="b">
        <f t="shared" si="13"/>
        <v>1</v>
      </c>
      <c r="AR82" t="s">
        <v>5061</v>
      </c>
      <c r="AS82" s="21">
        <v>46276</v>
      </c>
      <c r="AT82" t="s">
        <v>15</v>
      </c>
      <c r="AU82" t="s">
        <v>5060</v>
      </c>
      <c r="AV82" t="s">
        <v>5088</v>
      </c>
      <c r="AW82" t="s">
        <v>5060</v>
      </c>
    </row>
    <row r="83" spans="1:49" x14ac:dyDescent="0.35">
      <c r="A83" t="s">
        <v>73</v>
      </c>
      <c r="B83" t="s">
        <v>74</v>
      </c>
      <c r="C83" t="s">
        <v>4818</v>
      </c>
      <c r="D83" t="s">
        <v>18</v>
      </c>
      <c r="E83" t="s">
        <v>331</v>
      </c>
      <c r="F83" t="s">
        <v>332</v>
      </c>
      <c r="G83" t="s">
        <v>21</v>
      </c>
      <c r="H83" t="s">
        <v>4834</v>
      </c>
      <c r="I83" t="s">
        <v>4839</v>
      </c>
      <c r="J83" s="4" t="s">
        <v>4840</v>
      </c>
      <c r="K83" s="4" t="s">
        <v>4854</v>
      </c>
      <c r="L83" s="4" t="s">
        <v>4865</v>
      </c>
      <c r="M83" s="4" t="s">
        <v>5035</v>
      </c>
      <c r="N83" t="s">
        <v>333</v>
      </c>
      <c r="O83" t="s">
        <v>334</v>
      </c>
      <c r="P83" t="s">
        <v>23</v>
      </c>
      <c r="Q83" t="s">
        <v>24</v>
      </c>
      <c r="R83" t="s">
        <v>25</v>
      </c>
      <c r="S83" t="s">
        <v>26</v>
      </c>
      <c r="T83" s="6">
        <v>46307</v>
      </c>
      <c r="U83">
        <v>50</v>
      </c>
      <c r="V83">
        <v>50</v>
      </c>
      <c r="W83">
        <v>50</v>
      </c>
      <c r="X83">
        <v>50</v>
      </c>
      <c r="Y83">
        <f t="shared" si="9"/>
        <v>0</v>
      </c>
      <c r="Z83">
        <f t="shared" si="10"/>
        <v>0</v>
      </c>
      <c r="AC83" s="1">
        <v>0</v>
      </c>
      <c r="AF83">
        <f>V83</f>
        <v>50</v>
      </c>
      <c r="AG83" s="7">
        <v>10</v>
      </c>
      <c r="AH83">
        <f t="shared" si="11"/>
        <v>50</v>
      </c>
      <c r="AI83">
        <f t="shared" si="8"/>
        <v>0</v>
      </c>
      <c r="AK83">
        <f t="shared" si="12"/>
        <v>5</v>
      </c>
      <c r="AL83">
        <v>20.420000000000002</v>
      </c>
      <c r="AM83" t="s">
        <v>27</v>
      </c>
      <c r="AN83">
        <v>20.420000000000002</v>
      </c>
      <c r="AO83" t="b">
        <f t="shared" si="13"/>
        <v>1</v>
      </c>
      <c r="AR83" t="s">
        <v>5061</v>
      </c>
      <c r="AS83" s="21">
        <v>46276</v>
      </c>
      <c r="AT83" t="s">
        <v>5064</v>
      </c>
      <c r="AU83" t="s">
        <v>5065</v>
      </c>
      <c r="AV83" t="s">
        <v>5088</v>
      </c>
      <c r="AW83" t="s">
        <v>5086</v>
      </c>
    </row>
    <row r="84" spans="1:49" x14ac:dyDescent="0.35">
      <c r="A84" t="s">
        <v>73</v>
      </c>
      <c r="B84" t="s">
        <v>74</v>
      </c>
      <c r="C84" t="s">
        <v>4818</v>
      </c>
      <c r="D84" t="s">
        <v>18</v>
      </c>
      <c r="E84" t="s">
        <v>335</v>
      </c>
      <c r="F84" t="s">
        <v>336</v>
      </c>
      <c r="G84" t="s">
        <v>21</v>
      </c>
      <c r="H84" t="s">
        <v>4834</v>
      </c>
      <c r="I84" t="s">
        <v>4835</v>
      </c>
      <c r="J84" s="4" t="s">
        <v>4836</v>
      </c>
      <c r="K84" s="4" t="s">
        <v>4832</v>
      </c>
      <c r="L84" s="4" t="s">
        <v>4844</v>
      </c>
      <c r="M84" s="4" t="s">
        <v>5035</v>
      </c>
      <c r="N84" t="s">
        <v>337</v>
      </c>
      <c r="O84" t="s">
        <v>338</v>
      </c>
      <c r="P84" t="s">
        <v>23</v>
      </c>
      <c r="Q84" t="s">
        <v>24</v>
      </c>
      <c r="R84" t="s">
        <v>25</v>
      </c>
      <c r="S84" t="s">
        <v>26</v>
      </c>
      <c r="T84" s="6">
        <v>46307</v>
      </c>
      <c r="U84">
        <v>88</v>
      </c>
      <c r="V84">
        <v>88</v>
      </c>
      <c r="W84">
        <v>96</v>
      </c>
      <c r="X84">
        <v>0</v>
      </c>
      <c r="Y84">
        <f t="shared" si="9"/>
        <v>96</v>
      </c>
      <c r="Z84">
        <f t="shared" si="10"/>
        <v>88</v>
      </c>
      <c r="AC84" s="1">
        <v>0</v>
      </c>
      <c r="AF84">
        <v>0</v>
      </c>
      <c r="AG84" s="7">
        <v>8</v>
      </c>
      <c r="AH84">
        <f t="shared" si="11"/>
        <v>0</v>
      </c>
      <c r="AI84">
        <f t="shared" si="8"/>
        <v>88</v>
      </c>
      <c r="AK84">
        <f t="shared" si="12"/>
        <v>0</v>
      </c>
      <c r="AL84">
        <v>21.63</v>
      </c>
      <c r="AM84" t="s">
        <v>27</v>
      </c>
      <c r="AN84">
        <v>21.63</v>
      </c>
      <c r="AO84" t="b">
        <f t="shared" si="13"/>
        <v>1</v>
      </c>
      <c r="AR84" t="s">
        <v>5061</v>
      </c>
      <c r="AS84" s="21">
        <v>46276</v>
      </c>
      <c r="AT84" t="s">
        <v>15</v>
      </c>
      <c r="AU84" t="s">
        <v>5060</v>
      </c>
      <c r="AV84" t="s">
        <v>5088</v>
      </c>
      <c r="AW84" t="s">
        <v>5060</v>
      </c>
    </row>
    <row r="85" spans="1:49" x14ac:dyDescent="0.35">
      <c r="A85" t="s">
        <v>73</v>
      </c>
      <c r="B85" t="s">
        <v>74</v>
      </c>
      <c r="C85" t="s">
        <v>4818</v>
      </c>
      <c r="D85" t="s">
        <v>18</v>
      </c>
      <c r="E85" t="s">
        <v>339</v>
      </c>
      <c r="F85" t="s">
        <v>340</v>
      </c>
      <c r="G85" t="s">
        <v>21</v>
      </c>
      <c r="H85" t="s">
        <v>4834</v>
      </c>
      <c r="I85" t="s">
        <v>4839</v>
      </c>
      <c r="J85" s="4" t="s">
        <v>4840</v>
      </c>
      <c r="K85" s="4" t="s">
        <v>4832</v>
      </c>
      <c r="L85" s="4" t="s">
        <v>4872</v>
      </c>
      <c r="M85" s="4" t="s">
        <v>5035</v>
      </c>
      <c r="N85" t="s">
        <v>341</v>
      </c>
      <c r="O85" t="s">
        <v>342</v>
      </c>
      <c r="P85" t="s">
        <v>23</v>
      </c>
      <c r="Q85" t="s">
        <v>24</v>
      </c>
      <c r="R85" t="s">
        <v>25</v>
      </c>
      <c r="S85" t="s">
        <v>26</v>
      </c>
      <c r="T85" s="6">
        <v>46307</v>
      </c>
      <c r="U85">
        <v>80</v>
      </c>
      <c r="V85">
        <v>80</v>
      </c>
      <c r="W85">
        <v>80</v>
      </c>
      <c r="X85">
        <v>80</v>
      </c>
      <c r="Y85">
        <f t="shared" si="9"/>
        <v>0</v>
      </c>
      <c r="Z85">
        <f t="shared" si="10"/>
        <v>0</v>
      </c>
      <c r="AC85" s="1">
        <v>0</v>
      </c>
      <c r="AF85">
        <f>V85</f>
        <v>80</v>
      </c>
      <c r="AG85" s="7">
        <v>10</v>
      </c>
      <c r="AH85">
        <f t="shared" si="11"/>
        <v>80</v>
      </c>
      <c r="AI85">
        <f t="shared" si="8"/>
        <v>0</v>
      </c>
      <c r="AK85">
        <f t="shared" si="12"/>
        <v>8</v>
      </c>
      <c r="AL85">
        <v>20.420000000000002</v>
      </c>
      <c r="AM85" t="s">
        <v>27</v>
      </c>
      <c r="AN85">
        <v>20.420000000000002</v>
      </c>
      <c r="AO85" t="b">
        <f t="shared" si="13"/>
        <v>1</v>
      </c>
      <c r="AR85" t="s">
        <v>5061</v>
      </c>
      <c r="AS85" s="21">
        <v>46276</v>
      </c>
      <c r="AT85" t="s">
        <v>5064</v>
      </c>
      <c r="AU85" t="s">
        <v>5065</v>
      </c>
      <c r="AV85" t="s">
        <v>5088</v>
      </c>
      <c r="AW85" t="s">
        <v>5086</v>
      </c>
    </row>
    <row r="86" spans="1:49" x14ac:dyDescent="0.35">
      <c r="A86" t="s">
        <v>73</v>
      </c>
      <c r="B86" t="s">
        <v>74</v>
      </c>
      <c r="C86" t="s">
        <v>4818</v>
      </c>
      <c r="D86" t="s">
        <v>18</v>
      </c>
      <c r="E86" t="s">
        <v>343</v>
      </c>
      <c r="F86" t="s">
        <v>344</v>
      </c>
      <c r="G86" t="s">
        <v>21</v>
      </c>
      <c r="H86" t="s">
        <v>4834</v>
      </c>
      <c r="I86" t="s">
        <v>4835</v>
      </c>
      <c r="J86" s="4" t="s">
        <v>4836</v>
      </c>
      <c r="K86" s="4" t="s">
        <v>4837</v>
      </c>
      <c r="L86" s="4" t="s">
        <v>4846</v>
      </c>
      <c r="M86" s="4" t="s">
        <v>5035</v>
      </c>
      <c r="N86" t="s">
        <v>345</v>
      </c>
      <c r="O86" t="s">
        <v>346</v>
      </c>
      <c r="P86" t="s">
        <v>23</v>
      </c>
      <c r="Q86" t="s">
        <v>24</v>
      </c>
      <c r="R86" t="s">
        <v>25</v>
      </c>
      <c r="S86" t="s">
        <v>26</v>
      </c>
      <c r="T86" s="6">
        <v>46307</v>
      </c>
      <c r="U86">
        <v>104</v>
      </c>
      <c r="V86">
        <v>104</v>
      </c>
      <c r="W86">
        <v>112</v>
      </c>
      <c r="X86">
        <v>0</v>
      </c>
      <c r="Y86">
        <f t="shared" si="9"/>
        <v>112</v>
      </c>
      <c r="Z86">
        <f t="shared" si="10"/>
        <v>104</v>
      </c>
      <c r="AC86" s="1">
        <v>0</v>
      </c>
      <c r="AF86">
        <v>0</v>
      </c>
      <c r="AG86" s="7">
        <v>8</v>
      </c>
      <c r="AH86">
        <f t="shared" si="11"/>
        <v>0</v>
      </c>
      <c r="AI86">
        <f t="shared" si="8"/>
        <v>104</v>
      </c>
      <c r="AK86">
        <f t="shared" si="12"/>
        <v>0</v>
      </c>
      <c r="AL86">
        <v>21.63</v>
      </c>
      <c r="AM86" t="s">
        <v>27</v>
      </c>
      <c r="AN86">
        <v>21.63</v>
      </c>
      <c r="AO86" t="b">
        <f t="shared" si="13"/>
        <v>1</v>
      </c>
      <c r="AR86" t="s">
        <v>5061</v>
      </c>
      <c r="AS86" s="21">
        <v>46276</v>
      </c>
      <c r="AT86" t="s">
        <v>15</v>
      </c>
      <c r="AU86" t="s">
        <v>5060</v>
      </c>
      <c r="AV86" t="s">
        <v>5088</v>
      </c>
      <c r="AW86" t="s">
        <v>5060</v>
      </c>
    </row>
    <row r="87" spans="1:49" x14ac:dyDescent="0.35">
      <c r="A87" t="s">
        <v>73</v>
      </c>
      <c r="B87" t="s">
        <v>74</v>
      </c>
      <c r="C87" t="s">
        <v>4818</v>
      </c>
      <c r="D87" t="s">
        <v>18</v>
      </c>
      <c r="E87" t="s">
        <v>347</v>
      </c>
      <c r="F87" t="s">
        <v>348</v>
      </c>
      <c r="G87" t="s">
        <v>21</v>
      </c>
      <c r="H87" t="s">
        <v>4834</v>
      </c>
      <c r="I87" t="s">
        <v>4835</v>
      </c>
      <c r="J87" s="4" t="s">
        <v>4836</v>
      </c>
      <c r="K87" s="4" t="s">
        <v>4837</v>
      </c>
      <c r="L87" s="4" t="s">
        <v>4866</v>
      </c>
      <c r="M87" s="4" t="s">
        <v>5035</v>
      </c>
      <c r="N87" t="s">
        <v>349</v>
      </c>
      <c r="O87" t="s">
        <v>350</v>
      </c>
      <c r="P87" t="s">
        <v>23</v>
      </c>
      <c r="Q87" t="s">
        <v>24</v>
      </c>
      <c r="R87" t="s">
        <v>25</v>
      </c>
      <c r="S87" t="s">
        <v>26</v>
      </c>
      <c r="T87" s="6">
        <v>46307</v>
      </c>
      <c r="U87">
        <v>72</v>
      </c>
      <c r="V87">
        <v>72</v>
      </c>
      <c r="W87">
        <v>80</v>
      </c>
      <c r="X87">
        <v>0</v>
      </c>
      <c r="Y87">
        <f t="shared" si="9"/>
        <v>80</v>
      </c>
      <c r="Z87">
        <f t="shared" si="10"/>
        <v>72</v>
      </c>
      <c r="AC87" s="1">
        <v>0</v>
      </c>
      <c r="AF87">
        <v>0</v>
      </c>
      <c r="AG87" s="7">
        <v>8</v>
      </c>
      <c r="AH87">
        <f t="shared" si="11"/>
        <v>0</v>
      </c>
      <c r="AI87">
        <f t="shared" si="8"/>
        <v>72</v>
      </c>
      <c r="AK87">
        <f t="shared" si="12"/>
        <v>0</v>
      </c>
      <c r="AL87">
        <v>21.63</v>
      </c>
      <c r="AM87" t="s">
        <v>27</v>
      </c>
      <c r="AN87">
        <v>21.63</v>
      </c>
      <c r="AO87" t="b">
        <f t="shared" si="13"/>
        <v>1</v>
      </c>
      <c r="AR87" t="s">
        <v>5061</v>
      </c>
      <c r="AS87" s="21">
        <v>46276</v>
      </c>
      <c r="AT87" t="s">
        <v>15</v>
      </c>
      <c r="AU87" t="s">
        <v>5060</v>
      </c>
      <c r="AV87" t="s">
        <v>5088</v>
      </c>
      <c r="AW87" t="s">
        <v>5060</v>
      </c>
    </row>
    <row r="88" spans="1:49" x14ac:dyDescent="0.35">
      <c r="A88" t="s">
        <v>73</v>
      </c>
      <c r="B88" t="s">
        <v>74</v>
      </c>
      <c r="C88" t="s">
        <v>4818</v>
      </c>
      <c r="D88" t="s">
        <v>18</v>
      </c>
      <c r="E88" t="s">
        <v>351</v>
      </c>
      <c r="F88" t="s">
        <v>352</v>
      </c>
      <c r="G88" t="s">
        <v>21</v>
      </c>
      <c r="H88" t="s">
        <v>4834</v>
      </c>
      <c r="I88" t="s">
        <v>4839</v>
      </c>
      <c r="J88" s="4" t="s">
        <v>4840</v>
      </c>
      <c r="K88" s="4" t="s">
        <v>4843</v>
      </c>
      <c r="L88" s="4" t="s">
        <v>4841</v>
      </c>
      <c r="M88" s="4" t="s">
        <v>5035</v>
      </c>
      <c r="N88" t="s">
        <v>353</v>
      </c>
      <c r="O88" t="s">
        <v>354</v>
      </c>
      <c r="P88" t="s">
        <v>23</v>
      </c>
      <c r="Q88" t="s">
        <v>24</v>
      </c>
      <c r="R88" t="s">
        <v>25</v>
      </c>
      <c r="S88" t="s">
        <v>26</v>
      </c>
      <c r="T88" s="6">
        <v>46307</v>
      </c>
      <c r="U88">
        <v>80</v>
      </c>
      <c r="V88">
        <v>80</v>
      </c>
      <c r="W88">
        <v>80</v>
      </c>
      <c r="X88">
        <v>80</v>
      </c>
      <c r="Y88">
        <f t="shared" si="9"/>
        <v>0</v>
      </c>
      <c r="Z88">
        <f t="shared" si="10"/>
        <v>0</v>
      </c>
      <c r="AC88" s="1">
        <v>0</v>
      </c>
      <c r="AF88">
        <f>V88</f>
        <v>80</v>
      </c>
      <c r="AG88" s="7">
        <v>10</v>
      </c>
      <c r="AH88">
        <f t="shared" si="11"/>
        <v>80</v>
      </c>
      <c r="AI88">
        <f t="shared" si="8"/>
        <v>0</v>
      </c>
      <c r="AK88">
        <f t="shared" si="12"/>
        <v>8</v>
      </c>
      <c r="AL88">
        <v>20.420000000000002</v>
      </c>
      <c r="AM88" t="s">
        <v>27</v>
      </c>
      <c r="AN88">
        <v>20.420000000000002</v>
      </c>
      <c r="AO88" t="b">
        <f t="shared" si="13"/>
        <v>1</v>
      </c>
      <c r="AR88" t="s">
        <v>5061</v>
      </c>
      <c r="AS88" s="21">
        <v>46276</v>
      </c>
      <c r="AT88" t="s">
        <v>5064</v>
      </c>
      <c r="AU88" t="s">
        <v>5065</v>
      </c>
      <c r="AV88" t="s">
        <v>5088</v>
      </c>
      <c r="AW88" t="s">
        <v>5086</v>
      </c>
    </row>
    <row r="89" spans="1:49" x14ac:dyDescent="0.35">
      <c r="A89" t="s">
        <v>73</v>
      </c>
      <c r="B89" t="s">
        <v>74</v>
      </c>
      <c r="C89" t="s">
        <v>4818</v>
      </c>
      <c r="D89" t="s">
        <v>18</v>
      </c>
      <c r="E89" t="s">
        <v>355</v>
      </c>
      <c r="F89" t="s">
        <v>356</v>
      </c>
      <c r="G89" t="s">
        <v>21</v>
      </c>
      <c r="H89" t="s">
        <v>4834</v>
      </c>
      <c r="I89" t="s">
        <v>4849</v>
      </c>
      <c r="J89" s="4" t="s">
        <v>4850</v>
      </c>
      <c r="K89" s="4" t="s">
        <v>4862</v>
      </c>
      <c r="L89" s="4" t="s">
        <v>4857</v>
      </c>
      <c r="M89" s="4" t="s">
        <v>5035</v>
      </c>
      <c r="N89" t="s">
        <v>357</v>
      </c>
      <c r="O89" t="s">
        <v>358</v>
      </c>
      <c r="P89" t="s">
        <v>23</v>
      </c>
      <c r="Q89" t="s">
        <v>24</v>
      </c>
      <c r="R89" t="s">
        <v>25</v>
      </c>
      <c r="S89" t="s">
        <v>26</v>
      </c>
      <c r="T89" s="6">
        <v>46307</v>
      </c>
      <c r="U89">
        <v>36</v>
      </c>
      <c r="V89">
        <v>36</v>
      </c>
      <c r="W89">
        <v>36</v>
      </c>
      <c r="X89">
        <v>0</v>
      </c>
      <c r="Y89">
        <f t="shared" si="9"/>
        <v>36</v>
      </c>
      <c r="Z89">
        <f t="shared" si="10"/>
        <v>36</v>
      </c>
      <c r="AC89" s="1">
        <v>0</v>
      </c>
      <c r="AF89">
        <v>0</v>
      </c>
      <c r="AG89" s="7">
        <v>6</v>
      </c>
      <c r="AH89">
        <f t="shared" si="11"/>
        <v>0</v>
      </c>
      <c r="AI89">
        <f t="shared" si="8"/>
        <v>36</v>
      </c>
      <c r="AK89">
        <f t="shared" si="12"/>
        <v>0</v>
      </c>
      <c r="AL89">
        <v>14.78</v>
      </c>
      <c r="AM89" t="s">
        <v>27</v>
      </c>
      <c r="AN89">
        <v>14.78</v>
      </c>
      <c r="AO89" t="b">
        <f t="shared" si="13"/>
        <v>1</v>
      </c>
      <c r="AR89" t="s">
        <v>5061</v>
      </c>
      <c r="AS89" s="21">
        <v>46276</v>
      </c>
      <c r="AT89" t="s">
        <v>15</v>
      </c>
      <c r="AU89" t="s">
        <v>5060</v>
      </c>
      <c r="AV89" t="s">
        <v>5088</v>
      </c>
      <c r="AW89" t="s">
        <v>5060</v>
      </c>
    </row>
    <row r="90" spans="1:49" x14ac:dyDescent="0.35">
      <c r="A90" t="s">
        <v>73</v>
      </c>
      <c r="B90" t="s">
        <v>74</v>
      </c>
      <c r="C90" t="s">
        <v>4818</v>
      </c>
      <c r="D90" t="s">
        <v>18</v>
      </c>
      <c r="E90" t="s">
        <v>359</v>
      </c>
      <c r="F90" t="s">
        <v>360</v>
      </c>
      <c r="G90" t="s">
        <v>21</v>
      </c>
      <c r="H90" t="s">
        <v>4834</v>
      </c>
      <c r="I90" t="s">
        <v>4849</v>
      </c>
      <c r="J90" s="4" t="s">
        <v>4850</v>
      </c>
      <c r="K90" s="4" t="s">
        <v>4852</v>
      </c>
      <c r="L90" s="4" t="s">
        <v>4875</v>
      </c>
      <c r="M90" s="4" t="s">
        <v>5035</v>
      </c>
      <c r="N90" t="s">
        <v>361</v>
      </c>
      <c r="O90" t="s">
        <v>362</v>
      </c>
      <c r="P90" t="s">
        <v>23</v>
      </c>
      <c r="Q90" t="s">
        <v>24</v>
      </c>
      <c r="R90" t="s">
        <v>25</v>
      </c>
      <c r="S90" t="s">
        <v>26</v>
      </c>
      <c r="T90" s="6">
        <v>46307</v>
      </c>
      <c r="U90">
        <v>90</v>
      </c>
      <c r="V90">
        <v>90</v>
      </c>
      <c r="W90">
        <v>96</v>
      </c>
      <c r="X90">
        <v>96</v>
      </c>
      <c r="Y90">
        <f t="shared" si="9"/>
        <v>0</v>
      </c>
      <c r="Z90">
        <f t="shared" si="10"/>
        <v>-6</v>
      </c>
      <c r="AC90" s="1">
        <v>0</v>
      </c>
      <c r="AF90">
        <f>V90</f>
        <v>90</v>
      </c>
      <c r="AG90" s="7">
        <v>6</v>
      </c>
      <c r="AH90">
        <f t="shared" si="11"/>
        <v>90</v>
      </c>
      <c r="AI90">
        <f t="shared" si="8"/>
        <v>0</v>
      </c>
      <c r="AK90">
        <f t="shared" si="12"/>
        <v>15</v>
      </c>
      <c r="AL90">
        <v>14.78</v>
      </c>
      <c r="AM90" t="s">
        <v>27</v>
      </c>
      <c r="AN90">
        <v>14.78</v>
      </c>
      <c r="AO90" t="b">
        <f t="shared" si="13"/>
        <v>1</v>
      </c>
      <c r="AR90" t="s">
        <v>5061</v>
      </c>
      <c r="AS90" s="21">
        <v>46276</v>
      </c>
      <c r="AT90" t="s">
        <v>5064</v>
      </c>
      <c r="AU90" t="s">
        <v>5066</v>
      </c>
      <c r="AV90" t="s">
        <v>5088</v>
      </c>
      <c r="AW90" t="s">
        <v>5086</v>
      </c>
    </row>
    <row r="91" spans="1:49" x14ac:dyDescent="0.35">
      <c r="A91" t="s">
        <v>73</v>
      </c>
      <c r="B91" t="s">
        <v>74</v>
      </c>
      <c r="C91" t="s">
        <v>4818</v>
      </c>
      <c r="D91" t="s">
        <v>18</v>
      </c>
      <c r="E91" t="s">
        <v>363</v>
      </c>
      <c r="F91" t="s">
        <v>364</v>
      </c>
      <c r="G91" t="s">
        <v>21</v>
      </c>
      <c r="H91" t="s">
        <v>4834</v>
      </c>
      <c r="I91" t="s">
        <v>4849</v>
      </c>
      <c r="J91" s="4" t="s">
        <v>4850</v>
      </c>
      <c r="K91" s="4" t="s">
        <v>4852</v>
      </c>
      <c r="L91" s="4" t="s">
        <v>4879</v>
      </c>
      <c r="M91" s="4" t="s">
        <v>5035</v>
      </c>
      <c r="N91" t="s">
        <v>365</v>
      </c>
      <c r="O91" t="s">
        <v>366</v>
      </c>
      <c r="P91" t="s">
        <v>23</v>
      </c>
      <c r="Q91" t="s">
        <v>24</v>
      </c>
      <c r="R91" t="s">
        <v>25</v>
      </c>
      <c r="S91" t="s">
        <v>26</v>
      </c>
      <c r="T91" s="6">
        <v>46307</v>
      </c>
      <c r="U91">
        <v>114</v>
      </c>
      <c r="V91">
        <v>114</v>
      </c>
      <c r="W91">
        <v>120</v>
      </c>
      <c r="X91">
        <v>120</v>
      </c>
      <c r="Y91">
        <f t="shared" si="9"/>
        <v>0</v>
      </c>
      <c r="Z91">
        <f t="shared" si="10"/>
        <v>-6</v>
      </c>
      <c r="AC91" s="1">
        <v>0</v>
      </c>
      <c r="AF91">
        <f>V91</f>
        <v>114</v>
      </c>
      <c r="AG91" s="7">
        <v>6</v>
      </c>
      <c r="AH91">
        <f t="shared" si="11"/>
        <v>114</v>
      </c>
      <c r="AI91">
        <f t="shared" si="8"/>
        <v>0</v>
      </c>
      <c r="AK91">
        <f t="shared" si="12"/>
        <v>19</v>
      </c>
      <c r="AL91">
        <v>14.78</v>
      </c>
      <c r="AM91" t="s">
        <v>27</v>
      </c>
      <c r="AN91">
        <v>14.78</v>
      </c>
      <c r="AO91" t="b">
        <f t="shared" si="13"/>
        <v>1</v>
      </c>
      <c r="AR91" t="s">
        <v>5061</v>
      </c>
      <c r="AS91" s="21">
        <v>46276</v>
      </c>
      <c r="AT91" t="s">
        <v>5064</v>
      </c>
      <c r="AU91" t="s">
        <v>5066</v>
      </c>
      <c r="AV91" t="s">
        <v>5088</v>
      </c>
      <c r="AW91" t="s">
        <v>5086</v>
      </c>
    </row>
    <row r="92" spans="1:49" x14ac:dyDescent="0.35">
      <c r="A92" t="s">
        <v>73</v>
      </c>
      <c r="B92" t="s">
        <v>74</v>
      </c>
      <c r="C92" t="s">
        <v>4818</v>
      </c>
      <c r="D92" t="s">
        <v>18</v>
      </c>
      <c r="E92" t="s">
        <v>367</v>
      </c>
      <c r="F92" t="s">
        <v>368</v>
      </c>
      <c r="G92" t="s">
        <v>21</v>
      </c>
      <c r="H92" t="s">
        <v>4834</v>
      </c>
      <c r="I92" t="s">
        <v>4849</v>
      </c>
      <c r="J92" s="4" t="s">
        <v>4850</v>
      </c>
      <c r="K92" s="4" t="s">
        <v>4854</v>
      </c>
      <c r="L92" s="4" t="s">
        <v>4880</v>
      </c>
      <c r="M92" s="4" t="s">
        <v>5035</v>
      </c>
      <c r="N92" t="s">
        <v>369</v>
      </c>
      <c r="O92" t="s">
        <v>370</v>
      </c>
      <c r="P92" t="s">
        <v>23</v>
      </c>
      <c r="Q92" t="s">
        <v>24</v>
      </c>
      <c r="R92" t="s">
        <v>25</v>
      </c>
      <c r="S92" t="s">
        <v>26</v>
      </c>
      <c r="T92" s="6">
        <v>46307</v>
      </c>
      <c r="U92">
        <v>90</v>
      </c>
      <c r="V92">
        <v>90</v>
      </c>
      <c r="W92">
        <v>90</v>
      </c>
      <c r="X92">
        <v>90</v>
      </c>
      <c r="Y92">
        <f t="shared" si="9"/>
        <v>0</v>
      </c>
      <c r="Z92">
        <f t="shared" si="10"/>
        <v>0</v>
      </c>
      <c r="AC92" s="1">
        <v>0</v>
      </c>
      <c r="AF92">
        <f>V92</f>
        <v>90</v>
      </c>
      <c r="AG92" s="7">
        <v>6</v>
      </c>
      <c r="AH92">
        <f t="shared" si="11"/>
        <v>90</v>
      </c>
      <c r="AI92">
        <f t="shared" si="8"/>
        <v>0</v>
      </c>
      <c r="AK92">
        <f t="shared" si="12"/>
        <v>15</v>
      </c>
      <c r="AL92">
        <v>14.78</v>
      </c>
      <c r="AM92" t="s">
        <v>27</v>
      </c>
      <c r="AN92">
        <v>14.78</v>
      </c>
      <c r="AO92" t="b">
        <f t="shared" si="13"/>
        <v>1</v>
      </c>
      <c r="AR92" t="s">
        <v>5061</v>
      </c>
      <c r="AS92" s="21">
        <v>46276</v>
      </c>
      <c r="AT92" t="s">
        <v>5064</v>
      </c>
      <c r="AU92" t="s">
        <v>5066</v>
      </c>
      <c r="AV92" t="s">
        <v>5088</v>
      </c>
      <c r="AW92" t="s">
        <v>5086</v>
      </c>
    </row>
    <row r="93" spans="1:49" x14ac:dyDescent="0.35">
      <c r="A93" t="s">
        <v>73</v>
      </c>
      <c r="B93" t="s">
        <v>74</v>
      </c>
      <c r="C93" t="s">
        <v>4818</v>
      </c>
      <c r="D93" t="s">
        <v>18</v>
      </c>
      <c r="E93" t="s">
        <v>371</v>
      </c>
      <c r="F93" t="s">
        <v>372</v>
      </c>
      <c r="G93" t="s">
        <v>21</v>
      </c>
      <c r="H93" t="s">
        <v>4834</v>
      </c>
      <c r="I93" t="s">
        <v>4849</v>
      </c>
      <c r="J93" s="4" t="s">
        <v>4850</v>
      </c>
      <c r="K93" s="4" t="s">
        <v>4837</v>
      </c>
      <c r="L93" s="4" t="s">
        <v>4864</v>
      </c>
      <c r="M93" s="4" t="s">
        <v>5035</v>
      </c>
      <c r="N93" t="s">
        <v>373</v>
      </c>
      <c r="O93" t="s">
        <v>374</v>
      </c>
      <c r="P93" t="s">
        <v>23</v>
      </c>
      <c r="Q93" t="s">
        <v>24</v>
      </c>
      <c r="R93" t="s">
        <v>25</v>
      </c>
      <c r="S93" t="s">
        <v>26</v>
      </c>
      <c r="T93" s="6">
        <v>46307</v>
      </c>
      <c r="U93">
        <v>60</v>
      </c>
      <c r="V93">
        <v>60</v>
      </c>
      <c r="W93">
        <v>66</v>
      </c>
      <c r="X93">
        <v>66</v>
      </c>
      <c r="Y93">
        <f t="shared" si="9"/>
        <v>0</v>
      </c>
      <c r="Z93">
        <f t="shared" si="10"/>
        <v>-6</v>
      </c>
      <c r="AC93" s="1">
        <v>0</v>
      </c>
      <c r="AF93">
        <f>V93</f>
        <v>60</v>
      </c>
      <c r="AG93" s="7">
        <v>6</v>
      </c>
      <c r="AH93">
        <f t="shared" si="11"/>
        <v>60</v>
      </c>
      <c r="AI93">
        <f t="shared" si="8"/>
        <v>0</v>
      </c>
      <c r="AK93">
        <f t="shared" si="12"/>
        <v>10</v>
      </c>
      <c r="AL93">
        <v>14.78</v>
      </c>
      <c r="AM93" t="s">
        <v>27</v>
      </c>
      <c r="AN93">
        <v>14.78</v>
      </c>
      <c r="AO93" t="b">
        <f t="shared" si="13"/>
        <v>1</v>
      </c>
      <c r="AR93" t="s">
        <v>5061</v>
      </c>
      <c r="AS93" s="21">
        <v>46276</v>
      </c>
      <c r="AT93" t="s">
        <v>5064</v>
      </c>
      <c r="AU93" t="s">
        <v>5066</v>
      </c>
      <c r="AV93" t="s">
        <v>5088</v>
      </c>
      <c r="AW93" t="s">
        <v>5086</v>
      </c>
    </row>
    <row r="94" spans="1:49" x14ac:dyDescent="0.35">
      <c r="A94" t="s">
        <v>73</v>
      </c>
      <c r="B94" t="s">
        <v>74</v>
      </c>
      <c r="C94" t="s">
        <v>4818</v>
      </c>
      <c r="D94" t="s">
        <v>18</v>
      </c>
      <c r="E94" t="s">
        <v>375</v>
      </c>
      <c r="F94" t="s">
        <v>376</v>
      </c>
      <c r="G94" t="s">
        <v>21</v>
      </c>
      <c r="H94" t="s">
        <v>4834</v>
      </c>
      <c r="I94" t="s">
        <v>4839</v>
      </c>
      <c r="J94" s="4" t="s">
        <v>4840</v>
      </c>
      <c r="K94" s="4" t="s">
        <v>4843</v>
      </c>
      <c r="L94" s="4" t="s">
        <v>4846</v>
      </c>
      <c r="M94" s="4" t="s">
        <v>5035</v>
      </c>
      <c r="N94" t="s">
        <v>377</v>
      </c>
      <c r="O94" t="s">
        <v>378</v>
      </c>
      <c r="P94" t="s">
        <v>23</v>
      </c>
      <c r="Q94" t="s">
        <v>24</v>
      </c>
      <c r="R94" t="s">
        <v>25</v>
      </c>
      <c r="S94" t="s">
        <v>26</v>
      </c>
      <c r="T94" s="6">
        <v>46307</v>
      </c>
      <c r="U94">
        <v>70</v>
      </c>
      <c r="V94">
        <v>70</v>
      </c>
      <c r="W94">
        <v>70</v>
      </c>
      <c r="X94">
        <v>70</v>
      </c>
      <c r="Y94">
        <f t="shared" si="9"/>
        <v>0</v>
      </c>
      <c r="Z94">
        <f t="shared" si="10"/>
        <v>0</v>
      </c>
      <c r="AC94" s="1">
        <v>0</v>
      </c>
      <c r="AF94">
        <f>V94</f>
        <v>70</v>
      </c>
      <c r="AG94" s="7">
        <v>10</v>
      </c>
      <c r="AH94">
        <f t="shared" si="11"/>
        <v>70</v>
      </c>
      <c r="AI94">
        <f t="shared" si="8"/>
        <v>0</v>
      </c>
      <c r="AK94">
        <f t="shared" si="12"/>
        <v>7</v>
      </c>
      <c r="AL94">
        <v>20.420000000000002</v>
      </c>
      <c r="AM94" t="s">
        <v>27</v>
      </c>
      <c r="AN94">
        <v>20.420000000000002</v>
      </c>
      <c r="AO94" t="b">
        <f t="shared" si="13"/>
        <v>1</v>
      </c>
      <c r="AR94" t="s">
        <v>5061</v>
      </c>
      <c r="AS94" s="21">
        <v>46276</v>
      </c>
      <c r="AT94" t="s">
        <v>5064</v>
      </c>
      <c r="AU94" t="s">
        <v>5065</v>
      </c>
      <c r="AV94" t="s">
        <v>5088</v>
      </c>
      <c r="AW94" t="s">
        <v>5086</v>
      </c>
    </row>
    <row r="95" spans="1:49" x14ac:dyDescent="0.35">
      <c r="A95" t="s">
        <v>73</v>
      </c>
      <c r="B95" t="s">
        <v>74</v>
      </c>
      <c r="C95" t="s">
        <v>4818</v>
      </c>
      <c r="D95" t="s">
        <v>18</v>
      </c>
      <c r="E95" t="s">
        <v>379</v>
      </c>
      <c r="F95" t="s">
        <v>380</v>
      </c>
      <c r="G95" t="s">
        <v>21</v>
      </c>
      <c r="H95" t="s">
        <v>4834</v>
      </c>
      <c r="I95" t="s">
        <v>4835</v>
      </c>
      <c r="J95" s="4" t="s">
        <v>4836</v>
      </c>
      <c r="K95" s="4" t="s">
        <v>4837</v>
      </c>
      <c r="L95" s="4" t="s">
        <v>4882</v>
      </c>
      <c r="M95" s="4" t="s">
        <v>5035</v>
      </c>
      <c r="N95" t="s">
        <v>381</v>
      </c>
      <c r="O95" t="s">
        <v>382</v>
      </c>
      <c r="P95" t="s">
        <v>23</v>
      </c>
      <c r="Q95" t="s">
        <v>24</v>
      </c>
      <c r="R95" t="s">
        <v>25</v>
      </c>
      <c r="S95" t="s">
        <v>26</v>
      </c>
      <c r="T95" s="6">
        <v>46307</v>
      </c>
      <c r="U95">
        <v>72</v>
      </c>
      <c r="V95">
        <v>72</v>
      </c>
      <c r="W95">
        <v>72</v>
      </c>
      <c r="X95">
        <v>0</v>
      </c>
      <c r="Y95">
        <f t="shared" si="9"/>
        <v>72</v>
      </c>
      <c r="Z95">
        <f t="shared" si="10"/>
        <v>72</v>
      </c>
      <c r="AC95" s="1">
        <v>0</v>
      </c>
      <c r="AF95">
        <v>0</v>
      </c>
      <c r="AG95" s="7">
        <v>8</v>
      </c>
      <c r="AH95">
        <f t="shared" si="11"/>
        <v>0</v>
      </c>
      <c r="AI95">
        <f t="shared" si="8"/>
        <v>72</v>
      </c>
      <c r="AK95">
        <f t="shared" si="12"/>
        <v>0</v>
      </c>
      <c r="AL95">
        <v>21.63</v>
      </c>
      <c r="AM95" t="s">
        <v>27</v>
      </c>
      <c r="AN95">
        <v>21.63</v>
      </c>
      <c r="AO95" t="b">
        <f t="shared" si="13"/>
        <v>1</v>
      </c>
      <c r="AR95" t="s">
        <v>5061</v>
      </c>
      <c r="AS95" s="21">
        <v>46276</v>
      </c>
      <c r="AT95" t="s">
        <v>15</v>
      </c>
      <c r="AU95" t="s">
        <v>5060</v>
      </c>
      <c r="AV95" t="s">
        <v>5088</v>
      </c>
      <c r="AW95" t="s">
        <v>5060</v>
      </c>
    </row>
    <row r="96" spans="1:49" x14ac:dyDescent="0.35">
      <c r="A96" t="s">
        <v>73</v>
      </c>
      <c r="B96" t="s">
        <v>74</v>
      </c>
      <c r="C96" t="s">
        <v>4818</v>
      </c>
      <c r="D96" t="s">
        <v>18</v>
      </c>
      <c r="E96" t="s">
        <v>383</v>
      </c>
      <c r="F96" t="s">
        <v>384</v>
      </c>
      <c r="G96" t="s">
        <v>21</v>
      </c>
      <c r="H96" t="s">
        <v>4834</v>
      </c>
      <c r="I96" t="s">
        <v>4835</v>
      </c>
      <c r="J96" s="4" t="s">
        <v>4836</v>
      </c>
      <c r="K96" s="4" t="s">
        <v>4837</v>
      </c>
      <c r="L96" s="4" t="s">
        <v>4844</v>
      </c>
      <c r="M96" s="4" t="s">
        <v>5035</v>
      </c>
      <c r="N96" t="s">
        <v>385</v>
      </c>
      <c r="O96" t="s">
        <v>386</v>
      </c>
      <c r="P96" t="s">
        <v>23</v>
      </c>
      <c r="Q96" t="s">
        <v>24</v>
      </c>
      <c r="R96" t="s">
        <v>25</v>
      </c>
      <c r="S96" t="s">
        <v>26</v>
      </c>
      <c r="T96" s="6">
        <v>46307</v>
      </c>
      <c r="U96">
        <v>88</v>
      </c>
      <c r="V96">
        <v>88</v>
      </c>
      <c r="W96">
        <v>88</v>
      </c>
      <c r="X96">
        <v>0</v>
      </c>
      <c r="Y96">
        <f t="shared" si="9"/>
        <v>88</v>
      </c>
      <c r="Z96">
        <f t="shared" si="10"/>
        <v>88</v>
      </c>
      <c r="AC96" s="1">
        <v>0</v>
      </c>
      <c r="AF96">
        <v>0</v>
      </c>
      <c r="AG96" s="7">
        <v>8</v>
      </c>
      <c r="AH96">
        <f t="shared" si="11"/>
        <v>0</v>
      </c>
      <c r="AI96">
        <f t="shared" si="8"/>
        <v>88</v>
      </c>
      <c r="AK96">
        <f t="shared" si="12"/>
        <v>0</v>
      </c>
      <c r="AL96">
        <v>21.63</v>
      </c>
      <c r="AM96" t="s">
        <v>27</v>
      </c>
      <c r="AN96">
        <v>21.63</v>
      </c>
      <c r="AO96" t="b">
        <f t="shared" si="13"/>
        <v>1</v>
      </c>
      <c r="AR96" t="s">
        <v>5061</v>
      </c>
      <c r="AS96" s="21">
        <v>46276</v>
      </c>
      <c r="AT96" t="s">
        <v>15</v>
      </c>
      <c r="AU96" t="s">
        <v>5060</v>
      </c>
      <c r="AV96" t="s">
        <v>5088</v>
      </c>
      <c r="AW96" t="s">
        <v>5060</v>
      </c>
    </row>
    <row r="97" spans="1:49" x14ac:dyDescent="0.35">
      <c r="A97" t="s">
        <v>73</v>
      </c>
      <c r="B97" t="s">
        <v>74</v>
      </c>
      <c r="C97" t="s">
        <v>4818</v>
      </c>
      <c r="D97" t="s">
        <v>18</v>
      </c>
      <c r="E97" t="s">
        <v>387</v>
      </c>
      <c r="F97" t="s">
        <v>388</v>
      </c>
      <c r="G97" t="s">
        <v>21</v>
      </c>
      <c r="H97" t="s">
        <v>4834</v>
      </c>
      <c r="I97" t="s">
        <v>4839</v>
      </c>
      <c r="J97" s="4" t="s">
        <v>4840</v>
      </c>
      <c r="K97" s="4" t="s">
        <v>4854</v>
      </c>
      <c r="L97" s="4" t="s">
        <v>4856</v>
      </c>
      <c r="M97" s="4" t="s">
        <v>5035</v>
      </c>
      <c r="N97" t="s">
        <v>389</v>
      </c>
      <c r="O97" t="s">
        <v>390</v>
      </c>
      <c r="P97" t="s">
        <v>23</v>
      </c>
      <c r="Q97" t="s">
        <v>24</v>
      </c>
      <c r="R97" t="s">
        <v>25</v>
      </c>
      <c r="S97" t="s">
        <v>26</v>
      </c>
      <c r="T97" s="6">
        <v>46307</v>
      </c>
      <c r="U97">
        <v>80</v>
      </c>
      <c r="V97">
        <v>80</v>
      </c>
      <c r="W97">
        <v>80</v>
      </c>
      <c r="X97">
        <v>80</v>
      </c>
      <c r="Y97">
        <f t="shared" si="9"/>
        <v>0</v>
      </c>
      <c r="Z97">
        <f t="shared" si="10"/>
        <v>0</v>
      </c>
      <c r="AC97" s="1">
        <v>0</v>
      </c>
      <c r="AF97">
        <f>V97</f>
        <v>80</v>
      </c>
      <c r="AG97" s="7">
        <v>10</v>
      </c>
      <c r="AH97">
        <f t="shared" si="11"/>
        <v>80</v>
      </c>
      <c r="AI97">
        <f t="shared" si="8"/>
        <v>0</v>
      </c>
      <c r="AK97">
        <f t="shared" si="12"/>
        <v>8</v>
      </c>
      <c r="AL97">
        <v>20.420000000000002</v>
      </c>
      <c r="AM97" t="s">
        <v>27</v>
      </c>
      <c r="AN97">
        <v>20.420000000000002</v>
      </c>
      <c r="AO97" t="b">
        <f t="shared" si="13"/>
        <v>1</v>
      </c>
      <c r="AR97" t="s">
        <v>5061</v>
      </c>
      <c r="AS97" s="21">
        <v>46276</v>
      </c>
      <c r="AT97" t="s">
        <v>5064</v>
      </c>
      <c r="AU97" t="s">
        <v>5065</v>
      </c>
      <c r="AV97" t="s">
        <v>5088</v>
      </c>
      <c r="AW97" t="s">
        <v>5086</v>
      </c>
    </row>
    <row r="98" spans="1:49" x14ac:dyDescent="0.35">
      <c r="A98" t="s">
        <v>73</v>
      </c>
      <c r="B98" t="s">
        <v>74</v>
      </c>
      <c r="C98" t="s">
        <v>4818</v>
      </c>
      <c r="D98" t="s">
        <v>18</v>
      </c>
      <c r="E98" t="s">
        <v>391</v>
      </c>
      <c r="F98" t="s">
        <v>392</v>
      </c>
      <c r="G98" t="s">
        <v>21</v>
      </c>
      <c r="H98" t="s">
        <v>4834</v>
      </c>
      <c r="I98" t="s">
        <v>4835</v>
      </c>
      <c r="J98" s="4" t="s">
        <v>4836</v>
      </c>
      <c r="K98" s="4" t="s">
        <v>4837</v>
      </c>
      <c r="L98" s="4" t="s">
        <v>4883</v>
      </c>
      <c r="M98" s="4" t="s">
        <v>5035</v>
      </c>
      <c r="N98" t="s">
        <v>393</v>
      </c>
      <c r="O98" t="s">
        <v>394</v>
      </c>
      <c r="P98" t="s">
        <v>23</v>
      </c>
      <c r="Q98" t="s">
        <v>24</v>
      </c>
      <c r="R98" t="s">
        <v>25</v>
      </c>
      <c r="S98" t="s">
        <v>26</v>
      </c>
      <c r="T98" s="6">
        <v>46307</v>
      </c>
      <c r="U98">
        <v>128</v>
      </c>
      <c r="V98">
        <v>128</v>
      </c>
      <c r="W98">
        <v>136</v>
      </c>
      <c r="X98">
        <v>0</v>
      </c>
      <c r="Y98">
        <f t="shared" si="9"/>
        <v>136</v>
      </c>
      <c r="Z98">
        <f t="shared" si="10"/>
        <v>128</v>
      </c>
      <c r="AC98" s="1">
        <v>0</v>
      </c>
      <c r="AF98">
        <v>0</v>
      </c>
      <c r="AG98" s="7">
        <v>8</v>
      </c>
      <c r="AH98">
        <f t="shared" si="11"/>
        <v>0</v>
      </c>
      <c r="AI98">
        <f t="shared" si="8"/>
        <v>128</v>
      </c>
      <c r="AK98">
        <f t="shared" si="12"/>
        <v>0</v>
      </c>
      <c r="AL98">
        <v>21.63</v>
      </c>
      <c r="AM98" t="s">
        <v>27</v>
      </c>
      <c r="AN98">
        <v>21.63</v>
      </c>
      <c r="AO98" t="b">
        <f t="shared" si="13"/>
        <v>1</v>
      </c>
      <c r="AR98" t="s">
        <v>5061</v>
      </c>
      <c r="AS98" s="21">
        <v>46276</v>
      </c>
      <c r="AT98" t="s">
        <v>15</v>
      </c>
      <c r="AU98" t="s">
        <v>5060</v>
      </c>
      <c r="AV98" t="s">
        <v>5088</v>
      </c>
      <c r="AW98" t="s">
        <v>5060</v>
      </c>
    </row>
    <row r="99" spans="1:49" x14ac:dyDescent="0.35">
      <c r="A99" t="s">
        <v>73</v>
      </c>
      <c r="B99" t="s">
        <v>74</v>
      </c>
      <c r="C99" t="s">
        <v>4818</v>
      </c>
      <c r="D99" t="s">
        <v>18</v>
      </c>
      <c r="E99" t="s">
        <v>395</v>
      </c>
      <c r="F99" t="s">
        <v>396</v>
      </c>
      <c r="G99" t="s">
        <v>21</v>
      </c>
      <c r="H99" t="s">
        <v>4834</v>
      </c>
      <c r="I99" t="s">
        <v>4849</v>
      </c>
      <c r="J99" s="4" t="s">
        <v>4850</v>
      </c>
      <c r="K99" s="4" t="s">
        <v>4862</v>
      </c>
      <c r="L99" s="4" t="s">
        <v>4884</v>
      </c>
      <c r="M99" s="4" t="s">
        <v>5035</v>
      </c>
      <c r="N99" t="s">
        <v>397</v>
      </c>
      <c r="O99" t="s">
        <v>398</v>
      </c>
      <c r="P99" t="s">
        <v>23</v>
      </c>
      <c r="Q99" t="s">
        <v>24</v>
      </c>
      <c r="R99" t="s">
        <v>25</v>
      </c>
      <c r="S99" t="s">
        <v>26</v>
      </c>
      <c r="T99" s="6">
        <v>46307</v>
      </c>
      <c r="U99">
        <v>24</v>
      </c>
      <c r="V99">
        <v>24</v>
      </c>
      <c r="W99">
        <v>36</v>
      </c>
      <c r="X99">
        <v>0</v>
      </c>
      <c r="Y99">
        <f t="shared" si="9"/>
        <v>36</v>
      </c>
      <c r="Z99">
        <f t="shared" si="10"/>
        <v>24</v>
      </c>
      <c r="AC99" s="1">
        <v>0</v>
      </c>
      <c r="AF99">
        <v>0</v>
      </c>
      <c r="AG99" s="7">
        <v>6</v>
      </c>
      <c r="AH99">
        <f t="shared" si="11"/>
        <v>0</v>
      </c>
      <c r="AI99">
        <f t="shared" si="8"/>
        <v>24</v>
      </c>
      <c r="AK99">
        <f t="shared" si="12"/>
        <v>0</v>
      </c>
      <c r="AL99">
        <v>14.78</v>
      </c>
      <c r="AM99" t="s">
        <v>27</v>
      </c>
      <c r="AN99">
        <v>14.78</v>
      </c>
      <c r="AO99" t="b">
        <f t="shared" si="13"/>
        <v>1</v>
      </c>
      <c r="AR99" t="s">
        <v>5061</v>
      </c>
      <c r="AS99" s="21">
        <v>46276</v>
      </c>
      <c r="AT99" t="s">
        <v>15</v>
      </c>
      <c r="AU99" t="s">
        <v>5060</v>
      </c>
      <c r="AV99" t="s">
        <v>5088</v>
      </c>
      <c r="AW99" t="s">
        <v>5060</v>
      </c>
    </row>
    <row r="100" spans="1:49" x14ac:dyDescent="0.35">
      <c r="A100" t="s">
        <v>73</v>
      </c>
      <c r="B100" t="s">
        <v>74</v>
      </c>
      <c r="C100" t="s">
        <v>4818</v>
      </c>
      <c r="D100" t="s">
        <v>18</v>
      </c>
      <c r="E100" t="s">
        <v>399</v>
      </c>
      <c r="F100" t="s">
        <v>400</v>
      </c>
      <c r="G100" t="s">
        <v>21</v>
      </c>
      <c r="H100" t="s">
        <v>4834</v>
      </c>
      <c r="I100" t="s">
        <v>4835</v>
      </c>
      <c r="J100" s="4" t="s">
        <v>4836</v>
      </c>
      <c r="K100" s="4" t="s">
        <v>4832</v>
      </c>
      <c r="L100" s="4" t="s">
        <v>4859</v>
      </c>
      <c r="M100" s="4" t="s">
        <v>5035</v>
      </c>
      <c r="N100" t="s">
        <v>401</v>
      </c>
      <c r="O100" t="s">
        <v>402</v>
      </c>
      <c r="P100" t="s">
        <v>23</v>
      </c>
      <c r="Q100" t="s">
        <v>24</v>
      </c>
      <c r="R100" t="s">
        <v>25</v>
      </c>
      <c r="S100" t="s">
        <v>26</v>
      </c>
      <c r="T100" s="6">
        <v>46307</v>
      </c>
      <c r="U100">
        <v>120</v>
      </c>
      <c r="V100">
        <v>120</v>
      </c>
      <c r="W100">
        <v>128</v>
      </c>
      <c r="X100">
        <v>0</v>
      </c>
      <c r="Y100">
        <f t="shared" si="9"/>
        <v>128</v>
      </c>
      <c r="Z100">
        <f t="shared" si="10"/>
        <v>120</v>
      </c>
      <c r="AC100" s="1">
        <v>0</v>
      </c>
      <c r="AF100">
        <v>0</v>
      </c>
      <c r="AG100" s="7">
        <v>8</v>
      </c>
      <c r="AH100">
        <f t="shared" si="11"/>
        <v>0</v>
      </c>
      <c r="AI100">
        <f t="shared" si="8"/>
        <v>120</v>
      </c>
      <c r="AK100">
        <f t="shared" si="12"/>
        <v>0</v>
      </c>
      <c r="AL100">
        <v>21.63</v>
      </c>
      <c r="AM100" t="s">
        <v>27</v>
      </c>
      <c r="AN100">
        <v>21.63</v>
      </c>
      <c r="AO100" t="b">
        <f t="shared" si="13"/>
        <v>1</v>
      </c>
      <c r="AR100" t="s">
        <v>5061</v>
      </c>
      <c r="AS100" s="21">
        <v>46276</v>
      </c>
      <c r="AT100" t="s">
        <v>15</v>
      </c>
      <c r="AU100" t="s">
        <v>5060</v>
      </c>
      <c r="AV100" t="s">
        <v>5088</v>
      </c>
      <c r="AW100" t="s">
        <v>5060</v>
      </c>
    </row>
    <row r="101" spans="1:49" x14ac:dyDescent="0.35">
      <c r="A101" t="s">
        <v>73</v>
      </c>
      <c r="B101" t="s">
        <v>74</v>
      </c>
      <c r="C101" t="s">
        <v>4818</v>
      </c>
      <c r="D101" t="s">
        <v>18</v>
      </c>
      <c r="E101" t="s">
        <v>403</v>
      </c>
      <c r="F101" t="s">
        <v>404</v>
      </c>
      <c r="G101" t="s">
        <v>21</v>
      </c>
      <c r="H101" t="s">
        <v>4834</v>
      </c>
      <c r="I101" t="s">
        <v>4839</v>
      </c>
      <c r="J101" s="4" t="s">
        <v>4840</v>
      </c>
      <c r="K101" s="4" t="s">
        <v>4843</v>
      </c>
      <c r="L101" s="4" t="s">
        <v>4876</v>
      </c>
      <c r="M101" s="4" t="s">
        <v>5035</v>
      </c>
      <c r="N101" t="s">
        <v>405</v>
      </c>
      <c r="O101" t="s">
        <v>406</v>
      </c>
      <c r="P101" t="s">
        <v>23</v>
      </c>
      <c r="Q101" t="s">
        <v>24</v>
      </c>
      <c r="R101" t="s">
        <v>25</v>
      </c>
      <c r="S101" t="s">
        <v>26</v>
      </c>
      <c r="T101" s="6">
        <v>46307</v>
      </c>
      <c r="U101">
        <v>80</v>
      </c>
      <c r="V101">
        <v>80</v>
      </c>
      <c r="W101">
        <v>80</v>
      </c>
      <c r="X101">
        <v>80</v>
      </c>
      <c r="Y101">
        <f t="shared" si="9"/>
        <v>0</v>
      </c>
      <c r="Z101">
        <f t="shared" si="10"/>
        <v>0</v>
      </c>
      <c r="AC101" s="1">
        <v>0</v>
      </c>
      <c r="AF101">
        <f>V101</f>
        <v>80</v>
      </c>
      <c r="AG101" s="7">
        <v>10</v>
      </c>
      <c r="AH101">
        <f t="shared" si="11"/>
        <v>80</v>
      </c>
      <c r="AI101">
        <f t="shared" si="8"/>
        <v>0</v>
      </c>
      <c r="AK101">
        <f t="shared" si="12"/>
        <v>8</v>
      </c>
      <c r="AL101">
        <v>20.420000000000002</v>
      </c>
      <c r="AM101" t="s">
        <v>27</v>
      </c>
      <c r="AN101">
        <v>20.420000000000002</v>
      </c>
      <c r="AO101" t="b">
        <f t="shared" si="13"/>
        <v>1</v>
      </c>
      <c r="AR101" t="s">
        <v>5061</v>
      </c>
      <c r="AS101" s="21">
        <v>46276</v>
      </c>
      <c r="AT101" t="s">
        <v>5064</v>
      </c>
      <c r="AU101" t="s">
        <v>5065</v>
      </c>
      <c r="AV101" t="s">
        <v>5088</v>
      </c>
      <c r="AW101" t="s">
        <v>5086</v>
      </c>
    </row>
    <row r="102" spans="1:49" x14ac:dyDescent="0.35">
      <c r="A102" t="s">
        <v>73</v>
      </c>
      <c r="B102" t="s">
        <v>74</v>
      </c>
      <c r="C102" t="s">
        <v>4818</v>
      </c>
      <c r="D102" t="s">
        <v>18</v>
      </c>
      <c r="E102" t="s">
        <v>407</v>
      </c>
      <c r="F102" t="s">
        <v>408</v>
      </c>
      <c r="G102" t="s">
        <v>21</v>
      </c>
      <c r="H102" t="s">
        <v>4834</v>
      </c>
      <c r="I102" t="s">
        <v>4849</v>
      </c>
      <c r="J102" s="4" t="s">
        <v>4850</v>
      </c>
      <c r="K102" s="4" t="s">
        <v>4862</v>
      </c>
      <c r="L102" s="4" t="s">
        <v>4871</v>
      </c>
      <c r="M102" s="4" t="s">
        <v>5035</v>
      </c>
      <c r="N102" t="s">
        <v>409</v>
      </c>
      <c r="O102" t="s">
        <v>410</v>
      </c>
      <c r="P102" t="s">
        <v>23</v>
      </c>
      <c r="Q102" t="s">
        <v>24</v>
      </c>
      <c r="R102" t="s">
        <v>25</v>
      </c>
      <c r="S102" t="s">
        <v>26</v>
      </c>
      <c r="T102" s="6">
        <v>46307</v>
      </c>
      <c r="U102">
        <v>66</v>
      </c>
      <c r="V102">
        <v>66</v>
      </c>
      <c r="W102">
        <v>72</v>
      </c>
      <c r="X102">
        <v>0</v>
      </c>
      <c r="Y102">
        <f t="shared" si="9"/>
        <v>72</v>
      </c>
      <c r="Z102">
        <f t="shared" si="10"/>
        <v>66</v>
      </c>
      <c r="AC102" s="1">
        <v>0</v>
      </c>
      <c r="AF102">
        <v>0</v>
      </c>
      <c r="AG102" s="7">
        <v>6</v>
      </c>
      <c r="AH102">
        <f t="shared" si="11"/>
        <v>0</v>
      </c>
      <c r="AI102">
        <f t="shared" si="8"/>
        <v>66</v>
      </c>
      <c r="AK102">
        <f t="shared" si="12"/>
        <v>0</v>
      </c>
      <c r="AL102">
        <v>14.78</v>
      </c>
      <c r="AM102" t="s">
        <v>27</v>
      </c>
      <c r="AN102">
        <v>14.78</v>
      </c>
      <c r="AO102" t="b">
        <f t="shared" si="13"/>
        <v>1</v>
      </c>
      <c r="AR102" t="s">
        <v>5061</v>
      </c>
      <c r="AS102" s="21">
        <v>46276</v>
      </c>
      <c r="AT102" t="s">
        <v>15</v>
      </c>
      <c r="AU102" t="s">
        <v>5060</v>
      </c>
      <c r="AV102" t="s">
        <v>5088</v>
      </c>
      <c r="AW102" t="s">
        <v>5060</v>
      </c>
    </row>
    <row r="103" spans="1:49" x14ac:dyDescent="0.35">
      <c r="A103" t="s">
        <v>73</v>
      </c>
      <c r="B103" t="s">
        <v>74</v>
      </c>
      <c r="C103" t="s">
        <v>4818</v>
      </c>
      <c r="D103" t="s">
        <v>18</v>
      </c>
      <c r="E103" t="s">
        <v>411</v>
      </c>
      <c r="F103" t="s">
        <v>412</v>
      </c>
      <c r="G103" t="s">
        <v>21</v>
      </c>
      <c r="H103" t="s">
        <v>4834</v>
      </c>
      <c r="I103" t="s">
        <v>4849</v>
      </c>
      <c r="J103" s="4" t="s">
        <v>4850</v>
      </c>
      <c r="K103" s="4" t="s">
        <v>4837</v>
      </c>
      <c r="L103" s="4" t="s">
        <v>4869</v>
      </c>
      <c r="M103" s="4" t="s">
        <v>5035</v>
      </c>
      <c r="N103" t="s">
        <v>413</v>
      </c>
      <c r="O103" t="s">
        <v>414</v>
      </c>
      <c r="P103" t="s">
        <v>23</v>
      </c>
      <c r="Q103" t="s">
        <v>24</v>
      </c>
      <c r="R103" t="s">
        <v>25</v>
      </c>
      <c r="S103" t="s">
        <v>26</v>
      </c>
      <c r="T103" s="6">
        <v>46307</v>
      </c>
      <c r="U103">
        <v>54</v>
      </c>
      <c r="V103">
        <v>54</v>
      </c>
      <c r="W103">
        <v>60</v>
      </c>
      <c r="X103">
        <v>60</v>
      </c>
      <c r="Y103">
        <f t="shared" si="9"/>
        <v>0</v>
      </c>
      <c r="Z103">
        <f t="shared" si="10"/>
        <v>-6</v>
      </c>
      <c r="AC103" s="1">
        <v>0</v>
      </c>
      <c r="AF103">
        <f>V103</f>
        <v>54</v>
      </c>
      <c r="AG103" s="7">
        <v>6</v>
      </c>
      <c r="AH103">
        <f t="shared" si="11"/>
        <v>54</v>
      </c>
      <c r="AI103">
        <f t="shared" si="8"/>
        <v>0</v>
      </c>
      <c r="AK103">
        <f t="shared" si="12"/>
        <v>9</v>
      </c>
      <c r="AL103">
        <v>14.78</v>
      </c>
      <c r="AM103" t="s">
        <v>27</v>
      </c>
      <c r="AN103">
        <v>14.78</v>
      </c>
      <c r="AO103" t="b">
        <f t="shared" si="13"/>
        <v>1</v>
      </c>
      <c r="AR103" t="s">
        <v>5061</v>
      </c>
      <c r="AS103" s="21">
        <v>46276</v>
      </c>
      <c r="AT103" t="s">
        <v>5064</v>
      </c>
      <c r="AU103" t="s">
        <v>5066</v>
      </c>
      <c r="AV103" t="s">
        <v>5088</v>
      </c>
      <c r="AW103" t="s">
        <v>5086</v>
      </c>
    </row>
    <row r="104" spans="1:49" x14ac:dyDescent="0.35">
      <c r="A104" t="s">
        <v>73</v>
      </c>
      <c r="B104" t="s">
        <v>74</v>
      </c>
      <c r="C104" t="s">
        <v>4818</v>
      </c>
      <c r="D104" t="s">
        <v>18</v>
      </c>
      <c r="E104" t="s">
        <v>415</v>
      </c>
      <c r="F104" t="s">
        <v>416</v>
      </c>
      <c r="G104" t="s">
        <v>21</v>
      </c>
      <c r="H104" t="s">
        <v>4834</v>
      </c>
      <c r="I104" t="s">
        <v>4839</v>
      </c>
      <c r="J104" s="4" t="s">
        <v>4840</v>
      </c>
      <c r="K104" s="4" t="s">
        <v>4843</v>
      </c>
      <c r="L104" s="4" t="s">
        <v>4842</v>
      </c>
      <c r="M104" s="4" t="s">
        <v>5035</v>
      </c>
      <c r="N104" t="s">
        <v>417</v>
      </c>
      <c r="O104" t="s">
        <v>418</v>
      </c>
      <c r="P104" t="s">
        <v>23</v>
      </c>
      <c r="Q104" t="s">
        <v>24</v>
      </c>
      <c r="R104" t="s">
        <v>25</v>
      </c>
      <c r="S104" t="s">
        <v>26</v>
      </c>
      <c r="T104" s="6">
        <v>46307</v>
      </c>
      <c r="U104">
        <v>170</v>
      </c>
      <c r="V104">
        <v>170</v>
      </c>
      <c r="W104">
        <v>180</v>
      </c>
      <c r="X104">
        <v>180</v>
      </c>
      <c r="Y104">
        <f t="shared" si="9"/>
        <v>0</v>
      </c>
      <c r="Z104">
        <f t="shared" si="10"/>
        <v>-10</v>
      </c>
      <c r="AC104" s="1">
        <v>0</v>
      </c>
      <c r="AF104">
        <f>V104</f>
        <v>170</v>
      </c>
      <c r="AG104" s="7">
        <v>10</v>
      </c>
      <c r="AH104">
        <f t="shared" si="11"/>
        <v>170</v>
      </c>
      <c r="AI104">
        <f t="shared" si="8"/>
        <v>0</v>
      </c>
      <c r="AK104">
        <f t="shared" si="12"/>
        <v>17</v>
      </c>
      <c r="AL104">
        <v>20.420000000000002</v>
      </c>
      <c r="AM104" t="s">
        <v>27</v>
      </c>
      <c r="AN104">
        <v>20.420000000000002</v>
      </c>
      <c r="AO104" t="b">
        <f t="shared" si="13"/>
        <v>1</v>
      </c>
      <c r="AR104" t="s">
        <v>5061</v>
      </c>
      <c r="AS104" s="21">
        <v>46276</v>
      </c>
      <c r="AT104" t="s">
        <v>5064</v>
      </c>
      <c r="AU104" t="s">
        <v>5065</v>
      </c>
      <c r="AV104" t="s">
        <v>5088</v>
      </c>
      <c r="AW104" t="s">
        <v>5086</v>
      </c>
    </row>
    <row r="105" spans="1:49" x14ac:dyDescent="0.35">
      <c r="A105" t="s">
        <v>73</v>
      </c>
      <c r="B105" t="s">
        <v>74</v>
      </c>
      <c r="C105" t="s">
        <v>4818</v>
      </c>
      <c r="D105" t="s">
        <v>18</v>
      </c>
      <c r="E105" t="s">
        <v>419</v>
      </c>
      <c r="F105" t="s">
        <v>420</v>
      </c>
      <c r="G105" t="s">
        <v>21</v>
      </c>
      <c r="H105" t="s">
        <v>4834</v>
      </c>
      <c r="I105" t="s">
        <v>4839</v>
      </c>
      <c r="J105" s="4" t="s">
        <v>4840</v>
      </c>
      <c r="K105" s="4" t="s">
        <v>4854</v>
      </c>
      <c r="L105" s="4" t="s">
        <v>4876</v>
      </c>
      <c r="M105" s="4" t="s">
        <v>5035</v>
      </c>
      <c r="N105" t="s">
        <v>421</v>
      </c>
      <c r="O105" t="s">
        <v>422</v>
      </c>
      <c r="P105" t="s">
        <v>23</v>
      </c>
      <c r="Q105" t="s">
        <v>24</v>
      </c>
      <c r="R105" t="s">
        <v>25</v>
      </c>
      <c r="S105" t="s">
        <v>26</v>
      </c>
      <c r="T105" s="6">
        <v>46307</v>
      </c>
      <c r="U105">
        <v>30</v>
      </c>
      <c r="V105">
        <v>30</v>
      </c>
      <c r="W105">
        <v>30</v>
      </c>
      <c r="X105">
        <v>30</v>
      </c>
      <c r="Y105">
        <f t="shared" si="9"/>
        <v>0</v>
      </c>
      <c r="Z105">
        <f t="shared" si="10"/>
        <v>0</v>
      </c>
      <c r="AC105" s="1">
        <v>0</v>
      </c>
      <c r="AF105">
        <f>V105</f>
        <v>30</v>
      </c>
      <c r="AG105" s="7">
        <v>10</v>
      </c>
      <c r="AH105">
        <f t="shared" si="11"/>
        <v>30</v>
      </c>
      <c r="AI105">
        <f t="shared" si="8"/>
        <v>0</v>
      </c>
      <c r="AK105">
        <f t="shared" si="12"/>
        <v>3</v>
      </c>
      <c r="AL105">
        <v>20.420000000000002</v>
      </c>
      <c r="AM105" t="s">
        <v>27</v>
      </c>
      <c r="AN105">
        <v>20.420000000000002</v>
      </c>
      <c r="AO105" t="b">
        <f t="shared" si="13"/>
        <v>1</v>
      </c>
      <c r="AR105" t="s">
        <v>5061</v>
      </c>
      <c r="AS105" s="21">
        <v>46276</v>
      </c>
      <c r="AT105" t="s">
        <v>5064</v>
      </c>
      <c r="AU105" t="s">
        <v>5065</v>
      </c>
      <c r="AV105" t="s">
        <v>5088</v>
      </c>
      <c r="AW105" t="s">
        <v>5086</v>
      </c>
    </row>
    <row r="106" spans="1:49" x14ac:dyDescent="0.35">
      <c r="A106" t="s">
        <v>73</v>
      </c>
      <c r="B106" t="s">
        <v>74</v>
      </c>
      <c r="C106" t="s">
        <v>4818</v>
      </c>
      <c r="D106" t="s">
        <v>18</v>
      </c>
      <c r="E106" t="s">
        <v>423</v>
      </c>
      <c r="F106" t="s">
        <v>424</v>
      </c>
      <c r="G106" t="s">
        <v>21</v>
      </c>
      <c r="H106" t="s">
        <v>4834</v>
      </c>
      <c r="I106" t="s">
        <v>4839</v>
      </c>
      <c r="J106" s="4" t="s">
        <v>4840</v>
      </c>
      <c r="K106" s="4" t="s">
        <v>4843</v>
      </c>
      <c r="L106" s="4" t="s">
        <v>4878</v>
      </c>
      <c r="M106" s="4" t="s">
        <v>5035</v>
      </c>
      <c r="N106" t="s">
        <v>425</v>
      </c>
      <c r="O106" t="s">
        <v>426</v>
      </c>
      <c r="P106" t="s">
        <v>23</v>
      </c>
      <c r="Q106" t="s">
        <v>24</v>
      </c>
      <c r="R106" t="s">
        <v>25</v>
      </c>
      <c r="S106" t="s">
        <v>26</v>
      </c>
      <c r="T106" s="6">
        <v>46307</v>
      </c>
      <c r="U106">
        <v>60</v>
      </c>
      <c r="V106">
        <v>60</v>
      </c>
      <c r="W106">
        <v>60</v>
      </c>
      <c r="X106">
        <v>60</v>
      </c>
      <c r="Y106">
        <f t="shared" si="9"/>
        <v>0</v>
      </c>
      <c r="Z106">
        <f t="shared" si="10"/>
        <v>0</v>
      </c>
      <c r="AC106" s="1">
        <v>0</v>
      </c>
      <c r="AF106">
        <f>V106</f>
        <v>60</v>
      </c>
      <c r="AG106" s="7">
        <v>10</v>
      </c>
      <c r="AH106">
        <f t="shared" si="11"/>
        <v>60</v>
      </c>
      <c r="AI106">
        <f t="shared" si="8"/>
        <v>0</v>
      </c>
      <c r="AK106">
        <f t="shared" si="12"/>
        <v>6</v>
      </c>
      <c r="AL106">
        <v>20.420000000000002</v>
      </c>
      <c r="AM106" t="s">
        <v>27</v>
      </c>
      <c r="AN106">
        <v>20.420000000000002</v>
      </c>
      <c r="AO106" t="b">
        <f t="shared" si="13"/>
        <v>1</v>
      </c>
      <c r="AR106" t="s">
        <v>5061</v>
      </c>
      <c r="AS106" s="21">
        <v>46276</v>
      </c>
      <c r="AT106" t="s">
        <v>5064</v>
      </c>
      <c r="AU106" t="s">
        <v>5065</v>
      </c>
      <c r="AV106" t="s">
        <v>5088</v>
      </c>
      <c r="AW106" t="s">
        <v>5086</v>
      </c>
    </row>
    <row r="107" spans="1:49" x14ac:dyDescent="0.35">
      <c r="A107" t="s">
        <v>73</v>
      </c>
      <c r="B107" t="s">
        <v>74</v>
      </c>
      <c r="C107" t="s">
        <v>4818</v>
      </c>
      <c r="D107" t="s">
        <v>18</v>
      </c>
      <c r="E107" t="s">
        <v>427</v>
      </c>
      <c r="F107" t="s">
        <v>428</v>
      </c>
      <c r="G107" t="s">
        <v>21</v>
      </c>
      <c r="H107" t="s">
        <v>4834</v>
      </c>
      <c r="I107" t="s">
        <v>4839</v>
      </c>
      <c r="J107" s="4" t="s">
        <v>4840</v>
      </c>
      <c r="K107" s="4" t="s">
        <v>4845</v>
      </c>
      <c r="L107" s="4" t="s">
        <v>4876</v>
      </c>
      <c r="M107" s="4" t="s">
        <v>5035</v>
      </c>
      <c r="N107" t="s">
        <v>429</v>
      </c>
      <c r="O107" t="s">
        <v>430</v>
      </c>
      <c r="P107" t="s">
        <v>23</v>
      </c>
      <c r="Q107" t="s">
        <v>24</v>
      </c>
      <c r="R107" t="s">
        <v>25</v>
      </c>
      <c r="S107" t="s">
        <v>26</v>
      </c>
      <c r="T107" s="6">
        <v>46307</v>
      </c>
      <c r="U107">
        <v>40</v>
      </c>
      <c r="V107">
        <v>40</v>
      </c>
      <c r="W107">
        <v>40</v>
      </c>
      <c r="X107">
        <v>0</v>
      </c>
      <c r="Y107">
        <f t="shared" si="9"/>
        <v>40</v>
      </c>
      <c r="Z107">
        <f t="shared" si="10"/>
        <v>40</v>
      </c>
      <c r="AC107" s="1">
        <v>0</v>
      </c>
      <c r="AF107">
        <v>0</v>
      </c>
      <c r="AG107" s="7">
        <v>10</v>
      </c>
      <c r="AH107">
        <f t="shared" si="11"/>
        <v>0</v>
      </c>
      <c r="AI107">
        <f t="shared" si="8"/>
        <v>40</v>
      </c>
      <c r="AK107">
        <f t="shared" si="12"/>
        <v>0</v>
      </c>
      <c r="AL107">
        <v>20.420000000000002</v>
      </c>
      <c r="AM107" t="s">
        <v>27</v>
      </c>
      <c r="AN107">
        <v>20.420000000000002</v>
      </c>
      <c r="AO107" t="b">
        <f t="shared" si="13"/>
        <v>1</v>
      </c>
      <c r="AR107" t="s">
        <v>5061</v>
      </c>
      <c r="AS107" s="21">
        <v>46276</v>
      </c>
      <c r="AT107" t="s">
        <v>15</v>
      </c>
      <c r="AU107" t="s">
        <v>5060</v>
      </c>
      <c r="AV107" t="s">
        <v>5088</v>
      </c>
      <c r="AW107" t="s">
        <v>5060</v>
      </c>
    </row>
    <row r="108" spans="1:49" x14ac:dyDescent="0.35">
      <c r="A108" t="s">
        <v>73</v>
      </c>
      <c r="B108" t="s">
        <v>74</v>
      </c>
      <c r="C108" t="s">
        <v>4818</v>
      </c>
      <c r="D108" t="s">
        <v>18</v>
      </c>
      <c r="E108" t="s">
        <v>431</v>
      </c>
      <c r="F108" t="s">
        <v>432</v>
      </c>
      <c r="G108" t="s">
        <v>21</v>
      </c>
      <c r="H108" t="s">
        <v>4834</v>
      </c>
      <c r="I108" t="s">
        <v>4839</v>
      </c>
      <c r="J108" s="4" t="s">
        <v>4840</v>
      </c>
      <c r="K108" s="4" t="s">
        <v>4837</v>
      </c>
      <c r="L108" s="4" t="s">
        <v>4842</v>
      </c>
      <c r="M108" s="4" t="s">
        <v>5035</v>
      </c>
      <c r="N108" t="s">
        <v>433</v>
      </c>
      <c r="O108" t="s">
        <v>434</v>
      </c>
      <c r="P108" t="s">
        <v>23</v>
      </c>
      <c r="Q108" t="s">
        <v>24</v>
      </c>
      <c r="R108" t="s">
        <v>25</v>
      </c>
      <c r="S108" t="s">
        <v>26</v>
      </c>
      <c r="T108" s="6">
        <v>46307</v>
      </c>
      <c r="U108">
        <v>180</v>
      </c>
      <c r="V108">
        <v>180</v>
      </c>
      <c r="W108">
        <v>190</v>
      </c>
      <c r="X108">
        <v>0</v>
      </c>
      <c r="Y108">
        <f t="shared" si="9"/>
        <v>190</v>
      </c>
      <c r="Z108">
        <f t="shared" si="10"/>
        <v>180</v>
      </c>
      <c r="AC108" s="1">
        <v>0</v>
      </c>
      <c r="AF108">
        <v>0</v>
      </c>
      <c r="AG108" s="7">
        <v>10</v>
      </c>
      <c r="AH108">
        <f t="shared" si="11"/>
        <v>0</v>
      </c>
      <c r="AI108">
        <f t="shared" si="8"/>
        <v>180</v>
      </c>
      <c r="AK108">
        <f t="shared" si="12"/>
        <v>0</v>
      </c>
      <c r="AL108">
        <v>20.420000000000002</v>
      </c>
      <c r="AM108" t="s">
        <v>27</v>
      </c>
      <c r="AN108">
        <v>20.420000000000002</v>
      </c>
      <c r="AO108" t="b">
        <f t="shared" si="13"/>
        <v>1</v>
      </c>
      <c r="AR108" t="s">
        <v>5061</v>
      </c>
      <c r="AS108" s="21">
        <v>46276</v>
      </c>
      <c r="AT108" t="s">
        <v>15</v>
      </c>
      <c r="AU108" t="s">
        <v>5060</v>
      </c>
      <c r="AV108" t="s">
        <v>5088</v>
      </c>
      <c r="AW108" t="s">
        <v>5060</v>
      </c>
    </row>
    <row r="109" spans="1:49" x14ac:dyDescent="0.35">
      <c r="A109" t="s">
        <v>73</v>
      </c>
      <c r="B109" t="s">
        <v>74</v>
      </c>
      <c r="C109" t="s">
        <v>4818</v>
      </c>
      <c r="D109" t="s">
        <v>18</v>
      </c>
      <c r="E109" t="s">
        <v>435</v>
      </c>
      <c r="F109" t="s">
        <v>436</v>
      </c>
      <c r="G109" t="s">
        <v>21</v>
      </c>
      <c r="H109" t="s">
        <v>4834</v>
      </c>
      <c r="I109" t="s">
        <v>4835</v>
      </c>
      <c r="J109" s="4" t="s">
        <v>4836</v>
      </c>
      <c r="K109" s="4" t="s">
        <v>4832</v>
      </c>
      <c r="L109" s="4" t="s">
        <v>4842</v>
      </c>
      <c r="M109" s="4" t="s">
        <v>5035</v>
      </c>
      <c r="N109" t="s">
        <v>437</v>
      </c>
      <c r="O109" t="s">
        <v>438</v>
      </c>
      <c r="P109" t="s">
        <v>23</v>
      </c>
      <c r="Q109" t="s">
        <v>24</v>
      </c>
      <c r="R109" t="s">
        <v>25</v>
      </c>
      <c r="S109" t="s">
        <v>26</v>
      </c>
      <c r="T109" s="6">
        <v>46307</v>
      </c>
      <c r="U109">
        <v>168</v>
      </c>
      <c r="V109">
        <v>168</v>
      </c>
      <c r="W109">
        <v>176</v>
      </c>
      <c r="X109">
        <v>0</v>
      </c>
      <c r="Y109">
        <f t="shared" si="9"/>
        <v>176</v>
      </c>
      <c r="Z109">
        <f t="shared" si="10"/>
        <v>168</v>
      </c>
      <c r="AC109" s="1">
        <v>0</v>
      </c>
      <c r="AF109">
        <v>0</v>
      </c>
      <c r="AG109" s="7">
        <v>8</v>
      </c>
      <c r="AH109">
        <f t="shared" si="11"/>
        <v>0</v>
      </c>
      <c r="AI109">
        <f t="shared" si="8"/>
        <v>168</v>
      </c>
      <c r="AK109">
        <f t="shared" si="12"/>
        <v>0</v>
      </c>
      <c r="AL109">
        <v>21.63</v>
      </c>
      <c r="AM109" t="s">
        <v>27</v>
      </c>
      <c r="AN109">
        <v>21.63</v>
      </c>
      <c r="AO109" t="b">
        <f t="shared" si="13"/>
        <v>1</v>
      </c>
      <c r="AR109" t="s">
        <v>5061</v>
      </c>
      <c r="AS109" s="21">
        <v>46276</v>
      </c>
      <c r="AT109" t="s">
        <v>15</v>
      </c>
      <c r="AU109" t="s">
        <v>5060</v>
      </c>
      <c r="AV109" t="s">
        <v>5088</v>
      </c>
      <c r="AW109" t="s">
        <v>5060</v>
      </c>
    </row>
    <row r="110" spans="1:49" x14ac:dyDescent="0.35">
      <c r="A110" t="s">
        <v>73</v>
      </c>
      <c r="B110" t="s">
        <v>74</v>
      </c>
      <c r="C110" t="s">
        <v>4818</v>
      </c>
      <c r="D110" t="s">
        <v>18</v>
      </c>
      <c r="E110" t="s">
        <v>439</v>
      </c>
      <c r="F110" t="s">
        <v>440</v>
      </c>
      <c r="G110" t="s">
        <v>21</v>
      </c>
      <c r="H110" t="s">
        <v>4834</v>
      </c>
      <c r="I110" t="s">
        <v>4849</v>
      </c>
      <c r="J110" s="4" t="s">
        <v>4850</v>
      </c>
      <c r="K110" s="4" t="s">
        <v>4854</v>
      </c>
      <c r="L110" s="4" t="s">
        <v>4864</v>
      </c>
      <c r="M110" s="4" t="s">
        <v>5035</v>
      </c>
      <c r="N110" t="s">
        <v>441</v>
      </c>
      <c r="O110" t="s">
        <v>442</v>
      </c>
      <c r="P110" t="s">
        <v>23</v>
      </c>
      <c r="Q110" t="s">
        <v>24</v>
      </c>
      <c r="R110" t="s">
        <v>25</v>
      </c>
      <c r="S110" t="s">
        <v>26</v>
      </c>
      <c r="T110" s="6">
        <v>46307</v>
      </c>
      <c r="U110">
        <v>54</v>
      </c>
      <c r="V110">
        <v>54</v>
      </c>
      <c r="W110">
        <v>60</v>
      </c>
      <c r="X110">
        <v>60</v>
      </c>
      <c r="Y110">
        <f t="shared" si="9"/>
        <v>0</v>
      </c>
      <c r="Z110">
        <f t="shared" si="10"/>
        <v>-6</v>
      </c>
      <c r="AC110" s="1">
        <v>0</v>
      </c>
      <c r="AF110">
        <f>V110</f>
        <v>54</v>
      </c>
      <c r="AG110" s="7">
        <v>6</v>
      </c>
      <c r="AH110">
        <f t="shared" si="11"/>
        <v>54</v>
      </c>
      <c r="AI110">
        <f t="shared" si="8"/>
        <v>0</v>
      </c>
      <c r="AK110">
        <f t="shared" si="12"/>
        <v>9</v>
      </c>
      <c r="AL110">
        <v>14.78</v>
      </c>
      <c r="AM110" t="s">
        <v>27</v>
      </c>
      <c r="AN110">
        <v>14.78</v>
      </c>
      <c r="AO110" t="b">
        <f t="shared" si="13"/>
        <v>1</v>
      </c>
      <c r="AR110" t="s">
        <v>5061</v>
      </c>
      <c r="AS110" s="21">
        <v>46276</v>
      </c>
      <c r="AT110" t="s">
        <v>5064</v>
      </c>
      <c r="AU110" t="s">
        <v>5066</v>
      </c>
      <c r="AV110" t="s">
        <v>5088</v>
      </c>
      <c r="AW110" t="s">
        <v>5086</v>
      </c>
    </row>
    <row r="111" spans="1:49" x14ac:dyDescent="0.35">
      <c r="A111" t="s">
        <v>73</v>
      </c>
      <c r="B111" t="s">
        <v>74</v>
      </c>
      <c r="C111" t="s">
        <v>4818</v>
      </c>
      <c r="D111" t="s">
        <v>18</v>
      </c>
      <c r="E111" t="s">
        <v>443</v>
      </c>
      <c r="F111" t="s">
        <v>444</v>
      </c>
      <c r="G111" t="s">
        <v>21</v>
      </c>
      <c r="H111" t="s">
        <v>4834</v>
      </c>
      <c r="I111" t="s">
        <v>4835</v>
      </c>
      <c r="J111" s="4" t="s">
        <v>4836</v>
      </c>
      <c r="K111" s="4" t="s">
        <v>4837</v>
      </c>
      <c r="L111" s="4" t="s">
        <v>4842</v>
      </c>
      <c r="M111" s="4" t="s">
        <v>5035</v>
      </c>
      <c r="N111" t="s">
        <v>445</v>
      </c>
      <c r="O111" t="s">
        <v>446</v>
      </c>
      <c r="P111" t="s">
        <v>23</v>
      </c>
      <c r="Q111" t="s">
        <v>24</v>
      </c>
      <c r="R111" t="s">
        <v>25</v>
      </c>
      <c r="S111" t="s">
        <v>26</v>
      </c>
      <c r="T111" s="6">
        <v>46307</v>
      </c>
      <c r="U111">
        <v>128</v>
      </c>
      <c r="V111">
        <v>128</v>
      </c>
      <c r="W111">
        <v>136</v>
      </c>
      <c r="X111">
        <v>0</v>
      </c>
      <c r="Y111">
        <f t="shared" si="9"/>
        <v>136</v>
      </c>
      <c r="Z111">
        <f t="shared" si="10"/>
        <v>128</v>
      </c>
      <c r="AC111" s="1">
        <v>0</v>
      </c>
      <c r="AF111">
        <v>0</v>
      </c>
      <c r="AG111" s="7">
        <v>8</v>
      </c>
      <c r="AH111">
        <f t="shared" si="11"/>
        <v>0</v>
      </c>
      <c r="AI111">
        <f t="shared" si="8"/>
        <v>128</v>
      </c>
      <c r="AK111">
        <f t="shared" si="12"/>
        <v>0</v>
      </c>
      <c r="AL111">
        <v>21.63</v>
      </c>
      <c r="AM111" t="s">
        <v>27</v>
      </c>
      <c r="AN111">
        <v>21.63</v>
      </c>
      <c r="AO111" t="b">
        <f t="shared" si="13"/>
        <v>1</v>
      </c>
      <c r="AR111" t="s">
        <v>5061</v>
      </c>
      <c r="AS111" s="21">
        <v>46276</v>
      </c>
      <c r="AT111" t="s">
        <v>15</v>
      </c>
      <c r="AU111" t="s">
        <v>5060</v>
      </c>
      <c r="AV111" t="s">
        <v>5088</v>
      </c>
      <c r="AW111" t="s">
        <v>5060</v>
      </c>
    </row>
    <row r="112" spans="1:49" x14ac:dyDescent="0.35">
      <c r="A112" t="s">
        <v>73</v>
      </c>
      <c r="B112" t="s">
        <v>74</v>
      </c>
      <c r="C112" t="s">
        <v>4818</v>
      </c>
      <c r="D112" t="s">
        <v>18</v>
      </c>
      <c r="E112" t="s">
        <v>447</v>
      </c>
      <c r="F112" t="s">
        <v>448</v>
      </c>
      <c r="G112" t="s">
        <v>21</v>
      </c>
      <c r="H112" t="s">
        <v>4834</v>
      </c>
      <c r="I112" t="s">
        <v>4849</v>
      </c>
      <c r="J112" s="4" t="s">
        <v>4850</v>
      </c>
      <c r="K112" s="4" t="s">
        <v>4862</v>
      </c>
      <c r="L112" s="4" t="s">
        <v>4879</v>
      </c>
      <c r="M112" s="4" t="s">
        <v>5035</v>
      </c>
      <c r="N112" t="s">
        <v>449</v>
      </c>
      <c r="O112" t="s">
        <v>450</v>
      </c>
      <c r="P112" t="s">
        <v>23</v>
      </c>
      <c r="Q112" t="s">
        <v>24</v>
      </c>
      <c r="R112" t="s">
        <v>25</v>
      </c>
      <c r="S112" t="s">
        <v>26</v>
      </c>
      <c r="T112" s="6">
        <v>46307</v>
      </c>
      <c r="U112">
        <v>66</v>
      </c>
      <c r="V112">
        <v>66</v>
      </c>
      <c r="W112">
        <v>66</v>
      </c>
      <c r="X112">
        <v>66</v>
      </c>
      <c r="Y112">
        <f t="shared" si="9"/>
        <v>0</v>
      </c>
      <c r="Z112">
        <f t="shared" si="10"/>
        <v>0</v>
      </c>
      <c r="AC112" s="1">
        <v>0</v>
      </c>
      <c r="AF112">
        <f>V112</f>
        <v>66</v>
      </c>
      <c r="AG112" s="7">
        <v>6</v>
      </c>
      <c r="AH112">
        <f t="shared" si="11"/>
        <v>66</v>
      </c>
      <c r="AI112">
        <f t="shared" si="8"/>
        <v>0</v>
      </c>
      <c r="AK112">
        <f t="shared" si="12"/>
        <v>11</v>
      </c>
      <c r="AL112">
        <v>14.78</v>
      </c>
      <c r="AM112" t="s">
        <v>27</v>
      </c>
      <c r="AN112">
        <v>14.78</v>
      </c>
      <c r="AO112" t="b">
        <f t="shared" si="13"/>
        <v>1</v>
      </c>
      <c r="AR112" t="s">
        <v>5061</v>
      </c>
      <c r="AS112" s="21">
        <v>46276</v>
      </c>
      <c r="AT112" t="s">
        <v>5064</v>
      </c>
      <c r="AU112" t="s">
        <v>5066</v>
      </c>
      <c r="AV112" t="s">
        <v>5088</v>
      </c>
      <c r="AW112" t="s">
        <v>5086</v>
      </c>
    </row>
    <row r="113" spans="1:49" x14ac:dyDescent="0.35">
      <c r="A113" t="s">
        <v>73</v>
      </c>
      <c r="B113" t="s">
        <v>74</v>
      </c>
      <c r="C113" t="s">
        <v>4818</v>
      </c>
      <c r="D113" t="s">
        <v>18</v>
      </c>
      <c r="E113" t="s">
        <v>451</v>
      </c>
      <c r="F113" t="s">
        <v>452</v>
      </c>
      <c r="G113" t="s">
        <v>21</v>
      </c>
      <c r="H113" t="s">
        <v>4834</v>
      </c>
      <c r="I113" t="s">
        <v>4849</v>
      </c>
      <c r="J113" s="4" t="s">
        <v>4850</v>
      </c>
      <c r="K113" s="4" t="s">
        <v>4837</v>
      </c>
      <c r="L113" s="4" t="s">
        <v>4867</v>
      </c>
      <c r="M113" s="4" t="s">
        <v>5035</v>
      </c>
      <c r="N113" t="s">
        <v>453</v>
      </c>
      <c r="O113" t="s">
        <v>454</v>
      </c>
      <c r="P113" t="s">
        <v>23</v>
      </c>
      <c r="Q113" t="s">
        <v>24</v>
      </c>
      <c r="R113" t="s">
        <v>25</v>
      </c>
      <c r="S113" t="s">
        <v>26</v>
      </c>
      <c r="T113" s="6">
        <v>46307</v>
      </c>
      <c r="U113">
        <v>96</v>
      </c>
      <c r="V113">
        <v>96</v>
      </c>
      <c r="W113">
        <v>96</v>
      </c>
      <c r="X113">
        <v>96</v>
      </c>
      <c r="Y113">
        <f t="shared" si="9"/>
        <v>0</v>
      </c>
      <c r="Z113">
        <f t="shared" si="10"/>
        <v>0</v>
      </c>
      <c r="AC113" s="1">
        <v>0</v>
      </c>
      <c r="AF113">
        <f>V113</f>
        <v>96</v>
      </c>
      <c r="AG113" s="7">
        <v>6</v>
      </c>
      <c r="AH113">
        <f t="shared" si="11"/>
        <v>96</v>
      </c>
      <c r="AI113">
        <f t="shared" si="8"/>
        <v>0</v>
      </c>
      <c r="AK113">
        <f t="shared" si="12"/>
        <v>16</v>
      </c>
      <c r="AL113">
        <v>14.78</v>
      </c>
      <c r="AM113" t="s">
        <v>27</v>
      </c>
      <c r="AN113">
        <v>14.78</v>
      </c>
      <c r="AO113" t="b">
        <f t="shared" si="13"/>
        <v>1</v>
      </c>
      <c r="AR113" t="s">
        <v>5061</v>
      </c>
      <c r="AS113" s="21">
        <v>46276</v>
      </c>
      <c r="AT113" t="s">
        <v>5064</v>
      </c>
      <c r="AU113" t="s">
        <v>5066</v>
      </c>
      <c r="AV113" t="s">
        <v>5088</v>
      </c>
      <c r="AW113" t="s">
        <v>5086</v>
      </c>
    </row>
    <row r="114" spans="1:49" x14ac:dyDescent="0.35">
      <c r="A114" t="s">
        <v>73</v>
      </c>
      <c r="B114" t="s">
        <v>74</v>
      </c>
      <c r="C114" t="s">
        <v>4818</v>
      </c>
      <c r="D114" t="s">
        <v>18</v>
      </c>
      <c r="E114" t="s">
        <v>455</v>
      </c>
      <c r="F114" t="s">
        <v>456</v>
      </c>
      <c r="G114" t="s">
        <v>21</v>
      </c>
      <c r="H114" t="s">
        <v>4834</v>
      </c>
      <c r="I114" t="s">
        <v>4849</v>
      </c>
      <c r="J114" s="4" t="s">
        <v>4850</v>
      </c>
      <c r="K114" s="4" t="s">
        <v>4862</v>
      </c>
      <c r="L114" s="4" t="s">
        <v>4880</v>
      </c>
      <c r="M114" s="4" t="s">
        <v>5035</v>
      </c>
      <c r="N114" t="s">
        <v>457</v>
      </c>
      <c r="O114" t="s">
        <v>458</v>
      </c>
      <c r="P114" t="s">
        <v>23</v>
      </c>
      <c r="Q114" t="s">
        <v>24</v>
      </c>
      <c r="R114" t="s">
        <v>25</v>
      </c>
      <c r="S114" t="s">
        <v>26</v>
      </c>
      <c r="T114" s="6">
        <v>46307</v>
      </c>
      <c r="U114">
        <v>30</v>
      </c>
      <c r="V114">
        <v>30</v>
      </c>
      <c r="W114">
        <v>30</v>
      </c>
      <c r="X114">
        <v>0</v>
      </c>
      <c r="Y114">
        <f t="shared" si="9"/>
        <v>30</v>
      </c>
      <c r="Z114">
        <f t="shared" si="10"/>
        <v>30</v>
      </c>
      <c r="AC114" s="1">
        <v>0</v>
      </c>
      <c r="AF114">
        <v>0</v>
      </c>
      <c r="AG114" s="7">
        <v>6</v>
      </c>
      <c r="AH114">
        <f t="shared" si="11"/>
        <v>0</v>
      </c>
      <c r="AI114">
        <f t="shared" si="8"/>
        <v>30</v>
      </c>
      <c r="AK114">
        <f t="shared" si="12"/>
        <v>0</v>
      </c>
      <c r="AL114">
        <v>14.78</v>
      </c>
      <c r="AM114" t="s">
        <v>27</v>
      </c>
      <c r="AN114">
        <v>14.78</v>
      </c>
      <c r="AO114" t="b">
        <f t="shared" si="13"/>
        <v>1</v>
      </c>
      <c r="AR114" t="s">
        <v>5061</v>
      </c>
      <c r="AS114" s="21">
        <v>46276</v>
      </c>
      <c r="AT114" t="s">
        <v>15</v>
      </c>
      <c r="AU114" t="s">
        <v>5060</v>
      </c>
      <c r="AV114" t="s">
        <v>5088</v>
      </c>
      <c r="AW114" t="s">
        <v>5060</v>
      </c>
    </row>
    <row r="115" spans="1:49" x14ac:dyDescent="0.35">
      <c r="A115" t="s">
        <v>73</v>
      </c>
      <c r="B115" t="s">
        <v>74</v>
      </c>
      <c r="C115" t="s">
        <v>4818</v>
      </c>
      <c r="D115" t="s">
        <v>18</v>
      </c>
      <c r="E115" t="s">
        <v>459</v>
      </c>
      <c r="F115" t="s">
        <v>460</v>
      </c>
      <c r="G115" t="s">
        <v>21</v>
      </c>
      <c r="H115" t="s">
        <v>4834</v>
      </c>
      <c r="I115" t="s">
        <v>4839</v>
      </c>
      <c r="J115" s="4" t="s">
        <v>4840</v>
      </c>
      <c r="K115" s="4" t="s">
        <v>4845</v>
      </c>
      <c r="L115" s="4" t="s">
        <v>4838</v>
      </c>
      <c r="M115" s="4" t="s">
        <v>5035</v>
      </c>
      <c r="N115" t="s">
        <v>461</v>
      </c>
      <c r="O115" t="s">
        <v>462</v>
      </c>
      <c r="P115" t="s">
        <v>23</v>
      </c>
      <c r="Q115" t="s">
        <v>24</v>
      </c>
      <c r="R115" t="s">
        <v>25</v>
      </c>
      <c r="S115" t="s">
        <v>26</v>
      </c>
      <c r="T115" s="6">
        <v>46307</v>
      </c>
      <c r="U115">
        <v>60</v>
      </c>
      <c r="V115">
        <v>60</v>
      </c>
      <c r="W115">
        <v>60</v>
      </c>
      <c r="X115">
        <v>0</v>
      </c>
      <c r="Y115">
        <f t="shared" si="9"/>
        <v>60</v>
      </c>
      <c r="Z115">
        <f t="shared" si="10"/>
        <v>60</v>
      </c>
      <c r="AC115" s="1">
        <v>0</v>
      </c>
      <c r="AF115">
        <v>0</v>
      </c>
      <c r="AG115" s="7">
        <v>10</v>
      </c>
      <c r="AH115">
        <f t="shared" si="11"/>
        <v>0</v>
      </c>
      <c r="AI115">
        <f t="shared" si="8"/>
        <v>60</v>
      </c>
      <c r="AK115">
        <f t="shared" si="12"/>
        <v>0</v>
      </c>
      <c r="AL115">
        <v>20.420000000000002</v>
      </c>
      <c r="AM115" t="s">
        <v>27</v>
      </c>
      <c r="AN115">
        <v>20.420000000000002</v>
      </c>
      <c r="AO115" t="b">
        <f t="shared" si="13"/>
        <v>1</v>
      </c>
      <c r="AR115" t="s">
        <v>5061</v>
      </c>
      <c r="AS115" s="21">
        <v>46276</v>
      </c>
      <c r="AT115" t="s">
        <v>15</v>
      </c>
      <c r="AU115" t="s">
        <v>5060</v>
      </c>
      <c r="AV115" t="s">
        <v>5088</v>
      </c>
      <c r="AW115" t="s">
        <v>5060</v>
      </c>
    </row>
    <row r="116" spans="1:49" x14ac:dyDescent="0.35">
      <c r="A116" t="s">
        <v>73</v>
      </c>
      <c r="B116" t="s">
        <v>74</v>
      </c>
      <c r="C116" t="s">
        <v>4818</v>
      </c>
      <c r="D116" t="s">
        <v>18</v>
      </c>
      <c r="E116" t="s">
        <v>463</v>
      </c>
      <c r="F116" t="s">
        <v>464</v>
      </c>
      <c r="G116" t="s">
        <v>21</v>
      </c>
      <c r="H116" t="s">
        <v>4834</v>
      </c>
      <c r="I116" t="s">
        <v>4835</v>
      </c>
      <c r="J116" s="4" t="s">
        <v>4836</v>
      </c>
      <c r="K116" s="4" t="s">
        <v>4832</v>
      </c>
      <c r="L116" s="4" t="s">
        <v>4866</v>
      </c>
      <c r="M116" s="4" t="s">
        <v>5035</v>
      </c>
      <c r="N116" t="s">
        <v>465</v>
      </c>
      <c r="O116" t="s">
        <v>466</v>
      </c>
      <c r="P116" t="s">
        <v>23</v>
      </c>
      <c r="Q116" t="s">
        <v>24</v>
      </c>
      <c r="R116" t="s">
        <v>25</v>
      </c>
      <c r="S116" t="s">
        <v>26</v>
      </c>
      <c r="T116" s="6">
        <v>46307</v>
      </c>
      <c r="U116">
        <v>256</v>
      </c>
      <c r="V116">
        <v>256</v>
      </c>
      <c r="W116">
        <v>272</v>
      </c>
      <c r="X116">
        <v>0</v>
      </c>
      <c r="Y116">
        <f t="shared" si="9"/>
        <v>272</v>
      </c>
      <c r="Z116">
        <f t="shared" si="10"/>
        <v>256</v>
      </c>
      <c r="AC116" s="1">
        <v>0</v>
      </c>
      <c r="AF116">
        <v>0</v>
      </c>
      <c r="AG116" s="7">
        <v>8</v>
      </c>
      <c r="AH116">
        <f t="shared" si="11"/>
        <v>0</v>
      </c>
      <c r="AI116">
        <f t="shared" si="8"/>
        <v>256</v>
      </c>
      <c r="AK116">
        <f t="shared" si="12"/>
        <v>0</v>
      </c>
      <c r="AL116">
        <v>21.63</v>
      </c>
      <c r="AM116" t="s">
        <v>27</v>
      </c>
      <c r="AN116">
        <v>21.63</v>
      </c>
      <c r="AO116" t="b">
        <f t="shared" si="13"/>
        <v>1</v>
      </c>
      <c r="AR116" t="s">
        <v>5061</v>
      </c>
      <c r="AS116" s="21">
        <v>46276</v>
      </c>
      <c r="AT116" t="s">
        <v>15</v>
      </c>
      <c r="AU116" t="s">
        <v>5060</v>
      </c>
      <c r="AV116" t="s">
        <v>5088</v>
      </c>
      <c r="AW116" t="s">
        <v>5060</v>
      </c>
    </row>
    <row r="117" spans="1:49" x14ac:dyDescent="0.35">
      <c r="A117" t="s">
        <v>73</v>
      </c>
      <c r="B117" t="s">
        <v>74</v>
      </c>
      <c r="C117" t="s">
        <v>4818</v>
      </c>
      <c r="D117" t="s">
        <v>18</v>
      </c>
      <c r="E117" t="s">
        <v>467</v>
      </c>
      <c r="F117" t="s">
        <v>468</v>
      </c>
      <c r="G117" t="s">
        <v>21</v>
      </c>
      <c r="H117" t="s">
        <v>4834</v>
      </c>
      <c r="I117" t="s">
        <v>4835</v>
      </c>
      <c r="J117" s="4" t="s">
        <v>4836</v>
      </c>
      <c r="K117" s="4" t="s">
        <v>4837</v>
      </c>
      <c r="L117" s="4" t="s">
        <v>4881</v>
      </c>
      <c r="M117" s="4" t="s">
        <v>5035</v>
      </c>
      <c r="N117" t="s">
        <v>469</v>
      </c>
      <c r="O117" t="s">
        <v>470</v>
      </c>
      <c r="P117" t="s">
        <v>23</v>
      </c>
      <c r="Q117" t="s">
        <v>24</v>
      </c>
      <c r="R117" t="s">
        <v>25</v>
      </c>
      <c r="S117" t="s">
        <v>26</v>
      </c>
      <c r="T117" s="6">
        <v>46307</v>
      </c>
      <c r="U117">
        <v>32</v>
      </c>
      <c r="V117">
        <v>32</v>
      </c>
      <c r="W117">
        <v>48</v>
      </c>
      <c r="X117">
        <v>0</v>
      </c>
      <c r="Y117">
        <f t="shared" si="9"/>
        <v>48</v>
      </c>
      <c r="Z117">
        <f t="shared" si="10"/>
        <v>32</v>
      </c>
      <c r="AC117" s="1">
        <v>0</v>
      </c>
      <c r="AF117">
        <v>0</v>
      </c>
      <c r="AG117" s="7">
        <v>8</v>
      </c>
      <c r="AH117">
        <f t="shared" si="11"/>
        <v>0</v>
      </c>
      <c r="AI117">
        <f t="shared" si="8"/>
        <v>32</v>
      </c>
      <c r="AK117">
        <f t="shared" si="12"/>
        <v>0</v>
      </c>
      <c r="AL117">
        <v>21.63</v>
      </c>
      <c r="AM117" t="s">
        <v>27</v>
      </c>
      <c r="AN117">
        <v>21.63</v>
      </c>
      <c r="AO117" t="b">
        <f t="shared" si="13"/>
        <v>1</v>
      </c>
      <c r="AR117" t="s">
        <v>5061</v>
      </c>
      <c r="AS117" s="21">
        <v>46276</v>
      </c>
      <c r="AT117" t="s">
        <v>15</v>
      </c>
      <c r="AU117" t="s">
        <v>5060</v>
      </c>
      <c r="AV117" t="s">
        <v>5088</v>
      </c>
      <c r="AW117" t="s">
        <v>5060</v>
      </c>
    </row>
    <row r="118" spans="1:49" x14ac:dyDescent="0.35">
      <c r="A118" t="s">
        <v>73</v>
      </c>
      <c r="B118" t="s">
        <v>74</v>
      </c>
      <c r="C118" t="s">
        <v>4818</v>
      </c>
      <c r="D118" t="s">
        <v>18</v>
      </c>
      <c r="E118" t="s">
        <v>471</v>
      </c>
      <c r="F118" t="s">
        <v>472</v>
      </c>
      <c r="G118" t="s">
        <v>21</v>
      </c>
      <c r="H118" t="s">
        <v>4834</v>
      </c>
      <c r="I118" t="s">
        <v>4849</v>
      </c>
      <c r="J118" s="4" t="s">
        <v>4850</v>
      </c>
      <c r="K118" s="4" t="s">
        <v>4862</v>
      </c>
      <c r="L118" s="4" t="s">
        <v>4885</v>
      </c>
      <c r="M118" s="4" t="s">
        <v>5035</v>
      </c>
      <c r="N118" t="s">
        <v>473</v>
      </c>
      <c r="O118" t="s">
        <v>474</v>
      </c>
      <c r="P118" t="s">
        <v>23</v>
      </c>
      <c r="Q118" t="s">
        <v>24</v>
      </c>
      <c r="R118" t="s">
        <v>25</v>
      </c>
      <c r="S118" t="s">
        <v>26</v>
      </c>
      <c r="T118" s="6">
        <v>46307</v>
      </c>
      <c r="U118">
        <v>42</v>
      </c>
      <c r="V118">
        <v>42</v>
      </c>
      <c r="W118">
        <v>42</v>
      </c>
      <c r="X118">
        <v>0</v>
      </c>
      <c r="Y118">
        <f t="shared" si="9"/>
        <v>42</v>
      </c>
      <c r="Z118">
        <f t="shared" si="10"/>
        <v>42</v>
      </c>
      <c r="AC118" s="1">
        <v>0</v>
      </c>
      <c r="AF118">
        <v>0</v>
      </c>
      <c r="AG118" s="7">
        <v>6</v>
      </c>
      <c r="AH118">
        <f t="shared" si="11"/>
        <v>0</v>
      </c>
      <c r="AI118">
        <f t="shared" si="8"/>
        <v>42</v>
      </c>
      <c r="AK118">
        <f t="shared" si="12"/>
        <v>0</v>
      </c>
      <c r="AL118">
        <v>14.78</v>
      </c>
      <c r="AM118" t="s">
        <v>27</v>
      </c>
      <c r="AN118">
        <v>14.78</v>
      </c>
      <c r="AO118" t="b">
        <f t="shared" si="13"/>
        <v>1</v>
      </c>
      <c r="AR118" t="s">
        <v>5061</v>
      </c>
      <c r="AS118" s="21">
        <v>46276</v>
      </c>
      <c r="AT118" t="s">
        <v>15</v>
      </c>
      <c r="AU118" t="s">
        <v>5060</v>
      </c>
      <c r="AV118" t="s">
        <v>5088</v>
      </c>
      <c r="AW118" t="s">
        <v>5060</v>
      </c>
    </row>
    <row r="119" spans="1:49" x14ac:dyDescent="0.35">
      <c r="A119" t="s">
        <v>73</v>
      </c>
      <c r="B119" t="s">
        <v>74</v>
      </c>
      <c r="C119" t="s">
        <v>4818</v>
      </c>
      <c r="D119" t="s">
        <v>18</v>
      </c>
      <c r="E119" t="s">
        <v>475</v>
      </c>
      <c r="F119" t="s">
        <v>476</v>
      </c>
      <c r="G119" t="s">
        <v>21</v>
      </c>
      <c r="H119" t="s">
        <v>4834</v>
      </c>
      <c r="I119" t="s">
        <v>4849</v>
      </c>
      <c r="J119" s="4" t="s">
        <v>4850</v>
      </c>
      <c r="K119" s="4" t="s">
        <v>4862</v>
      </c>
      <c r="L119" s="4" t="s">
        <v>4870</v>
      </c>
      <c r="M119" s="4" t="s">
        <v>5035</v>
      </c>
      <c r="N119" t="s">
        <v>477</v>
      </c>
      <c r="O119" t="s">
        <v>478</v>
      </c>
      <c r="P119" t="s">
        <v>23</v>
      </c>
      <c r="Q119" t="s">
        <v>24</v>
      </c>
      <c r="R119" t="s">
        <v>25</v>
      </c>
      <c r="S119" t="s">
        <v>26</v>
      </c>
      <c r="T119" s="6">
        <v>46307</v>
      </c>
      <c r="U119">
        <v>60</v>
      </c>
      <c r="V119">
        <v>60</v>
      </c>
      <c r="W119">
        <v>60</v>
      </c>
      <c r="X119">
        <v>60</v>
      </c>
      <c r="Y119">
        <f t="shared" si="9"/>
        <v>0</v>
      </c>
      <c r="Z119">
        <f t="shared" si="10"/>
        <v>0</v>
      </c>
      <c r="AC119" s="1">
        <v>0</v>
      </c>
      <c r="AF119">
        <f>V119</f>
        <v>60</v>
      </c>
      <c r="AG119" s="7">
        <v>6</v>
      </c>
      <c r="AH119">
        <f t="shared" si="11"/>
        <v>60</v>
      </c>
      <c r="AI119">
        <f t="shared" si="8"/>
        <v>0</v>
      </c>
      <c r="AK119">
        <f t="shared" si="12"/>
        <v>10</v>
      </c>
      <c r="AL119">
        <v>14.78</v>
      </c>
      <c r="AM119" t="s">
        <v>27</v>
      </c>
      <c r="AN119">
        <v>14.78</v>
      </c>
      <c r="AO119" t="b">
        <f t="shared" si="13"/>
        <v>1</v>
      </c>
      <c r="AR119" t="s">
        <v>5061</v>
      </c>
      <c r="AS119" s="21">
        <v>46276</v>
      </c>
      <c r="AT119" t="s">
        <v>5064</v>
      </c>
      <c r="AU119" t="s">
        <v>5066</v>
      </c>
      <c r="AV119" t="s">
        <v>5088</v>
      </c>
      <c r="AW119" t="s">
        <v>5086</v>
      </c>
    </row>
    <row r="120" spans="1:49" x14ac:dyDescent="0.35">
      <c r="A120" t="s">
        <v>73</v>
      </c>
      <c r="B120" t="s">
        <v>74</v>
      </c>
      <c r="C120" t="s">
        <v>4818</v>
      </c>
      <c r="D120" t="s">
        <v>18</v>
      </c>
      <c r="E120" t="s">
        <v>479</v>
      </c>
      <c r="F120" t="s">
        <v>480</v>
      </c>
      <c r="G120" t="s">
        <v>21</v>
      </c>
      <c r="H120" t="s">
        <v>4834</v>
      </c>
      <c r="I120" t="s">
        <v>4839</v>
      </c>
      <c r="J120" s="4" t="s">
        <v>4840</v>
      </c>
      <c r="K120" s="4" t="s">
        <v>4837</v>
      </c>
      <c r="L120" s="4" t="s">
        <v>4838</v>
      </c>
      <c r="M120" s="4" t="s">
        <v>5035</v>
      </c>
      <c r="N120" t="s">
        <v>481</v>
      </c>
      <c r="O120" t="s">
        <v>482</v>
      </c>
      <c r="P120" t="s">
        <v>23</v>
      </c>
      <c r="Q120" t="s">
        <v>24</v>
      </c>
      <c r="R120" t="s">
        <v>25</v>
      </c>
      <c r="S120" t="s">
        <v>26</v>
      </c>
      <c r="T120" s="6">
        <v>46307</v>
      </c>
      <c r="U120">
        <v>30</v>
      </c>
      <c r="V120">
        <v>30</v>
      </c>
      <c r="W120">
        <v>30</v>
      </c>
      <c r="X120">
        <v>0</v>
      </c>
      <c r="Y120">
        <f t="shared" si="9"/>
        <v>30</v>
      </c>
      <c r="Z120">
        <f t="shared" si="10"/>
        <v>30</v>
      </c>
      <c r="AC120" s="1">
        <v>0</v>
      </c>
      <c r="AF120">
        <v>0</v>
      </c>
      <c r="AG120" s="7">
        <v>10</v>
      </c>
      <c r="AH120">
        <f t="shared" si="11"/>
        <v>0</v>
      </c>
      <c r="AI120">
        <f t="shared" si="8"/>
        <v>30</v>
      </c>
      <c r="AK120">
        <f t="shared" si="12"/>
        <v>0</v>
      </c>
      <c r="AL120">
        <v>20.420000000000002</v>
      </c>
      <c r="AM120" t="s">
        <v>27</v>
      </c>
      <c r="AN120">
        <v>20.420000000000002</v>
      </c>
      <c r="AO120" t="b">
        <f t="shared" si="13"/>
        <v>1</v>
      </c>
      <c r="AR120" t="s">
        <v>5061</v>
      </c>
      <c r="AS120" s="21">
        <v>46276</v>
      </c>
      <c r="AT120" t="s">
        <v>15</v>
      </c>
      <c r="AU120" t="s">
        <v>5060</v>
      </c>
      <c r="AV120" t="s">
        <v>5088</v>
      </c>
      <c r="AW120" t="s">
        <v>5060</v>
      </c>
    </row>
    <row r="121" spans="1:49" x14ac:dyDescent="0.35">
      <c r="A121" t="s">
        <v>73</v>
      </c>
      <c r="B121" t="s">
        <v>74</v>
      </c>
      <c r="C121" t="s">
        <v>4818</v>
      </c>
      <c r="D121" t="s">
        <v>18</v>
      </c>
      <c r="E121" t="s">
        <v>483</v>
      </c>
      <c r="F121" t="s">
        <v>484</v>
      </c>
      <c r="G121" t="s">
        <v>21</v>
      </c>
      <c r="H121" t="s">
        <v>4834</v>
      </c>
      <c r="I121" t="s">
        <v>4849</v>
      </c>
      <c r="J121" s="4" t="s">
        <v>4850</v>
      </c>
      <c r="K121" s="4" t="s">
        <v>4852</v>
      </c>
      <c r="L121" s="4" t="s">
        <v>4885</v>
      </c>
      <c r="M121" s="4" t="s">
        <v>5035</v>
      </c>
      <c r="N121" t="s">
        <v>485</v>
      </c>
      <c r="O121" t="s">
        <v>486</v>
      </c>
      <c r="P121" t="s">
        <v>23</v>
      </c>
      <c r="Q121" t="s">
        <v>24</v>
      </c>
      <c r="R121" t="s">
        <v>25</v>
      </c>
      <c r="S121" t="s">
        <v>26</v>
      </c>
      <c r="T121" s="6">
        <v>46307</v>
      </c>
      <c r="U121">
        <v>18</v>
      </c>
      <c r="V121">
        <v>18</v>
      </c>
      <c r="W121">
        <v>18</v>
      </c>
      <c r="X121">
        <v>18</v>
      </c>
      <c r="Y121">
        <f t="shared" si="9"/>
        <v>0</v>
      </c>
      <c r="Z121">
        <f t="shared" si="10"/>
        <v>0</v>
      </c>
      <c r="AC121" s="1">
        <v>0</v>
      </c>
      <c r="AF121">
        <f>V121</f>
        <v>18</v>
      </c>
      <c r="AG121" s="7">
        <v>6</v>
      </c>
      <c r="AH121">
        <f t="shared" si="11"/>
        <v>18</v>
      </c>
      <c r="AI121">
        <f t="shared" si="8"/>
        <v>0</v>
      </c>
      <c r="AK121">
        <f t="shared" si="12"/>
        <v>3</v>
      </c>
      <c r="AL121">
        <v>14.78</v>
      </c>
      <c r="AM121" t="s">
        <v>27</v>
      </c>
      <c r="AN121">
        <v>14.78</v>
      </c>
      <c r="AO121" t="b">
        <f t="shared" si="13"/>
        <v>1</v>
      </c>
      <c r="AR121" t="s">
        <v>5061</v>
      </c>
      <c r="AS121" s="21">
        <v>46276</v>
      </c>
      <c r="AT121" t="s">
        <v>5064</v>
      </c>
      <c r="AU121" t="s">
        <v>5066</v>
      </c>
      <c r="AV121" t="s">
        <v>5088</v>
      </c>
      <c r="AW121" t="s">
        <v>5086</v>
      </c>
    </row>
    <row r="122" spans="1:49" x14ac:dyDescent="0.35">
      <c r="A122" t="s">
        <v>73</v>
      </c>
      <c r="B122" t="s">
        <v>74</v>
      </c>
      <c r="C122" t="s">
        <v>4818</v>
      </c>
      <c r="D122" t="s">
        <v>18</v>
      </c>
      <c r="E122" t="s">
        <v>487</v>
      </c>
      <c r="F122" t="s">
        <v>488</v>
      </c>
      <c r="G122" t="s">
        <v>21</v>
      </c>
      <c r="H122" t="s">
        <v>4834</v>
      </c>
      <c r="I122" t="s">
        <v>4849</v>
      </c>
      <c r="J122" s="4" t="s">
        <v>4850</v>
      </c>
      <c r="K122" s="4" t="s">
        <v>4862</v>
      </c>
      <c r="L122" s="4" t="s">
        <v>4851</v>
      </c>
      <c r="M122" s="4" t="s">
        <v>5035</v>
      </c>
      <c r="N122" t="s">
        <v>489</v>
      </c>
      <c r="O122" t="s">
        <v>490</v>
      </c>
      <c r="P122" t="s">
        <v>23</v>
      </c>
      <c r="Q122" t="s">
        <v>24</v>
      </c>
      <c r="R122" t="s">
        <v>25</v>
      </c>
      <c r="S122" t="s">
        <v>26</v>
      </c>
      <c r="T122" s="6">
        <v>46307</v>
      </c>
      <c r="U122">
        <v>96</v>
      </c>
      <c r="V122">
        <v>96</v>
      </c>
      <c r="W122">
        <v>102</v>
      </c>
      <c r="X122">
        <v>102</v>
      </c>
      <c r="Y122">
        <f t="shared" si="9"/>
        <v>0</v>
      </c>
      <c r="Z122">
        <f t="shared" si="10"/>
        <v>-6</v>
      </c>
      <c r="AC122" s="1">
        <v>0</v>
      </c>
      <c r="AF122">
        <f>V122</f>
        <v>96</v>
      </c>
      <c r="AG122" s="7">
        <v>6</v>
      </c>
      <c r="AH122">
        <f t="shared" si="11"/>
        <v>96</v>
      </c>
      <c r="AI122">
        <f t="shared" si="8"/>
        <v>0</v>
      </c>
      <c r="AK122">
        <f t="shared" si="12"/>
        <v>16</v>
      </c>
      <c r="AL122">
        <v>14.78</v>
      </c>
      <c r="AM122" t="s">
        <v>27</v>
      </c>
      <c r="AN122">
        <v>14.78</v>
      </c>
      <c r="AO122" t="b">
        <f t="shared" si="13"/>
        <v>1</v>
      </c>
      <c r="AR122" t="s">
        <v>5061</v>
      </c>
      <c r="AS122" s="21">
        <v>46276</v>
      </c>
      <c r="AT122" t="s">
        <v>5064</v>
      </c>
      <c r="AU122" t="s">
        <v>5066</v>
      </c>
      <c r="AV122" t="s">
        <v>5088</v>
      </c>
      <c r="AW122" t="s">
        <v>5086</v>
      </c>
    </row>
    <row r="123" spans="1:49" x14ac:dyDescent="0.35">
      <c r="A123" t="s">
        <v>73</v>
      </c>
      <c r="B123" t="s">
        <v>74</v>
      </c>
      <c r="C123" t="s">
        <v>4818</v>
      </c>
      <c r="D123" t="s">
        <v>18</v>
      </c>
      <c r="E123" t="s">
        <v>491</v>
      </c>
      <c r="F123" t="s">
        <v>492</v>
      </c>
      <c r="G123" t="s">
        <v>21</v>
      </c>
      <c r="H123" t="s">
        <v>4834</v>
      </c>
      <c r="I123" t="s">
        <v>4849</v>
      </c>
      <c r="J123" s="4" t="s">
        <v>4850</v>
      </c>
      <c r="K123" s="4" t="s">
        <v>4837</v>
      </c>
      <c r="L123" s="4" t="s">
        <v>4853</v>
      </c>
      <c r="M123" s="4" t="s">
        <v>5035</v>
      </c>
      <c r="N123" t="s">
        <v>493</v>
      </c>
      <c r="O123" t="s">
        <v>494</v>
      </c>
      <c r="P123" t="s">
        <v>23</v>
      </c>
      <c r="Q123" t="s">
        <v>24</v>
      </c>
      <c r="R123" t="s">
        <v>25</v>
      </c>
      <c r="S123" t="s">
        <v>26</v>
      </c>
      <c r="T123" s="6">
        <v>46307</v>
      </c>
      <c r="U123">
        <v>138</v>
      </c>
      <c r="V123">
        <v>138</v>
      </c>
      <c r="W123">
        <v>144</v>
      </c>
      <c r="X123">
        <v>144</v>
      </c>
      <c r="Y123">
        <f t="shared" si="9"/>
        <v>0</v>
      </c>
      <c r="Z123">
        <f t="shared" si="10"/>
        <v>-6</v>
      </c>
      <c r="AC123" s="1">
        <v>0</v>
      </c>
      <c r="AF123">
        <f>V123</f>
        <v>138</v>
      </c>
      <c r="AG123" s="7">
        <v>6</v>
      </c>
      <c r="AH123">
        <f t="shared" si="11"/>
        <v>138</v>
      </c>
      <c r="AI123">
        <f t="shared" si="8"/>
        <v>0</v>
      </c>
      <c r="AK123">
        <f t="shared" si="12"/>
        <v>23</v>
      </c>
      <c r="AL123">
        <v>14.78</v>
      </c>
      <c r="AM123" t="s">
        <v>27</v>
      </c>
      <c r="AN123">
        <v>14.78</v>
      </c>
      <c r="AO123" t="b">
        <f t="shared" si="13"/>
        <v>1</v>
      </c>
      <c r="AR123" t="s">
        <v>5061</v>
      </c>
      <c r="AS123" s="21">
        <v>46276</v>
      </c>
      <c r="AT123" t="s">
        <v>5064</v>
      </c>
      <c r="AU123" t="s">
        <v>5066</v>
      </c>
      <c r="AV123" t="s">
        <v>5088</v>
      </c>
      <c r="AW123" t="s">
        <v>5086</v>
      </c>
    </row>
    <row r="124" spans="1:49" x14ac:dyDescent="0.35">
      <c r="A124" t="s">
        <v>73</v>
      </c>
      <c r="B124" t="s">
        <v>74</v>
      </c>
      <c r="C124" t="s">
        <v>4818</v>
      </c>
      <c r="D124" t="s">
        <v>18</v>
      </c>
      <c r="E124" t="s">
        <v>495</v>
      </c>
      <c r="F124" t="s">
        <v>496</v>
      </c>
      <c r="G124" t="s">
        <v>21</v>
      </c>
      <c r="H124" t="s">
        <v>4834</v>
      </c>
      <c r="I124" t="s">
        <v>4835</v>
      </c>
      <c r="J124" s="4" t="s">
        <v>4836</v>
      </c>
      <c r="K124" s="4" t="s">
        <v>4837</v>
      </c>
      <c r="L124" s="4" t="s">
        <v>4876</v>
      </c>
      <c r="M124" s="4" t="s">
        <v>5035</v>
      </c>
      <c r="N124" t="s">
        <v>497</v>
      </c>
      <c r="O124" t="s">
        <v>498</v>
      </c>
      <c r="P124" t="s">
        <v>23</v>
      </c>
      <c r="Q124" t="s">
        <v>24</v>
      </c>
      <c r="R124" t="s">
        <v>25</v>
      </c>
      <c r="S124" t="s">
        <v>26</v>
      </c>
      <c r="T124" s="6">
        <v>46307</v>
      </c>
      <c r="U124">
        <v>48</v>
      </c>
      <c r="V124">
        <v>48</v>
      </c>
      <c r="W124">
        <v>48</v>
      </c>
      <c r="X124">
        <v>0</v>
      </c>
      <c r="Y124">
        <f t="shared" si="9"/>
        <v>48</v>
      </c>
      <c r="Z124">
        <f t="shared" si="10"/>
        <v>48</v>
      </c>
      <c r="AC124" s="1">
        <v>0</v>
      </c>
      <c r="AF124">
        <v>0</v>
      </c>
      <c r="AG124" s="7">
        <v>8</v>
      </c>
      <c r="AH124">
        <f t="shared" si="11"/>
        <v>0</v>
      </c>
      <c r="AI124">
        <f t="shared" si="8"/>
        <v>48</v>
      </c>
      <c r="AK124">
        <f t="shared" si="12"/>
        <v>0</v>
      </c>
      <c r="AL124">
        <v>21.63</v>
      </c>
      <c r="AM124" t="s">
        <v>27</v>
      </c>
      <c r="AN124">
        <v>21.63</v>
      </c>
      <c r="AO124" t="b">
        <f t="shared" si="13"/>
        <v>1</v>
      </c>
      <c r="AR124" t="s">
        <v>5061</v>
      </c>
      <c r="AS124" s="21">
        <v>46276</v>
      </c>
      <c r="AT124" t="s">
        <v>15</v>
      </c>
      <c r="AU124" t="s">
        <v>5060</v>
      </c>
      <c r="AV124" t="s">
        <v>5088</v>
      </c>
      <c r="AW124" t="s">
        <v>5060</v>
      </c>
    </row>
    <row r="125" spans="1:49" x14ac:dyDescent="0.35">
      <c r="A125" t="s">
        <v>73</v>
      </c>
      <c r="B125" t="s">
        <v>74</v>
      </c>
      <c r="C125" t="s">
        <v>4818</v>
      </c>
      <c r="D125" t="s">
        <v>18</v>
      </c>
      <c r="E125" t="s">
        <v>499</v>
      </c>
      <c r="F125" t="s">
        <v>500</v>
      </c>
      <c r="G125" t="s">
        <v>21</v>
      </c>
      <c r="H125" t="s">
        <v>4834</v>
      </c>
      <c r="I125" t="s">
        <v>4839</v>
      </c>
      <c r="J125" s="4" t="s">
        <v>4840</v>
      </c>
      <c r="K125" s="4" t="s">
        <v>4837</v>
      </c>
      <c r="L125" s="4" t="s">
        <v>4876</v>
      </c>
      <c r="M125" s="4" t="s">
        <v>5035</v>
      </c>
      <c r="N125" t="s">
        <v>501</v>
      </c>
      <c r="O125" t="s">
        <v>502</v>
      </c>
      <c r="P125" t="s">
        <v>23</v>
      </c>
      <c r="Q125" t="s">
        <v>24</v>
      </c>
      <c r="R125" t="s">
        <v>25</v>
      </c>
      <c r="S125" t="s">
        <v>26</v>
      </c>
      <c r="T125" s="6">
        <v>46307</v>
      </c>
      <c r="U125">
        <v>50</v>
      </c>
      <c r="V125">
        <v>50</v>
      </c>
      <c r="W125">
        <v>50</v>
      </c>
      <c r="X125">
        <v>0</v>
      </c>
      <c r="Y125">
        <f t="shared" si="9"/>
        <v>50</v>
      </c>
      <c r="Z125">
        <f t="shared" si="10"/>
        <v>50</v>
      </c>
      <c r="AC125" s="1">
        <v>0</v>
      </c>
      <c r="AF125">
        <v>0</v>
      </c>
      <c r="AG125" s="7">
        <v>10</v>
      </c>
      <c r="AH125">
        <f t="shared" si="11"/>
        <v>0</v>
      </c>
      <c r="AI125">
        <f t="shared" si="8"/>
        <v>50</v>
      </c>
      <c r="AK125">
        <f t="shared" si="12"/>
        <v>0</v>
      </c>
      <c r="AL125">
        <v>20.420000000000002</v>
      </c>
      <c r="AM125" t="s">
        <v>27</v>
      </c>
      <c r="AN125">
        <v>20.420000000000002</v>
      </c>
      <c r="AO125" t="b">
        <f t="shared" si="13"/>
        <v>1</v>
      </c>
      <c r="AR125" t="s">
        <v>5061</v>
      </c>
      <c r="AS125" s="21">
        <v>46276</v>
      </c>
      <c r="AT125" t="s">
        <v>15</v>
      </c>
      <c r="AU125" t="s">
        <v>5060</v>
      </c>
      <c r="AV125" t="s">
        <v>5088</v>
      </c>
      <c r="AW125" t="s">
        <v>5060</v>
      </c>
    </row>
    <row r="126" spans="1:49" x14ac:dyDescent="0.35">
      <c r="A126" t="s">
        <v>73</v>
      </c>
      <c r="B126" t="s">
        <v>74</v>
      </c>
      <c r="C126" t="s">
        <v>4818</v>
      </c>
      <c r="D126" t="s">
        <v>18</v>
      </c>
      <c r="E126" t="s">
        <v>503</v>
      </c>
      <c r="F126" t="s">
        <v>504</v>
      </c>
      <c r="G126" t="s">
        <v>21</v>
      </c>
      <c r="H126" t="s">
        <v>4834</v>
      </c>
      <c r="I126" t="s">
        <v>4849</v>
      </c>
      <c r="J126" s="4" t="s">
        <v>4850</v>
      </c>
      <c r="K126" s="4" t="s">
        <v>4837</v>
      </c>
      <c r="L126" s="4" t="s">
        <v>4886</v>
      </c>
      <c r="M126" s="4" t="s">
        <v>5035</v>
      </c>
      <c r="N126" t="s">
        <v>505</v>
      </c>
      <c r="O126" t="s">
        <v>506</v>
      </c>
      <c r="P126" t="s">
        <v>23</v>
      </c>
      <c r="Q126" t="s">
        <v>24</v>
      </c>
      <c r="R126" t="s">
        <v>25</v>
      </c>
      <c r="S126" t="s">
        <v>26</v>
      </c>
      <c r="T126" s="6">
        <v>46307</v>
      </c>
      <c r="U126">
        <v>96</v>
      </c>
      <c r="V126">
        <v>96</v>
      </c>
      <c r="W126">
        <v>102</v>
      </c>
      <c r="X126">
        <v>102</v>
      </c>
      <c r="Y126">
        <f t="shared" si="9"/>
        <v>0</v>
      </c>
      <c r="Z126">
        <f t="shared" si="10"/>
        <v>-6</v>
      </c>
      <c r="AC126" s="1">
        <v>0</v>
      </c>
      <c r="AF126">
        <f>V126</f>
        <v>96</v>
      </c>
      <c r="AG126" s="7">
        <v>6</v>
      </c>
      <c r="AH126">
        <f t="shared" si="11"/>
        <v>96</v>
      </c>
      <c r="AI126">
        <f t="shared" si="8"/>
        <v>0</v>
      </c>
      <c r="AK126">
        <f t="shared" si="12"/>
        <v>16</v>
      </c>
      <c r="AL126">
        <v>14.78</v>
      </c>
      <c r="AM126" t="s">
        <v>27</v>
      </c>
      <c r="AN126">
        <v>14.78</v>
      </c>
      <c r="AO126" t="b">
        <f t="shared" si="13"/>
        <v>1</v>
      </c>
      <c r="AR126" t="s">
        <v>5061</v>
      </c>
      <c r="AS126" s="21">
        <v>46276</v>
      </c>
      <c r="AT126" t="s">
        <v>5064</v>
      </c>
      <c r="AU126" t="s">
        <v>5066</v>
      </c>
      <c r="AV126" t="s">
        <v>5088</v>
      </c>
      <c r="AW126" t="s">
        <v>5086</v>
      </c>
    </row>
    <row r="127" spans="1:49" x14ac:dyDescent="0.35">
      <c r="A127" t="s">
        <v>73</v>
      </c>
      <c r="B127" t="s">
        <v>74</v>
      </c>
      <c r="C127" t="s">
        <v>4818</v>
      </c>
      <c r="D127" t="s">
        <v>18</v>
      </c>
      <c r="E127" t="s">
        <v>507</v>
      </c>
      <c r="F127" t="s">
        <v>508</v>
      </c>
      <c r="G127" t="s">
        <v>21</v>
      </c>
      <c r="H127" t="s">
        <v>4834</v>
      </c>
      <c r="I127" t="s">
        <v>4835</v>
      </c>
      <c r="J127" s="4" t="s">
        <v>4836</v>
      </c>
      <c r="K127" s="4" t="s">
        <v>4845</v>
      </c>
      <c r="L127" s="4" t="s">
        <v>4874</v>
      </c>
      <c r="M127" s="4" t="s">
        <v>5035</v>
      </c>
      <c r="N127" t="s">
        <v>509</v>
      </c>
      <c r="O127" t="s">
        <v>510</v>
      </c>
      <c r="P127" t="s">
        <v>23</v>
      </c>
      <c r="Q127" t="s">
        <v>24</v>
      </c>
      <c r="R127" t="s">
        <v>25</v>
      </c>
      <c r="S127" t="s">
        <v>26</v>
      </c>
      <c r="T127" s="6">
        <v>46307</v>
      </c>
      <c r="U127">
        <v>40</v>
      </c>
      <c r="V127">
        <v>40</v>
      </c>
      <c r="W127">
        <v>40</v>
      </c>
      <c r="X127">
        <v>0</v>
      </c>
      <c r="Y127">
        <f t="shared" si="9"/>
        <v>40</v>
      </c>
      <c r="Z127">
        <f t="shared" si="10"/>
        <v>40</v>
      </c>
      <c r="AC127" s="1">
        <v>0</v>
      </c>
      <c r="AF127">
        <v>0</v>
      </c>
      <c r="AG127" s="7">
        <v>8</v>
      </c>
      <c r="AH127">
        <f t="shared" si="11"/>
        <v>0</v>
      </c>
      <c r="AI127">
        <f t="shared" si="8"/>
        <v>40</v>
      </c>
      <c r="AK127">
        <f t="shared" si="12"/>
        <v>0</v>
      </c>
      <c r="AL127">
        <v>21.63</v>
      </c>
      <c r="AM127" t="s">
        <v>27</v>
      </c>
      <c r="AN127">
        <v>21.63</v>
      </c>
      <c r="AO127" t="b">
        <f t="shared" si="13"/>
        <v>1</v>
      </c>
      <c r="AR127" t="s">
        <v>5061</v>
      </c>
      <c r="AS127" s="21">
        <v>46276</v>
      </c>
      <c r="AT127" t="s">
        <v>15</v>
      </c>
      <c r="AU127" t="s">
        <v>5060</v>
      </c>
      <c r="AV127" t="s">
        <v>5088</v>
      </c>
      <c r="AW127" t="s">
        <v>5060</v>
      </c>
    </row>
    <row r="128" spans="1:49" x14ac:dyDescent="0.35">
      <c r="A128" t="s">
        <v>73</v>
      </c>
      <c r="B128" t="s">
        <v>74</v>
      </c>
      <c r="C128" t="s">
        <v>4818</v>
      </c>
      <c r="D128" t="s">
        <v>18</v>
      </c>
      <c r="E128" t="s">
        <v>511</v>
      </c>
      <c r="F128" t="s">
        <v>512</v>
      </c>
      <c r="G128" t="s">
        <v>21</v>
      </c>
      <c r="H128" t="s">
        <v>4834</v>
      </c>
      <c r="I128" t="s">
        <v>4839</v>
      </c>
      <c r="J128" s="4" t="s">
        <v>4840</v>
      </c>
      <c r="K128" s="4" t="s">
        <v>4854</v>
      </c>
      <c r="L128" s="4" t="s">
        <v>4847</v>
      </c>
      <c r="M128" s="4" t="s">
        <v>5035</v>
      </c>
      <c r="N128" t="s">
        <v>513</v>
      </c>
      <c r="O128" t="s">
        <v>514</v>
      </c>
      <c r="P128" t="s">
        <v>23</v>
      </c>
      <c r="Q128" t="s">
        <v>24</v>
      </c>
      <c r="R128" t="s">
        <v>25</v>
      </c>
      <c r="S128" t="s">
        <v>26</v>
      </c>
      <c r="T128" s="6">
        <v>46307</v>
      </c>
      <c r="U128">
        <v>50</v>
      </c>
      <c r="V128">
        <v>50</v>
      </c>
      <c r="W128">
        <v>50</v>
      </c>
      <c r="X128">
        <v>50</v>
      </c>
      <c r="Y128">
        <f t="shared" si="9"/>
        <v>0</v>
      </c>
      <c r="Z128">
        <f t="shared" si="10"/>
        <v>0</v>
      </c>
      <c r="AC128" s="1">
        <v>0</v>
      </c>
      <c r="AF128">
        <f>V128</f>
        <v>50</v>
      </c>
      <c r="AG128" s="7">
        <v>10</v>
      </c>
      <c r="AH128">
        <f t="shared" si="11"/>
        <v>50</v>
      </c>
      <c r="AI128">
        <f t="shared" si="8"/>
        <v>0</v>
      </c>
      <c r="AK128">
        <f t="shared" si="12"/>
        <v>5</v>
      </c>
      <c r="AL128">
        <v>20.420000000000002</v>
      </c>
      <c r="AM128" t="s">
        <v>27</v>
      </c>
      <c r="AN128">
        <v>20.420000000000002</v>
      </c>
      <c r="AO128" t="b">
        <f t="shared" si="13"/>
        <v>1</v>
      </c>
      <c r="AR128" t="s">
        <v>5061</v>
      </c>
      <c r="AS128" s="21">
        <v>46276</v>
      </c>
      <c r="AT128" t="s">
        <v>5064</v>
      </c>
      <c r="AU128" t="s">
        <v>5065</v>
      </c>
      <c r="AV128" t="s">
        <v>5088</v>
      </c>
      <c r="AW128" t="s">
        <v>5086</v>
      </c>
    </row>
    <row r="129" spans="1:49" x14ac:dyDescent="0.35">
      <c r="A129" t="s">
        <v>73</v>
      </c>
      <c r="B129" t="s">
        <v>74</v>
      </c>
      <c r="C129" t="s">
        <v>4818</v>
      </c>
      <c r="D129" t="s">
        <v>18</v>
      </c>
      <c r="E129" t="s">
        <v>515</v>
      </c>
      <c r="F129" t="s">
        <v>516</v>
      </c>
      <c r="G129" t="s">
        <v>21</v>
      </c>
      <c r="H129" t="s">
        <v>4834</v>
      </c>
      <c r="I129" t="s">
        <v>4839</v>
      </c>
      <c r="J129" s="4" t="s">
        <v>4840</v>
      </c>
      <c r="K129" s="4" t="s">
        <v>4845</v>
      </c>
      <c r="L129" s="4" t="s">
        <v>4841</v>
      </c>
      <c r="M129" s="4" t="s">
        <v>5035</v>
      </c>
      <c r="N129" t="s">
        <v>517</v>
      </c>
      <c r="O129" t="s">
        <v>518</v>
      </c>
      <c r="P129" t="s">
        <v>23</v>
      </c>
      <c r="Q129" t="s">
        <v>24</v>
      </c>
      <c r="R129" t="s">
        <v>25</v>
      </c>
      <c r="S129" t="s">
        <v>26</v>
      </c>
      <c r="T129" s="6">
        <v>46307</v>
      </c>
      <c r="U129">
        <v>90</v>
      </c>
      <c r="V129">
        <v>90</v>
      </c>
      <c r="W129">
        <v>100</v>
      </c>
      <c r="X129">
        <v>0</v>
      </c>
      <c r="Y129">
        <f t="shared" si="9"/>
        <v>100</v>
      </c>
      <c r="Z129">
        <f t="shared" si="10"/>
        <v>90</v>
      </c>
      <c r="AC129" s="1">
        <v>0</v>
      </c>
      <c r="AF129">
        <v>0</v>
      </c>
      <c r="AG129" s="7">
        <v>10</v>
      </c>
      <c r="AH129">
        <f t="shared" si="11"/>
        <v>0</v>
      </c>
      <c r="AI129">
        <f t="shared" si="8"/>
        <v>90</v>
      </c>
      <c r="AK129">
        <f t="shared" si="12"/>
        <v>0</v>
      </c>
      <c r="AL129">
        <v>20.420000000000002</v>
      </c>
      <c r="AM129" t="s">
        <v>27</v>
      </c>
      <c r="AN129">
        <v>20.420000000000002</v>
      </c>
      <c r="AO129" t="b">
        <f t="shared" si="13"/>
        <v>1</v>
      </c>
      <c r="AR129" t="s">
        <v>5061</v>
      </c>
      <c r="AS129" s="21">
        <v>46276</v>
      </c>
      <c r="AT129" t="s">
        <v>15</v>
      </c>
      <c r="AU129" t="s">
        <v>5060</v>
      </c>
      <c r="AV129" t="s">
        <v>5088</v>
      </c>
      <c r="AW129" t="s">
        <v>5060</v>
      </c>
    </row>
    <row r="130" spans="1:49" x14ac:dyDescent="0.35">
      <c r="A130" t="s">
        <v>73</v>
      </c>
      <c r="B130" t="s">
        <v>74</v>
      </c>
      <c r="C130" t="s">
        <v>4818</v>
      </c>
      <c r="D130" t="s">
        <v>18</v>
      </c>
      <c r="E130" t="s">
        <v>519</v>
      </c>
      <c r="F130" t="s">
        <v>520</v>
      </c>
      <c r="G130" t="s">
        <v>21</v>
      </c>
      <c r="H130" t="s">
        <v>4834</v>
      </c>
      <c r="I130" t="s">
        <v>4839</v>
      </c>
      <c r="J130" s="4" t="s">
        <v>4840</v>
      </c>
      <c r="K130" s="4" t="s">
        <v>4843</v>
      </c>
      <c r="L130" s="4" t="s">
        <v>4860</v>
      </c>
      <c r="M130" s="4" t="s">
        <v>5035</v>
      </c>
      <c r="N130" t="s">
        <v>521</v>
      </c>
      <c r="O130" t="s">
        <v>522</v>
      </c>
      <c r="P130" t="s">
        <v>23</v>
      </c>
      <c r="Q130" t="s">
        <v>24</v>
      </c>
      <c r="R130" t="s">
        <v>25</v>
      </c>
      <c r="S130" t="s">
        <v>26</v>
      </c>
      <c r="T130" s="6">
        <v>46307</v>
      </c>
      <c r="U130">
        <v>80</v>
      </c>
      <c r="V130">
        <v>80</v>
      </c>
      <c r="W130">
        <v>80</v>
      </c>
      <c r="X130">
        <v>80</v>
      </c>
      <c r="Y130">
        <f t="shared" si="9"/>
        <v>0</v>
      </c>
      <c r="Z130">
        <f t="shared" si="10"/>
        <v>0</v>
      </c>
      <c r="AC130" s="1">
        <v>0</v>
      </c>
      <c r="AF130">
        <f>V130</f>
        <v>80</v>
      </c>
      <c r="AG130" s="7">
        <v>10</v>
      </c>
      <c r="AH130">
        <f t="shared" si="11"/>
        <v>80</v>
      </c>
      <c r="AI130">
        <f t="shared" si="8"/>
        <v>0</v>
      </c>
      <c r="AK130">
        <f t="shared" si="12"/>
        <v>8</v>
      </c>
      <c r="AL130">
        <v>20.420000000000002</v>
      </c>
      <c r="AM130" t="s">
        <v>27</v>
      </c>
      <c r="AN130">
        <v>20.420000000000002</v>
      </c>
      <c r="AO130" t="b">
        <f t="shared" si="13"/>
        <v>1</v>
      </c>
      <c r="AR130" t="s">
        <v>5061</v>
      </c>
      <c r="AS130" s="21">
        <v>46276</v>
      </c>
      <c r="AT130" t="s">
        <v>5064</v>
      </c>
      <c r="AU130" t="s">
        <v>5065</v>
      </c>
      <c r="AV130" t="s">
        <v>5088</v>
      </c>
      <c r="AW130" t="s">
        <v>5086</v>
      </c>
    </row>
    <row r="131" spans="1:49" x14ac:dyDescent="0.35">
      <c r="A131" t="s">
        <v>73</v>
      </c>
      <c r="B131" t="s">
        <v>74</v>
      </c>
      <c r="C131" t="s">
        <v>4818</v>
      </c>
      <c r="D131" t="s">
        <v>18</v>
      </c>
      <c r="E131" t="s">
        <v>523</v>
      </c>
      <c r="F131" t="s">
        <v>524</v>
      </c>
      <c r="G131" t="s">
        <v>21</v>
      </c>
      <c r="H131" t="s">
        <v>4834</v>
      </c>
      <c r="I131" t="s">
        <v>4839</v>
      </c>
      <c r="J131" s="4" t="s">
        <v>4840</v>
      </c>
      <c r="K131" s="4" t="s">
        <v>4854</v>
      </c>
      <c r="L131" s="4" t="s">
        <v>4842</v>
      </c>
      <c r="M131" s="4" t="s">
        <v>5035</v>
      </c>
      <c r="N131" t="s">
        <v>525</v>
      </c>
      <c r="O131" t="s">
        <v>526</v>
      </c>
      <c r="P131" t="s">
        <v>23</v>
      </c>
      <c r="Q131" t="s">
        <v>24</v>
      </c>
      <c r="R131" t="s">
        <v>25</v>
      </c>
      <c r="S131" t="s">
        <v>26</v>
      </c>
      <c r="T131" s="6">
        <v>46307</v>
      </c>
      <c r="U131">
        <v>160</v>
      </c>
      <c r="V131">
        <v>160</v>
      </c>
      <c r="W131">
        <v>170</v>
      </c>
      <c r="X131">
        <v>170</v>
      </c>
      <c r="Y131">
        <f t="shared" si="9"/>
        <v>0</v>
      </c>
      <c r="Z131">
        <f t="shared" si="10"/>
        <v>-10</v>
      </c>
      <c r="AC131" s="1">
        <v>0</v>
      </c>
      <c r="AF131">
        <f>V131</f>
        <v>160</v>
      </c>
      <c r="AG131" s="7">
        <v>10</v>
      </c>
      <c r="AH131">
        <f t="shared" si="11"/>
        <v>160</v>
      </c>
      <c r="AI131">
        <f t="shared" ref="AI131:AI194" si="14">V131-AH131</f>
        <v>0</v>
      </c>
      <c r="AK131">
        <f t="shared" si="12"/>
        <v>16</v>
      </c>
      <c r="AL131">
        <v>20.420000000000002</v>
      </c>
      <c r="AM131" t="s">
        <v>27</v>
      </c>
      <c r="AN131">
        <v>20.420000000000002</v>
      </c>
      <c r="AO131" t="b">
        <f t="shared" si="13"/>
        <v>1</v>
      </c>
      <c r="AR131" t="s">
        <v>5061</v>
      </c>
      <c r="AS131" s="21">
        <v>46276</v>
      </c>
      <c r="AT131" t="s">
        <v>5064</v>
      </c>
      <c r="AU131" t="s">
        <v>5065</v>
      </c>
      <c r="AV131" t="s">
        <v>5088</v>
      </c>
      <c r="AW131" t="s">
        <v>5086</v>
      </c>
    </row>
    <row r="132" spans="1:49" x14ac:dyDescent="0.35">
      <c r="A132" t="s">
        <v>73</v>
      </c>
      <c r="B132" t="s">
        <v>74</v>
      </c>
      <c r="C132" t="s">
        <v>4818</v>
      </c>
      <c r="D132" t="s">
        <v>18</v>
      </c>
      <c r="E132" t="s">
        <v>527</v>
      </c>
      <c r="F132" t="s">
        <v>528</v>
      </c>
      <c r="G132" t="s">
        <v>21</v>
      </c>
      <c r="H132" t="s">
        <v>4834</v>
      </c>
      <c r="I132" t="s">
        <v>4849</v>
      </c>
      <c r="J132" s="4" t="s">
        <v>4850</v>
      </c>
      <c r="K132" s="4" t="s">
        <v>4862</v>
      </c>
      <c r="L132" s="4" t="s">
        <v>4853</v>
      </c>
      <c r="M132" s="4" t="s">
        <v>5035</v>
      </c>
      <c r="N132" t="s">
        <v>529</v>
      </c>
      <c r="O132" t="s">
        <v>530</v>
      </c>
      <c r="P132" t="s">
        <v>23</v>
      </c>
      <c r="Q132" t="s">
        <v>24</v>
      </c>
      <c r="R132" t="s">
        <v>25</v>
      </c>
      <c r="S132" t="s">
        <v>26</v>
      </c>
      <c r="T132" s="6">
        <v>46307</v>
      </c>
      <c r="U132">
        <v>90</v>
      </c>
      <c r="V132">
        <v>90</v>
      </c>
      <c r="W132">
        <v>96</v>
      </c>
      <c r="X132">
        <v>96</v>
      </c>
      <c r="Y132">
        <f t="shared" ref="Y132:Y195" si="15">W132-X132</f>
        <v>0</v>
      </c>
      <c r="Z132">
        <f t="shared" ref="Z132:Z195" si="16">V132-X132</f>
        <v>-6</v>
      </c>
      <c r="AC132" s="1">
        <v>0</v>
      </c>
      <c r="AF132">
        <f>V132</f>
        <v>90</v>
      </c>
      <c r="AG132" s="7">
        <v>6</v>
      </c>
      <c r="AH132">
        <f t="shared" ref="AH132:AH195" si="17">ROUNDUP(AF132/AG132,0)*AG132</f>
        <v>90</v>
      </c>
      <c r="AI132">
        <f t="shared" si="14"/>
        <v>0</v>
      </c>
      <c r="AK132">
        <f t="shared" ref="AK132:AK195" si="18">AH132/AG132</f>
        <v>15</v>
      </c>
      <c r="AL132">
        <v>14.78</v>
      </c>
      <c r="AM132" t="s">
        <v>27</v>
      </c>
      <c r="AN132">
        <v>14.78</v>
      </c>
      <c r="AO132" t="b">
        <f t="shared" ref="AO132:AO195" si="19">AL132=AN132</f>
        <v>1</v>
      </c>
      <c r="AR132" t="s">
        <v>5061</v>
      </c>
      <c r="AS132" s="21">
        <v>46276</v>
      </c>
      <c r="AT132" t="s">
        <v>5064</v>
      </c>
      <c r="AU132" t="s">
        <v>5066</v>
      </c>
      <c r="AV132" t="s">
        <v>5088</v>
      </c>
      <c r="AW132" t="s">
        <v>5086</v>
      </c>
    </row>
    <row r="133" spans="1:49" x14ac:dyDescent="0.35">
      <c r="A133" t="s">
        <v>73</v>
      </c>
      <c r="B133" t="s">
        <v>74</v>
      </c>
      <c r="C133" t="s">
        <v>4818</v>
      </c>
      <c r="D133" t="s">
        <v>18</v>
      </c>
      <c r="E133" t="s">
        <v>531</v>
      </c>
      <c r="F133" t="s">
        <v>532</v>
      </c>
      <c r="G133" t="s">
        <v>21</v>
      </c>
      <c r="H133" t="s">
        <v>4834</v>
      </c>
      <c r="I133" t="s">
        <v>4835</v>
      </c>
      <c r="J133" s="4" t="s">
        <v>4836</v>
      </c>
      <c r="K133" s="4" t="s">
        <v>4845</v>
      </c>
      <c r="L133" s="4" t="s">
        <v>4865</v>
      </c>
      <c r="M133" s="4" t="s">
        <v>5035</v>
      </c>
      <c r="N133" t="s">
        <v>533</v>
      </c>
      <c r="O133" t="s">
        <v>534</v>
      </c>
      <c r="P133" t="s">
        <v>23</v>
      </c>
      <c r="Q133" t="s">
        <v>24</v>
      </c>
      <c r="R133" t="s">
        <v>25</v>
      </c>
      <c r="S133" t="s">
        <v>26</v>
      </c>
      <c r="T133" s="6">
        <v>46307</v>
      </c>
      <c r="U133">
        <v>88</v>
      </c>
      <c r="V133">
        <v>88</v>
      </c>
      <c r="W133">
        <v>88</v>
      </c>
      <c r="X133">
        <v>0</v>
      </c>
      <c r="Y133">
        <f t="shared" si="15"/>
        <v>88</v>
      </c>
      <c r="Z133">
        <f t="shared" si="16"/>
        <v>88</v>
      </c>
      <c r="AC133" s="1">
        <v>0</v>
      </c>
      <c r="AF133">
        <v>0</v>
      </c>
      <c r="AG133" s="7">
        <v>8</v>
      </c>
      <c r="AH133">
        <f t="shared" si="17"/>
        <v>0</v>
      </c>
      <c r="AI133">
        <f t="shared" si="14"/>
        <v>88</v>
      </c>
      <c r="AK133">
        <f t="shared" si="18"/>
        <v>0</v>
      </c>
      <c r="AL133">
        <v>21.63</v>
      </c>
      <c r="AM133" t="s">
        <v>27</v>
      </c>
      <c r="AN133">
        <v>21.63</v>
      </c>
      <c r="AO133" t="b">
        <f t="shared" si="19"/>
        <v>1</v>
      </c>
      <c r="AR133" t="s">
        <v>5061</v>
      </c>
      <c r="AS133" s="21">
        <v>46276</v>
      </c>
      <c r="AT133" t="s">
        <v>15</v>
      </c>
      <c r="AU133" t="s">
        <v>5060</v>
      </c>
      <c r="AV133" t="s">
        <v>5088</v>
      </c>
      <c r="AW133" t="s">
        <v>5060</v>
      </c>
    </row>
    <row r="134" spans="1:49" x14ac:dyDescent="0.35">
      <c r="A134" t="s">
        <v>73</v>
      </c>
      <c r="B134" t="s">
        <v>74</v>
      </c>
      <c r="C134" t="s">
        <v>4818</v>
      </c>
      <c r="D134" t="s">
        <v>18</v>
      </c>
      <c r="E134" t="s">
        <v>535</v>
      </c>
      <c r="F134" t="s">
        <v>536</v>
      </c>
      <c r="G134" t="s">
        <v>21</v>
      </c>
      <c r="H134" t="s">
        <v>4834</v>
      </c>
      <c r="I134" t="s">
        <v>4849</v>
      </c>
      <c r="J134" s="4" t="s">
        <v>4850</v>
      </c>
      <c r="K134" s="4" t="s">
        <v>4852</v>
      </c>
      <c r="L134" s="4" t="s">
        <v>4886</v>
      </c>
      <c r="M134" s="4" t="s">
        <v>5035</v>
      </c>
      <c r="N134" t="s">
        <v>537</v>
      </c>
      <c r="O134" t="s">
        <v>538</v>
      </c>
      <c r="P134" t="s">
        <v>23</v>
      </c>
      <c r="Q134" t="s">
        <v>24</v>
      </c>
      <c r="R134" t="s">
        <v>25</v>
      </c>
      <c r="S134" t="s">
        <v>26</v>
      </c>
      <c r="T134" s="6">
        <v>46307</v>
      </c>
      <c r="U134">
        <v>24</v>
      </c>
      <c r="V134">
        <v>24</v>
      </c>
      <c r="W134">
        <v>36</v>
      </c>
      <c r="X134">
        <v>0</v>
      </c>
      <c r="Y134">
        <f t="shared" si="15"/>
        <v>36</v>
      </c>
      <c r="Z134">
        <f t="shared" si="16"/>
        <v>24</v>
      </c>
      <c r="AC134" s="1">
        <v>0</v>
      </c>
      <c r="AF134">
        <v>0</v>
      </c>
      <c r="AG134" s="7">
        <v>6</v>
      </c>
      <c r="AH134">
        <f t="shared" si="17"/>
        <v>0</v>
      </c>
      <c r="AI134">
        <f t="shared" si="14"/>
        <v>24</v>
      </c>
      <c r="AK134">
        <f t="shared" si="18"/>
        <v>0</v>
      </c>
      <c r="AL134">
        <v>14.78</v>
      </c>
      <c r="AM134" t="s">
        <v>27</v>
      </c>
      <c r="AN134">
        <v>14.78</v>
      </c>
      <c r="AO134" t="b">
        <f t="shared" si="19"/>
        <v>1</v>
      </c>
      <c r="AR134" t="s">
        <v>5061</v>
      </c>
      <c r="AS134" s="21">
        <v>46276</v>
      </c>
      <c r="AT134" t="s">
        <v>15</v>
      </c>
      <c r="AU134" t="s">
        <v>5060</v>
      </c>
      <c r="AV134" t="s">
        <v>5088</v>
      </c>
      <c r="AW134" t="s">
        <v>5060</v>
      </c>
    </row>
    <row r="135" spans="1:49" x14ac:dyDescent="0.35">
      <c r="A135" t="s">
        <v>73</v>
      </c>
      <c r="B135" t="s">
        <v>74</v>
      </c>
      <c r="C135" t="s">
        <v>4818</v>
      </c>
      <c r="D135" t="s">
        <v>18</v>
      </c>
      <c r="E135" t="s">
        <v>539</v>
      </c>
      <c r="F135" t="s">
        <v>540</v>
      </c>
      <c r="G135" t="s">
        <v>21</v>
      </c>
      <c r="H135" t="s">
        <v>4834</v>
      </c>
      <c r="I135" t="s">
        <v>4839</v>
      </c>
      <c r="J135" s="4" t="s">
        <v>4840</v>
      </c>
      <c r="K135" s="4" t="s">
        <v>4832</v>
      </c>
      <c r="L135" s="4" t="s">
        <v>4878</v>
      </c>
      <c r="M135" s="4" t="s">
        <v>5035</v>
      </c>
      <c r="N135" t="s">
        <v>541</v>
      </c>
      <c r="O135" t="s">
        <v>542</v>
      </c>
      <c r="P135" t="s">
        <v>23</v>
      </c>
      <c r="Q135" t="s">
        <v>24</v>
      </c>
      <c r="R135" t="s">
        <v>25</v>
      </c>
      <c r="S135" t="s">
        <v>26</v>
      </c>
      <c r="T135" s="6">
        <v>46307</v>
      </c>
      <c r="U135">
        <v>110</v>
      </c>
      <c r="V135">
        <v>110</v>
      </c>
      <c r="W135">
        <v>110</v>
      </c>
      <c r="X135">
        <v>110</v>
      </c>
      <c r="Y135">
        <f t="shared" si="15"/>
        <v>0</v>
      </c>
      <c r="Z135">
        <f t="shared" si="16"/>
        <v>0</v>
      </c>
      <c r="AC135" s="1">
        <v>0</v>
      </c>
      <c r="AF135">
        <f>V135</f>
        <v>110</v>
      </c>
      <c r="AG135" s="7">
        <v>10</v>
      </c>
      <c r="AH135">
        <f t="shared" si="17"/>
        <v>110</v>
      </c>
      <c r="AI135">
        <f t="shared" si="14"/>
        <v>0</v>
      </c>
      <c r="AK135">
        <f t="shared" si="18"/>
        <v>11</v>
      </c>
      <c r="AL135">
        <v>20.420000000000002</v>
      </c>
      <c r="AM135" t="s">
        <v>27</v>
      </c>
      <c r="AN135">
        <v>20.420000000000002</v>
      </c>
      <c r="AO135" t="b">
        <f t="shared" si="19"/>
        <v>1</v>
      </c>
      <c r="AR135" t="s">
        <v>5061</v>
      </c>
      <c r="AS135" s="21">
        <v>46276</v>
      </c>
      <c r="AT135" t="s">
        <v>5064</v>
      </c>
      <c r="AU135" t="s">
        <v>5065</v>
      </c>
      <c r="AV135" t="s">
        <v>5088</v>
      </c>
      <c r="AW135" t="s">
        <v>5086</v>
      </c>
    </row>
    <row r="136" spans="1:49" x14ac:dyDescent="0.35">
      <c r="A136" t="s">
        <v>73</v>
      </c>
      <c r="B136" t="s">
        <v>74</v>
      </c>
      <c r="C136" t="s">
        <v>4818</v>
      </c>
      <c r="D136" t="s">
        <v>18</v>
      </c>
      <c r="E136" t="s">
        <v>543</v>
      </c>
      <c r="F136" t="s">
        <v>544</v>
      </c>
      <c r="G136" t="s">
        <v>21</v>
      </c>
      <c r="H136" t="s">
        <v>4834</v>
      </c>
      <c r="I136" t="s">
        <v>4849</v>
      </c>
      <c r="J136" s="4" t="s">
        <v>4850</v>
      </c>
      <c r="K136" s="4" t="s">
        <v>4852</v>
      </c>
      <c r="L136" s="4" t="s">
        <v>4863</v>
      </c>
      <c r="M136" s="4" t="s">
        <v>5035</v>
      </c>
      <c r="N136" t="s">
        <v>545</v>
      </c>
      <c r="O136" t="s">
        <v>546</v>
      </c>
      <c r="P136" t="s">
        <v>23</v>
      </c>
      <c r="Q136" t="s">
        <v>24</v>
      </c>
      <c r="R136" t="s">
        <v>25</v>
      </c>
      <c r="S136" t="s">
        <v>26</v>
      </c>
      <c r="T136" s="6">
        <v>46307</v>
      </c>
      <c r="U136">
        <v>66</v>
      </c>
      <c r="V136">
        <v>66</v>
      </c>
      <c r="W136">
        <v>66</v>
      </c>
      <c r="X136">
        <v>66</v>
      </c>
      <c r="Y136">
        <f t="shared" si="15"/>
        <v>0</v>
      </c>
      <c r="Z136">
        <f t="shared" si="16"/>
        <v>0</v>
      </c>
      <c r="AC136" s="1">
        <v>0</v>
      </c>
      <c r="AF136">
        <f>V136</f>
        <v>66</v>
      </c>
      <c r="AG136" s="7">
        <v>6</v>
      </c>
      <c r="AH136">
        <f t="shared" si="17"/>
        <v>66</v>
      </c>
      <c r="AI136">
        <f t="shared" si="14"/>
        <v>0</v>
      </c>
      <c r="AK136">
        <f t="shared" si="18"/>
        <v>11</v>
      </c>
      <c r="AL136">
        <v>14.78</v>
      </c>
      <c r="AM136" t="s">
        <v>27</v>
      </c>
      <c r="AN136">
        <v>14.78</v>
      </c>
      <c r="AO136" t="b">
        <f t="shared" si="19"/>
        <v>1</v>
      </c>
      <c r="AR136" t="s">
        <v>5061</v>
      </c>
      <c r="AS136" s="21">
        <v>46276</v>
      </c>
      <c r="AT136" t="s">
        <v>5064</v>
      </c>
      <c r="AU136" t="s">
        <v>5066</v>
      </c>
      <c r="AV136" t="s">
        <v>5088</v>
      </c>
      <c r="AW136" t="s">
        <v>5086</v>
      </c>
    </row>
    <row r="137" spans="1:49" x14ac:dyDescent="0.35">
      <c r="A137" t="s">
        <v>73</v>
      </c>
      <c r="B137" t="s">
        <v>74</v>
      </c>
      <c r="C137" t="s">
        <v>4818</v>
      </c>
      <c r="D137" t="s">
        <v>18</v>
      </c>
      <c r="E137" t="s">
        <v>547</v>
      </c>
      <c r="F137" t="s">
        <v>548</v>
      </c>
      <c r="G137" t="s">
        <v>21</v>
      </c>
      <c r="H137" t="s">
        <v>4834</v>
      </c>
      <c r="I137" t="s">
        <v>4849</v>
      </c>
      <c r="J137" s="4" t="s">
        <v>4850</v>
      </c>
      <c r="K137" s="4" t="s">
        <v>4854</v>
      </c>
      <c r="L137" s="4" t="s">
        <v>4851</v>
      </c>
      <c r="M137" s="4" t="s">
        <v>5035</v>
      </c>
      <c r="N137" t="s">
        <v>549</v>
      </c>
      <c r="O137" t="s">
        <v>550</v>
      </c>
      <c r="P137" t="s">
        <v>23</v>
      </c>
      <c r="Q137" t="s">
        <v>24</v>
      </c>
      <c r="R137" t="s">
        <v>25</v>
      </c>
      <c r="S137" t="s">
        <v>26</v>
      </c>
      <c r="T137" s="6">
        <v>46307</v>
      </c>
      <c r="U137">
        <v>90</v>
      </c>
      <c r="V137">
        <v>90</v>
      </c>
      <c r="W137">
        <v>96</v>
      </c>
      <c r="X137">
        <v>96</v>
      </c>
      <c r="Y137">
        <f t="shared" si="15"/>
        <v>0</v>
      </c>
      <c r="Z137">
        <f t="shared" si="16"/>
        <v>-6</v>
      </c>
      <c r="AC137" s="1">
        <v>0</v>
      </c>
      <c r="AF137">
        <f>V137</f>
        <v>90</v>
      </c>
      <c r="AG137" s="7">
        <v>6</v>
      </c>
      <c r="AH137">
        <f t="shared" si="17"/>
        <v>90</v>
      </c>
      <c r="AI137">
        <f t="shared" si="14"/>
        <v>0</v>
      </c>
      <c r="AK137">
        <f t="shared" si="18"/>
        <v>15</v>
      </c>
      <c r="AL137">
        <v>14.78</v>
      </c>
      <c r="AM137" t="s">
        <v>27</v>
      </c>
      <c r="AN137">
        <v>14.78</v>
      </c>
      <c r="AO137" t="b">
        <f t="shared" si="19"/>
        <v>1</v>
      </c>
      <c r="AR137" t="s">
        <v>5061</v>
      </c>
      <c r="AS137" s="21">
        <v>46276</v>
      </c>
      <c r="AT137" t="s">
        <v>5064</v>
      </c>
      <c r="AU137" t="s">
        <v>5066</v>
      </c>
      <c r="AV137" t="s">
        <v>5088</v>
      </c>
      <c r="AW137" t="s">
        <v>5086</v>
      </c>
    </row>
    <row r="138" spans="1:49" x14ac:dyDescent="0.35">
      <c r="A138" t="s">
        <v>73</v>
      </c>
      <c r="B138" t="s">
        <v>74</v>
      </c>
      <c r="C138" t="s">
        <v>4818</v>
      </c>
      <c r="D138" t="s">
        <v>18</v>
      </c>
      <c r="E138" t="s">
        <v>551</v>
      </c>
      <c r="F138" t="s">
        <v>552</v>
      </c>
      <c r="G138" t="s">
        <v>21</v>
      </c>
      <c r="H138" t="s">
        <v>4834</v>
      </c>
      <c r="I138" t="s">
        <v>4835</v>
      </c>
      <c r="J138" s="4" t="s">
        <v>4836</v>
      </c>
      <c r="K138" s="4" t="s">
        <v>4845</v>
      </c>
      <c r="L138" s="4" t="s">
        <v>4856</v>
      </c>
      <c r="M138" s="4" t="s">
        <v>5035</v>
      </c>
      <c r="N138" t="s">
        <v>553</v>
      </c>
      <c r="O138" t="s">
        <v>554</v>
      </c>
      <c r="P138" t="s">
        <v>23</v>
      </c>
      <c r="Q138" t="s">
        <v>24</v>
      </c>
      <c r="R138" t="s">
        <v>25</v>
      </c>
      <c r="S138" t="s">
        <v>26</v>
      </c>
      <c r="T138" s="6">
        <v>46307</v>
      </c>
      <c r="U138">
        <v>40</v>
      </c>
      <c r="V138">
        <v>40</v>
      </c>
      <c r="W138">
        <v>48</v>
      </c>
      <c r="X138">
        <v>0</v>
      </c>
      <c r="Y138">
        <f t="shared" si="15"/>
        <v>48</v>
      </c>
      <c r="Z138">
        <f t="shared" si="16"/>
        <v>40</v>
      </c>
      <c r="AC138" s="1">
        <v>0</v>
      </c>
      <c r="AF138">
        <v>0</v>
      </c>
      <c r="AG138" s="7">
        <v>8</v>
      </c>
      <c r="AH138">
        <f t="shared" si="17"/>
        <v>0</v>
      </c>
      <c r="AI138">
        <f t="shared" si="14"/>
        <v>40</v>
      </c>
      <c r="AK138">
        <f t="shared" si="18"/>
        <v>0</v>
      </c>
      <c r="AL138">
        <v>21.63</v>
      </c>
      <c r="AM138" t="s">
        <v>27</v>
      </c>
      <c r="AN138">
        <v>21.63</v>
      </c>
      <c r="AO138" t="b">
        <f t="shared" si="19"/>
        <v>1</v>
      </c>
      <c r="AR138" t="s">
        <v>5061</v>
      </c>
      <c r="AS138" s="21">
        <v>46276</v>
      </c>
      <c r="AT138" t="s">
        <v>15</v>
      </c>
      <c r="AU138" t="s">
        <v>5060</v>
      </c>
      <c r="AV138" t="s">
        <v>5088</v>
      </c>
      <c r="AW138" t="s">
        <v>5060</v>
      </c>
    </row>
    <row r="139" spans="1:49" x14ac:dyDescent="0.35">
      <c r="A139" t="s">
        <v>73</v>
      </c>
      <c r="B139" t="s">
        <v>74</v>
      </c>
      <c r="C139" t="s">
        <v>4818</v>
      </c>
      <c r="D139" t="s">
        <v>18</v>
      </c>
      <c r="E139" t="s">
        <v>555</v>
      </c>
      <c r="F139" t="s">
        <v>556</v>
      </c>
      <c r="G139" t="s">
        <v>21</v>
      </c>
      <c r="H139" t="s">
        <v>4834</v>
      </c>
      <c r="I139" t="s">
        <v>4839</v>
      </c>
      <c r="J139" s="4" t="s">
        <v>4840</v>
      </c>
      <c r="K139" s="4" t="s">
        <v>4845</v>
      </c>
      <c r="L139" s="4" t="s">
        <v>4868</v>
      </c>
      <c r="M139" s="4" t="s">
        <v>5035</v>
      </c>
      <c r="N139" t="s">
        <v>557</v>
      </c>
      <c r="O139" t="s">
        <v>558</v>
      </c>
      <c r="P139" t="s">
        <v>23</v>
      </c>
      <c r="Q139" t="s">
        <v>24</v>
      </c>
      <c r="R139" t="s">
        <v>25</v>
      </c>
      <c r="S139" t="s">
        <v>26</v>
      </c>
      <c r="T139" s="6">
        <v>46307</v>
      </c>
      <c r="U139">
        <v>120</v>
      </c>
      <c r="V139">
        <v>120</v>
      </c>
      <c r="W139">
        <v>130</v>
      </c>
      <c r="X139">
        <v>0</v>
      </c>
      <c r="Y139">
        <f t="shared" si="15"/>
        <v>130</v>
      </c>
      <c r="Z139">
        <f t="shared" si="16"/>
        <v>120</v>
      </c>
      <c r="AC139" s="1">
        <v>0</v>
      </c>
      <c r="AF139">
        <v>0</v>
      </c>
      <c r="AG139" s="7">
        <v>10</v>
      </c>
      <c r="AH139">
        <f t="shared" si="17"/>
        <v>0</v>
      </c>
      <c r="AI139">
        <f t="shared" si="14"/>
        <v>120</v>
      </c>
      <c r="AK139">
        <f t="shared" si="18"/>
        <v>0</v>
      </c>
      <c r="AL139">
        <v>20.420000000000002</v>
      </c>
      <c r="AM139" t="s">
        <v>27</v>
      </c>
      <c r="AN139">
        <v>20.420000000000002</v>
      </c>
      <c r="AO139" t="b">
        <f t="shared" si="19"/>
        <v>1</v>
      </c>
      <c r="AR139" t="s">
        <v>5061</v>
      </c>
      <c r="AS139" s="21">
        <v>46276</v>
      </c>
      <c r="AT139" t="s">
        <v>15</v>
      </c>
      <c r="AU139" t="s">
        <v>5060</v>
      </c>
      <c r="AV139" t="s">
        <v>5088</v>
      </c>
      <c r="AW139" t="s">
        <v>5060</v>
      </c>
    </row>
    <row r="140" spans="1:49" x14ac:dyDescent="0.35">
      <c r="A140" t="s">
        <v>73</v>
      </c>
      <c r="B140" t="s">
        <v>74</v>
      </c>
      <c r="C140" t="s">
        <v>4818</v>
      </c>
      <c r="D140" t="s">
        <v>18</v>
      </c>
      <c r="E140" t="s">
        <v>559</v>
      </c>
      <c r="F140" t="s">
        <v>560</v>
      </c>
      <c r="G140" t="s">
        <v>21</v>
      </c>
      <c r="H140" t="s">
        <v>4834</v>
      </c>
      <c r="I140" t="s">
        <v>4839</v>
      </c>
      <c r="J140" s="4" t="s">
        <v>4840</v>
      </c>
      <c r="K140" s="4" t="s">
        <v>4832</v>
      </c>
      <c r="L140" s="4" t="s">
        <v>4838</v>
      </c>
      <c r="M140" s="4" t="s">
        <v>5035</v>
      </c>
      <c r="N140" t="s">
        <v>561</v>
      </c>
      <c r="O140" t="s">
        <v>562</v>
      </c>
      <c r="P140" t="s">
        <v>23</v>
      </c>
      <c r="Q140" t="s">
        <v>24</v>
      </c>
      <c r="R140" t="s">
        <v>25</v>
      </c>
      <c r="S140" t="s">
        <v>26</v>
      </c>
      <c r="T140" s="6">
        <v>46307</v>
      </c>
      <c r="U140">
        <v>60</v>
      </c>
      <c r="V140">
        <v>60</v>
      </c>
      <c r="W140">
        <v>60</v>
      </c>
      <c r="X140">
        <v>60</v>
      </c>
      <c r="Y140">
        <f t="shared" si="15"/>
        <v>0</v>
      </c>
      <c r="Z140">
        <f t="shared" si="16"/>
        <v>0</v>
      </c>
      <c r="AC140" s="1">
        <v>0</v>
      </c>
      <c r="AF140">
        <f>V140</f>
        <v>60</v>
      </c>
      <c r="AG140" s="7">
        <v>10</v>
      </c>
      <c r="AH140">
        <f t="shared" si="17"/>
        <v>60</v>
      </c>
      <c r="AI140">
        <f t="shared" si="14"/>
        <v>0</v>
      </c>
      <c r="AK140">
        <f t="shared" si="18"/>
        <v>6</v>
      </c>
      <c r="AL140">
        <v>20.420000000000002</v>
      </c>
      <c r="AM140" t="s">
        <v>27</v>
      </c>
      <c r="AN140">
        <v>20.420000000000002</v>
      </c>
      <c r="AO140" t="b">
        <f t="shared" si="19"/>
        <v>1</v>
      </c>
      <c r="AR140" t="s">
        <v>5061</v>
      </c>
      <c r="AS140" s="21">
        <v>46276</v>
      </c>
      <c r="AT140" t="s">
        <v>5064</v>
      </c>
      <c r="AU140" t="s">
        <v>5065</v>
      </c>
      <c r="AV140" t="s">
        <v>5088</v>
      </c>
      <c r="AW140" t="s">
        <v>5086</v>
      </c>
    </row>
    <row r="141" spans="1:49" x14ac:dyDescent="0.35">
      <c r="A141" t="s">
        <v>73</v>
      </c>
      <c r="B141" t="s">
        <v>74</v>
      </c>
      <c r="C141" t="s">
        <v>4818</v>
      </c>
      <c r="D141" t="s">
        <v>18</v>
      </c>
      <c r="E141" t="s">
        <v>563</v>
      </c>
      <c r="F141" t="s">
        <v>564</v>
      </c>
      <c r="G141" t="s">
        <v>21</v>
      </c>
      <c r="H141" t="s">
        <v>4834</v>
      </c>
      <c r="I141" t="s">
        <v>4839</v>
      </c>
      <c r="J141" s="4" t="s">
        <v>4840</v>
      </c>
      <c r="K141" s="4" t="s">
        <v>4854</v>
      </c>
      <c r="L141" s="4" t="s">
        <v>4868</v>
      </c>
      <c r="M141" s="4" t="s">
        <v>5035</v>
      </c>
      <c r="N141" t="s">
        <v>565</v>
      </c>
      <c r="O141" t="s">
        <v>566</v>
      </c>
      <c r="P141" t="s">
        <v>23</v>
      </c>
      <c r="Q141" t="s">
        <v>24</v>
      </c>
      <c r="R141" t="s">
        <v>25</v>
      </c>
      <c r="S141" t="s">
        <v>26</v>
      </c>
      <c r="T141" s="6">
        <v>46307</v>
      </c>
      <c r="U141">
        <v>100</v>
      </c>
      <c r="V141">
        <v>100</v>
      </c>
      <c r="W141">
        <v>110</v>
      </c>
      <c r="X141">
        <v>110</v>
      </c>
      <c r="Y141">
        <f t="shared" si="15"/>
        <v>0</v>
      </c>
      <c r="Z141">
        <f t="shared" si="16"/>
        <v>-10</v>
      </c>
      <c r="AC141" s="1">
        <v>0</v>
      </c>
      <c r="AF141">
        <f>V141</f>
        <v>100</v>
      </c>
      <c r="AG141" s="7">
        <v>10</v>
      </c>
      <c r="AH141">
        <f t="shared" si="17"/>
        <v>100</v>
      </c>
      <c r="AI141">
        <f t="shared" si="14"/>
        <v>0</v>
      </c>
      <c r="AK141">
        <f t="shared" si="18"/>
        <v>10</v>
      </c>
      <c r="AL141">
        <v>20.420000000000002</v>
      </c>
      <c r="AM141" t="s">
        <v>27</v>
      </c>
      <c r="AN141">
        <v>20.420000000000002</v>
      </c>
      <c r="AO141" t="b">
        <f t="shared" si="19"/>
        <v>1</v>
      </c>
      <c r="AR141" t="s">
        <v>5061</v>
      </c>
      <c r="AS141" s="21">
        <v>46276</v>
      </c>
      <c r="AT141" t="s">
        <v>5064</v>
      </c>
      <c r="AU141" t="s">
        <v>5065</v>
      </c>
      <c r="AV141" t="s">
        <v>5088</v>
      </c>
      <c r="AW141" t="s">
        <v>5086</v>
      </c>
    </row>
    <row r="142" spans="1:49" x14ac:dyDescent="0.35">
      <c r="A142" t="s">
        <v>73</v>
      </c>
      <c r="B142" t="s">
        <v>74</v>
      </c>
      <c r="C142" t="s">
        <v>4818</v>
      </c>
      <c r="D142" t="s">
        <v>18</v>
      </c>
      <c r="E142" t="s">
        <v>567</v>
      </c>
      <c r="F142" t="s">
        <v>568</v>
      </c>
      <c r="G142" t="s">
        <v>21</v>
      </c>
      <c r="H142" t="s">
        <v>4834</v>
      </c>
      <c r="I142" t="s">
        <v>4839</v>
      </c>
      <c r="J142" s="4" t="s">
        <v>4840</v>
      </c>
      <c r="K142" s="4" t="s">
        <v>4854</v>
      </c>
      <c r="L142" s="4" t="s">
        <v>4844</v>
      </c>
      <c r="M142" s="4" t="s">
        <v>5035</v>
      </c>
      <c r="N142" t="s">
        <v>569</v>
      </c>
      <c r="O142" t="s">
        <v>570</v>
      </c>
      <c r="P142" t="s">
        <v>23</v>
      </c>
      <c r="Q142" t="s">
        <v>24</v>
      </c>
      <c r="R142" t="s">
        <v>25</v>
      </c>
      <c r="S142" t="s">
        <v>26</v>
      </c>
      <c r="T142" s="6">
        <v>46307</v>
      </c>
      <c r="U142">
        <v>60</v>
      </c>
      <c r="V142">
        <v>60</v>
      </c>
      <c r="W142">
        <v>60</v>
      </c>
      <c r="X142">
        <v>60</v>
      </c>
      <c r="Y142">
        <f t="shared" si="15"/>
        <v>0</v>
      </c>
      <c r="Z142">
        <f t="shared" si="16"/>
        <v>0</v>
      </c>
      <c r="AC142" s="1">
        <v>0</v>
      </c>
      <c r="AF142">
        <f>V142</f>
        <v>60</v>
      </c>
      <c r="AG142" s="7">
        <v>10</v>
      </c>
      <c r="AH142">
        <f t="shared" si="17"/>
        <v>60</v>
      </c>
      <c r="AI142">
        <f t="shared" si="14"/>
        <v>0</v>
      </c>
      <c r="AK142">
        <f t="shared" si="18"/>
        <v>6</v>
      </c>
      <c r="AL142">
        <v>20.420000000000002</v>
      </c>
      <c r="AM142" t="s">
        <v>27</v>
      </c>
      <c r="AN142">
        <v>20.420000000000002</v>
      </c>
      <c r="AO142" t="b">
        <f t="shared" si="19"/>
        <v>1</v>
      </c>
      <c r="AR142" t="s">
        <v>5061</v>
      </c>
      <c r="AS142" s="21">
        <v>46276</v>
      </c>
      <c r="AT142" t="s">
        <v>5064</v>
      </c>
      <c r="AU142" t="s">
        <v>5065</v>
      </c>
      <c r="AV142" t="s">
        <v>5088</v>
      </c>
      <c r="AW142" t="s">
        <v>5086</v>
      </c>
    </row>
    <row r="143" spans="1:49" x14ac:dyDescent="0.35">
      <c r="A143" t="s">
        <v>73</v>
      </c>
      <c r="B143" t="s">
        <v>74</v>
      </c>
      <c r="C143" t="s">
        <v>4818</v>
      </c>
      <c r="D143" t="s">
        <v>18</v>
      </c>
      <c r="E143" t="s">
        <v>571</v>
      </c>
      <c r="F143" t="s">
        <v>572</v>
      </c>
      <c r="G143" t="s">
        <v>21</v>
      </c>
      <c r="H143" t="s">
        <v>4834</v>
      </c>
      <c r="I143" t="s">
        <v>4839</v>
      </c>
      <c r="J143" s="4" t="s">
        <v>4840</v>
      </c>
      <c r="K143" s="4" t="s">
        <v>4843</v>
      </c>
      <c r="L143" s="4" t="s">
        <v>4847</v>
      </c>
      <c r="M143" s="4" t="s">
        <v>5035</v>
      </c>
      <c r="N143" t="s">
        <v>573</v>
      </c>
      <c r="O143" t="s">
        <v>574</v>
      </c>
      <c r="P143" t="s">
        <v>23</v>
      </c>
      <c r="Q143" t="s">
        <v>24</v>
      </c>
      <c r="R143" t="s">
        <v>25</v>
      </c>
      <c r="S143" t="s">
        <v>26</v>
      </c>
      <c r="T143" s="6">
        <v>46307</v>
      </c>
      <c r="U143">
        <v>40</v>
      </c>
      <c r="V143">
        <v>40</v>
      </c>
      <c r="W143">
        <v>40</v>
      </c>
      <c r="X143">
        <v>40</v>
      </c>
      <c r="Y143">
        <f t="shared" si="15"/>
        <v>0</v>
      </c>
      <c r="Z143">
        <f t="shared" si="16"/>
        <v>0</v>
      </c>
      <c r="AC143" s="1">
        <v>0</v>
      </c>
      <c r="AF143">
        <f>V143</f>
        <v>40</v>
      </c>
      <c r="AG143" s="7">
        <v>10</v>
      </c>
      <c r="AH143">
        <f t="shared" si="17"/>
        <v>40</v>
      </c>
      <c r="AI143">
        <f t="shared" si="14"/>
        <v>0</v>
      </c>
      <c r="AK143">
        <f t="shared" si="18"/>
        <v>4</v>
      </c>
      <c r="AL143">
        <v>20.420000000000002</v>
      </c>
      <c r="AM143" t="s">
        <v>27</v>
      </c>
      <c r="AN143">
        <v>20.420000000000002</v>
      </c>
      <c r="AO143" t="b">
        <f t="shared" si="19"/>
        <v>1</v>
      </c>
      <c r="AR143" t="s">
        <v>5061</v>
      </c>
      <c r="AS143" s="21">
        <v>46276</v>
      </c>
      <c r="AT143" t="s">
        <v>5064</v>
      </c>
      <c r="AU143" t="s">
        <v>5065</v>
      </c>
      <c r="AV143" t="s">
        <v>5088</v>
      </c>
      <c r="AW143" t="s">
        <v>5086</v>
      </c>
    </row>
    <row r="144" spans="1:49" x14ac:dyDescent="0.35">
      <c r="A144" t="s">
        <v>73</v>
      </c>
      <c r="B144" t="s">
        <v>74</v>
      </c>
      <c r="C144" t="s">
        <v>4818</v>
      </c>
      <c r="D144" t="s">
        <v>18</v>
      </c>
      <c r="E144" t="s">
        <v>575</v>
      </c>
      <c r="F144" t="s">
        <v>576</v>
      </c>
      <c r="G144" t="s">
        <v>21</v>
      </c>
      <c r="H144" t="s">
        <v>4834</v>
      </c>
      <c r="I144" t="s">
        <v>4839</v>
      </c>
      <c r="J144" s="4" t="s">
        <v>4840</v>
      </c>
      <c r="K144" s="4" t="s">
        <v>4845</v>
      </c>
      <c r="L144" s="4" t="s">
        <v>4856</v>
      </c>
      <c r="M144" s="4" t="s">
        <v>5035</v>
      </c>
      <c r="N144" t="s">
        <v>577</v>
      </c>
      <c r="O144" t="s">
        <v>578</v>
      </c>
      <c r="P144" t="s">
        <v>23</v>
      </c>
      <c r="Q144" t="s">
        <v>24</v>
      </c>
      <c r="R144" t="s">
        <v>25</v>
      </c>
      <c r="S144" t="s">
        <v>26</v>
      </c>
      <c r="T144" s="6">
        <v>46307</v>
      </c>
      <c r="U144">
        <v>10</v>
      </c>
      <c r="V144">
        <v>10</v>
      </c>
      <c r="W144">
        <v>10</v>
      </c>
      <c r="X144">
        <v>0</v>
      </c>
      <c r="Y144">
        <f t="shared" si="15"/>
        <v>10</v>
      </c>
      <c r="Z144">
        <f t="shared" si="16"/>
        <v>10</v>
      </c>
      <c r="AC144" s="1">
        <v>0</v>
      </c>
      <c r="AF144">
        <v>0</v>
      </c>
      <c r="AG144" s="7">
        <v>10</v>
      </c>
      <c r="AH144">
        <f t="shared" si="17"/>
        <v>0</v>
      </c>
      <c r="AI144">
        <f t="shared" si="14"/>
        <v>10</v>
      </c>
      <c r="AK144">
        <f t="shared" si="18"/>
        <v>0</v>
      </c>
      <c r="AL144">
        <v>20.420000000000002</v>
      </c>
      <c r="AM144" t="s">
        <v>27</v>
      </c>
      <c r="AN144">
        <v>20.420000000000002</v>
      </c>
      <c r="AO144" t="b">
        <f t="shared" si="19"/>
        <v>1</v>
      </c>
      <c r="AR144" t="s">
        <v>5061</v>
      </c>
      <c r="AS144" s="21">
        <v>46276</v>
      </c>
      <c r="AT144" t="s">
        <v>15</v>
      </c>
      <c r="AU144" t="s">
        <v>5060</v>
      </c>
      <c r="AV144" t="s">
        <v>5088</v>
      </c>
      <c r="AW144" t="s">
        <v>5060</v>
      </c>
    </row>
    <row r="145" spans="1:49" x14ac:dyDescent="0.35">
      <c r="A145" t="s">
        <v>73</v>
      </c>
      <c r="B145" t="s">
        <v>74</v>
      </c>
      <c r="C145" t="s">
        <v>4818</v>
      </c>
      <c r="D145" t="s">
        <v>18</v>
      </c>
      <c r="E145" t="s">
        <v>579</v>
      </c>
      <c r="F145" t="s">
        <v>580</v>
      </c>
      <c r="G145" t="s">
        <v>21</v>
      </c>
      <c r="H145" t="s">
        <v>4834</v>
      </c>
      <c r="I145" t="s">
        <v>4839</v>
      </c>
      <c r="J145" s="4" t="s">
        <v>4840</v>
      </c>
      <c r="K145" s="4" t="s">
        <v>4832</v>
      </c>
      <c r="L145" s="4" t="s">
        <v>4846</v>
      </c>
      <c r="M145" s="4" t="s">
        <v>5035</v>
      </c>
      <c r="N145" t="s">
        <v>581</v>
      </c>
      <c r="O145" t="s">
        <v>582</v>
      </c>
      <c r="P145" t="s">
        <v>23</v>
      </c>
      <c r="Q145" t="s">
        <v>24</v>
      </c>
      <c r="R145" t="s">
        <v>25</v>
      </c>
      <c r="S145" t="s">
        <v>26</v>
      </c>
      <c r="T145" s="6">
        <v>46307</v>
      </c>
      <c r="U145">
        <v>90</v>
      </c>
      <c r="V145">
        <v>90</v>
      </c>
      <c r="W145">
        <v>90</v>
      </c>
      <c r="X145">
        <v>90</v>
      </c>
      <c r="Y145">
        <f t="shared" si="15"/>
        <v>0</v>
      </c>
      <c r="Z145">
        <f t="shared" si="16"/>
        <v>0</v>
      </c>
      <c r="AC145" s="1">
        <v>0</v>
      </c>
      <c r="AF145">
        <f>V145</f>
        <v>90</v>
      </c>
      <c r="AG145" s="7">
        <v>10</v>
      </c>
      <c r="AH145">
        <f t="shared" si="17"/>
        <v>90</v>
      </c>
      <c r="AI145">
        <f t="shared" si="14"/>
        <v>0</v>
      </c>
      <c r="AK145">
        <f t="shared" si="18"/>
        <v>9</v>
      </c>
      <c r="AL145">
        <v>20.420000000000002</v>
      </c>
      <c r="AM145" t="s">
        <v>27</v>
      </c>
      <c r="AN145">
        <v>20.420000000000002</v>
      </c>
      <c r="AO145" t="b">
        <f t="shared" si="19"/>
        <v>1</v>
      </c>
      <c r="AR145" t="s">
        <v>5061</v>
      </c>
      <c r="AS145" s="21">
        <v>46276</v>
      </c>
      <c r="AT145" t="s">
        <v>5064</v>
      </c>
      <c r="AU145" t="s">
        <v>5065</v>
      </c>
      <c r="AV145" t="s">
        <v>5088</v>
      </c>
      <c r="AW145" t="s">
        <v>5086</v>
      </c>
    </row>
    <row r="146" spans="1:49" x14ac:dyDescent="0.35">
      <c r="A146" t="s">
        <v>73</v>
      </c>
      <c r="B146" t="s">
        <v>74</v>
      </c>
      <c r="C146" t="s">
        <v>4818</v>
      </c>
      <c r="D146" t="s">
        <v>18</v>
      </c>
      <c r="E146" t="s">
        <v>583</v>
      </c>
      <c r="F146" t="s">
        <v>584</v>
      </c>
      <c r="G146" t="s">
        <v>21</v>
      </c>
      <c r="H146" t="s">
        <v>4834</v>
      </c>
      <c r="I146" t="s">
        <v>4835</v>
      </c>
      <c r="J146" s="4" t="s">
        <v>4836</v>
      </c>
      <c r="K146" s="4" t="s">
        <v>4845</v>
      </c>
      <c r="L146" s="4" t="s">
        <v>4876</v>
      </c>
      <c r="M146" s="4" t="s">
        <v>5035</v>
      </c>
      <c r="N146" t="s">
        <v>585</v>
      </c>
      <c r="O146" t="s">
        <v>586</v>
      </c>
      <c r="P146" t="s">
        <v>23</v>
      </c>
      <c r="Q146" t="s">
        <v>24</v>
      </c>
      <c r="R146" t="s">
        <v>25</v>
      </c>
      <c r="S146" t="s">
        <v>26</v>
      </c>
      <c r="T146" s="6">
        <v>46307</v>
      </c>
      <c r="U146">
        <v>64</v>
      </c>
      <c r="V146">
        <v>64</v>
      </c>
      <c r="W146">
        <v>72</v>
      </c>
      <c r="X146">
        <v>0</v>
      </c>
      <c r="Y146">
        <f t="shared" si="15"/>
        <v>72</v>
      </c>
      <c r="Z146">
        <f t="shared" si="16"/>
        <v>64</v>
      </c>
      <c r="AC146" s="1">
        <v>0</v>
      </c>
      <c r="AF146">
        <v>0</v>
      </c>
      <c r="AG146" s="7">
        <v>8</v>
      </c>
      <c r="AH146">
        <f t="shared" si="17"/>
        <v>0</v>
      </c>
      <c r="AI146">
        <f t="shared" si="14"/>
        <v>64</v>
      </c>
      <c r="AK146">
        <f t="shared" si="18"/>
        <v>0</v>
      </c>
      <c r="AL146">
        <v>21.63</v>
      </c>
      <c r="AM146" t="s">
        <v>27</v>
      </c>
      <c r="AN146">
        <v>21.63</v>
      </c>
      <c r="AO146" t="b">
        <f t="shared" si="19"/>
        <v>1</v>
      </c>
      <c r="AR146" t="s">
        <v>5061</v>
      </c>
      <c r="AS146" s="21">
        <v>46276</v>
      </c>
      <c r="AT146" t="s">
        <v>15</v>
      </c>
      <c r="AU146" t="s">
        <v>5060</v>
      </c>
      <c r="AV146" t="s">
        <v>5088</v>
      </c>
      <c r="AW146" t="s">
        <v>5060</v>
      </c>
    </row>
    <row r="147" spans="1:49" x14ac:dyDescent="0.35">
      <c r="A147" t="s">
        <v>73</v>
      </c>
      <c r="B147" t="s">
        <v>74</v>
      </c>
      <c r="C147" t="s">
        <v>4818</v>
      </c>
      <c r="D147" t="s">
        <v>18</v>
      </c>
      <c r="E147" t="s">
        <v>587</v>
      </c>
      <c r="F147" t="s">
        <v>588</v>
      </c>
      <c r="G147" t="s">
        <v>21</v>
      </c>
      <c r="H147" t="s">
        <v>4834</v>
      </c>
      <c r="I147" t="s">
        <v>4849</v>
      </c>
      <c r="J147" s="4" t="s">
        <v>4850</v>
      </c>
      <c r="K147" s="4" t="s">
        <v>4852</v>
      </c>
      <c r="L147" s="4" t="s">
        <v>4869</v>
      </c>
      <c r="M147" s="4" t="s">
        <v>5035</v>
      </c>
      <c r="N147" t="s">
        <v>589</v>
      </c>
      <c r="O147" t="s">
        <v>590</v>
      </c>
      <c r="P147" t="s">
        <v>23</v>
      </c>
      <c r="Q147" t="s">
        <v>24</v>
      </c>
      <c r="R147" t="s">
        <v>25</v>
      </c>
      <c r="S147" t="s">
        <v>26</v>
      </c>
      <c r="T147" s="6">
        <v>46307</v>
      </c>
      <c r="U147">
        <v>78</v>
      </c>
      <c r="V147">
        <v>78</v>
      </c>
      <c r="W147">
        <v>78</v>
      </c>
      <c r="X147">
        <v>78</v>
      </c>
      <c r="Y147">
        <f t="shared" si="15"/>
        <v>0</v>
      </c>
      <c r="Z147">
        <f t="shared" si="16"/>
        <v>0</v>
      </c>
      <c r="AC147" s="1">
        <v>0</v>
      </c>
      <c r="AF147">
        <f>V147</f>
        <v>78</v>
      </c>
      <c r="AG147" s="7">
        <v>6</v>
      </c>
      <c r="AH147">
        <f t="shared" si="17"/>
        <v>78</v>
      </c>
      <c r="AI147">
        <f t="shared" si="14"/>
        <v>0</v>
      </c>
      <c r="AK147">
        <f t="shared" si="18"/>
        <v>13</v>
      </c>
      <c r="AL147">
        <v>14.78</v>
      </c>
      <c r="AM147" t="s">
        <v>27</v>
      </c>
      <c r="AN147">
        <v>14.78</v>
      </c>
      <c r="AO147" t="b">
        <f t="shared" si="19"/>
        <v>1</v>
      </c>
      <c r="AR147" t="s">
        <v>5061</v>
      </c>
      <c r="AS147" s="21">
        <v>46276</v>
      </c>
      <c r="AT147" t="s">
        <v>5064</v>
      </c>
      <c r="AU147" t="s">
        <v>5066</v>
      </c>
      <c r="AV147" t="s">
        <v>5088</v>
      </c>
      <c r="AW147" t="s">
        <v>5086</v>
      </c>
    </row>
    <row r="148" spans="1:49" x14ac:dyDescent="0.35">
      <c r="A148" t="s">
        <v>73</v>
      </c>
      <c r="B148" t="s">
        <v>74</v>
      </c>
      <c r="C148" t="s">
        <v>4818</v>
      </c>
      <c r="D148" t="s">
        <v>18</v>
      </c>
      <c r="E148" t="s">
        <v>591</v>
      </c>
      <c r="F148" t="s">
        <v>592</v>
      </c>
      <c r="G148" t="s">
        <v>21</v>
      </c>
      <c r="H148" t="s">
        <v>4834</v>
      </c>
      <c r="I148" t="s">
        <v>4839</v>
      </c>
      <c r="J148" s="4" t="s">
        <v>4840</v>
      </c>
      <c r="K148" s="4" t="s">
        <v>4837</v>
      </c>
      <c r="L148" s="4" t="s">
        <v>4866</v>
      </c>
      <c r="M148" s="4" t="s">
        <v>5035</v>
      </c>
      <c r="N148" t="s">
        <v>593</v>
      </c>
      <c r="O148" t="s">
        <v>594</v>
      </c>
      <c r="P148" t="s">
        <v>23</v>
      </c>
      <c r="Q148" t="s">
        <v>24</v>
      </c>
      <c r="R148" t="s">
        <v>25</v>
      </c>
      <c r="S148" t="s">
        <v>26</v>
      </c>
      <c r="T148" s="6">
        <v>46307</v>
      </c>
      <c r="U148">
        <v>130</v>
      </c>
      <c r="V148">
        <v>130</v>
      </c>
      <c r="W148">
        <v>140</v>
      </c>
      <c r="X148">
        <v>0</v>
      </c>
      <c r="Y148">
        <f t="shared" si="15"/>
        <v>140</v>
      </c>
      <c r="Z148">
        <f t="shared" si="16"/>
        <v>130</v>
      </c>
      <c r="AC148" s="1">
        <v>0</v>
      </c>
      <c r="AF148">
        <v>0</v>
      </c>
      <c r="AG148" s="7">
        <v>10</v>
      </c>
      <c r="AH148">
        <f t="shared" si="17"/>
        <v>0</v>
      </c>
      <c r="AI148">
        <f t="shared" si="14"/>
        <v>130</v>
      </c>
      <c r="AK148">
        <f t="shared" si="18"/>
        <v>0</v>
      </c>
      <c r="AL148">
        <v>20.420000000000002</v>
      </c>
      <c r="AM148" t="s">
        <v>27</v>
      </c>
      <c r="AN148">
        <v>20.420000000000002</v>
      </c>
      <c r="AO148" t="b">
        <f t="shared" si="19"/>
        <v>1</v>
      </c>
      <c r="AR148" t="s">
        <v>5061</v>
      </c>
      <c r="AS148" s="21">
        <v>46276</v>
      </c>
      <c r="AT148" t="s">
        <v>15</v>
      </c>
      <c r="AU148" t="s">
        <v>5060</v>
      </c>
      <c r="AV148" t="s">
        <v>5088</v>
      </c>
      <c r="AW148" t="s">
        <v>5060</v>
      </c>
    </row>
    <row r="149" spans="1:49" x14ac:dyDescent="0.35">
      <c r="A149" t="s">
        <v>73</v>
      </c>
      <c r="B149" t="s">
        <v>74</v>
      </c>
      <c r="C149" t="s">
        <v>4818</v>
      </c>
      <c r="D149" t="s">
        <v>18</v>
      </c>
      <c r="E149" t="s">
        <v>595</v>
      </c>
      <c r="F149" t="s">
        <v>596</v>
      </c>
      <c r="G149" t="s">
        <v>21</v>
      </c>
      <c r="H149" t="s">
        <v>4834</v>
      </c>
      <c r="I149" t="s">
        <v>4849</v>
      </c>
      <c r="J149" s="4" t="s">
        <v>4850</v>
      </c>
      <c r="K149" s="4" t="s">
        <v>4837</v>
      </c>
      <c r="L149" s="4" t="s">
        <v>4870</v>
      </c>
      <c r="M149" s="4" t="s">
        <v>5035</v>
      </c>
      <c r="N149" t="s">
        <v>597</v>
      </c>
      <c r="O149" t="s">
        <v>598</v>
      </c>
      <c r="P149" t="s">
        <v>23</v>
      </c>
      <c r="Q149" t="s">
        <v>24</v>
      </c>
      <c r="R149" t="s">
        <v>25</v>
      </c>
      <c r="S149" t="s">
        <v>26</v>
      </c>
      <c r="T149" s="6">
        <v>46307</v>
      </c>
      <c r="U149">
        <v>60</v>
      </c>
      <c r="V149">
        <v>60</v>
      </c>
      <c r="W149">
        <v>66</v>
      </c>
      <c r="X149">
        <v>66</v>
      </c>
      <c r="Y149">
        <f t="shared" si="15"/>
        <v>0</v>
      </c>
      <c r="Z149">
        <f t="shared" si="16"/>
        <v>-6</v>
      </c>
      <c r="AC149" s="1">
        <v>0</v>
      </c>
      <c r="AF149">
        <f>V149</f>
        <v>60</v>
      </c>
      <c r="AG149" s="7">
        <v>6</v>
      </c>
      <c r="AH149">
        <f t="shared" si="17"/>
        <v>60</v>
      </c>
      <c r="AI149">
        <f t="shared" si="14"/>
        <v>0</v>
      </c>
      <c r="AK149">
        <f t="shared" si="18"/>
        <v>10</v>
      </c>
      <c r="AL149">
        <v>14.78</v>
      </c>
      <c r="AM149" t="s">
        <v>27</v>
      </c>
      <c r="AN149">
        <v>14.78</v>
      </c>
      <c r="AO149" t="b">
        <f t="shared" si="19"/>
        <v>1</v>
      </c>
      <c r="AR149" t="s">
        <v>5061</v>
      </c>
      <c r="AS149" s="21">
        <v>46276</v>
      </c>
      <c r="AT149" t="s">
        <v>5064</v>
      </c>
      <c r="AU149" t="s">
        <v>5066</v>
      </c>
      <c r="AV149" t="s">
        <v>5088</v>
      </c>
      <c r="AW149" t="s">
        <v>5086</v>
      </c>
    </row>
    <row r="150" spans="1:49" x14ac:dyDescent="0.35">
      <c r="A150" t="s">
        <v>73</v>
      </c>
      <c r="B150" t="s">
        <v>74</v>
      </c>
      <c r="C150" t="s">
        <v>4818</v>
      </c>
      <c r="D150" t="s">
        <v>18</v>
      </c>
      <c r="E150" t="s">
        <v>599</v>
      </c>
      <c r="F150" t="s">
        <v>600</v>
      </c>
      <c r="G150" t="s">
        <v>21</v>
      </c>
      <c r="H150" t="s">
        <v>4834</v>
      </c>
      <c r="I150" t="s">
        <v>4835</v>
      </c>
      <c r="J150" s="4" t="s">
        <v>4836</v>
      </c>
      <c r="K150" s="4" t="s">
        <v>4845</v>
      </c>
      <c r="L150" s="4" t="s">
        <v>4887</v>
      </c>
      <c r="M150" s="4" t="s">
        <v>5035</v>
      </c>
      <c r="N150" t="s">
        <v>601</v>
      </c>
      <c r="O150" t="s">
        <v>602</v>
      </c>
      <c r="P150" t="s">
        <v>23</v>
      </c>
      <c r="Q150" t="s">
        <v>24</v>
      </c>
      <c r="R150" t="s">
        <v>25</v>
      </c>
      <c r="S150" t="s">
        <v>26</v>
      </c>
      <c r="T150" s="6">
        <v>46307</v>
      </c>
      <c r="U150">
        <v>160</v>
      </c>
      <c r="V150">
        <v>160</v>
      </c>
      <c r="W150">
        <v>168</v>
      </c>
      <c r="X150">
        <v>0</v>
      </c>
      <c r="Y150">
        <f t="shared" si="15"/>
        <v>168</v>
      </c>
      <c r="Z150">
        <f t="shared" si="16"/>
        <v>160</v>
      </c>
      <c r="AC150" s="1">
        <v>0</v>
      </c>
      <c r="AF150">
        <v>0</v>
      </c>
      <c r="AG150" s="7">
        <v>8</v>
      </c>
      <c r="AH150">
        <f t="shared" si="17"/>
        <v>0</v>
      </c>
      <c r="AI150">
        <f t="shared" si="14"/>
        <v>160</v>
      </c>
      <c r="AK150">
        <f t="shared" si="18"/>
        <v>0</v>
      </c>
      <c r="AL150">
        <v>21.63</v>
      </c>
      <c r="AM150" t="s">
        <v>27</v>
      </c>
      <c r="AN150">
        <v>21.63</v>
      </c>
      <c r="AO150" t="b">
        <f t="shared" si="19"/>
        <v>1</v>
      </c>
      <c r="AR150" t="s">
        <v>5061</v>
      </c>
      <c r="AS150" s="21">
        <v>46276</v>
      </c>
      <c r="AT150" t="s">
        <v>15</v>
      </c>
      <c r="AU150" t="s">
        <v>5060</v>
      </c>
      <c r="AV150" t="s">
        <v>5088</v>
      </c>
      <c r="AW150" t="s">
        <v>5060</v>
      </c>
    </row>
    <row r="151" spans="1:49" x14ac:dyDescent="0.35">
      <c r="A151" t="s">
        <v>73</v>
      </c>
      <c r="B151" t="s">
        <v>74</v>
      </c>
      <c r="C151" t="s">
        <v>4818</v>
      </c>
      <c r="D151" t="s">
        <v>18</v>
      </c>
      <c r="E151" t="s">
        <v>603</v>
      </c>
      <c r="F151" t="s">
        <v>604</v>
      </c>
      <c r="G151" t="s">
        <v>21</v>
      </c>
      <c r="H151" t="s">
        <v>4834</v>
      </c>
      <c r="I151" t="s">
        <v>4849</v>
      </c>
      <c r="J151" s="4" t="s">
        <v>4850</v>
      </c>
      <c r="K151" s="4" t="s">
        <v>4854</v>
      </c>
      <c r="L151" s="4" t="s">
        <v>4873</v>
      </c>
      <c r="M151" s="4" t="s">
        <v>5035</v>
      </c>
      <c r="N151" t="s">
        <v>605</v>
      </c>
      <c r="O151" t="s">
        <v>606</v>
      </c>
      <c r="P151" t="s">
        <v>23</v>
      </c>
      <c r="Q151" t="s">
        <v>24</v>
      </c>
      <c r="R151" t="s">
        <v>25</v>
      </c>
      <c r="S151" t="s">
        <v>26</v>
      </c>
      <c r="T151" s="6">
        <v>46307</v>
      </c>
      <c r="U151">
        <v>66</v>
      </c>
      <c r="V151">
        <v>66</v>
      </c>
      <c r="W151">
        <v>72</v>
      </c>
      <c r="X151">
        <v>72</v>
      </c>
      <c r="Y151">
        <f t="shared" si="15"/>
        <v>0</v>
      </c>
      <c r="Z151">
        <f t="shared" si="16"/>
        <v>-6</v>
      </c>
      <c r="AC151" s="1">
        <v>0</v>
      </c>
      <c r="AF151">
        <f>V151</f>
        <v>66</v>
      </c>
      <c r="AG151" s="7">
        <v>6</v>
      </c>
      <c r="AH151">
        <f t="shared" si="17"/>
        <v>66</v>
      </c>
      <c r="AI151">
        <f t="shared" si="14"/>
        <v>0</v>
      </c>
      <c r="AK151">
        <f t="shared" si="18"/>
        <v>11</v>
      </c>
      <c r="AL151">
        <v>14.78</v>
      </c>
      <c r="AM151" t="s">
        <v>27</v>
      </c>
      <c r="AN151">
        <v>14.78</v>
      </c>
      <c r="AO151" t="b">
        <f t="shared" si="19"/>
        <v>1</v>
      </c>
      <c r="AR151" t="s">
        <v>5061</v>
      </c>
      <c r="AS151" s="21">
        <v>46276</v>
      </c>
      <c r="AT151" t="s">
        <v>5064</v>
      </c>
      <c r="AU151" t="s">
        <v>5066</v>
      </c>
      <c r="AV151" t="s">
        <v>5088</v>
      </c>
      <c r="AW151" t="s">
        <v>5086</v>
      </c>
    </row>
    <row r="152" spans="1:49" x14ac:dyDescent="0.35">
      <c r="A152" t="s">
        <v>73</v>
      </c>
      <c r="B152" t="s">
        <v>74</v>
      </c>
      <c r="C152" t="s">
        <v>4818</v>
      </c>
      <c r="D152" t="s">
        <v>18</v>
      </c>
      <c r="E152" t="s">
        <v>607</v>
      </c>
      <c r="F152" t="s">
        <v>608</v>
      </c>
      <c r="G152" t="s">
        <v>21</v>
      </c>
      <c r="H152" t="s">
        <v>4834</v>
      </c>
      <c r="I152" t="s">
        <v>4839</v>
      </c>
      <c r="J152" s="4" t="s">
        <v>4840</v>
      </c>
      <c r="K152" s="4" t="s">
        <v>4832</v>
      </c>
      <c r="L152" s="4" t="s">
        <v>4841</v>
      </c>
      <c r="M152" s="4" t="s">
        <v>5035</v>
      </c>
      <c r="N152" t="s">
        <v>609</v>
      </c>
      <c r="O152" t="s">
        <v>610</v>
      </c>
      <c r="P152" t="s">
        <v>23</v>
      </c>
      <c r="Q152" t="s">
        <v>24</v>
      </c>
      <c r="R152" t="s">
        <v>25</v>
      </c>
      <c r="S152" t="s">
        <v>26</v>
      </c>
      <c r="T152" s="6">
        <v>46307</v>
      </c>
      <c r="U152">
        <v>80</v>
      </c>
      <c r="V152">
        <v>80</v>
      </c>
      <c r="W152">
        <v>80</v>
      </c>
      <c r="X152">
        <v>80</v>
      </c>
      <c r="Y152">
        <f t="shared" si="15"/>
        <v>0</v>
      </c>
      <c r="Z152">
        <f t="shared" si="16"/>
        <v>0</v>
      </c>
      <c r="AC152" s="1">
        <v>0</v>
      </c>
      <c r="AF152">
        <f>V152</f>
        <v>80</v>
      </c>
      <c r="AG152" s="7">
        <v>10</v>
      </c>
      <c r="AH152">
        <f t="shared" si="17"/>
        <v>80</v>
      </c>
      <c r="AI152">
        <f t="shared" si="14"/>
        <v>0</v>
      </c>
      <c r="AK152">
        <f t="shared" si="18"/>
        <v>8</v>
      </c>
      <c r="AL152">
        <v>20.420000000000002</v>
      </c>
      <c r="AM152" t="s">
        <v>27</v>
      </c>
      <c r="AN152">
        <v>20.420000000000002</v>
      </c>
      <c r="AO152" t="b">
        <f t="shared" si="19"/>
        <v>1</v>
      </c>
      <c r="AR152" t="s">
        <v>5061</v>
      </c>
      <c r="AS152" s="21">
        <v>46276</v>
      </c>
      <c r="AT152" t="s">
        <v>5064</v>
      </c>
      <c r="AU152" t="s">
        <v>5065</v>
      </c>
      <c r="AV152" t="s">
        <v>5088</v>
      </c>
      <c r="AW152" t="s">
        <v>5086</v>
      </c>
    </row>
    <row r="153" spans="1:49" x14ac:dyDescent="0.35">
      <c r="A153" t="s">
        <v>73</v>
      </c>
      <c r="B153" t="s">
        <v>74</v>
      </c>
      <c r="C153" t="s">
        <v>4818</v>
      </c>
      <c r="D153" t="s">
        <v>18</v>
      </c>
      <c r="E153" t="s">
        <v>611</v>
      </c>
      <c r="F153" t="s">
        <v>612</v>
      </c>
      <c r="G153" t="s">
        <v>21</v>
      </c>
      <c r="H153" t="s">
        <v>4834</v>
      </c>
      <c r="I153" t="s">
        <v>4839</v>
      </c>
      <c r="J153" s="4" t="s">
        <v>4840</v>
      </c>
      <c r="K153" s="4" t="s">
        <v>4843</v>
      </c>
      <c r="L153" s="4" t="s">
        <v>4872</v>
      </c>
      <c r="M153" s="4" t="s">
        <v>5035</v>
      </c>
      <c r="N153" t="s">
        <v>613</v>
      </c>
      <c r="O153" t="s">
        <v>614</v>
      </c>
      <c r="P153" t="s">
        <v>23</v>
      </c>
      <c r="Q153" t="s">
        <v>24</v>
      </c>
      <c r="R153" t="s">
        <v>25</v>
      </c>
      <c r="S153" t="s">
        <v>26</v>
      </c>
      <c r="T153" s="6">
        <v>46307</v>
      </c>
      <c r="U153">
        <v>50</v>
      </c>
      <c r="V153">
        <v>50</v>
      </c>
      <c r="W153">
        <v>50</v>
      </c>
      <c r="X153">
        <v>50</v>
      </c>
      <c r="Y153">
        <f t="shared" si="15"/>
        <v>0</v>
      </c>
      <c r="Z153">
        <f t="shared" si="16"/>
        <v>0</v>
      </c>
      <c r="AC153" s="1">
        <v>0</v>
      </c>
      <c r="AF153">
        <f>V153</f>
        <v>50</v>
      </c>
      <c r="AG153" s="7">
        <v>10</v>
      </c>
      <c r="AH153">
        <f t="shared" si="17"/>
        <v>50</v>
      </c>
      <c r="AI153">
        <f t="shared" si="14"/>
        <v>0</v>
      </c>
      <c r="AK153">
        <f t="shared" si="18"/>
        <v>5</v>
      </c>
      <c r="AL153">
        <v>20.420000000000002</v>
      </c>
      <c r="AM153" t="s">
        <v>27</v>
      </c>
      <c r="AN153">
        <v>20.420000000000002</v>
      </c>
      <c r="AO153" t="b">
        <f t="shared" si="19"/>
        <v>1</v>
      </c>
      <c r="AR153" t="s">
        <v>5061</v>
      </c>
      <c r="AS153" s="21">
        <v>46276</v>
      </c>
      <c r="AT153" t="s">
        <v>5064</v>
      </c>
      <c r="AU153" t="s">
        <v>5065</v>
      </c>
      <c r="AV153" t="s">
        <v>5088</v>
      </c>
      <c r="AW153" t="s">
        <v>5086</v>
      </c>
    </row>
    <row r="154" spans="1:49" x14ac:dyDescent="0.35">
      <c r="A154" t="s">
        <v>73</v>
      </c>
      <c r="B154" t="s">
        <v>74</v>
      </c>
      <c r="C154" t="s">
        <v>4818</v>
      </c>
      <c r="D154" t="s">
        <v>18</v>
      </c>
      <c r="E154" t="s">
        <v>615</v>
      </c>
      <c r="F154" t="s">
        <v>616</v>
      </c>
      <c r="G154" t="s">
        <v>21</v>
      </c>
      <c r="H154" t="s">
        <v>4834</v>
      </c>
      <c r="I154" t="s">
        <v>4835</v>
      </c>
      <c r="J154" s="4" t="s">
        <v>4836</v>
      </c>
      <c r="K154" s="4" t="s">
        <v>4845</v>
      </c>
      <c r="L154" s="4" t="s">
        <v>4883</v>
      </c>
      <c r="M154" s="4" t="s">
        <v>5035</v>
      </c>
      <c r="N154" t="s">
        <v>617</v>
      </c>
      <c r="O154" t="s">
        <v>618</v>
      </c>
      <c r="P154" t="s">
        <v>23</v>
      </c>
      <c r="Q154" t="s">
        <v>24</v>
      </c>
      <c r="R154" t="s">
        <v>25</v>
      </c>
      <c r="S154" t="s">
        <v>26</v>
      </c>
      <c r="T154" s="6">
        <v>46307</v>
      </c>
      <c r="U154">
        <v>128</v>
      </c>
      <c r="V154">
        <v>128</v>
      </c>
      <c r="W154">
        <v>136</v>
      </c>
      <c r="X154">
        <v>0</v>
      </c>
      <c r="Y154">
        <f t="shared" si="15"/>
        <v>136</v>
      </c>
      <c r="Z154">
        <f t="shared" si="16"/>
        <v>128</v>
      </c>
      <c r="AC154" s="1">
        <v>0</v>
      </c>
      <c r="AF154">
        <v>0</v>
      </c>
      <c r="AG154" s="7">
        <v>8</v>
      </c>
      <c r="AH154">
        <f t="shared" si="17"/>
        <v>0</v>
      </c>
      <c r="AI154">
        <f t="shared" si="14"/>
        <v>128</v>
      </c>
      <c r="AK154">
        <f t="shared" si="18"/>
        <v>0</v>
      </c>
      <c r="AL154">
        <v>21.63</v>
      </c>
      <c r="AM154" t="s">
        <v>27</v>
      </c>
      <c r="AN154">
        <v>21.63</v>
      </c>
      <c r="AO154" t="b">
        <f t="shared" si="19"/>
        <v>1</v>
      </c>
      <c r="AR154" t="s">
        <v>5061</v>
      </c>
      <c r="AS154" s="21">
        <v>46276</v>
      </c>
      <c r="AT154" t="s">
        <v>15</v>
      </c>
      <c r="AU154" t="s">
        <v>5060</v>
      </c>
      <c r="AV154" t="s">
        <v>5088</v>
      </c>
      <c r="AW154" t="s">
        <v>5060</v>
      </c>
    </row>
    <row r="155" spans="1:49" x14ac:dyDescent="0.35">
      <c r="A155" t="s">
        <v>73</v>
      </c>
      <c r="B155" t="s">
        <v>74</v>
      </c>
      <c r="C155" t="s">
        <v>4818</v>
      </c>
      <c r="D155" t="s">
        <v>18</v>
      </c>
      <c r="E155" t="s">
        <v>619</v>
      </c>
      <c r="F155" t="s">
        <v>620</v>
      </c>
      <c r="G155" t="s">
        <v>21</v>
      </c>
      <c r="H155" t="s">
        <v>4834</v>
      </c>
      <c r="I155" t="s">
        <v>4839</v>
      </c>
      <c r="J155" s="4" t="s">
        <v>4840</v>
      </c>
      <c r="K155" s="4" t="s">
        <v>4845</v>
      </c>
      <c r="L155" s="4" t="s">
        <v>4844</v>
      </c>
      <c r="M155" s="4" t="s">
        <v>5035</v>
      </c>
      <c r="N155" t="s">
        <v>621</v>
      </c>
      <c r="O155" t="s">
        <v>622</v>
      </c>
      <c r="P155" t="s">
        <v>23</v>
      </c>
      <c r="Q155" t="s">
        <v>24</v>
      </c>
      <c r="R155" t="s">
        <v>25</v>
      </c>
      <c r="S155" t="s">
        <v>26</v>
      </c>
      <c r="T155" s="6">
        <v>46307</v>
      </c>
      <c r="U155">
        <v>80</v>
      </c>
      <c r="V155">
        <v>80</v>
      </c>
      <c r="W155">
        <v>80</v>
      </c>
      <c r="X155">
        <v>0</v>
      </c>
      <c r="Y155">
        <f t="shared" si="15"/>
        <v>80</v>
      </c>
      <c r="Z155">
        <f t="shared" si="16"/>
        <v>80</v>
      </c>
      <c r="AC155" s="1">
        <v>0</v>
      </c>
      <c r="AF155">
        <v>0</v>
      </c>
      <c r="AG155" s="7">
        <v>10</v>
      </c>
      <c r="AH155">
        <f t="shared" si="17"/>
        <v>0</v>
      </c>
      <c r="AI155">
        <f t="shared" si="14"/>
        <v>80</v>
      </c>
      <c r="AK155">
        <f t="shared" si="18"/>
        <v>0</v>
      </c>
      <c r="AL155">
        <v>20.420000000000002</v>
      </c>
      <c r="AM155" t="s">
        <v>27</v>
      </c>
      <c r="AN155">
        <v>20.420000000000002</v>
      </c>
      <c r="AO155" t="b">
        <f t="shared" si="19"/>
        <v>1</v>
      </c>
      <c r="AR155" t="s">
        <v>5061</v>
      </c>
      <c r="AS155" s="21">
        <v>46276</v>
      </c>
      <c r="AT155" t="s">
        <v>15</v>
      </c>
      <c r="AU155" t="s">
        <v>5060</v>
      </c>
      <c r="AV155" t="s">
        <v>5088</v>
      </c>
      <c r="AW155" t="s">
        <v>5060</v>
      </c>
    </row>
    <row r="156" spans="1:49" x14ac:dyDescent="0.35">
      <c r="A156" t="s">
        <v>73</v>
      </c>
      <c r="B156" t="s">
        <v>74</v>
      </c>
      <c r="C156" t="s">
        <v>4818</v>
      </c>
      <c r="D156" t="s">
        <v>18</v>
      </c>
      <c r="E156" t="s">
        <v>623</v>
      </c>
      <c r="F156" t="s">
        <v>624</v>
      </c>
      <c r="G156" t="s">
        <v>21</v>
      </c>
      <c r="H156" t="s">
        <v>4834</v>
      </c>
      <c r="I156" t="s">
        <v>4839</v>
      </c>
      <c r="J156" s="4" t="s">
        <v>4840</v>
      </c>
      <c r="K156" s="4" t="s">
        <v>4843</v>
      </c>
      <c r="L156" s="4" t="s">
        <v>4838</v>
      </c>
      <c r="M156" s="4" t="s">
        <v>5035</v>
      </c>
      <c r="N156" t="s">
        <v>625</v>
      </c>
      <c r="O156" t="s">
        <v>626</v>
      </c>
      <c r="P156" t="s">
        <v>23</v>
      </c>
      <c r="Q156" t="s">
        <v>24</v>
      </c>
      <c r="R156" t="s">
        <v>25</v>
      </c>
      <c r="S156" t="s">
        <v>26</v>
      </c>
      <c r="T156" s="6">
        <v>46307</v>
      </c>
      <c r="U156">
        <v>50</v>
      </c>
      <c r="V156">
        <v>50</v>
      </c>
      <c r="W156">
        <v>50</v>
      </c>
      <c r="X156">
        <v>50</v>
      </c>
      <c r="Y156">
        <f t="shared" si="15"/>
        <v>0</v>
      </c>
      <c r="Z156">
        <f t="shared" si="16"/>
        <v>0</v>
      </c>
      <c r="AC156" s="1">
        <v>0</v>
      </c>
      <c r="AF156">
        <f>V156</f>
        <v>50</v>
      </c>
      <c r="AG156" s="7">
        <v>10</v>
      </c>
      <c r="AH156">
        <f t="shared" si="17"/>
        <v>50</v>
      </c>
      <c r="AI156">
        <f t="shared" si="14"/>
        <v>0</v>
      </c>
      <c r="AK156">
        <f t="shared" si="18"/>
        <v>5</v>
      </c>
      <c r="AL156">
        <v>20.420000000000002</v>
      </c>
      <c r="AM156" t="s">
        <v>27</v>
      </c>
      <c r="AN156">
        <v>20.420000000000002</v>
      </c>
      <c r="AO156" t="b">
        <f t="shared" si="19"/>
        <v>1</v>
      </c>
      <c r="AR156" t="s">
        <v>5061</v>
      </c>
      <c r="AS156" s="21">
        <v>46276</v>
      </c>
      <c r="AT156" t="s">
        <v>5064</v>
      </c>
      <c r="AU156" t="s">
        <v>5065</v>
      </c>
      <c r="AV156" t="s">
        <v>5088</v>
      </c>
      <c r="AW156" t="s">
        <v>5086</v>
      </c>
    </row>
    <row r="157" spans="1:49" x14ac:dyDescent="0.35">
      <c r="A157" t="s">
        <v>73</v>
      </c>
      <c r="B157" t="s">
        <v>74</v>
      </c>
      <c r="C157" t="s">
        <v>4818</v>
      </c>
      <c r="D157" t="s">
        <v>18</v>
      </c>
      <c r="E157" t="s">
        <v>627</v>
      </c>
      <c r="F157" t="s">
        <v>628</v>
      </c>
      <c r="G157" t="s">
        <v>21</v>
      </c>
      <c r="H157" t="s">
        <v>4834</v>
      </c>
      <c r="I157" t="s">
        <v>4849</v>
      </c>
      <c r="J157" s="4" t="s">
        <v>4850</v>
      </c>
      <c r="K157" s="4" t="s">
        <v>4837</v>
      </c>
      <c r="L157" s="4" t="s">
        <v>4875</v>
      </c>
      <c r="M157" s="4" t="s">
        <v>5035</v>
      </c>
      <c r="N157" t="s">
        <v>629</v>
      </c>
      <c r="O157" t="s">
        <v>630</v>
      </c>
      <c r="P157" t="s">
        <v>23</v>
      </c>
      <c r="Q157" t="s">
        <v>24</v>
      </c>
      <c r="R157" t="s">
        <v>25</v>
      </c>
      <c r="S157" t="s">
        <v>26</v>
      </c>
      <c r="T157" s="6">
        <v>46307</v>
      </c>
      <c r="U157">
        <v>84</v>
      </c>
      <c r="V157">
        <v>84</v>
      </c>
      <c r="W157">
        <v>90</v>
      </c>
      <c r="X157">
        <v>90</v>
      </c>
      <c r="Y157">
        <f t="shared" si="15"/>
        <v>0</v>
      </c>
      <c r="Z157">
        <f t="shared" si="16"/>
        <v>-6</v>
      </c>
      <c r="AC157" s="1">
        <v>0</v>
      </c>
      <c r="AF157">
        <f>V157</f>
        <v>84</v>
      </c>
      <c r="AG157" s="7">
        <v>6</v>
      </c>
      <c r="AH157">
        <f t="shared" si="17"/>
        <v>84</v>
      </c>
      <c r="AI157">
        <f t="shared" si="14"/>
        <v>0</v>
      </c>
      <c r="AK157">
        <f t="shared" si="18"/>
        <v>14</v>
      </c>
      <c r="AL157">
        <v>14.78</v>
      </c>
      <c r="AM157" t="s">
        <v>27</v>
      </c>
      <c r="AN157">
        <v>14.78</v>
      </c>
      <c r="AO157" t="b">
        <f t="shared" si="19"/>
        <v>1</v>
      </c>
      <c r="AR157" t="s">
        <v>5061</v>
      </c>
      <c r="AS157" s="21">
        <v>46276</v>
      </c>
      <c r="AT157" t="s">
        <v>5064</v>
      </c>
      <c r="AU157" t="s">
        <v>5066</v>
      </c>
      <c r="AV157" t="s">
        <v>5088</v>
      </c>
      <c r="AW157" t="s">
        <v>5086</v>
      </c>
    </row>
    <row r="158" spans="1:49" x14ac:dyDescent="0.35">
      <c r="A158" t="s">
        <v>73</v>
      </c>
      <c r="B158" t="s">
        <v>74</v>
      </c>
      <c r="C158" t="s">
        <v>4818</v>
      </c>
      <c r="D158" t="s">
        <v>18</v>
      </c>
      <c r="E158" t="s">
        <v>631</v>
      </c>
      <c r="F158" t="s">
        <v>632</v>
      </c>
      <c r="G158" t="s">
        <v>21</v>
      </c>
      <c r="H158" t="s">
        <v>4834</v>
      </c>
      <c r="I158" t="s">
        <v>4835</v>
      </c>
      <c r="J158" s="4" t="s">
        <v>4836</v>
      </c>
      <c r="K158" s="4" t="s">
        <v>4837</v>
      </c>
      <c r="L158" s="4" t="s">
        <v>4858</v>
      </c>
      <c r="M158" s="4" t="s">
        <v>5035</v>
      </c>
      <c r="N158" t="s">
        <v>633</v>
      </c>
      <c r="O158" t="s">
        <v>634</v>
      </c>
      <c r="P158" t="s">
        <v>23</v>
      </c>
      <c r="Q158" t="s">
        <v>24</v>
      </c>
      <c r="R158" t="s">
        <v>25</v>
      </c>
      <c r="S158" t="s">
        <v>26</v>
      </c>
      <c r="T158" s="6">
        <v>46307</v>
      </c>
      <c r="U158">
        <v>96</v>
      </c>
      <c r="V158">
        <v>96</v>
      </c>
      <c r="W158">
        <v>96</v>
      </c>
      <c r="X158">
        <v>0</v>
      </c>
      <c r="Y158">
        <f t="shared" si="15"/>
        <v>96</v>
      </c>
      <c r="Z158">
        <f t="shared" si="16"/>
        <v>96</v>
      </c>
      <c r="AC158" s="1">
        <v>0</v>
      </c>
      <c r="AF158">
        <v>0</v>
      </c>
      <c r="AG158" s="7">
        <v>8</v>
      </c>
      <c r="AH158">
        <f t="shared" si="17"/>
        <v>0</v>
      </c>
      <c r="AI158">
        <f t="shared" si="14"/>
        <v>96</v>
      </c>
      <c r="AK158">
        <f t="shared" si="18"/>
        <v>0</v>
      </c>
      <c r="AL158">
        <v>21.63</v>
      </c>
      <c r="AM158" t="s">
        <v>27</v>
      </c>
      <c r="AN158">
        <v>21.63</v>
      </c>
      <c r="AO158" t="b">
        <f t="shared" si="19"/>
        <v>1</v>
      </c>
      <c r="AR158" t="s">
        <v>5061</v>
      </c>
      <c r="AS158" s="21">
        <v>46276</v>
      </c>
      <c r="AT158" t="s">
        <v>15</v>
      </c>
      <c r="AU158" t="s">
        <v>5060</v>
      </c>
      <c r="AV158" t="s">
        <v>5088</v>
      </c>
      <c r="AW158" t="s">
        <v>5060</v>
      </c>
    </row>
    <row r="159" spans="1:49" x14ac:dyDescent="0.35">
      <c r="A159" t="s">
        <v>73</v>
      </c>
      <c r="B159" t="s">
        <v>74</v>
      </c>
      <c r="C159" t="s">
        <v>4818</v>
      </c>
      <c r="D159" t="s">
        <v>18</v>
      </c>
      <c r="E159" t="s">
        <v>635</v>
      </c>
      <c r="F159" t="s">
        <v>636</v>
      </c>
      <c r="G159" t="s">
        <v>21</v>
      </c>
      <c r="H159" t="s">
        <v>4834</v>
      </c>
      <c r="I159" t="s">
        <v>4839</v>
      </c>
      <c r="J159" s="4" t="s">
        <v>4840</v>
      </c>
      <c r="K159" s="4" t="s">
        <v>4843</v>
      </c>
      <c r="L159" s="4" t="s">
        <v>4859</v>
      </c>
      <c r="M159" s="4" t="s">
        <v>5035</v>
      </c>
      <c r="N159" t="s">
        <v>637</v>
      </c>
      <c r="O159" t="s">
        <v>638</v>
      </c>
      <c r="P159" t="s">
        <v>23</v>
      </c>
      <c r="Q159" t="s">
        <v>24</v>
      </c>
      <c r="R159" t="s">
        <v>25</v>
      </c>
      <c r="S159" t="s">
        <v>26</v>
      </c>
      <c r="T159" s="6">
        <v>46307</v>
      </c>
      <c r="U159">
        <v>80</v>
      </c>
      <c r="V159">
        <v>80</v>
      </c>
      <c r="W159">
        <v>80</v>
      </c>
      <c r="X159">
        <v>80</v>
      </c>
      <c r="Y159">
        <f t="shared" si="15"/>
        <v>0</v>
      </c>
      <c r="Z159">
        <f t="shared" si="16"/>
        <v>0</v>
      </c>
      <c r="AC159" s="1">
        <v>0</v>
      </c>
      <c r="AF159">
        <f>V159</f>
        <v>80</v>
      </c>
      <c r="AG159" s="7">
        <v>10</v>
      </c>
      <c r="AH159">
        <f t="shared" si="17"/>
        <v>80</v>
      </c>
      <c r="AI159">
        <f t="shared" si="14"/>
        <v>0</v>
      </c>
      <c r="AK159">
        <f t="shared" si="18"/>
        <v>8</v>
      </c>
      <c r="AL159">
        <v>20.420000000000002</v>
      </c>
      <c r="AM159" t="s">
        <v>27</v>
      </c>
      <c r="AN159">
        <v>20.420000000000002</v>
      </c>
      <c r="AO159" t="b">
        <f t="shared" si="19"/>
        <v>1</v>
      </c>
      <c r="AR159" t="s">
        <v>5061</v>
      </c>
      <c r="AS159" s="21">
        <v>46276</v>
      </c>
      <c r="AT159" t="s">
        <v>5064</v>
      </c>
      <c r="AU159" t="s">
        <v>5065</v>
      </c>
      <c r="AV159" t="s">
        <v>5088</v>
      </c>
      <c r="AW159" t="s">
        <v>5086</v>
      </c>
    </row>
    <row r="160" spans="1:49" x14ac:dyDescent="0.35">
      <c r="A160" t="s">
        <v>73</v>
      </c>
      <c r="B160" t="s">
        <v>74</v>
      </c>
      <c r="C160" t="s">
        <v>4818</v>
      </c>
      <c r="D160" t="s">
        <v>18</v>
      </c>
      <c r="E160" t="s">
        <v>639</v>
      </c>
      <c r="F160" t="s">
        <v>640</v>
      </c>
      <c r="G160" t="s">
        <v>21</v>
      </c>
      <c r="H160" t="s">
        <v>4834</v>
      </c>
      <c r="I160" t="s">
        <v>4839</v>
      </c>
      <c r="J160" s="4" t="s">
        <v>4840</v>
      </c>
      <c r="K160" s="4" t="s">
        <v>4854</v>
      </c>
      <c r="L160" s="4" t="s">
        <v>4858</v>
      </c>
      <c r="M160" s="4" t="s">
        <v>5035</v>
      </c>
      <c r="N160" t="s">
        <v>641</v>
      </c>
      <c r="O160" t="s">
        <v>642</v>
      </c>
      <c r="P160" t="s">
        <v>23</v>
      </c>
      <c r="Q160" t="s">
        <v>24</v>
      </c>
      <c r="R160" t="s">
        <v>25</v>
      </c>
      <c r="S160" t="s">
        <v>26</v>
      </c>
      <c r="T160" s="6">
        <v>46307</v>
      </c>
      <c r="U160">
        <v>90</v>
      </c>
      <c r="V160">
        <v>90</v>
      </c>
      <c r="W160">
        <v>90</v>
      </c>
      <c r="X160">
        <v>90</v>
      </c>
      <c r="Y160">
        <f t="shared" si="15"/>
        <v>0</v>
      </c>
      <c r="Z160">
        <f t="shared" si="16"/>
        <v>0</v>
      </c>
      <c r="AC160" s="1">
        <v>0</v>
      </c>
      <c r="AF160">
        <f>V160</f>
        <v>90</v>
      </c>
      <c r="AG160" s="7">
        <v>10</v>
      </c>
      <c r="AH160">
        <f t="shared" si="17"/>
        <v>90</v>
      </c>
      <c r="AI160">
        <f t="shared" si="14"/>
        <v>0</v>
      </c>
      <c r="AK160">
        <f t="shared" si="18"/>
        <v>9</v>
      </c>
      <c r="AL160">
        <v>20.420000000000002</v>
      </c>
      <c r="AM160" t="s">
        <v>27</v>
      </c>
      <c r="AN160">
        <v>20.420000000000002</v>
      </c>
      <c r="AO160" t="b">
        <f t="shared" si="19"/>
        <v>1</v>
      </c>
      <c r="AR160" t="s">
        <v>5061</v>
      </c>
      <c r="AS160" s="21">
        <v>46276</v>
      </c>
      <c r="AT160" t="s">
        <v>5064</v>
      </c>
      <c r="AU160" t="s">
        <v>5065</v>
      </c>
      <c r="AV160" t="s">
        <v>5088</v>
      </c>
      <c r="AW160" t="s">
        <v>5086</v>
      </c>
    </row>
    <row r="161" spans="1:49" x14ac:dyDescent="0.35">
      <c r="A161" t="s">
        <v>73</v>
      </c>
      <c r="B161" t="s">
        <v>74</v>
      </c>
      <c r="C161" t="s">
        <v>4818</v>
      </c>
      <c r="D161" t="s">
        <v>18</v>
      </c>
      <c r="E161" t="s">
        <v>643</v>
      </c>
      <c r="F161" t="s">
        <v>644</v>
      </c>
      <c r="G161" t="s">
        <v>21</v>
      </c>
      <c r="H161" t="s">
        <v>4834</v>
      </c>
      <c r="I161" t="s">
        <v>4835</v>
      </c>
      <c r="J161" s="4" t="s">
        <v>4836</v>
      </c>
      <c r="K161" s="4" t="s">
        <v>4837</v>
      </c>
      <c r="L161" s="4" t="s">
        <v>4887</v>
      </c>
      <c r="M161" s="4" t="s">
        <v>5035</v>
      </c>
      <c r="N161" t="s">
        <v>645</v>
      </c>
      <c r="O161" t="s">
        <v>646</v>
      </c>
      <c r="P161" t="s">
        <v>23</v>
      </c>
      <c r="Q161" t="s">
        <v>24</v>
      </c>
      <c r="R161" t="s">
        <v>25</v>
      </c>
      <c r="S161" t="s">
        <v>26</v>
      </c>
      <c r="T161" s="6">
        <v>46307</v>
      </c>
      <c r="U161">
        <v>152</v>
      </c>
      <c r="V161">
        <v>152</v>
      </c>
      <c r="W161">
        <v>160</v>
      </c>
      <c r="X161">
        <v>0</v>
      </c>
      <c r="Y161">
        <f t="shared" si="15"/>
        <v>160</v>
      </c>
      <c r="Z161">
        <f t="shared" si="16"/>
        <v>152</v>
      </c>
      <c r="AC161" s="1">
        <v>0</v>
      </c>
      <c r="AF161">
        <v>0</v>
      </c>
      <c r="AG161" s="7">
        <v>8</v>
      </c>
      <c r="AH161">
        <f t="shared" si="17"/>
        <v>0</v>
      </c>
      <c r="AI161">
        <f t="shared" si="14"/>
        <v>152</v>
      </c>
      <c r="AK161">
        <f t="shared" si="18"/>
        <v>0</v>
      </c>
      <c r="AL161">
        <v>21.63</v>
      </c>
      <c r="AM161" t="s">
        <v>27</v>
      </c>
      <c r="AN161">
        <v>21.63</v>
      </c>
      <c r="AO161" t="b">
        <f t="shared" si="19"/>
        <v>1</v>
      </c>
      <c r="AR161" t="s">
        <v>5061</v>
      </c>
      <c r="AS161" s="21">
        <v>46276</v>
      </c>
      <c r="AT161" t="s">
        <v>15</v>
      </c>
      <c r="AU161" t="s">
        <v>5060</v>
      </c>
      <c r="AV161" t="s">
        <v>5088</v>
      </c>
      <c r="AW161" t="s">
        <v>5060</v>
      </c>
    </row>
    <row r="162" spans="1:49" x14ac:dyDescent="0.35">
      <c r="A162" t="s">
        <v>73</v>
      </c>
      <c r="B162" t="s">
        <v>74</v>
      </c>
      <c r="C162" t="s">
        <v>4818</v>
      </c>
      <c r="D162" t="s">
        <v>18</v>
      </c>
      <c r="E162" t="s">
        <v>647</v>
      </c>
      <c r="F162" t="s">
        <v>648</v>
      </c>
      <c r="G162" t="s">
        <v>21</v>
      </c>
      <c r="H162" t="s">
        <v>4834</v>
      </c>
      <c r="I162" t="s">
        <v>4839</v>
      </c>
      <c r="J162" s="4" t="s">
        <v>4840</v>
      </c>
      <c r="K162" s="4" t="s">
        <v>4832</v>
      </c>
      <c r="L162" s="4" t="s">
        <v>4859</v>
      </c>
      <c r="M162" s="4" t="s">
        <v>5035</v>
      </c>
      <c r="N162" t="s">
        <v>649</v>
      </c>
      <c r="O162" t="s">
        <v>650</v>
      </c>
      <c r="P162" t="s">
        <v>23</v>
      </c>
      <c r="Q162" t="s">
        <v>24</v>
      </c>
      <c r="R162" t="s">
        <v>25</v>
      </c>
      <c r="S162" t="s">
        <v>26</v>
      </c>
      <c r="T162" s="6">
        <v>46307</v>
      </c>
      <c r="U162">
        <v>100</v>
      </c>
      <c r="V162">
        <v>100</v>
      </c>
      <c r="W162">
        <v>100</v>
      </c>
      <c r="X162">
        <v>100</v>
      </c>
      <c r="Y162">
        <f t="shared" si="15"/>
        <v>0</v>
      </c>
      <c r="Z162">
        <f t="shared" si="16"/>
        <v>0</v>
      </c>
      <c r="AC162" s="1">
        <v>0</v>
      </c>
      <c r="AF162">
        <f>V162</f>
        <v>100</v>
      </c>
      <c r="AG162" s="7">
        <v>10</v>
      </c>
      <c r="AH162">
        <f t="shared" si="17"/>
        <v>100</v>
      </c>
      <c r="AI162">
        <f t="shared" si="14"/>
        <v>0</v>
      </c>
      <c r="AK162">
        <f t="shared" si="18"/>
        <v>10</v>
      </c>
      <c r="AL162">
        <v>20.420000000000002</v>
      </c>
      <c r="AM162" t="s">
        <v>27</v>
      </c>
      <c r="AN162">
        <v>20.420000000000002</v>
      </c>
      <c r="AO162" t="b">
        <f t="shared" si="19"/>
        <v>1</v>
      </c>
      <c r="AR162" t="s">
        <v>5061</v>
      </c>
      <c r="AS162" s="21">
        <v>46276</v>
      </c>
      <c r="AT162" t="s">
        <v>5064</v>
      </c>
      <c r="AU162" t="s">
        <v>5065</v>
      </c>
      <c r="AV162" t="s">
        <v>5088</v>
      </c>
      <c r="AW162" t="s">
        <v>5086</v>
      </c>
    </row>
    <row r="163" spans="1:49" x14ac:dyDescent="0.35">
      <c r="A163" t="s">
        <v>73</v>
      </c>
      <c r="B163" t="s">
        <v>74</v>
      </c>
      <c r="C163" t="s">
        <v>4818</v>
      </c>
      <c r="D163" t="s">
        <v>18</v>
      </c>
      <c r="E163" t="s">
        <v>651</v>
      </c>
      <c r="F163" t="s">
        <v>652</v>
      </c>
      <c r="G163" t="s">
        <v>21</v>
      </c>
      <c r="H163" t="s">
        <v>4834</v>
      </c>
      <c r="I163" t="s">
        <v>4849</v>
      </c>
      <c r="J163" s="4" t="s">
        <v>4850</v>
      </c>
      <c r="K163" s="4" t="s">
        <v>4852</v>
      </c>
      <c r="L163" s="4" t="s">
        <v>4873</v>
      </c>
      <c r="M163" s="4" t="s">
        <v>5035</v>
      </c>
      <c r="N163" t="s">
        <v>653</v>
      </c>
      <c r="O163" t="s">
        <v>654</v>
      </c>
      <c r="P163" t="s">
        <v>23</v>
      </c>
      <c r="Q163" t="s">
        <v>24</v>
      </c>
      <c r="R163" t="s">
        <v>25</v>
      </c>
      <c r="S163" t="s">
        <v>26</v>
      </c>
      <c r="T163" s="6">
        <v>46307</v>
      </c>
      <c r="U163">
        <v>6</v>
      </c>
      <c r="V163">
        <v>6</v>
      </c>
      <c r="W163">
        <v>6</v>
      </c>
      <c r="X163">
        <v>0</v>
      </c>
      <c r="Y163">
        <f t="shared" si="15"/>
        <v>6</v>
      </c>
      <c r="Z163">
        <f t="shared" si="16"/>
        <v>6</v>
      </c>
      <c r="AC163" s="1">
        <v>0</v>
      </c>
      <c r="AF163">
        <v>0</v>
      </c>
      <c r="AG163" s="7">
        <v>6</v>
      </c>
      <c r="AH163">
        <f t="shared" si="17"/>
        <v>0</v>
      </c>
      <c r="AI163">
        <f t="shared" si="14"/>
        <v>6</v>
      </c>
      <c r="AK163">
        <f t="shared" si="18"/>
        <v>0</v>
      </c>
      <c r="AL163">
        <v>14.78</v>
      </c>
      <c r="AM163" t="s">
        <v>27</v>
      </c>
      <c r="AN163">
        <v>14.78</v>
      </c>
      <c r="AO163" t="b">
        <f t="shared" si="19"/>
        <v>1</v>
      </c>
      <c r="AR163" t="s">
        <v>5061</v>
      </c>
      <c r="AS163" s="21">
        <v>46276</v>
      </c>
      <c r="AT163" t="s">
        <v>15</v>
      </c>
      <c r="AU163" t="s">
        <v>5060</v>
      </c>
      <c r="AV163" t="s">
        <v>5088</v>
      </c>
      <c r="AW163" t="s">
        <v>5060</v>
      </c>
    </row>
    <row r="164" spans="1:49" x14ac:dyDescent="0.35">
      <c r="A164" t="s">
        <v>73</v>
      </c>
      <c r="B164" t="s">
        <v>74</v>
      </c>
      <c r="C164" t="s">
        <v>4818</v>
      </c>
      <c r="D164" t="s">
        <v>18</v>
      </c>
      <c r="E164" t="s">
        <v>655</v>
      </c>
      <c r="F164" t="s">
        <v>656</v>
      </c>
      <c r="G164" t="s">
        <v>21</v>
      </c>
      <c r="H164" t="s">
        <v>4834</v>
      </c>
      <c r="I164" t="s">
        <v>4839</v>
      </c>
      <c r="J164" s="4" t="s">
        <v>4840</v>
      </c>
      <c r="K164" s="4" t="s">
        <v>4845</v>
      </c>
      <c r="L164" s="4" t="s">
        <v>4872</v>
      </c>
      <c r="M164" s="4" t="s">
        <v>5035</v>
      </c>
      <c r="N164" t="s">
        <v>657</v>
      </c>
      <c r="O164" t="s">
        <v>658</v>
      </c>
      <c r="P164" t="s">
        <v>23</v>
      </c>
      <c r="Q164" t="s">
        <v>24</v>
      </c>
      <c r="R164" t="s">
        <v>25</v>
      </c>
      <c r="S164" t="s">
        <v>26</v>
      </c>
      <c r="T164" s="6">
        <v>46307</v>
      </c>
      <c r="U164">
        <v>70</v>
      </c>
      <c r="V164">
        <v>70</v>
      </c>
      <c r="W164">
        <v>70</v>
      </c>
      <c r="X164">
        <v>0</v>
      </c>
      <c r="Y164">
        <f t="shared" si="15"/>
        <v>70</v>
      </c>
      <c r="Z164">
        <f t="shared" si="16"/>
        <v>70</v>
      </c>
      <c r="AC164" s="1">
        <v>0</v>
      </c>
      <c r="AF164">
        <v>0</v>
      </c>
      <c r="AG164" s="7">
        <v>10</v>
      </c>
      <c r="AH164">
        <f t="shared" si="17"/>
        <v>0</v>
      </c>
      <c r="AI164">
        <f t="shared" si="14"/>
        <v>70</v>
      </c>
      <c r="AK164">
        <f t="shared" si="18"/>
        <v>0</v>
      </c>
      <c r="AL164">
        <v>20.420000000000002</v>
      </c>
      <c r="AM164" t="s">
        <v>27</v>
      </c>
      <c r="AN164">
        <v>20.420000000000002</v>
      </c>
      <c r="AO164" t="b">
        <f t="shared" si="19"/>
        <v>1</v>
      </c>
      <c r="AR164" t="s">
        <v>5061</v>
      </c>
      <c r="AS164" s="21">
        <v>46276</v>
      </c>
      <c r="AT164" t="s">
        <v>15</v>
      </c>
      <c r="AU164" t="s">
        <v>5060</v>
      </c>
      <c r="AV164" t="s">
        <v>5088</v>
      </c>
      <c r="AW164" t="s">
        <v>5060</v>
      </c>
    </row>
    <row r="165" spans="1:49" x14ac:dyDescent="0.35">
      <c r="A165" t="s">
        <v>73</v>
      </c>
      <c r="B165" t="s">
        <v>74</v>
      </c>
      <c r="C165" t="s">
        <v>4818</v>
      </c>
      <c r="D165" t="s">
        <v>18</v>
      </c>
      <c r="E165" t="s">
        <v>659</v>
      </c>
      <c r="F165" t="s">
        <v>660</v>
      </c>
      <c r="G165" t="s">
        <v>21</v>
      </c>
      <c r="H165" t="s">
        <v>4834</v>
      </c>
      <c r="I165" t="s">
        <v>4839</v>
      </c>
      <c r="J165" s="4" t="s">
        <v>4840</v>
      </c>
      <c r="K165" s="4" t="s">
        <v>4845</v>
      </c>
      <c r="L165" s="4" t="s">
        <v>4861</v>
      </c>
      <c r="M165" s="4" t="s">
        <v>5035</v>
      </c>
      <c r="N165" t="s">
        <v>661</v>
      </c>
      <c r="O165" t="s">
        <v>662</v>
      </c>
      <c r="P165" t="s">
        <v>23</v>
      </c>
      <c r="Q165" t="s">
        <v>24</v>
      </c>
      <c r="R165" t="s">
        <v>25</v>
      </c>
      <c r="S165" t="s">
        <v>26</v>
      </c>
      <c r="T165" s="6">
        <v>46307</v>
      </c>
      <c r="U165">
        <v>80</v>
      </c>
      <c r="V165">
        <v>80</v>
      </c>
      <c r="W165">
        <v>80</v>
      </c>
      <c r="X165">
        <v>0</v>
      </c>
      <c r="Y165">
        <f t="shared" si="15"/>
        <v>80</v>
      </c>
      <c r="Z165">
        <f t="shared" si="16"/>
        <v>80</v>
      </c>
      <c r="AC165" s="1">
        <v>0</v>
      </c>
      <c r="AF165">
        <v>0</v>
      </c>
      <c r="AG165" s="7">
        <v>10</v>
      </c>
      <c r="AH165">
        <f t="shared" si="17"/>
        <v>0</v>
      </c>
      <c r="AI165">
        <f t="shared" si="14"/>
        <v>80</v>
      </c>
      <c r="AK165">
        <f t="shared" si="18"/>
        <v>0</v>
      </c>
      <c r="AL165">
        <v>20.420000000000002</v>
      </c>
      <c r="AM165" t="s">
        <v>27</v>
      </c>
      <c r="AN165">
        <v>20.420000000000002</v>
      </c>
      <c r="AO165" t="b">
        <f t="shared" si="19"/>
        <v>1</v>
      </c>
      <c r="AR165" t="s">
        <v>5061</v>
      </c>
      <c r="AS165" s="21">
        <v>46276</v>
      </c>
      <c r="AT165" t="s">
        <v>15</v>
      </c>
      <c r="AU165" t="s">
        <v>5060</v>
      </c>
      <c r="AV165" t="s">
        <v>5088</v>
      </c>
      <c r="AW165" t="s">
        <v>5060</v>
      </c>
    </row>
    <row r="166" spans="1:49" x14ac:dyDescent="0.35">
      <c r="A166" t="s">
        <v>73</v>
      </c>
      <c r="B166" t="s">
        <v>74</v>
      </c>
      <c r="C166" t="s">
        <v>4818</v>
      </c>
      <c r="D166" t="s">
        <v>18</v>
      </c>
      <c r="E166" t="s">
        <v>663</v>
      </c>
      <c r="F166" t="s">
        <v>664</v>
      </c>
      <c r="G166" t="s">
        <v>21</v>
      </c>
      <c r="H166" t="s">
        <v>4834</v>
      </c>
      <c r="I166" t="s">
        <v>4835</v>
      </c>
      <c r="J166" s="4" t="s">
        <v>4836</v>
      </c>
      <c r="K166" s="4" t="s">
        <v>4845</v>
      </c>
      <c r="L166" s="4" t="s">
        <v>4858</v>
      </c>
      <c r="M166" s="4" t="s">
        <v>5035</v>
      </c>
      <c r="N166" t="s">
        <v>665</v>
      </c>
      <c r="O166" t="s">
        <v>666</v>
      </c>
      <c r="P166" t="s">
        <v>23</v>
      </c>
      <c r="Q166" t="s">
        <v>24</v>
      </c>
      <c r="R166" t="s">
        <v>25</v>
      </c>
      <c r="S166" t="s">
        <v>26</v>
      </c>
      <c r="T166" s="6">
        <v>46307</v>
      </c>
      <c r="U166">
        <v>16</v>
      </c>
      <c r="V166">
        <v>16</v>
      </c>
      <c r="W166">
        <v>104</v>
      </c>
      <c r="X166">
        <v>0</v>
      </c>
      <c r="Y166">
        <f t="shared" si="15"/>
        <v>104</v>
      </c>
      <c r="Z166">
        <f t="shared" si="16"/>
        <v>16</v>
      </c>
      <c r="AC166" s="1">
        <v>0</v>
      </c>
      <c r="AF166">
        <v>0</v>
      </c>
      <c r="AG166" s="7">
        <v>8</v>
      </c>
      <c r="AH166">
        <f t="shared" si="17"/>
        <v>0</v>
      </c>
      <c r="AI166">
        <f t="shared" si="14"/>
        <v>16</v>
      </c>
      <c r="AK166">
        <f t="shared" si="18"/>
        <v>0</v>
      </c>
      <c r="AL166">
        <v>21.63</v>
      </c>
      <c r="AM166" t="s">
        <v>27</v>
      </c>
      <c r="AN166">
        <v>21.63</v>
      </c>
      <c r="AO166" t="b">
        <f t="shared" si="19"/>
        <v>1</v>
      </c>
      <c r="AR166" t="s">
        <v>5061</v>
      </c>
      <c r="AS166" s="21">
        <v>46276</v>
      </c>
      <c r="AT166" t="s">
        <v>15</v>
      </c>
      <c r="AU166" t="s">
        <v>5060</v>
      </c>
      <c r="AV166" t="s">
        <v>5088</v>
      </c>
      <c r="AW166" t="s">
        <v>5060</v>
      </c>
    </row>
    <row r="167" spans="1:49" x14ac:dyDescent="0.35">
      <c r="A167" t="s">
        <v>73</v>
      </c>
      <c r="B167" t="s">
        <v>74</v>
      </c>
      <c r="C167" t="s">
        <v>4818</v>
      </c>
      <c r="D167" t="s">
        <v>18</v>
      </c>
      <c r="E167" t="s">
        <v>667</v>
      </c>
      <c r="F167" t="s">
        <v>668</v>
      </c>
      <c r="G167" t="s">
        <v>21</v>
      </c>
      <c r="H167" t="s">
        <v>4834</v>
      </c>
      <c r="I167" t="s">
        <v>4839</v>
      </c>
      <c r="J167" s="4" t="s">
        <v>4840</v>
      </c>
      <c r="K167" s="4" t="s">
        <v>4854</v>
      </c>
      <c r="L167" s="4" t="s">
        <v>4861</v>
      </c>
      <c r="M167" s="4" t="s">
        <v>5035</v>
      </c>
      <c r="N167" t="s">
        <v>669</v>
      </c>
      <c r="O167" t="s">
        <v>670</v>
      </c>
      <c r="P167" t="s">
        <v>23</v>
      </c>
      <c r="Q167" t="s">
        <v>24</v>
      </c>
      <c r="R167" t="s">
        <v>25</v>
      </c>
      <c r="S167" t="s">
        <v>26</v>
      </c>
      <c r="T167" s="6">
        <v>46307</v>
      </c>
      <c r="U167">
        <v>10</v>
      </c>
      <c r="V167">
        <v>10</v>
      </c>
      <c r="W167">
        <v>10</v>
      </c>
      <c r="X167">
        <v>10</v>
      </c>
      <c r="Y167">
        <f t="shared" si="15"/>
        <v>0</v>
      </c>
      <c r="Z167">
        <f t="shared" si="16"/>
        <v>0</v>
      </c>
      <c r="AC167" s="1">
        <v>0</v>
      </c>
      <c r="AF167">
        <f>V167</f>
        <v>10</v>
      </c>
      <c r="AG167" s="7">
        <v>10</v>
      </c>
      <c r="AH167">
        <f t="shared" si="17"/>
        <v>10</v>
      </c>
      <c r="AI167">
        <f t="shared" si="14"/>
        <v>0</v>
      </c>
      <c r="AK167">
        <f t="shared" si="18"/>
        <v>1</v>
      </c>
      <c r="AL167">
        <v>20.420000000000002</v>
      </c>
      <c r="AM167" t="s">
        <v>27</v>
      </c>
      <c r="AN167">
        <v>20.420000000000002</v>
      </c>
      <c r="AO167" t="b">
        <f t="shared" si="19"/>
        <v>1</v>
      </c>
      <c r="AR167" t="s">
        <v>5061</v>
      </c>
      <c r="AS167" s="21">
        <v>46276</v>
      </c>
      <c r="AT167" t="s">
        <v>5064</v>
      </c>
      <c r="AU167" t="s">
        <v>5065</v>
      </c>
      <c r="AV167" t="s">
        <v>5088</v>
      </c>
      <c r="AW167" t="s">
        <v>5086</v>
      </c>
    </row>
    <row r="168" spans="1:49" x14ac:dyDescent="0.35">
      <c r="A168" t="s">
        <v>73</v>
      </c>
      <c r="B168" t="s">
        <v>74</v>
      </c>
      <c r="C168" t="s">
        <v>4818</v>
      </c>
      <c r="D168" t="s">
        <v>18</v>
      </c>
      <c r="E168" t="s">
        <v>671</v>
      </c>
      <c r="F168" t="s">
        <v>672</v>
      </c>
      <c r="G168" t="s">
        <v>21</v>
      </c>
      <c r="H168" t="s">
        <v>4834</v>
      </c>
      <c r="I168" t="s">
        <v>4839</v>
      </c>
      <c r="J168" s="4" t="s">
        <v>4840</v>
      </c>
      <c r="K168" s="4" t="s">
        <v>4832</v>
      </c>
      <c r="L168" s="4" t="s">
        <v>4860</v>
      </c>
      <c r="M168" s="4" t="s">
        <v>5035</v>
      </c>
      <c r="N168" t="s">
        <v>673</v>
      </c>
      <c r="O168" t="s">
        <v>674</v>
      </c>
      <c r="P168" t="s">
        <v>23</v>
      </c>
      <c r="Q168" t="s">
        <v>24</v>
      </c>
      <c r="R168" t="s">
        <v>25</v>
      </c>
      <c r="S168" t="s">
        <v>26</v>
      </c>
      <c r="T168" s="6">
        <v>46307</v>
      </c>
      <c r="U168">
        <v>160</v>
      </c>
      <c r="V168">
        <v>160</v>
      </c>
      <c r="W168">
        <v>170</v>
      </c>
      <c r="X168">
        <v>170</v>
      </c>
      <c r="Y168">
        <f t="shared" si="15"/>
        <v>0</v>
      </c>
      <c r="Z168">
        <f t="shared" si="16"/>
        <v>-10</v>
      </c>
      <c r="AC168" s="1">
        <v>0</v>
      </c>
      <c r="AF168">
        <f>V168</f>
        <v>160</v>
      </c>
      <c r="AG168" s="7">
        <v>10</v>
      </c>
      <c r="AH168">
        <f t="shared" si="17"/>
        <v>160</v>
      </c>
      <c r="AI168">
        <f t="shared" si="14"/>
        <v>0</v>
      </c>
      <c r="AK168">
        <f t="shared" si="18"/>
        <v>16</v>
      </c>
      <c r="AL168">
        <v>20.420000000000002</v>
      </c>
      <c r="AM168" t="s">
        <v>27</v>
      </c>
      <c r="AN168">
        <v>20.420000000000002</v>
      </c>
      <c r="AO168" t="b">
        <f t="shared" si="19"/>
        <v>1</v>
      </c>
      <c r="AR168" t="s">
        <v>5061</v>
      </c>
      <c r="AS168" s="21">
        <v>46276</v>
      </c>
      <c r="AT168" t="s">
        <v>5064</v>
      </c>
      <c r="AU168" t="s">
        <v>5065</v>
      </c>
      <c r="AV168" t="s">
        <v>5088</v>
      </c>
      <c r="AW168" t="s">
        <v>5086</v>
      </c>
    </row>
    <row r="169" spans="1:49" x14ac:dyDescent="0.35">
      <c r="A169" t="s">
        <v>73</v>
      </c>
      <c r="B169" t="s">
        <v>74</v>
      </c>
      <c r="C169" t="s">
        <v>4818</v>
      </c>
      <c r="D169" t="s">
        <v>18</v>
      </c>
      <c r="E169" t="s">
        <v>675</v>
      </c>
      <c r="F169" t="s">
        <v>676</v>
      </c>
      <c r="G169" t="s">
        <v>21</v>
      </c>
      <c r="H169" t="s">
        <v>4834</v>
      </c>
      <c r="I169" t="s">
        <v>4839</v>
      </c>
      <c r="J169" s="4" t="s">
        <v>4840</v>
      </c>
      <c r="K169" s="4" t="s">
        <v>4845</v>
      </c>
      <c r="L169" s="4" t="s">
        <v>4878</v>
      </c>
      <c r="M169" s="4" t="s">
        <v>5035</v>
      </c>
      <c r="N169" t="s">
        <v>677</v>
      </c>
      <c r="O169" t="s">
        <v>678</v>
      </c>
      <c r="P169" t="s">
        <v>23</v>
      </c>
      <c r="Q169" t="s">
        <v>24</v>
      </c>
      <c r="R169" t="s">
        <v>25</v>
      </c>
      <c r="S169" t="s">
        <v>26</v>
      </c>
      <c r="T169" s="6">
        <v>46307</v>
      </c>
      <c r="U169">
        <v>90</v>
      </c>
      <c r="V169">
        <v>90</v>
      </c>
      <c r="W169">
        <v>90</v>
      </c>
      <c r="X169">
        <v>0</v>
      </c>
      <c r="Y169">
        <f t="shared" si="15"/>
        <v>90</v>
      </c>
      <c r="Z169">
        <f t="shared" si="16"/>
        <v>90</v>
      </c>
      <c r="AC169" s="1">
        <v>0</v>
      </c>
      <c r="AF169">
        <v>0</v>
      </c>
      <c r="AG169" s="7">
        <v>10</v>
      </c>
      <c r="AH169">
        <f t="shared" si="17"/>
        <v>0</v>
      </c>
      <c r="AI169">
        <f t="shared" si="14"/>
        <v>90</v>
      </c>
      <c r="AK169">
        <f t="shared" si="18"/>
        <v>0</v>
      </c>
      <c r="AL169">
        <v>20.420000000000002</v>
      </c>
      <c r="AM169" t="s">
        <v>27</v>
      </c>
      <c r="AN169">
        <v>20.420000000000002</v>
      </c>
      <c r="AO169" t="b">
        <f t="shared" si="19"/>
        <v>1</v>
      </c>
      <c r="AR169" t="s">
        <v>5061</v>
      </c>
      <c r="AS169" s="21">
        <v>46276</v>
      </c>
      <c r="AT169" t="s">
        <v>15</v>
      </c>
      <c r="AU169" t="s">
        <v>5060</v>
      </c>
      <c r="AV169" t="s">
        <v>5088</v>
      </c>
      <c r="AW169" t="s">
        <v>5060</v>
      </c>
    </row>
    <row r="170" spans="1:49" x14ac:dyDescent="0.35">
      <c r="A170" t="s">
        <v>73</v>
      </c>
      <c r="B170" t="s">
        <v>74</v>
      </c>
      <c r="C170" t="s">
        <v>4818</v>
      </c>
      <c r="D170" t="s">
        <v>18</v>
      </c>
      <c r="E170" t="s">
        <v>679</v>
      </c>
      <c r="F170" t="s">
        <v>680</v>
      </c>
      <c r="G170" t="s">
        <v>21</v>
      </c>
      <c r="H170" t="s">
        <v>4834</v>
      </c>
      <c r="I170" t="s">
        <v>4849</v>
      </c>
      <c r="J170" s="4" t="s">
        <v>4850</v>
      </c>
      <c r="K170" s="4" t="s">
        <v>4852</v>
      </c>
      <c r="L170" s="4" t="s">
        <v>4857</v>
      </c>
      <c r="M170" s="4" t="s">
        <v>5035</v>
      </c>
      <c r="N170" t="s">
        <v>681</v>
      </c>
      <c r="O170" t="s">
        <v>682</v>
      </c>
      <c r="P170" t="s">
        <v>23</v>
      </c>
      <c r="Q170" t="s">
        <v>24</v>
      </c>
      <c r="R170" t="s">
        <v>25</v>
      </c>
      <c r="S170" t="s">
        <v>26</v>
      </c>
      <c r="T170" s="6">
        <v>46307</v>
      </c>
      <c r="U170">
        <v>6</v>
      </c>
      <c r="V170">
        <v>6</v>
      </c>
      <c r="W170">
        <v>6</v>
      </c>
      <c r="X170">
        <v>0</v>
      </c>
      <c r="Y170">
        <f t="shared" si="15"/>
        <v>6</v>
      </c>
      <c r="Z170">
        <f t="shared" si="16"/>
        <v>6</v>
      </c>
      <c r="AC170" s="1">
        <v>0</v>
      </c>
      <c r="AF170">
        <v>0</v>
      </c>
      <c r="AG170" s="7">
        <v>6</v>
      </c>
      <c r="AH170">
        <f t="shared" si="17"/>
        <v>0</v>
      </c>
      <c r="AI170">
        <f t="shared" si="14"/>
        <v>6</v>
      </c>
      <c r="AK170">
        <f t="shared" si="18"/>
        <v>0</v>
      </c>
      <c r="AL170">
        <v>14.78</v>
      </c>
      <c r="AM170" t="s">
        <v>27</v>
      </c>
      <c r="AN170">
        <v>14.78</v>
      </c>
      <c r="AO170" t="b">
        <f t="shared" si="19"/>
        <v>1</v>
      </c>
      <c r="AR170" t="s">
        <v>5061</v>
      </c>
      <c r="AS170" s="21">
        <v>46276</v>
      </c>
      <c r="AT170" t="s">
        <v>15</v>
      </c>
      <c r="AU170" t="s">
        <v>5060</v>
      </c>
      <c r="AV170" t="s">
        <v>5088</v>
      </c>
      <c r="AW170" t="s">
        <v>5060</v>
      </c>
    </row>
    <row r="171" spans="1:49" x14ac:dyDescent="0.35">
      <c r="A171" t="s">
        <v>73</v>
      </c>
      <c r="B171" t="s">
        <v>74</v>
      </c>
      <c r="C171" t="s">
        <v>4818</v>
      </c>
      <c r="D171" t="s">
        <v>18</v>
      </c>
      <c r="E171" t="s">
        <v>683</v>
      </c>
      <c r="F171" t="s">
        <v>684</v>
      </c>
      <c r="G171" t="s">
        <v>21</v>
      </c>
      <c r="H171" t="s">
        <v>4834</v>
      </c>
      <c r="I171" t="s">
        <v>4839</v>
      </c>
      <c r="J171" s="4" t="s">
        <v>4840</v>
      </c>
      <c r="K171" s="4" t="s">
        <v>4843</v>
      </c>
      <c r="L171" s="4" t="s">
        <v>4868</v>
      </c>
      <c r="M171" s="4" t="s">
        <v>5035</v>
      </c>
      <c r="N171" t="s">
        <v>685</v>
      </c>
      <c r="O171" t="s">
        <v>686</v>
      </c>
      <c r="P171" t="s">
        <v>23</v>
      </c>
      <c r="Q171" t="s">
        <v>24</v>
      </c>
      <c r="R171" t="s">
        <v>25</v>
      </c>
      <c r="S171" t="s">
        <v>26</v>
      </c>
      <c r="T171" s="6">
        <v>46307</v>
      </c>
      <c r="U171">
        <v>50</v>
      </c>
      <c r="V171">
        <v>50</v>
      </c>
      <c r="W171">
        <v>50</v>
      </c>
      <c r="X171">
        <v>50</v>
      </c>
      <c r="Y171">
        <f t="shared" si="15"/>
        <v>0</v>
      </c>
      <c r="Z171">
        <f t="shared" si="16"/>
        <v>0</v>
      </c>
      <c r="AC171" s="1">
        <v>0</v>
      </c>
      <c r="AF171">
        <f>V171</f>
        <v>50</v>
      </c>
      <c r="AG171" s="7">
        <v>10</v>
      </c>
      <c r="AH171">
        <f t="shared" si="17"/>
        <v>50</v>
      </c>
      <c r="AI171">
        <f t="shared" si="14"/>
        <v>0</v>
      </c>
      <c r="AK171">
        <f t="shared" si="18"/>
        <v>5</v>
      </c>
      <c r="AL171">
        <v>20.420000000000002</v>
      </c>
      <c r="AM171" t="s">
        <v>27</v>
      </c>
      <c r="AN171">
        <v>20.420000000000002</v>
      </c>
      <c r="AO171" t="b">
        <f t="shared" si="19"/>
        <v>1</v>
      </c>
      <c r="AR171" t="s">
        <v>5061</v>
      </c>
      <c r="AS171" s="21">
        <v>46276</v>
      </c>
      <c r="AT171" t="s">
        <v>5064</v>
      </c>
      <c r="AU171" t="s">
        <v>5065</v>
      </c>
      <c r="AV171" t="s">
        <v>5088</v>
      </c>
      <c r="AW171" t="s">
        <v>5086</v>
      </c>
    </row>
    <row r="172" spans="1:49" x14ac:dyDescent="0.35">
      <c r="A172" t="s">
        <v>73</v>
      </c>
      <c r="B172" t="s">
        <v>74</v>
      </c>
      <c r="C172" t="s">
        <v>4818</v>
      </c>
      <c r="D172" t="s">
        <v>18</v>
      </c>
      <c r="E172" t="s">
        <v>687</v>
      </c>
      <c r="F172" t="s">
        <v>688</v>
      </c>
      <c r="G172" t="s">
        <v>21</v>
      </c>
      <c r="H172" t="s">
        <v>4834</v>
      </c>
      <c r="I172" t="s">
        <v>4839</v>
      </c>
      <c r="J172" s="4" t="s">
        <v>4840</v>
      </c>
      <c r="K172" s="4" t="s">
        <v>4854</v>
      </c>
      <c r="L172" s="4" t="s">
        <v>4859</v>
      </c>
      <c r="M172" s="4" t="s">
        <v>5035</v>
      </c>
      <c r="N172" t="s">
        <v>689</v>
      </c>
      <c r="O172" t="s">
        <v>690</v>
      </c>
      <c r="P172" t="s">
        <v>23</v>
      </c>
      <c r="Q172" t="s">
        <v>24</v>
      </c>
      <c r="R172" t="s">
        <v>25</v>
      </c>
      <c r="S172" t="s">
        <v>26</v>
      </c>
      <c r="T172" s="6">
        <v>46307</v>
      </c>
      <c r="U172">
        <v>80</v>
      </c>
      <c r="V172">
        <v>80</v>
      </c>
      <c r="W172">
        <v>80</v>
      </c>
      <c r="X172">
        <v>80</v>
      </c>
      <c r="Y172">
        <f t="shared" si="15"/>
        <v>0</v>
      </c>
      <c r="Z172">
        <f t="shared" si="16"/>
        <v>0</v>
      </c>
      <c r="AC172" s="1">
        <v>0</v>
      </c>
      <c r="AF172">
        <f>V172</f>
        <v>80</v>
      </c>
      <c r="AG172" s="7">
        <v>10</v>
      </c>
      <c r="AH172">
        <f t="shared" si="17"/>
        <v>80</v>
      </c>
      <c r="AI172">
        <f t="shared" si="14"/>
        <v>0</v>
      </c>
      <c r="AK172">
        <f t="shared" si="18"/>
        <v>8</v>
      </c>
      <c r="AL172">
        <v>20.420000000000002</v>
      </c>
      <c r="AM172" t="s">
        <v>27</v>
      </c>
      <c r="AN172">
        <v>20.420000000000002</v>
      </c>
      <c r="AO172" t="b">
        <f t="shared" si="19"/>
        <v>1</v>
      </c>
      <c r="AR172" t="s">
        <v>5061</v>
      </c>
      <c r="AS172" s="21">
        <v>46276</v>
      </c>
      <c r="AT172" t="s">
        <v>5064</v>
      </c>
      <c r="AU172" t="s">
        <v>5065</v>
      </c>
      <c r="AV172" t="s">
        <v>5088</v>
      </c>
      <c r="AW172" t="s">
        <v>5086</v>
      </c>
    </row>
    <row r="173" spans="1:49" x14ac:dyDescent="0.35">
      <c r="A173" t="s">
        <v>73</v>
      </c>
      <c r="B173" t="s">
        <v>74</v>
      </c>
      <c r="C173" t="s">
        <v>4818</v>
      </c>
      <c r="D173" t="s">
        <v>18</v>
      </c>
      <c r="E173" t="s">
        <v>691</v>
      </c>
      <c r="F173" t="s">
        <v>692</v>
      </c>
      <c r="G173" t="s">
        <v>21</v>
      </c>
      <c r="H173" t="s">
        <v>4834</v>
      </c>
      <c r="I173" t="s">
        <v>4839</v>
      </c>
      <c r="J173" s="4" t="s">
        <v>4840</v>
      </c>
      <c r="K173" s="4" t="s">
        <v>4837</v>
      </c>
      <c r="L173" s="4" t="s">
        <v>4844</v>
      </c>
      <c r="M173" s="4" t="s">
        <v>5035</v>
      </c>
      <c r="N173" t="s">
        <v>693</v>
      </c>
      <c r="O173" t="s">
        <v>694</v>
      </c>
      <c r="P173" t="s">
        <v>23</v>
      </c>
      <c r="Q173" t="s">
        <v>24</v>
      </c>
      <c r="R173" t="s">
        <v>25</v>
      </c>
      <c r="S173" t="s">
        <v>26</v>
      </c>
      <c r="T173" s="6">
        <v>46307</v>
      </c>
      <c r="U173">
        <v>90</v>
      </c>
      <c r="V173">
        <v>90</v>
      </c>
      <c r="W173">
        <v>90</v>
      </c>
      <c r="X173">
        <v>0</v>
      </c>
      <c r="Y173">
        <f t="shared" si="15"/>
        <v>90</v>
      </c>
      <c r="Z173">
        <f t="shared" si="16"/>
        <v>90</v>
      </c>
      <c r="AC173" s="1">
        <v>0</v>
      </c>
      <c r="AF173">
        <v>0</v>
      </c>
      <c r="AG173" s="7">
        <v>10</v>
      </c>
      <c r="AH173">
        <f t="shared" si="17"/>
        <v>0</v>
      </c>
      <c r="AI173">
        <f t="shared" si="14"/>
        <v>90</v>
      </c>
      <c r="AK173">
        <f t="shared" si="18"/>
        <v>0</v>
      </c>
      <c r="AL173">
        <v>20.420000000000002</v>
      </c>
      <c r="AM173" t="s">
        <v>27</v>
      </c>
      <c r="AN173">
        <v>20.420000000000002</v>
      </c>
      <c r="AO173" t="b">
        <f t="shared" si="19"/>
        <v>1</v>
      </c>
      <c r="AR173" t="s">
        <v>5061</v>
      </c>
      <c r="AS173" s="21">
        <v>46276</v>
      </c>
      <c r="AT173" t="s">
        <v>15</v>
      </c>
      <c r="AU173" t="s">
        <v>5060</v>
      </c>
      <c r="AV173" t="s">
        <v>5088</v>
      </c>
      <c r="AW173" t="s">
        <v>5060</v>
      </c>
    </row>
    <row r="174" spans="1:49" x14ac:dyDescent="0.35">
      <c r="A174" t="s">
        <v>73</v>
      </c>
      <c r="B174" t="s">
        <v>74</v>
      </c>
      <c r="C174" t="s">
        <v>4818</v>
      </c>
      <c r="D174" t="s">
        <v>18</v>
      </c>
      <c r="E174" t="s">
        <v>695</v>
      </c>
      <c r="F174" t="s">
        <v>696</v>
      </c>
      <c r="G174" t="s">
        <v>21</v>
      </c>
      <c r="H174" t="s">
        <v>4834</v>
      </c>
      <c r="I174" t="s">
        <v>4849</v>
      </c>
      <c r="J174" s="4" t="s">
        <v>4850</v>
      </c>
      <c r="K174" s="4" t="s">
        <v>4854</v>
      </c>
      <c r="L174" s="4" t="s">
        <v>4879</v>
      </c>
      <c r="M174" s="4" t="s">
        <v>5035</v>
      </c>
      <c r="N174" t="s">
        <v>697</v>
      </c>
      <c r="O174" t="s">
        <v>698</v>
      </c>
      <c r="P174" t="s">
        <v>23</v>
      </c>
      <c r="Q174" t="s">
        <v>24</v>
      </c>
      <c r="R174" t="s">
        <v>25</v>
      </c>
      <c r="S174" t="s">
        <v>26</v>
      </c>
      <c r="T174" s="6">
        <v>46307</v>
      </c>
      <c r="U174">
        <v>102</v>
      </c>
      <c r="V174">
        <v>102</v>
      </c>
      <c r="W174">
        <v>108</v>
      </c>
      <c r="X174">
        <v>108</v>
      </c>
      <c r="Y174">
        <f t="shared" si="15"/>
        <v>0</v>
      </c>
      <c r="Z174">
        <f t="shared" si="16"/>
        <v>-6</v>
      </c>
      <c r="AC174" s="1">
        <v>0</v>
      </c>
      <c r="AF174">
        <f>V174</f>
        <v>102</v>
      </c>
      <c r="AG174" s="7">
        <v>6</v>
      </c>
      <c r="AH174">
        <f t="shared" si="17"/>
        <v>102</v>
      </c>
      <c r="AI174">
        <f t="shared" si="14"/>
        <v>0</v>
      </c>
      <c r="AK174">
        <f t="shared" si="18"/>
        <v>17</v>
      </c>
      <c r="AL174">
        <v>14.78</v>
      </c>
      <c r="AM174" t="s">
        <v>27</v>
      </c>
      <c r="AN174">
        <v>14.78</v>
      </c>
      <c r="AO174" t="b">
        <f t="shared" si="19"/>
        <v>1</v>
      </c>
      <c r="AR174" t="s">
        <v>5061</v>
      </c>
      <c r="AS174" s="21">
        <v>46276</v>
      </c>
      <c r="AT174" t="s">
        <v>5064</v>
      </c>
      <c r="AU174" t="s">
        <v>5066</v>
      </c>
      <c r="AV174" t="s">
        <v>5088</v>
      </c>
      <c r="AW174" t="s">
        <v>5086</v>
      </c>
    </row>
    <row r="175" spans="1:49" x14ac:dyDescent="0.35">
      <c r="A175" t="s">
        <v>73</v>
      </c>
      <c r="B175" t="s">
        <v>74</v>
      </c>
      <c r="C175" t="s">
        <v>4818</v>
      </c>
      <c r="D175" t="s">
        <v>18</v>
      </c>
      <c r="E175" t="s">
        <v>699</v>
      </c>
      <c r="F175" t="s">
        <v>700</v>
      </c>
      <c r="G175" t="s">
        <v>21</v>
      </c>
      <c r="H175" t="s">
        <v>4834</v>
      </c>
      <c r="I175" t="s">
        <v>4839</v>
      </c>
      <c r="J175" s="4" t="s">
        <v>4840</v>
      </c>
      <c r="K175" s="4" t="s">
        <v>4845</v>
      </c>
      <c r="L175" s="4" t="s">
        <v>4865</v>
      </c>
      <c r="M175" s="4" t="s">
        <v>5035</v>
      </c>
      <c r="N175" t="s">
        <v>701</v>
      </c>
      <c r="O175" t="s">
        <v>702</v>
      </c>
      <c r="P175" t="s">
        <v>23</v>
      </c>
      <c r="Q175" t="s">
        <v>24</v>
      </c>
      <c r="R175" t="s">
        <v>25</v>
      </c>
      <c r="S175" t="s">
        <v>26</v>
      </c>
      <c r="T175" s="6">
        <v>46307</v>
      </c>
      <c r="U175">
        <v>40</v>
      </c>
      <c r="V175">
        <v>40</v>
      </c>
      <c r="W175">
        <v>40</v>
      </c>
      <c r="X175">
        <v>0</v>
      </c>
      <c r="Y175">
        <f t="shared" si="15"/>
        <v>40</v>
      </c>
      <c r="Z175">
        <f t="shared" si="16"/>
        <v>40</v>
      </c>
      <c r="AC175" s="1">
        <v>0</v>
      </c>
      <c r="AF175">
        <v>0</v>
      </c>
      <c r="AG175" s="7">
        <v>10</v>
      </c>
      <c r="AH175">
        <f t="shared" si="17"/>
        <v>0</v>
      </c>
      <c r="AI175">
        <f t="shared" si="14"/>
        <v>40</v>
      </c>
      <c r="AK175">
        <f t="shared" si="18"/>
        <v>0</v>
      </c>
      <c r="AL175">
        <v>20.420000000000002</v>
      </c>
      <c r="AM175" t="s">
        <v>27</v>
      </c>
      <c r="AN175">
        <v>20.420000000000002</v>
      </c>
      <c r="AO175" t="b">
        <f t="shared" si="19"/>
        <v>1</v>
      </c>
      <c r="AR175" t="s">
        <v>5061</v>
      </c>
      <c r="AS175" s="21">
        <v>46276</v>
      </c>
      <c r="AT175" t="s">
        <v>15</v>
      </c>
      <c r="AU175" t="s">
        <v>5060</v>
      </c>
      <c r="AV175" t="s">
        <v>5088</v>
      </c>
      <c r="AW175" t="s">
        <v>5060</v>
      </c>
    </row>
    <row r="176" spans="1:49" x14ac:dyDescent="0.35">
      <c r="A176" t="s">
        <v>73</v>
      </c>
      <c r="B176" t="s">
        <v>74</v>
      </c>
      <c r="C176" t="s">
        <v>4818</v>
      </c>
      <c r="D176" t="s">
        <v>18</v>
      </c>
      <c r="E176" t="s">
        <v>703</v>
      </c>
      <c r="F176" t="s">
        <v>704</v>
      </c>
      <c r="G176" t="s">
        <v>21</v>
      </c>
      <c r="H176" t="s">
        <v>4834</v>
      </c>
      <c r="I176" t="s">
        <v>4835</v>
      </c>
      <c r="J176" s="4" t="s">
        <v>4836</v>
      </c>
      <c r="K176" s="4" t="s">
        <v>4832</v>
      </c>
      <c r="L176" s="4" t="s">
        <v>4846</v>
      </c>
      <c r="M176" s="4" t="s">
        <v>5035</v>
      </c>
      <c r="N176" t="s">
        <v>705</v>
      </c>
      <c r="O176" t="s">
        <v>706</v>
      </c>
      <c r="P176" t="s">
        <v>23</v>
      </c>
      <c r="Q176" t="s">
        <v>24</v>
      </c>
      <c r="R176" t="s">
        <v>25</v>
      </c>
      <c r="S176" t="s">
        <v>26</v>
      </c>
      <c r="T176" s="6">
        <v>46307</v>
      </c>
      <c r="U176">
        <v>104</v>
      </c>
      <c r="V176">
        <v>104</v>
      </c>
      <c r="W176">
        <v>112</v>
      </c>
      <c r="X176">
        <v>0</v>
      </c>
      <c r="Y176">
        <f t="shared" si="15"/>
        <v>112</v>
      </c>
      <c r="Z176">
        <f t="shared" si="16"/>
        <v>104</v>
      </c>
      <c r="AC176" s="1">
        <v>0</v>
      </c>
      <c r="AF176">
        <v>0</v>
      </c>
      <c r="AG176" s="7">
        <v>8</v>
      </c>
      <c r="AH176">
        <f t="shared" si="17"/>
        <v>0</v>
      </c>
      <c r="AI176">
        <f t="shared" si="14"/>
        <v>104</v>
      </c>
      <c r="AK176">
        <f t="shared" si="18"/>
        <v>0</v>
      </c>
      <c r="AL176">
        <v>21.63</v>
      </c>
      <c r="AM176" t="s">
        <v>27</v>
      </c>
      <c r="AN176">
        <v>21.63</v>
      </c>
      <c r="AO176" t="b">
        <f t="shared" si="19"/>
        <v>1</v>
      </c>
      <c r="AR176" t="s">
        <v>5061</v>
      </c>
      <c r="AS176" s="21">
        <v>46276</v>
      </c>
      <c r="AT176" t="s">
        <v>15</v>
      </c>
      <c r="AU176" t="s">
        <v>5060</v>
      </c>
      <c r="AV176" t="s">
        <v>5088</v>
      </c>
      <c r="AW176" t="s">
        <v>5060</v>
      </c>
    </row>
    <row r="177" spans="1:49" x14ac:dyDescent="0.35">
      <c r="A177" t="s">
        <v>73</v>
      </c>
      <c r="B177" t="s">
        <v>74</v>
      </c>
      <c r="C177" t="s">
        <v>4818</v>
      </c>
      <c r="D177" t="s">
        <v>18</v>
      </c>
      <c r="E177" t="s">
        <v>707</v>
      </c>
      <c r="F177" t="s">
        <v>708</v>
      </c>
      <c r="G177" t="s">
        <v>21</v>
      </c>
      <c r="H177" t="s">
        <v>4834</v>
      </c>
      <c r="I177" t="s">
        <v>4835</v>
      </c>
      <c r="J177" s="4" t="s">
        <v>4836</v>
      </c>
      <c r="K177" s="4" t="s">
        <v>4845</v>
      </c>
      <c r="L177" s="4" t="s">
        <v>4838</v>
      </c>
      <c r="M177" s="4" t="s">
        <v>5035</v>
      </c>
      <c r="N177" t="s">
        <v>709</v>
      </c>
      <c r="O177" t="s">
        <v>710</v>
      </c>
      <c r="P177" t="s">
        <v>23</v>
      </c>
      <c r="Q177" t="s">
        <v>24</v>
      </c>
      <c r="R177" t="s">
        <v>25</v>
      </c>
      <c r="S177" t="s">
        <v>26</v>
      </c>
      <c r="T177" s="6">
        <v>46307</v>
      </c>
      <c r="U177">
        <v>16</v>
      </c>
      <c r="V177">
        <v>16</v>
      </c>
      <c r="W177">
        <v>16</v>
      </c>
      <c r="X177">
        <v>0</v>
      </c>
      <c r="Y177">
        <f t="shared" si="15"/>
        <v>16</v>
      </c>
      <c r="Z177">
        <f t="shared" si="16"/>
        <v>16</v>
      </c>
      <c r="AC177" s="1">
        <v>0</v>
      </c>
      <c r="AF177">
        <v>0</v>
      </c>
      <c r="AG177" s="7">
        <v>8</v>
      </c>
      <c r="AH177">
        <f t="shared" si="17"/>
        <v>0</v>
      </c>
      <c r="AI177">
        <f t="shared" si="14"/>
        <v>16</v>
      </c>
      <c r="AK177">
        <f t="shared" si="18"/>
        <v>0</v>
      </c>
      <c r="AL177">
        <v>21.63</v>
      </c>
      <c r="AM177" t="s">
        <v>27</v>
      </c>
      <c r="AN177">
        <v>21.63</v>
      </c>
      <c r="AO177" t="b">
        <f t="shared" si="19"/>
        <v>1</v>
      </c>
      <c r="AR177" t="s">
        <v>5061</v>
      </c>
      <c r="AS177" s="21">
        <v>46276</v>
      </c>
      <c r="AT177" t="s">
        <v>15</v>
      </c>
      <c r="AU177" t="s">
        <v>5060</v>
      </c>
      <c r="AV177" t="s">
        <v>5088</v>
      </c>
      <c r="AW177" t="s">
        <v>5060</v>
      </c>
    </row>
    <row r="178" spans="1:49" x14ac:dyDescent="0.35">
      <c r="A178" t="s">
        <v>73</v>
      </c>
      <c r="B178" t="s">
        <v>74</v>
      </c>
      <c r="C178" t="s">
        <v>4818</v>
      </c>
      <c r="D178" t="s">
        <v>18</v>
      </c>
      <c r="E178" t="s">
        <v>711</v>
      </c>
      <c r="F178" t="s">
        <v>712</v>
      </c>
      <c r="G178" t="s">
        <v>21</v>
      </c>
      <c r="H178" t="s">
        <v>4834</v>
      </c>
      <c r="I178" t="s">
        <v>4839</v>
      </c>
      <c r="J178" s="4" t="s">
        <v>4840</v>
      </c>
      <c r="K178" s="4" t="s">
        <v>4837</v>
      </c>
      <c r="L178" s="4" t="s">
        <v>4860</v>
      </c>
      <c r="M178" s="4" t="s">
        <v>5035</v>
      </c>
      <c r="N178" t="s">
        <v>713</v>
      </c>
      <c r="O178" t="s">
        <v>714</v>
      </c>
      <c r="P178" t="s">
        <v>23</v>
      </c>
      <c r="Q178" t="s">
        <v>24</v>
      </c>
      <c r="R178" t="s">
        <v>25</v>
      </c>
      <c r="S178" t="s">
        <v>26</v>
      </c>
      <c r="T178" s="6">
        <v>46307</v>
      </c>
      <c r="U178">
        <v>130</v>
      </c>
      <c r="V178">
        <v>130</v>
      </c>
      <c r="W178">
        <v>140</v>
      </c>
      <c r="X178">
        <v>0</v>
      </c>
      <c r="Y178">
        <f t="shared" si="15"/>
        <v>140</v>
      </c>
      <c r="Z178">
        <f t="shared" si="16"/>
        <v>130</v>
      </c>
      <c r="AC178" s="1">
        <v>0</v>
      </c>
      <c r="AF178">
        <v>0</v>
      </c>
      <c r="AG178" s="7">
        <v>10</v>
      </c>
      <c r="AH178">
        <f t="shared" si="17"/>
        <v>0</v>
      </c>
      <c r="AI178">
        <f t="shared" si="14"/>
        <v>130</v>
      </c>
      <c r="AK178">
        <f t="shared" si="18"/>
        <v>0</v>
      </c>
      <c r="AL178">
        <v>20.420000000000002</v>
      </c>
      <c r="AM178" t="s">
        <v>27</v>
      </c>
      <c r="AN178">
        <v>20.420000000000002</v>
      </c>
      <c r="AO178" t="b">
        <f t="shared" si="19"/>
        <v>1</v>
      </c>
      <c r="AR178" t="s">
        <v>5061</v>
      </c>
      <c r="AS178" s="21">
        <v>46276</v>
      </c>
      <c r="AT178" t="s">
        <v>15</v>
      </c>
      <c r="AU178" t="s">
        <v>5060</v>
      </c>
      <c r="AV178" t="s">
        <v>5088</v>
      </c>
      <c r="AW178" t="s">
        <v>5060</v>
      </c>
    </row>
    <row r="179" spans="1:49" x14ac:dyDescent="0.35">
      <c r="A179" t="s">
        <v>73</v>
      </c>
      <c r="B179" t="s">
        <v>74</v>
      </c>
      <c r="C179" t="s">
        <v>4818</v>
      </c>
      <c r="D179" t="s">
        <v>18</v>
      </c>
      <c r="E179" t="s">
        <v>715</v>
      </c>
      <c r="F179" t="s">
        <v>716</v>
      </c>
      <c r="G179" t="s">
        <v>21</v>
      </c>
      <c r="H179" t="s">
        <v>4834</v>
      </c>
      <c r="I179" t="s">
        <v>4849</v>
      </c>
      <c r="J179" s="4" t="s">
        <v>4850</v>
      </c>
      <c r="K179" s="4" t="s">
        <v>4862</v>
      </c>
      <c r="L179" s="4" t="s">
        <v>4877</v>
      </c>
      <c r="M179" s="4" t="s">
        <v>5035</v>
      </c>
      <c r="N179" t="s">
        <v>717</v>
      </c>
      <c r="O179" t="s">
        <v>718</v>
      </c>
      <c r="P179" t="s">
        <v>23</v>
      </c>
      <c r="Q179" t="s">
        <v>24</v>
      </c>
      <c r="R179" t="s">
        <v>25</v>
      </c>
      <c r="S179" t="s">
        <v>26</v>
      </c>
      <c r="T179" s="6">
        <v>46307</v>
      </c>
      <c r="U179">
        <v>84</v>
      </c>
      <c r="V179">
        <v>84</v>
      </c>
      <c r="W179">
        <v>90</v>
      </c>
      <c r="X179">
        <v>90</v>
      </c>
      <c r="Y179">
        <f t="shared" si="15"/>
        <v>0</v>
      </c>
      <c r="Z179">
        <f t="shared" si="16"/>
        <v>-6</v>
      </c>
      <c r="AC179" s="1">
        <v>0</v>
      </c>
      <c r="AF179">
        <f>V179</f>
        <v>84</v>
      </c>
      <c r="AG179" s="7">
        <v>6</v>
      </c>
      <c r="AH179">
        <f t="shared" si="17"/>
        <v>84</v>
      </c>
      <c r="AI179">
        <f t="shared" si="14"/>
        <v>0</v>
      </c>
      <c r="AK179">
        <f t="shared" si="18"/>
        <v>14</v>
      </c>
      <c r="AL179">
        <v>14.78</v>
      </c>
      <c r="AM179" t="s">
        <v>27</v>
      </c>
      <c r="AN179">
        <v>14.78</v>
      </c>
      <c r="AO179" t="b">
        <f t="shared" si="19"/>
        <v>1</v>
      </c>
      <c r="AR179" t="s">
        <v>5061</v>
      </c>
      <c r="AS179" s="21">
        <v>46276</v>
      </c>
      <c r="AT179" t="s">
        <v>5064</v>
      </c>
      <c r="AU179" t="s">
        <v>5066</v>
      </c>
      <c r="AV179" t="s">
        <v>5088</v>
      </c>
      <c r="AW179" t="s">
        <v>5086</v>
      </c>
    </row>
    <row r="180" spans="1:49" x14ac:dyDescent="0.35">
      <c r="A180" t="s">
        <v>73</v>
      </c>
      <c r="B180" t="s">
        <v>74</v>
      </c>
      <c r="C180" t="s">
        <v>4818</v>
      </c>
      <c r="D180" t="s">
        <v>18</v>
      </c>
      <c r="E180" t="s">
        <v>719</v>
      </c>
      <c r="F180" t="s">
        <v>720</v>
      </c>
      <c r="G180" t="s">
        <v>21</v>
      </c>
      <c r="H180" t="s">
        <v>4834</v>
      </c>
      <c r="I180" t="s">
        <v>4835</v>
      </c>
      <c r="J180" s="4" t="s">
        <v>4836</v>
      </c>
      <c r="K180" s="4" t="s">
        <v>4832</v>
      </c>
      <c r="L180" s="4" t="s">
        <v>4883</v>
      </c>
      <c r="M180" s="4" t="s">
        <v>5035</v>
      </c>
      <c r="N180" t="s">
        <v>721</v>
      </c>
      <c r="O180" t="s">
        <v>722</v>
      </c>
      <c r="P180" t="s">
        <v>23</v>
      </c>
      <c r="Q180" t="s">
        <v>24</v>
      </c>
      <c r="R180" t="s">
        <v>25</v>
      </c>
      <c r="S180" t="s">
        <v>26</v>
      </c>
      <c r="T180" s="6">
        <v>46307</v>
      </c>
      <c r="U180">
        <v>184</v>
      </c>
      <c r="V180">
        <v>184</v>
      </c>
      <c r="W180">
        <v>200</v>
      </c>
      <c r="X180">
        <v>0</v>
      </c>
      <c r="Y180">
        <f t="shared" si="15"/>
        <v>200</v>
      </c>
      <c r="Z180">
        <f t="shared" si="16"/>
        <v>184</v>
      </c>
      <c r="AC180" s="1">
        <v>0</v>
      </c>
      <c r="AF180">
        <v>0</v>
      </c>
      <c r="AG180" s="7">
        <v>8</v>
      </c>
      <c r="AH180">
        <f t="shared" si="17"/>
        <v>0</v>
      </c>
      <c r="AI180">
        <f t="shared" si="14"/>
        <v>184</v>
      </c>
      <c r="AK180">
        <f t="shared" si="18"/>
        <v>0</v>
      </c>
      <c r="AL180">
        <v>21.63</v>
      </c>
      <c r="AM180" t="s">
        <v>27</v>
      </c>
      <c r="AN180">
        <v>21.63</v>
      </c>
      <c r="AO180" t="b">
        <f t="shared" si="19"/>
        <v>1</v>
      </c>
      <c r="AR180" t="s">
        <v>5061</v>
      </c>
      <c r="AS180" s="21">
        <v>46276</v>
      </c>
      <c r="AT180" t="s">
        <v>15</v>
      </c>
      <c r="AU180" t="s">
        <v>5060</v>
      </c>
      <c r="AV180" t="s">
        <v>5088</v>
      </c>
      <c r="AW180" t="s">
        <v>5060</v>
      </c>
    </row>
    <row r="181" spans="1:49" x14ac:dyDescent="0.35">
      <c r="A181" t="s">
        <v>73</v>
      </c>
      <c r="B181" t="s">
        <v>74</v>
      </c>
      <c r="C181" t="s">
        <v>4818</v>
      </c>
      <c r="D181" t="s">
        <v>18</v>
      </c>
      <c r="E181" t="s">
        <v>723</v>
      </c>
      <c r="F181" t="s">
        <v>724</v>
      </c>
      <c r="G181" t="s">
        <v>21</v>
      </c>
      <c r="H181" t="s">
        <v>4834</v>
      </c>
      <c r="I181" t="s">
        <v>4839</v>
      </c>
      <c r="J181" s="4" t="s">
        <v>4840</v>
      </c>
      <c r="K181" s="4" t="s">
        <v>4832</v>
      </c>
      <c r="L181" s="4" t="s">
        <v>4856</v>
      </c>
      <c r="M181" s="4" t="s">
        <v>5035</v>
      </c>
      <c r="N181" t="s">
        <v>725</v>
      </c>
      <c r="O181" t="s">
        <v>726</v>
      </c>
      <c r="P181" t="s">
        <v>23</v>
      </c>
      <c r="Q181" t="s">
        <v>24</v>
      </c>
      <c r="R181" t="s">
        <v>25</v>
      </c>
      <c r="S181" t="s">
        <v>26</v>
      </c>
      <c r="T181" s="6">
        <v>46307</v>
      </c>
      <c r="U181">
        <v>90</v>
      </c>
      <c r="V181">
        <v>90</v>
      </c>
      <c r="W181">
        <v>90</v>
      </c>
      <c r="X181">
        <v>90</v>
      </c>
      <c r="Y181">
        <f t="shared" si="15"/>
        <v>0</v>
      </c>
      <c r="Z181">
        <f t="shared" si="16"/>
        <v>0</v>
      </c>
      <c r="AC181" s="1">
        <v>0</v>
      </c>
      <c r="AF181">
        <f>V181</f>
        <v>90</v>
      </c>
      <c r="AG181" s="7">
        <v>10</v>
      </c>
      <c r="AH181">
        <f t="shared" si="17"/>
        <v>90</v>
      </c>
      <c r="AI181">
        <f t="shared" si="14"/>
        <v>0</v>
      </c>
      <c r="AK181">
        <f t="shared" si="18"/>
        <v>9</v>
      </c>
      <c r="AL181">
        <v>20.420000000000002</v>
      </c>
      <c r="AM181" t="s">
        <v>27</v>
      </c>
      <c r="AN181">
        <v>20.420000000000002</v>
      </c>
      <c r="AO181" t="b">
        <f t="shared" si="19"/>
        <v>1</v>
      </c>
      <c r="AR181" t="s">
        <v>5061</v>
      </c>
      <c r="AS181" s="21">
        <v>46276</v>
      </c>
      <c r="AT181" t="s">
        <v>5064</v>
      </c>
      <c r="AU181" t="s">
        <v>5065</v>
      </c>
      <c r="AV181" t="s">
        <v>5088</v>
      </c>
      <c r="AW181" t="s">
        <v>5086</v>
      </c>
    </row>
    <row r="182" spans="1:49" x14ac:dyDescent="0.35">
      <c r="A182" t="s">
        <v>73</v>
      </c>
      <c r="B182" t="s">
        <v>74</v>
      </c>
      <c r="C182" t="s">
        <v>4818</v>
      </c>
      <c r="D182" t="s">
        <v>18</v>
      </c>
      <c r="E182" t="s">
        <v>727</v>
      </c>
      <c r="F182" t="s">
        <v>728</v>
      </c>
      <c r="G182" t="s">
        <v>21</v>
      </c>
      <c r="H182" t="s">
        <v>4834</v>
      </c>
      <c r="I182" t="s">
        <v>4849</v>
      </c>
      <c r="J182" s="4" t="s">
        <v>4850</v>
      </c>
      <c r="K182" s="4" t="s">
        <v>4854</v>
      </c>
      <c r="L182" s="4" t="s">
        <v>4870</v>
      </c>
      <c r="M182" s="4" t="s">
        <v>5035</v>
      </c>
      <c r="N182" t="s">
        <v>729</v>
      </c>
      <c r="O182" t="s">
        <v>730</v>
      </c>
      <c r="P182" t="s">
        <v>23</v>
      </c>
      <c r="Q182" t="s">
        <v>24</v>
      </c>
      <c r="R182" t="s">
        <v>25</v>
      </c>
      <c r="S182" t="s">
        <v>26</v>
      </c>
      <c r="T182" s="6">
        <v>46307</v>
      </c>
      <c r="U182">
        <v>96</v>
      </c>
      <c r="V182">
        <v>96</v>
      </c>
      <c r="W182">
        <v>102</v>
      </c>
      <c r="X182">
        <v>102</v>
      </c>
      <c r="Y182">
        <f t="shared" si="15"/>
        <v>0</v>
      </c>
      <c r="Z182">
        <f t="shared" si="16"/>
        <v>-6</v>
      </c>
      <c r="AC182" s="1">
        <v>0</v>
      </c>
      <c r="AF182">
        <f>V182</f>
        <v>96</v>
      </c>
      <c r="AG182" s="7">
        <v>6</v>
      </c>
      <c r="AH182">
        <f t="shared" si="17"/>
        <v>96</v>
      </c>
      <c r="AI182">
        <f t="shared" si="14"/>
        <v>0</v>
      </c>
      <c r="AK182">
        <f t="shared" si="18"/>
        <v>16</v>
      </c>
      <c r="AL182">
        <v>14.78</v>
      </c>
      <c r="AM182" t="s">
        <v>27</v>
      </c>
      <c r="AN182">
        <v>14.78</v>
      </c>
      <c r="AO182" t="b">
        <f t="shared" si="19"/>
        <v>1</v>
      </c>
      <c r="AR182" t="s">
        <v>5061</v>
      </c>
      <c r="AS182" s="21">
        <v>46276</v>
      </c>
      <c r="AT182" t="s">
        <v>5064</v>
      </c>
      <c r="AU182" t="s">
        <v>5066</v>
      </c>
      <c r="AV182" t="s">
        <v>5088</v>
      </c>
      <c r="AW182" t="s">
        <v>5086</v>
      </c>
    </row>
    <row r="183" spans="1:49" x14ac:dyDescent="0.35">
      <c r="A183" t="s">
        <v>73</v>
      </c>
      <c r="B183" t="s">
        <v>74</v>
      </c>
      <c r="C183" t="s">
        <v>4818</v>
      </c>
      <c r="D183" t="s">
        <v>18</v>
      </c>
      <c r="E183" t="s">
        <v>731</v>
      </c>
      <c r="F183" t="s">
        <v>732</v>
      </c>
      <c r="G183" t="s">
        <v>21</v>
      </c>
      <c r="H183" t="s">
        <v>4834</v>
      </c>
      <c r="I183" t="s">
        <v>4849</v>
      </c>
      <c r="J183" s="4" t="s">
        <v>4850</v>
      </c>
      <c r="K183" s="4" t="s">
        <v>4852</v>
      </c>
      <c r="L183" s="4" t="s">
        <v>4851</v>
      </c>
      <c r="M183" s="4" t="s">
        <v>5035</v>
      </c>
      <c r="N183" t="s">
        <v>733</v>
      </c>
      <c r="O183" t="s">
        <v>734</v>
      </c>
      <c r="P183" t="s">
        <v>23</v>
      </c>
      <c r="Q183" t="s">
        <v>24</v>
      </c>
      <c r="R183" t="s">
        <v>25</v>
      </c>
      <c r="S183" t="s">
        <v>26</v>
      </c>
      <c r="T183" s="6">
        <v>46307</v>
      </c>
      <c r="U183">
        <v>120</v>
      </c>
      <c r="V183">
        <v>120</v>
      </c>
      <c r="W183">
        <v>126</v>
      </c>
      <c r="X183">
        <v>126</v>
      </c>
      <c r="Y183">
        <f t="shared" si="15"/>
        <v>0</v>
      </c>
      <c r="Z183">
        <f t="shared" si="16"/>
        <v>-6</v>
      </c>
      <c r="AC183" s="1">
        <v>0</v>
      </c>
      <c r="AF183">
        <f>V183</f>
        <v>120</v>
      </c>
      <c r="AG183" s="7">
        <v>6</v>
      </c>
      <c r="AH183">
        <f t="shared" si="17"/>
        <v>120</v>
      </c>
      <c r="AI183">
        <f t="shared" si="14"/>
        <v>0</v>
      </c>
      <c r="AK183">
        <f t="shared" si="18"/>
        <v>20</v>
      </c>
      <c r="AL183">
        <v>14.78</v>
      </c>
      <c r="AM183" t="s">
        <v>27</v>
      </c>
      <c r="AN183">
        <v>14.78</v>
      </c>
      <c r="AO183" t="b">
        <f t="shared" si="19"/>
        <v>1</v>
      </c>
      <c r="AR183" t="s">
        <v>5061</v>
      </c>
      <c r="AS183" s="21">
        <v>46276</v>
      </c>
      <c r="AT183" t="s">
        <v>5064</v>
      </c>
      <c r="AU183" t="s">
        <v>5066</v>
      </c>
      <c r="AV183" t="s">
        <v>5088</v>
      </c>
      <c r="AW183" t="s">
        <v>5086</v>
      </c>
    </row>
    <row r="184" spans="1:49" x14ac:dyDescent="0.35">
      <c r="A184" t="s">
        <v>73</v>
      </c>
      <c r="B184" t="s">
        <v>74</v>
      </c>
      <c r="C184" t="s">
        <v>4818</v>
      </c>
      <c r="D184" t="s">
        <v>18</v>
      </c>
      <c r="E184" t="s">
        <v>735</v>
      </c>
      <c r="F184" t="s">
        <v>736</v>
      </c>
      <c r="G184" t="s">
        <v>21</v>
      </c>
      <c r="H184" t="s">
        <v>4834</v>
      </c>
      <c r="I184" t="s">
        <v>4839</v>
      </c>
      <c r="J184" s="4" t="s">
        <v>4840</v>
      </c>
      <c r="K184" s="4" t="s">
        <v>4832</v>
      </c>
      <c r="L184" s="4" t="s">
        <v>4866</v>
      </c>
      <c r="M184" s="4" t="s">
        <v>5035</v>
      </c>
      <c r="N184" t="s">
        <v>737</v>
      </c>
      <c r="O184" t="s">
        <v>738</v>
      </c>
      <c r="P184" t="s">
        <v>23</v>
      </c>
      <c r="Q184" t="s">
        <v>24</v>
      </c>
      <c r="R184" t="s">
        <v>25</v>
      </c>
      <c r="S184" t="s">
        <v>26</v>
      </c>
      <c r="T184" s="6">
        <v>46307</v>
      </c>
      <c r="U184">
        <v>130</v>
      </c>
      <c r="V184">
        <v>130</v>
      </c>
      <c r="W184">
        <v>140</v>
      </c>
      <c r="X184">
        <v>140</v>
      </c>
      <c r="Y184">
        <f t="shared" si="15"/>
        <v>0</v>
      </c>
      <c r="Z184">
        <f t="shared" si="16"/>
        <v>-10</v>
      </c>
      <c r="AC184" s="1">
        <v>0</v>
      </c>
      <c r="AF184">
        <f>V184</f>
        <v>130</v>
      </c>
      <c r="AG184" s="7">
        <v>10</v>
      </c>
      <c r="AH184">
        <f t="shared" si="17"/>
        <v>130</v>
      </c>
      <c r="AI184">
        <f t="shared" si="14"/>
        <v>0</v>
      </c>
      <c r="AK184">
        <f t="shared" si="18"/>
        <v>13</v>
      </c>
      <c r="AL184">
        <v>20.420000000000002</v>
      </c>
      <c r="AM184" t="s">
        <v>27</v>
      </c>
      <c r="AN184">
        <v>20.420000000000002</v>
      </c>
      <c r="AO184" t="b">
        <f t="shared" si="19"/>
        <v>1</v>
      </c>
      <c r="AR184" t="s">
        <v>5061</v>
      </c>
      <c r="AS184" s="21">
        <v>46276</v>
      </c>
      <c r="AT184" t="s">
        <v>5064</v>
      </c>
      <c r="AU184" t="s">
        <v>5065</v>
      </c>
      <c r="AV184" t="s">
        <v>5088</v>
      </c>
      <c r="AW184" t="s">
        <v>5086</v>
      </c>
    </row>
    <row r="185" spans="1:49" x14ac:dyDescent="0.35">
      <c r="A185" t="s">
        <v>73</v>
      </c>
      <c r="B185" t="s">
        <v>74</v>
      </c>
      <c r="C185" t="s">
        <v>4818</v>
      </c>
      <c r="D185" t="s">
        <v>18</v>
      </c>
      <c r="E185" t="s">
        <v>739</v>
      </c>
      <c r="F185" t="s">
        <v>740</v>
      </c>
      <c r="G185" t="s">
        <v>21</v>
      </c>
      <c r="H185" t="s">
        <v>4834</v>
      </c>
      <c r="I185" t="s">
        <v>4849</v>
      </c>
      <c r="J185" s="4" t="s">
        <v>4850</v>
      </c>
      <c r="K185" s="4" t="s">
        <v>4837</v>
      </c>
      <c r="L185" s="4" t="s">
        <v>4863</v>
      </c>
      <c r="M185" s="4" t="s">
        <v>5035</v>
      </c>
      <c r="N185" t="s">
        <v>741</v>
      </c>
      <c r="O185" t="s">
        <v>742</v>
      </c>
      <c r="P185" t="s">
        <v>23</v>
      </c>
      <c r="Q185" t="s">
        <v>24</v>
      </c>
      <c r="R185" t="s">
        <v>25</v>
      </c>
      <c r="S185" t="s">
        <v>26</v>
      </c>
      <c r="T185" s="6">
        <v>46307</v>
      </c>
      <c r="U185">
        <v>60</v>
      </c>
      <c r="V185">
        <v>60</v>
      </c>
      <c r="W185">
        <v>60</v>
      </c>
      <c r="X185">
        <v>60</v>
      </c>
      <c r="Y185">
        <f t="shared" si="15"/>
        <v>0</v>
      </c>
      <c r="Z185">
        <f t="shared" si="16"/>
        <v>0</v>
      </c>
      <c r="AC185" s="1">
        <v>0</v>
      </c>
      <c r="AF185">
        <f>V185</f>
        <v>60</v>
      </c>
      <c r="AG185" s="7">
        <v>6</v>
      </c>
      <c r="AH185">
        <f t="shared" si="17"/>
        <v>60</v>
      </c>
      <c r="AI185">
        <f t="shared" si="14"/>
        <v>0</v>
      </c>
      <c r="AK185">
        <f t="shared" si="18"/>
        <v>10</v>
      </c>
      <c r="AL185">
        <v>14.78</v>
      </c>
      <c r="AM185" t="s">
        <v>27</v>
      </c>
      <c r="AN185">
        <v>14.78</v>
      </c>
      <c r="AO185" t="b">
        <f t="shared" si="19"/>
        <v>1</v>
      </c>
      <c r="AR185" t="s">
        <v>5061</v>
      </c>
      <c r="AS185" s="21">
        <v>46276</v>
      </c>
      <c r="AT185" t="s">
        <v>5064</v>
      </c>
      <c r="AU185" t="s">
        <v>5066</v>
      </c>
      <c r="AV185" t="s">
        <v>5088</v>
      </c>
      <c r="AW185" t="s">
        <v>5086</v>
      </c>
    </row>
    <row r="186" spans="1:49" x14ac:dyDescent="0.35">
      <c r="A186" t="s">
        <v>73</v>
      </c>
      <c r="B186" t="s">
        <v>74</v>
      </c>
      <c r="C186" t="s">
        <v>4818</v>
      </c>
      <c r="D186" t="s">
        <v>18</v>
      </c>
      <c r="E186" t="s">
        <v>743</v>
      </c>
      <c r="F186" t="s">
        <v>744</v>
      </c>
      <c r="G186" t="s">
        <v>21</v>
      </c>
      <c r="H186" t="s">
        <v>4834</v>
      </c>
      <c r="I186" t="s">
        <v>4849</v>
      </c>
      <c r="J186" s="4" t="s">
        <v>4850</v>
      </c>
      <c r="K186" s="4" t="s">
        <v>4854</v>
      </c>
      <c r="L186" s="4" t="s">
        <v>4875</v>
      </c>
      <c r="M186" s="4" t="s">
        <v>5035</v>
      </c>
      <c r="N186" t="s">
        <v>745</v>
      </c>
      <c r="O186" t="s">
        <v>746</v>
      </c>
      <c r="P186" t="s">
        <v>23</v>
      </c>
      <c r="Q186" t="s">
        <v>24</v>
      </c>
      <c r="R186" t="s">
        <v>25</v>
      </c>
      <c r="S186" t="s">
        <v>26</v>
      </c>
      <c r="T186" s="6">
        <v>46307</v>
      </c>
      <c r="U186">
        <v>30</v>
      </c>
      <c r="V186">
        <v>30</v>
      </c>
      <c r="W186">
        <v>30</v>
      </c>
      <c r="X186">
        <v>0</v>
      </c>
      <c r="Y186">
        <f t="shared" si="15"/>
        <v>30</v>
      </c>
      <c r="Z186">
        <f t="shared" si="16"/>
        <v>30</v>
      </c>
      <c r="AC186" s="1">
        <v>0</v>
      </c>
      <c r="AF186">
        <v>0</v>
      </c>
      <c r="AG186" s="7">
        <v>6</v>
      </c>
      <c r="AH186">
        <f t="shared" si="17"/>
        <v>0</v>
      </c>
      <c r="AI186">
        <f t="shared" si="14"/>
        <v>30</v>
      </c>
      <c r="AK186">
        <f t="shared" si="18"/>
        <v>0</v>
      </c>
      <c r="AL186">
        <v>14.78</v>
      </c>
      <c r="AM186" t="s">
        <v>27</v>
      </c>
      <c r="AN186">
        <v>14.78</v>
      </c>
      <c r="AO186" t="b">
        <f t="shared" si="19"/>
        <v>1</v>
      </c>
      <c r="AR186" t="s">
        <v>5061</v>
      </c>
      <c r="AS186" s="21">
        <v>46276</v>
      </c>
      <c r="AT186" t="s">
        <v>15</v>
      </c>
      <c r="AU186" t="s">
        <v>5060</v>
      </c>
      <c r="AV186" t="s">
        <v>5088</v>
      </c>
      <c r="AW186" t="s">
        <v>5060</v>
      </c>
    </row>
    <row r="187" spans="1:49" x14ac:dyDescent="0.35">
      <c r="A187" t="s">
        <v>73</v>
      </c>
      <c r="B187" t="s">
        <v>74</v>
      </c>
      <c r="C187" t="s">
        <v>4818</v>
      </c>
      <c r="D187" t="s">
        <v>18</v>
      </c>
      <c r="E187" t="s">
        <v>747</v>
      </c>
      <c r="F187" t="s">
        <v>748</v>
      </c>
      <c r="G187" t="s">
        <v>21</v>
      </c>
      <c r="H187" t="s">
        <v>4834</v>
      </c>
      <c r="I187" t="s">
        <v>4835</v>
      </c>
      <c r="J187" s="4" t="s">
        <v>4836</v>
      </c>
      <c r="K187" s="4" t="s">
        <v>4837</v>
      </c>
      <c r="L187" s="4" t="s">
        <v>4859</v>
      </c>
      <c r="M187" s="4" t="s">
        <v>5035</v>
      </c>
      <c r="N187" t="s">
        <v>749</v>
      </c>
      <c r="O187" t="s">
        <v>750</v>
      </c>
      <c r="P187" t="s">
        <v>23</v>
      </c>
      <c r="Q187" t="s">
        <v>24</v>
      </c>
      <c r="R187" t="s">
        <v>25</v>
      </c>
      <c r="S187" t="s">
        <v>26</v>
      </c>
      <c r="T187" s="6">
        <v>46307</v>
      </c>
      <c r="U187">
        <v>88</v>
      </c>
      <c r="V187">
        <v>88</v>
      </c>
      <c r="W187">
        <v>96</v>
      </c>
      <c r="X187">
        <v>0</v>
      </c>
      <c r="Y187">
        <f t="shared" si="15"/>
        <v>96</v>
      </c>
      <c r="Z187">
        <f t="shared" si="16"/>
        <v>88</v>
      </c>
      <c r="AC187" s="1">
        <v>0</v>
      </c>
      <c r="AF187">
        <v>0</v>
      </c>
      <c r="AG187" s="7">
        <v>8</v>
      </c>
      <c r="AH187">
        <f t="shared" si="17"/>
        <v>0</v>
      </c>
      <c r="AI187">
        <f t="shared" si="14"/>
        <v>88</v>
      </c>
      <c r="AK187">
        <f t="shared" si="18"/>
        <v>0</v>
      </c>
      <c r="AL187">
        <v>21.63</v>
      </c>
      <c r="AM187" t="s">
        <v>27</v>
      </c>
      <c r="AN187">
        <v>21.63</v>
      </c>
      <c r="AO187" t="b">
        <f t="shared" si="19"/>
        <v>1</v>
      </c>
      <c r="AR187" t="s">
        <v>5061</v>
      </c>
      <c r="AS187" s="21">
        <v>46276</v>
      </c>
      <c r="AT187" t="s">
        <v>15</v>
      </c>
      <c r="AU187" t="s">
        <v>5060</v>
      </c>
      <c r="AV187" t="s">
        <v>5088</v>
      </c>
      <c r="AW187" t="s">
        <v>5060</v>
      </c>
    </row>
    <row r="188" spans="1:49" x14ac:dyDescent="0.35">
      <c r="A188" t="s">
        <v>73</v>
      </c>
      <c r="B188" t="s">
        <v>74</v>
      </c>
      <c r="C188" t="s">
        <v>4818</v>
      </c>
      <c r="D188" t="s">
        <v>18</v>
      </c>
      <c r="E188" t="s">
        <v>751</v>
      </c>
      <c r="F188" t="s">
        <v>752</v>
      </c>
      <c r="G188" t="s">
        <v>21</v>
      </c>
      <c r="H188" t="s">
        <v>4834</v>
      </c>
      <c r="I188" t="s">
        <v>4849</v>
      </c>
      <c r="J188" s="4" t="s">
        <v>4850</v>
      </c>
      <c r="K188" s="4" t="s">
        <v>4837</v>
      </c>
      <c r="L188" s="4" t="s">
        <v>4884</v>
      </c>
      <c r="M188" s="4" t="s">
        <v>5035</v>
      </c>
      <c r="N188" t="s">
        <v>753</v>
      </c>
      <c r="O188" t="s">
        <v>754</v>
      </c>
      <c r="P188" t="s">
        <v>23</v>
      </c>
      <c r="Q188" t="s">
        <v>24</v>
      </c>
      <c r="R188" t="s">
        <v>25</v>
      </c>
      <c r="S188" t="s">
        <v>26</v>
      </c>
      <c r="T188" s="6">
        <v>46307</v>
      </c>
      <c r="U188">
        <v>12</v>
      </c>
      <c r="V188">
        <v>12</v>
      </c>
      <c r="W188">
        <v>12</v>
      </c>
      <c r="X188">
        <v>12</v>
      </c>
      <c r="Y188">
        <f t="shared" si="15"/>
        <v>0</v>
      </c>
      <c r="Z188">
        <f t="shared" si="16"/>
        <v>0</v>
      </c>
      <c r="AC188" s="1">
        <v>0</v>
      </c>
      <c r="AF188">
        <f>V188</f>
        <v>12</v>
      </c>
      <c r="AG188" s="7">
        <v>6</v>
      </c>
      <c r="AH188">
        <f t="shared" si="17"/>
        <v>12</v>
      </c>
      <c r="AI188">
        <f t="shared" si="14"/>
        <v>0</v>
      </c>
      <c r="AK188">
        <f t="shared" si="18"/>
        <v>2</v>
      </c>
      <c r="AL188">
        <v>14.78</v>
      </c>
      <c r="AM188" t="s">
        <v>27</v>
      </c>
      <c r="AN188">
        <v>14.78</v>
      </c>
      <c r="AO188" t="b">
        <f t="shared" si="19"/>
        <v>1</v>
      </c>
      <c r="AR188" t="s">
        <v>5061</v>
      </c>
      <c r="AS188" s="21">
        <v>46276</v>
      </c>
      <c r="AT188" t="s">
        <v>5064</v>
      </c>
      <c r="AU188" t="s">
        <v>5066</v>
      </c>
      <c r="AV188" t="s">
        <v>5088</v>
      </c>
      <c r="AW188" t="s">
        <v>5086</v>
      </c>
    </row>
    <row r="189" spans="1:49" x14ac:dyDescent="0.35">
      <c r="A189" t="s">
        <v>73</v>
      </c>
      <c r="B189" t="s">
        <v>74</v>
      </c>
      <c r="C189" t="s">
        <v>4818</v>
      </c>
      <c r="D189" t="s">
        <v>18</v>
      </c>
      <c r="E189" t="s">
        <v>755</v>
      </c>
      <c r="F189" t="s">
        <v>756</v>
      </c>
      <c r="G189" t="s">
        <v>21</v>
      </c>
      <c r="H189" t="s">
        <v>4834</v>
      </c>
      <c r="I189" t="s">
        <v>4839</v>
      </c>
      <c r="J189" s="4" t="s">
        <v>4840</v>
      </c>
      <c r="K189" s="4" t="s">
        <v>4843</v>
      </c>
      <c r="L189" s="4" t="s">
        <v>4861</v>
      </c>
      <c r="M189" s="4" t="s">
        <v>5035</v>
      </c>
      <c r="N189" t="s">
        <v>757</v>
      </c>
      <c r="O189" t="s">
        <v>758</v>
      </c>
      <c r="P189" t="s">
        <v>23</v>
      </c>
      <c r="Q189" t="s">
        <v>24</v>
      </c>
      <c r="R189" t="s">
        <v>25</v>
      </c>
      <c r="S189" t="s">
        <v>26</v>
      </c>
      <c r="T189" s="6">
        <v>46307</v>
      </c>
      <c r="U189">
        <v>50</v>
      </c>
      <c r="V189">
        <v>50</v>
      </c>
      <c r="W189">
        <v>50</v>
      </c>
      <c r="X189">
        <v>50</v>
      </c>
      <c r="Y189">
        <f t="shared" si="15"/>
        <v>0</v>
      </c>
      <c r="Z189">
        <f t="shared" si="16"/>
        <v>0</v>
      </c>
      <c r="AC189" s="1">
        <v>0</v>
      </c>
      <c r="AF189">
        <f>V189</f>
        <v>50</v>
      </c>
      <c r="AG189" s="7">
        <v>10</v>
      </c>
      <c r="AH189">
        <f t="shared" si="17"/>
        <v>50</v>
      </c>
      <c r="AI189">
        <f t="shared" si="14"/>
        <v>0</v>
      </c>
      <c r="AK189">
        <f t="shared" si="18"/>
        <v>5</v>
      </c>
      <c r="AL189">
        <v>20.420000000000002</v>
      </c>
      <c r="AM189" t="s">
        <v>27</v>
      </c>
      <c r="AN189">
        <v>20.420000000000002</v>
      </c>
      <c r="AO189" t="b">
        <f t="shared" si="19"/>
        <v>1</v>
      </c>
      <c r="AR189" t="s">
        <v>5061</v>
      </c>
      <c r="AS189" s="21">
        <v>46276</v>
      </c>
      <c r="AT189" t="s">
        <v>5064</v>
      </c>
      <c r="AU189" t="s">
        <v>5065</v>
      </c>
      <c r="AV189" t="s">
        <v>5088</v>
      </c>
      <c r="AW189" t="s">
        <v>5086</v>
      </c>
    </row>
    <row r="190" spans="1:49" x14ac:dyDescent="0.35">
      <c r="A190" t="s">
        <v>73</v>
      </c>
      <c r="B190" t="s">
        <v>74</v>
      </c>
      <c r="C190" t="s">
        <v>4818</v>
      </c>
      <c r="D190" t="s">
        <v>18</v>
      </c>
      <c r="E190" t="s">
        <v>759</v>
      </c>
      <c r="F190" t="s">
        <v>760</v>
      </c>
      <c r="G190" t="s">
        <v>21</v>
      </c>
      <c r="H190" t="s">
        <v>4834</v>
      </c>
      <c r="I190" t="s">
        <v>4849</v>
      </c>
      <c r="J190" s="4" t="s">
        <v>4850</v>
      </c>
      <c r="K190" s="4" t="s">
        <v>4854</v>
      </c>
      <c r="L190" s="4" t="s">
        <v>4863</v>
      </c>
      <c r="M190" s="4" t="s">
        <v>5035</v>
      </c>
      <c r="N190" t="s">
        <v>761</v>
      </c>
      <c r="O190" t="s">
        <v>762</v>
      </c>
      <c r="P190" t="s">
        <v>23</v>
      </c>
      <c r="Q190" t="s">
        <v>24</v>
      </c>
      <c r="R190" t="s">
        <v>25</v>
      </c>
      <c r="S190" t="s">
        <v>26</v>
      </c>
      <c r="T190" s="6">
        <v>46307</v>
      </c>
      <c r="U190">
        <v>66</v>
      </c>
      <c r="V190">
        <v>66</v>
      </c>
      <c r="W190">
        <v>72</v>
      </c>
      <c r="X190">
        <v>0</v>
      </c>
      <c r="Y190">
        <f t="shared" si="15"/>
        <v>72</v>
      </c>
      <c r="Z190">
        <f t="shared" si="16"/>
        <v>66</v>
      </c>
      <c r="AC190" s="1">
        <v>0</v>
      </c>
      <c r="AF190">
        <v>0</v>
      </c>
      <c r="AG190" s="7">
        <v>6</v>
      </c>
      <c r="AH190">
        <f t="shared" si="17"/>
        <v>0</v>
      </c>
      <c r="AI190">
        <f t="shared" si="14"/>
        <v>66</v>
      </c>
      <c r="AK190">
        <f t="shared" si="18"/>
        <v>0</v>
      </c>
      <c r="AL190">
        <v>14.78</v>
      </c>
      <c r="AM190" t="s">
        <v>27</v>
      </c>
      <c r="AN190">
        <v>14.78</v>
      </c>
      <c r="AO190" t="b">
        <f t="shared" si="19"/>
        <v>1</v>
      </c>
      <c r="AR190" t="s">
        <v>5061</v>
      </c>
      <c r="AS190" s="21">
        <v>46276</v>
      </c>
      <c r="AT190" t="s">
        <v>15</v>
      </c>
      <c r="AU190" t="s">
        <v>5060</v>
      </c>
      <c r="AV190" t="s">
        <v>5088</v>
      </c>
      <c r="AW190" t="s">
        <v>5060</v>
      </c>
    </row>
    <row r="191" spans="1:49" x14ac:dyDescent="0.35">
      <c r="A191" t="s">
        <v>73</v>
      </c>
      <c r="B191" t="s">
        <v>74</v>
      </c>
      <c r="C191" t="s">
        <v>4818</v>
      </c>
      <c r="D191" t="s">
        <v>18</v>
      </c>
      <c r="E191" t="s">
        <v>763</v>
      </c>
      <c r="F191" t="s">
        <v>764</v>
      </c>
      <c r="G191" t="s">
        <v>21</v>
      </c>
      <c r="H191" t="s">
        <v>4834</v>
      </c>
      <c r="I191" t="s">
        <v>4839</v>
      </c>
      <c r="J191" s="4" t="s">
        <v>4840</v>
      </c>
      <c r="K191" s="4" t="s">
        <v>4845</v>
      </c>
      <c r="L191" s="4" t="s">
        <v>4842</v>
      </c>
      <c r="M191" s="4" t="s">
        <v>5035</v>
      </c>
      <c r="N191" t="s">
        <v>765</v>
      </c>
      <c r="O191" t="s">
        <v>766</v>
      </c>
      <c r="P191" t="s">
        <v>23</v>
      </c>
      <c r="Q191" t="s">
        <v>24</v>
      </c>
      <c r="R191" t="s">
        <v>25</v>
      </c>
      <c r="S191" t="s">
        <v>26</v>
      </c>
      <c r="T191" s="6">
        <v>46307</v>
      </c>
      <c r="U191">
        <v>150</v>
      </c>
      <c r="V191">
        <v>150</v>
      </c>
      <c r="W191">
        <v>160</v>
      </c>
      <c r="X191">
        <v>0</v>
      </c>
      <c r="Y191">
        <f t="shared" si="15"/>
        <v>160</v>
      </c>
      <c r="Z191">
        <f t="shared" si="16"/>
        <v>150</v>
      </c>
      <c r="AC191" s="1">
        <v>0</v>
      </c>
      <c r="AF191">
        <v>0</v>
      </c>
      <c r="AG191" s="7">
        <v>10</v>
      </c>
      <c r="AH191">
        <f t="shared" si="17"/>
        <v>0</v>
      </c>
      <c r="AI191">
        <f t="shared" si="14"/>
        <v>150</v>
      </c>
      <c r="AK191">
        <f t="shared" si="18"/>
        <v>0</v>
      </c>
      <c r="AL191">
        <v>20.420000000000002</v>
      </c>
      <c r="AM191" t="s">
        <v>27</v>
      </c>
      <c r="AN191">
        <v>20.420000000000002</v>
      </c>
      <c r="AO191" t="b">
        <f t="shared" si="19"/>
        <v>1</v>
      </c>
      <c r="AR191" t="s">
        <v>5061</v>
      </c>
      <c r="AS191" s="21">
        <v>46276</v>
      </c>
      <c r="AT191" t="s">
        <v>15</v>
      </c>
      <c r="AU191" t="s">
        <v>5060</v>
      </c>
      <c r="AV191" t="s">
        <v>5088</v>
      </c>
      <c r="AW191" t="s">
        <v>5060</v>
      </c>
    </row>
    <row r="192" spans="1:49" x14ac:dyDescent="0.35">
      <c r="A192" t="s">
        <v>73</v>
      </c>
      <c r="B192" t="s">
        <v>74</v>
      </c>
      <c r="C192" t="s">
        <v>4818</v>
      </c>
      <c r="D192" t="s">
        <v>18</v>
      </c>
      <c r="E192" t="s">
        <v>767</v>
      </c>
      <c r="F192" t="s">
        <v>768</v>
      </c>
      <c r="G192" t="s">
        <v>21</v>
      </c>
      <c r="H192" t="s">
        <v>4834</v>
      </c>
      <c r="I192" t="s">
        <v>4849</v>
      </c>
      <c r="J192" s="4" t="s">
        <v>4850</v>
      </c>
      <c r="K192" s="4" t="s">
        <v>4837</v>
      </c>
      <c r="L192" s="4" t="s">
        <v>4855</v>
      </c>
      <c r="M192" s="4" t="s">
        <v>5035</v>
      </c>
      <c r="N192" t="s">
        <v>769</v>
      </c>
      <c r="O192" t="s">
        <v>770</v>
      </c>
      <c r="P192" t="s">
        <v>23</v>
      </c>
      <c r="Q192" t="s">
        <v>24</v>
      </c>
      <c r="R192" t="s">
        <v>25</v>
      </c>
      <c r="S192" t="s">
        <v>26</v>
      </c>
      <c r="T192" s="6">
        <v>46307</v>
      </c>
      <c r="U192">
        <v>18</v>
      </c>
      <c r="V192">
        <v>18</v>
      </c>
      <c r="W192">
        <v>18</v>
      </c>
      <c r="X192">
        <v>18</v>
      </c>
      <c r="Y192">
        <f t="shared" si="15"/>
        <v>0</v>
      </c>
      <c r="Z192">
        <f t="shared" si="16"/>
        <v>0</v>
      </c>
      <c r="AC192" s="1">
        <v>0</v>
      </c>
      <c r="AF192">
        <f>V192</f>
        <v>18</v>
      </c>
      <c r="AG192" s="7">
        <v>6</v>
      </c>
      <c r="AH192">
        <f t="shared" si="17"/>
        <v>18</v>
      </c>
      <c r="AI192">
        <f t="shared" si="14"/>
        <v>0</v>
      </c>
      <c r="AK192">
        <f t="shared" si="18"/>
        <v>3</v>
      </c>
      <c r="AL192">
        <v>14.78</v>
      </c>
      <c r="AM192" t="s">
        <v>27</v>
      </c>
      <c r="AN192">
        <v>14.78</v>
      </c>
      <c r="AO192" t="b">
        <f t="shared" si="19"/>
        <v>1</v>
      </c>
      <c r="AR192" t="s">
        <v>5061</v>
      </c>
      <c r="AS192" s="21">
        <v>46276</v>
      </c>
      <c r="AT192" t="s">
        <v>5064</v>
      </c>
      <c r="AU192" t="s">
        <v>5066</v>
      </c>
      <c r="AV192" t="s">
        <v>5088</v>
      </c>
      <c r="AW192" t="s">
        <v>5086</v>
      </c>
    </row>
    <row r="193" spans="1:49" x14ac:dyDescent="0.35">
      <c r="A193" t="s">
        <v>73</v>
      </c>
      <c r="B193" t="s">
        <v>74</v>
      </c>
      <c r="C193" t="s">
        <v>4818</v>
      </c>
      <c r="D193" t="s">
        <v>18</v>
      </c>
      <c r="E193" t="s">
        <v>771</v>
      </c>
      <c r="F193" t="s">
        <v>772</v>
      </c>
      <c r="G193" t="s">
        <v>21</v>
      </c>
      <c r="H193" t="s">
        <v>4834</v>
      </c>
      <c r="I193" t="s">
        <v>4849</v>
      </c>
      <c r="J193" s="4" t="s">
        <v>4850</v>
      </c>
      <c r="K193" s="4" t="s">
        <v>4854</v>
      </c>
      <c r="L193" s="4" t="s">
        <v>4885</v>
      </c>
      <c r="M193" s="4" t="s">
        <v>5035</v>
      </c>
      <c r="N193" t="s">
        <v>773</v>
      </c>
      <c r="O193" t="s">
        <v>774</v>
      </c>
      <c r="P193" t="s">
        <v>23</v>
      </c>
      <c r="Q193" t="s">
        <v>24</v>
      </c>
      <c r="R193" t="s">
        <v>25</v>
      </c>
      <c r="S193" t="s">
        <v>26</v>
      </c>
      <c r="T193" s="6">
        <v>46307</v>
      </c>
      <c r="U193">
        <v>102</v>
      </c>
      <c r="V193">
        <v>102</v>
      </c>
      <c r="W193">
        <v>108</v>
      </c>
      <c r="X193">
        <v>108</v>
      </c>
      <c r="Y193">
        <f t="shared" si="15"/>
        <v>0</v>
      </c>
      <c r="Z193">
        <f t="shared" si="16"/>
        <v>-6</v>
      </c>
      <c r="AC193" s="1">
        <v>0</v>
      </c>
      <c r="AF193">
        <f>V193</f>
        <v>102</v>
      </c>
      <c r="AG193" s="7">
        <v>6</v>
      </c>
      <c r="AH193">
        <f t="shared" si="17"/>
        <v>102</v>
      </c>
      <c r="AI193">
        <f t="shared" si="14"/>
        <v>0</v>
      </c>
      <c r="AK193">
        <f t="shared" si="18"/>
        <v>17</v>
      </c>
      <c r="AL193">
        <v>14.78</v>
      </c>
      <c r="AM193" t="s">
        <v>27</v>
      </c>
      <c r="AN193">
        <v>14.78</v>
      </c>
      <c r="AO193" t="b">
        <f t="shared" si="19"/>
        <v>1</v>
      </c>
      <c r="AR193" t="s">
        <v>5061</v>
      </c>
      <c r="AS193" s="21">
        <v>46276</v>
      </c>
      <c r="AT193" t="s">
        <v>5064</v>
      </c>
      <c r="AU193" t="s">
        <v>5066</v>
      </c>
      <c r="AV193" t="s">
        <v>5088</v>
      </c>
      <c r="AW193" t="s">
        <v>5086</v>
      </c>
    </row>
    <row r="194" spans="1:49" x14ac:dyDescent="0.35">
      <c r="A194" t="s">
        <v>73</v>
      </c>
      <c r="B194" t="s">
        <v>74</v>
      </c>
      <c r="C194" t="s">
        <v>4818</v>
      </c>
      <c r="D194" t="s">
        <v>18</v>
      </c>
      <c r="E194" t="s">
        <v>775</v>
      </c>
      <c r="F194" t="s">
        <v>776</v>
      </c>
      <c r="G194" t="s">
        <v>21</v>
      </c>
      <c r="H194" t="s">
        <v>4834</v>
      </c>
      <c r="I194" t="s">
        <v>4839</v>
      </c>
      <c r="J194" s="4" t="s">
        <v>4840</v>
      </c>
      <c r="K194" s="4" t="s">
        <v>4832</v>
      </c>
      <c r="L194" s="4" t="s">
        <v>4861</v>
      </c>
      <c r="M194" s="4" t="s">
        <v>5035</v>
      </c>
      <c r="N194" t="s">
        <v>777</v>
      </c>
      <c r="O194" t="s">
        <v>778</v>
      </c>
      <c r="P194" t="s">
        <v>23</v>
      </c>
      <c r="Q194" t="s">
        <v>24</v>
      </c>
      <c r="R194" t="s">
        <v>25</v>
      </c>
      <c r="S194" t="s">
        <v>26</v>
      </c>
      <c r="T194" s="6">
        <v>46307</v>
      </c>
      <c r="U194">
        <v>100</v>
      </c>
      <c r="V194">
        <v>100</v>
      </c>
      <c r="W194">
        <v>100</v>
      </c>
      <c r="X194">
        <v>100</v>
      </c>
      <c r="Y194">
        <f t="shared" si="15"/>
        <v>0</v>
      </c>
      <c r="Z194">
        <f t="shared" si="16"/>
        <v>0</v>
      </c>
      <c r="AC194" s="1">
        <v>0</v>
      </c>
      <c r="AF194">
        <f>V194</f>
        <v>100</v>
      </c>
      <c r="AG194" s="7">
        <v>10</v>
      </c>
      <c r="AH194">
        <f t="shared" si="17"/>
        <v>100</v>
      </c>
      <c r="AI194">
        <f t="shared" si="14"/>
        <v>0</v>
      </c>
      <c r="AK194">
        <f t="shared" si="18"/>
        <v>10</v>
      </c>
      <c r="AL194">
        <v>20.420000000000002</v>
      </c>
      <c r="AM194" t="s">
        <v>27</v>
      </c>
      <c r="AN194">
        <v>20.420000000000002</v>
      </c>
      <c r="AO194" t="b">
        <f t="shared" si="19"/>
        <v>1</v>
      </c>
      <c r="AR194" t="s">
        <v>5061</v>
      </c>
      <c r="AS194" s="21">
        <v>46276</v>
      </c>
      <c r="AT194" t="s">
        <v>5064</v>
      </c>
      <c r="AU194" t="s">
        <v>5065</v>
      </c>
      <c r="AV194" t="s">
        <v>5088</v>
      </c>
      <c r="AW194" t="s">
        <v>5086</v>
      </c>
    </row>
    <row r="195" spans="1:49" x14ac:dyDescent="0.35">
      <c r="A195" t="s">
        <v>73</v>
      </c>
      <c r="B195" t="s">
        <v>74</v>
      </c>
      <c r="C195" t="s">
        <v>4818</v>
      </c>
      <c r="D195" t="s">
        <v>18</v>
      </c>
      <c r="E195" t="s">
        <v>779</v>
      </c>
      <c r="F195" t="s">
        <v>780</v>
      </c>
      <c r="G195" t="s">
        <v>21</v>
      </c>
      <c r="H195" t="s">
        <v>4834</v>
      </c>
      <c r="I195" t="s">
        <v>4839</v>
      </c>
      <c r="J195" s="4" t="s">
        <v>4840</v>
      </c>
      <c r="K195" s="4" t="s">
        <v>4837</v>
      </c>
      <c r="L195" s="4" t="s">
        <v>4846</v>
      </c>
      <c r="M195" s="4" t="s">
        <v>5035</v>
      </c>
      <c r="N195" t="s">
        <v>781</v>
      </c>
      <c r="O195" t="s">
        <v>782</v>
      </c>
      <c r="P195" t="s">
        <v>23</v>
      </c>
      <c r="Q195" t="s">
        <v>24</v>
      </c>
      <c r="R195" t="s">
        <v>25</v>
      </c>
      <c r="S195" t="s">
        <v>26</v>
      </c>
      <c r="T195" s="6">
        <v>46307</v>
      </c>
      <c r="U195">
        <v>90</v>
      </c>
      <c r="V195">
        <v>90</v>
      </c>
      <c r="W195">
        <v>90</v>
      </c>
      <c r="X195">
        <v>0</v>
      </c>
      <c r="Y195">
        <f t="shared" si="15"/>
        <v>90</v>
      </c>
      <c r="Z195">
        <f t="shared" si="16"/>
        <v>90</v>
      </c>
      <c r="AC195" s="1">
        <v>0</v>
      </c>
      <c r="AF195">
        <v>0</v>
      </c>
      <c r="AG195" s="7">
        <v>10</v>
      </c>
      <c r="AH195">
        <f t="shared" si="17"/>
        <v>0</v>
      </c>
      <c r="AI195">
        <f t="shared" ref="AI195:AI258" si="20">V195-AH195</f>
        <v>90</v>
      </c>
      <c r="AK195">
        <f t="shared" si="18"/>
        <v>0</v>
      </c>
      <c r="AL195">
        <v>20.420000000000002</v>
      </c>
      <c r="AM195" t="s">
        <v>27</v>
      </c>
      <c r="AN195">
        <v>20.420000000000002</v>
      </c>
      <c r="AO195" t="b">
        <f t="shared" si="19"/>
        <v>1</v>
      </c>
      <c r="AR195" t="s">
        <v>5061</v>
      </c>
      <c r="AS195" s="21">
        <v>46276</v>
      </c>
      <c r="AT195" t="s">
        <v>15</v>
      </c>
      <c r="AU195" t="s">
        <v>5060</v>
      </c>
      <c r="AV195" t="s">
        <v>5088</v>
      </c>
      <c r="AW195" t="s">
        <v>5060</v>
      </c>
    </row>
    <row r="196" spans="1:49" x14ac:dyDescent="0.35">
      <c r="A196" t="s">
        <v>73</v>
      </c>
      <c r="B196" t="s">
        <v>74</v>
      </c>
      <c r="C196" t="s">
        <v>4818</v>
      </c>
      <c r="D196" t="s">
        <v>18</v>
      </c>
      <c r="E196" t="s">
        <v>783</v>
      </c>
      <c r="F196" t="s">
        <v>784</v>
      </c>
      <c r="G196" t="s">
        <v>21</v>
      </c>
      <c r="H196" t="s">
        <v>4834</v>
      </c>
      <c r="I196" t="s">
        <v>4835</v>
      </c>
      <c r="J196" s="4" t="s">
        <v>4836</v>
      </c>
      <c r="K196" s="4" t="s">
        <v>4837</v>
      </c>
      <c r="L196" s="4" t="s">
        <v>4847</v>
      </c>
      <c r="M196" s="4" t="s">
        <v>5035</v>
      </c>
      <c r="N196" t="s">
        <v>785</v>
      </c>
      <c r="O196" t="s">
        <v>786</v>
      </c>
      <c r="P196" t="s">
        <v>23</v>
      </c>
      <c r="Q196" t="s">
        <v>24</v>
      </c>
      <c r="R196" t="s">
        <v>25</v>
      </c>
      <c r="S196" t="s">
        <v>26</v>
      </c>
      <c r="T196" s="6">
        <v>46307</v>
      </c>
      <c r="U196">
        <v>32</v>
      </c>
      <c r="V196">
        <v>32</v>
      </c>
      <c r="W196">
        <v>32</v>
      </c>
      <c r="X196">
        <v>0</v>
      </c>
      <c r="Y196">
        <f t="shared" ref="Y196:Y259" si="21">W196-X196</f>
        <v>32</v>
      </c>
      <c r="Z196">
        <f t="shared" ref="Z196:Z259" si="22">V196-X196</f>
        <v>32</v>
      </c>
      <c r="AC196" s="1">
        <v>0</v>
      </c>
      <c r="AF196">
        <v>0</v>
      </c>
      <c r="AG196" s="7">
        <v>8</v>
      </c>
      <c r="AH196">
        <f t="shared" ref="AH196:AH259" si="23">ROUNDUP(AF196/AG196,0)*AG196</f>
        <v>0</v>
      </c>
      <c r="AI196">
        <f t="shared" si="20"/>
        <v>32</v>
      </c>
      <c r="AK196">
        <f t="shared" ref="AK196:AK259" si="24">AH196/AG196</f>
        <v>0</v>
      </c>
      <c r="AL196">
        <v>21.63</v>
      </c>
      <c r="AM196" t="s">
        <v>27</v>
      </c>
      <c r="AN196">
        <v>21.63</v>
      </c>
      <c r="AO196" t="b">
        <f t="shared" ref="AO196:AO259" si="25">AL196=AN196</f>
        <v>1</v>
      </c>
      <c r="AR196" t="s">
        <v>5061</v>
      </c>
      <c r="AS196" s="21">
        <v>46276</v>
      </c>
      <c r="AT196" t="s">
        <v>15</v>
      </c>
      <c r="AU196" t="s">
        <v>5060</v>
      </c>
      <c r="AV196" t="s">
        <v>5088</v>
      </c>
      <c r="AW196" t="s">
        <v>5060</v>
      </c>
    </row>
    <row r="197" spans="1:49" x14ac:dyDescent="0.35">
      <c r="A197" t="s">
        <v>73</v>
      </c>
      <c r="B197" t="s">
        <v>74</v>
      </c>
      <c r="C197" t="s">
        <v>4818</v>
      </c>
      <c r="D197" t="s">
        <v>18</v>
      </c>
      <c r="E197" t="s">
        <v>787</v>
      </c>
      <c r="F197" t="s">
        <v>788</v>
      </c>
      <c r="G197" t="s">
        <v>21</v>
      </c>
      <c r="H197" t="s">
        <v>4834</v>
      </c>
      <c r="I197" t="s">
        <v>4849</v>
      </c>
      <c r="J197" s="4" t="s">
        <v>4850</v>
      </c>
      <c r="K197" s="4" t="s">
        <v>4837</v>
      </c>
      <c r="L197" s="4" t="s">
        <v>4885</v>
      </c>
      <c r="M197" s="4" t="s">
        <v>5035</v>
      </c>
      <c r="N197" t="s">
        <v>789</v>
      </c>
      <c r="O197" t="s">
        <v>790</v>
      </c>
      <c r="P197" t="s">
        <v>23</v>
      </c>
      <c r="Q197" t="s">
        <v>24</v>
      </c>
      <c r="R197" t="s">
        <v>25</v>
      </c>
      <c r="S197" t="s">
        <v>26</v>
      </c>
      <c r="T197" s="6">
        <v>46307</v>
      </c>
      <c r="U197">
        <v>36</v>
      </c>
      <c r="V197">
        <v>36</v>
      </c>
      <c r="W197">
        <v>36</v>
      </c>
      <c r="X197">
        <v>36</v>
      </c>
      <c r="Y197">
        <f t="shared" si="21"/>
        <v>0</v>
      </c>
      <c r="Z197">
        <f t="shared" si="22"/>
        <v>0</v>
      </c>
      <c r="AC197" s="1"/>
      <c r="AF197">
        <f>V197</f>
        <v>36</v>
      </c>
      <c r="AG197" s="7">
        <v>6</v>
      </c>
      <c r="AH197">
        <f t="shared" si="23"/>
        <v>36</v>
      </c>
      <c r="AI197">
        <f t="shared" si="20"/>
        <v>0</v>
      </c>
      <c r="AK197">
        <f t="shared" si="24"/>
        <v>6</v>
      </c>
      <c r="AL197">
        <v>14.78</v>
      </c>
      <c r="AM197" t="s">
        <v>27</v>
      </c>
      <c r="AN197">
        <v>14.78</v>
      </c>
      <c r="AO197" t="b">
        <f t="shared" si="25"/>
        <v>1</v>
      </c>
      <c r="AR197" t="s">
        <v>5061</v>
      </c>
      <c r="AS197" s="21">
        <v>46276</v>
      </c>
      <c r="AT197" t="s">
        <v>5064</v>
      </c>
      <c r="AU197" t="s">
        <v>5066</v>
      </c>
      <c r="AV197" t="s">
        <v>5088</v>
      </c>
      <c r="AW197" t="s">
        <v>5086</v>
      </c>
    </row>
    <row r="198" spans="1:49" x14ac:dyDescent="0.35">
      <c r="A198" t="s">
        <v>73</v>
      </c>
      <c r="B198" t="s">
        <v>74</v>
      </c>
      <c r="C198" t="s">
        <v>4818</v>
      </c>
      <c r="D198" t="s">
        <v>18</v>
      </c>
      <c r="E198" t="s">
        <v>791</v>
      </c>
      <c r="F198" t="s">
        <v>792</v>
      </c>
      <c r="G198" t="s">
        <v>21</v>
      </c>
      <c r="H198" t="s">
        <v>4834</v>
      </c>
      <c r="I198" t="s">
        <v>4839</v>
      </c>
      <c r="J198" s="4" t="s">
        <v>4840</v>
      </c>
      <c r="K198" s="4" t="s">
        <v>4854</v>
      </c>
      <c r="L198" s="4" t="s">
        <v>4860</v>
      </c>
      <c r="M198" s="4" t="s">
        <v>5035</v>
      </c>
      <c r="N198" t="s">
        <v>793</v>
      </c>
      <c r="O198" t="s">
        <v>794</v>
      </c>
      <c r="P198" t="s">
        <v>23</v>
      </c>
      <c r="Q198" t="s">
        <v>24</v>
      </c>
      <c r="R198" t="s">
        <v>25</v>
      </c>
      <c r="S198" t="s">
        <v>26</v>
      </c>
      <c r="T198" s="6">
        <v>46307</v>
      </c>
      <c r="U198">
        <v>220</v>
      </c>
      <c r="V198">
        <v>220</v>
      </c>
      <c r="W198">
        <v>230</v>
      </c>
      <c r="X198">
        <v>230</v>
      </c>
      <c r="Y198">
        <f t="shared" si="21"/>
        <v>0</v>
      </c>
      <c r="Z198">
        <f t="shared" si="22"/>
        <v>-10</v>
      </c>
      <c r="AC198" s="1">
        <v>0</v>
      </c>
      <c r="AF198">
        <f>V198</f>
        <v>220</v>
      </c>
      <c r="AG198" s="7">
        <v>10</v>
      </c>
      <c r="AH198">
        <f t="shared" si="23"/>
        <v>220</v>
      </c>
      <c r="AI198">
        <f t="shared" si="20"/>
        <v>0</v>
      </c>
      <c r="AK198">
        <f t="shared" si="24"/>
        <v>22</v>
      </c>
      <c r="AL198">
        <v>20.420000000000002</v>
      </c>
      <c r="AM198" t="s">
        <v>27</v>
      </c>
      <c r="AN198">
        <v>20.420000000000002</v>
      </c>
      <c r="AO198" t="b">
        <f t="shared" si="25"/>
        <v>1</v>
      </c>
      <c r="AR198" t="s">
        <v>5061</v>
      </c>
      <c r="AS198" s="21">
        <v>46276</v>
      </c>
      <c r="AT198" t="s">
        <v>5064</v>
      </c>
      <c r="AU198" t="s">
        <v>5065</v>
      </c>
      <c r="AV198" t="s">
        <v>5088</v>
      </c>
      <c r="AW198" t="s">
        <v>5086</v>
      </c>
    </row>
    <row r="199" spans="1:49" x14ac:dyDescent="0.35">
      <c r="A199" t="s">
        <v>73</v>
      </c>
      <c r="B199" t="s">
        <v>74</v>
      </c>
      <c r="C199" t="s">
        <v>4818</v>
      </c>
      <c r="D199" t="s">
        <v>18</v>
      </c>
      <c r="E199" t="s">
        <v>795</v>
      </c>
      <c r="F199" t="s">
        <v>796</v>
      </c>
      <c r="G199" t="s">
        <v>21</v>
      </c>
      <c r="H199" t="s">
        <v>4834</v>
      </c>
      <c r="I199" t="s">
        <v>4835</v>
      </c>
      <c r="J199" s="4" t="s">
        <v>4836</v>
      </c>
      <c r="K199" s="4" t="s">
        <v>4837</v>
      </c>
      <c r="L199" s="4" t="s">
        <v>4874</v>
      </c>
      <c r="M199" s="4" t="s">
        <v>5035</v>
      </c>
      <c r="N199" t="s">
        <v>797</v>
      </c>
      <c r="O199" t="s">
        <v>798</v>
      </c>
      <c r="P199" t="s">
        <v>23</v>
      </c>
      <c r="Q199" t="s">
        <v>24</v>
      </c>
      <c r="R199" t="s">
        <v>25</v>
      </c>
      <c r="S199" t="s">
        <v>26</v>
      </c>
      <c r="T199" s="6">
        <v>46307</v>
      </c>
      <c r="U199">
        <v>72</v>
      </c>
      <c r="V199">
        <v>72</v>
      </c>
      <c r="W199">
        <v>80</v>
      </c>
      <c r="X199">
        <v>0</v>
      </c>
      <c r="Y199">
        <f t="shared" si="21"/>
        <v>80</v>
      </c>
      <c r="Z199">
        <f t="shared" si="22"/>
        <v>72</v>
      </c>
      <c r="AC199" s="1">
        <v>0</v>
      </c>
      <c r="AF199">
        <v>0</v>
      </c>
      <c r="AG199" s="7">
        <v>8</v>
      </c>
      <c r="AH199">
        <f t="shared" si="23"/>
        <v>0</v>
      </c>
      <c r="AI199">
        <f t="shared" si="20"/>
        <v>72</v>
      </c>
      <c r="AK199">
        <f t="shared" si="24"/>
        <v>0</v>
      </c>
      <c r="AL199">
        <v>21.63</v>
      </c>
      <c r="AM199" t="s">
        <v>27</v>
      </c>
      <c r="AN199">
        <v>21.63</v>
      </c>
      <c r="AO199" t="b">
        <f t="shared" si="25"/>
        <v>1</v>
      </c>
      <c r="AR199" t="s">
        <v>5061</v>
      </c>
      <c r="AS199" s="21">
        <v>46276</v>
      </c>
      <c r="AT199" t="s">
        <v>15</v>
      </c>
      <c r="AU199" t="s">
        <v>5060</v>
      </c>
      <c r="AV199" t="s">
        <v>5088</v>
      </c>
      <c r="AW199" t="s">
        <v>5060</v>
      </c>
    </row>
    <row r="200" spans="1:49" x14ac:dyDescent="0.35">
      <c r="A200" t="s">
        <v>73</v>
      </c>
      <c r="B200" t="s">
        <v>74</v>
      </c>
      <c r="C200" t="s">
        <v>4818</v>
      </c>
      <c r="D200" t="s">
        <v>18</v>
      </c>
      <c r="E200" t="s">
        <v>799</v>
      </c>
      <c r="F200" t="s">
        <v>800</v>
      </c>
      <c r="G200" t="s">
        <v>21</v>
      </c>
      <c r="H200" t="s">
        <v>4834</v>
      </c>
      <c r="I200" t="s">
        <v>4839</v>
      </c>
      <c r="J200" s="4" t="s">
        <v>4840</v>
      </c>
      <c r="K200" s="4" t="s">
        <v>4837</v>
      </c>
      <c r="L200" s="4" t="s">
        <v>4868</v>
      </c>
      <c r="M200" s="4" t="s">
        <v>5035</v>
      </c>
      <c r="N200" t="s">
        <v>801</v>
      </c>
      <c r="O200" t="s">
        <v>802</v>
      </c>
      <c r="P200" t="s">
        <v>23</v>
      </c>
      <c r="Q200" t="s">
        <v>24</v>
      </c>
      <c r="R200" t="s">
        <v>25</v>
      </c>
      <c r="S200" t="s">
        <v>26</v>
      </c>
      <c r="T200" s="6">
        <v>46307</v>
      </c>
      <c r="U200">
        <v>110</v>
      </c>
      <c r="V200">
        <v>110</v>
      </c>
      <c r="W200">
        <v>120</v>
      </c>
      <c r="X200">
        <v>0</v>
      </c>
      <c r="Y200">
        <f t="shared" si="21"/>
        <v>120</v>
      </c>
      <c r="Z200">
        <f t="shared" si="22"/>
        <v>110</v>
      </c>
      <c r="AC200" s="1">
        <v>0</v>
      </c>
      <c r="AF200">
        <v>0</v>
      </c>
      <c r="AG200" s="7">
        <v>10</v>
      </c>
      <c r="AH200">
        <f t="shared" si="23"/>
        <v>0</v>
      </c>
      <c r="AI200">
        <f t="shared" si="20"/>
        <v>110</v>
      </c>
      <c r="AK200">
        <f t="shared" si="24"/>
        <v>0</v>
      </c>
      <c r="AL200">
        <v>20.420000000000002</v>
      </c>
      <c r="AM200" t="s">
        <v>27</v>
      </c>
      <c r="AN200">
        <v>20.420000000000002</v>
      </c>
      <c r="AO200" t="b">
        <f t="shared" si="25"/>
        <v>1</v>
      </c>
      <c r="AR200" t="s">
        <v>5061</v>
      </c>
      <c r="AS200" s="21">
        <v>46276</v>
      </c>
      <c r="AT200" t="s">
        <v>15</v>
      </c>
      <c r="AU200" t="s">
        <v>5060</v>
      </c>
      <c r="AV200" t="s">
        <v>5088</v>
      </c>
      <c r="AW200" t="s">
        <v>5060</v>
      </c>
    </row>
    <row r="201" spans="1:49" x14ac:dyDescent="0.35">
      <c r="A201" t="s">
        <v>73</v>
      </c>
      <c r="B201" t="s">
        <v>74</v>
      </c>
      <c r="C201" t="s">
        <v>4818</v>
      </c>
      <c r="D201" t="s">
        <v>18</v>
      </c>
      <c r="E201" t="s">
        <v>803</v>
      </c>
      <c r="F201" t="s">
        <v>804</v>
      </c>
      <c r="G201" t="s">
        <v>21</v>
      </c>
      <c r="H201" t="s">
        <v>4834</v>
      </c>
      <c r="I201" t="s">
        <v>4835</v>
      </c>
      <c r="J201" s="4" t="s">
        <v>4836</v>
      </c>
      <c r="K201" s="4" t="s">
        <v>4832</v>
      </c>
      <c r="L201" s="4" t="s">
        <v>4881</v>
      </c>
      <c r="M201" s="4" t="s">
        <v>5035</v>
      </c>
      <c r="N201" t="s">
        <v>805</v>
      </c>
      <c r="O201" t="s">
        <v>806</v>
      </c>
      <c r="P201" t="s">
        <v>23</v>
      </c>
      <c r="Q201" t="s">
        <v>24</v>
      </c>
      <c r="R201" t="s">
        <v>25</v>
      </c>
      <c r="S201" t="s">
        <v>26</v>
      </c>
      <c r="T201" s="6">
        <v>46307</v>
      </c>
      <c r="U201">
        <v>72</v>
      </c>
      <c r="V201">
        <v>72</v>
      </c>
      <c r="W201">
        <v>80</v>
      </c>
      <c r="X201">
        <v>0</v>
      </c>
      <c r="Y201">
        <f t="shared" si="21"/>
        <v>80</v>
      </c>
      <c r="Z201">
        <f t="shared" si="22"/>
        <v>72</v>
      </c>
      <c r="AC201" s="1">
        <v>0</v>
      </c>
      <c r="AF201">
        <v>0</v>
      </c>
      <c r="AG201" s="7">
        <v>8</v>
      </c>
      <c r="AH201">
        <f t="shared" si="23"/>
        <v>0</v>
      </c>
      <c r="AI201">
        <f t="shared" si="20"/>
        <v>72</v>
      </c>
      <c r="AK201">
        <f t="shared" si="24"/>
        <v>0</v>
      </c>
      <c r="AL201">
        <v>21.63</v>
      </c>
      <c r="AM201" t="s">
        <v>27</v>
      </c>
      <c r="AN201">
        <v>21.63</v>
      </c>
      <c r="AO201" t="b">
        <f t="shared" si="25"/>
        <v>1</v>
      </c>
      <c r="AR201" t="s">
        <v>5061</v>
      </c>
      <c r="AS201" s="21">
        <v>46276</v>
      </c>
      <c r="AT201" t="s">
        <v>15</v>
      </c>
      <c r="AU201" t="s">
        <v>5060</v>
      </c>
      <c r="AV201" t="s">
        <v>5088</v>
      </c>
      <c r="AW201" t="s">
        <v>5060</v>
      </c>
    </row>
    <row r="202" spans="1:49" x14ac:dyDescent="0.35">
      <c r="A202" t="s">
        <v>73</v>
      </c>
      <c r="B202" t="s">
        <v>74</v>
      </c>
      <c r="C202" t="s">
        <v>4818</v>
      </c>
      <c r="D202" t="s">
        <v>18</v>
      </c>
      <c r="E202" t="s">
        <v>807</v>
      </c>
      <c r="F202" t="s">
        <v>808</v>
      </c>
      <c r="G202" t="s">
        <v>21</v>
      </c>
      <c r="H202" t="s">
        <v>4834</v>
      </c>
      <c r="I202" t="s">
        <v>4849</v>
      </c>
      <c r="J202" s="4" t="s">
        <v>4850</v>
      </c>
      <c r="K202" s="4" t="s">
        <v>4837</v>
      </c>
      <c r="L202" s="4" t="s">
        <v>4877</v>
      </c>
      <c r="M202" s="4" t="s">
        <v>5035</v>
      </c>
      <c r="N202" t="s">
        <v>809</v>
      </c>
      <c r="O202" t="s">
        <v>810</v>
      </c>
      <c r="P202" t="s">
        <v>23</v>
      </c>
      <c r="Q202" t="s">
        <v>24</v>
      </c>
      <c r="R202" t="s">
        <v>25</v>
      </c>
      <c r="S202" t="s">
        <v>26</v>
      </c>
      <c r="T202" s="6">
        <v>46307</v>
      </c>
      <c r="U202">
        <v>132</v>
      </c>
      <c r="V202">
        <v>132</v>
      </c>
      <c r="W202">
        <v>138</v>
      </c>
      <c r="X202">
        <v>138</v>
      </c>
      <c r="Y202">
        <f t="shared" si="21"/>
        <v>0</v>
      </c>
      <c r="Z202">
        <f t="shared" si="22"/>
        <v>-6</v>
      </c>
      <c r="AC202" s="1">
        <v>0</v>
      </c>
      <c r="AF202">
        <f>V202</f>
        <v>132</v>
      </c>
      <c r="AG202" s="7">
        <v>6</v>
      </c>
      <c r="AH202">
        <f t="shared" si="23"/>
        <v>132</v>
      </c>
      <c r="AI202">
        <f t="shared" si="20"/>
        <v>0</v>
      </c>
      <c r="AK202">
        <f t="shared" si="24"/>
        <v>22</v>
      </c>
      <c r="AL202">
        <v>14.78</v>
      </c>
      <c r="AM202" t="s">
        <v>27</v>
      </c>
      <c r="AN202">
        <v>14.78</v>
      </c>
      <c r="AO202" t="b">
        <f t="shared" si="25"/>
        <v>1</v>
      </c>
      <c r="AR202" t="s">
        <v>5061</v>
      </c>
      <c r="AS202" s="21">
        <v>46276</v>
      </c>
      <c r="AT202" t="s">
        <v>5064</v>
      </c>
      <c r="AU202" t="s">
        <v>5066</v>
      </c>
      <c r="AV202" t="s">
        <v>5088</v>
      </c>
      <c r="AW202" t="s">
        <v>5086</v>
      </c>
    </row>
    <row r="203" spans="1:49" x14ac:dyDescent="0.35">
      <c r="A203" t="s">
        <v>73</v>
      </c>
      <c r="B203" t="s">
        <v>74</v>
      </c>
      <c r="C203" t="s">
        <v>4818</v>
      </c>
      <c r="D203" t="s">
        <v>18</v>
      </c>
      <c r="E203" t="s">
        <v>811</v>
      </c>
      <c r="F203" t="s">
        <v>812</v>
      </c>
      <c r="G203" t="s">
        <v>21</v>
      </c>
      <c r="H203" t="s">
        <v>4834</v>
      </c>
      <c r="I203" t="s">
        <v>4835</v>
      </c>
      <c r="J203" s="4" t="s">
        <v>4836</v>
      </c>
      <c r="K203" s="4" t="s">
        <v>4845</v>
      </c>
      <c r="L203" s="4" t="s">
        <v>4882</v>
      </c>
      <c r="M203" s="4" t="s">
        <v>5035</v>
      </c>
      <c r="N203" t="s">
        <v>813</v>
      </c>
      <c r="O203" t="s">
        <v>814</v>
      </c>
      <c r="P203" t="s">
        <v>23</v>
      </c>
      <c r="Q203" t="s">
        <v>24</v>
      </c>
      <c r="R203" t="s">
        <v>25</v>
      </c>
      <c r="S203" t="s">
        <v>26</v>
      </c>
      <c r="T203" s="6">
        <v>46307</v>
      </c>
      <c r="U203">
        <v>16</v>
      </c>
      <c r="V203">
        <v>16</v>
      </c>
      <c r="W203">
        <v>40</v>
      </c>
      <c r="X203">
        <v>0</v>
      </c>
      <c r="Y203">
        <f t="shared" si="21"/>
        <v>40</v>
      </c>
      <c r="Z203">
        <f t="shared" si="22"/>
        <v>16</v>
      </c>
      <c r="AC203" s="1">
        <v>0</v>
      </c>
      <c r="AF203">
        <v>0</v>
      </c>
      <c r="AG203" s="7">
        <v>8</v>
      </c>
      <c r="AH203">
        <f t="shared" si="23"/>
        <v>0</v>
      </c>
      <c r="AI203">
        <f t="shared" si="20"/>
        <v>16</v>
      </c>
      <c r="AK203">
        <f t="shared" si="24"/>
        <v>0</v>
      </c>
      <c r="AL203">
        <v>21.63</v>
      </c>
      <c r="AM203" t="s">
        <v>27</v>
      </c>
      <c r="AN203">
        <v>21.63</v>
      </c>
      <c r="AO203" t="b">
        <f t="shared" si="25"/>
        <v>1</v>
      </c>
      <c r="AR203" t="s">
        <v>5061</v>
      </c>
      <c r="AS203" s="21">
        <v>46276</v>
      </c>
      <c r="AT203" t="s">
        <v>15</v>
      </c>
      <c r="AU203" t="s">
        <v>5060</v>
      </c>
      <c r="AV203" t="s">
        <v>5088</v>
      </c>
      <c r="AW203" t="s">
        <v>5060</v>
      </c>
    </row>
    <row r="204" spans="1:49" x14ac:dyDescent="0.35">
      <c r="A204" t="s">
        <v>73</v>
      </c>
      <c r="B204" t="s">
        <v>74</v>
      </c>
      <c r="C204" t="s">
        <v>4818</v>
      </c>
      <c r="D204" t="s">
        <v>18</v>
      </c>
      <c r="E204" t="s">
        <v>815</v>
      </c>
      <c r="F204" t="s">
        <v>816</v>
      </c>
      <c r="G204" t="s">
        <v>21</v>
      </c>
      <c r="H204" t="s">
        <v>4834</v>
      </c>
      <c r="I204" t="s">
        <v>4839</v>
      </c>
      <c r="J204" s="4" t="s">
        <v>4840</v>
      </c>
      <c r="K204" s="4" t="s">
        <v>4837</v>
      </c>
      <c r="L204" s="4" t="s">
        <v>4858</v>
      </c>
      <c r="M204" s="4" t="s">
        <v>5035</v>
      </c>
      <c r="N204" t="s">
        <v>817</v>
      </c>
      <c r="O204" t="s">
        <v>818</v>
      </c>
      <c r="P204" t="s">
        <v>23</v>
      </c>
      <c r="Q204" t="s">
        <v>24</v>
      </c>
      <c r="R204" t="s">
        <v>25</v>
      </c>
      <c r="S204" t="s">
        <v>26</v>
      </c>
      <c r="T204" s="6">
        <v>46307</v>
      </c>
      <c r="U204">
        <v>80</v>
      </c>
      <c r="V204">
        <v>80</v>
      </c>
      <c r="W204">
        <v>80</v>
      </c>
      <c r="X204">
        <v>0</v>
      </c>
      <c r="Y204">
        <f t="shared" si="21"/>
        <v>80</v>
      </c>
      <c r="Z204">
        <f t="shared" si="22"/>
        <v>80</v>
      </c>
      <c r="AC204" s="1">
        <v>0</v>
      </c>
      <c r="AF204">
        <v>0</v>
      </c>
      <c r="AG204" s="7">
        <v>10</v>
      </c>
      <c r="AH204">
        <f t="shared" si="23"/>
        <v>0</v>
      </c>
      <c r="AI204">
        <f t="shared" si="20"/>
        <v>80</v>
      </c>
      <c r="AK204">
        <f t="shared" si="24"/>
        <v>0</v>
      </c>
      <c r="AL204">
        <v>20.420000000000002</v>
      </c>
      <c r="AM204" t="s">
        <v>27</v>
      </c>
      <c r="AN204">
        <v>20.420000000000002</v>
      </c>
      <c r="AO204" t="b">
        <f t="shared" si="25"/>
        <v>1</v>
      </c>
      <c r="AR204" t="s">
        <v>5061</v>
      </c>
      <c r="AS204" s="21">
        <v>46276</v>
      </c>
      <c r="AT204" t="s">
        <v>15</v>
      </c>
      <c r="AU204" t="s">
        <v>5060</v>
      </c>
      <c r="AV204" t="s">
        <v>5088</v>
      </c>
      <c r="AW204" t="s">
        <v>5060</v>
      </c>
    </row>
    <row r="205" spans="1:49" x14ac:dyDescent="0.35">
      <c r="A205" t="s">
        <v>73</v>
      </c>
      <c r="B205" t="s">
        <v>74</v>
      </c>
      <c r="C205" t="s">
        <v>4818</v>
      </c>
      <c r="D205" t="s">
        <v>18</v>
      </c>
      <c r="E205" t="s">
        <v>819</v>
      </c>
      <c r="F205" t="s">
        <v>820</v>
      </c>
      <c r="G205" t="s">
        <v>21</v>
      </c>
      <c r="H205" t="s">
        <v>4834</v>
      </c>
      <c r="I205" t="s">
        <v>4839</v>
      </c>
      <c r="J205" s="4" t="s">
        <v>4840</v>
      </c>
      <c r="K205" s="4" t="s">
        <v>4854</v>
      </c>
      <c r="L205" s="4" t="s">
        <v>4841</v>
      </c>
      <c r="M205" s="4" t="s">
        <v>5035</v>
      </c>
      <c r="N205" t="s">
        <v>821</v>
      </c>
      <c r="O205" t="s">
        <v>822</v>
      </c>
      <c r="P205" t="s">
        <v>23</v>
      </c>
      <c r="Q205" t="s">
        <v>24</v>
      </c>
      <c r="R205" t="s">
        <v>25</v>
      </c>
      <c r="S205" t="s">
        <v>26</v>
      </c>
      <c r="T205" s="6">
        <v>46307</v>
      </c>
      <c r="U205">
        <v>70</v>
      </c>
      <c r="V205">
        <v>70</v>
      </c>
      <c r="W205">
        <v>70</v>
      </c>
      <c r="X205">
        <v>70</v>
      </c>
      <c r="Y205">
        <f t="shared" si="21"/>
        <v>0</v>
      </c>
      <c r="Z205">
        <f t="shared" si="22"/>
        <v>0</v>
      </c>
      <c r="AC205" s="1">
        <v>0</v>
      </c>
      <c r="AF205">
        <f>V205</f>
        <v>70</v>
      </c>
      <c r="AG205" s="7">
        <v>10</v>
      </c>
      <c r="AH205">
        <f t="shared" si="23"/>
        <v>70</v>
      </c>
      <c r="AI205">
        <f t="shared" si="20"/>
        <v>0</v>
      </c>
      <c r="AK205">
        <f t="shared" si="24"/>
        <v>7</v>
      </c>
      <c r="AL205">
        <v>20.420000000000002</v>
      </c>
      <c r="AM205" t="s">
        <v>27</v>
      </c>
      <c r="AN205">
        <v>20.420000000000002</v>
      </c>
      <c r="AO205" t="b">
        <f t="shared" si="25"/>
        <v>1</v>
      </c>
      <c r="AR205" t="s">
        <v>5061</v>
      </c>
      <c r="AS205" s="21">
        <v>46276</v>
      </c>
      <c r="AT205" t="s">
        <v>5064</v>
      </c>
      <c r="AU205" t="s">
        <v>5065</v>
      </c>
      <c r="AV205" t="s">
        <v>5088</v>
      </c>
      <c r="AW205" t="s">
        <v>5086</v>
      </c>
    </row>
    <row r="206" spans="1:49" x14ac:dyDescent="0.35">
      <c r="A206" t="s">
        <v>73</v>
      </c>
      <c r="B206" t="s">
        <v>74</v>
      </c>
      <c r="C206" t="s">
        <v>4818</v>
      </c>
      <c r="D206" t="s">
        <v>18</v>
      </c>
      <c r="E206" t="s">
        <v>823</v>
      </c>
      <c r="F206" t="s">
        <v>824</v>
      </c>
      <c r="G206" t="s">
        <v>21</v>
      </c>
      <c r="H206" t="s">
        <v>4834</v>
      </c>
      <c r="I206" t="s">
        <v>4839</v>
      </c>
      <c r="J206" s="4" t="s">
        <v>4840</v>
      </c>
      <c r="K206" s="4" t="s">
        <v>4832</v>
      </c>
      <c r="L206" s="4" t="s">
        <v>4865</v>
      </c>
      <c r="M206" s="4" t="s">
        <v>5035</v>
      </c>
      <c r="N206" t="s">
        <v>825</v>
      </c>
      <c r="O206" t="s">
        <v>826</v>
      </c>
      <c r="P206" t="s">
        <v>23</v>
      </c>
      <c r="Q206" t="s">
        <v>24</v>
      </c>
      <c r="R206" t="s">
        <v>25</v>
      </c>
      <c r="S206" t="s">
        <v>26</v>
      </c>
      <c r="T206" s="6">
        <v>46307</v>
      </c>
      <c r="U206">
        <v>20</v>
      </c>
      <c r="V206">
        <v>20</v>
      </c>
      <c r="W206">
        <v>20</v>
      </c>
      <c r="X206">
        <v>20</v>
      </c>
      <c r="Y206">
        <f t="shared" si="21"/>
        <v>0</v>
      </c>
      <c r="Z206">
        <f t="shared" si="22"/>
        <v>0</v>
      </c>
      <c r="AC206" s="1">
        <v>0</v>
      </c>
      <c r="AF206">
        <f>V206</f>
        <v>20</v>
      </c>
      <c r="AG206" s="7">
        <v>10</v>
      </c>
      <c r="AH206">
        <f t="shared" si="23"/>
        <v>20</v>
      </c>
      <c r="AI206">
        <f t="shared" si="20"/>
        <v>0</v>
      </c>
      <c r="AK206">
        <f t="shared" si="24"/>
        <v>2</v>
      </c>
      <c r="AL206">
        <v>20.420000000000002</v>
      </c>
      <c r="AM206" t="s">
        <v>27</v>
      </c>
      <c r="AN206">
        <v>20.420000000000002</v>
      </c>
      <c r="AO206" t="b">
        <f t="shared" si="25"/>
        <v>1</v>
      </c>
      <c r="AR206" t="s">
        <v>5061</v>
      </c>
      <c r="AS206" s="21">
        <v>46276</v>
      </c>
      <c r="AT206" t="s">
        <v>5064</v>
      </c>
      <c r="AU206" t="s">
        <v>5065</v>
      </c>
      <c r="AV206" t="s">
        <v>5088</v>
      </c>
      <c r="AW206" t="s">
        <v>5086</v>
      </c>
    </row>
    <row r="207" spans="1:49" x14ac:dyDescent="0.35">
      <c r="A207" t="s">
        <v>73</v>
      </c>
      <c r="B207" t="s">
        <v>74</v>
      </c>
      <c r="C207" t="s">
        <v>4818</v>
      </c>
      <c r="D207" t="s">
        <v>18</v>
      </c>
      <c r="E207" t="s">
        <v>827</v>
      </c>
      <c r="F207" t="s">
        <v>828</v>
      </c>
      <c r="G207" t="s">
        <v>21</v>
      </c>
      <c r="H207" t="s">
        <v>4834</v>
      </c>
      <c r="I207" t="s">
        <v>4835</v>
      </c>
      <c r="J207" s="4" t="s">
        <v>4836</v>
      </c>
      <c r="K207" s="4" t="s">
        <v>4832</v>
      </c>
      <c r="L207" s="4" t="s">
        <v>4847</v>
      </c>
      <c r="M207" s="4" t="s">
        <v>5035</v>
      </c>
      <c r="N207" t="s">
        <v>829</v>
      </c>
      <c r="O207" t="s">
        <v>830</v>
      </c>
      <c r="P207" t="s">
        <v>23</v>
      </c>
      <c r="Q207" t="s">
        <v>24</v>
      </c>
      <c r="R207" t="s">
        <v>25</v>
      </c>
      <c r="S207" t="s">
        <v>26</v>
      </c>
      <c r="T207" s="6">
        <v>46307</v>
      </c>
      <c r="U207">
        <v>48</v>
      </c>
      <c r="V207">
        <v>48</v>
      </c>
      <c r="W207">
        <v>48</v>
      </c>
      <c r="X207">
        <v>0</v>
      </c>
      <c r="Y207">
        <f t="shared" si="21"/>
        <v>48</v>
      </c>
      <c r="Z207">
        <f t="shared" si="22"/>
        <v>48</v>
      </c>
      <c r="AC207" s="1">
        <v>0</v>
      </c>
      <c r="AF207">
        <v>0</v>
      </c>
      <c r="AG207" s="7">
        <v>8</v>
      </c>
      <c r="AH207">
        <f t="shared" si="23"/>
        <v>0</v>
      </c>
      <c r="AI207">
        <f t="shared" si="20"/>
        <v>48</v>
      </c>
      <c r="AK207">
        <f t="shared" si="24"/>
        <v>0</v>
      </c>
      <c r="AL207">
        <v>21.63</v>
      </c>
      <c r="AM207" t="s">
        <v>27</v>
      </c>
      <c r="AN207">
        <v>21.63</v>
      </c>
      <c r="AO207" t="b">
        <f t="shared" si="25"/>
        <v>1</v>
      </c>
      <c r="AR207" t="s">
        <v>5061</v>
      </c>
      <c r="AS207" s="21">
        <v>46276</v>
      </c>
      <c r="AT207" t="s">
        <v>15</v>
      </c>
      <c r="AU207" t="s">
        <v>5060</v>
      </c>
      <c r="AV207" t="s">
        <v>5088</v>
      </c>
      <c r="AW207" t="s">
        <v>5060</v>
      </c>
    </row>
    <row r="208" spans="1:49" x14ac:dyDescent="0.35">
      <c r="A208" t="s">
        <v>73</v>
      </c>
      <c r="B208" t="s">
        <v>74</v>
      </c>
      <c r="C208" t="s">
        <v>4818</v>
      </c>
      <c r="D208" t="s">
        <v>18</v>
      </c>
      <c r="E208" t="s">
        <v>831</v>
      </c>
      <c r="F208" t="s">
        <v>832</v>
      </c>
      <c r="G208" t="s">
        <v>21</v>
      </c>
      <c r="H208" t="s">
        <v>4834</v>
      </c>
      <c r="I208" t="s">
        <v>4835</v>
      </c>
      <c r="J208" s="4" t="s">
        <v>4836</v>
      </c>
      <c r="K208" s="4" t="s">
        <v>4832</v>
      </c>
      <c r="L208" s="4" t="s">
        <v>4887</v>
      </c>
      <c r="M208" s="4" t="s">
        <v>5035</v>
      </c>
      <c r="N208" t="s">
        <v>833</v>
      </c>
      <c r="O208" t="s">
        <v>834</v>
      </c>
      <c r="P208" t="s">
        <v>23</v>
      </c>
      <c r="Q208" t="s">
        <v>24</v>
      </c>
      <c r="R208" t="s">
        <v>25</v>
      </c>
      <c r="S208" t="s">
        <v>26</v>
      </c>
      <c r="T208" s="6">
        <v>46307</v>
      </c>
      <c r="U208">
        <v>232</v>
      </c>
      <c r="V208">
        <v>232</v>
      </c>
      <c r="W208">
        <v>248</v>
      </c>
      <c r="X208">
        <v>0</v>
      </c>
      <c r="Y208">
        <f t="shared" si="21"/>
        <v>248</v>
      </c>
      <c r="Z208">
        <f t="shared" si="22"/>
        <v>232</v>
      </c>
      <c r="AC208" s="1">
        <v>0</v>
      </c>
      <c r="AF208">
        <v>0</v>
      </c>
      <c r="AG208" s="7">
        <v>8</v>
      </c>
      <c r="AH208">
        <f t="shared" si="23"/>
        <v>0</v>
      </c>
      <c r="AI208">
        <f t="shared" si="20"/>
        <v>232</v>
      </c>
      <c r="AK208">
        <f t="shared" si="24"/>
        <v>0</v>
      </c>
      <c r="AL208">
        <v>21.63</v>
      </c>
      <c r="AM208" t="s">
        <v>27</v>
      </c>
      <c r="AN208">
        <v>21.63</v>
      </c>
      <c r="AO208" t="b">
        <f t="shared" si="25"/>
        <v>1</v>
      </c>
      <c r="AR208" t="s">
        <v>5061</v>
      </c>
      <c r="AS208" s="21">
        <v>46276</v>
      </c>
      <c r="AT208" t="s">
        <v>15</v>
      </c>
      <c r="AU208" t="s">
        <v>5060</v>
      </c>
      <c r="AV208" t="s">
        <v>5088</v>
      </c>
      <c r="AW208" t="s">
        <v>5060</v>
      </c>
    </row>
    <row r="209" spans="1:49" x14ac:dyDescent="0.35">
      <c r="A209" t="s">
        <v>73</v>
      </c>
      <c r="B209" t="s">
        <v>74</v>
      </c>
      <c r="C209" t="s">
        <v>4818</v>
      </c>
      <c r="D209" t="s">
        <v>18</v>
      </c>
      <c r="E209" t="s">
        <v>835</v>
      </c>
      <c r="F209" t="s">
        <v>836</v>
      </c>
      <c r="G209" t="s">
        <v>21</v>
      </c>
      <c r="H209" t="s">
        <v>4834</v>
      </c>
      <c r="I209" t="s">
        <v>4839</v>
      </c>
      <c r="J209" s="4" t="s">
        <v>4840</v>
      </c>
      <c r="K209" s="4" t="s">
        <v>4845</v>
      </c>
      <c r="L209" s="4" t="s">
        <v>4846</v>
      </c>
      <c r="M209" s="4" t="s">
        <v>5035</v>
      </c>
      <c r="N209" t="s">
        <v>837</v>
      </c>
      <c r="O209" t="s">
        <v>838</v>
      </c>
      <c r="P209" t="s">
        <v>23</v>
      </c>
      <c r="Q209" t="s">
        <v>24</v>
      </c>
      <c r="R209" t="s">
        <v>25</v>
      </c>
      <c r="S209" t="s">
        <v>26</v>
      </c>
      <c r="T209" s="6">
        <v>46307</v>
      </c>
      <c r="U209">
        <v>100</v>
      </c>
      <c r="V209">
        <v>100</v>
      </c>
      <c r="W209">
        <v>100</v>
      </c>
      <c r="X209">
        <v>0</v>
      </c>
      <c r="Y209">
        <f t="shared" si="21"/>
        <v>100</v>
      </c>
      <c r="Z209">
        <f t="shared" si="22"/>
        <v>100</v>
      </c>
      <c r="AC209" s="1">
        <v>0</v>
      </c>
      <c r="AF209">
        <v>0</v>
      </c>
      <c r="AG209" s="7">
        <v>10</v>
      </c>
      <c r="AH209">
        <f t="shared" si="23"/>
        <v>0</v>
      </c>
      <c r="AI209">
        <f t="shared" si="20"/>
        <v>100</v>
      </c>
      <c r="AK209">
        <f t="shared" si="24"/>
        <v>0</v>
      </c>
      <c r="AL209">
        <v>20.420000000000002</v>
      </c>
      <c r="AM209" t="s">
        <v>27</v>
      </c>
      <c r="AN209">
        <v>20.420000000000002</v>
      </c>
      <c r="AO209" t="b">
        <f t="shared" si="25"/>
        <v>1</v>
      </c>
      <c r="AR209" t="s">
        <v>5061</v>
      </c>
      <c r="AS209" s="21">
        <v>46276</v>
      </c>
      <c r="AT209" t="s">
        <v>15</v>
      </c>
      <c r="AU209" t="s">
        <v>5060</v>
      </c>
      <c r="AV209" t="s">
        <v>5088</v>
      </c>
      <c r="AW209" t="s">
        <v>5060</v>
      </c>
    </row>
    <row r="210" spans="1:49" x14ac:dyDescent="0.35">
      <c r="A210" t="s">
        <v>73</v>
      </c>
      <c r="B210" t="s">
        <v>74</v>
      </c>
      <c r="C210" t="s">
        <v>4818</v>
      </c>
      <c r="D210" t="s">
        <v>18</v>
      </c>
      <c r="E210" t="s">
        <v>839</v>
      </c>
      <c r="F210" t="s">
        <v>840</v>
      </c>
      <c r="G210" t="s">
        <v>21</v>
      </c>
      <c r="H210" t="s">
        <v>4834</v>
      </c>
      <c r="I210" t="s">
        <v>4839</v>
      </c>
      <c r="J210" s="4" t="s">
        <v>4840</v>
      </c>
      <c r="K210" s="4" t="s">
        <v>4845</v>
      </c>
      <c r="L210" s="4" t="s">
        <v>4866</v>
      </c>
      <c r="M210" s="4" t="s">
        <v>5035</v>
      </c>
      <c r="N210" t="s">
        <v>841</v>
      </c>
      <c r="O210" t="s">
        <v>842</v>
      </c>
      <c r="P210" t="s">
        <v>23</v>
      </c>
      <c r="Q210" t="s">
        <v>24</v>
      </c>
      <c r="R210" t="s">
        <v>25</v>
      </c>
      <c r="S210" t="s">
        <v>26</v>
      </c>
      <c r="T210" s="6">
        <v>46307</v>
      </c>
      <c r="U210">
        <v>100</v>
      </c>
      <c r="V210">
        <v>100</v>
      </c>
      <c r="W210">
        <v>110</v>
      </c>
      <c r="X210">
        <v>0</v>
      </c>
      <c r="Y210">
        <f t="shared" si="21"/>
        <v>110</v>
      </c>
      <c r="Z210">
        <f t="shared" si="22"/>
        <v>100</v>
      </c>
      <c r="AC210" s="1">
        <v>0</v>
      </c>
      <c r="AF210">
        <v>0</v>
      </c>
      <c r="AG210" s="7">
        <v>10</v>
      </c>
      <c r="AH210">
        <f t="shared" si="23"/>
        <v>0</v>
      </c>
      <c r="AI210">
        <f t="shared" si="20"/>
        <v>100</v>
      </c>
      <c r="AK210">
        <f t="shared" si="24"/>
        <v>0</v>
      </c>
      <c r="AL210">
        <v>20.420000000000002</v>
      </c>
      <c r="AM210" t="s">
        <v>27</v>
      </c>
      <c r="AN210">
        <v>20.420000000000002</v>
      </c>
      <c r="AO210" t="b">
        <f t="shared" si="25"/>
        <v>1</v>
      </c>
      <c r="AR210" t="s">
        <v>5061</v>
      </c>
      <c r="AS210" s="21">
        <v>46276</v>
      </c>
      <c r="AT210" t="s">
        <v>15</v>
      </c>
      <c r="AU210" t="s">
        <v>5060</v>
      </c>
      <c r="AV210" t="s">
        <v>5088</v>
      </c>
      <c r="AW210" t="s">
        <v>5060</v>
      </c>
    </row>
    <row r="211" spans="1:49" x14ac:dyDescent="0.35">
      <c r="A211" t="s">
        <v>73</v>
      </c>
      <c r="B211" t="s">
        <v>74</v>
      </c>
      <c r="C211" t="s">
        <v>4818</v>
      </c>
      <c r="D211" t="s">
        <v>18</v>
      </c>
      <c r="E211" t="s">
        <v>843</v>
      </c>
      <c r="F211" t="s">
        <v>844</v>
      </c>
      <c r="G211" t="s">
        <v>21</v>
      </c>
      <c r="H211" t="s">
        <v>4834</v>
      </c>
      <c r="I211" t="s">
        <v>4839</v>
      </c>
      <c r="J211" s="4" t="s">
        <v>4840</v>
      </c>
      <c r="K211" s="4" t="s">
        <v>4837</v>
      </c>
      <c r="L211" s="4" t="s">
        <v>4878</v>
      </c>
      <c r="M211" s="4" t="s">
        <v>5035</v>
      </c>
      <c r="N211" t="s">
        <v>845</v>
      </c>
      <c r="O211" t="s">
        <v>846</v>
      </c>
      <c r="P211" t="s">
        <v>23</v>
      </c>
      <c r="Q211" t="s">
        <v>24</v>
      </c>
      <c r="R211" t="s">
        <v>25</v>
      </c>
      <c r="S211" t="s">
        <v>26</v>
      </c>
      <c r="T211" s="6">
        <v>46307</v>
      </c>
      <c r="U211">
        <v>60</v>
      </c>
      <c r="V211">
        <v>60</v>
      </c>
      <c r="W211">
        <v>60</v>
      </c>
      <c r="X211">
        <v>0</v>
      </c>
      <c r="Y211">
        <f t="shared" si="21"/>
        <v>60</v>
      </c>
      <c r="Z211">
        <f t="shared" si="22"/>
        <v>60</v>
      </c>
      <c r="AC211" s="1">
        <v>0</v>
      </c>
      <c r="AF211">
        <v>0</v>
      </c>
      <c r="AG211" s="7">
        <v>10</v>
      </c>
      <c r="AH211">
        <f t="shared" si="23"/>
        <v>0</v>
      </c>
      <c r="AI211">
        <f t="shared" si="20"/>
        <v>60</v>
      </c>
      <c r="AK211">
        <f t="shared" si="24"/>
        <v>0</v>
      </c>
      <c r="AL211">
        <v>20.420000000000002</v>
      </c>
      <c r="AM211" t="s">
        <v>27</v>
      </c>
      <c r="AN211">
        <v>20.420000000000002</v>
      </c>
      <c r="AO211" t="b">
        <f t="shared" si="25"/>
        <v>1</v>
      </c>
      <c r="AR211" t="s">
        <v>5061</v>
      </c>
      <c r="AS211" s="21">
        <v>46276</v>
      </c>
      <c r="AT211" t="s">
        <v>15</v>
      </c>
      <c r="AU211" t="s">
        <v>5060</v>
      </c>
      <c r="AV211" t="s">
        <v>5088</v>
      </c>
      <c r="AW211" t="s">
        <v>5060</v>
      </c>
    </row>
    <row r="212" spans="1:49" x14ac:dyDescent="0.35">
      <c r="A212" t="s">
        <v>73</v>
      </c>
      <c r="B212" t="s">
        <v>74</v>
      </c>
      <c r="C212" t="s">
        <v>4818</v>
      </c>
      <c r="D212" t="s">
        <v>18</v>
      </c>
      <c r="E212" t="s">
        <v>847</v>
      </c>
      <c r="F212" t="s">
        <v>848</v>
      </c>
      <c r="G212" t="s">
        <v>21</v>
      </c>
      <c r="H212" t="s">
        <v>4834</v>
      </c>
      <c r="I212" t="s">
        <v>4849</v>
      </c>
      <c r="J212" s="4" t="s">
        <v>4850</v>
      </c>
      <c r="K212" s="4" t="s">
        <v>4862</v>
      </c>
      <c r="L212" s="4" t="s">
        <v>4886</v>
      </c>
      <c r="M212" s="4" t="s">
        <v>5035</v>
      </c>
      <c r="N212" t="s">
        <v>849</v>
      </c>
      <c r="O212" t="s">
        <v>850</v>
      </c>
      <c r="P212" t="s">
        <v>23</v>
      </c>
      <c r="Q212" t="s">
        <v>24</v>
      </c>
      <c r="R212" t="s">
        <v>25</v>
      </c>
      <c r="S212" t="s">
        <v>26</v>
      </c>
      <c r="T212" s="6">
        <v>46307</v>
      </c>
      <c r="U212">
        <v>108</v>
      </c>
      <c r="V212">
        <v>108</v>
      </c>
      <c r="W212">
        <v>114</v>
      </c>
      <c r="X212">
        <v>114</v>
      </c>
      <c r="Y212">
        <f t="shared" si="21"/>
        <v>0</v>
      </c>
      <c r="Z212">
        <f t="shared" si="22"/>
        <v>-6</v>
      </c>
      <c r="AC212" s="1">
        <v>0</v>
      </c>
      <c r="AF212">
        <f>V212</f>
        <v>108</v>
      </c>
      <c r="AG212" s="7">
        <v>6</v>
      </c>
      <c r="AH212">
        <f t="shared" si="23"/>
        <v>108</v>
      </c>
      <c r="AI212">
        <f t="shared" si="20"/>
        <v>0</v>
      </c>
      <c r="AK212">
        <f t="shared" si="24"/>
        <v>18</v>
      </c>
      <c r="AL212">
        <v>14.78</v>
      </c>
      <c r="AM212" t="s">
        <v>27</v>
      </c>
      <c r="AN212">
        <v>14.78</v>
      </c>
      <c r="AO212" t="b">
        <f t="shared" si="25"/>
        <v>1</v>
      </c>
      <c r="AR212" t="s">
        <v>5061</v>
      </c>
      <c r="AS212" s="21">
        <v>46276</v>
      </c>
      <c r="AT212" t="s">
        <v>5064</v>
      </c>
      <c r="AU212" t="s">
        <v>5066</v>
      </c>
      <c r="AV212" t="s">
        <v>5088</v>
      </c>
      <c r="AW212" t="s">
        <v>5086</v>
      </c>
    </row>
    <row r="213" spans="1:49" x14ac:dyDescent="0.35">
      <c r="A213" t="s">
        <v>73</v>
      </c>
      <c r="B213" t="s">
        <v>74</v>
      </c>
      <c r="C213" t="s">
        <v>4818</v>
      </c>
      <c r="D213" t="s">
        <v>18</v>
      </c>
      <c r="E213" t="s">
        <v>851</v>
      </c>
      <c r="F213" t="s">
        <v>852</v>
      </c>
      <c r="G213" t="s">
        <v>21</v>
      </c>
      <c r="H213" t="s">
        <v>4834</v>
      </c>
      <c r="I213" t="s">
        <v>4849</v>
      </c>
      <c r="J213" s="4" t="s">
        <v>4850</v>
      </c>
      <c r="K213" s="4" t="s">
        <v>4854</v>
      </c>
      <c r="L213" s="4" t="s">
        <v>4853</v>
      </c>
      <c r="M213" s="4" t="s">
        <v>5035</v>
      </c>
      <c r="N213" t="s">
        <v>853</v>
      </c>
      <c r="O213" t="s">
        <v>854</v>
      </c>
      <c r="P213" t="s">
        <v>23</v>
      </c>
      <c r="Q213" t="s">
        <v>24</v>
      </c>
      <c r="R213" t="s">
        <v>25</v>
      </c>
      <c r="S213" t="s">
        <v>26</v>
      </c>
      <c r="T213" s="6">
        <v>46307</v>
      </c>
      <c r="U213">
        <v>78</v>
      </c>
      <c r="V213">
        <v>78</v>
      </c>
      <c r="W213">
        <v>84</v>
      </c>
      <c r="X213">
        <v>84</v>
      </c>
      <c r="Y213">
        <f t="shared" si="21"/>
        <v>0</v>
      </c>
      <c r="Z213">
        <f t="shared" si="22"/>
        <v>-6</v>
      </c>
      <c r="AC213" s="1">
        <v>0</v>
      </c>
      <c r="AF213">
        <f>V213</f>
        <v>78</v>
      </c>
      <c r="AG213" s="7">
        <v>6</v>
      </c>
      <c r="AH213">
        <f t="shared" si="23"/>
        <v>78</v>
      </c>
      <c r="AI213">
        <f t="shared" si="20"/>
        <v>0</v>
      </c>
      <c r="AK213">
        <f t="shared" si="24"/>
        <v>13</v>
      </c>
      <c r="AL213">
        <v>14.78</v>
      </c>
      <c r="AM213" t="s">
        <v>27</v>
      </c>
      <c r="AN213">
        <v>14.78</v>
      </c>
      <c r="AO213" t="b">
        <f t="shared" si="25"/>
        <v>1</v>
      </c>
      <c r="AR213" t="s">
        <v>5061</v>
      </c>
      <c r="AS213" s="21">
        <v>46276</v>
      </c>
      <c r="AT213" t="s">
        <v>5064</v>
      </c>
      <c r="AU213" t="s">
        <v>5066</v>
      </c>
      <c r="AV213" t="s">
        <v>5088</v>
      </c>
      <c r="AW213" t="s">
        <v>5086</v>
      </c>
    </row>
    <row r="214" spans="1:49" x14ac:dyDescent="0.35">
      <c r="A214" t="s">
        <v>73</v>
      </c>
      <c r="B214" t="s">
        <v>74</v>
      </c>
      <c r="C214" t="s">
        <v>4818</v>
      </c>
      <c r="D214" t="s">
        <v>18</v>
      </c>
      <c r="E214" t="s">
        <v>855</v>
      </c>
      <c r="F214" t="s">
        <v>856</v>
      </c>
      <c r="G214" t="s">
        <v>21</v>
      </c>
      <c r="H214" t="s">
        <v>4834</v>
      </c>
      <c r="I214" t="s">
        <v>4849</v>
      </c>
      <c r="J214" s="4" t="s">
        <v>4850</v>
      </c>
      <c r="K214" s="4" t="s">
        <v>4862</v>
      </c>
      <c r="L214" s="4" t="s">
        <v>4864</v>
      </c>
      <c r="M214" s="4" t="s">
        <v>5035</v>
      </c>
      <c r="N214" t="s">
        <v>857</v>
      </c>
      <c r="O214" t="s">
        <v>858</v>
      </c>
      <c r="P214" t="s">
        <v>23</v>
      </c>
      <c r="Q214" t="s">
        <v>24</v>
      </c>
      <c r="R214" t="s">
        <v>25</v>
      </c>
      <c r="S214" t="s">
        <v>26</v>
      </c>
      <c r="T214" s="6">
        <v>46307</v>
      </c>
      <c r="U214">
        <v>48</v>
      </c>
      <c r="V214">
        <v>48</v>
      </c>
      <c r="W214">
        <v>48</v>
      </c>
      <c r="X214">
        <v>0</v>
      </c>
      <c r="Y214">
        <f t="shared" si="21"/>
        <v>48</v>
      </c>
      <c r="Z214">
        <f t="shared" si="22"/>
        <v>48</v>
      </c>
      <c r="AC214" s="1">
        <v>0</v>
      </c>
      <c r="AF214">
        <v>0</v>
      </c>
      <c r="AG214" s="7">
        <v>6</v>
      </c>
      <c r="AH214">
        <f t="shared" si="23"/>
        <v>0</v>
      </c>
      <c r="AI214">
        <f t="shared" si="20"/>
        <v>48</v>
      </c>
      <c r="AK214">
        <f t="shared" si="24"/>
        <v>0</v>
      </c>
      <c r="AL214">
        <v>14.78</v>
      </c>
      <c r="AM214" t="s">
        <v>27</v>
      </c>
      <c r="AN214">
        <v>14.78</v>
      </c>
      <c r="AO214" t="b">
        <f t="shared" si="25"/>
        <v>1</v>
      </c>
      <c r="AR214" t="s">
        <v>5061</v>
      </c>
      <c r="AS214" s="21">
        <v>46276</v>
      </c>
      <c r="AT214" t="s">
        <v>15</v>
      </c>
      <c r="AU214" t="s">
        <v>5060</v>
      </c>
      <c r="AV214" t="s">
        <v>5088</v>
      </c>
      <c r="AW214" t="s">
        <v>5060</v>
      </c>
    </row>
    <row r="215" spans="1:49" x14ac:dyDescent="0.35">
      <c r="A215" t="s">
        <v>73</v>
      </c>
      <c r="B215" t="s">
        <v>74</v>
      </c>
      <c r="C215" t="s">
        <v>4818</v>
      </c>
      <c r="D215" t="s">
        <v>18</v>
      </c>
      <c r="E215" t="s">
        <v>859</v>
      </c>
      <c r="F215" t="s">
        <v>860</v>
      </c>
      <c r="G215" t="s">
        <v>21</v>
      </c>
      <c r="H215" t="s">
        <v>4834</v>
      </c>
      <c r="I215" t="s">
        <v>4835</v>
      </c>
      <c r="J215" s="4" t="s">
        <v>4836</v>
      </c>
      <c r="K215" s="4" t="s">
        <v>4832</v>
      </c>
      <c r="L215" s="4" t="s">
        <v>4882</v>
      </c>
      <c r="M215" s="4" t="s">
        <v>5035</v>
      </c>
      <c r="N215" t="s">
        <v>861</v>
      </c>
      <c r="O215" t="s">
        <v>862</v>
      </c>
      <c r="P215" t="s">
        <v>23</v>
      </c>
      <c r="Q215" t="s">
        <v>24</v>
      </c>
      <c r="R215" t="s">
        <v>25</v>
      </c>
      <c r="S215" t="s">
        <v>26</v>
      </c>
      <c r="T215" s="6">
        <v>46307</v>
      </c>
      <c r="U215">
        <v>120</v>
      </c>
      <c r="V215">
        <v>120</v>
      </c>
      <c r="W215">
        <v>120</v>
      </c>
      <c r="X215">
        <v>0</v>
      </c>
      <c r="Y215">
        <f t="shared" si="21"/>
        <v>120</v>
      </c>
      <c r="Z215">
        <f t="shared" si="22"/>
        <v>120</v>
      </c>
      <c r="AC215" s="1">
        <v>0</v>
      </c>
      <c r="AF215">
        <v>0</v>
      </c>
      <c r="AG215" s="7">
        <v>8</v>
      </c>
      <c r="AH215">
        <f t="shared" si="23"/>
        <v>0</v>
      </c>
      <c r="AI215">
        <f t="shared" si="20"/>
        <v>120</v>
      </c>
      <c r="AK215">
        <f t="shared" si="24"/>
        <v>0</v>
      </c>
      <c r="AL215">
        <v>21.63</v>
      </c>
      <c r="AM215" t="s">
        <v>27</v>
      </c>
      <c r="AN215">
        <v>21.63</v>
      </c>
      <c r="AO215" t="b">
        <f t="shared" si="25"/>
        <v>1</v>
      </c>
      <c r="AR215" t="s">
        <v>5061</v>
      </c>
      <c r="AS215" s="21">
        <v>46276</v>
      </c>
      <c r="AT215" t="s">
        <v>15</v>
      </c>
      <c r="AU215" t="s">
        <v>5060</v>
      </c>
      <c r="AV215" t="s">
        <v>5088</v>
      </c>
      <c r="AW215" t="s">
        <v>5060</v>
      </c>
    </row>
    <row r="216" spans="1:49" x14ac:dyDescent="0.35">
      <c r="A216" t="s">
        <v>73</v>
      </c>
      <c r="B216" t="s">
        <v>74</v>
      </c>
      <c r="C216" t="s">
        <v>4818</v>
      </c>
      <c r="D216" t="s">
        <v>18</v>
      </c>
      <c r="E216" t="s">
        <v>863</v>
      </c>
      <c r="F216" t="s">
        <v>864</v>
      </c>
      <c r="G216" t="s">
        <v>21</v>
      </c>
      <c r="H216" t="s">
        <v>4834</v>
      </c>
      <c r="I216" t="s">
        <v>4849</v>
      </c>
      <c r="J216" s="4" t="s">
        <v>4850</v>
      </c>
      <c r="K216" s="4" t="s">
        <v>4852</v>
      </c>
      <c r="L216" s="4" t="s">
        <v>4877</v>
      </c>
      <c r="M216" s="4" t="s">
        <v>5035</v>
      </c>
      <c r="N216" t="s">
        <v>865</v>
      </c>
      <c r="O216" t="s">
        <v>866</v>
      </c>
      <c r="P216" t="s">
        <v>23</v>
      </c>
      <c r="Q216" t="s">
        <v>24</v>
      </c>
      <c r="R216" t="s">
        <v>25</v>
      </c>
      <c r="S216" t="s">
        <v>26</v>
      </c>
      <c r="T216" s="6">
        <v>46307</v>
      </c>
      <c r="U216">
        <v>54</v>
      </c>
      <c r="V216">
        <v>54</v>
      </c>
      <c r="W216">
        <v>54</v>
      </c>
      <c r="X216">
        <v>54</v>
      </c>
      <c r="Y216">
        <f t="shared" si="21"/>
        <v>0</v>
      </c>
      <c r="Z216">
        <f t="shared" si="22"/>
        <v>0</v>
      </c>
      <c r="AC216" s="1">
        <v>0</v>
      </c>
      <c r="AF216">
        <f>V216</f>
        <v>54</v>
      </c>
      <c r="AG216" s="7">
        <v>6</v>
      </c>
      <c r="AH216">
        <f t="shared" si="23"/>
        <v>54</v>
      </c>
      <c r="AI216">
        <f t="shared" si="20"/>
        <v>0</v>
      </c>
      <c r="AK216">
        <f t="shared" si="24"/>
        <v>9</v>
      </c>
      <c r="AL216">
        <v>14.78</v>
      </c>
      <c r="AM216" t="s">
        <v>27</v>
      </c>
      <c r="AN216">
        <v>14.78</v>
      </c>
      <c r="AO216" t="b">
        <f t="shared" si="25"/>
        <v>1</v>
      </c>
      <c r="AR216" t="s">
        <v>5061</v>
      </c>
      <c r="AS216" s="21">
        <v>46276</v>
      </c>
      <c r="AT216" t="s">
        <v>5064</v>
      </c>
      <c r="AU216" t="s">
        <v>5066</v>
      </c>
      <c r="AV216" t="s">
        <v>5088</v>
      </c>
      <c r="AW216" t="s">
        <v>5086</v>
      </c>
    </row>
    <row r="217" spans="1:49" x14ac:dyDescent="0.35">
      <c r="A217" t="s">
        <v>73</v>
      </c>
      <c r="B217" t="s">
        <v>74</v>
      </c>
      <c r="C217" t="s">
        <v>4818</v>
      </c>
      <c r="D217" t="s">
        <v>18</v>
      </c>
      <c r="E217" t="s">
        <v>867</v>
      </c>
      <c r="F217" t="s">
        <v>868</v>
      </c>
      <c r="G217" t="s">
        <v>21</v>
      </c>
      <c r="H217" t="s">
        <v>4834</v>
      </c>
      <c r="I217" t="s">
        <v>4849</v>
      </c>
      <c r="J217" s="4" t="s">
        <v>4850</v>
      </c>
      <c r="K217" s="4" t="s">
        <v>4862</v>
      </c>
      <c r="L217" s="4" t="s">
        <v>4873</v>
      </c>
      <c r="M217" s="4" t="s">
        <v>5035</v>
      </c>
      <c r="N217" t="s">
        <v>869</v>
      </c>
      <c r="O217" t="s">
        <v>870</v>
      </c>
      <c r="P217" t="s">
        <v>23</v>
      </c>
      <c r="Q217" t="s">
        <v>24</v>
      </c>
      <c r="R217" t="s">
        <v>25</v>
      </c>
      <c r="S217" t="s">
        <v>26</v>
      </c>
      <c r="T217" s="6">
        <v>46307</v>
      </c>
      <c r="U217">
        <v>66</v>
      </c>
      <c r="V217">
        <v>66</v>
      </c>
      <c r="W217">
        <v>72</v>
      </c>
      <c r="X217">
        <v>72</v>
      </c>
      <c r="Y217">
        <f t="shared" si="21"/>
        <v>0</v>
      </c>
      <c r="Z217">
        <f t="shared" si="22"/>
        <v>-6</v>
      </c>
      <c r="AC217" s="1">
        <v>0</v>
      </c>
      <c r="AF217">
        <f>V217</f>
        <v>66</v>
      </c>
      <c r="AG217" s="7">
        <v>6</v>
      </c>
      <c r="AH217">
        <f t="shared" si="23"/>
        <v>66</v>
      </c>
      <c r="AI217">
        <f t="shared" si="20"/>
        <v>0</v>
      </c>
      <c r="AK217">
        <f t="shared" si="24"/>
        <v>11</v>
      </c>
      <c r="AL217">
        <v>14.78</v>
      </c>
      <c r="AM217" t="s">
        <v>27</v>
      </c>
      <c r="AN217">
        <v>14.78</v>
      </c>
      <c r="AO217" t="b">
        <f t="shared" si="25"/>
        <v>1</v>
      </c>
      <c r="AR217" t="s">
        <v>5061</v>
      </c>
      <c r="AS217" s="21">
        <v>46276</v>
      </c>
      <c r="AT217" t="s">
        <v>5064</v>
      </c>
      <c r="AU217" t="s">
        <v>5066</v>
      </c>
      <c r="AV217" t="s">
        <v>5088</v>
      </c>
      <c r="AW217" t="s">
        <v>5086</v>
      </c>
    </row>
    <row r="218" spans="1:49" x14ac:dyDescent="0.35">
      <c r="A218" t="s">
        <v>871</v>
      </c>
      <c r="B218" t="s">
        <v>872</v>
      </c>
      <c r="C218" t="s">
        <v>4818</v>
      </c>
      <c r="D218" t="s">
        <v>18</v>
      </c>
      <c r="E218" t="s">
        <v>873</v>
      </c>
      <c r="F218" t="s">
        <v>874</v>
      </c>
      <c r="G218" t="s">
        <v>21</v>
      </c>
      <c r="H218" t="s">
        <v>4888</v>
      </c>
      <c r="I218" t="s">
        <v>4889</v>
      </c>
      <c r="J218" s="4" t="s">
        <v>4890</v>
      </c>
      <c r="K218" s="4" t="s">
        <v>4891</v>
      </c>
      <c r="L218" s="4" t="s">
        <v>4892</v>
      </c>
      <c r="M218" s="4" t="s">
        <v>5035</v>
      </c>
      <c r="N218" t="s">
        <v>875</v>
      </c>
      <c r="O218" t="s">
        <v>876</v>
      </c>
      <c r="P218" t="s">
        <v>23</v>
      </c>
      <c r="Q218" t="s">
        <v>24</v>
      </c>
      <c r="R218" t="s">
        <v>25</v>
      </c>
      <c r="S218" t="s">
        <v>26</v>
      </c>
      <c r="T218" s="6">
        <v>46307</v>
      </c>
      <c r="U218">
        <v>96</v>
      </c>
      <c r="V218">
        <v>96</v>
      </c>
      <c r="W218">
        <v>108</v>
      </c>
      <c r="X218">
        <v>108</v>
      </c>
      <c r="Y218">
        <f t="shared" si="21"/>
        <v>0</v>
      </c>
      <c r="Z218">
        <f t="shared" si="22"/>
        <v>-12</v>
      </c>
      <c r="AC218" s="1">
        <v>0</v>
      </c>
      <c r="AF218">
        <f>V218</f>
        <v>96</v>
      </c>
      <c r="AG218" s="7">
        <v>12</v>
      </c>
      <c r="AH218">
        <f t="shared" si="23"/>
        <v>96</v>
      </c>
      <c r="AI218">
        <f t="shared" si="20"/>
        <v>0</v>
      </c>
      <c r="AK218">
        <f t="shared" si="24"/>
        <v>8</v>
      </c>
      <c r="AL218">
        <v>11.2</v>
      </c>
      <c r="AM218" t="s">
        <v>27</v>
      </c>
      <c r="AN218">
        <v>11.2</v>
      </c>
      <c r="AO218" t="b">
        <f t="shared" si="25"/>
        <v>1</v>
      </c>
      <c r="AR218" t="s">
        <v>5061</v>
      </c>
      <c r="AS218" s="21">
        <v>46276</v>
      </c>
      <c r="AT218" t="s">
        <v>5062</v>
      </c>
      <c r="AU218" t="s">
        <v>5067</v>
      </c>
      <c r="AV218" t="s">
        <v>5062</v>
      </c>
      <c r="AW218" t="s">
        <v>5086</v>
      </c>
    </row>
    <row r="219" spans="1:49" x14ac:dyDescent="0.35">
      <c r="A219" t="s">
        <v>871</v>
      </c>
      <c r="B219" t="s">
        <v>872</v>
      </c>
      <c r="C219" t="s">
        <v>4818</v>
      </c>
      <c r="D219" t="s">
        <v>18</v>
      </c>
      <c r="E219" t="s">
        <v>877</v>
      </c>
      <c r="F219" t="s">
        <v>878</v>
      </c>
      <c r="G219" t="s">
        <v>21</v>
      </c>
      <c r="H219" t="s">
        <v>4888</v>
      </c>
      <c r="I219" t="s">
        <v>4893</v>
      </c>
      <c r="J219" s="4" t="s">
        <v>4894</v>
      </c>
      <c r="K219" s="4" t="s">
        <v>4837</v>
      </c>
      <c r="L219" s="4" t="s">
        <v>4895</v>
      </c>
      <c r="M219" s="4" t="s">
        <v>5035</v>
      </c>
      <c r="N219" t="s">
        <v>879</v>
      </c>
      <c r="O219" t="s">
        <v>880</v>
      </c>
      <c r="P219" t="s">
        <v>23</v>
      </c>
      <c r="Q219" t="s">
        <v>24</v>
      </c>
      <c r="R219" t="s">
        <v>25</v>
      </c>
      <c r="S219" t="s">
        <v>26</v>
      </c>
      <c r="T219" s="6">
        <v>46307</v>
      </c>
      <c r="U219">
        <v>60</v>
      </c>
      <c r="V219">
        <v>60</v>
      </c>
      <c r="W219">
        <v>72</v>
      </c>
      <c r="X219">
        <v>72</v>
      </c>
      <c r="Y219">
        <f t="shared" si="21"/>
        <v>0</v>
      </c>
      <c r="Z219">
        <f t="shared" si="22"/>
        <v>-12</v>
      </c>
      <c r="AC219" s="1">
        <v>0</v>
      </c>
      <c r="AF219">
        <f>V219</f>
        <v>60</v>
      </c>
      <c r="AG219" s="7">
        <v>12</v>
      </c>
      <c r="AH219">
        <f t="shared" si="23"/>
        <v>60</v>
      </c>
      <c r="AI219">
        <f t="shared" si="20"/>
        <v>0</v>
      </c>
      <c r="AK219">
        <f t="shared" si="24"/>
        <v>5</v>
      </c>
      <c r="AL219">
        <v>10.06</v>
      </c>
      <c r="AM219" t="s">
        <v>27</v>
      </c>
      <c r="AN219">
        <v>10.06</v>
      </c>
      <c r="AO219" t="b">
        <f t="shared" si="25"/>
        <v>1</v>
      </c>
      <c r="AR219" t="s">
        <v>5061</v>
      </c>
      <c r="AS219" s="21">
        <v>46276</v>
      </c>
      <c r="AT219" t="s">
        <v>5062</v>
      </c>
      <c r="AU219" t="s">
        <v>5068</v>
      </c>
      <c r="AV219" t="s">
        <v>5062</v>
      </c>
      <c r="AW219" t="s">
        <v>5086</v>
      </c>
    </row>
    <row r="220" spans="1:49" x14ac:dyDescent="0.35">
      <c r="A220" t="s">
        <v>871</v>
      </c>
      <c r="B220" t="s">
        <v>872</v>
      </c>
      <c r="C220" t="s">
        <v>4818</v>
      </c>
      <c r="D220" t="s">
        <v>18</v>
      </c>
      <c r="E220" t="s">
        <v>881</v>
      </c>
      <c r="F220" t="s">
        <v>882</v>
      </c>
      <c r="G220" t="s">
        <v>21</v>
      </c>
      <c r="H220" t="s">
        <v>4888</v>
      </c>
      <c r="I220" t="s">
        <v>4893</v>
      </c>
      <c r="J220" s="4" t="s">
        <v>4894</v>
      </c>
      <c r="K220" s="4" t="s">
        <v>4837</v>
      </c>
      <c r="L220" s="4" t="s">
        <v>4869</v>
      </c>
      <c r="M220" s="4" t="s">
        <v>5035</v>
      </c>
      <c r="N220" t="s">
        <v>883</v>
      </c>
      <c r="O220" t="s">
        <v>884</v>
      </c>
      <c r="P220" t="s">
        <v>23</v>
      </c>
      <c r="Q220" t="s">
        <v>24</v>
      </c>
      <c r="R220" t="s">
        <v>25</v>
      </c>
      <c r="S220" t="s">
        <v>26</v>
      </c>
      <c r="T220" s="6">
        <v>46307</v>
      </c>
      <c r="U220">
        <v>84</v>
      </c>
      <c r="V220">
        <v>84</v>
      </c>
      <c r="W220">
        <v>72</v>
      </c>
      <c r="X220">
        <v>72</v>
      </c>
      <c r="Y220">
        <f t="shared" si="21"/>
        <v>0</v>
      </c>
      <c r="Z220">
        <f t="shared" si="22"/>
        <v>12</v>
      </c>
      <c r="AA220">
        <f t="shared" ref="AA220:AA221" si="26">Z220</f>
        <v>12</v>
      </c>
      <c r="AC220" s="1">
        <v>0</v>
      </c>
      <c r="AF220">
        <f>X220</f>
        <v>72</v>
      </c>
      <c r="AG220" s="7">
        <v>12</v>
      </c>
      <c r="AH220">
        <f t="shared" si="23"/>
        <v>72</v>
      </c>
      <c r="AI220">
        <f t="shared" si="20"/>
        <v>12</v>
      </c>
      <c r="AK220">
        <f t="shared" si="24"/>
        <v>6</v>
      </c>
      <c r="AL220">
        <v>10.06</v>
      </c>
      <c r="AM220" t="s">
        <v>27</v>
      </c>
      <c r="AN220">
        <v>10.06</v>
      </c>
      <c r="AO220" t="b">
        <f t="shared" si="25"/>
        <v>1</v>
      </c>
      <c r="AR220" t="s">
        <v>5061</v>
      </c>
      <c r="AS220" s="21">
        <v>46276</v>
      </c>
      <c r="AT220" t="s">
        <v>5062</v>
      </c>
      <c r="AU220" t="s">
        <v>5068</v>
      </c>
      <c r="AV220" t="s">
        <v>5062</v>
      </c>
      <c r="AW220" t="s">
        <v>5086</v>
      </c>
    </row>
    <row r="221" spans="1:49" x14ac:dyDescent="0.35">
      <c r="A221" t="s">
        <v>871</v>
      </c>
      <c r="B221" t="s">
        <v>872</v>
      </c>
      <c r="C221" t="s">
        <v>4818</v>
      </c>
      <c r="D221" t="s">
        <v>18</v>
      </c>
      <c r="E221" t="s">
        <v>885</v>
      </c>
      <c r="F221" t="s">
        <v>886</v>
      </c>
      <c r="G221" t="s">
        <v>21</v>
      </c>
      <c r="H221" t="s">
        <v>4888</v>
      </c>
      <c r="I221" t="s">
        <v>4893</v>
      </c>
      <c r="J221" s="4" t="s">
        <v>4894</v>
      </c>
      <c r="K221" s="4" t="s">
        <v>4896</v>
      </c>
      <c r="L221" s="4" t="s">
        <v>4897</v>
      </c>
      <c r="M221" s="4" t="s">
        <v>5035</v>
      </c>
      <c r="N221" t="s">
        <v>887</v>
      </c>
      <c r="O221" t="s">
        <v>888</v>
      </c>
      <c r="P221" t="s">
        <v>23</v>
      </c>
      <c r="Q221" t="s">
        <v>24</v>
      </c>
      <c r="R221" t="s">
        <v>25</v>
      </c>
      <c r="S221" t="s">
        <v>26</v>
      </c>
      <c r="T221" s="6">
        <v>46307</v>
      </c>
      <c r="U221">
        <v>108</v>
      </c>
      <c r="V221">
        <v>108</v>
      </c>
      <c r="W221">
        <v>96</v>
      </c>
      <c r="X221">
        <v>96</v>
      </c>
      <c r="Y221">
        <f t="shared" si="21"/>
        <v>0</v>
      </c>
      <c r="Z221">
        <f t="shared" si="22"/>
        <v>12</v>
      </c>
      <c r="AA221">
        <f t="shared" si="26"/>
        <v>12</v>
      </c>
      <c r="AC221" s="1">
        <v>0</v>
      </c>
      <c r="AF221">
        <f>X221</f>
        <v>96</v>
      </c>
      <c r="AG221" s="7">
        <v>12</v>
      </c>
      <c r="AH221">
        <f t="shared" si="23"/>
        <v>96</v>
      </c>
      <c r="AI221">
        <f t="shared" si="20"/>
        <v>12</v>
      </c>
      <c r="AK221">
        <f t="shared" si="24"/>
        <v>8</v>
      </c>
      <c r="AL221">
        <v>10.220000000000001</v>
      </c>
      <c r="AM221" t="s">
        <v>27</v>
      </c>
      <c r="AN221">
        <v>10.220000000000001</v>
      </c>
      <c r="AO221" t="b">
        <f t="shared" si="25"/>
        <v>1</v>
      </c>
      <c r="AR221" t="s">
        <v>5061</v>
      </c>
      <c r="AS221" s="21">
        <v>46276</v>
      </c>
      <c r="AT221" t="s">
        <v>5062</v>
      </c>
      <c r="AU221" t="s">
        <v>5068</v>
      </c>
      <c r="AV221" t="s">
        <v>5062</v>
      </c>
      <c r="AW221" t="s">
        <v>5086</v>
      </c>
    </row>
    <row r="222" spans="1:49" x14ac:dyDescent="0.35">
      <c r="A222" t="s">
        <v>871</v>
      </c>
      <c r="B222" t="s">
        <v>872</v>
      </c>
      <c r="C222" t="s">
        <v>4818</v>
      </c>
      <c r="D222" t="s">
        <v>18</v>
      </c>
      <c r="E222" t="s">
        <v>889</v>
      </c>
      <c r="F222" t="s">
        <v>890</v>
      </c>
      <c r="G222" t="s">
        <v>21</v>
      </c>
      <c r="H222" t="s">
        <v>4888</v>
      </c>
      <c r="I222" t="s">
        <v>4893</v>
      </c>
      <c r="J222" s="4" t="s">
        <v>4894</v>
      </c>
      <c r="K222" s="4" t="s">
        <v>4896</v>
      </c>
      <c r="L222" s="4" t="s">
        <v>4853</v>
      </c>
      <c r="M222" s="4" t="s">
        <v>5035</v>
      </c>
      <c r="N222" t="s">
        <v>891</v>
      </c>
      <c r="O222" t="s">
        <v>892</v>
      </c>
      <c r="P222" t="s">
        <v>23</v>
      </c>
      <c r="Q222" t="s">
        <v>24</v>
      </c>
      <c r="R222" t="s">
        <v>25</v>
      </c>
      <c r="S222" t="s">
        <v>26</v>
      </c>
      <c r="T222" s="6">
        <v>46307</v>
      </c>
      <c r="U222">
        <v>24</v>
      </c>
      <c r="V222">
        <v>24</v>
      </c>
      <c r="W222">
        <v>24</v>
      </c>
      <c r="X222">
        <v>24</v>
      </c>
      <c r="Y222">
        <f t="shared" si="21"/>
        <v>0</v>
      </c>
      <c r="Z222">
        <f t="shared" si="22"/>
        <v>0</v>
      </c>
      <c r="AC222" s="1">
        <v>0</v>
      </c>
      <c r="AF222">
        <f>V222</f>
        <v>24</v>
      </c>
      <c r="AG222" s="7">
        <v>12</v>
      </c>
      <c r="AH222">
        <f t="shared" si="23"/>
        <v>24</v>
      </c>
      <c r="AI222">
        <f t="shared" si="20"/>
        <v>0</v>
      </c>
      <c r="AK222">
        <f t="shared" si="24"/>
        <v>2</v>
      </c>
      <c r="AL222">
        <v>10.220000000000001</v>
      </c>
      <c r="AM222" t="s">
        <v>27</v>
      </c>
      <c r="AN222">
        <v>10.220000000000001</v>
      </c>
      <c r="AO222" t="b">
        <f t="shared" si="25"/>
        <v>1</v>
      </c>
      <c r="AR222" t="s">
        <v>5061</v>
      </c>
      <c r="AS222" s="21">
        <v>46276</v>
      </c>
      <c r="AT222" t="s">
        <v>5062</v>
      </c>
      <c r="AU222" t="s">
        <v>5068</v>
      </c>
      <c r="AV222" t="s">
        <v>5062</v>
      </c>
      <c r="AW222" t="s">
        <v>5086</v>
      </c>
    </row>
    <row r="223" spans="1:49" x14ac:dyDescent="0.35">
      <c r="A223" t="s">
        <v>871</v>
      </c>
      <c r="B223" t="s">
        <v>872</v>
      </c>
      <c r="C223" t="s">
        <v>4818</v>
      </c>
      <c r="D223" t="s">
        <v>18</v>
      </c>
      <c r="E223" t="s">
        <v>893</v>
      </c>
      <c r="F223" t="s">
        <v>894</v>
      </c>
      <c r="G223" t="s">
        <v>21</v>
      </c>
      <c r="H223" t="s">
        <v>4888</v>
      </c>
      <c r="I223" t="s">
        <v>4893</v>
      </c>
      <c r="J223" s="4" t="s">
        <v>4894</v>
      </c>
      <c r="K223" s="4" t="s">
        <v>4837</v>
      </c>
      <c r="L223" s="4" t="s">
        <v>4898</v>
      </c>
      <c r="M223" s="4" t="s">
        <v>5035</v>
      </c>
      <c r="N223" t="s">
        <v>895</v>
      </c>
      <c r="O223" t="s">
        <v>896</v>
      </c>
      <c r="P223" t="s">
        <v>23</v>
      </c>
      <c r="Q223" t="s">
        <v>24</v>
      </c>
      <c r="R223" t="s">
        <v>25</v>
      </c>
      <c r="S223" t="s">
        <v>26</v>
      </c>
      <c r="T223" s="6">
        <v>46307</v>
      </c>
      <c r="U223">
        <v>96</v>
      </c>
      <c r="V223">
        <v>96</v>
      </c>
      <c r="W223">
        <v>84</v>
      </c>
      <c r="X223">
        <v>84</v>
      </c>
      <c r="Y223">
        <f t="shared" si="21"/>
        <v>0</v>
      </c>
      <c r="Z223">
        <f t="shared" si="22"/>
        <v>12</v>
      </c>
      <c r="AA223">
        <f>Z223</f>
        <v>12</v>
      </c>
      <c r="AC223" s="1">
        <v>0</v>
      </c>
      <c r="AF223">
        <f>X223</f>
        <v>84</v>
      </c>
      <c r="AG223" s="7">
        <v>12</v>
      </c>
      <c r="AH223">
        <f t="shared" si="23"/>
        <v>84</v>
      </c>
      <c r="AI223">
        <f t="shared" si="20"/>
        <v>12</v>
      </c>
      <c r="AK223">
        <f t="shared" si="24"/>
        <v>7</v>
      </c>
      <c r="AL223">
        <v>10.06</v>
      </c>
      <c r="AM223" t="s">
        <v>27</v>
      </c>
      <c r="AN223">
        <v>10.06</v>
      </c>
      <c r="AO223" t="b">
        <f t="shared" si="25"/>
        <v>1</v>
      </c>
      <c r="AR223" t="s">
        <v>5061</v>
      </c>
      <c r="AS223" s="21">
        <v>46276</v>
      </c>
      <c r="AT223" t="s">
        <v>5062</v>
      </c>
      <c r="AU223" t="s">
        <v>5068</v>
      </c>
      <c r="AV223" t="s">
        <v>5062</v>
      </c>
      <c r="AW223" t="s">
        <v>5086</v>
      </c>
    </row>
    <row r="224" spans="1:49" x14ac:dyDescent="0.35">
      <c r="A224" t="s">
        <v>871</v>
      </c>
      <c r="B224" t="s">
        <v>872</v>
      </c>
      <c r="C224" t="s">
        <v>4818</v>
      </c>
      <c r="D224" t="s">
        <v>18</v>
      </c>
      <c r="E224" t="s">
        <v>897</v>
      </c>
      <c r="F224" t="s">
        <v>898</v>
      </c>
      <c r="G224" t="s">
        <v>21</v>
      </c>
      <c r="H224" t="s">
        <v>4888</v>
      </c>
      <c r="I224" t="s">
        <v>4889</v>
      </c>
      <c r="J224" s="4" t="s">
        <v>4890</v>
      </c>
      <c r="K224" s="4" t="s">
        <v>4899</v>
      </c>
      <c r="L224" s="4" t="s">
        <v>4900</v>
      </c>
      <c r="M224" s="4" t="s">
        <v>5035</v>
      </c>
      <c r="N224" t="s">
        <v>899</v>
      </c>
      <c r="O224" t="s">
        <v>900</v>
      </c>
      <c r="P224" t="s">
        <v>23</v>
      </c>
      <c r="Q224" t="s">
        <v>24</v>
      </c>
      <c r="R224" t="s">
        <v>25</v>
      </c>
      <c r="S224" t="s">
        <v>26</v>
      </c>
      <c r="T224" s="6">
        <v>46307</v>
      </c>
      <c r="U224">
        <v>48</v>
      </c>
      <c r="V224">
        <v>48</v>
      </c>
      <c r="W224">
        <v>48</v>
      </c>
      <c r="X224">
        <v>48</v>
      </c>
      <c r="Y224">
        <f t="shared" si="21"/>
        <v>0</v>
      </c>
      <c r="Z224">
        <f t="shared" si="22"/>
        <v>0</v>
      </c>
      <c r="AC224" s="1">
        <v>0</v>
      </c>
      <c r="AF224">
        <f>V224</f>
        <v>48</v>
      </c>
      <c r="AG224" s="7">
        <v>12</v>
      </c>
      <c r="AH224">
        <f t="shared" si="23"/>
        <v>48</v>
      </c>
      <c r="AI224">
        <f t="shared" si="20"/>
        <v>0</v>
      </c>
      <c r="AK224">
        <f t="shared" si="24"/>
        <v>4</v>
      </c>
      <c r="AL224">
        <v>10.9</v>
      </c>
      <c r="AM224" t="s">
        <v>27</v>
      </c>
      <c r="AN224">
        <v>10.9</v>
      </c>
      <c r="AO224" t="b">
        <f t="shared" si="25"/>
        <v>1</v>
      </c>
      <c r="AR224" t="s">
        <v>5061</v>
      </c>
      <c r="AS224" s="21">
        <v>46276</v>
      </c>
      <c r="AT224" t="s">
        <v>5062</v>
      </c>
      <c r="AU224" t="s">
        <v>5067</v>
      </c>
      <c r="AV224" t="s">
        <v>5062</v>
      </c>
      <c r="AW224" t="s">
        <v>5086</v>
      </c>
    </row>
    <row r="225" spans="1:49" x14ac:dyDescent="0.35">
      <c r="A225" t="s">
        <v>871</v>
      </c>
      <c r="B225" t="s">
        <v>872</v>
      </c>
      <c r="C225" t="s">
        <v>4818</v>
      </c>
      <c r="D225" t="s">
        <v>18</v>
      </c>
      <c r="E225" t="s">
        <v>901</v>
      </c>
      <c r="F225" t="s">
        <v>902</v>
      </c>
      <c r="G225" t="s">
        <v>21</v>
      </c>
      <c r="H225" t="s">
        <v>4888</v>
      </c>
      <c r="I225" t="s">
        <v>4893</v>
      </c>
      <c r="J225" s="4" t="s">
        <v>4894</v>
      </c>
      <c r="K225" s="4" t="s">
        <v>4837</v>
      </c>
      <c r="L225" s="4" t="s">
        <v>4877</v>
      </c>
      <c r="M225" s="4" t="s">
        <v>5035</v>
      </c>
      <c r="N225" t="s">
        <v>903</v>
      </c>
      <c r="O225" t="s">
        <v>904</v>
      </c>
      <c r="P225" t="s">
        <v>23</v>
      </c>
      <c r="Q225" t="s">
        <v>24</v>
      </c>
      <c r="R225" t="s">
        <v>25</v>
      </c>
      <c r="S225" t="s">
        <v>26</v>
      </c>
      <c r="T225" s="6">
        <v>46307</v>
      </c>
      <c r="U225">
        <v>120</v>
      </c>
      <c r="V225">
        <v>120</v>
      </c>
      <c r="W225">
        <v>108</v>
      </c>
      <c r="X225">
        <v>108</v>
      </c>
      <c r="Y225">
        <f t="shared" si="21"/>
        <v>0</v>
      </c>
      <c r="Z225">
        <f t="shared" si="22"/>
        <v>12</v>
      </c>
      <c r="AA225">
        <f>Z225</f>
        <v>12</v>
      </c>
      <c r="AC225" s="1">
        <v>0</v>
      </c>
      <c r="AF225">
        <f>X225</f>
        <v>108</v>
      </c>
      <c r="AG225" s="7">
        <v>12</v>
      </c>
      <c r="AH225">
        <f t="shared" si="23"/>
        <v>108</v>
      </c>
      <c r="AI225">
        <f t="shared" si="20"/>
        <v>12</v>
      </c>
      <c r="AK225">
        <f t="shared" si="24"/>
        <v>9</v>
      </c>
      <c r="AL225">
        <v>10.06</v>
      </c>
      <c r="AM225" t="s">
        <v>27</v>
      </c>
      <c r="AN225">
        <v>10.06</v>
      </c>
      <c r="AO225" t="b">
        <f t="shared" si="25"/>
        <v>1</v>
      </c>
      <c r="AR225" t="s">
        <v>5061</v>
      </c>
      <c r="AS225" s="21">
        <v>46276</v>
      </c>
      <c r="AT225" t="s">
        <v>5062</v>
      </c>
      <c r="AU225" t="s">
        <v>5068</v>
      </c>
      <c r="AV225" t="s">
        <v>5062</v>
      </c>
      <c r="AW225" t="s">
        <v>5086</v>
      </c>
    </row>
    <row r="226" spans="1:49" x14ac:dyDescent="0.35">
      <c r="A226" t="s">
        <v>871</v>
      </c>
      <c r="B226" t="s">
        <v>872</v>
      </c>
      <c r="C226" t="s">
        <v>4818</v>
      </c>
      <c r="D226" t="s">
        <v>18</v>
      </c>
      <c r="E226" t="s">
        <v>905</v>
      </c>
      <c r="F226" t="s">
        <v>906</v>
      </c>
      <c r="G226" t="s">
        <v>21</v>
      </c>
      <c r="H226" t="s">
        <v>4888</v>
      </c>
      <c r="I226" t="s">
        <v>4893</v>
      </c>
      <c r="J226" s="4" t="s">
        <v>4894</v>
      </c>
      <c r="K226" s="4" t="s">
        <v>4837</v>
      </c>
      <c r="L226" s="4" t="s">
        <v>4901</v>
      </c>
      <c r="M226" s="4" t="s">
        <v>5035</v>
      </c>
      <c r="N226" t="s">
        <v>907</v>
      </c>
      <c r="O226" t="s">
        <v>908</v>
      </c>
      <c r="P226" t="s">
        <v>23</v>
      </c>
      <c r="Q226" t="s">
        <v>24</v>
      </c>
      <c r="R226" t="s">
        <v>25</v>
      </c>
      <c r="S226" t="s">
        <v>26</v>
      </c>
      <c r="T226" s="6">
        <v>46307</v>
      </c>
      <c r="U226">
        <v>24</v>
      </c>
      <c r="V226">
        <v>24</v>
      </c>
      <c r="W226">
        <v>24</v>
      </c>
      <c r="X226">
        <v>24</v>
      </c>
      <c r="Y226">
        <f t="shared" si="21"/>
        <v>0</v>
      </c>
      <c r="Z226">
        <f t="shared" si="22"/>
        <v>0</v>
      </c>
      <c r="AC226" s="1">
        <v>0</v>
      </c>
      <c r="AF226">
        <f>V226</f>
        <v>24</v>
      </c>
      <c r="AG226" s="7">
        <v>12</v>
      </c>
      <c r="AH226">
        <f t="shared" si="23"/>
        <v>24</v>
      </c>
      <c r="AI226">
        <f t="shared" si="20"/>
        <v>0</v>
      </c>
      <c r="AK226">
        <f t="shared" si="24"/>
        <v>2</v>
      </c>
      <c r="AL226">
        <v>10.06</v>
      </c>
      <c r="AM226" t="s">
        <v>27</v>
      </c>
      <c r="AN226">
        <v>10.06</v>
      </c>
      <c r="AO226" t="b">
        <f t="shared" si="25"/>
        <v>1</v>
      </c>
      <c r="AR226" t="s">
        <v>5061</v>
      </c>
      <c r="AS226" s="21">
        <v>46276</v>
      </c>
      <c r="AT226" t="s">
        <v>5062</v>
      </c>
      <c r="AU226" t="s">
        <v>5068</v>
      </c>
      <c r="AV226" t="s">
        <v>5062</v>
      </c>
      <c r="AW226" t="s">
        <v>5086</v>
      </c>
    </row>
    <row r="227" spans="1:49" x14ac:dyDescent="0.35">
      <c r="A227" t="s">
        <v>871</v>
      </c>
      <c r="B227" t="s">
        <v>872</v>
      </c>
      <c r="C227" t="s">
        <v>4818</v>
      </c>
      <c r="D227" t="s">
        <v>18</v>
      </c>
      <c r="E227" t="s">
        <v>909</v>
      </c>
      <c r="F227" t="s">
        <v>910</v>
      </c>
      <c r="G227" t="s">
        <v>21</v>
      </c>
      <c r="H227" t="s">
        <v>4888</v>
      </c>
      <c r="I227" t="s">
        <v>4902</v>
      </c>
      <c r="J227" s="4" t="s">
        <v>4903</v>
      </c>
      <c r="K227" s="4" t="s">
        <v>4899</v>
      </c>
      <c r="L227" s="4" t="s">
        <v>4853</v>
      </c>
      <c r="M227" s="4" t="s">
        <v>5035</v>
      </c>
      <c r="N227" t="s">
        <v>911</v>
      </c>
      <c r="O227" t="s">
        <v>912</v>
      </c>
      <c r="P227" t="s">
        <v>23</v>
      </c>
      <c r="Q227" t="s">
        <v>24</v>
      </c>
      <c r="R227" t="s">
        <v>25</v>
      </c>
      <c r="S227" t="s">
        <v>26</v>
      </c>
      <c r="T227" s="6">
        <v>46307</v>
      </c>
      <c r="U227">
        <v>204</v>
      </c>
      <c r="V227">
        <v>204</v>
      </c>
      <c r="W227">
        <v>216</v>
      </c>
      <c r="X227">
        <v>216</v>
      </c>
      <c r="Y227">
        <f t="shared" si="21"/>
        <v>0</v>
      </c>
      <c r="Z227">
        <f t="shared" si="22"/>
        <v>-12</v>
      </c>
      <c r="AC227" s="1"/>
      <c r="AF227">
        <f>V227</f>
        <v>204</v>
      </c>
      <c r="AG227" s="7">
        <v>12</v>
      </c>
      <c r="AH227">
        <f t="shared" si="23"/>
        <v>204</v>
      </c>
      <c r="AI227">
        <f t="shared" si="20"/>
        <v>0</v>
      </c>
      <c r="AK227">
        <f t="shared" si="24"/>
        <v>17</v>
      </c>
      <c r="AL227">
        <v>10.49</v>
      </c>
      <c r="AM227" t="s">
        <v>27</v>
      </c>
      <c r="AN227">
        <v>10.49</v>
      </c>
      <c r="AO227" t="b">
        <f t="shared" si="25"/>
        <v>1</v>
      </c>
      <c r="AR227" t="s">
        <v>5061</v>
      </c>
      <c r="AS227" s="21">
        <v>46276</v>
      </c>
      <c r="AT227" t="s">
        <v>5062</v>
      </c>
      <c r="AU227" t="s">
        <v>5069</v>
      </c>
      <c r="AV227" t="s">
        <v>5062</v>
      </c>
      <c r="AW227" t="s">
        <v>5086</v>
      </c>
    </row>
    <row r="228" spans="1:49" x14ac:dyDescent="0.35">
      <c r="A228" t="s">
        <v>871</v>
      </c>
      <c r="B228" t="s">
        <v>872</v>
      </c>
      <c r="C228" t="s">
        <v>4818</v>
      </c>
      <c r="D228" t="s">
        <v>18</v>
      </c>
      <c r="E228" t="s">
        <v>913</v>
      </c>
      <c r="F228" t="s">
        <v>914</v>
      </c>
      <c r="G228" t="s">
        <v>21</v>
      </c>
      <c r="H228" t="s">
        <v>4888</v>
      </c>
      <c r="I228" t="s">
        <v>4902</v>
      </c>
      <c r="J228" s="4" t="s">
        <v>4903</v>
      </c>
      <c r="K228" s="4" t="s">
        <v>4899</v>
      </c>
      <c r="L228" s="4" t="s">
        <v>4879</v>
      </c>
      <c r="M228" s="4" t="s">
        <v>5035</v>
      </c>
      <c r="N228" t="s">
        <v>915</v>
      </c>
      <c r="O228" t="s">
        <v>916</v>
      </c>
      <c r="P228" t="s">
        <v>23</v>
      </c>
      <c r="Q228" t="s">
        <v>24</v>
      </c>
      <c r="R228" t="s">
        <v>25</v>
      </c>
      <c r="S228" t="s">
        <v>26</v>
      </c>
      <c r="T228" s="6">
        <v>46307</v>
      </c>
      <c r="U228">
        <v>108</v>
      </c>
      <c r="V228">
        <v>108</v>
      </c>
      <c r="W228">
        <v>96</v>
      </c>
      <c r="X228">
        <v>96</v>
      </c>
      <c r="Y228">
        <f t="shared" si="21"/>
        <v>0</v>
      </c>
      <c r="Z228">
        <f t="shared" si="22"/>
        <v>12</v>
      </c>
      <c r="AA228">
        <f t="shared" ref="AA228:AA229" si="27">Z228</f>
        <v>12</v>
      </c>
      <c r="AC228" s="1">
        <v>0</v>
      </c>
      <c r="AF228">
        <f>X228</f>
        <v>96</v>
      </c>
      <c r="AG228" s="7">
        <v>12</v>
      </c>
      <c r="AH228">
        <f t="shared" si="23"/>
        <v>96</v>
      </c>
      <c r="AI228">
        <f t="shared" si="20"/>
        <v>12</v>
      </c>
      <c r="AK228">
        <f t="shared" si="24"/>
        <v>8</v>
      </c>
      <c r="AL228">
        <v>10.49</v>
      </c>
      <c r="AM228" t="s">
        <v>27</v>
      </c>
      <c r="AN228">
        <v>10.49</v>
      </c>
      <c r="AO228" t="b">
        <f t="shared" si="25"/>
        <v>1</v>
      </c>
      <c r="AR228" t="s">
        <v>5061</v>
      </c>
      <c r="AS228" s="21">
        <v>46276</v>
      </c>
      <c r="AT228" t="s">
        <v>5062</v>
      </c>
      <c r="AU228" t="s">
        <v>5069</v>
      </c>
      <c r="AV228" t="s">
        <v>5062</v>
      </c>
      <c r="AW228" t="s">
        <v>5086</v>
      </c>
    </row>
    <row r="229" spans="1:49" x14ac:dyDescent="0.35">
      <c r="A229" t="s">
        <v>871</v>
      </c>
      <c r="B229" t="s">
        <v>872</v>
      </c>
      <c r="C229" t="s">
        <v>4818</v>
      </c>
      <c r="D229" t="s">
        <v>18</v>
      </c>
      <c r="E229" t="s">
        <v>917</v>
      </c>
      <c r="F229" t="s">
        <v>918</v>
      </c>
      <c r="G229" t="s">
        <v>21</v>
      </c>
      <c r="H229" t="s">
        <v>4888</v>
      </c>
      <c r="I229" t="s">
        <v>4893</v>
      </c>
      <c r="J229" s="4" t="s">
        <v>4894</v>
      </c>
      <c r="K229" s="4" t="s">
        <v>4904</v>
      </c>
      <c r="L229" s="4" t="s">
        <v>4871</v>
      </c>
      <c r="M229" s="4" t="s">
        <v>5035</v>
      </c>
      <c r="N229" t="s">
        <v>919</v>
      </c>
      <c r="O229" t="s">
        <v>920</v>
      </c>
      <c r="P229" t="s">
        <v>23</v>
      </c>
      <c r="Q229" t="s">
        <v>24</v>
      </c>
      <c r="R229" t="s">
        <v>25</v>
      </c>
      <c r="S229" t="s">
        <v>26</v>
      </c>
      <c r="T229" s="6">
        <v>46307</v>
      </c>
      <c r="U229">
        <v>36</v>
      </c>
      <c r="V229">
        <v>36</v>
      </c>
      <c r="W229">
        <v>24</v>
      </c>
      <c r="X229">
        <v>24</v>
      </c>
      <c r="Y229">
        <f t="shared" si="21"/>
        <v>0</v>
      </c>
      <c r="Z229">
        <f t="shared" si="22"/>
        <v>12</v>
      </c>
      <c r="AA229">
        <f t="shared" si="27"/>
        <v>12</v>
      </c>
      <c r="AC229" s="1">
        <v>0</v>
      </c>
      <c r="AF229">
        <f>X229</f>
        <v>24</v>
      </c>
      <c r="AG229" s="7">
        <v>12</v>
      </c>
      <c r="AH229">
        <f t="shared" si="23"/>
        <v>24</v>
      </c>
      <c r="AI229">
        <f t="shared" si="20"/>
        <v>12</v>
      </c>
      <c r="AK229">
        <f t="shared" si="24"/>
        <v>2</v>
      </c>
      <c r="AL229">
        <v>10.16</v>
      </c>
      <c r="AM229" t="s">
        <v>27</v>
      </c>
      <c r="AN229">
        <v>10.16</v>
      </c>
      <c r="AO229" t="b">
        <f t="shared" si="25"/>
        <v>1</v>
      </c>
      <c r="AR229" t="s">
        <v>5061</v>
      </c>
      <c r="AS229" s="21">
        <v>46276</v>
      </c>
      <c r="AT229" t="s">
        <v>5062</v>
      </c>
      <c r="AU229" t="s">
        <v>5068</v>
      </c>
      <c r="AV229" t="s">
        <v>5062</v>
      </c>
      <c r="AW229" t="s">
        <v>5086</v>
      </c>
    </row>
    <row r="230" spans="1:49" x14ac:dyDescent="0.35">
      <c r="A230" t="s">
        <v>871</v>
      </c>
      <c r="B230" t="s">
        <v>872</v>
      </c>
      <c r="C230" t="s">
        <v>4818</v>
      </c>
      <c r="D230" t="s">
        <v>18</v>
      </c>
      <c r="E230" t="s">
        <v>921</v>
      </c>
      <c r="F230" t="s">
        <v>922</v>
      </c>
      <c r="G230" t="s">
        <v>21</v>
      </c>
      <c r="H230" t="s">
        <v>4888</v>
      </c>
      <c r="I230" t="s">
        <v>4893</v>
      </c>
      <c r="J230" s="4" t="s">
        <v>4894</v>
      </c>
      <c r="K230" s="4" t="s">
        <v>4837</v>
      </c>
      <c r="L230" s="4" t="s">
        <v>4905</v>
      </c>
      <c r="M230" s="4" t="s">
        <v>5035</v>
      </c>
      <c r="N230" t="s">
        <v>923</v>
      </c>
      <c r="O230" t="s">
        <v>924</v>
      </c>
      <c r="P230" t="s">
        <v>23</v>
      </c>
      <c r="Q230" t="s">
        <v>24</v>
      </c>
      <c r="R230" t="s">
        <v>25</v>
      </c>
      <c r="S230" t="s">
        <v>26</v>
      </c>
      <c r="T230" s="6">
        <v>46307</v>
      </c>
      <c r="U230">
        <v>24</v>
      </c>
      <c r="V230">
        <v>24</v>
      </c>
      <c r="W230">
        <v>24</v>
      </c>
      <c r="X230">
        <v>24</v>
      </c>
      <c r="Y230">
        <f t="shared" si="21"/>
        <v>0</v>
      </c>
      <c r="Z230">
        <f t="shared" si="22"/>
        <v>0</v>
      </c>
      <c r="AC230" s="1">
        <v>0</v>
      </c>
      <c r="AF230">
        <f>V230</f>
        <v>24</v>
      </c>
      <c r="AG230" s="7">
        <v>12</v>
      </c>
      <c r="AH230">
        <f t="shared" si="23"/>
        <v>24</v>
      </c>
      <c r="AI230">
        <f t="shared" si="20"/>
        <v>0</v>
      </c>
      <c r="AK230">
        <f t="shared" si="24"/>
        <v>2</v>
      </c>
      <c r="AL230">
        <v>10.06</v>
      </c>
      <c r="AM230" t="s">
        <v>27</v>
      </c>
      <c r="AN230">
        <v>10.06</v>
      </c>
      <c r="AO230" t="b">
        <f t="shared" si="25"/>
        <v>1</v>
      </c>
      <c r="AR230" t="s">
        <v>5061</v>
      </c>
      <c r="AS230" s="21">
        <v>46276</v>
      </c>
      <c r="AT230" t="s">
        <v>5062</v>
      </c>
      <c r="AU230" t="s">
        <v>5068</v>
      </c>
      <c r="AV230" t="s">
        <v>5062</v>
      </c>
      <c r="AW230" t="s">
        <v>5086</v>
      </c>
    </row>
    <row r="231" spans="1:49" x14ac:dyDescent="0.35">
      <c r="A231" t="s">
        <v>871</v>
      </c>
      <c r="B231" t="s">
        <v>872</v>
      </c>
      <c r="C231" t="s">
        <v>4818</v>
      </c>
      <c r="D231" t="s">
        <v>18</v>
      </c>
      <c r="E231" t="s">
        <v>925</v>
      </c>
      <c r="F231" t="s">
        <v>926</v>
      </c>
      <c r="G231" t="s">
        <v>21</v>
      </c>
      <c r="H231" t="s">
        <v>4888</v>
      </c>
      <c r="I231" t="s">
        <v>4906</v>
      </c>
      <c r="J231" s="4" t="s">
        <v>4907</v>
      </c>
      <c r="K231" s="4" t="s">
        <v>4908</v>
      </c>
      <c r="L231" s="4" t="s">
        <v>4851</v>
      </c>
      <c r="M231" s="4" t="s">
        <v>5035</v>
      </c>
      <c r="N231" t="s">
        <v>927</v>
      </c>
      <c r="O231" t="s">
        <v>928</v>
      </c>
      <c r="P231" t="s">
        <v>23</v>
      </c>
      <c r="Q231" t="s">
        <v>24</v>
      </c>
      <c r="R231" t="s">
        <v>25</v>
      </c>
      <c r="S231" t="s">
        <v>26</v>
      </c>
      <c r="T231" s="6">
        <v>46307</v>
      </c>
      <c r="U231">
        <v>132</v>
      </c>
      <c r="V231">
        <v>132</v>
      </c>
      <c r="W231">
        <v>144</v>
      </c>
      <c r="X231">
        <v>144</v>
      </c>
      <c r="Y231">
        <f t="shared" si="21"/>
        <v>0</v>
      </c>
      <c r="Z231">
        <f t="shared" si="22"/>
        <v>-12</v>
      </c>
      <c r="AC231" s="1">
        <v>0</v>
      </c>
      <c r="AF231">
        <f>V231</f>
        <v>132</v>
      </c>
      <c r="AG231" s="7">
        <v>12</v>
      </c>
      <c r="AH231">
        <f t="shared" si="23"/>
        <v>132</v>
      </c>
      <c r="AI231">
        <f t="shared" si="20"/>
        <v>0</v>
      </c>
      <c r="AK231">
        <f t="shared" si="24"/>
        <v>11</v>
      </c>
      <c r="AL231">
        <v>10.19</v>
      </c>
      <c r="AM231" t="s">
        <v>27</v>
      </c>
      <c r="AN231">
        <v>10.19</v>
      </c>
      <c r="AO231" t="b">
        <f t="shared" si="25"/>
        <v>1</v>
      </c>
      <c r="AR231" t="s">
        <v>5061</v>
      </c>
      <c r="AS231" s="21">
        <v>46276</v>
      </c>
      <c r="AT231" t="s">
        <v>5062</v>
      </c>
      <c r="AU231" t="s">
        <v>5070</v>
      </c>
      <c r="AV231" t="s">
        <v>5062</v>
      </c>
      <c r="AW231" t="s">
        <v>5086</v>
      </c>
    </row>
    <row r="232" spans="1:49" x14ac:dyDescent="0.35">
      <c r="A232" t="s">
        <v>871</v>
      </c>
      <c r="B232" t="s">
        <v>872</v>
      </c>
      <c r="C232" t="s">
        <v>4818</v>
      </c>
      <c r="D232" t="s">
        <v>18</v>
      </c>
      <c r="E232" t="s">
        <v>929</v>
      </c>
      <c r="F232" t="s">
        <v>930</v>
      </c>
      <c r="G232" t="s">
        <v>21</v>
      </c>
      <c r="H232" t="s">
        <v>4888</v>
      </c>
      <c r="I232" t="s">
        <v>4893</v>
      </c>
      <c r="J232" s="4" t="s">
        <v>4894</v>
      </c>
      <c r="K232" s="4" t="s">
        <v>4837</v>
      </c>
      <c r="L232" s="4" t="s">
        <v>4909</v>
      </c>
      <c r="M232" s="4" t="s">
        <v>5035</v>
      </c>
      <c r="N232" t="s">
        <v>931</v>
      </c>
      <c r="O232" t="s">
        <v>932</v>
      </c>
      <c r="P232" t="s">
        <v>23</v>
      </c>
      <c r="Q232" t="s">
        <v>24</v>
      </c>
      <c r="R232" t="s">
        <v>25</v>
      </c>
      <c r="S232" t="s">
        <v>26</v>
      </c>
      <c r="T232" s="6">
        <v>46307</v>
      </c>
      <c r="U232">
        <v>108</v>
      </c>
      <c r="V232">
        <v>108</v>
      </c>
      <c r="W232">
        <v>120</v>
      </c>
      <c r="X232">
        <v>120</v>
      </c>
      <c r="Y232">
        <f t="shared" si="21"/>
        <v>0</v>
      </c>
      <c r="Z232">
        <f t="shared" si="22"/>
        <v>-12</v>
      </c>
      <c r="AC232" s="1">
        <v>0</v>
      </c>
      <c r="AF232">
        <f>V232</f>
        <v>108</v>
      </c>
      <c r="AG232" s="7">
        <v>12</v>
      </c>
      <c r="AH232">
        <f t="shared" si="23"/>
        <v>108</v>
      </c>
      <c r="AI232">
        <f t="shared" si="20"/>
        <v>0</v>
      </c>
      <c r="AK232">
        <f t="shared" si="24"/>
        <v>9</v>
      </c>
      <c r="AL232">
        <v>10.06</v>
      </c>
      <c r="AM232" t="s">
        <v>27</v>
      </c>
      <c r="AN232">
        <v>10.06</v>
      </c>
      <c r="AO232" t="b">
        <f t="shared" si="25"/>
        <v>1</v>
      </c>
      <c r="AR232" t="s">
        <v>5061</v>
      </c>
      <c r="AS232" s="21">
        <v>46276</v>
      </c>
      <c r="AT232" t="s">
        <v>5062</v>
      </c>
      <c r="AU232" t="s">
        <v>5068</v>
      </c>
      <c r="AV232" t="s">
        <v>5062</v>
      </c>
      <c r="AW232" t="s">
        <v>5086</v>
      </c>
    </row>
    <row r="233" spans="1:49" x14ac:dyDescent="0.35">
      <c r="A233" t="s">
        <v>871</v>
      </c>
      <c r="B233" t="s">
        <v>872</v>
      </c>
      <c r="C233" t="s">
        <v>4818</v>
      </c>
      <c r="D233" t="s">
        <v>18</v>
      </c>
      <c r="E233" t="s">
        <v>933</v>
      </c>
      <c r="F233" t="s">
        <v>934</v>
      </c>
      <c r="G233" t="s">
        <v>21</v>
      </c>
      <c r="H233" t="s">
        <v>4888</v>
      </c>
      <c r="I233" t="s">
        <v>4906</v>
      </c>
      <c r="J233" s="4" t="s">
        <v>4907</v>
      </c>
      <c r="K233" s="4" t="s">
        <v>4908</v>
      </c>
      <c r="L233" s="4" t="s">
        <v>4910</v>
      </c>
      <c r="M233" s="4" t="s">
        <v>5035</v>
      </c>
      <c r="N233" t="s">
        <v>935</v>
      </c>
      <c r="O233" t="s">
        <v>936</v>
      </c>
      <c r="P233" t="s">
        <v>23</v>
      </c>
      <c r="Q233" t="s">
        <v>24</v>
      </c>
      <c r="R233" t="s">
        <v>25</v>
      </c>
      <c r="S233" t="s">
        <v>26</v>
      </c>
      <c r="T233" s="6">
        <v>46307</v>
      </c>
      <c r="U233">
        <v>36</v>
      </c>
      <c r="V233">
        <v>36</v>
      </c>
      <c r="W233">
        <v>36</v>
      </c>
      <c r="X233">
        <v>36</v>
      </c>
      <c r="Y233">
        <f t="shared" si="21"/>
        <v>0</v>
      </c>
      <c r="Z233">
        <f t="shared" si="22"/>
        <v>0</v>
      </c>
      <c r="AC233" s="1"/>
      <c r="AF233">
        <f>V233</f>
        <v>36</v>
      </c>
      <c r="AG233" s="7">
        <v>12</v>
      </c>
      <c r="AH233">
        <f t="shared" si="23"/>
        <v>36</v>
      </c>
      <c r="AI233">
        <f t="shared" si="20"/>
        <v>0</v>
      </c>
      <c r="AK233">
        <f t="shared" si="24"/>
        <v>3</v>
      </c>
      <c r="AL233">
        <v>10.19</v>
      </c>
      <c r="AM233" t="s">
        <v>27</v>
      </c>
      <c r="AN233">
        <v>10.19</v>
      </c>
      <c r="AO233" t="b">
        <f t="shared" si="25"/>
        <v>1</v>
      </c>
      <c r="AR233" t="s">
        <v>5061</v>
      </c>
      <c r="AS233" s="21">
        <v>46276</v>
      </c>
      <c r="AT233" t="s">
        <v>5062</v>
      </c>
      <c r="AU233" t="s">
        <v>5070</v>
      </c>
      <c r="AV233" t="s">
        <v>5062</v>
      </c>
      <c r="AW233" t="s">
        <v>5086</v>
      </c>
    </row>
    <row r="234" spans="1:49" x14ac:dyDescent="0.35">
      <c r="A234" t="s">
        <v>871</v>
      </c>
      <c r="B234" t="s">
        <v>872</v>
      </c>
      <c r="C234" t="s">
        <v>4818</v>
      </c>
      <c r="D234" t="s">
        <v>18</v>
      </c>
      <c r="E234" t="s">
        <v>937</v>
      </c>
      <c r="F234" t="s">
        <v>938</v>
      </c>
      <c r="G234" t="s">
        <v>21</v>
      </c>
      <c r="H234" t="s">
        <v>4888</v>
      </c>
      <c r="I234" t="s">
        <v>4893</v>
      </c>
      <c r="J234" s="4" t="s">
        <v>4894</v>
      </c>
      <c r="K234" s="4" t="s">
        <v>4837</v>
      </c>
      <c r="L234" s="4" t="s">
        <v>4871</v>
      </c>
      <c r="M234" s="4" t="s">
        <v>5035</v>
      </c>
      <c r="N234" t="s">
        <v>939</v>
      </c>
      <c r="O234" t="s">
        <v>940</v>
      </c>
      <c r="P234" t="s">
        <v>23</v>
      </c>
      <c r="Q234" t="s">
        <v>24</v>
      </c>
      <c r="R234" t="s">
        <v>25</v>
      </c>
      <c r="S234" t="s">
        <v>26</v>
      </c>
      <c r="T234" s="6">
        <v>46307</v>
      </c>
      <c r="U234">
        <v>312</v>
      </c>
      <c r="V234">
        <v>312</v>
      </c>
      <c r="W234">
        <v>276</v>
      </c>
      <c r="X234">
        <v>276</v>
      </c>
      <c r="Y234">
        <f t="shared" si="21"/>
        <v>0</v>
      </c>
      <c r="Z234">
        <f t="shared" si="22"/>
        <v>36</v>
      </c>
      <c r="AA234">
        <f>Z234</f>
        <v>36</v>
      </c>
      <c r="AC234" s="1">
        <v>0</v>
      </c>
      <c r="AF234">
        <f>X234</f>
        <v>276</v>
      </c>
      <c r="AG234" s="7">
        <v>12</v>
      </c>
      <c r="AH234">
        <f t="shared" si="23"/>
        <v>276</v>
      </c>
      <c r="AI234">
        <f t="shared" si="20"/>
        <v>36</v>
      </c>
      <c r="AK234">
        <f t="shared" si="24"/>
        <v>23</v>
      </c>
      <c r="AL234">
        <v>10.06</v>
      </c>
      <c r="AM234" t="s">
        <v>27</v>
      </c>
      <c r="AN234">
        <v>10.06</v>
      </c>
      <c r="AO234" t="b">
        <f t="shared" si="25"/>
        <v>1</v>
      </c>
      <c r="AR234" t="s">
        <v>5061</v>
      </c>
      <c r="AS234" s="21">
        <v>46276</v>
      </c>
      <c r="AT234" t="s">
        <v>5062</v>
      </c>
      <c r="AU234" t="s">
        <v>5068</v>
      </c>
      <c r="AV234" t="s">
        <v>5062</v>
      </c>
      <c r="AW234" t="s">
        <v>5086</v>
      </c>
    </row>
    <row r="235" spans="1:49" x14ac:dyDescent="0.35">
      <c r="A235" t="s">
        <v>871</v>
      </c>
      <c r="B235" t="s">
        <v>872</v>
      </c>
      <c r="C235" t="s">
        <v>4818</v>
      </c>
      <c r="D235" t="s">
        <v>18</v>
      </c>
      <c r="E235" t="s">
        <v>941</v>
      </c>
      <c r="F235" t="s">
        <v>942</v>
      </c>
      <c r="G235" t="s">
        <v>21</v>
      </c>
      <c r="H235" t="s">
        <v>4888</v>
      </c>
      <c r="I235" t="s">
        <v>4889</v>
      </c>
      <c r="J235" s="4" t="s">
        <v>4890</v>
      </c>
      <c r="K235" s="4" t="s">
        <v>4911</v>
      </c>
      <c r="L235" s="4" t="s">
        <v>4912</v>
      </c>
      <c r="M235" s="4" t="s">
        <v>5035</v>
      </c>
      <c r="N235" t="s">
        <v>943</v>
      </c>
      <c r="O235" t="s">
        <v>944</v>
      </c>
      <c r="P235" t="s">
        <v>23</v>
      </c>
      <c r="Q235" t="s">
        <v>24</v>
      </c>
      <c r="R235" t="s">
        <v>25</v>
      </c>
      <c r="S235" t="s">
        <v>26</v>
      </c>
      <c r="T235" s="6">
        <v>46307</v>
      </c>
      <c r="U235">
        <v>48</v>
      </c>
      <c r="V235">
        <v>48</v>
      </c>
      <c r="W235">
        <v>48</v>
      </c>
      <c r="X235">
        <v>48</v>
      </c>
      <c r="Y235">
        <f t="shared" si="21"/>
        <v>0</v>
      </c>
      <c r="Z235">
        <f t="shared" si="22"/>
        <v>0</v>
      </c>
      <c r="AC235" s="1">
        <v>0</v>
      </c>
      <c r="AF235">
        <f>V235</f>
        <v>48</v>
      </c>
      <c r="AG235" s="7">
        <v>12</v>
      </c>
      <c r="AH235">
        <f t="shared" si="23"/>
        <v>48</v>
      </c>
      <c r="AI235">
        <f t="shared" si="20"/>
        <v>0</v>
      </c>
      <c r="AK235">
        <f t="shared" si="24"/>
        <v>4</v>
      </c>
      <c r="AL235">
        <v>11.87</v>
      </c>
      <c r="AM235" t="s">
        <v>27</v>
      </c>
      <c r="AN235">
        <v>11.87</v>
      </c>
      <c r="AO235" t="b">
        <f t="shared" si="25"/>
        <v>1</v>
      </c>
      <c r="AR235" t="s">
        <v>5061</v>
      </c>
      <c r="AS235" s="21">
        <v>46276</v>
      </c>
      <c r="AT235" t="s">
        <v>5062</v>
      </c>
      <c r="AU235" t="s">
        <v>5067</v>
      </c>
      <c r="AV235" t="s">
        <v>5062</v>
      </c>
      <c r="AW235" t="s">
        <v>5086</v>
      </c>
    </row>
    <row r="236" spans="1:49" x14ac:dyDescent="0.35">
      <c r="A236" t="s">
        <v>871</v>
      </c>
      <c r="B236" t="s">
        <v>872</v>
      </c>
      <c r="C236" t="s">
        <v>4818</v>
      </c>
      <c r="D236" t="s">
        <v>18</v>
      </c>
      <c r="E236" t="s">
        <v>945</v>
      </c>
      <c r="F236" t="s">
        <v>946</v>
      </c>
      <c r="G236" t="s">
        <v>21</v>
      </c>
      <c r="H236" t="s">
        <v>4888</v>
      </c>
      <c r="I236" t="s">
        <v>4893</v>
      </c>
      <c r="J236" s="4" t="s">
        <v>4894</v>
      </c>
      <c r="K236" s="4" t="s">
        <v>4913</v>
      </c>
      <c r="L236" s="4" t="s">
        <v>4879</v>
      </c>
      <c r="M236" s="4" t="s">
        <v>5035</v>
      </c>
      <c r="N236" t="s">
        <v>947</v>
      </c>
      <c r="O236" t="s">
        <v>948</v>
      </c>
      <c r="P236" t="s">
        <v>23</v>
      </c>
      <c r="Q236" t="s">
        <v>24</v>
      </c>
      <c r="R236" t="s">
        <v>25</v>
      </c>
      <c r="S236" t="s">
        <v>26</v>
      </c>
      <c r="T236" s="6">
        <v>46307</v>
      </c>
      <c r="U236">
        <v>24</v>
      </c>
      <c r="V236">
        <v>24</v>
      </c>
      <c r="W236">
        <v>24</v>
      </c>
      <c r="X236">
        <v>24</v>
      </c>
      <c r="Y236">
        <f t="shared" si="21"/>
        <v>0</v>
      </c>
      <c r="Z236">
        <f t="shared" si="22"/>
        <v>0</v>
      </c>
      <c r="AC236" s="1">
        <v>0</v>
      </c>
      <c r="AF236">
        <f>V236</f>
        <v>24</v>
      </c>
      <c r="AG236" s="7">
        <v>12</v>
      </c>
      <c r="AH236">
        <f t="shared" si="23"/>
        <v>24</v>
      </c>
      <c r="AI236">
        <f t="shared" si="20"/>
        <v>0</v>
      </c>
      <c r="AK236">
        <f t="shared" si="24"/>
        <v>2</v>
      </c>
      <c r="AL236">
        <v>9.9499999999999993</v>
      </c>
      <c r="AM236" t="s">
        <v>27</v>
      </c>
      <c r="AN236">
        <v>9.9499999999999993</v>
      </c>
      <c r="AO236" t="b">
        <f t="shared" si="25"/>
        <v>1</v>
      </c>
      <c r="AR236" t="s">
        <v>5061</v>
      </c>
      <c r="AS236" s="21">
        <v>46276</v>
      </c>
      <c r="AT236" t="s">
        <v>5062</v>
      </c>
      <c r="AU236" t="s">
        <v>5068</v>
      </c>
      <c r="AV236" t="s">
        <v>5062</v>
      </c>
      <c r="AW236" t="s">
        <v>5086</v>
      </c>
    </row>
    <row r="237" spans="1:49" x14ac:dyDescent="0.35">
      <c r="A237" t="s">
        <v>871</v>
      </c>
      <c r="B237" t="s">
        <v>872</v>
      </c>
      <c r="C237" t="s">
        <v>4818</v>
      </c>
      <c r="D237" t="s">
        <v>18</v>
      </c>
      <c r="E237" t="s">
        <v>949</v>
      </c>
      <c r="F237" t="s">
        <v>950</v>
      </c>
      <c r="G237" t="s">
        <v>21</v>
      </c>
      <c r="H237" t="s">
        <v>4888</v>
      </c>
      <c r="I237" t="s">
        <v>4893</v>
      </c>
      <c r="J237" s="4" t="s">
        <v>4894</v>
      </c>
      <c r="K237" s="4" t="s">
        <v>4837</v>
      </c>
      <c r="L237" s="4" t="s">
        <v>4914</v>
      </c>
      <c r="M237" s="4" t="s">
        <v>5035</v>
      </c>
      <c r="N237" t="s">
        <v>951</v>
      </c>
      <c r="O237" t="s">
        <v>952</v>
      </c>
      <c r="P237" t="s">
        <v>23</v>
      </c>
      <c r="Q237" t="s">
        <v>24</v>
      </c>
      <c r="R237" t="s">
        <v>25</v>
      </c>
      <c r="S237" t="s">
        <v>26</v>
      </c>
      <c r="T237" s="6">
        <v>46307</v>
      </c>
      <c r="U237">
        <v>156</v>
      </c>
      <c r="V237">
        <v>156</v>
      </c>
      <c r="W237">
        <v>168</v>
      </c>
      <c r="X237">
        <v>168</v>
      </c>
      <c r="Y237">
        <f t="shared" si="21"/>
        <v>0</v>
      </c>
      <c r="Z237">
        <f t="shared" si="22"/>
        <v>-12</v>
      </c>
      <c r="AC237" s="1"/>
      <c r="AF237">
        <f>V237</f>
        <v>156</v>
      </c>
      <c r="AG237" s="7">
        <v>12</v>
      </c>
      <c r="AH237">
        <f t="shared" si="23"/>
        <v>156</v>
      </c>
      <c r="AI237">
        <f t="shared" si="20"/>
        <v>0</v>
      </c>
      <c r="AK237">
        <f t="shared" si="24"/>
        <v>13</v>
      </c>
      <c r="AL237">
        <v>10.06</v>
      </c>
      <c r="AM237" t="s">
        <v>27</v>
      </c>
      <c r="AN237">
        <v>10.06</v>
      </c>
      <c r="AO237" t="b">
        <f t="shared" si="25"/>
        <v>1</v>
      </c>
      <c r="AR237" t="s">
        <v>5061</v>
      </c>
      <c r="AS237" s="21">
        <v>46276</v>
      </c>
      <c r="AT237" t="s">
        <v>5062</v>
      </c>
      <c r="AU237" t="s">
        <v>5068</v>
      </c>
      <c r="AV237" t="s">
        <v>5062</v>
      </c>
      <c r="AW237" t="s">
        <v>5086</v>
      </c>
    </row>
    <row r="238" spans="1:49" x14ac:dyDescent="0.35">
      <c r="A238" t="s">
        <v>871</v>
      </c>
      <c r="B238" t="s">
        <v>872</v>
      </c>
      <c r="C238" t="s">
        <v>4818</v>
      </c>
      <c r="D238" t="s">
        <v>18</v>
      </c>
      <c r="E238" t="s">
        <v>953</v>
      </c>
      <c r="F238" t="s">
        <v>954</v>
      </c>
      <c r="G238" t="s">
        <v>21</v>
      </c>
      <c r="H238" t="s">
        <v>4888</v>
      </c>
      <c r="I238" t="s">
        <v>4893</v>
      </c>
      <c r="J238" s="4" t="s">
        <v>4894</v>
      </c>
      <c r="K238" s="4" t="s">
        <v>4904</v>
      </c>
      <c r="L238" s="4" t="s">
        <v>4886</v>
      </c>
      <c r="M238" s="4" t="s">
        <v>5035</v>
      </c>
      <c r="N238" t="s">
        <v>955</v>
      </c>
      <c r="O238" t="s">
        <v>956</v>
      </c>
      <c r="P238" t="s">
        <v>23</v>
      </c>
      <c r="Q238" t="s">
        <v>24</v>
      </c>
      <c r="R238" t="s">
        <v>25</v>
      </c>
      <c r="S238" t="s">
        <v>26</v>
      </c>
      <c r="T238" s="6">
        <v>46307</v>
      </c>
      <c r="U238">
        <v>48</v>
      </c>
      <c r="V238">
        <v>48</v>
      </c>
      <c r="W238">
        <v>60</v>
      </c>
      <c r="X238">
        <v>60</v>
      </c>
      <c r="Y238">
        <f t="shared" si="21"/>
        <v>0</v>
      </c>
      <c r="Z238">
        <f t="shared" si="22"/>
        <v>-12</v>
      </c>
      <c r="AC238" s="1">
        <v>0</v>
      </c>
      <c r="AF238">
        <f>V238</f>
        <v>48</v>
      </c>
      <c r="AG238" s="7">
        <v>12</v>
      </c>
      <c r="AH238">
        <f t="shared" si="23"/>
        <v>48</v>
      </c>
      <c r="AI238">
        <f t="shared" si="20"/>
        <v>0</v>
      </c>
      <c r="AK238">
        <f t="shared" si="24"/>
        <v>4</v>
      </c>
      <c r="AL238">
        <v>10.16</v>
      </c>
      <c r="AM238" t="s">
        <v>27</v>
      </c>
      <c r="AN238">
        <v>10.16</v>
      </c>
      <c r="AO238" t="b">
        <f t="shared" si="25"/>
        <v>1</v>
      </c>
      <c r="AR238" t="s">
        <v>5061</v>
      </c>
      <c r="AS238" s="21">
        <v>46276</v>
      </c>
      <c r="AT238" t="s">
        <v>5062</v>
      </c>
      <c r="AU238" t="s">
        <v>5068</v>
      </c>
      <c r="AV238" t="s">
        <v>5062</v>
      </c>
      <c r="AW238" t="s">
        <v>5086</v>
      </c>
    </row>
    <row r="239" spans="1:49" x14ac:dyDescent="0.35">
      <c r="A239" t="s">
        <v>871</v>
      </c>
      <c r="B239" t="s">
        <v>872</v>
      </c>
      <c r="C239" t="s">
        <v>4818</v>
      </c>
      <c r="D239" t="s">
        <v>18</v>
      </c>
      <c r="E239" t="s">
        <v>957</v>
      </c>
      <c r="F239" t="s">
        <v>958</v>
      </c>
      <c r="G239" t="s">
        <v>21</v>
      </c>
      <c r="H239" t="s">
        <v>4888</v>
      </c>
      <c r="I239" t="s">
        <v>4902</v>
      </c>
      <c r="J239" s="4" t="s">
        <v>4903</v>
      </c>
      <c r="K239" s="4" t="s">
        <v>4899</v>
      </c>
      <c r="L239" s="4" t="s">
        <v>4867</v>
      </c>
      <c r="M239" s="4" t="s">
        <v>5035</v>
      </c>
      <c r="N239" t="s">
        <v>959</v>
      </c>
      <c r="O239" t="s">
        <v>960</v>
      </c>
      <c r="P239" t="s">
        <v>23</v>
      </c>
      <c r="Q239" t="s">
        <v>24</v>
      </c>
      <c r="R239" t="s">
        <v>25</v>
      </c>
      <c r="S239" t="s">
        <v>26</v>
      </c>
      <c r="T239" s="6">
        <v>46307</v>
      </c>
      <c r="U239">
        <v>60</v>
      </c>
      <c r="V239">
        <v>60</v>
      </c>
      <c r="W239">
        <v>48</v>
      </c>
      <c r="X239">
        <v>48</v>
      </c>
      <c r="Y239">
        <f t="shared" si="21"/>
        <v>0</v>
      </c>
      <c r="Z239">
        <f t="shared" si="22"/>
        <v>12</v>
      </c>
      <c r="AA239">
        <f t="shared" ref="AA239:AA240" si="28">Z239</f>
        <v>12</v>
      </c>
      <c r="AC239" s="1">
        <v>0</v>
      </c>
      <c r="AF239">
        <f>X239</f>
        <v>48</v>
      </c>
      <c r="AG239" s="7">
        <v>12</v>
      </c>
      <c r="AH239">
        <f t="shared" si="23"/>
        <v>48</v>
      </c>
      <c r="AI239">
        <f t="shared" si="20"/>
        <v>12</v>
      </c>
      <c r="AK239">
        <f t="shared" si="24"/>
        <v>4</v>
      </c>
      <c r="AL239">
        <v>10.49</v>
      </c>
      <c r="AM239" t="s">
        <v>27</v>
      </c>
      <c r="AN239">
        <v>10.49</v>
      </c>
      <c r="AO239" t="b">
        <f t="shared" si="25"/>
        <v>1</v>
      </c>
      <c r="AR239" t="s">
        <v>5061</v>
      </c>
      <c r="AS239" s="21">
        <v>46276</v>
      </c>
      <c r="AT239" t="s">
        <v>5062</v>
      </c>
      <c r="AU239" t="s">
        <v>5069</v>
      </c>
      <c r="AV239" t="s">
        <v>5062</v>
      </c>
      <c r="AW239" t="s">
        <v>5086</v>
      </c>
    </row>
    <row r="240" spans="1:49" x14ac:dyDescent="0.35">
      <c r="A240" t="s">
        <v>871</v>
      </c>
      <c r="B240" t="s">
        <v>872</v>
      </c>
      <c r="C240" t="s">
        <v>4818</v>
      </c>
      <c r="D240" t="s">
        <v>18</v>
      </c>
      <c r="E240" t="s">
        <v>961</v>
      </c>
      <c r="F240" t="s">
        <v>962</v>
      </c>
      <c r="G240" t="s">
        <v>21</v>
      </c>
      <c r="H240" t="s">
        <v>4888</v>
      </c>
      <c r="I240" t="s">
        <v>4893</v>
      </c>
      <c r="J240" s="4" t="s">
        <v>4894</v>
      </c>
      <c r="K240" s="4" t="s">
        <v>4896</v>
      </c>
      <c r="L240" s="4" t="s">
        <v>4864</v>
      </c>
      <c r="M240" s="4" t="s">
        <v>5035</v>
      </c>
      <c r="N240" t="s">
        <v>963</v>
      </c>
      <c r="O240" t="s">
        <v>964</v>
      </c>
      <c r="P240" t="s">
        <v>23</v>
      </c>
      <c r="Q240" t="s">
        <v>24</v>
      </c>
      <c r="R240" t="s">
        <v>25</v>
      </c>
      <c r="S240" t="s">
        <v>26</v>
      </c>
      <c r="T240" s="6">
        <v>46307</v>
      </c>
      <c r="U240">
        <v>156</v>
      </c>
      <c r="V240">
        <v>156</v>
      </c>
      <c r="W240">
        <v>144</v>
      </c>
      <c r="X240">
        <v>144</v>
      </c>
      <c r="Y240">
        <f t="shared" si="21"/>
        <v>0</v>
      </c>
      <c r="Z240">
        <f t="shared" si="22"/>
        <v>12</v>
      </c>
      <c r="AA240">
        <f t="shared" si="28"/>
        <v>12</v>
      </c>
      <c r="AC240" s="1">
        <v>0</v>
      </c>
      <c r="AF240">
        <f>X240</f>
        <v>144</v>
      </c>
      <c r="AG240" s="7">
        <v>12</v>
      </c>
      <c r="AH240">
        <f t="shared" si="23"/>
        <v>144</v>
      </c>
      <c r="AI240">
        <f t="shared" si="20"/>
        <v>12</v>
      </c>
      <c r="AK240">
        <f t="shared" si="24"/>
        <v>12</v>
      </c>
      <c r="AL240">
        <v>10.220000000000001</v>
      </c>
      <c r="AM240" t="s">
        <v>27</v>
      </c>
      <c r="AN240">
        <v>10.220000000000001</v>
      </c>
      <c r="AO240" t="b">
        <f t="shared" si="25"/>
        <v>1</v>
      </c>
      <c r="AR240" t="s">
        <v>5061</v>
      </c>
      <c r="AS240" s="21">
        <v>46276</v>
      </c>
      <c r="AT240" t="s">
        <v>5062</v>
      </c>
      <c r="AU240" t="s">
        <v>5068</v>
      </c>
      <c r="AV240" t="s">
        <v>5062</v>
      </c>
      <c r="AW240" t="s">
        <v>5086</v>
      </c>
    </row>
    <row r="241" spans="1:49" x14ac:dyDescent="0.35">
      <c r="A241" t="s">
        <v>871</v>
      </c>
      <c r="B241" t="s">
        <v>872</v>
      </c>
      <c r="C241" t="s">
        <v>4818</v>
      </c>
      <c r="D241" t="s">
        <v>18</v>
      </c>
      <c r="E241" t="s">
        <v>965</v>
      </c>
      <c r="F241" t="s">
        <v>966</v>
      </c>
      <c r="G241" t="s">
        <v>21</v>
      </c>
      <c r="H241" t="s">
        <v>4888</v>
      </c>
      <c r="I241" t="s">
        <v>4902</v>
      </c>
      <c r="J241" s="4" t="s">
        <v>4903</v>
      </c>
      <c r="K241" s="4" t="s">
        <v>4915</v>
      </c>
      <c r="L241" s="4" t="s">
        <v>4916</v>
      </c>
      <c r="M241" s="4" t="s">
        <v>5035</v>
      </c>
      <c r="N241" t="s">
        <v>967</v>
      </c>
      <c r="O241" t="s">
        <v>968</v>
      </c>
      <c r="P241" t="s">
        <v>23</v>
      </c>
      <c r="Q241" t="s">
        <v>24</v>
      </c>
      <c r="R241" t="s">
        <v>25</v>
      </c>
      <c r="S241" t="s">
        <v>26</v>
      </c>
      <c r="T241" s="6">
        <v>46307</v>
      </c>
      <c r="U241">
        <v>108</v>
      </c>
      <c r="V241">
        <v>108</v>
      </c>
      <c r="W241">
        <v>108</v>
      </c>
      <c r="X241">
        <v>108</v>
      </c>
      <c r="Y241">
        <f t="shared" si="21"/>
        <v>0</v>
      </c>
      <c r="Z241">
        <f t="shared" si="22"/>
        <v>0</v>
      </c>
      <c r="AC241" s="1">
        <v>0</v>
      </c>
      <c r="AF241">
        <f>V241</f>
        <v>108</v>
      </c>
      <c r="AG241" s="7">
        <v>12</v>
      </c>
      <c r="AH241">
        <f t="shared" si="23"/>
        <v>108</v>
      </c>
      <c r="AI241">
        <f t="shared" si="20"/>
        <v>0</v>
      </c>
      <c r="AK241">
        <f t="shared" si="24"/>
        <v>9</v>
      </c>
      <c r="AL241">
        <v>10.66</v>
      </c>
      <c r="AM241" t="s">
        <v>27</v>
      </c>
      <c r="AN241">
        <v>10.66</v>
      </c>
      <c r="AO241" t="b">
        <f t="shared" si="25"/>
        <v>1</v>
      </c>
      <c r="AR241" t="s">
        <v>5061</v>
      </c>
      <c r="AS241" s="21">
        <v>46276</v>
      </c>
      <c r="AT241" t="s">
        <v>5062</v>
      </c>
      <c r="AU241" t="s">
        <v>5069</v>
      </c>
      <c r="AV241" t="s">
        <v>5062</v>
      </c>
      <c r="AW241" t="s">
        <v>5086</v>
      </c>
    </row>
    <row r="242" spans="1:49" x14ac:dyDescent="0.35">
      <c r="A242" t="s">
        <v>871</v>
      </c>
      <c r="B242" t="s">
        <v>872</v>
      </c>
      <c r="C242" t="s">
        <v>4818</v>
      </c>
      <c r="D242" t="s">
        <v>18</v>
      </c>
      <c r="E242" t="s">
        <v>969</v>
      </c>
      <c r="F242" t="s">
        <v>970</v>
      </c>
      <c r="G242" t="s">
        <v>21</v>
      </c>
      <c r="H242" t="s">
        <v>4888</v>
      </c>
      <c r="I242" t="s">
        <v>4893</v>
      </c>
      <c r="J242" s="4" t="s">
        <v>4894</v>
      </c>
      <c r="K242" s="4" t="s">
        <v>4896</v>
      </c>
      <c r="L242" s="4" t="s">
        <v>4873</v>
      </c>
      <c r="M242" s="4" t="s">
        <v>5035</v>
      </c>
      <c r="N242" t="s">
        <v>971</v>
      </c>
      <c r="O242" t="s">
        <v>972</v>
      </c>
      <c r="P242" t="s">
        <v>23</v>
      </c>
      <c r="Q242" t="s">
        <v>24</v>
      </c>
      <c r="R242" t="s">
        <v>25</v>
      </c>
      <c r="S242" t="s">
        <v>26</v>
      </c>
      <c r="T242" s="6">
        <v>46307</v>
      </c>
      <c r="U242">
        <v>36</v>
      </c>
      <c r="V242">
        <v>36</v>
      </c>
      <c r="W242">
        <v>36</v>
      </c>
      <c r="X242">
        <v>36</v>
      </c>
      <c r="Y242">
        <f t="shared" si="21"/>
        <v>0</v>
      </c>
      <c r="Z242">
        <f t="shared" si="22"/>
        <v>0</v>
      </c>
      <c r="AC242" s="1">
        <v>0</v>
      </c>
      <c r="AF242">
        <f>V242</f>
        <v>36</v>
      </c>
      <c r="AG242" s="7">
        <v>12</v>
      </c>
      <c r="AH242">
        <f t="shared" si="23"/>
        <v>36</v>
      </c>
      <c r="AI242">
        <f t="shared" si="20"/>
        <v>0</v>
      </c>
      <c r="AK242">
        <f t="shared" si="24"/>
        <v>3</v>
      </c>
      <c r="AL242">
        <v>10.220000000000001</v>
      </c>
      <c r="AM242" t="s">
        <v>27</v>
      </c>
      <c r="AN242">
        <v>10.220000000000001</v>
      </c>
      <c r="AO242" t="b">
        <f t="shared" si="25"/>
        <v>1</v>
      </c>
      <c r="AR242" t="s">
        <v>5061</v>
      </c>
      <c r="AS242" s="21">
        <v>46276</v>
      </c>
      <c r="AT242" t="s">
        <v>5062</v>
      </c>
      <c r="AU242" t="s">
        <v>5068</v>
      </c>
      <c r="AV242" t="s">
        <v>5062</v>
      </c>
      <c r="AW242" t="s">
        <v>5086</v>
      </c>
    </row>
    <row r="243" spans="1:49" x14ac:dyDescent="0.35">
      <c r="A243" t="s">
        <v>871</v>
      </c>
      <c r="B243" t="s">
        <v>872</v>
      </c>
      <c r="C243" t="s">
        <v>4818</v>
      </c>
      <c r="D243" t="s">
        <v>18</v>
      </c>
      <c r="E243" t="s">
        <v>973</v>
      </c>
      <c r="F243" t="s">
        <v>974</v>
      </c>
      <c r="G243" t="s">
        <v>21</v>
      </c>
      <c r="H243" t="s">
        <v>4888</v>
      </c>
      <c r="I243" t="s">
        <v>4902</v>
      </c>
      <c r="J243" s="4" t="s">
        <v>4903</v>
      </c>
      <c r="K243" s="4" t="s">
        <v>4915</v>
      </c>
      <c r="L243" s="4" t="s">
        <v>4877</v>
      </c>
      <c r="M243" s="4" t="s">
        <v>5035</v>
      </c>
      <c r="N243" t="s">
        <v>975</v>
      </c>
      <c r="O243" t="s">
        <v>976</v>
      </c>
      <c r="P243" t="s">
        <v>23</v>
      </c>
      <c r="Q243" t="s">
        <v>24</v>
      </c>
      <c r="R243" t="s">
        <v>25</v>
      </c>
      <c r="S243" t="s">
        <v>26</v>
      </c>
      <c r="T243" s="6">
        <v>46307</v>
      </c>
      <c r="U243">
        <v>228</v>
      </c>
      <c r="V243">
        <v>228</v>
      </c>
      <c r="W243">
        <v>252</v>
      </c>
      <c r="X243">
        <v>252</v>
      </c>
      <c r="Y243">
        <f t="shared" si="21"/>
        <v>0</v>
      </c>
      <c r="Z243">
        <f t="shared" si="22"/>
        <v>-24</v>
      </c>
      <c r="AC243" s="1">
        <v>0</v>
      </c>
      <c r="AF243">
        <f>V243</f>
        <v>228</v>
      </c>
      <c r="AG243" s="7">
        <v>12</v>
      </c>
      <c r="AH243">
        <f t="shared" si="23"/>
        <v>228</v>
      </c>
      <c r="AI243">
        <f t="shared" si="20"/>
        <v>0</v>
      </c>
      <c r="AK243">
        <f t="shared" si="24"/>
        <v>19</v>
      </c>
      <c r="AL243">
        <v>10.66</v>
      </c>
      <c r="AM243" t="s">
        <v>27</v>
      </c>
      <c r="AN243">
        <v>10.66</v>
      </c>
      <c r="AO243" t="b">
        <f t="shared" si="25"/>
        <v>1</v>
      </c>
      <c r="AR243" t="s">
        <v>5061</v>
      </c>
      <c r="AS243" s="21">
        <v>46276</v>
      </c>
      <c r="AT243" t="s">
        <v>5062</v>
      </c>
      <c r="AU243" t="s">
        <v>5069</v>
      </c>
      <c r="AV243" t="s">
        <v>5062</v>
      </c>
      <c r="AW243" t="s">
        <v>5086</v>
      </c>
    </row>
    <row r="244" spans="1:49" x14ac:dyDescent="0.35">
      <c r="A244" t="s">
        <v>871</v>
      </c>
      <c r="B244" t="s">
        <v>872</v>
      </c>
      <c r="C244" t="s">
        <v>4818</v>
      </c>
      <c r="D244" t="s">
        <v>18</v>
      </c>
      <c r="E244" t="s">
        <v>977</v>
      </c>
      <c r="F244" t="s">
        <v>978</v>
      </c>
      <c r="G244" t="s">
        <v>21</v>
      </c>
      <c r="H244" t="s">
        <v>4888</v>
      </c>
      <c r="I244" t="s">
        <v>4893</v>
      </c>
      <c r="J244" s="4" t="s">
        <v>4894</v>
      </c>
      <c r="K244" s="4" t="s">
        <v>4896</v>
      </c>
      <c r="L244" s="4" t="s">
        <v>4917</v>
      </c>
      <c r="M244" s="4" t="s">
        <v>5035</v>
      </c>
      <c r="N244" t="s">
        <v>979</v>
      </c>
      <c r="O244" t="s">
        <v>980</v>
      </c>
      <c r="P244" t="s">
        <v>23</v>
      </c>
      <c r="Q244" t="s">
        <v>24</v>
      </c>
      <c r="R244" t="s">
        <v>25</v>
      </c>
      <c r="S244" t="s">
        <v>26</v>
      </c>
      <c r="T244" s="6">
        <v>46307</v>
      </c>
      <c r="U244">
        <v>36</v>
      </c>
      <c r="V244">
        <v>36</v>
      </c>
      <c r="W244">
        <v>36</v>
      </c>
      <c r="X244">
        <v>36</v>
      </c>
      <c r="Y244">
        <f t="shared" si="21"/>
        <v>0</v>
      </c>
      <c r="Z244">
        <f t="shared" si="22"/>
        <v>0</v>
      </c>
      <c r="AC244" s="1">
        <v>0</v>
      </c>
      <c r="AF244">
        <f>V244</f>
        <v>36</v>
      </c>
      <c r="AG244" s="7">
        <v>12</v>
      </c>
      <c r="AH244">
        <f t="shared" si="23"/>
        <v>36</v>
      </c>
      <c r="AI244">
        <f t="shared" si="20"/>
        <v>0</v>
      </c>
      <c r="AK244">
        <f t="shared" si="24"/>
        <v>3</v>
      </c>
      <c r="AL244">
        <v>10.220000000000001</v>
      </c>
      <c r="AM244" t="s">
        <v>27</v>
      </c>
      <c r="AN244">
        <v>10.220000000000001</v>
      </c>
      <c r="AO244" t="b">
        <f t="shared" si="25"/>
        <v>1</v>
      </c>
      <c r="AR244" t="s">
        <v>5061</v>
      </c>
      <c r="AS244" s="21">
        <v>46276</v>
      </c>
      <c r="AT244" t="s">
        <v>5062</v>
      </c>
      <c r="AU244" t="s">
        <v>5068</v>
      </c>
      <c r="AV244" t="s">
        <v>5062</v>
      </c>
      <c r="AW244" t="s">
        <v>5086</v>
      </c>
    </row>
    <row r="245" spans="1:49" x14ac:dyDescent="0.35">
      <c r="A245" t="s">
        <v>871</v>
      </c>
      <c r="B245" t="s">
        <v>872</v>
      </c>
      <c r="C245" t="s">
        <v>4818</v>
      </c>
      <c r="D245" t="s">
        <v>18</v>
      </c>
      <c r="E245" t="s">
        <v>981</v>
      </c>
      <c r="F245" t="s">
        <v>982</v>
      </c>
      <c r="G245" t="s">
        <v>21</v>
      </c>
      <c r="H245" t="s">
        <v>4888</v>
      </c>
      <c r="I245" t="s">
        <v>4889</v>
      </c>
      <c r="J245" s="4" t="s">
        <v>4890</v>
      </c>
      <c r="K245" s="4" t="s">
        <v>4911</v>
      </c>
      <c r="L245" s="4" t="s">
        <v>4909</v>
      </c>
      <c r="M245" s="4" t="s">
        <v>5035</v>
      </c>
      <c r="N245" t="s">
        <v>983</v>
      </c>
      <c r="O245" t="s">
        <v>984</v>
      </c>
      <c r="P245" t="s">
        <v>23</v>
      </c>
      <c r="Q245" t="s">
        <v>24</v>
      </c>
      <c r="R245" t="s">
        <v>25</v>
      </c>
      <c r="S245" t="s">
        <v>26</v>
      </c>
      <c r="T245" s="6">
        <v>46307</v>
      </c>
      <c r="U245">
        <v>48</v>
      </c>
      <c r="V245">
        <v>48</v>
      </c>
      <c r="W245">
        <v>36</v>
      </c>
      <c r="X245">
        <v>36</v>
      </c>
      <c r="Y245">
        <f t="shared" si="21"/>
        <v>0</v>
      </c>
      <c r="Z245">
        <f t="shared" si="22"/>
        <v>12</v>
      </c>
      <c r="AA245">
        <f>Z245</f>
        <v>12</v>
      </c>
      <c r="AC245" s="1">
        <v>0</v>
      </c>
      <c r="AF245">
        <f>X245</f>
        <v>36</v>
      </c>
      <c r="AG245" s="7">
        <v>12</v>
      </c>
      <c r="AH245">
        <f t="shared" si="23"/>
        <v>36</v>
      </c>
      <c r="AI245">
        <f t="shared" si="20"/>
        <v>12</v>
      </c>
      <c r="AK245">
        <f t="shared" si="24"/>
        <v>3</v>
      </c>
      <c r="AL245">
        <v>11.87</v>
      </c>
      <c r="AM245" t="s">
        <v>27</v>
      </c>
      <c r="AN245">
        <v>11.87</v>
      </c>
      <c r="AO245" t="b">
        <f t="shared" si="25"/>
        <v>1</v>
      </c>
      <c r="AR245" t="s">
        <v>5061</v>
      </c>
      <c r="AS245" s="21">
        <v>46276</v>
      </c>
      <c r="AT245" t="s">
        <v>5062</v>
      </c>
      <c r="AU245" t="s">
        <v>5067</v>
      </c>
      <c r="AV245" t="s">
        <v>5062</v>
      </c>
      <c r="AW245" t="s">
        <v>5086</v>
      </c>
    </row>
    <row r="246" spans="1:49" x14ac:dyDescent="0.35">
      <c r="A246" t="s">
        <v>871</v>
      </c>
      <c r="B246" t="s">
        <v>872</v>
      </c>
      <c r="C246" t="s">
        <v>4818</v>
      </c>
      <c r="D246" t="s">
        <v>18</v>
      </c>
      <c r="E246" t="s">
        <v>985</v>
      </c>
      <c r="F246" t="s">
        <v>986</v>
      </c>
      <c r="G246" t="s">
        <v>21</v>
      </c>
      <c r="H246" t="s">
        <v>4888</v>
      </c>
      <c r="I246" t="s">
        <v>4906</v>
      </c>
      <c r="J246" s="4" t="s">
        <v>4907</v>
      </c>
      <c r="K246" s="4" t="s">
        <v>4908</v>
      </c>
      <c r="L246" s="4" t="s">
        <v>4885</v>
      </c>
      <c r="M246" s="4" t="s">
        <v>5035</v>
      </c>
      <c r="N246" t="s">
        <v>987</v>
      </c>
      <c r="O246" t="s">
        <v>988</v>
      </c>
      <c r="P246" t="s">
        <v>23</v>
      </c>
      <c r="Q246" t="s">
        <v>24</v>
      </c>
      <c r="R246" t="s">
        <v>25</v>
      </c>
      <c r="S246" t="s">
        <v>26</v>
      </c>
      <c r="T246" s="6">
        <v>46307</v>
      </c>
      <c r="U246">
        <v>156</v>
      </c>
      <c r="V246">
        <v>156</v>
      </c>
      <c r="W246">
        <v>168</v>
      </c>
      <c r="X246">
        <v>168</v>
      </c>
      <c r="Y246">
        <f t="shared" si="21"/>
        <v>0</v>
      </c>
      <c r="Z246">
        <f t="shared" si="22"/>
        <v>-12</v>
      </c>
      <c r="AC246" s="1">
        <v>0</v>
      </c>
      <c r="AF246">
        <f>V246</f>
        <v>156</v>
      </c>
      <c r="AG246" s="7">
        <v>12</v>
      </c>
      <c r="AH246">
        <f t="shared" si="23"/>
        <v>156</v>
      </c>
      <c r="AI246">
        <f t="shared" si="20"/>
        <v>0</v>
      </c>
      <c r="AK246">
        <f t="shared" si="24"/>
        <v>13</v>
      </c>
      <c r="AL246">
        <v>10.19</v>
      </c>
      <c r="AM246" t="s">
        <v>27</v>
      </c>
      <c r="AN246">
        <v>10.19</v>
      </c>
      <c r="AO246" t="b">
        <f t="shared" si="25"/>
        <v>1</v>
      </c>
      <c r="AR246" t="s">
        <v>5061</v>
      </c>
      <c r="AS246" s="21">
        <v>46276</v>
      </c>
      <c r="AT246" t="s">
        <v>5062</v>
      </c>
      <c r="AU246" t="s">
        <v>5070</v>
      </c>
      <c r="AV246" t="s">
        <v>5062</v>
      </c>
      <c r="AW246" t="s">
        <v>5086</v>
      </c>
    </row>
    <row r="247" spans="1:49" x14ac:dyDescent="0.35">
      <c r="A247" t="s">
        <v>871</v>
      </c>
      <c r="B247" t="s">
        <v>872</v>
      </c>
      <c r="C247" t="s">
        <v>4818</v>
      </c>
      <c r="D247" t="s">
        <v>18</v>
      </c>
      <c r="E247" t="s">
        <v>989</v>
      </c>
      <c r="F247" t="s">
        <v>990</v>
      </c>
      <c r="G247" t="s">
        <v>21</v>
      </c>
      <c r="H247" t="s">
        <v>4888</v>
      </c>
      <c r="I247" t="s">
        <v>4902</v>
      </c>
      <c r="J247" s="4" t="s">
        <v>4903</v>
      </c>
      <c r="K247" s="4" t="s">
        <v>4915</v>
      </c>
      <c r="L247" s="4" t="s">
        <v>4918</v>
      </c>
      <c r="M247" s="4" t="s">
        <v>5035</v>
      </c>
      <c r="N247" t="s">
        <v>991</v>
      </c>
      <c r="O247" t="s">
        <v>992</v>
      </c>
      <c r="P247" t="s">
        <v>23</v>
      </c>
      <c r="Q247" t="s">
        <v>24</v>
      </c>
      <c r="R247" t="s">
        <v>25</v>
      </c>
      <c r="S247" t="s">
        <v>26</v>
      </c>
      <c r="T247" s="6">
        <v>46307</v>
      </c>
      <c r="U247">
        <v>12</v>
      </c>
      <c r="V247">
        <v>12</v>
      </c>
      <c r="W247">
        <v>12</v>
      </c>
      <c r="X247">
        <v>12</v>
      </c>
      <c r="Y247">
        <f t="shared" si="21"/>
        <v>0</v>
      </c>
      <c r="Z247">
        <f t="shared" si="22"/>
        <v>0</v>
      </c>
      <c r="AC247" s="1">
        <v>0</v>
      </c>
      <c r="AF247">
        <f>V247</f>
        <v>12</v>
      </c>
      <c r="AG247" s="7">
        <v>12</v>
      </c>
      <c r="AH247">
        <f t="shared" si="23"/>
        <v>12</v>
      </c>
      <c r="AI247">
        <f t="shared" si="20"/>
        <v>0</v>
      </c>
      <c r="AK247">
        <f t="shared" si="24"/>
        <v>1</v>
      </c>
      <c r="AL247">
        <v>10.66</v>
      </c>
      <c r="AM247" t="s">
        <v>27</v>
      </c>
      <c r="AN247">
        <v>10.66</v>
      </c>
      <c r="AO247" t="b">
        <f t="shared" si="25"/>
        <v>1</v>
      </c>
      <c r="AR247" t="s">
        <v>5061</v>
      </c>
      <c r="AS247" s="21">
        <v>46276</v>
      </c>
      <c r="AT247" t="s">
        <v>5062</v>
      </c>
      <c r="AU247" t="s">
        <v>5069</v>
      </c>
      <c r="AV247" t="s">
        <v>5062</v>
      </c>
      <c r="AW247" t="s">
        <v>5086</v>
      </c>
    </row>
    <row r="248" spans="1:49" x14ac:dyDescent="0.35">
      <c r="A248" t="s">
        <v>871</v>
      </c>
      <c r="B248" t="s">
        <v>872</v>
      </c>
      <c r="C248" t="s">
        <v>4818</v>
      </c>
      <c r="D248" t="s">
        <v>18</v>
      </c>
      <c r="E248" t="s">
        <v>993</v>
      </c>
      <c r="F248" t="s">
        <v>994</v>
      </c>
      <c r="G248" t="s">
        <v>21</v>
      </c>
      <c r="H248" t="s">
        <v>4888</v>
      </c>
      <c r="I248" t="s">
        <v>4889</v>
      </c>
      <c r="J248" s="4" t="s">
        <v>4890</v>
      </c>
      <c r="K248" s="4" t="s">
        <v>4891</v>
      </c>
      <c r="L248" s="4" t="s">
        <v>4900</v>
      </c>
      <c r="M248" s="4" t="s">
        <v>5035</v>
      </c>
      <c r="N248" t="s">
        <v>995</v>
      </c>
      <c r="O248" t="s">
        <v>996</v>
      </c>
      <c r="P248" t="s">
        <v>23</v>
      </c>
      <c r="Q248" t="s">
        <v>24</v>
      </c>
      <c r="R248" t="s">
        <v>25</v>
      </c>
      <c r="S248" t="s">
        <v>26</v>
      </c>
      <c r="T248" s="6">
        <v>46307</v>
      </c>
      <c r="U248">
        <v>168</v>
      </c>
      <c r="V248">
        <v>168</v>
      </c>
      <c r="W248">
        <v>144</v>
      </c>
      <c r="X248">
        <v>144</v>
      </c>
      <c r="Y248">
        <f t="shared" si="21"/>
        <v>0</v>
      </c>
      <c r="Z248">
        <f t="shared" si="22"/>
        <v>24</v>
      </c>
      <c r="AA248">
        <f>Z248</f>
        <v>24</v>
      </c>
      <c r="AC248" s="1">
        <v>0</v>
      </c>
      <c r="AF248">
        <f>X248</f>
        <v>144</v>
      </c>
      <c r="AG248" s="7">
        <v>12</v>
      </c>
      <c r="AH248">
        <f t="shared" si="23"/>
        <v>144</v>
      </c>
      <c r="AI248">
        <f t="shared" si="20"/>
        <v>24</v>
      </c>
      <c r="AK248">
        <f t="shared" si="24"/>
        <v>12</v>
      </c>
      <c r="AL248">
        <v>11.2</v>
      </c>
      <c r="AM248" t="s">
        <v>27</v>
      </c>
      <c r="AN248">
        <v>11.2</v>
      </c>
      <c r="AO248" t="b">
        <f t="shared" si="25"/>
        <v>1</v>
      </c>
      <c r="AR248" t="s">
        <v>5061</v>
      </c>
      <c r="AS248" s="21">
        <v>46276</v>
      </c>
      <c r="AT248" t="s">
        <v>5062</v>
      </c>
      <c r="AU248" t="s">
        <v>5067</v>
      </c>
      <c r="AV248" t="s">
        <v>5062</v>
      </c>
      <c r="AW248" t="s">
        <v>5086</v>
      </c>
    </row>
    <row r="249" spans="1:49" x14ac:dyDescent="0.35">
      <c r="A249" t="s">
        <v>871</v>
      </c>
      <c r="B249" t="s">
        <v>872</v>
      </c>
      <c r="C249" t="s">
        <v>4818</v>
      </c>
      <c r="D249" t="s">
        <v>18</v>
      </c>
      <c r="E249" t="s">
        <v>997</v>
      </c>
      <c r="F249" t="s">
        <v>998</v>
      </c>
      <c r="G249" t="s">
        <v>21</v>
      </c>
      <c r="H249" t="s">
        <v>4888</v>
      </c>
      <c r="I249" t="s">
        <v>4889</v>
      </c>
      <c r="J249" s="4" t="s">
        <v>4890</v>
      </c>
      <c r="K249" s="4" t="s">
        <v>4911</v>
      </c>
      <c r="L249" s="4" t="s">
        <v>4851</v>
      </c>
      <c r="M249" s="4" t="s">
        <v>5035</v>
      </c>
      <c r="N249" t="s">
        <v>999</v>
      </c>
      <c r="O249" t="s">
        <v>1000</v>
      </c>
      <c r="P249" t="s">
        <v>23</v>
      </c>
      <c r="Q249" t="s">
        <v>24</v>
      </c>
      <c r="R249" t="s">
        <v>25</v>
      </c>
      <c r="S249" t="s">
        <v>26</v>
      </c>
      <c r="T249" s="6">
        <v>46307</v>
      </c>
      <c r="U249">
        <v>36</v>
      </c>
      <c r="V249">
        <v>36</v>
      </c>
      <c r="W249">
        <v>36</v>
      </c>
      <c r="X249">
        <v>36</v>
      </c>
      <c r="Y249">
        <f t="shared" si="21"/>
        <v>0</v>
      </c>
      <c r="Z249">
        <f t="shared" si="22"/>
        <v>0</v>
      </c>
      <c r="AC249" s="1">
        <v>0</v>
      </c>
      <c r="AF249">
        <f>V249</f>
        <v>36</v>
      </c>
      <c r="AG249" s="7">
        <v>12</v>
      </c>
      <c r="AH249">
        <f t="shared" si="23"/>
        <v>36</v>
      </c>
      <c r="AI249">
        <f t="shared" si="20"/>
        <v>0</v>
      </c>
      <c r="AK249">
        <f t="shared" si="24"/>
        <v>3</v>
      </c>
      <c r="AL249">
        <v>11.87</v>
      </c>
      <c r="AM249" t="s">
        <v>27</v>
      </c>
      <c r="AN249">
        <v>11.87</v>
      </c>
      <c r="AO249" t="b">
        <f t="shared" si="25"/>
        <v>1</v>
      </c>
      <c r="AR249" t="s">
        <v>5061</v>
      </c>
      <c r="AS249" s="21">
        <v>46276</v>
      </c>
      <c r="AT249" t="s">
        <v>5062</v>
      </c>
      <c r="AU249" t="s">
        <v>5067</v>
      </c>
      <c r="AV249" t="s">
        <v>5062</v>
      </c>
      <c r="AW249" t="s">
        <v>5086</v>
      </c>
    </row>
    <row r="250" spans="1:49" x14ac:dyDescent="0.35">
      <c r="A250" t="s">
        <v>871</v>
      </c>
      <c r="B250" t="s">
        <v>872</v>
      </c>
      <c r="C250" t="s">
        <v>4818</v>
      </c>
      <c r="D250" t="s">
        <v>18</v>
      </c>
      <c r="E250" t="s">
        <v>1001</v>
      </c>
      <c r="F250" t="s">
        <v>1002</v>
      </c>
      <c r="G250" t="s">
        <v>21</v>
      </c>
      <c r="H250" t="s">
        <v>4888</v>
      </c>
      <c r="I250" t="s">
        <v>4889</v>
      </c>
      <c r="J250" s="4" t="s">
        <v>4890</v>
      </c>
      <c r="K250" s="4" t="s">
        <v>4911</v>
      </c>
      <c r="L250" s="4" t="s">
        <v>4867</v>
      </c>
      <c r="M250" s="4" t="s">
        <v>5035</v>
      </c>
      <c r="N250" t="s">
        <v>1003</v>
      </c>
      <c r="O250" t="s">
        <v>1004</v>
      </c>
      <c r="P250" t="s">
        <v>23</v>
      </c>
      <c r="Q250" t="s">
        <v>24</v>
      </c>
      <c r="R250" t="s">
        <v>25</v>
      </c>
      <c r="S250" t="s">
        <v>26</v>
      </c>
      <c r="T250" s="6">
        <v>46307</v>
      </c>
      <c r="U250">
        <v>48</v>
      </c>
      <c r="V250">
        <v>48</v>
      </c>
      <c r="W250">
        <v>36</v>
      </c>
      <c r="X250">
        <v>36</v>
      </c>
      <c r="Y250">
        <f t="shared" si="21"/>
        <v>0</v>
      </c>
      <c r="Z250">
        <f t="shared" si="22"/>
        <v>12</v>
      </c>
      <c r="AA250">
        <f>Z250</f>
        <v>12</v>
      </c>
      <c r="AC250" s="1">
        <v>0</v>
      </c>
      <c r="AF250">
        <f>X250</f>
        <v>36</v>
      </c>
      <c r="AG250" s="7">
        <v>12</v>
      </c>
      <c r="AH250">
        <f t="shared" si="23"/>
        <v>36</v>
      </c>
      <c r="AI250">
        <f t="shared" si="20"/>
        <v>12</v>
      </c>
      <c r="AK250">
        <f t="shared" si="24"/>
        <v>3</v>
      </c>
      <c r="AL250">
        <v>11.87</v>
      </c>
      <c r="AM250" t="s">
        <v>27</v>
      </c>
      <c r="AN250">
        <v>11.87</v>
      </c>
      <c r="AO250" t="b">
        <f t="shared" si="25"/>
        <v>1</v>
      </c>
      <c r="AR250" t="s">
        <v>5061</v>
      </c>
      <c r="AS250" s="21">
        <v>46276</v>
      </c>
      <c r="AT250" t="s">
        <v>5062</v>
      </c>
      <c r="AU250" t="s">
        <v>5067</v>
      </c>
      <c r="AV250" t="s">
        <v>5062</v>
      </c>
      <c r="AW250" t="s">
        <v>5086</v>
      </c>
    </row>
    <row r="251" spans="1:49" x14ac:dyDescent="0.35">
      <c r="A251" t="s">
        <v>871</v>
      </c>
      <c r="B251" t="s">
        <v>872</v>
      </c>
      <c r="C251" t="s">
        <v>4818</v>
      </c>
      <c r="D251" t="s">
        <v>18</v>
      </c>
      <c r="E251" t="s">
        <v>1005</v>
      </c>
      <c r="F251" t="s">
        <v>1006</v>
      </c>
      <c r="G251" t="s">
        <v>21</v>
      </c>
      <c r="H251" t="s">
        <v>4888</v>
      </c>
      <c r="I251" t="s">
        <v>4902</v>
      </c>
      <c r="J251" s="4" t="s">
        <v>4903</v>
      </c>
      <c r="K251" s="4" t="s">
        <v>4899</v>
      </c>
      <c r="L251" s="4" t="s">
        <v>4919</v>
      </c>
      <c r="M251" s="4" t="s">
        <v>5035</v>
      </c>
      <c r="N251" t="s">
        <v>1007</v>
      </c>
      <c r="O251" t="s">
        <v>1008</v>
      </c>
      <c r="P251" t="s">
        <v>23</v>
      </c>
      <c r="Q251" t="s">
        <v>24</v>
      </c>
      <c r="R251" t="s">
        <v>25</v>
      </c>
      <c r="S251" t="s">
        <v>26</v>
      </c>
      <c r="T251" s="6">
        <v>46307</v>
      </c>
      <c r="U251">
        <v>36</v>
      </c>
      <c r="V251">
        <v>36</v>
      </c>
      <c r="W251">
        <v>36</v>
      </c>
      <c r="X251">
        <v>36</v>
      </c>
      <c r="Y251">
        <f t="shared" si="21"/>
        <v>0</v>
      </c>
      <c r="Z251">
        <f t="shared" si="22"/>
        <v>0</v>
      </c>
      <c r="AC251" s="1">
        <v>0</v>
      </c>
      <c r="AF251">
        <f>V251</f>
        <v>36</v>
      </c>
      <c r="AG251" s="7">
        <v>12</v>
      </c>
      <c r="AH251">
        <f t="shared" si="23"/>
        <v>36</v>
      </c>
      <c r="AI251">
        <f t="shared" si="20"/>
        <v>0</v>
      </c>
      <c r="AK251">
        <f t="shared" si="24"/>
        <v>3</v>
      </c>
      <c r="AL251">
        <v>10.49</v>
      </c>
      <c r="AM251" t="s">
        <v>27</v>
      </c>
      <c r="AN251">
        <v>10.49</v>
      </c>
      <c r="AO251" t="b">
        <f t="shared" si="25"/>
        <v>1</v>
      </c>
      <c r="AR251" t="s">
        <v>5061</v>
      </c>
      <c r="AS251" s="21">
        <v>46276</v>
      </c>
      <c r="AT251" t="s">
        <v>5062</v>
      </c>
      <c r="AU251" t="s">
        <v>5069</v>
      </c>
      <c r="AV251" t="s">
        <v>5062</v>
      </c>
      <c r="AW251" t="s">
        <v>5086</v>
      </c>
    </row>
    <row r="252" spans="1:49" x14ac:dyDescent="0.35">
      <c r="A252" t="s">
        <v>871</v>
      </c>
      <c r="B252" t="s">
        <v>872</v>
      </c>
      <c r="C252" t="s">
        <v>4818</v>
      </c>
      <c r="D252" t="s">
        <v>18</v>
      </c>
      <c r="E252" t="s">
        <v>1009</v>
      </c>
      <c r="F252" t="s">
        <v>1010</v>
      </c>
      <c r="G252" t="s">
        <v>21</v>
      </c>
      <c r="H252" t="s">
        <v>4888</v>
      </c>
      <c r="I252" t="s">
        <v>4902</v>
      </c>
      <c r="J252" s="4" t="s">
        <v>4903</v>
      </c>
      <c r="K252" s="4" t="s">
        <v>4915</v>
      </c>
      <c r="L252" s="4" t="s">
        <v>4885</v>
      </c>
      <c r="M252" s="4" t="s">
        <v>5035</v>
      </c>
      <c r="N252" t="s">
        <v>1011</v>
      </c>
      <c r="O252" t="s">
        <v>1012</v>
      </c>
      <c r="P252" t="s">
        <v>23</v>
      </c>
      <c r="Q252" t="s">
        <v>24</v>
      </c>
      <c r="R252" t="s">
        <v>25</v>
      </c>
      <c r="S252" t="s">
        <v>26</v>
      </c>
      <c r="T252" s="6">
        <v>46307</v>
      </c>
      <c r="U252">
        <v>348</v>
      </c>
      <c r="V252">
        <v>348</v>
      </c>
      <c r="W252">
        <v>372</v>
      </c>
      <c r="X252">
        <v>372</v>
      </c>
      <c r="Y252">
        <f t="shared" si="21"/>
        <v>0</v>
      </c>
      <c r="Z252">
        <f t="shared" si="22"/>
        <v>-24</v>
      </c>
      <c r="AC252" s="1"/>
      <c r="AF252">
        <f>V252</f>
        <v>348</v>
      </c>
      <c r="AG252" s="7">
        <v>12</v>
      </c>
      <c r="AH252">
        <f t="shared" si="23"/>
        <v>348</v>
      </c>
      <c r="AI252">
        <f t="shared" si="20"/>
        <v>0</v>
      </c>
      <c r="AK252">
        <f t="shared" si="24"/>
        <v>29</v>
      </c>
      <c r="AL252">
        <v>10.66</v>
      </c>
      <c r="AM252" t="s">
        <v>27</v>
      </c>
      <c r="AN252">
        <v>10.66</v>
      </c>
      <c r="AO252" t="b">
        <f t="shared" si="25"/>
        <v>1</v>
      </c>
      <c r="AR252" t="s">
        <v>5061</v>
      </c>
      <c r="AS252" s="21">
        <v>46276</v>
      </c>
      <c r="AT252" t="s">
        <v>5062</v>
      </c>
      <c r="AU252" t="s">
        <v>5069</v>
      </c>
      <c r="AV252" t="s">
        <v>5062</v>
      </c>
      <c r="AW252" t="s">
        <v>5086</v>
      </c>
    </row>
    <row r="253" spans="1:49" x14ac:dyDescent="0.35">
      <c r="A253" t="s">
        <v>871</v>
      </c>
      <c r="B253" t="s">
        <v>872</v>
      </c>
      <c r="C253" t="s">
        <v>4818</v>
      </c>
      <c r="D253" t="s">
        <v>18</v>
      </c>
      <c r="E253" t="s">
        <v>1013</v>
      </c>
      <c r="F253" t="s">
        <v>1014</v>
      </c>
      <c r="G253" t="s">
        <v>21</v>
      </c>
      <c r="H253" t="s">
        <v>4888</v>
      </c>
      <c r="I253" t="s">
        <v>4893</v>
      </c>
      <c r="J253" s="4" t="s">
        <v>4894</v>
      </c>
      <c r="K253" s="4" t="s">
        <v>4913</v>
      </c>
      <c r="L253" s="4" t="s">
        <v>4920</v>
      </c>
      <c r="M253" s="4" t="s">
        <v>5035</v>
      </c>
      <c r="N253" t="s">
        <v>1015</v>
      </c>
      <c r="O253" t="s">
        <v>1016</v>
      </c>
      <c r="P253" t="s">
        <v>23</v>
      </c>
      <c r="Q253" t="s">
        <v>24</v>
      </c>
      <c r="R253" t="s">
        <v>25</v>
      </c>
      <c r="S253" t="s">
        <v>26</v>
      </c>
      <c r="T253" s="6">
        <v>46307</v>
      </c>
      <c r="U253">
        <v>36</v>
      </c>
      <c r="V253">
        <v>36</v>
      </c>
      <c r="W253">
        <v>36</v>
      </c>
      <c r="X253">
        <v>36</v>
      </c>
      <c r="Y253">
        <f t="shared" si="21"/>
        <v>0</v>
      </c>
      <c r="Z253">
        <f t="shared" si="22"/>
        <v>0</v>
      </c>
      <c r="AC253" s="1">
        <v>0</v>
      </c>
      <c r="AF253">
        <f>V253</f>
        <v>36</v>
      </c>
      <c r="AG253" s="7">
        <v>12</v>
      </c>
      <c r="AH253">
        <f t="shared" si="23"/>
        <v>36</v>
      </c>
      <c r="AI253">
        <f t="shared" si="20"/>
        <v>0</v>
      </c>
      <c r="AK253">
        <f t="shared" si="24"/>
        <v>3</v>
      </c>
      <c r="AL253">
        <v>9.9499999999999993</v>
      </c>
      <c r="AM253" t="s">
        <v>27</v>
      </c>
      <c r="AN253">
        <v>9.9499999999999993</v>
      </c>
      <c r="AO253" t="b">
        <f t="shared" si="25"/>
        <v>1</v>
      </c>
      <c r="AR253" t="s">
        <v>5061</v>
      </c>
      <c r="AS253" s="21">
        <v>46276</v>
      </c>
      <c r="AT253" t="s">
        <v>5062</v>
      </c>
      <c r="AU253" t="s">
        <v>5068</v>
      </c>
      <c r="AV253" t="s">
        <v>5062</v>
      </c>
      <c r="AW253" t="s">
        <v>5086</v>
      </c>
    </row>
    <row r="254" spans="1:49" x14ac:dyDescent="0.35">
      <c r="A254" t="s">
        <v>871</v>
      </c>
      <c r="B254" t="s">
        <v>872</v>
      </c>
      <c r="C254" t="s">
        <v>4818</v>
      </c>
      <c r="D254" t="s">
        <v>18</v>
      </c>
      <c r="E254" t="s">
        <v>1017</v>
      </c>
      <c r="F254" t="s">
        <v>1018</v>
      </c>
      <c r="G254" t="s">
        <v>21</v>
      </c>
      <c r="H254" t="s">
        <v>4888</v>
      </c>
      <c r="I254" t="s">
        <v>4902</v>
      </c>
      <c r="J254" s="4" t="s">
        <v>4903</v>
      </c>
      <c r="K254" s="4" t="s">
        <v>4915</v>
      </c>
      <c r="L254" s="4" t="s">
        <v>4921</v>
      </c>
      <c r="M254" s="4" t="s">
        <v>5035</v>
      </c>
      <c r="N254" t="s">
        <v>1019</v>
      </c>
      <c r="O254" t="s">
        <v>1020</v>
      </c>
      <c r="P254" t="s">
        <v>23</v>
      </c>
      <c r="Q254" t="s">
        <v>24</v>
      </c>
      <c r="R254" t="s">
        <v>25</v>
      </c>
      <c r="S254" t="s">
        <v>26</v>
      </c>
      <c r="T254" s="6">
        <v>46307</v>
      </c>
      <c r="U254">
        <v>24</v>
      </c>
      <c r="V254">
        <v>24</v>
      </c>
      <c r="W254">
        <v>24</v>
      </c>
      <c r="X254">
        <v>24</v>
      </c>
      <c r="Y254">
        <f t="shared" si="21"/>
        <v>0</v>
      </c>
      <c r="Z254">
        <f t="shared" si="22"/>
        <v>0</v>
      </c>
      <c r="AC254" s="1">
        <v>0</v>
      </c>
      <c r="AF254">
        <f>V254</f>
        <v>24</v>
      </c>
      <c r="AG254" s="7">
        <v>12</v>
      </c>
      <c r="AH254">
        <f t="shared" si="23"/>
        <v>24</v>
      </c>
      <c r="AI254">
        <f t="shared" si="20"/>
        <v>0</v>
      </c>
      <c r="AK254">
        <f t="shared" si="24"/>
        <v>2</v>
      </c>
      <c r="AL254">
        <v>10.66</v>
      </c>
      <c r="AM254" t="s">
        <v>27</v>
      </c>
      <c r="AN254">
        <v>10.66</v>
      </c>
      <c r="AO254" t="b">
        <f t="shared" si="25"/>
        <v>1</v>
      </c>
      <c r="AR254" t="s">
        <v>5061</v>
      </c>
      <c r="AS254" s="21">
        <v>46276</v>
      </c>
      <c r="AT254" t="s">
        <v>5062</v>
      </c>
      <c r="AU254" t="s">
        <v>5069</v>
      </c>
      <c r="AV254" t="s">
        <v>5062</v>
      </c>
      <c r="AW254" t="s">
        <v>5086</v>
      </c>
    </row>
    <row r="255" spans="1:49" x14ac:dyDescent="0.35">
      <c r="A255" t="s">
        <v>871</v>
      </c>
      <c r="B255" t="s">
        <v>872</v>
      </c>
      <c r="C255" t="s">
        <v>4818</v>
      </c>
      <c r="D255" t="s">
        <v>18</v>
      </c>
      <c r="E255" t="s">
        <v>1021</v>
      </c>
      <c r="F255" t="s">
        <v>1022</v>
      </c>
      <c r="G255" t="s">
        <v>21</v>
      </c>
      <c r="H255" t="s">
        <v>4888</v>
      </c>
      <c r="I255" t="s">
        <v>4902</v>
      </c>
      <c r="J255" s="4" t="s">
        <v>4903</v>
      </c>
      <c r="K255" s="4" t="s">
        <v>4915</v>
      </c>
      <c r="L255" s="4" t="s">
        <v>4917</v>
      </c>
      <c r="M255" s="4" t="s">
        <v>5035</v>
      </c>
      <c r="N255" t="s">
        <v>1023</v>
      </c>
      <c r="O255" t="s">
        <v>1024</v>
      </c>
      <c r="P255" t="s">
        <v>23</v>
      </c>
      <c r="Q255" t="s">
        <v>24</v>
      </c>
      <c r="R255" t="s">
        <v>25</v>
      </c>
      <c r="S255" t="s">
        <v>26</v>
      </c>
      <c r="T255" s="6">
        <v>46307</v>
      </c>
      <c r="U255">
        <v>60</v>
      </c>
      <c r="V255">
        <v>60</v>
      </c>
      <c r="W255">
        <v>72</v>
      </c>
      <c r="X255">
        <v>72</v>
      </c>
      <c r="Y255">
        <f t="shared" si="21"/>
        <v>0</v>
      </c>
      <c r="Z255">
        <f t="shared" si="22"/>
        <v>-12</v>
      </c>
      <c r="AC255" s="1">
        <v>0</v>
      </c>
      <c r="AF255">
        <f>V255</f>
        <v>60</v>
      </c>
      <c r="AG255" s="7">
        <v>12</v>
      </c>
      <c r="AH255">
        <f t="shared" si="23"/>
        <v>60</v>
      </c>
      <c r="AI255">
        <f t="shared" si="20"/>
        <v>0</v>
      </c>
      <c r="AK255">
        <f t="shared" si="24"/>
        <v>5</v>
      </c>
      <c r="AL255">
        <v>10.66</v>
      </c>
      <c r="AM255" t="s">
        <v>27</v>
      </c>
      <c r="AN255">
        <v>10.66</v>
      </c>
      <c r="AO255" t="b">
        <f t="shared" si="25"/>
        <v>1</v>
      </c>
      <c r="AR255" t="s">
        <v>5061</v>
      </c>
      <c r="AS255" s="21">
        <v>46276</v>
      </c>
      <c r="AT255" t="s">
        <v>5062</v>
      </c>
      <c r="AU255" t="s">
        <v>5069</v>
      </c>
      <c r="AV255" t="s">
        <v>5062</v>
      </c>
      <c r="AW255" t="s">
        <v>5086</v>
      </c>
    </row>
    <row r="256" spans="1:49" x14ac:dyDescent="0.35">
      <c r="A256" t="s">
        <v>871</v>
      </c>
      <c r="B256" t="s">
        <v>872</v>
      </c>
      <c r="C256" t="s">
        <v>4818</v>
      </c>
      <c r="D256" t="s">
        <v>18</v>
      </c>
      <c r="E256" t="s">
        <v>1025</v>
      </c>
      <c r="F256" t="s">
        <v>1026</v>
      </c>
      <c r="G256" t="s">
        <v>21</v>
      </c>
      <c r="H256" t="s">
        <v>4888</v>
      </c>
      <c r="I256" t="s">
        <v>4902</v>
      </c>
      <c r="J256" s="4" t="s">
        <v>4903</v>
      </c>
      <c r="K256" s="4" t="s">
        <v>4899</v>
      </c>
      <c r="L256" s="4" t="s">
        <v>4885</v>
      </c>
      <c r="M256" s="4" t="s">
        <v>5035</v>
      </c>
      <c r="N256" t="s">
        <v>1027</v>
      </c>
      <c r="O256" t="s">
        <v>1028</v>
      </c>
      <c r="P256" t="s">
        <v>23</v>
      </c>
      <c r="Q256" t="s">
        <v>24</v>
      </c>
      <c r="R256" t="s">
        <v>25</v>
      </c>
      <c r="S256" t="s">
        <v>26</v>
      </c>
      <c r="T256" s="6">
        <v>46307</v>
      </c>
      <c r="U256">
        <v>72</v>
      </c>
      <c r="V256">
        <v>72</v>
      </c>
      <c r="W256">
        <v>60</v>
      </c>
      <c r="X256">
        <v>60</v>
      </c>
      <c r="Y256">
        <f t="shared" si="21"/>
        <v>0</v>
      </c>
      <c r="Z256">
        <f t="shared" si="22"/>
        <v>12</v>
      </c>
      <c r="AA256">
        <f>Z256</f>
        <v>12</v>
      </c>
      <c r="AC256" s="1">
        <v>0</v>
      </c>
      <c r="AF256">
        <f>X256</f>
        <v>60</v>
      </c>
      <c r="AG256" s="7">
        <v>12</v>
      </c>
      <c r="AH256">
        <f t="shared" si="23"/>
        <v>60</v>
      </c>
      <c r="AI256">
        <f t="shared" si="20"/>
        <v>12</v>
      </c>
      <c r="AK256">
        <f t="shared" si="24"/>
        <v>5</v>
      </c>
      <c r="AL256">
        <v>10.49</v>
      </c>
      <c r="AM256" t="s">
        <v>27</v>
      </c>
      <c r="AN256">
        <v>10.49</v>
      </c>
      <c r="AO256" t="b">
        <f t="shared" si="25"/>
        <v>1</v>
      </c>
      <c r="AR256" t="s">
        <v>5061</v>
      </c>
      <c r="AS256" s="21">
        <v>46276</v>
      </c>
      <c r="AT256" t="s">
        <v>5062</v>
      </c>
      <c r="AU256" t="s">
        <v>5069</v>
      </c>
      <c r="AV256" t="s">
        <v>5062</v>
      </c>
      <c r="AW256" t="s">
        <v>5086</v>
      </c>
    </row>
    <row r="257" spans="1:49" x14ac:dyDescent="0.35">
      <c r="A257" t="s">
        <v>871</v>
      </c>
      <c r="B257" t="s">
        <v>872</v>
      </c>
      <c r="C257" t="s">
        <v>4818</v>
      </c>
      <c r="D257" t="s">
        <v>18</v>
      </c>
      <c r="E257" t="s">
        <v>1029</v>
      </c>
      <c r="F257" t="s">
        <v>1030</v>
      </c>
      <c r="G257" t="s">
        <v>21</v>
      </c>
      <c r="H257" t="s">
        <v>4888</v>
      </c>
      <c r="I257" t="s">
        <v>4893</v>
      </c>
      <c r="J257" s="4" t="s">
        <v>4894</v>
      </c>
      <c r="K257" s="4" t="s">
        <v>4837</v>
      </c>
      <c r="L257" s="4" t="s">
        <v>4879</v>
      </c>
      <c r="M257" s="4" t="s">
        <v>5035</v>
      </c>
      <c r="N257" t="s">
        <v>1031</v>
      </c>
      <c r="O257" t="s">
        <v>1032</v>
      </c>
      <c r="P257" t="s">
        <v>23</v>
      </c>
      <c r="Q257" t="s">
        <v>24</v>
      </c>
      <c r="R257" t="s">
        <v>25</v>
      </c>
      <c r="S257" t="s">
        <v>26</v>
      </c>
      <c r="T257" s="6">
        <v>46307</v>
      </c>
      <c r="U257">
        <v>48</v>
      </c>
      <c r="V257">
        <v>48</v>
      </c>
      <c r="W257">
        <v>48</v>
      </c>
      <c r="X257">
        <v>48</v>
      </c>
      <c r="Y257">
        <f t="shared" si="21"/>
        <v>0</v>
      </c>
      <c r="Z257">
        <f t="shared" si="22"/>
        <v>0</v>
      </c>
      <c r="AC257" s="1">
        <v>0</v>
      </c>
      <c r="AF257">
        <f>V257</f>
        <v>48</v>
      </c>
      <c r="AG257" s="7">
        <v>12</v>
      </c>
      <c r="AH257">
        <f t="shared" si="23"/>
        <v>48</v>
      </c>
      <c r="AI257">
        <f t="shared" si="20"/>
        <v>0</v>
      </c>
      <c r="AK257">
        <f t="shared" si="24"/>
        <v>4</v>
      </c>
      <c r="AL257">
        <v>10.06</v>
      </c>
      <c r="AM257" t="s">
        <v>27</v>
      </c>
      <c r="AN257">
        <v>10.06</v>
      </c>
      <c r="AO257" t="b">
        <f t="shared" si="25"/>
        <v>1</v>
      </c>
      <c r="AR257" t="s">
        <v>5061</v>
      </c>
      <c r="AS257" s="21">
        <v>46276</v>
      </c>
      <c r="AT257" t="s">
        <v>5062</v>
      </c>
      <c r="AU257" t="s">
        <v>5068</v>
      </c>
      <c r="AV257" t="s">
        <v>5062</v>
      </c>
      <c r="AW257" t="s">
        <v>5086</v>
      </c>
    </row>
    <row r="258" spans="1:49" x14ac:dyDescent="0.35">
      <c r="A258" t="s">
        <v>871</v>
      </c>
      <c r="B258" t="s">
        <v>872</v>
      </c>
      <c r="C258" t="s">
        <v>4818</v>
      </c>
      <c r="D258" t="s">
        <v>18</v>
      </c>
      <c r="E258" t="s">
        <v>1033</v>
      </c>
      <c r="F258" t="s">
        <v>1034</v>
      </c>
      <c r="G258" t="s">
        <v>21</v>
      </c>
      <c r="H258" t="s">
        <v>4888</v>
      </c>
      <c r="I258" t="s">
        <v>4893</v>
      </c>
      <c r="J258" s="4" t="s">
        <v>4894</v>
      </c>
      <c r="K258" s="4" t="s">
        <v>4837</v>
      </c>
      <c r="L258" s="4" t="s">
        <v>4916</v>
      </c>
      <c r="M258" s="4" t="s">
        <v>5035</v>
      </c>
      <c r="N258" t="s">
        <v>1035</v>
      </c>
      <c r="O258" t="s">
        <v>1036</v>
      </c>
      <c r="P258" t="s">
        <v>23</v>
      </c>
      <c r="Q258" t="s">
        <v>24</v>
      </c>
      <c r="R258" t="s">
        <v>25</v>
      </c>
      <c r="S258" t="s">
        <v>26</v>
      </c>
      <c r="T258" s="6">
        <v>46307</v>
      </c>
      <c r="U258">
        <v>96</v>
      </c>
      <c r="V258">
        <v>96</v>
      </c>
      <c r="W258">
        <v>84</v>
      </c>
      <c r="X258">
        <v>84</v>
      </c>
      <c r="Y258">
        <f t="shared" si="21"/>
        <v>0</v>
      </c>
      <c r="Z258">
        <f t="shared" si="22"/>
        <v>12</v>
      </c>
      <c r="AA258">
        <f>Z258</f>
        <v>12</v>
      </c>
      <c r="AC258" s="1">
        <v>0</v>
      </c>
      <c r="AF258">
        <f>X258</f>
        <v>84</v>
      </c>
      <c r="AG258" s="7">
        <v>12</v>
      </c>
      <c r="AH258">
        <f t="shared" si="23"/>
        <v>84</v>
      </c>
      <c r="AI258">
        <f t="shared" si="20"/>
        <v>12</v>
      </c>
      <c r="AK258">
        <f t="shared" si="24"/>
        <v>7</v>
      </c>
      <c r="AL258">
        <v>10.06</v>
      </c>
      <c r="AM258" t="s">
        <v>27</v>
      </c>
      <c r="AN258">
        <v>10.06</v>
      </c>
      <c r="AO258" t="b">
        <f t="shared" si="25"/>
        <v>1</v>
      </c>
      <c r="AR258" t="s">
        <v>5061</v>
      </c>
      <c r="AS258" s="21">
        <v>46276</v>
      </c>
      <c r="AT258" t="s">
        <v>5062</v>
      </c>
      <c r="AU258" t="s">
        <v>5068</v>
      </c>
      <c r="AV258" t="s">
        <v>5062</v>
      </c>
      <c r="AW258" t="s">
        <v>5086</v>
      </c>
    </row>
    <row r="259" spans="1:49" x14ac:dyDescent="0.35">
      <c r="A259" t="s">
        <v>871</v>
      </c>
      <c r="B259" t="s">
        <v>872</v>
      </c>
      <c r="C259" t="s">
        <v>4818</v>
      </c>
      <c r="D259" t="s">
        <v>18</v>
      </c>
      <c r="E259" t="s">
        <v>1037</v>
      </c>
      <c r="F259" t="s">
        <v>1038</v>
      </c>
      <c r="G259" t="s">
        <v>21</v>
      </c>
      <c r="H259" t="s">
        <v>4888</v>
      </c>
      <c r="I259" t="s">
        <v>4893</v>
      </c>
      <c r="J259" s="4" t="s">
        <v>4894</v>
      </c>
      <c r="K259" s="4" t="s">
        <v>4837</v>
      </c>
      <c r="L259" s="4" t="s">
        <v>4855</v>
      </c>
      <c r="M259" s="4" t="s">
        <v>5035</v>
      </c>
      <c r="N259" t="s">
        <v>1039</v>
      </c>
      <c r="O259" t="s">
        <v>1040</v>
      </c>
      <c r="P259" t="s">
        <v>23</v>
      </c>
      <c r="Q259" t="s">
        <v>24</v>
      </c>
      <c r="R259" t="s">
        <v>25</v>
      </c>
      <c r="S259" t="s">
        <v>26</v>
      </c>
      <c r="T259" s="6">
        <v>46307</v>
      </c>
      <c r="U259">
        <v>36</v>
      </c>
      <c r="V259">
        <v>36</v>
      </c>
      <c r="W259">
        <v>36</v>
      </c>
      <c r="X259">
        <v>36</v>
      </c>
      <c r="Y259">
        <f t="shared" si="21"/>
        <v>0</v>
      </c>
      <c r="Z259">
        <f t="shared" si="22"/>
        <v>0</v>
      </c>
      <c r="AC259" s="1">
        <v>0</v>
      </c>
      <c r="AF259">
        <f>V259</f>
        <v>36</v>
      </c>
      <c r="AG259" s="7">
        <v>12</v>
      </c>
      <c r="AH259">
        <f t="shared" si="23"/>
        <v>36</v>
      </c>
      <c r="AI259">
        <f t="shared" ref="AI259:AI322" si="29">V259-AH259</f>
        <v>0</v>
      </c>
      <c r="AK259">
        <f t="shared" si="24"/>
        <v>3</v>
      </c>
      <c r="AL259">
        <v>10.06</v>
      </c>
      <c r="AM259" t="s">
        <v>27</v>
      </c>
      <c r="AN259">
        <v>10.06</v>
      </c>
      <c r="AO259" t="b">
        <f t="shared" si="25"/>
        <v>1</v>
      </c>
      <c r="AR259" t="s">
        <v>5061</v>
      </c>
      <c r="AS259" s="21">
        <v>46276</v>
      </c>
      <c r="AT259" t="s">
        <v>5062</v>
      </c>
      <c r="AU259" t="s">
        <v>5068</v>
      </c>
      <c r="AV259" t="s">
        <v>5062</v>
      </c>
      <c r="AW259" t="s">
        <v>5086</v>
      </c>
    </row>
    <row r="260" spans="1:49" x14ac:dyDescent="0.35">
      <c r="A260" t="s">
        <v>871</v>
      </c>
      <c r="B260" t="s">
        <v>872</v>
      </c>
      <c r="C260" t="s">
        <v>4818</v>
      </c>
      <c r="D260" t="s">
        <v>18</v>
      </c>
      <c r="E260" t="s">
        <v>1041</v>
      </c>
      <c r="F260" t="s">
        <v>1042</v>
      </c>
      <c r="G260" t="s">
        <v>21</v>
      </c>
      <c r="H260" t="s">
        <v>4888</v>
      </c>
      <c r="I260" t="s">
        <v>4893</v>
      </c>
      <c r="J260" s="4" t="s">
        <v>4894</v>
      </c>
      <c r="K260" s="4" t="s">
        <v>4837</v>
      </c>
      <c r="L260" s="4" t="s">
        <v>4873</v>
      </c>
      <c r="M260" s="4" t="s">
        <v>5035</v>
      </c>
      <c r="N260" t="s">
        <v>1043</v>
      </c>
      <c r="O260" t="s">
        <v>1044</v>
      </c>
      <c r="P260" t="s">
        <v>23</v>
      </c>
      <c r="Q260" t="s">
        <v>24</v>
      </c>
      <c r="R260" t="s">
        <v>25</v>
      </c>
      <c r="S260" t="s">
        <v>26</v>
      </c>
      <c r="T260" s="6">
        <v>46307</v>
      </c>
      <c r="U260">
        <v>84</v>
      </c>
      <c r="V260">
        <v>84</v>
      </c>
      <c r="W260">
        <v>72</v>
      </c>
      <c r="X260">
        <v>72</v>
      </c>
      <c r="Y260">
        <f t="shared" ref="Y260:Y323" si="30">W260-X260</f>
        <v>0</v>
      </c>
      <c r="Z260">
        <f t="shared" ref="Z260:Z323" si="31">V260-X260</f>
        <v>12</v>
      </c>
      <c r="AA260">
        <f>Z260</f>
        <v>12</v>
      </c>
      <c r="AC260" s="1">
        <v>0</v>
      </c>
      <c r="AF260">
        <f>X260</f>
        <v>72</v>
      </c>
      <c r="AG260" s="7">
        <v>12</v>
      </c>
      <c r="AH260">
        <f t="shared" ref="AH260:AH323" si="32">ROUNDUP(AF260/AG260,0)*AG260</f>
        <v>72</v>
      </c>
      <c r="AI260">
        <f t="shared" si="29"/>
        <v>12</v>
      </c>
      <c r="AK260">
        <f t="shared" ref="AK260:AK323" si="33">AH260/AG260</f>
        <v>6</v>
      </c>
      <c r="AL260">
        <v>10.06</v>
      </c>
      <c r="AM260" t="s">
        <v>27</v>
      </c>
      <c r="AN260">
        <v>10.06</v>
      </c>
      <c r="AO260" t="b">
        <f t="shared" ref="AO260:AO323" si="34">AL260=AN260</f>
        <v>1</v>
      </c>
      <c r="AR260" t="s">
        <v>5061</v>
      </c>
      <c r="AS260" s="21">
        <v>46276</v>
      </c>
      <c r="AT260" t="s">
        <v>5062</v>
      </c>
      <c r="AU260" t="s">
        <v>5068</v>
      </c>
      <c r="AV260" t="s">
        <v>5062</v>
      </c>
      <c r="AW260" t="s">
        <v>5086</v>
      </c>
    </row>
    <row r="261" spans="1:49" x14ac:dyDescent="0.35">
      <c r="A261" t="s">
        <v>871</v>
      </c>
      <c r="B261" t="s">
        <v>872</v>
      </c>
      <c r="C261" t="s">
        <v>4818</v>
      </c>
      <c r="D261" t="s">
        <v>18</v>
      </c>
      <c r="E261" t="s">
        <v>1045</v>
      </c>
      <c r="F261" t="s">
        <v>1046</v>
      </c>
      <c r="G261" t="s">
        <v>21</v>
      </c>
      <c r="H261" t="s">
        <v>4888</v>
      </c>
      <c r="I261" t="s">
        <v>4906</v>
      </c>
      <c r="J261" s="4" t="s">
        <v>4907</v>
      </c>
      <c r="K261" s="4" t="s">
        <v>4908</v>
      </c>
      <c r="L261" s="4" t="s">
        <v>4867</v>
      </c>
      <c r="M261" s="4" t="s">
        <v>5035</v>
      </c>
      <c r="N261" t="s">
        <v>1047</v>
      </c>
      <c r="O261" t="s">
        <v>1048</v>
      </c>
      <c r="P261" t="s">
        <v>23</v>
      </c>
      <c r="Q261" t="s">
        <v>24</v>
      </c>
      <c r="R261" t="s">
        <v>25</v>
      </c>
      <c r="S261" t="s">
        <v>26</v>
      </c>
      <c r="T261" s="6">
        <v>46307</v>
      </c>
      <c r="U261">
        <v>60</v>
      </c>
      <c r="V261">
        <v>60</v>
      </c>
      <c r="W261">
        <v>60</v>
      </c>
      <c r="X261">
        <v>60</v>
      </c>
      <c r="Y261">
        <f t="shared" si="30"/>
        <v>0</v>
      </c>
      <c r="Z261">
        <f t="shared" si="31"/>
        <v>0</v>
      </c>
      <c r="AC261" s="1">
        <v>0</v>
      </c>
      <c r="AF261">
        <f>V261</f>
        <v>60</v>
      </c>
      <c r="AG261" s="7">
        <v>12</v>
      </c>
      <c r="AH261">
        <f t="shared" si="32"/>
        <v>60</v>
      </c>
      <c r="AI261">
        <f t="shared" si="29"/>
        <v>0</v>
      </c>
      <c r="AK261">
        <f t="shared" si="33"/>
        <v>5</v>
      </c>
      <c r="AL261">
        <v>10.19</v>
      </c>
      <c r="AM261" t="s">
        <v>27</v>
      </c>
      <c r="AN261">
        <v>10.19</v>
      </c>
      <c r="AO261" t="b">
        <f t="shared" si="34"/>
        <v>1</v>
      </c>
      <c r="AR261" t="s">
        <v>5061</v>
      </c>
      <c r="AS261" s="21">
        <v>46276</v>
      </c>
      <c r="AT261" t="s">
        <v>5062</v>
      </c>
      <c r="AU261" t="s">
        <v>5070</v>
      </c>
      <c r="AV261" t="s">
        <v>5062</v>
      </c>
      <c r="AW261" t="s">
        <v>5086</v>
      </c>
    </row>
    <row r="262" spans="1:49" x14ac:dyDescent="0.35">
      <c r="A262" t="s">
        <v>871</v>
      </c>
      <c r="B262" t="s">
        <v>872</v>
      </c>
      <c r="C262" t="s">
        <v>4818</v>
      </c>
      <c r="D262" t="s">
        <v>18</v>
      </c>
      <c r="E262" t="s">
        <v>1049</v>
      </c>
      <c r="F262" t="s">
        <v>1050</v>
      </c>
      <c r="G262" t="s">
        <v>21</v>
      </c>
      <c r="H262" t="s">
        <v>4888</v>
      </c>
      <c r="I262" t="s">
        <v>4889</v>
      </c>
      <c r="J262" s="4" t="s">
        <v>4890</v>
      </c>
      <c r="K262" s="4" t="s">
        <v>4911</v>
      </c>
      <c r="L262" s="4" t="s">
        <v>4857</v>
      </c>
      <c r="M262" s="4" t="s">
        <v>5035</v>
      </c>
      <c r="N262" t="s">
        <v>1051</v>
      </c>
      <c r="O262" t="s">
        <v>1052</v>
      </c>
      <c r="P262" t="s">
        <v>23</v>
      </c>
      <c r="Q262" t="s">
        <v>24</v>
      </c>
      <c r="R262" t="s">
        <v>25</v>
      </c>
      <c r="S262" t="s">
        <v>26</v>
      </c>
      <c r="T262" s="6">
        <v>46307</v>
      </c>
      <c r="U262">
        <v>24</v>
      </c>
      <c r="V262">
        <v>24</v>
      </c>
      <c r="W262">
        <v>24</v>
      </c>
      <c r="X262">
        <v>24</v>
      </c>
      <c r="Y262">
        <f t="shared" si="30"/>
        <v>0</v>
      </c>
      <c r="Z262">
        <f t="shared" si="31"/>
        <v>0</v>
      </c>
      <c r="AC262" s="1">
        <v>0</v>
      </c>
      <c r="AF262">
        <f>V262</f>
        <v>24</v>
      </c>
      <c r="AG262" s="7">
        <v>12</v>
      </c>
      <c r="AH262">
        <f t="shared" si="32"/>
        <v>24</v>
      </c>
      <c r="AI262">
        <f t="shared" si="29"/>
        <v>0</v>
      </c>
      <c r="AK262">
        <f t="shared" si="33"/>
        <v>2</v>
      </c>
      <c r="AL262">
        <v>11.87</v>
      </c>
      <c r="AM262" t="s">
        <v>27</v>
      </c>
      <c r="AN262">
        <v>11.87</v>
      </c>
      <c r="AO262" t="b">
        <f t="shared" si="34"/>
        <v>1</v>
      </c>
      <c r="AR262" t="s">
        <v>5061</v>
      </c>
      <c r="AS262" s="21">
        <v>46276</v>
      </c>
      <c r="AT262" t="s">
        <v>5062</v>
      </c>
      <c r="AU262" t="s">
        <v>5067</v>
      </c>
      <c r="AV262" t="s">
        <v>5062</v>
      </c>
      <c r="AW262" t="s">
        <v>5086</v>
      </c>
    </row>
    <row r="263" spans="1:49" x14ac:dyDescent="0.35">
      <c r="A263" t="s">
        <v>871</v>
      </c>
      <c r="B263" t="s">
        <v>872</v>
      </c>
      <c r="C263" t="s">
        <v>4818</v>
      </c>
      <c r="D263" t="s">
        <v>18</v>
      </c>
      <c r="E263" t="s">
        <v>1053</v>
      </c>
      <c r="F263" t="s">
        <v>1054</v>
      </c>
      <c r="G263" t="s">
        <v>21</v>
      </c>
      <c r="H263" t="s">
        <v>4888</v>
      </c>
      <c r="I263" t="s">
        <v>4889</v>
      </c>
      <c r="J263" s="4" t="s">
        <v>4890</v>
      </c>
      <c r="K263" s="4" t="s">
        <v>4911</v>
      </c>
      <c r="L263" s="4" t="s">
        <v>4864</v>
      </c>
      <c r="M263" s="4" t="s">
        <v>5035</v>
      </c>
      <c r="N263" t="s">
        <v>1055</v>
      </c>
      <c r="O263" t="s">
        <v>1056</v>
      </c>
      <c r="P263" t="s">
        <v>23</v>
      </c>
      <c r="Q263" t="s">
        <v>24</v>
      </c>
      <c r="R263" t="s">
        <v>25</v>
      </c>
      <c r="S263" t="s">
        <v>26</v>
      </c>
      <c r="T263" s="6">
        <v>46307</v>
      </c>
      <c r="U263">
        <v>60</v>
      </c>
      <c r="V263">
        <v>60</v>
      </c>
      <c r="W263">
        <v>48</v>
      </c>
      <c r="X263">
        <v>48</v>
      </c>
      <c r="Y263">
        <f t="shared" si="30"/>
        <v>0</v>
      </c>
      <c r="Z263">
        <f t="shared" si="31"/>
        <v>12</v>
      </c>
      <c r="AA263">
        <f>Z263</f>
        <v>12</v>
      </c>
      <c r="AC263" s="1">
        <v>0</v>
      </c>
      <c r="AF263">
        <f>X263</f>
        <v>48</v>
      </c>
      <c r="AG263" s="7">
        <v>12</v>
      </c>
      <c r="AH263">
        <f t="shared" si="32"/>
        <v>48</v>
      </c>
      <c r="AI263">
        <f t="shared" si="29"/>
        <v>12</v>
      </c>
      <c r="AK263">
        <f t="shared" si="33"/>
        <v>4</v>
      </c>
      <c r="AL263">
        <v>11.87</v>
      </c>
      <c r="AM263" t="s">
        <v>27</v>
      </c>
      <c r="AN263">
        <v>11.87</v>
      </c>
      <c r="AO263" t="b">
        <f t="shared" si="34"/>
        <v>1</v>
      </c>
      <c r="AR263" t="s">
        <v>5061</v>
      </c>
      <c r="AS263" s="21">
        <v>46276</v>
      </c>
      <c r="AT263" t="s">
        <v>5062</v>
      </c>
      <c r="AU263" t="s">
        <v>5067</v>
      </c>
      <c r="AV263" t="s">
        <v>5062</v>
      </c>
      <c r="AW263" t="s">
        <v>5086</v>
      </c>
    </row>
    <row r="264" spans="1:49" x14ac:dyDescent="0.35">
      <c r="A264" t="s">
        <v>871</v>
      </c>
      <c r="B264" t="s">
        <v>872</v>
      </c>
      <c r="C264" t="s">
        <v>4818</v>
      </c>
      <c r="D264" t="s">
        <v>18</v>
      </c>
      <c r="E264" t="s">
        <v>1057</v>
      </c>
      <c r="F264" t="s">
        <v>1058</v>
      </c>
      <c r="G264" t="s">
        <v>21</v>
      </c>
      <c r="H264" t="s">
        <v>4888</v>
      </c>
      <c r="I264" t="s">
        <v>4893</v>
      </c>
      <c r="J264" s="4" t="s">
        <v>4894</v>
      </c>
      <c r="K264" s="4" t="s">
        <v>4904</v>
      </c>
      <c r="L264" s="4" t="s">
        <v>4922</v>
      </c>
      <c r="M264" s="4" t="s">
        <v>5035</v>
      </c>
      <c r="N264" t="s">
        <v>1059</v>
      </c>
      <c r="O264" t="s">
        <v>1060</v>
      </c>
      <c r="P264" t="s">
        <v>23</v>
      </c>
      <c r="Q264" t="s">
        <v>24</v>
      </c>
      <c r="R264" t="s">
        <v>25</v>
      </c>
      <c r="S264" t="s">
        <v>26</v>
      </c>
      <c r="T264" s="6">
        <v>46307</v>
      </c>
      <c r="U264">
        <v>168</v>
      </c>
      <c r="V264">
        <v>168</v>
      </c>
      <c r="W264">
        <v>180</v>
      </c>
      <c r="X264">
        <v>180</v>
      </c>
      <c r="Y264">
        <f t="shared" si="30"/>
        <v>0</v>
      </c>
      <c r="Z264">
        <f t="shared" si="31"/>
        <v>-12</v>
      </c>
      <c r="AC264" s="1">
        <v>0</v>
      </c>
      <c r="AF264">
        <f>V264</f>
        <v>168</v>
      </c>
      <c r="AG264" s="7">
        <v>12</v>
      </c>
      <c r="AH264">
        <f t="shared" si="32"/>
        <v>168</v>
      </c>
      <c r="AI264">
        <f t="shared" si="29"/>
        <v>0</v>
      </c>
      <c r="AK264">
        <f t="shared" si="33"/>
        <v>14</v>
      </c>
      <c r="AL264">
        <v>10.16</v>
      </c>
      <c r="AM264" t="s">
        <v>27</v>
      </c>
      <c r="AN264">
        <v>10.16</v>
      </c>
      <c r="AO264" t="b">
        <f t="shared" si="34"/>
        <v>1</v>
      </c>
      <c r="AR264" t="s">
        <v>5061</v>
      </c>
      <c r="AS264" s="21">
        <v>46276</v>
      </c>
      <c r="AT264" t="s">
        <v>5062</v>
      </c>
      <c r="AU264" t="s">
        <v>5068</v>
      </c>
      <c r="AV264" t="s">
        <v>5062</v>
      </c>
      <c r="AW264" t="s">
        <v>5086</v>
      </c>
    </row>
    <row r="265" spans="1:49" x14ac:dyDescent="0.35">
      <c r="A265" t="s">
        <v>871</v>
      </c>
      <c r="B265" t="s">
        <v>872</v>
      </c>
      <c r="C265" t="s">
        <v>4818</v>
      </c>
      <c r="D265" t="s">
        <v>18</v>
      </c>
      <c r="E265" t="s">
        <v>1061</v>
      </c>
      <c r="F265" t="s">
        <v>1062</v>
      </c>
      <c r="G265" t="s">
        <v>21</v>
      </c>
      <c r="H265" t="s">
        <v>4888</v>
      </c>
      <c r="I265" t="s">
        <v>4893</v>
      </c>
      <c r="J265" s="4" t="s">
        <v>4894</v>
      </c>
      <c r="K265" s="4" t="s">
        <v>4904</v>
      </c>
      <c r="L265" s="4" t="s">
        <v>4869</v>
      </c>
      <c r="M265" s="4" t="s">
        <v>5035</v>
      </c>
      <c r="N265" t="s">
        <v>1063</v>
      </c>
      <c r="O265" t="s">
        <v>1064</v>
      </c>
      <c r="P265" t="s">
        <v>23</v>
      </c>
      <c r="Q265" t="s">
        <v>24</v>
      </c>
      <c r="R265" t="s">
        <v>25</v>
      </c>
      <c r="S265" t="s">
        <v>26</v>
      </c>
      <c r="T265" s="6">
        <v>46307</v>
      </c>
      <c r="U265">
        <v>84</v>
      </c>
      <c r="V265">
        <v>84</v>
      </c>
      <c r="W265">
        <v>72</v>
      </c>
      <c r="X265">
        <v>72</v>
      </c>
      <c r="Y265">
        <f t="shared" si="30"/>
        <v>0</v>
      </c>
      <c r="Z265">
        <f t="shared" si="31"/>
        <v>12</v>
      </c>
      <c r="AA265">
        <f>Z265</f>
        <v>12</v>
      </c>
      <c r="AC265" s="1">
        <v>0</v>
      </c>
      <c r="AF265">
        <f>X265</f>
        <v>72</v>
      </c>
      <c r="AG265" s="7">
        <v>12</v>
      </c>
      <c r="AH265">
        <f t="shared" si="32"/>
        <v>72</v>
      </c>
      <c r="AI265">
        <f t="shared" si="29"/>
        <v>12</v>
      </c>
      <c r="AK265">
        <f t="shared" si="33"/>
        <v>6</v>
      </c>
      <c r="AL265">
        <v>10.16</v>
      </c>
      <c r="AM265" t="s">
        <v>27</v>
      </c>
      <c r="AN265">
        <v>10.16</v>
      </c>
      <c r="AO265" t="b">
        <f t="shared" si="34"/>
        <v>1</v>
      </c>
      <c r="AR265" t="s">
        <v>5061</v>
      </c>
      <c r="AS265" s="21">
        <v>46276</v>
      </c>
      <c r="AT265" t="s">
        <v>5062</v>
      </c>
      <c r="AU265" t="s">
        <v>5068</v>
      </c>
      <c r="AV265" t="s">
        <v>5062</v>
      </c>
      <c r="AW265" t="s">
        <v>5086</v>
      </c>
    </row>
    <row r="266" spans="1:49" x14ac:dyDescent="0.35">
      <c r="A266" t="s">
        <v>871</v>
      </c>
      <c r="B266" t="s">
        <v>872</v>
      </c>
      <c r="C266" t="s">
        <v>4818</v>
      </c>
      <c r="D266" t="s">
        <v>18</v>
      </c>
      <c r="E266" t="s">
        <v>1065</v>
      </c>
      <c r="F266" t="s">
        <v>1066</v>
      </c>
      <c r="G266" t="s">
        <v>21</v>
      </c>
      <c r="H266" t="s">
        <v>4888</v>
      </c>
      <c r="I266" t="s">
        <v>4902</v>
      </c>
      <c r="J266" s="4" t="s">
        <v>4903</v>
      </c>
      <c r="K266" s="4" t="s">
        <v>4899</v>
      </c>
      <c r="L266" s="4" t="s">
        <v>4901</v>
      </c>
      <c r="M266" s="4" t="s">
        <v>5035</v>
      </c>
      <c r="N266" t="s">
        <v>1067</v>
      </c>
      <c r="O266" t="s">
        <v>1068</v>
      </c>
      <c r="P266" t="s">
        <v>23</v>
      </c>
      <c r="Q266" t="s">
        <v>24</v>
      </c>
      <c r="R266" t="s">
        <v>25</v>
      </c>
      <c r="S266" t="s">
        <v>26</v>
      </c>
      <c r="T266" s="6">
        <v>46307</v>
      </c>
      <c r="U266">
        <v>12</v>
      </c>
      <c r="V266">
        <v>12</v>
      </c>
      <c r="W266">
        <v>12</v>
      </c>
      <c r="X266">
        <v>12</v>
      </c>
      <c r="Y266">
        <f t="shared" si="30"/>
        <v>0</v>
      </c>
      <c r="Z266">
        <f t="shared" si="31"/>
        <v>0</v>
      </c>
      <c r="AC266" s="1">
        <v>0</v>
      </c>
      <c r="AF266">
        <f>V266</f>
        <v>12</v>
      </c>
      <c r="AG266" s="7">
        <v>12</v>
      </c>
      <c r="AH266">
        <f t="shared" si="32"/>
        <v>12</v>
      </c>
      <c r="AI266">
        <f t="shared" si="29"/>
        <v>0</v>
      </c>
      <c r="AK266">
        <f t="shared" si="33"/>
        <v>1</v>
      </c>
      <c r="AL266">
        <v>10.49</v>
      </c>
      <c r="AM266" t="s">
        <v>27</v>
      </c>
      <c r="AN266">
        <v>10.49</v>
      </c>
      <c r="AO266" t="b">
        <f t="shared" si="34"/>
        <v>1</v>
      </c>
      <c r="AR266" t="s">
        <v>5061</v>
      </c>
      <c r="AS266" s="21">
        <v>46276</v>
      </c>
      <c r="AT266" t="s">
        <v>5062</v>
      </c>
      <c r="AU266" t="s">
        <v>5069</v>
      </c>
      <c r="AV266" t="s">
        <v>5062</v>
      </c>
      <c r="AW266" t="s">
        <v>5086</v>
      </c>
    </row>
    <row r="267" spans="1:49" x14ac:dyDescent="0.35">
      <c r="A267" t="s">
        <v>871</v>
      </c>
      <c r="B267" t="s">
        <v>872</v>
      </c>
      <c r="C267" t="s">
        <v>4818</v>
      </c>
      <c r="D267" t="s">
        <v>18</v>
      </c>
      <c r="E267" t="s">
        <v>1069</v>
      </c>
      <c r="F267" t="s">
        <v>1070</v>
      </c>
      <c r="G267" t="s">
        <v>21</v>
      </c>
      <c r="H267" t="s">
        <v>4888</v>
      </c>
      <c r="I267" t="s">
        <v>4906</v>
      </c>
      <c r="J267" s="4" t="s">
        <v>4907</v>
      </c>
      <c r="K267" s="4" t="s">
        <v>4908</v>
      </c>
      <c r="L267" s="4" t="s">
        <v>4923</v>
      </c>
      <c r="M267" s="4" t="s">
        <v>5035</v>
      </c>
      <c r="N267" t="s">
        <v>1071</v>
      </c>
      <c r="O267" t="s">
        <v>1072</v>
      </c>
      <c r="P267" t="s">
        <v>23</v>
      </c>
      <c r="Q267" t="s">
        <v>24</v>
      </c>
      <c r="R267" t="s">
        <v>25</v>
      </c>
      <c r="S267" t="s">
        <v>26</v>
      </c>
      <c r="T267" s="6">
        <v>46307</v>
      </c>
      <c r="U267">
        <v>60</v>
      </c>
      <c r="V267">
        <v>60</v>
      </c>
      <c r="W267">
        <v>48</v>
      </c>
      <c r="X267">
        <v>48</v>
      </c>
      <c r="Y267">
        <f t="shared" si="30"/>
        <v>0</v>
      </c>
      <c r="Z267">
        <f t="shared" si="31"/>
        <v>12</v>
      </c>
      <c r="AA267">
        <f>Z267</f>
        <v>12</v>
      </c>
      <c r="AC267" s="1">
        <v>0</v>
      </c>
      <c r="AF267">
        <f>X267</f>
        <v>48</v>
      </c>
      <c r="AG267" s="7">
        <v>12</v>
      </c>
      <c r="AH267">
        <f t="shared" si="32"/>
        <v>48</v>
      </c>
      <c r="AI267">
        <f t="shared" si="29"/>
        <v>12</v>
      </c>
      <c r="AK267">
        <f t="shared" si="33"/>
        <v>4</v>
      </c>
      <c r="AL267">
        <v>10.19</v>
      </c>
      <c r="AM267" t="s">
        <v>27</v>
      </c>
      <c r="AN267">
        <v>10.19</v>
      </c>
      <c r="AO267" t="b">
        <f t="shared" si="34"/>
        <v>1</v>
      </c>
      <c r="AR267" t="s">
        <v>5061</v>
      </c>
      <c r="AS267" s="21">
        <v>46276</v>
      </c>
      <c r="AT267" t="s">
        <v>5062</v>
      </c>
      <c r="AU267" t="s">
        <v>5070</v>
      </c>
      <c r="AV267" t="s">
        <v>5062</v>
      </c>
      <c r="AW267" t="s">
        <v>5086</v>
      </c>
    </row>
    <row r="268" spans="1:49" x14ac:dyDescent="0.35">
      <c r="A268" t="s">
        <v>871</v>
      </c>
      <c r="B268" t="s">
        <v>872</v>
      </c>
      <c r="C268" t="s">
        <v>4818</v>
      </c>
      <c r="D268" t="s">
        <v>18</v>
      </c>
      <c r="E268" t="s">
        <v>1073</v>
      </c>
      <c r="F268" t="s">
        <v>1074</v>
      </c>
      <c r="G268" t="s">
        <v>21</v>
      </c>
      <c r="H268" t="s">
        <v>4888</v>
      </c>
      <c r="I268" t="s">
        <v>4889</v>
      </c>
      <c r="J268" s="4" t="s">
        <v>4890</v>
      </c>
      <c r="K268" s="4" t="s">
        <v>4899</v>
      </c>
      <c r="L268" s="4" t="s">
        <v>4924</v>
      </c>
      <c r="M268" s="4" t="s">
        <v>5035</v>
      </c>
      <c r="N268" t="s">
        <v>1075</v>
      </c>
      <c r="O268" t="s">
        <v>1076</v>
      </c>
      <c r="P268" t="s">
        <v>23</v>
      </c>
      <c r="Q268" t="s">
        <v>24</v>
      </c>
      <c r="R268" t="s">
        <v>25</v>
      </c>
      <c r="S268" t="s">
        <v>26</v>
      </c>
      <c r="T268" s="6">
        <v>46307</v>
      </c>
      <c r="U268">
        <v>132</v>
      </c>
      <c r="V268">
        <v>132</v>
      </c>
      <c r="W268">
        <v>132</v>
      </c>
      <c r="X268">
        <v>132</v>
      </c>
      <c r="Y268">
        <f t="shared" si="30"/>
        <v>0</v>
      </c>
      <c r="Z268">
        <f t="shared" si="31"/>
        <v>0</v>
      </c>
      <c r="AC268" s="1">
        <v>0</v>
      </c>
      <c r="AF268">
        <f>V268</f>
        <v>132</v>
      </c>
      <c r="AG268" s="7">
        <v>12</v>
      </c>
      <c r="AH268">
        <f t="shared" si="32"/>
        <v>132</v>
      </c>
      <c r="AI268">
        <f t="shared" si="29"/>
        <v>0</v>
      </c>
      <c r="AK268">
        <f t="shared" si="33"/>
        <v>11</v>
      </c>
      <c r="AL268">
        <v>10.9</v>
      </c>
      <c r="AM268" t="s">
        <v>27</v>
      </c>
      <c r="AN268">
        <v>10.9</v>
      </c>
      <c r="AO268" t="b">
        <f t="shared" si="34"/>
        <v>1</v>
      </c>
      <c r="AR268" t="s">
        <v>5061</v>
      </c>
      <c r="AS268" s="21">
        <v>46276</v>
      </c>
      <c r="AT268" t="s">
        <v>5062</v>
      </c>
      <c r="AU268" t="s">
        <v>5067</v>
      </c>
      <c r="AV268" t="s">
        <v>5062</v>
      </c>
      <c r="AW268" t="s">
        <v>5086</v>
      </c>
    </row>
    <row r="269" spans="1:49" x14ac:dyDescent="0.35">
      <c r="A269" t="s">
        <v>871</v>
      </c>
      <c r="B269" t="s">
        <v>872</v>
      </c>
      <c r="C269" t="s">
        <v>4818</v>
      </c>
      <c r="D269" t="s">
        <v>18</v>
      </c>
      <c r="E269" t="s">
        <v>1077</v>
      </c>
      <c r="F269" t="s">
        <v>1078</v>
      </c>
      <c r="G269" t="s">
        <v>21</v>
      </c>
      <c r="H269" t="s">
        <v>4888</v>
      </c>
      <c r="I269" t="s">
        <v>4889</v>
      </c>
      <c r="J269" s="4" t="s">
        <v>4890</v>
      </c>
      <c r="K269" s="4" t="s">
        <v>4911</v>
      </c>
      <c r="L269" s="4" t="s">
        <v>4917</v>
      </c>
      <c r="M269" s="4" t="s">
        <v>5035</v>
      </c>
      <c r="N269" t="s">
        <v>1079</v>
      </c>
      <c r="O269" t="s">
        <v>1080</v>
      </c>
      <c r="P269" t="s">
        <v>23</v>
      </c>
      <c r="Q269" t="s">
        <v>24</v>
      </c>
      <c r="R269" t="s">
        <v>25</v>
      </c>
      <c r="S269" t="s">
        <v>26</v>
      </c>
      <c r="T269" s="6">
        <v>46307</v>
      </c>
      <c r="U269">
        <v>144</v>
      </c>
      <c r="V269">
        <v>144</v>
      </c>
      <c r="W269">
        <v>132</v>
      </c>
      <c r="X269">
        <v>132</v>
      </c>
      <c r="Y269">
        <f t="shared" si="30"/>
        <v>0</v>
      </c>
      <c r="Z269">
        <f t="shared" si="31"/>
        <v>12</v>
      </c>
      <c r="AA269">
        <f>Z269</f>
        <v>12</v>
      </c>
      <c r="AC269" s="1">
        <v>0</v>
      </c>
      <c r="AF269">
        <f>X269</f>
        <v>132</v>
      </c>
      <c r="AG269" s="7">
        <v>12</v>
      </c>
      <c r="AH269">
        <f t="shared" si="32"/>
        <v>132</v>
      </c>
      <c r="AI269">
        <f t="shared" si="29"/>
        <v>12</v>
      </c>
      <c r="AK269">
        <f t="shared" si="33"/>
        <v>11</v>
      </c>
      <c r="AL269">
        <v>11.87</v>
      </c>
      <c r="AM269" t="s">
        <v>27</v>
      </c>
      <c r="AN269">
        <v>11.87</v>
      </c>
      <c r="AO269" t="b">
        <f t="shared" si="34"/>
        <v>1</v>
      </c>
      <c r="AR269" t="s">
        <v>5061</v>
      </c>
      <c r="AS269" s="21">
        <v>46276</v>
      </c>
      <c r="AT269" t="s">
        <v>5062</v>
      </c>
      <c r="AU269" t="s">
        <v>5067</v>
      </c>
      <c r="AV269" t="s">
        <v>5062</v>
      </c>
      <c r="AW269" t="s">
        <v>5086</v>
      </c>
    </row>
    <row r="270" spans="1:49" x14ac:dyDescent="0.35">
      <c r="A270" t="s">
        <v>871</v>
      </c>
      <c r="B270" t="s">
        <v>872</v>
      </c>
      <c r="C270" t="s">
        <v>4818</v>
      </c>
      <c r="D270" t="s">
        <v>18</v>
      </c>
      <c r="E270" t="s">
        <v>1081</v>
      </c>
      <c r="F270" t="s">
        <v>1082</v>
      </c>
      <c r="G270" t="s">
        <v>21</v>
      </c>
      <c r="H270" t="s">
        <v>4888</v>
      </c>
      <c r="I270" t="s">
        <v>4906</v>
      </c>
      <c r="J270" s="4" t="s">
        <v>4907</v>
      </c>
      <c r="K270" s="4" t="s">
        <v>4908</v>
      </c>
      <c r="L270" s="4" t="s">
        <v>4884</v>
      </c>
      <c r="M270" s="4" t="s">
        <v>5035</v>
      </c>
      <c r="N270" t="s">
        <v>1083</v>
      </c>
      <c r="O270" t="s">
        <v>1084</v>
      </c>
      <c r="P270" t="s">
        <v>23</v>
      </c>
      <c r="Q270" t="s">
        <v>24</v>
      </c>
      <c r="R270" t="s">
        <v>25</v>
      </c>
      <c r="S270" t="s">
        <v>26</v>
      </c>
      <c r="T270" s="6">
        <v>46307</v>
      </c>
      <c r="U270">
        <v>24</v>
      </c>
      <c r="V270">
        <v>24</v>
      </c>
      <c r="W270">
        <v>24</v>
      </c>
      <c r="X270">
        <v>24</v>
      </c>
      <c r="Y270">
        <f t="shared" si="30"/>
        <v>0</v>
      </c>
      <c r="Z270">
        <f t="shared" si="31"/>
        <v>0</v>
      </c>
      <c r="AC270" s="1">
        <v>0</v>
      </c>
      <c r="AF270">
        <f>V270</f>
        <v>24</v>
      </c>
      <c r="AG270" s="7">
        <v>12</v>
      </c>
      <c r="AH270">
        <f t="shared" si="32"/>
        <v>24</v>
      </c>
      <c r="AI270">
        <f t="shared" si="29"/>
        <v>0</v>
      </c>
      <c r="AK270">
        <f t="shared" si="33"/>
        <v>2</v>
      </c>
      <c r="AL270">
        <v>10.19</v>
      </c>
      <c r="AM270" t="s">
        <v>27</v>
      </c>
      <c r="AN270">
        <v>10.19</v>
      </c>
      <c r="AO270" t="b">
        <f t="shared" si="34"/>
        <v>1</v>
      </c>
      <c r="AR270" t="s">
        <v>5061</v>
      </c>
      <c r="AS270" s="21">
        <v>46276</v>
      </c>
      <c r="AT270" t="s">
        <v>5062</v>
      </c>
      <c r="AU270" t="s">
        <v>5070</v>
      </c>
      <c r="AV270" t="s">
        <v>5062</v>
      </c>
      <c r="AW270" t="s">
        <v>5086</v>
      </c>
    </row>
    <row r="271" spans="1:49" x14ac:dyDescent="0.35">
      <c r="A271" t="s">
        <v>871</v>
      </c>
      <c r="B271" t="s">
        <v>872</v>
      </c>
      <c r="C271" t="s">
        <v>4818</v>
      </c>
      <c r="D271" t="s">
        <v>18</v>
      </c>
      <c r="E271" t="s">
        <v>1085</v>
      </c>
      <c r="F271" t="s">
        <v>1086</v>
      </c>
      <c r="G271" t="s">
        <v>21</v>
      </c>
      <c r="H271" t="s">
        <v>4888</v>
      </c>
      <c r="I271" t="s">
        <v>4893</v>
      </c>
      <c r="J271" s="4" t="s">
        <v>4894</v>
      </c>
      <c r="K271" s="4" t="s">
        <v>4837</v>
      </c>
      <c r="L271" s="4" t="s">
        <v>4885</v>
      </c>
      <c r="M271" s="4" t="s">
        <v>5035</v>
      </c>
      <c r="N271" t="s">
        <v>1087</v>
      </c>
      <c r="O271" t="s">
        <v>1088</v>
      </c>
      <c r="P271" t="s">
        <v>23</v>
      </c>
      <c r="Q271" t="s">
        <v>24</v>
      </c>
      <c r="R271" t="s">
        <v>25</v>
      </c>
      <c r="S271" t="s">
        <v>26</v>
      </c>
      <c r="T271" s="6">
        <v>46307</v>
      </c>
      <c r="U271">
        <v>360</v>
      </c>
      <c r="V271">
        <v>360</v>
      </c>
      <c r="W271">
        <v>324</v>
      </c>
      <c r="X271">
        <v>324</v>
      </c>
      <c r="Y271">
        <f t="shared" si="30"/>
        <v>0</v>
      </c>
      <c r="Z271">
        <f t="shared" si="31"/>
        <v>36</v>
      </c>
      <c r="AA271">
        <f t="shared" ref="AA271:AA272" si="35">Z271</f>
        <v>36</v>
      </c>
      <c r="AC271" s="1">
        <v>0</v>
      </c>
      <c r="AF271">
        <f>X271</f>
        <v>324</v>
      </c>
      <c r="AG271" s="7">
        <v>12</v>
      </c>
      <c r="AH271">
        <f t="shared" si="32"/>
        <v>324</v>
      </c>
      <c r="AI271">
        <f t="shared" si="29"/>
        <v>36</v>
      </c>
      <c r="AK271">
        <f t="shared" si="33"/>
        <v>27</v>
      </c>
      <c r="AL271">
        <v>10.06</v>
      </c>
      <c r="AM271" t="s">
        <v>27</v>
      </c>
      <c r="AN271">
        <v>10.06</v>
      </c>
      <c r="AO271" t="b">
        <f t="shared" si="34"/>
        <v>1</v>
      </c>
      <c r="AR271" t="s">
        <v>5061</v>
      </c>
      <c r="AS271" s="21">
        <v>46276</v>
      </c>
      <c r="AT271" t="s">
        <v>5062</v>
      </c>
      <c r="AU271" t="s">
        <v>5068</v>
      </c>
      <c r="AV271" t="s">
        <v>5062</v>
      </c>
      <c r="AW271" t="s">
        <v>5086</v>
      </c>
    </row>
    <row r="272" spans="1:49" x14ac:dyDescent="0.35">
      <c r="A272" t="s">
        <v>871</v>
      </c>
      <c r="B272" t="s">
        <v>872</v>
      </c>
      <c r="C272" t="s">
        <v>4818</v>
      </c>
      <c r="D272" t="s">
        <v>18</v>
      </c>
      <c r="E272" t="s">
        <v>1089</v>
      </c>
      <c r="F272" t="s">
        <v>1090</v>
      </c>
      <c r="G272" t="s">
        <v>21</v>
      </c>
      <c r="H272" t="s">
        <v>4888</v>
      </c>
      <c r="I272" t="s">
        <v>4902</v>
      </c>
      <c r="J272" s="4" t="s">
        <v>4903</v>
      </c>
      <c r="K272" s="4" t="s">
        <v>4915</v>
      </c>
      <c r="L272" s="4" t="s">
        <v>4925</v>
      </c>
      <c r="M272" s="4" t="s">
        <v>5035</v>
      </c>
      <c r="N272" t="s">
        <v>1091</v>
      </c>
      <c r="O272" t="s">
        <v>1092</v>
      </c>
      <c r="P272" t="s">
        <v>23</v>
      </c>
      <c r="Q272" t="s">
        <v>24</v>
      </c>
      <c r="R272" t="s">
        <v>25</v>
      </c>
      <c r="S272" t="s">
        <v>26</v>
      </c>
      <c r="T272" s="6">
        <v>46307</v>
      </c>
      <c r="U272">
        <v>120</v>
      </c>
      <c r="V272">
        <v>120</v>
      </c>
      <c r="W272">
        <v>108</v>
      </c>
      <c r="X272">
        <v>108</v>
      </c>
      <c r="Y272">
        <f t="shared" si="30"/>
        <v>0</v>
      </c>
      <c r="Z272">
        <f t="shared" si="31"/>
        <v>12</v>
      </c>
      <c r="AA272">
        <f t="shared" si="35"/>
        <v>12</v>
      </c>
      <c r="AC272" s="1">
        <v>0</v>
      </c>
      <c r="AF272">
        <f>X272</f>
        <v>108</v>
      </c>
      <c r="AG272" s="7">
        <v>12</v>
      </c>
      <c r="AH272">
        <f t="shared" si="32"/>
        <v>108</v>
      </c>
      <c r="AI272">
        <f t="shared" si="29"/>
        <v>12</v>
      </c>
      <c r="AK272">
        <f t="shared" si="33"/>
        <v>9</v>
      </c>
      <c r="AL272">
        <v>10.66</v>
      </c>
      <c r="AM272" t="s">
        <v>27</v>
      </c>
      <c r="AN272">
        <v>10.66</v>
      </c>
      <c r="AO272" t="b">
        <f t="shared" si="34"/>
        <v>1</v>
      </c>
      <c r="AR272" t="s">
        <v>5061</v>
      </c>
      <c r="AS272" s="21">
        <v>46276</v>
      </c>
      <c r="AT272" t="s">
        <v>5062</v>
      </c>
      <c r="AU272" t="s">
        <v>5069</v>
      </c>
      <c r="AV272" t="s">
        <v>5062</v>
      </c>
      <c r="AW272" t="s">
        <v>5086</v>
      </c>
    </row>
    <row r="273" spans="1:49" x14ac:dyDescent="0.35">
      <c r="A273" t="s">
        <v>871</v>
      </c>
      <c r="B273" t="s">
        <v>872</v>
      </c>
      <c r="C273" t="s">
        <v>4818</v>
      </c>
      <c r="D273" t="s">
        <v>18</v>
      </c>
      <c r="E273" t="s">
        <v>1093</v>
      </c>
      <c r="F273" t="s">
        <v>1094</v>
      </c>
      <c r="G273" t="s">
        <v>21</v>
      </c>
      <c r="H273" t="s">
        <v>4888</v>
      </c>
      <c r="I273" t="s">
        <v>4906</v>
      </c>
      <c r="J273" s="4" t="s">
        <v>4907</v>
      </c>
      <c r="K273" s="4" t="s">
        <v>4908</v>
      </c>
      <c r="L273" s="4" t="s">
        <v>4870</v>
      </c>
      <c r="M273" s="4" t="s">
        <v>5035</v>
      </c>
      <c r="N273" t="s">
        <v>1095</v>
      </c>
      <c r="O273" t="s">
        <v>1096</v>
      </c>
      <c r="P273" t="s">
        <v>23</v>
      </c>
      <c r="Q273" t="s">
        <v>24</v>
      </c>
      <c r="R273" t="s">
        <v>25</v>
      </c>
      <c r="S273" t="s">
        <v>26</v>
      </c>
      <c r="T273" s="6">
        <v>46307</v>
      </c>
      <c r="U273">
        <v>120</v>
      </c>
      <c r="V273">
        <v>120</v>
      </c>
      <c r="W273">
        <v>132</v>
      </c>
      <c r="X273">
        <v>132</v>
      </c>
      <c r="Y273">
        <f t="shared" si="30"/>
        <v>0</v>
      </c>
      <c r="Z273">
        <f t="shared" si="31"/>
        <v>-12</v>
      </c>
      <c r="AC273" s="1">
        <v>0</v>
      </c>
      <c r="AF273">
        <f>V273</f>
        <v>120</v>
      </c>
      <c r="AG273" s="7">
        <v>12</v>
      </c>
      <c r="AH273">
        <f t="shared" si="32"/>
        <v>120</v>
      </c>
      <c r="AI273">
        <f t="shared" si="29"/>
        <v>0</v>
      </c>
      <c r="AK273">
        <f t="shared" si="33"/>
        <v>10</v>
      </c>
      <c r="AL273">
        <v>10.19</v>
      </c>
      <c r="AM273" t="s">
        <v>27</v>
      </c>
      <c r="AN273">
        <v>10.19</v>
      </c>
      <c r="AO273" t="b">
        <f t="shared" si="34"/>
        <v>1</v>
      </c>
      <c r="AR273" t="s">
        <v>5061</v>
      </c>
      <c r="AS273" s="21">
        <v>46276</v>
      </c>
      <c r="AT273" t="s">
        <v>5062</v>
      </c>
      <c r="AU273" t="s">
        <v>5070</v>
      </c>
      <c r="AV273" t="s">
        <v>5062</v>
      </c>
      <c r="AW273" t="s">
        <v>5086</v>
      </c>
    </row>
    <row r="274" spans="1:49" x14ac:dyDescent="0.35">
      <c r="A274" t="s">
        <v>871</v>
      </c>
      <c r="B274" t="s">
        <v>872</v>
      </c>
      <c r="C274" t="s">
        <v>4818</v>
      </c>
      <c r="D274" t="s">
        <v>18</v>
      </c>
      <c r="E274" t="s">
        <v>1097</v>
      </c>
      <c r="F274" t="s">
        <v>1098</v>
      </c>
      <c r="G274" t="s">
        <v>21</v>
      </c>
      <c r="H274" t="s">
        <v>4888</v>
      </c>
      <c r="I274" t="s">
        <v>4906</v>
      </c>
      <c r="J274" s="4" t="s">
        <v>4907</v>
      </c>
      <c r="K274" s="4" t="s">
        <v>4908</v>
      </c>
      <c r="L274" s="4" t="s">
        <v>4864</v>
      </c>
      <c r="M274" s="4" t="s">
        <v>5035</v>
      </c>
      <c r="N274" t="s">
        <v>1099</v>
      </c>
      <c r="O274" t="s">
        <v>1100</v>
      </c>
      <c r="P274" t="s">
        <v>23</v>
      </c>
      <c r="Q274" t="s">
        <v>24</v>
      </c>
      <c r="R274" t="s">
        <v>25</v>
      </c>
      <c r="S274" t="s">
        <v>26</v>
      </c>
      <c r="T274" s="6">
        <v>46307</v>
      </c>
      <c r="U274">
        <v>72</v>
      </c>
      <c r="V274">
        <v>72</v>
      </c>
      <c r="W274">
        <v>84</v>
      </c>
      <c r="X274">
        <v>84</v>
      </c>
      <c r="Y274">
        <f t="shared" si="30"/>
        <v>0</v>
      </c>
      <c r="Z274">
        <f t="shared" si="31"/>
        <v>-12</v>
      </c>
      <c r="AC274" s="1">
        <v>0</v>
      </c>
      <c r="AF274">
        <f>V274</f>
        <v>72</v>
      </c>
      <c r="AG274" s="7">
        <v>12</v>
      </c>
      <c r="AH274">
        <f t="shared" si="32"/>
        <v>72</v>
      </c>
      <c r="AI274">
        <f t="shared" si="29"/>
        <v>0</v>
      </c>
      <c r="AK274">
        <f t="shared" si="33"/>
        <v>6</v>
      </c>
      <c r="AL274">
        <v>10.19</v>
      </c>
      <c r="AM274" t="s">
        <v>27</v>
      </c>
      <c r="AN274">
        <v>10.19</v>
      </c>
      <c r="AO274" t="b">
        <f t="shared" si="34"/>
        <v>1</v>
      </c>
      <c r="AR274" t="s">
        <v>5061</v>
      </c>
      <c r="AS274" s="21">
        <v>46276</v>
      </c>
      <c r="AT274" t="s">
        <v>5062</v>
      </c>
      <c r="AU274" t="s">
        <v>5070</v>
      </c>
      <c r="AV274" t="s">
        <v>5062</v>
      </c>
      <c r="AW274" t="s">
        <v>5086</v>
      </c>
    </row>
    <row r="275" spans="1:49" x14ac:dyDescent="0.35">
      <c r="A275" t="s">
        <v>871</v>
      </c>
      <c r="B275" t="s">
        <v>872</v>
      </c>
      <c r="C275" t="s">
        <v>4818</v>
      </c>
      <c r="D275" t="s">
        <v>18</v>
      </c>
      <c r="E275" t="s">
        <v>1101</v>
      </c>
      <c r="F275" t="s">
        <v>1102</v>
      </c>
      <c r="G275" t="s">
        <v>21</v>
      </c>
      <c r="H275" t="s">
        <v>4888</v>
      </c>
      <c r="I275" t="s">
        <v>4902</v>
      </c>
      <c r="J275" s="4" t="s">
        <v>4903</v>
      </c>
      <c r="K275" s="4" t="s">
        <v>4915</v>
      </c>
      <c r="L275" s="4" t="s">
        <v>4867</v>
      </c>
      <c r="M275" s="4" t="s">
        <v>5035</v>
      </c>
      <c r="N275" t="s">
        <v>1103</v>
      </c>
      <c r="O275" t="s">
        <v>1104</v>
      </c>
      <c r="P275" t="s">
        <v>23</v>
      </c>
      <c r="Q275" t="s">
        <v>24</v>
      </c>
      <c r="R275" t="s">
        <v>25</v>
      </c>
      <c r="S275" t="s">
        <v>26</v>
      </c>
      <c r="T275" s="6">
        <v>46307</v>
      </c>
      <c r="U275">
        <v>324</v>
      </c>
      <c r="V275">
        <v>324</v>
      </c>
      <c r="W275">
        <v>288</v>
      </c>
      <c r="X275">
        <v>288</v>
      </c>
      <c r="Y275">
        <f t="shared" si="30"/>
        <v>0</v>
      </c>
      <c r="Z275">
        <f t="shared" si="31"/>
        <v>36</v>
      </c>
      <c r="AA275">
        <f t="shared" ref="AA275:AA276" si="36">Z275</f>
        <v>36</v>
      </c>
      <c r="AC275" s="1">
        <v>0</v>
      </c>
      <c r="AF275">
        <f>X275</f>
        <v>288</v>
      </c>
      <c r="AG275" s="7">
        <v>12</v>
      </c>
      <c r="AH275">
        <f t="shared" si="32"/>
        <v>288</v>
      </c>
      <c r="AI275">
        <f t="shared" si="29"/>
        <v>36</v>
      </c>
      <c r="AK275">
        <f t="shared" si="33"/>
        <v>24</v>
      </c>
      <c r="AL275">
        <v>10.66</v>
      </c>
      <c r="AM275" t="s">
        <v>27</v>
      </c>
      <c r="AN275">
        <v>10.66</v>
      </c>
      <c r="AO275" t="b">
        <f t="shared" si="34"/>
        <v>1</v>
      </c>
      <c r="AR275" t="s">
        <v>5061</v>
      </c>
      <c r="AS275" s="21">
        <v>46276</v>
      </c>
      <c r="AT275" t="s">
        <v>5062</v>
      </c>
      <c r="AU275" t="s">
        <v>5069</v>
      </c>
      <c r="AV275" t="s">
        <v>5062</v>
      </c>
      <c r="AW275" t="s">
        <v>5086</v>
      </c>
    </row>
    <row r="276" spans="1:49" x14ac:dyDescent="0.35">
      <c r="A276" t="s">
        <v>871</v>
      </c>
      <c r="B276" t="s">
        <v>872</v>
      </c>
      <c r="C276" t="s">
        <v>4818</v>
      </c>
      <c r="D276" t="s">
        <v>18</v>
      </c>
      <c r="E276" t="s">
        <v>1105</v>
      </c>
      <c r="F276" t="s">
        <v>1106</v>
      </c>
      <c r="G276" t="s">
        <v>21</v>
      </c>
      <c r="H276" t="s">
        <v>4888</v>
      </c>
      <c r="I276" t="s">
        <v>4893</v>
      </c>
      <c r="J276" s="4" t="s">
        <v>4894</v>
      </c>
      <c r="K276" s="4" t="s">
        <v>4837</v>
      </c>
      <c r="L276" s="4" t="s">
        <v>4900</v>
      </c>
      <c r="M276" s="4" t="s">
        <v>5035</v>
      </c>
      <c r="N276" t="s">
        <v>1107</v>
      </c>
      <c r="O276" t="s">
        <v>1108</v>
      </c>
      <c r="P276" t="s">
        <v>23</v>
      </c>
      <c r="Q276" t="s">
        <v>24</v>
      </c>
      <c r="R276" t="s">
        <v>25</v>
      </c>
      <c r="S276" t="s">
        <v>26</v>
      </c>
      <c r="T276" s="6">
        <v>46307</v>
      </c>
      <c r="U276">
        <v>132</v>
      </c>
      <c r="V276">
        <v>132</v>
      </c>
      <c r="W276">
        <v>120</v>
      </c>
      <c r="X276">
        <v>120</v>
      </c>
      <c r="Y276">
        <f t="shared" si="30"/>
        <v>0</v>
      </c>
      <c r="Z276">
        <f t="shared" si="31"/>
        <v>12</v>
      </c>
      <c r="AA276">
        <f t="shared" si="36"/>
        <v>12</v>
      </c>
      <c r="AC276" s="1">
        <v>0</v>
      </c>
      <c r="AF276">
        <f>X276</f>
        <v>120</v>
      </c>
      <c r="AG276" s="7">
        <v>12</v>
      </c>
      <c r="AH276">
        <f t="shared" si="32"/>
        <v>120</v>
      </c>
      <c r="AI276">
        <f t="shared" si="29"/>
        <v>12</v>
      </c>
      <c r="AK276">
        <f t="shared" si="33"/>
        <v>10</v>
      </c>
      <c r="AL276">
        <v>10.06</v>
      </c>
      <c r="AM276" t="s">
        <v>27</v>
      </c>
      <c r="AN276">
        <v>10.06</v>
      </c>
      <c r="AO276" t="b">
        <f t="shared" si="34"/>
        <v>1</v>
      </c>
      <c r="AR276" t="s">
        <v>5061</v>
      </c>
      <c r="AS276" s="21">
        <v>46276</v>
      </c>
      <c r="AT276" t="s">
        <v>5062</v>
      </c>
      <c r="AU276" t="s">
        <v>5068</v>
      </c>
      <c r="AV276" t="s">
        <v>5062</v>
      </c>
      <c r="AW276" t="s">
        <v>5086</v>
      </c>
    </row>
    <row r="277" spans="1:49" x14ac:dyDescent="0.35">
      <c r="A277" t="s">
        <v>871</v>
      </c>
      <c r="B277" t="s">
        <v>872</v>
      </c>
      <c r="C277" t="s">
        <v>4818</v>
      </c>
      <c r="D277" t="s">
        <v>18</v>
      </c>
      <c r="E277" t="s">
        <v>1109</v>
      </c>
      <c r="F277" t="s">
        <v>1110</v>
      </c>
      <c r="G277" t="s">
        <v>21</v>
      </c>
      <c r="H277" t="s">
        <v>4888</v>
      </c>
      <c r="I277" t="s">
        <v>4906</v>
      </c>
      <c r="J277" s="4" t="s">
        <v>4907</v>
      </c>
      <c r="K277" s="4" t="s">
        <v>4908</v>
      </c>
      <c r="L277" s="4" t="s">
        <v>4926</v>
      </c>
      <c r="M277" s="4" t="s">
        <v>5035</v>
      </c>
      <c r="N277" t="s">
        <v>1111</v>
      </c>
      <c r="O277" t="s">
        <v>1112</v>
      </c>
      <c r="P277" t="s">
        <v>23</v>
      </c>
      <c r="Q277" t="s">
        <v>24</v>
      </c>
      <c r="R277" t="s">
        <v>25</v>
      </c>
      <c r="S277" t="s">
        <v>26</v>
      </c>
      <c r="T277" s="6">
        <v>46307</v>
      </c>
      <c r="U277">
        <v>48</v>
      </c>
      <c r="V277">
        <v>48</v>
      </c>
      <c r="W277">
        <v>48</v>
      </c>
      <c r="X277">
        <v>48</v>
      </c>
      <c r="Y277">
        <f t="shared" si="30"/>
        <v>0</v>
      </c>
      <c r="Z277">
        <f t="shared" si="31"/>
        <v>0</v>
      </c>
      <c r="AC277" s="1">
        <v>0</v>
      </c>
      <c r="AF277">
        <f>V277</f>
        <v>48</v>
      </c>
      <c r="AG277" s="7">
        <v>12</v>
      </c>
      <c r="AH277">
        <f t="shared" si="32"/>
        <v>48</v>
      </c>
      <c r="AI277">
        <f t="shared" si="29"/>
        <v>0</v>
      </c>
      <c r="AK277">
        <f t="shared" si="33"/>
        <v>4</v>
      </c>
      <c r="AL277">
        <v>10.19</v>
      </c>
      <c r="AM277" t="s">
        <v>27</v>
      </c>
      <c r="AN277">
        <v>10.19</v>
      </c>
      <c r="AO277" t="b">
        <f t="shared" si="34"/>
        <v>1</v>
      </c>
      <c r="AR277" t="s">
        <v>5061</v>
      </c>
      <c r="AS277" s="21">
        <v>46276</v>
      </c>
      <c r="AT277" t="s">
        <v>5062</v>
      </c>
      <c r="AU277" t="s">
        <v>5070</v>
      </c>
      <c r="AV277" t="s">
        <v>5062</v>
      </c>
      <c r="AW277" t="s">
        <v>5086</v>
      </c>
    </row>
    <row r="278" spans="1:49" x14ac:dyDescent="0.35">
      <c r="A278" t="s">
        <v>871</v>
      </c>
      <c r="B278" t="s">
        <v>872</v>
      </c>
      <c r="C278" t="s">
        <v>4818</v>
      </c>
      <c r="D278" t="s">
        <v>18</v>
      </c>
      <c r="E278" t="s">
        <v>1113</v>
      </c>
      <c r="F278" t="s">
        <v>1114</v>
      </c>
      <c r="G278" t="s">
        <v>21</v>
      </c>
      <c r="H278" t="s">
        <v>4888</v>
      </c>
      <c r="I278" t="s">
        <v>4893</v>
      </c>
      <c r="J278" s="4" t="s">
        <v>4894</v>
      </c>
      <c r="K278" s="4" t="s">
        <v>4904</v>
      </c>
      <c r="L278" s="4" t="s">
        <v>4898</v>
      </c>
      <c r="M278" s="4" t="s">
        <v>5035</v>
      </c>
      <c r="N278" t="s">
        <v>1115</v>
      </c>
      <c r="O278" t="s">
        <v>1116</v>
      </c>
      <c r="P278" t="s">
        <v>23</v>
      </c>
      <c r="Q278" t="s">
        <v>24</v>
      </c>
      <c r="R278" t="s">
        <v>25</v>
      </c>
      <c r="S278" t="s">
        <v>26</v>
      </c>
      <c r="T278" s="6">
        <v>46307</v>
      </c>
      <c r="U278">
        <v>60</v>
      </c>
      <c r="V278">
        <v>60</v>
      </c>
      <c r="W278">
        <v>72</v>
      </c>
      <c r="X278">
        <v>72</v>
      </c>
      <c r="Y278">
        <f t="shared" si="30"/>
        <v>0</v>
      </c>
      <c r="Z278">
        <f t="shared" si="31"/>
        <v>-12</v>
      </c>
      <c r="AC278" s="1">
        <v>0</v>
      </c>
      <c r="AF278">
        <f>V278</f>
        <v>60</v>
      </c>
      <c r="AG278" s="7">
        <v>12</v>
      </c>
      <c r="AH278">
        <f t="shared" si="32"/>
        <v>60</v>
      </c>
      <c r="AI278">
        <f t="shared" si="29"/>
        <v>0</v>
      </c>
      <c r="AK278">
        <f t="shared" si="33"/>
        <v>5</v>
      </c>
      <c r="AL278">
        <v>10.16</v>
      </c>
      <c r="AM278" t="s">
        <v>27</v>
      </c>
      <c r="AN278">
        <v>10.16</v>
      </c>
      <c r="AO278" t="b">
        <f t="shared" si="34"/>
        <v>1</v>
      </c>
      <c r="AR278" t="s">
        <v>5061</v>
      </c>
      <c r="AS278" s="21">
        <v>46276</v>
      </c>
      <c r="AT278" t="s">
        <v>5062</v>
      </c>
      <c r="AU278" t="s">
        <v>5068</v>
      </c>
      <c r="AV278" t="s">
        <v>5062</v>
      </c>
      <c r="AW278" t="s">
        <v>5086</v>
      </c>
    </row>
    <row r="279" spans="1:49" x14ac:dyDescent="0.35">
      <c r="A279" t="s">
        <v>871</v>
      </c>
      <c r="B279" t="s">
        <v>872</v>
      </c>
      <c r="C279" t="s">
        <v>4818</v>
      </c>
      <c r="D279" t="s">
        <v>18</v>
      </c>
      <c r="E279" t="s">
        <v>1117</v>
      </c>
      <c r="F279" t="s">
        <v>1118</v>
      </c>
      <c r="G279" t="s">
        <v>21</v>
      </c>
      <c r="H279" t="s">
        <v>4888</v>
      </c>
      <c r="I279" t="s">
        <v>4893</v>
      </c>
      <c r="J279" s="4" t="s">
        <v>4894</v>
      </c>
      <c r="K279" s="4" t="s">
        <v>4913</v>
      </c>
      <c r="L279" s="4" t="s">
        <v>4927</v>
      </c>
      <c r="M279" s="4" t="s">
        <v>5035</v>
      </c>
      <c r="N279" t="s">
        <v>1119</v>
      </c>
      <c r="O279" t="s">
        <v>1120</v>
      </c>
      <c r="P279" t="s">
        <v>23</v>
      </c>
      <c r="Q279" t="s">
        <v>24</v>
      </c>
      <c r="R279" t="s">
        <v>25</v>
      </c>
      <c r="S279" t="s">
        <v>26</v>
      </c>
      <c r="T279" s="6">
        <v>46307</v>
      </c>
      <c r="U279">
        <v>48</v>
      </c>
      <c r="V279">
        <v>48</v>
      </c>
      <c r="W279">
        <v>60</v>
      </c>
      <c r="X279">
        <v>60</v>
      </c>
      <c r="Y279">
        <f t="shared" si="30"/>
        <v>0</v>
      </c>
      <c r="Z279">
        <f t="shared" si="31"/>
        <v>-12</v>
      </c>
      <c r="AC279" s="1">
        <v>0</v>
      </c>
      <c r="AF279">
        <f>V279</f>
        <v>48</v>
      </c>
      <c r="AG279" s="7">
        <v>12</v>
      </c>
      <c r="AH279">
        <f t="shared" si="32"/>
        <v>48</v>
      </c>
      <c r="AI279">
        <f t="shared" si="29"/>
        <v>0</v>
      </c>
      <c r="AK279">
        <f t="shared" si="33"/>
        <v>4</v>
      </c>
      <c r="AL279">
        <v>9.9499999999999993</v>
      </c>
      <c r="AM279" t="s">
        <v>27</v>
      </c>
      <c r="AN279">
        <v>9.9499999999999993</v>
      </c>
      <c r="AO279" t="b">
        <f t="shared" si="34"/>
        <v>1</v>
      </c>
      <c r="AR279" t="s">
        <v>5061</v>
      </c>
      <c r="AS279" s="21">
        <v>46276</v>
      </c>
      <c r="AT279" t="s">
        <v>5062</v>
      </c>
      <c r="AU279" t="s">
        <v>5068</v>
      </c>
      <c r="AV279" t="s">
        <v>5062</v>
      </c>
      <c r="AW279" t="s">
        <v>5086</v>
      </c>
    </row>
    <row r="280" spans="1:49" x14ac:dyDescent="0.35">
      <c r="A280" t="s">
        <v>871</v>
      </c>
      <c r="B280" t="s">
        <v>872</v>
      </c>
      <c r="C280" t="s">
        <v>4818</v>
      </c>
      <c r="D280" t="s">
        <v>18</v>
      </c>
      <c r="E280" t="s">
        <v>1121</v>
      </c>
      <c r="F280" t="s">
        <v>1122</v>
      </c>
      <c r="G280" t="s">
        <v>21</v>
      </c>
      <c r="H280" t="s">
        <v>4888</v>
      </c>
      <c r="I280" t="s">
        <v>4889</v>
      </c>
      <c r="J280" s="4" t="s">
        <v>4890</v>
      </c>
      <c r="K280" s="4" t="s">
        <v>4911</v>
      </c>
      <c r="L280" s="4" t="s">
        <v>4886</v>
      </c>
      <c r="M280" s="4" t="s">
        <v>5035</v>
      </c>
      <c r="N280" t="s">
        <v>1123</v>
      </c>
      <c r="O280" t="s">
        <v>1124</v>
      </c>
      <c r="P280" t="s">
        <v>23</v>
      </c>
      <c r="Q280" t="s">
        <v>24</v>
      </c>
      <c r="R280" t="s">
        <v>25</v>
      </c>
      <c r="S280" t="s">
        <v>26</v>
      </c>
      <c r="T280" s="6">
        <v>46307</v>
      </c>
      <c r="U280">
        <v>60</v>
      </c>
      <c r="V280">
        <v>60</v>
      </c>
      <c r="W280">
        <v>60</v>
      </c>
      <c r="X280">
        <v>60</v>
      </c>
      <c r="Y280">
        <f t="shared" si="30"/>
        <v>0</v>
      </c>
      <c r="Z280">
        <f t="shared" si="31"/>
        <v>0</v>
      </c>
      <c r="AC280" s="1">
        <v>0</v>
      </c>
      <c r="AF280">
        <f>V280</f>
        <v>60</v>
      </c>
      <c r="AG280" s="7">
        <v>12</v>
      </c>
      <c r="AH280">
        <f t="shared" si="32"/>
        <v>60</v>
      </c>
      <c r="AI280">
        <f t="shared" si="29"/>
        <v>0</v>
      </c>
      <c r="AK280">
        <f t="shared" si="33"/>
        <v>5</v>
      </c>
      <c r="AL280">
        <v>11.87</v>
      </c>
      <c r="AM280" t="s">
        <v>27</v>
      </c>
      <c r="AN280">
        <v>11.87</v>
      </c>
      <c r="AO280" t="b">
        <f t="shared" si="34"/>
        <v>1</v>
      </c>
      <c r="AR280" t="s">
        <v>5061</v>
      </c>
      <c r="AS280" s="21">
        <v>46276</v>
      </c>
      <c r="AT280" t="s">
        <v>5062</v>
      </c>
      <c r="AU280" t="s">
        <v>5067</v>
      </c>
      <c r="AV280" t="s">
        <v>5062</v>
      </c>
      <c r="AW280" t="s">
        <v>5086</v>
      </c>
    </row>
    <row r="281" spans="1:49" x14ac:dyDescent="0.35">
      <c r="A281" t="s">
        <v>871</v>
      </c>
      <c r="B281" t="s">
        <v>872</v>
      </c>
      <c r="C281" t="s">
        <v>4818</v>
      </c>
      <c r="D281" t="s">
        <v>18</v>
      </c>
      <c r="E281" t="s">
        <v>1125</v>
      </c>
      <c r="F281" t="s">
        <v>1126</v>
      </c>
      <c r="G281" t="s">
        <v>21</v>
      </c>
      <c r="H281" t="s">
        <v>4888</v>
      </c>
      <c r="I281" t="s">
        <v>4889</v>
      </c>
      <c r="J281" s="4" t="s">
        <v>4890</v>
      </c>
      <c r="K281" s="4" t="s">
        <v>4899</v>
      </c>
      <c r="L281" s="4" t="s">
        <v>4919</v>
      </c>
      <c r="M281" s="4" t="s">
        <v>5035</v>
      </c>
      <c r="N281" t="s">
        <v>1127</v>
      </c>
      <c r="O281" t="s">
        <v>1128</v>
      </c>
      <c r="P281" t="s">
        <v>23</v>
      </c>
      <c r="Q281" t="s">
        <v>24</v>
      </c>
      <c r="R281" t="s">
        <v>25</v>
      </c>
      <c r="S281" t="s">
        <v>26</v>
      </c>
      <c r="T281" s="6">
        <v>46307</v>
      </c>
      <c r="U281">
        <v>264</v>
      </c>
      <c r="V281">
        <v>264</v>
      </c>
      <c r="W281">
        <v>240</v>
      </c>
      <c r="X281">
        <v>240</v>
      </c>
      <c r="Y281">
        <f t="shared" si="30"/>
        <v>0</v>
      </c>
      <c r="Z281">
        <f t="shared" si="31"/>
        <v>24</v>
      </c>
      <c r="AA281">
        <f>Z281</f>
        <v>24</v>
      </c>
      <c r="AC281" s="1">
        <v>0</v>
      </c>
      <c r="AF281">
        <f>X281</f>
        <v>240</v>
      </c>
      <c r="AG281" s="7">
        <v>12</v>
      </c>
      <c r="AH281">
        <f t="shared" si="32"/>
        <v>240</v>
      </c>
      <c r="AI281">
        <f t="shared" si="29"/>
        <v>24</v>
      </c>
      <c r="AK281">
        <f t="shared" si="33"/>
        <v>20</v>
      </c>
      <c r="AL281">
        <v>10.9</v>
      </c>
      <c r="AM281" t="s">
        <v>27</v>
      </c>
      <c r="AN281">
        <v>10.9</v>
      </c>
      <c r="AO281" t="b">
        <f t="shared" si="34"/>
        <v>1</v>
      </c>
      <c r="AR281" t="s">
        <v>5061</v>
      </c>
      <c r="AS281" s="21">
        <v>46276</v>
      </c>
      <c r="AT281" t="s">
        <v>5062</v>
      </c>
      <c r="AU281" t="s">
        <v>5067</v>
      </c>
      <c r="AV281" t="s">
        <v>5062</v>
      </c>
      <c r="AW281" t="s">
        <v>5086</v>
      </c>
    </row>
    <row r="282" spans="1:49" x14ac:dyDescent="0.35">
      <c r="A282" t="s">
        <v>871</v>
      </c>
      <c r="B282" t="s">
        <v>872</v>
      </c>
      <c r="C282" t="s">
        <v>4818</v>
      </c>
      <c r="D282" t="s">
        <v>18</v>
      </c>
      <c r="E282" t="s">
        <v>1129</v>
      </c>
      <c r="F282" t="s">
        <v>1130</v>
      </c>
      <c r="G282" t="s">
        <v>21</v>
      </c>
      <c r="H282" t="s">
        <v>4888</v>
      </c>
      <c r="I282" t="s">
        <v>4893</v>
      </c>
      <c r="J282" s="4" t="s">
        <v>4894</v>
      </c>
      <c r="K282" s="4" t="s">
        <v>4904</v>
      </c>
      <c r="L282" s="4" t="s">
        <v>4895</v>
      </c>
      <c r="M282" s="4" t="s">
        <v>5035</v>
      </c>
      <c r="N282" t="s">
        <v>1131</v>
      </c>
      <c r="O282" t="s">
        <v>1132</v>
      </c>
      <c r="P282" t="s">
        <v>23</v>
      </c>
      <c r="Q282" t="s">
        <v>24</v>
      </c>
      <c r="R282" t="s">
        <v>25</v>
      </c>
      <c r="S282" t="s">
        <v>26</v>
      </c>
      <c r="T282" s="6">
        <v>46307</v>
      </c>
      <c r="U282">
        <v>24</v>
      </c>
      <c r="V282">
        <v>24</v>
      </c>
      <c r="W282">
        <v>24</v>
      </c>
      <c r="X282">
        <v>24</v>
      </c>
      <c r="Y282">
        <f t="shared" si="30"/>
        <v>0</v>
      </c>
      <c r="Z282">
        <f t="shared" si="31"/>
        <v>0</v>
      </c>
      <c r="AC282" s="1">
        <v>0</v>
      </c>
      <c r="AF282">
        <f>V282</f>
        <v>24</v>
      </c>
      <c r="AG282" s="7">
        <v>12</v>
      </c>
      <c r="AH282">
        <f t="shared" si="32"/>
        <v>24</v>
      </c>
      <c r="AI282">
        <f t="shared" si="29"/>
        <v>0</v>
      </c>
      <c r="AK282">
        <f t="shared" si="33"/>
        <v>2</v>
      </c>
      <c r="AL282">
        <v>10.16</v>
      </c>
      <c r="AM282" t="s">
        <v>27</v>
      </c>
      <c r="AN282">
        <v>10.16</v>
      </c>
      <c r="AO282" t="b">
        <f t="shared" si="34"/>
        <v>1</v>
      </c>
      <c r="AR282" t="s">
        <v>5061</v>
      </c>
      <c r="AS282" s="21">
        <v>46276</v>
      </c>
      <c r="AT282" t="s">
        <v>5062</v>
      </c>
      <c r="AU282" t="s">
        <v>5068</v>
      </c>
      <c r="AV282" t="s">
        <v>5062</v>
      </c>
      <c r="AW282" t="s">
        <v>5086</v>
      </c>
    </row>
    <row r="283" spans="1:49" x14ac:dyDescent="0.35">
      <c r="A283" t="s">
        <v>871</v>
      </c>
      <c r="B283" t="s">
        <v>872</v>
      </c>
      <c r="C283" t="s">
        <v>4818</v>
      </c>
      <c r="D283" t="s">
        <v>18</v>
      </c>
      <c r="E283" t="s">
        <v>1133</v>
      </c>
      <c r="F283" t="s">
        <v>1134</v>
      </c>
      <c r="G283" t="s">
        <v>21</v>
      </c>
      <c r="H283" t="s">
        <v>4888</v>
      </c>
      <c r="I283" t="s">
        <v>4906</v>
      </c>
      <c r="J283" s="4" t="s">
        <v>4907</v>
      </c>
      <c r="K283" s="4" t="s">
        <v>4908</v>
      </c>
      <c r="L283" s="4" t="s">
        <v>4928</v>
      </c>
      <c r="M283" s="4" t="s">
        <v>5035</v>
      </c>
      <c r="N283" t="s">
        <v>1135</v>
      </c>
      <c r="O283" t="s">
        <v>1136</v>
      </c>
      <c r="P283" t="s">
        <v>23</v>
      </c>
      <c r="Q283" t="s">
        <v>24</v>
      </c>
      <c r="R283" t="s">
        <v>25</v>
      </c>
      <c r="S283" t="s">
        <v>26</v>
      </c>
      <c r="T283" s="6">
        <v>46307</v>
      </c>
      <c r="U283">
        <v>36</v>
      </c>
      <c r="V283">
        <v>36</v>
      </c>
      <c r="W283">
        <v>36</v>
      </c>
      <c r="X283">
        <v>36</v>
      </c>
      <c r="Y283">
        <f t="shared" si="30"/>
        <v>0</v>
      </c>
      <c r="Z283">
        <f t="shared" si="31"/>
        <v>0</v>
      </c>
      <c r="AC283" s="1">
        <v>0</v>
      </c>
      <c r="AF283">
        <f>V283</f>
        <v>36</v>
      </c>
      <c r="AG283" s="7">
        <v>12</v>
      </c>
      <c r="AH283">
        <f t="shared" si="32"/>
        <v>36</v>
      </c>
      <c r="AI283">
        <f t="shared" si="29"/>
        <v>0</v>
      </c>
      <c r="AK283">
        <f t="shared" si="33"/>
        <v>3</v>
      </c>
      <c r="AL283">
        <v>10.19</v>
      </c>
      <c r="AM283" t="s">
        <v>27</v>
      </c>
      <c r="AN283">
        <v>10.19</v>
      </c>
      <c r="AO283" t="b">
        <f t="shared" si="34"/>
        <v>1</v>
      </c>
      <c r="AR283" t="s">
        <v>5061</v>
      </c>
      <c r="AS283" s="21">
        <v>46276</v>
      </c>
      <c r="AT283" t="s">
        <v>5062</v>
      </c>
      <c r="AU283" t="s">
        <v>5070</v>
      </c>
      <c r="AV283" t="s">
        <v>5062</v>
      </c>
      <c r="AW283" t="s">
        <v>5086</v>
      </c>
    </row>
    <row r="284" spans="1:49" x14ac:dyDescent="0.35">
      <c r="A284" t="s">
        <v>871</v>
      </c>
      <c r="B284" t="s">
        <v>872</v>
      </c>
      <c r="C284" t="s">
        <v>4818</v>
      </c>
      <c r="D284" t="s">
        <v>18</v>
      </c>
      <c r="E284" t="s">
        <v>1137</v>
      </c>
      <c r="F284" t="s">
        <v>1138</v>
      </c>
      <c r="G284" t="s">
        <v>21</v>
      </c>
      <c r="H284" t="s">
        <v>4888</v>
      </c>
      <c r="I284" t="s">
        <v>4893</v>
      </c>
      <c r="J284" s="4" t="s">
        <v>4894</v>
      </c>
      <c r="K284" s="4" t="s">
        <v>4837</v>
      </c>
      <c r="L284" s="4" t="s">
        <v>4886</v>
      </c>
      <c r="M284" s="4" t="s">
        <v>5035</v>
      </c>
      <c r="N284" t="s">
        <v>1139</v>
      </c>
      <c r="O284" t="s">
        <v>1140</v>
      </c>
      <c r="P284" t="s">
        <v>23</v>
      </c>
      <c r="Q284" t="s">
        <v>24</v>
      </c>
      <c r="R284" t="s">
        <v>25</v>
      </c>
      <c r="S284" t="s">
        <v>26</v>
      </c>
      <c r="T284" s="6">
        <v>46307</v>
      </c>
      <c r="U284">
        <v>156</v>
      </c>
      <c r="V284">
        <v>156</v>
      </c>
      <c r="W284">
        <v>144</v>
      </c>
      <c r="X284">
        <v>144</v>
      </c>
      <c r="Y284">
        <f t="shared" si="30"/>
        <v>0</v>
      </c>
      <c r="Z284">
        <f t="shared" si="31"/>
        <v>12</v>
      </c>
      <c r="AA284">
        <f t="shared" ref="AA284:AA287" si="37">Z284</f>
        <v>12</v>
      </c>
      <c r="AC284" s="1">
        <v>0</v>
      </c>
      <c r="AF284">
        <f>X284</f>
        <v>144</v>
      </c>
      <c r="AG284" s="7">
        <v>12</v>
      </c>
      <c r="AH284">
        <f t="shared" si="32"/>
        <v>144</v>
      </c>
      <c r="AI284">
        <f t="shared" si="29"/>
        <v>12</v>
      </c>
      <c r="AK284">
        <f t="shared" si="33"/>
        <v>12</v>
      </c>
      <c r="AL284">
        <v>10.06</v>
      </c>
      <c r="AM284" t="s">
        <v>27</v>
      </c>
      <c r="AN284">
        <v>10.06</v>
      </c>
      <c r="AO284" t="b">
        <f t="shared" si="34"/>
        <v>1</v>
      </c>
      <c r="AR284" t="s">
        <v>5061</v>
      </c>
      <c r="AS284" s="21">
        <v>46276</v>
      </c>
      <c r="AT284" t="s">
        <v>5062</v>
      </c>
      <c r="AU284" t="s">
        <v>5068</v>
      </c>
      <c r="AV284" t="s">
        <v>5062</v>
      </c>
      <c r="AW284" t="s">
        <v>5086</v>
      </c>
    </row>
    <row r="285" spans="1:49" x14ac:dyDescent="0.35">
      <c r="A285" t="s">
        <v>871</v>
      </c>
      <c r="B285" t="s">
        <v>872</v>
      </c>
      <c r="C285" t="s">
        <v>4818</v>
      </c>
      <c r="D285" t="s">
        <v>18</v>
      </c>
      <c r="E285" t="s">
        <v>1141</v>
      </c>
      <c r="F285" t="s">
        <v>1142</v>
      </c>
      <c r="G285" t="s">
        <v>21</v>
      </c>
      <c r="H285" t="s">
        <v>4888</v>
      </c>
      <c r="I285" t="s">
        <v>4893</v>
      </c>
      <c r="J285" s="4" t="s">
        <v>4894</v>
      </c>
      <c r="K285" s="4" t="s">
        <v>4837</v>
      </c>
      <c r="L285" s="4" t="s">
        <v>4919</v>
      </c>
      <c r="M285" s="4" t="s">
        <v>5035</v>
      </c>
      <c r="N285" t="s">
        <v>1143</v>
      </c>
      <c r="O285" t="s">
        <v>1144</v>
      </c>
      <c r="P285" t="s">
        <v>23</v>
      </c>
      <c r="Q285" t="s">
        <v>24</v>
      </c>
      <c r="R285" t="s">
        <v>25</v>
      </c>
      <c r="S285" t="s">
        <v>26</v>
      </c>
      <c r="T285" s="6">
        <v>46307</v>
      </c>
      <c r="U285">
        <v>120</v>
      </c>
      <c r="V285">
        <v>120</v>
      </c>
      <c r="W285">
        <v>108</v>
      </c>
      <c r="X285">
        <v>108</v>
      </c>
      <c r="Y285">
        <f t="shared" si="30"/>
        <v>0</v>
      </c>
      <c r="Z285">
        <f t="shared" si="31"/>
        <v>12</v>
      </c>
      <c r="AA285">
        <f t="shared" si="37"/>
        <v>12</v>
      </c>
      <c r="AC285" s="1">
        <v>0</v>
      </c>
      <c r="AF285">
        <f>X285</f>
        <v>108</v>
      </c>
      <c r="AG285" s="7">
        <v>12</v>
      </c>
      <c r="AH285">
        <f t="shared" si="32"/>
        <v>108</v>
      </c>
      <c r="AI285">
        <f t="shared" si="29"/>
        <v>12</v>
      </c>
      <c r="AK285">
        <f t="shared" si="33"/>
        <v>9</v>
      </c>
      <c r="AL285">
        <v>10.06</v>
      </c>
      <c r="AM285" t="s">
        <v>27</v>
      </c>
      <c r="AN285">
        <v>10.06</v>
      </c>
      <c r="AO285" t="b">
        <f t="shared" si="34"/>
        <v>1</v>
      </c>
      <c r="AR285" t="s">
        <v>5061</v>
      </c>
      <c r="AS285" s="21">
        <v>46276</v>
      </c>
      <c r="AT285" t="s">
        <v>5062</v>
      </c>
      <c r="AU285" t="s">
        <v>5068</v>
      </c>
      <c r="AV285" t="s">
        <v>5062</v>
      </c>
      <c r="AW285" t="s">
        <v>5086</v>
      </c>
    </row>
    <row r="286" spans="1:49" x14ac:dyDescent="0.35">
      <c r="A286" t="s">
        <v>871</v>
      </c>
      <c r="B286" t="s">
        <v>872</v>
      </c>
      <c r="C286" t="s">
        <v>4818</v>
      </c>
      <c r="D286" t="s">
        <v>18</v>
      </c>
      <c r="E286" t="s">
        <v>1145</v>
      </c>
      <c r="F286" t="s">
        <v>1146</v>
      </c>
      <c r="G286" t="s">
        <v>21</v>
      </c>
      <c r="H286" t="s">
        <v>4888</v>
      </c>
      <c r="I286" t="s">
        <v>4893</v>
      </c>
      <c r="J286" s="4" t="s">
        <v>4894</v>
      </c>
      <c r="K286" s="4" t="s">
        <v>4837</v>
      </c>
      <c r="L286" s="4" t="s">
        <v>4927</v>
      </c>
      <c r="M286" s="4" t="s">
        <v>5035</v>
      </c>
      <c r="N286" t="s">
        <v>1147</v>
      </c>
      <c r="O286" t="s">
        <v>1148</v>
      </c>
      <c r="P286" t="s">
        <v>23</v>
      </c>
      <c r="Q286" t="s">
        <v>24</v>
      </c>
      <c r="R286" t="s">
        <v>25</v>
      </c>
      <c r="S286" t="s">
        <v>26</v>
      </c>
      <c r="T286" s="6">
        <v>46307</v>
      </c>
      <c r="U286">
        <v>108</v>
      </c>
      <c r="V286">
        <v>108</v>
      </c>
      <c r="W286">
        <v>96</v>
      </c>
      <c r="X286">
        <v>96</v>
      </c>
      <c r="Y286">
        <f t="shared" si="30"/>
        <v>0</v>
      </c>
      <c r="Z286">
        <f t="shared" si="31"/>
        <v>12</v>
      </c>
      <c r="AA286">
        <f t="shared" si="37"/>
        <v>12</v>
      </c>
      <c r="AC286" s="1">
        <v>0</v>
      </c>
      <c r="AF286">
        <f>X286</f>
        <v>96</v>
      </c>
      <c r="AG286" s="7">
        <v>12</v>
      </c>
      <c r="AH286">
        <f t="shared" si="32"/>
        <v>96</v>
      </c>
      <c r="AI286">
        <f t="shared" si="29"/>
        <v>12</v>
      </c>
      <c r="AK286">
        <f t="shared" si="33"/>
        <v>8</v>
      </c>
      <c r="AL286">
        <v>10.06</v>
      </c>
      <c r="AM286" t="s">
        <v>27</v>
      </c>
      <c r="AN286">
        <v>10.06</v>
      </c>
      <c r="AO286" t="b">
        <f t="shared" si="34"/>
        <v>1</v>
      </c>
      <c r="AR286" t="s">
        <v>5061</v>
      </c>
      <c r="AS286" s="21">
        <v>46276</v>
      </c>
      <c r="AT286" t="s">
        <v>5062</v>
      </c>
      <c r="AU286" t="s">
        <v>5068</v>
      </c>
      <c r="AV286" t="s">
        <v>5062</v>
      </c>
      <c r="AW286" t="s">
        <v>5086</v>
      </c>
    </row>
    <row r="287" spans="1:49" x14ac:dyDescent="0.35">
      <c r="A287" t="s">
        <v>871</v>
      </c>
      <c r="B287" t="s">
        <v>872</v>
      </c>
      <c r="C287" t="s">
        <v>4818</v>
      </c>
      <c r="D287" t="s">
        <v>18</v>
      </c>
      <c r="E287" t="s">
        <v>1149</v>
      </c>
      <c r="F287" t="s">
        <v>1150</v>
      </c>
      <c r="G287" t="s">
        <v>21</v>
      </c>
      <c r="H287" t="s">
        <v>4888</v>
      </c>
      <c r="I287" t="s">
        <v>4893</v>
      </c>
      <c r="J287" s="4" t="s">
        <v>4894</v>
      </c>
      <c r="K287" s="4" t="s">
        <v>4896</v>
      </c>
      <c r="L287" s="4" t="s">
        <v>4855</v>
      </c>
      <c r="M287" s="4" t="s">
        <v>5035</v>
      </c>
      <c r="N287" t="s">
        <v>1151</v>
      </c>
      <c r="O287" t="s">
        <v>1152</v>
      </c>
      <c r="P287" t="s">
        <v>23</v>
      </c>
      <c r="Q287" t="s">
        <v>24</v>
      </c>
      <c r="R287" t="s">
        <v>25</v>
      </c>
      <c r="S287" t="s">
        <v>26</v>
      </c>
      <c r="T287" s="6">
        <v>46307</v>
      </c>
      <c r="U287">
        <v>120</v>
      </c>
      <c r="V287">
        <v>120</v>
      </c>
      <c r="W287">
        <v>108</v>
      </c>
      <c r="X287">
        <v>108</v>
      </c>
      <c r="Y287">
        <f t="shared" si="30"/>
        <v>0</v>
      </c>
      <c r="Z287">
        <f t="shared" si="31"/>
        <v>12</v>
      </c>
      <c r="AA287">
        <f t="shared" si="37"/>
        <v>12</v>
      </c>
      <c r="AC287" s="1">
        <v>0</v>
      </c>
      <c r="AF287">
        <f>X287</f>
        <v>108</v>
      </c>
      <c r="AG287" s="7">
        <v>12</v>
      </c>
      <c r="AH287">
        <f t="shared" si="32"/>
        <v>108</v>
      </c>
      <c r="AI287">
        <f t="shared" si="29"/>
        <v>12</v>
      </c>
      <c r="AK287">
        <f t="shared" si="33"/>
        <v>9</v>
      </c>
      <c r="AL287">
        <v>10.220000000000001</v>
      </c>
      <c r="AM287" t="s">
        <v>27</v>
      </c>
      <c r="AN287">
        <v>10.220000000000001</v>
      </c>
      <c r="AO287" t="b">
        <f t="shared" si="34"/>
        <v>1</v>
      </c>
      <c r="AR287" t="s">
        <v>5061</v>
      </c>
      <c r="AS287" s="21">
        <v>46276</v>
      </c>
      <c r="AT287" t="s">
        <v>5062</v>
      </c>
      <c r="AU287" t="s">
        <v>5068</v>
      </c>
      <c r="AV287" t="s">
        <v>5062</v>
      </c>
      <c r="AW287" t="s">
        <v>5086</v>
      </c>
    </row>
    <row r="288" spans="1:49" x14ac:dyDescent="0.35">
      <c r="A288" t="s">
        <v>871</v>
      </c>
      <c r="B288" t="s">
        <v>872</v>
      </c>
      <c r="C288" t="s">
        <v>4818</v>
      </c>
      <c r="D288" t="s">
        <v>18</v>
      </c>
      <c r="E288" t="s">
        <v>1153</v>
      </c>
      <c r="F288" t="s">
        <v>1154</v>
      </c>
      <c r="G288" t="s">
        <v>21</v>
      </c>
      <c r="H288" t="s">
        <v>4888</v>
      </c>
      <c r="I288" t="s">
        <v>4902</v>
      </c>
      <c r="J288" s="4" t="s">
        <v>4903</v>
      </c>
      <c r="K288" s="4" t="s">
        <v>4899</v>
      </c>
      <c r="L288" s="4" t="s">
        <v>4923</v>
      </c>
      <c r="M288" s="4" t="s">
        <v>5035</v>
      </c>
      <c r="N288" t="s">
        <v>1155</v>
      </c>
      <c r="O288" t="s">
        <v>1156</v>
      </c>
      <c r="P288" t="s">
        <v>23</v>
      </c>
      <c r="Q288" t="s">
        <v>24</v>
      </c>
      <c r="R288" t="s">
        <v>25</v>
      </c>
      <c r="S288" t="s">
        <v>26</v>
      </c>
      <c r="T288" s="6">
        <v>46307</v>
      </c>
      <c r="U288">
        <v>36</v>
      </c>
      <c r="V288">
        <v>36</v>
      </c>
      <c r="W288">
        <v>36</v>
      </c>
      <c r="X288">
        <v>36</v>
      </c>
      <c r="Y288">
        <f t="shared" si="30"/>
        <v>0</v>
      </c>
      <c r="Z288">
        <f t="shared" si="31"/>
        <v>0</v>
      </c>
      <c r="AC288" s="1">
        <v>0</v>
      </c>
      <c r="AF288">
        <f t="shared" ref="AF288:AF293" si="38">V288</f>
        <v>36</v>
      </c>
      <c r="AG288" s="7">
        <v>12</v>
      </c>
      <c r="AH288">
        <f t="shared" si="32"/>
        <v>36</v>
      </c>
      <c r="AI288">
        <f t="shared" si="29"/>
        <v>0</v>
      </c>
      <c r="AK288">
        <f t="shared" si="33"/>
        <v>3</v>
      </c>
      <c r="AL288">
        <v>10.49</v>
      </c>
      <c r="AM288" t="s">
        <v>27</v>
      </c>
      <c r="AN288">
        <v>10.49</v>
      </c>
      <c r="AO288" t="b">
        <f t="shared" si="34"/>
        <v>1</v>
      </c>
      <c r="AR288" t="s">
        <v>5061</v>
      </c>
      <c r="AS288" s="21">
        <v>46276</v>
      </c>
      <c r="AT288" t="s">
        <v>5062</v>
      </c>
      <c r="AU288" t="s">
        <v>5069</v>
      </c>
      <c r="AV288" t="s">
        <v>5062</v>
      </c>
      <c r="AW288" t="s">
        <v>5086</v>
      </c>
    </row>
    <row r="289" spans="1:49" x14ac:dyDescent="0.35">
      <c r="A289" t="s">
        <v>871</v>
      </c>
      <c r="B289" t="s">
        <v>872</v>
      </c>
      <c r="C289" t="s">
        <v>4818</v>
      </c>
      <c r="D289" t="s">
        <v>18</v>
      </c>
      <c r="E289" t="s">
        <v>1157</v>
      </c>
      <c r="F289" t="s">
        <v>1158</v>
      </c>
      <c r="G289" t="s">
        <v>21</v>
      </c>
      <c r="H289" t="s">
        <v>4888</v>
      </c>
      <c r="I289" t="s">
        <v>4902</v>
      </c>
      <c r="J289" s="4" t="s">
        <v>4903</v>
      </c>
      <c r="K289" s="4" t="s">
        <v>4915</v>
      </c>
      <c r="L289" s="4" t="s">
        <v>4919</v>
      </c>
      <c r="M289" s="4" t="s">
        <v>5035</v>
      </c>
      <c r="N289" t="s">
        <v>1159</v>
      </c>
      <c r="O289" t="s">
        <v>1160</v>
      </c>
      <c r="P289" t="s">
        <v>23</v>
      </c>
      <c r="Q289" t="s">
        <v>24</v>
      </c>
      <c r="R289" t="s">
        <v>25</v>
      </c>
      <c r="S289" t="s">
        <v>26</v>
      </c>
      <c r="T289" s="6">
        <v>46307</v>
      </c>
      <c r="U289">
        <v>288</v>
      </c>
      <c r="V289">
        <v>288</v>
      </c>
      <c r="W289">
        <v>312</v>
      </c>
      <c r="X289">
        <v>312</v>
      </c>
      <c r="Y289">
        <f t="shared" si="30"/>
        <v>0</v>
      </c>
      <c r="Z289">
        <f t="shared" si="31"/>
        <v>-24</v>
      </c>
      <c r="AC289" s="1">
        <v>0</v>
      </c>
      <c r="AF289">
        <f t="shared" si="38"/>
        <v>288</v>
      </c>
      <c r="AG289" s="7">
        <v>12</v>
      </c>
      <c r="AH289">
        <f t="shared" si="32"/>
        <v>288</v>
      </c>
      <c r="AI289">
        <f t="shared" si="29"/>
        <v>0</v>
      </c>
      <c r="AK289">
        <f t="shared" si="33"/>
        <v>24</v>
      </c>
      <c r="AL289">
        <v>10.66</v>
      </c>
      <c r="AM289" t="s">
        <v>27</v>
      </c>
      <c r="AN289">
        <v>10.66</v>
      </c>
      <c r="AO289" t="b">
        <f t="shared" si="34"/>
        <v>1</v>
      </c>
      <c r="AR289" t="s">
        <v>5061</v>
      </c>
      <c r="AS289" s="21">
        <v>46276</v>
      </c>
      <c r="AT289" t="s">
        <v>5062</v>
      </c>
      <c r="AU289" t="s">
        <v>5069</v>
      </c>
      <c r="AV289" t="s">
        <v>5062</v>
      </c>
      <c r="AW289" t="s">
        <v>5086</v>
      </c>
    </row>
    <row r="290" spans="1:49" x14ac:dyDescent="0.35">
      <c r="A290" t="s">
        <v>871</v>
      </c>
      <c r="B290" t="s">
        <v>872</v>
      </c>
      <c r="C290" t="s">
        <v>4818</v>
      </c>
      <c r="D290" t="s">
        <v>18</v>
      </c>
      <c r="E290" t="s">
        <v>1161</v>
      </c>
      <c r="F290" t="s">
        <v>1162</v>
      </c>
      <c r="G290" t="s">
        <v>21</v>
      </c>
      <c r="H290" t="s">
        <v>4888</v>
      </c>
      <c r="I290" t="s">
        <v>4902</v>
      </c>
      <c r="J290" s="4" t="s">
        <v>4903</v>
      </c>
      <c r="K290" s="4" t="s">
        <v>4915</v>
      </c>
      <c r="L290" s="4" t="s">
        <v>4929</v>
      </c>
      <c r="M290" s="4" t="s">
        <v>5035</v>
      </c>
      <c r="N290" t="s">
        <v>1163</v>
      </c>
      <c r="O290" t="s">
        <v>1164</v>
      </c>
      <c r="P290" t="s">
        <v>23</v>
      </c>
      <c r="Q290" t="s">
        <v>24</v>
      </c>
      <c r="R290" t="s">
        <v>25</v>
      </c>
      <c r="S290" t="s">
        <v>26</v>
      </c>
      <c r="T290" s="6">
        <v>46307</v>
      </c>
      <c r="U290">
        <v>180</v>
      </c>
      <c r="V290">
        <v>180</v>
      </c>
      <c r="W290">
        <v>192</v>
      </c>
      <c r="X290">
        <v>192</v>
      </c>
      <c r="Y290">
        <f t="shared" si="30"/>
        <v>0</v>
      </c>
      <c r="Z290">
        <f t="shared" si="31"/>
        <v>-12</v>
      </c>
      <c r="AC290" s="1"/>
      <c r="AF290">
        <f t="shared" si="38"/>
        <v>180</v>
      </c>
      <c r="AG290" s="7">
        <v>12</v>
      </c>
      <c r="AH290">
        <f t="shared" si="32"/>
        <v>180</v>
      </c>
      <c r="AI290">
        <f t="shared" si="29"/>
        <v>0</v>
      </c>
      <c r="AK290">
        <f t="shared" si="33"/>
        <v>15</v>
      </c>
      <c r="AL290">
        <v>10.66</v>
      </c>
      <c r="AM290" t="s">
        <v>27</v>
      </c>
      <c r="AN290">
        <v>10.66</v>
      </c>
      <c r="AO290" t="b">
        <f t="shared" si="34"/>
        <v>1</v>
      </c>
      <c r="AR290" t="s">
        <v>5061</v>
      </c>
      <c r="AS290" s="21">
        <v>46276</v>
      </c>
      <c r="AT290" t="s">
        <v>5062</v>
      </c>
      <c r="AU290" t="s">
        <v>5069</v>
      </c>
      <c r="AV290" t="s">
        <v>5062</v>
      </c>
      <c r="AW290" t="s">
        <v>5086</v>
      </c>
    </row>
    <row r="291" spans="1:49" x14ac:dyDescent="0.35">
      <c r="A291" t="s">
        <v>871</v>
      </c>
      <c r="B291" t="s">
        <v>872</v>
      </c>
      <c r="C291" t="s">
        <v>4818</v>
      </c>
      <c r="D291" t="s">
        <v>18</v>
      </c>
      <c r="E291" t="s">
        <v>1165</v>
      </c>
      <c r="F291" t="s">
        <v>1166</v>
      </c>
      <c r="G291" t="s">
        <v>21</v>
      </c>
      <c r="H291" t="s">
        <v>4888</v>
      </c>
      <c r="I291" t="s">
        <v>4889</v>
      </c>
      <c r="J291" s="4" t="s">
        <v>4890</v>
      </c>
      <c r="K291" s="4" t="s">
        <v>4911</v>
      </c>
      <c r="L291" s="4" t="s">
        <v>4928</v>
      </c>
      <c r="M291" s="4" t="s">
        <v>5035</v>
      </c>
      <c r="N291" t="s">
        <v>1167</v>
      </c>
      <c r="O291" t="s">
        <v>1168</v>
      </c>
      <c r="P291" t="s">
        <v>23</v>
      </c>
      <c r="Q291" t="s">
        <v>24</v>
      </c>
      <c r="R291" t="s">
        <v>25</v>
      </c>
      <c r="S291" t="s">
        <v>26</v>
      </c>
      <c r="T291" s="6">
        <v>46307</v>
      </c>
      <c r="U291">
        <v>12</v>
      </c>
      <c r="V291">
        <v>12</v>
      </c>
      <c r="W291">
        <v>12</v>
      </c>
      <c r="X291">
        <v>12</v>
      </c>
      <c r="Y291">
        <f t="shared" si="30"/>
        <v>0</v>
      </c>
      <c r="Z291">
        <f t="shared" si="31"/>
        <v>0</v>
      </c>
      <c r="AC291" s="1">
        <v>0</v>
      </c>
      <c r="AF291">
        <f t="shared" si="38"/>
        <v>12</v>
      </c>
      <c r="AG291" s="7">
        <v>12</v>
      </c>
      <c r="AH291">
        <f t="shared" si="32"/>
        <v>12</v>
      </c>
      <c r="AI291">
        <f t="shared" si="29"/>
        <v>0</v>
      </c>
      <c r="AK291">
        <f t="shared" si="33"/>
        <v>1</v>
      </c>
      <c r="AL291">
        <v>11.87</v>
      </c>
      <c r="AM291" t="s">
        <v>27</v>
      </c>
      <c r="AN291">
        <v>11.87</v>
      </c>
      <c r="AO291" t="b">
        <f t="shared" si="34"/>
        <v>1</v>
      </c>
      <c r="AR291" t="s">
        <v>5061</v>
      </c>
      <c r="AS291" s="21">
        <v>46276</v>
      </c>
      <c r="AT291" t="s">
        <v>5062</v>
      </c>
      <c r="AU291" t="s">
        <v>5067</v>
      </c>
      <c r="AV291" t="s">
        <v>5062</v>
      </c>
      <c r="AW291" t="s">
        <v>5086</v>
      </c>
    </row>
    <row r="292" spans="1:49" x14ac:dyDescent="0.35">
      <c r="A292" t="s">
        <v>871</v>
      </c>
      <c r="B292" t="s">
        <v>872</v>
      </c>
      <c r="C292" t="s">
        <v>4818</v>
      </c>
      <c r="D292" t="s">
        <v>18</v>
      </c>
      <c r="E292" t="s">
        <v>1169</v>
      </c>
      <c r="F292" t="s">
        <v>1170</v>
      </c>
      <c r="G292" t="s">
        <v>21</v>
      </c>
      <c r="H292" t="s">
        <v>4888</v>
      </c>
      <c r="I292" t="s">
        <v>4893</v>
      </c>
      <c r="J292" s="4" t="s">
        <v>4894</v>
      </c>
      <c r="K292" s="4" t="s">
        <v>4913</v>
      </c>
      <c r="L292" s="4" t="s">
        <v>4897</v>
      </c>
      <c r="M292" s="4" t="s">
        <v>5035</v>
      </c>
      <c r="N292" t="s">
        <v>1171</v>
      </c>
      <c r="O292" t="s">
        <v>1172</v>
      </c>
      <c r="P292" t="s">
        <v>23</v>
      </c>
      <c r="Q292" t="s">
        <v>24</v>
      </c>
      <c r="R292" t="s">
        <v>25</v>
      </c>
      <c r="S292" t="s">
        <v>26</v>
      </c>
      <c r="T292" s="6">
        <v>46307</v>
      </c>
      <c r="U292">
        <v>72</v>
      </c>
      <c r="V292">
        <v>72</v>
      </c>
      <c r="W292">
        <v>84</v>
      </c>
      <c r="X292">
        <v>84</v>
      </c>
      <c r="Y292">
        <f t="shared" si="30"/>
        <v>0</v>
      </c>
      <c r="Z292">
        <f t="shared" si="31"/>
        <v>-12</v>
      </c>
      <c r="AC292" s="1">
        <v>0</v>
      </c>
      <c r="AF292">
        <f t="shared" si="38"/>
        <v>72</v>
      </c>
      <c r="AG292" s="7">
        <v>12</v>
      </c>
      <c r="AH292">
        <f t="shared" si="32"/>
        <v>72</v>
      </c>
      <c r="AI292">
        <f t="shared" si="29"/>
        <v>0</v>
      </c>
      <c r="AK292">
        <f t="shared" si="33"/>
        <v>6</v>
      </c>
      <c r="AL292">
        <v>9.9499999999999993</v>
      </c>
      <c r="AM292" t="s">
        <v>27</v>
      </c>
      <c r="AN292">
        <v>9.9499999999999993</v>
      </c>
      <c r="AO292" t="b">
        <f t="shared" si="34"/>
        <v>1</v>
      </c>
      <c r="AR292" t="s">
        <v>5061</v>
      </c>
      <c r="AS292" s="21">
        <v>46276</v>
      </c>
      <c r="AT292" t="s">
        <v>5062</v>
      </c>
      <c r="AU292" t="s">
        <v>5068</v>
      </c>
      <c r="AV292" t="s">
        <v>5062</v>
      </c>
      <c r="AW292" t="s">
        <v>5086</v>
      </c>
    </row>
    <row r="293" spans="1:49" x14ac:dyDescent="0.35">
      <c r="A293" t="s">
        <v>871</v>
      </c>
      <c r="B293" t="s">
        <v>872</v>
      </c>
      <c r="C293" t="s">
        <v>4818</v>
      </c>
      <c r="D293" t="s">
        <v>18</v>
      </c>
      <c r="E293" t="s">
        <v>1173</v>
      </c>
      <c r="F293" t="s">
        <v>1174</v>
      </c>
      <c r="G293" t="s">
        <v>21</v>
      </c>
      <c r="H293" t="s">
        <v>4888</v>
      </c>
      <c r="I293" t="s">
        <v>4893</v>
      </c>
      <c r="J293" s="4" t="s">
        <v>4894</v>
      </c>
      <c r="K293" s="4" t="s">
        <v>4837</v>
      </c>
      <c r="L293" s="4" t="s">
        <v>4880</v>
      </c>
      <c r="M293" s="4" t="s">
        <v>5035</v>
      </c>
      <c r="N293" t="s">
        <v>1175</v>
      </c>
      <c r="O293" t="s">
        <v>1176</v>
      </c>
      <c r="P293" t="s">
        <v>23</v>
      </c>
      <c r="Q293" t="s">
        <v>24</v>
      </c>
      <c r="R293" t="s">
        <v>25</v>
      </c>
      <c r="S293" t="s">
        <v>26</v>
      </c>
      <c r="T293" s="6">
        <v>46307</v>
      </c>
      <c r="U293">
        <v>60</v>
      </c>
      <c r="V293">
        <v>60</v>
      </c>
      <c r="W293">
        <v>60</v>
      </c>
      <c r="X293">
        <v>60</v>
      </c>
      <c r="Y293">
        <f t="shared" si="30"/>
        <v>0</v>
      </c>
      <c r="Z293">
        <f t="shared" si="31"/>
        <v>0</v>
      </c>
      <c r="AC293" s="1">
        <v>0</v>
      </c>
      <c r="AF293">
        <f t="shared" si="38"/>
        <v>60</v>
      </c>
      <c r="AG293" s="7">
        <v>12</v>
      </c>
      <c r="AH293">
        <f t="shared" si="32"/>
        <v>60</v>
      </c>
      <c r="AI293">
        <f t="shared" si="29"/>
        <v>0</v>
      </c>
      <c r="AK293">
        <f t="shared" si="33"/>
        <v>5</v>
      </c>
      <c r="AL293">
        <v>10.06</v>
      </c>
      <c r="AM293" t="s">
        <v>27</v>
      </c>
      <c r="AN293">
        <v>10.06</v>
      </c>
      <c r="AO293" t="b">
        <f t="shared" si="34"/>
        <v>1</v>
      </c>
      <c r="AR293" t="s">
        <v>5061</v>
      </c>
      <c r="AS293" s="21">
        <v>46276</v>
      </c>
      <c r="AT293" t="s">
        <v>5062</v>
      </c>
      <c r="AU293" t="s">
        <v>5068</v>
      </c>
      <c r="AV293" t="s">
        <v>5062</v>
      </c>
      <c r="AW293" t="s">
        <v>5086</v>
      </c>
    </row>
    <row r="294" spans="1:49" x14ac:dyDescent="0.35">
      <c r="A294" t="s">
        <v>871</v>
      </c>
      <c r="B294" t="s">
        <v>872</v>
      </c>
      <c r="C294" t="s">
        <v>4818</v>
      </c>
      <c r="D294" t="s">
        <v>18</v>
      </c>
      <c r="E294" t="s">
        <v>1177</v>
      </c>
      <c r="F294" t="s">
        <v>1178</v>
      </c>
      <c r="G294" t="s">
        <v>21</v>
      </c>
      <c r="H294" t="s">
        <v>4888</v>
      </c>
      <c r="I294" t="s">
        <v>4893</v>
      </c>
      <c r="J294" s="4" t="s">
        <v>4894</v>
      </c>
      <c r="K294" s="4" t="s">
        <v>4896</v>
      </c>
      <c r="L294" s="4" t="s">
        <v>4910</v>
      </c>
      <c r="M294" s="4" t="s">
        <v>5035</v>
      </c>
      <c r="N294" t="s">
        <v>1179</v>
      </c>
      <c r="O294" t="s">
        <v>1180</v>
      </c>
      <c r="P294" t="s">
        <v>23</v>
      </c>
      <c r="Q294" t="s">
        <v>24</v>
      </c>
      <c r="R294" t="s">
        <v>25</v>
      </c>
      <c r="S294" t="s">
        <v>26</v>
      </c>
      <c r="T294" s="6">
        <v>46307</v>
      </c>
      <c r="U294">
        <v>36</v>
      </c>
      <c r="V294">
        <v>36</v>
      </c>
      <c r="W294">
        <v>24</v>
      </c>
      <c r="X294">
        <v>24</v>
      </c>
      <c r="Y294">
        <f t="shared" si="30"/>
        <v>0</v>
      </c>
      <c r="Z294">
        <f t="shared" si="31"/>
        <v>12</v>
      </c>
      <c r="AA294">
        <f t="shared" ref="AA294:AA295" si="39">Z294</f>
        <v>12</v>
      </c>
      <c r="AC294" s="1">
        <v>0</v>
      </c>
      <c r="AF294">
        <f>X294</f>
        <v>24</v>
      </c>
      <c r="AG294" s="7">
        <v>12</v>
      </c>
      <c r="AH294">
        <f t="shared" si="32"/>
        <v>24</v>
      </c>
      <c r="AI294">
        <f t="shared" si="29"/>
        <v>12</v>
      </c>
      <c r="AK294">
        <f t="shared" si="33"/>
        <v>2</v>
      </c>
      <c r="AL294">
        <v>10.220000000000001</v>
      </c>
      <c r="AM294" t="s">
        <v>27</v>
      </c>
      <c r="AN294">
        <v>10.220000000000001</v>
      </c>
      <c r="AO294" t="b">
        <f t="shared" si="34"/>
        <v>1</v>
      </c>
      <c r="AR294" t="s">
        <v>5061</v>
      </c>
      <c r="AS294" s="21">
        <v>46276</v>
      </c>
      <c r="AT294" t="s">
        <v>5062</v>
      </c>
      <c r="AU294" t="s">
        <v>5068</v>
      </c>
      <c r="AV294" t="s">
        <v>5062</v>
      </c>
      <c r="AW294" t="s">
        <v>5086</v>
      </c>
    </row>
    <row r="295" spans="1:49" x14ac:dyDescent="0.35">
      <c r="A295" t="s">
        <v>871</v>
      </c>
      <c r="B295" t="s">
        <v>872</v>
      </c>
      <c r="C295" t="s">
        <v>4818</v>
      </c>
      <c r="D295" t="s">
        <v>18</v>
      </c>
      <c r="E295" t="s">
        <v>1181</v>
      </c>
      <c r="F295" t="s">
        <v>1182</v>
      </c>
      <c r="G295" t="s">
        <v>21</v>
      </c>
      <c r="H295" t="s">
        <v>4888</v>
      </c>
      <c r="I295" t="s">
        <v>4893</v>
      </c>
      <c r="J295" s="4" t="s">
        <v>4894</v>
      </c>
      <c r="K295" s="4" t="s">
        <v>4896</v>
      </c>
      <c r="L295" s="4" t="s">
        <v>4871</v>
      </c>
      <c r="M295" s="4" t="s">
        <v>5035</v>
      </c>
      <c r="N295" t="s">
        <v>1183</v>
      </c>
      <c r="O295" t="s">
        <v>1184</v>
      </c>
      <c r="P295" t="s">
        <v>23</v>
      </c>
      <c r="Q295" t="s">
        <v>24</v>
      </c>
      <c r="R295" t="s">
        <v>25</v>
      </c>
      <c r="S295" t="s">
        <v>26</v>
      </c>
      <c r="T295" s="6">
        <v>46307</v>
      </c>
      <c r="U295">
        <v>252</v>
      </c>
      <c r="V295">
        <v>252</v>
      </c>
      <c r="W295">
        <v>228</v>
      </c>
      <c r="X295">
        <v>228</v>
      </c>
      <c r="Y295">
        <f t="shared" si="30"/>
        <v>0</v>
      </c>
      <c r="Z295">
        <f t="shared" si="31"/>
        <v>24</v>
      </c>
      <c r="AA295">
        <f t="shared" si="39"/>
        <v>24</v>
      </c>
      <c r="AC295" s="1">
        <v>0</v>
      </c>
      <c r="AF295">
        <f>X295</f>
        <v>228</v>
      </c>
      <c r="AG295" s="7">
        <v>12</v>
      </c>
      <c r="AH295">
        <f t="shared" si="32"/>
        <v>228</v>
      </c>
      <c r="AI295">
        <f t="shared" si="29"/>
        <v>24</v>
      </c>
      <c r="AK295">
        <f t="shared" si="33"/>
        <v>19</v>
      </c>
      <c r="AL295">
        <v>10.220000000000001</v>
      </c>
      <c r="AM295" t="s">
        <v>27</v>
      </c>
      <c r="AN295">
        <v>10.220000000000001</v>
      </c>
      <c r="AO295" t="b">
        <f t="shared" si="34"/>
        <v>1</v>
      </c>
      <c r="AR295" t="s">
        <v>5061</v>
      </c>
      <c r="AS295" s="21">
        <v>46276</v>
      </c>
      <c r="AT295" t="s">
        <v>5062</v>
      </c>
      <c r="AU295" t="s">
        <v>5068</v>
      </c>
      <c r="AV295" t="s">
        <v>5062</v>
      </c>
      <c r="AW295" t="s">
        <v>5086</v>
      </c>
    </row>
    <row r="296" spans="1:49" x14ac:dyDescent="0.35">
      <c r="A296" t="s">
        <v>871</v>
      </c>
      <c r="B296" t="s">
        <v>872</v>
      </c>
      <c r="C296" t="s">
        <v>4818</v>
      </c>
      <c r="D296" t="s">
        <v>18</v>
      </c>
      <c r="E296" t="s">
        <v>1185</v>
      </c>
      <c r="F296" t="s">
        <v>1186</v>
      </c>
      <c r="G296" t="s">
        <v>21</v>
      </c>
      <c r="H296" t="s">
        <v>4888</v>
      </c>
      <c r="I296" t="s">
        <v>4893</v>
      </c>
      <c r="J296" s="4" t="s">
        <v>4894</v>
      </c>
      <c r="K296" s="4" t="s">
        <v>4837</v>
      </c>
      <c r="L296" s="4" t="s">
        <v>4857</v>
      </c>
      <c r="M296" s="4" t="s">
        <v>5035</v>
      </c>
      <c r="N296" t="s">
        <v>1187</v>
      </c>
      <c r="O296" t="s">
        <v>1188</v>
      </c>
      <c r="P296" t="s">
        <v>23</v>
      </c>
      <c r="Q296" t="s">
        <v>24</v>
      </c>
      <c r="R296" t="s">
        <v>25</v>
      </c>
      <c r="S296" t="s">
        <v>26</v>
      </c>
      <c r="T296" s="6">
        <v>46307</v>
      </c>
      <c r="U296">
        <v>36</v>
      </c>
      <c r="V296">
        <v>36</v>
      </c>
      <c r="W296">
        <v>36</v>
      </c>
      <c r="X296">
        <v>36</v>
      </c>
      <c r="Y296">
        <f t="shared" si="30"/>
        <v>0</v>
      </c>
      <c r="Z296">
        <f t="shared" si="31"/>
        <v>0</v>
      </c>
      <c r="AC296" s="1">
        <v>0</v>
      </c>
      <c r="AF296">
        <f>V296</f>
        <v>36</v>
      </c>
      <c r="AG296" s="7">
        <v>12</v>
      </c>
      <c r="AH296">
        <f t="shared" si="32"/>
        <v>36</v>
      </c>
      <c r="AI296">
        <f t="shared" si="29"/>
        <v>0</v>
      </c>
      <c r="AK296">
        <f t="shared" si="33"/>
        <v>3</v>
      </c>
      <c r="AL296">
        <v>10.06</v>
      </c>
      <c r="AM296" t="s">
        <v>27</v>
      </c>
      <c r="AN296">
        <v>10.06</v>
      </c>
      <c r="AO296" t="b">
        <f t="shared" si="34"/>
        <v>1</v>
      </c>
      <c r="AR296" t="s">
        <v>5061</v>
      </c>
      <c r="AS296" s="21">
        <v>46276</v>
      </c>
      <c r="AT296" t="s">
        <v>5062</v>
      </c>
      <c r="AU296" t="s">
        <v>5068</v>
      </c>
      <c r="AV296" t="s">
        <v>5062</v>
      </c>
      <c r="AW296" t="s">
        <v>5086</v>
      </c>
    </row>
    <row r="297" spans="1:49" x14ac:dyDescent="0.35">
      <c r="A297" t="s">
        <v>871</v>
      </c>
      <c r="B297" t="s">
        <v>872</v>
      </c>
      <c r="C297" t="s">
        <v>4818</v>
      </c>
      <c r="D297" t="s">
        <v>18</v>
      </c>
      <c r="E297" t="s">
        <v>1189</v>
      </c>
      <c r="F297" t="s">
        <v>1190</v>
      </c>
      <c r="G297" t="s">
        <v>21</v>
      </c>
      <c r="H297" t="s">
        <v>4888</v>
      </c>
      <c r="I297" t="s">
        <v>4906</v>
      </c>
      <c r="J297" s="4" t="s">
        <v>4907</v>
      </c>
      <c r="K297" s="4" t="s">
        <v>4908</v>
      </c>
      <c r="L297" s="4" t="s">
        <v>4930</v>
      </c>
      <c r="M297" s="4" t="s">
        <v>5035</v>
      </c>
      <c r="N297" t="s">
        <v>1191</v>
      </c>
      <c r="O297" t="s">
        <v>1192</v>
      </c>
      <c r="P297" t="s">
        <v>23</v>
      </c>
      <c r="Q297" t="s">
        <v>24</v>
      </c>
      <c r="R297" t="s">
        <v>25</v>
      </c>
      <c r="S297" t="s">
        <v>26</v>
      </c>
      <c r="T297" s="6">
        <v>46307</v>
      </c>
      <c r="U297">
        <v>24</v>
      </c>
      <c r="V297">
        <v>24</v>
      </c>
      <c r="W297">
        <v>24</v>
      </c>
      <c r="X297">
        <v>24</v>
      </c>
      <c r="Y297">
        <f t="shared" si="30"/>
        <v>0</v>
      </c>
      <c r="Z297">
        <f t="shared" si="31"/>
        <v>0</v>
      </c>
      <c r="AC297" s="1">
        <v>0</v>
      </c>
      <c r="AF297">
        <f>V297</f>
        <v>24</v>
      </c>
      <c r="AG297" s="7">
        <v>12</v>
      </c>
      <c r="AH297">
        <f t="shared" si="32"/>
        <v>24</v>
      </c>
      <c r="AI297">
        <f t="shared" si="29"/>
        <v>0</v>
      </c>
      <c r="AK297">
        <f t="shared" si="33"/>
        <v>2</v>
      </c>
      <c r="AL297">
        <v>10.19</v>
      </c>
      <c r="AM297" t="s">
        <v>27</v>
      </c>
      <c r="AN297">
        <v>10.19</v>
      </c>
      <c r="AO297" t="b">
        <f t="shared" si="34"/>
        <v>1</v>
      </c>
      <c r="AR297" t="s">
        <v>5061</v>
      </c>
      <c r="AS297" s="21">
        <v>46276</v>
      </c>
      <c r="AT297" t="s">
        <v>5062</v>
      </c>
      <c r="AU297" t="s">
        <v>5070</v>
      </c>
      <c r="AV297" t="s">
        <v>5062</v>
      </c>
      <c r="AW297" t="s">
        <v>5086</v>
      </c>
    </row>
    <row r="298" spans="1:49" x14ac:dyDescent="0.35">
      <c r="A298" t="s">
        <v>871</v>
      </c>
      <c r="B298" t="s">
        <v>872</v>
      </c>
      <c r="C298" t="s">
        <v>4818</v>
      </c>
      <c r="D298" t="s">
        <v>18</v>
      </c>
      <c r="E298" t="s">
        <v>1193</v>
      </c>
      <c r="F298" t="s">
        <v>1194</v>
      </c>
      <c r="G298" t="s">
        <v>21</v>
      </c>
      <c r="H298" t="s">
        <v>4888</v>
      </c>
      <c r="I298" t="s">
        <v>4902</v>
      </c>
      <c r="J298" s="4" t="s">
        <v>4903</v>
      </c>
      <c r="K298" s="4" t="s">
        <v>4915</v>
      </c>
      <c r="L298" s="4" t="s">
        <v>4923</v>
      </c>
      <c r="M298" s="4" t="s">
        <v>5035</v>
      </c>
      <c r="N298" t="s">
        <v>1195</v>
      </c>
      <c r="O298" t="s">
        <v>1196</v>
      </c>
      <c r="P298" t="s">
        <v>23</v>
      </c>
      <c r="Q298" t="s">
        <v>24</v>
      </c>
      <c r="R298" t="s">
        <v>25</v>
      </c>
      <c r="S298" t="s">
        <v>26</v>
      </c>
      <c r="T298" s="6">
        <v>46307</v>
      </c>
      <c r="U298">
        <v>108</v>
      </c>
      <c r="V298">
        <v>108</v>
      </c>
      <c r="W298">
        <v>96</v>
      </c>
      <c r="X298">
        <v>96</v>
      </c>
      <c r="Y298">
        <f t="shared" si="30"/>
        <v>0</v>
      </c>
      <c r="Z298">
        <f t="shared" si="31"/>
        <v>12</v>
      </c>
      <c r="AA298">
        <f>Z298</f>
        <v>12</v>
      </c>
      <c r="AC298" s="1">
        <v>0</v>
      </c>
      <c r="AF298">
        <f>X298</f>
        <v>96</v>
      </c>
      <c r="AG298" s="7">
        <v>12</v>
      </c>
      <c r="AH298">
        <f t="shared" si="32"/>
        <v>96</v>
      </c>
      <c r="AI298">
        <f t="shared" si="29"/>
        <v>12</v>
      </c>
      <c r="AK298">
        <f t="shared" si="33"/>
        <v>8</v>
      </c>
      <c r="AL298">
        <v>10.66</v>
      </c>
      <c r="AM298" t="s">
        <v>27</v>
      </c>
      <c r="AN298">
        <v>10.66</v>
      </c>
      <c r="AO298" t="b">
        <f t="shared" si="34"/>
        <v>1</v>
      </c>
      <c r="AR298" t="s">
        <v>5061</v>
      </c>
      <c r="AS298" s="21">
        <v>46276</v>
      </c>
      <c r="AT298" t="s">
        <v>5062</v>
      </c>
      <c r="AU298" t="s">
        <v>5069</v>
      </c>
      <c r="AV298" t="s">
        <v>5062</v>
      </c>
      <c r="AW298" t="s">
        <v>5086</v>
      </c>
    </row>
    <row r="299" spans="1:49" x14ac:dyDescent="0.35">
      <c r="A299" t="s">
        <v>871</v>
      </c>
      <c r="B299" t="s">
        <v>872</v>
      </c>
      <c r="C299" t="s">
        <v>4818</v>
      </c>
      <c r="D299" t="s">
        <v>18</v>
      </c>
      <c r="E299" t="s">
        <v>1197</v>
      </c>
      <c r="F299" t="s">
        <v>1198</v>
      </c>
      <c r="G299" t="s">
        <v>21</v>
      </c>
      <c r="H299" t="s">
        <v>4888</v>
      </c>
      <c r="I299" t="s">
        <v>4902</v>
      </c>
      <c r="J299" s="4" t="s">
        <v>4903</v>
      </c>
      <c r="K299" s="4" t="s">
        <v>4899</v>
      </c>
      <c r="L299" s="4" t="s">
        <v>4910</v>
      </c>
      <c r="M299" s="4" t="s">
        <v>5035</v>
      </c>
      <c r="N299" t="s">
        <v>1199</v>
      </c>
      <c r="O299" t="s">
        <v>1200</v>
      </c>
      <c r="P299" t="s">
        <v>23</v>
      </c>
      <c r="Q299" t="s">
        <v>24</v>
      </c>
      <c r="R299" t="s">
        <v>25</v>
      </c>
      <c r="S299" t="s">
        <v>26</v>
      </c>
      <c r="T299" s="6">
        <v>46307</v>
      </c>
      <c r="U299">
        <v>84</v>
      </c>
      <c r="V299">
        <v>84</v>
      </c>
      <c r="W299">
        <v>84</v>
      </c>
      <c r="X299">
        <v>84</v>
      </c>
      <c r="Y299">
        <f t="shared" si="30"/>
        <v>0</v>
      </c>
      <c r="Z299">
        <f t="shared" si="31"/>
        <v>0</v>
      </c>
      <c r="AC299" s="1">
        <v>0</v>
      </c>
      <c r="AF299">
        <f>V299</f>
        <v>84</v>
      </c>
      <c r="AG299" s="7">
        <v>12</v>
      </c>
      <c r="AH299">
        <f t="shared" si="32"/>
        <v>84</v>
      </c>
      <c r="AI299">
        <f t="shared" si="29"/>
        <v>0</v>
      </c>
      <c r="AK299">
        <f t="shared" si="33"/>
        <v>7</v>
      </c>
      <c r="AL299">
        <v>10.49</v>
      </c>
      <c r="AM299" t="s">
        <v>27</v>
      </c>
      <c r="AN299">
        <v>10.49</v>
      </c>
      <c r="AO299" t="b">
        <f t="shared" si="34"/>
        <v>1</v>
      </c>
      <c r="AR299" t="s">
        <v>5061</v>
      </c>
      <c r="AS299" s="21">
        <v>46276</v>
      </c>
      <c r="AT299" t="s">
        <v>5062</v>
      </c>
      <c r="AU299" t="s">
        <v>5069</v>
      </c>
      <c r="AV299" t="s">
        <v>5062</v>
      </c>
      <c r="AW299" t="s">
        <v>5086</v>
      </c>
    </row>
    <row r="300" spans="1:49" x14ac:dyDescent="0.35">
      <c r="A300" t="s">
        <v>871</v>
      </c>
      <c r="B300" t="s">
        <v>872</v>
      </c>
      <c r="C300" t="s">
        <v>4818</v>
      </c>
      <c r="D300" t="s">
        <v>18</v>
      </c>
      <c r="E300" t="s">
        <v>1201</v>
      </c>
      <c r="F300" t="s">
        <v>1202</v>
      </c>
      <c r="G300" t="s">
        <v>21</v>
      </c>
      <c r="H300" t="s">
        <v>4888</v>
      </c>
      <c r="I300" t="s">
        <v>4902</v>
      </c>
      <c r="J300" s="4" t="s">
        <v>4903</v>
      </c>
      <c r="K300" s="4" t="s">
        <v>4899</v>
      </c>
      <c r="L300" s="4" t="s">
        <v>4925</v>
      </c>
      <c r="M300" s="4" t="s">
        <v>5035</v>
      </c>
      <c r="N300" t="s">
        <v>1203</v>
      </c>
      <c r="O300" t="s">
        <v>1204</v>
      </c>
      <c r="P300" t="s">
        <v>23</v>
      </c>
      <c r="Q300" t="s">
        <v>24</v>
      </c>
      <c r="R300" t="s">
        <v>25</v>
      </c>
      <c r="S300" t="s">
        <v>26</v>
      </c>
      <c r="T300" s="6">
        <v>46307</v>
      </c>
      <c r="U300">
        <v>156</v>
      </c>
      <c r="V300">
        <v>156</v>
      </c>
      <c r="W300">
        <v>168</v>
      </c>
      <c r="X300">
        <v>168</v>
      </c>
      <c r="Y300">
        <f t="shared" si="30"/>
        <v>0</v>
      </c>
      <c r="Z300">
        <f t="shared" si="31"/>
        <v>-12</v>
      </c>
      <c r="AC300" s="1"/>
      <c r="AF300">
        <f>V300</f>
        <v>156</v>
      </c>
      <c r="AG300" s="7">
        <v>12</v>
      </c>
      <c r="AH300">
        <f t="shared" si="32"/>
        <v>156</v>
      </c>
      <c r="AI300">
        <f t="shared" si="29"/>
        <v>0</v>
      </c>
      <c r="AK300">
        <f t="shared" si="33"/>
        <v>13</v>
      </c>
      <c r="AL300">
        <v>10.49</v>
      </c>
      <c r="AM300" t="s">
        <v>27</v>
      </c>
      <c r="AN300">
        <v>10.49</v>
      </c>
      <c r="AO300" t="b">
        <f t="shared" si="34"/>
        <v>1</v>
      </c>
      <c r="AR300" t="s">
        <v>5061</v>
      </c>
      <c r="AS300" s="21">
        <v>46276</v>
      </c>
      <c r="AT300" t="s">
        <v>5062</v>
      </c>
      <c r="AU300" t="s">
        <v>5069</v>
      </c>
      <c r="AV300" t="s">
        <v>5062</v>
      </c>
      <c r="AW300" t="s">
        <v>5086</v>
      </c>
    </row>
    <row r="301" spans="1:49" x14ac:dyDescent="0.35">
      <c r="A301" t="s">
        <v>871</v>
      </c>
      <c r="B301" t="s">
        <v>872</v>
      </c>
      <c r="C301" t="s">
        <v>4818</v>
      </c>
      <c r="D301" t="s">
        <v>18</v>
      </c>
      <c r="E301" t="s">
        <v>1205</v>
      </c>
      <c r="F301" t="s">
        <v>1206</v>
      </c>
      <c r="G301" t="s">
        <v>21</v>
      </c>
      <c r="H301" t="s">
        <v>4888</v>
      </c>
      <c r="I301" t="s">
        <v>4893</v>
      </c>
      <c r="J301" s="4" t="s">
        <v>4894</v>
      </c>
      <c r="K301" s="4" t="s">
        <v>4837</v>
      </c>
      <c r="L301" s="4" t="s">
        <v>4918</v>
      </c>
      <c r="M301" s="4" t="s">
        <v>5035</v>
      </c>
      <c r="N301" t="s">
        <v>1207</v>
      </c>
      <c r="O301" t="s">
        <v>1208</v>
      </c>
      <c r="P301" t="s">
        <v>23</v>
      </c>
      <c r="Q301" t="s">
        <v>24</v>
      </c>
      <c r="R301" t="s">
        <v>25</v>
      </c>
      <c r="S301" t="s">
        <v>26</v>
      </c>
      <c r="T301" s="6">
        <v>46307</v>
      </c>
      <c r="U301">
        <v>132</v>
      </c>
      <c r="V301">
        <v>132</v>
      </c>
      <c r="W301">
        <v>120</v>
      </c>
      <c r="X301">
        <v>120</v>
      </c>
      <c r="Y301">
        <f t="shared" si="30"/>
        <v>0</v>
      </c>
      <c r="Z301">
        <f t="shared" si="31"/>
        <v>12</v>
      </c>
      <c r="AA301">
        <f>Z301</f>
        <v>12</v>
      </c>
      <c r="AC301" s="1">
        <v>0</v>
      </c>
      <c r="AF301">
        <f>X301</f>
        <v>120</v>
      </c>
      <c r="AG301" s="7">
        <v>12</v>
      </c>
      <c r="AH301">
        <f t="shared" si="32"/>
        <v>120</v>
      </c>
      <c r="AI301">
        <f t="shared" si="29"/>
        <v>12</v>
      </c>
      <c r="AK301">
        <f t="shared" si="33"/>
        <v>10</v>
      </c>
      <c r="AL301">
        <v>10.06</v>
      </c>
      <c r="AM301" t="s">
        <v>27</v>
      </c>
      <c r="AN301">
        <v>10.06</v>
      </c>
      <c r="AO301" t="b">
        <f t="shared" si="34"/>
        <v>1</v>
      </c>
      <c r="AR301" t="s">
        <v>5061</v>
      </c>
      <c r="AS301" s="21">
        <v>46276</v>
      </c>
      <c r="AT301" t="s">
        <v>5062</v>
      </c>
      <c r="AU301" t="s">
        <v>5068</v>
      </c>
      <c r="AV301" t="s">
        <v>5062</v>
      </c>
      <c r="AW301" t="s">
        <v>5086</v>
      </c>
    </row>
    <row r="302" spans="1:49" x14ac:dyDescent="0.35">
      <c r="A302" t="s">
        <v>871</v>
      </c>
      <c r="B302" t="s">
        <v>872</v>
      </c>
      <c r="C302" t="s">
        <v>4818</v>
      </c>
      <c r="D302" t="s">
        <v>18</v>
      </c>
      <c r="E302" t="s">
        <v>1209</v>
      </c>
      <c r="F302" t="s">
        <v>1210</v>
      </c>
      <c r="G302" t="s">
        <v>21</v>
      </c>
      <c r="H302" t="s">
        <v>4888</v>
      </c>
      <c r="I302" t="s">
        <v>4889</v>
      </c>
      <c r="J302" s="4" t="s">
        <v>4890</v>
      </c>
      <c r="K302" s="4" t="s">
        <v>4911</v>
      </c>
      <c r="L302" s="4" t="s">
        <v>4873</v>
      </c>
      <c r="M302" s="4" t="s">
        <v>5035</v>
      </c>
      <c r="N302" t="s">
        <v>1211</v>
      </c>
      <c r="O302" t="s">
        <v>1212</v>
      </c>
      <c r="P302" t="s">
        <v>23</v>
      </c>
      <c r="Q302" t="s">
        <v>24</v>
      </c>
      <c r="R302" t="s">
        <v>25</v>
      </c>
      <c r="S302" t="s">
        <v>26</v>
      </c>
      <c r="T302" s="6">
        <v>46307</v>
      </c>
      <c r="U302">
        <v>96</v>
      </c>
      <c r="V302">
        <v>96</v>
      </c>
      <c r="W302">
        <v>108</v>
      </c>
      <c r="X302">
        <v>108</v>
      </c>
      <c r="Y302">
        <f t="shared" si="30"/>
        <v>0</v>
      </c>
      <c r="Z302">
        <f t="shared" si="31"/>
        <v>-12</v>
      </c>
      <c r="AC302" s="1">
        <v>0</v>
      </c>
      <c r="AF302">
        <f>V302</f>
        <v>96</v>
      </c>
      <c r="AG302" s="7">
        <v>12</v>
      </c>
      <c r="AH302">
        <f t="shared" si="32"/>
        <v>96</v>
      </c>
      <c r="AI302">
        <f t="shared" si="29"/>
        <v>0</v>
      </c>
      <c r="AK302">
        <f t="shared" si="33"/>
        <v>8</v>
      </c>
      <c r="AL302">
        <v>11.87</v>
      </c>
      <c r="AM302" t="s">
        <v>27</v>
      </c>
      <c r="AN302">
        <v>11.87</v>
      </c>
      <c r="AO302" t="b">
        <f t="shared" si="34"/>
        <v>1</v>
      </c>
      <c r="AR302" t="s">
        <v>5061</v>
      </c>
      <c r="AS302" s="21">
        <v>46276</v>
      </c>
      <c r="AT302" t="s">
        <v>5062</v>
      </c>
      <c r="AU302" t="s">
        <v>5067</v>
      </c>
      <c r="AV302" t="s">
        <v>5062</v>
      </c>
      <c r="AW302" t="s">
        <v>5086</v>
      </c>
    </row>
    <row r="303" spans="1:49" x14ac:dyDescent="0.35">
      <c r="A303" t="s">
        <v>871</v>
      </c>
      <c r="B303" t="s">
        <v>872</v>
      </c>
      <c r="C303" t="s">
        <v>4818</v>
      </c>
      <c r="D303" t="s">
        <v>18</v>
      </c>
      <c r="E303" t="s">
        <v>1213</v>
      </c>
      <c r="F303" t="s">
        <v>1214</v>
      </c>
      <c r="G303" t="s">
        <v>21</v>
      </c>
      <c r="H303" t="s">
        <v>4888</v>
      </c>
      <c r="I303" t="s">
        <v>4889</v>
      </c>
      <c r="J303" s="4" t="s">
        <v>4890</v>
      </c>
      <c r="K303" s="4" t="s">
        <v>4899</v>
      </c>
      <c r="L303" s="4" t="s">
        <v>4870</v>
      </c>
      <c r="M303" s="4" t="s">
        <v>5035</v>
      </c>
      <c r="N303" t="s">
        <v>1215</v>
      </c>
      <c r="O303" t="s">
        <v>1216</v>
      </c>
      <c r="P303" t="s">
        <v>23</v>
      </c>
      <c r="Q303" t="s">
        <v>24</v>
      </c>
      <c r="R303" t="s">
        <v>25</v>
      </c>
      <c r="S303" t="s">
        <v>26</v>
      </c>
      <c r="T303" s="6">
        <v>46307</v>
      </c>
      <c r="U303">
        <v>204</v>
      </c>
      <c r="V303">
        <v>204</v>
      </c>
      <c r="W303">
        <v>180</v>
      </c>
      <c r="X303">
        <v>180</v>
      </c>
      <c r="Y303">
        <f t="shared" si="30"/>
        <v>0</v>
      </c>
      <c r="Z303">
        <f t="shared" si="31"/>
        <v>24</v>
      </c>
      <c r="AA303">
        <f t="shared" ref="AA303:AA304" si="40">Z303</f>
        <v>24</v>
      </c>
      <c r="AC303" s="1">
        <v>0</v>
      </c>
      <c r="AF303">
        <f>X303</f>
        <v>180</v>
      </c>
      <c r="AG303" s="7">
        <v>12</v>
      </c>
      <c r="AH303">
        <f t="shared" si="32"/>
        <v>180</v>
      </c>
      <c r="AI303">
        <f t="shared" si="29"/>
        <v>24</v>
      </c>
      <c r="AK303">
        <f t="shared" si="33"/>
        <v>15</v>
      </c>
      <c r="AL303">
        <v>10.9</v>
      </c>
      <c r="AM303" t="s">
        <v>27</v>
      </c>
      <c r="AN303">
        <v>10.9</v>
      </c>
      <c r="AO303" t="b">
        <f t="shared" si="34"/>
        <v>1</v>
      </c>
      <c r="AR303" t="s">
        <v>5061</v>
      </c>
      <c r="AS303" s="21">
        <v>46276</v>
      </c>
      <c r="AT303" t="s">
        <v>5062</v>
      </c>
      <c r="AU303" t="s">
        <v>5067</v>
      </c>
      <c r="AV303" t="s">
        <v>5062</v>
      </c>
      <c r="AW303" t="s">
        <v>5086</v>
      </c>
    </row>
    <row r="304" spans="1:49" x14ac:dyDescent="0.35">
      <c r="A304" t="s">
        <v>871</v>
      </c>
      <c r="B304" t="s">
        <v>872</v>
      </c>
      <c r="C304" t="s">
        <v>4818</v>
      </c>
      <c r="D304" t="s">
        <v>18</v>
      </c>
      <c r="E304" t="s">
        <v>1217</v>
      </c>
      <c r="F304" t="s">
        <v>1218</v>
      </c>
      <c r="G304" t="s">
        <v>21</v>
      </c>
      <c r="H304" t="s">
        <v>4888</v>
      </c>
      <c r="I304" t="s">
        <v>4893</v>
      </c>
      <c r="J304" s="4" t="s">
        <v>4894</v>
      </c>
      <c r="K304" s="4" t="s">
        <v>4896</v>
      </c>
      <c r="L304" s="4" t="s">
        <v>4919</v>
      </c>
      <c r="M304" s="4" t="s">
        <v>5035</v>
      </c>
      <c r="N304" t="s">
        <v>1219</v>
      </c>
      <c r="O304" t="s">
        <v>1220</v>
      </c>
      <c r="P304" t="s">
        <v>23</v>
      </c>
      <c r="Q304" t="s">
        <v>24</v>
      </c>
      <c r="R304" t="s">
        <v>25</v>
      </c>
      <c r="S304" t="s">
        <v>26</v>
      </c>
      <c r="T304" s="6">
        <v>46307</v>
      </c>
      <c r="U304">
        <v>24</v>
      </c>
      <c r="V304">
        <v>24</v>
      </c>
      <c r="W304">
        <v>12</v>
      </c>
      <c r="X304">
        <v>12</v>
      </c>
      <c r="Y304">
        <f t="shared" si="30"/>
        <v>0</v>
      </c>
      <c r="Z304">
        <f t="shared" si="31"/>
        <v>12</v>
      </c>
      <c r="AA304">
        <f t="shared" si="40"/>
        <v>12</v>
      </c>
      <c r="AC304" s="1">
        <v>0</v>
      </c>
      <c r="AF304">
        <f>X304</f>
        <v>12</v>
      </c>
      <c r="AG304" s="7">
        <v>12</v>
      </c>
      <c r="AH304">
        <f t="shared" si="32"/>
        <v>12</v>
      </c>
      <c r="AI304">
        <f t="shared" si="29"/>
        <v>12</v>
      </c>
      <c r="AK304">
        <f t="shared" si="33"/>
        <v>1</v>
      </c>
      <c r="AL304">
        <v>10.220000000000001</v>
      </c>
      <c r="AM304" t="s">
        <v>27</v>
      </c>
      <c r="AN304">
        <v>10.220000000000001</v>
      </c>
      <c r="AO304" t="b">
        <f t="shared" si="34"/>
        <v>1</v>
      </c>
      <c r="AR304" t="s">
        <v>5061</v>
      </c>
      <c r="AS304" s="21">
        <v>46276</v>
      </c>
      <c r="AT304" t="s">
        <v>5062</v>
      </c>
      <c r="AU304" t="s">
        <v>5068</v>
      </c>
      <c r="AV304" t="s">
        <v>5062</v>
      </c>
      <c r="AW304" t="s">
        <v>5086</v>
      </c>
    </row>
    <row r="305" spans="1:49" x14ac:dyDescent="0.35">
      <c r="A305" t="s">
        <v>871</v>
      </c>
      <c r="B305" t="s">
        <v>872</v>
      </c>
      <c r="C305" t="s">
        <v>4818</v>
      </c>
      <c r="D305" t="s">
        <v>18</v>
      </c>
      <c r="E305" t="s">
        <v>1221</v>
      </c>
      <c r="F305" t="s">
        <v>1222</v>
      </c>
      <c r="G305" t="s">
        <v>21</v>
      </c>
      <c r="H305" t="s">
        <v>4888</v>
      </c>
      <c r="I305" t="s">
        <v>4889</v>
      </c>
      <c r="J305" s="4" t="s">
        <v>4890</v>
      </c>
      <c r="K305" s="4" t="s">
        <v>4911</v>
      </c>
      <c r="L305" s="4" t="s">
        <v>4930</v>
      </c>
      <c r="M305" s="4" t="s">
        <v>5035</v>
      </c>
      <c r="N305" t="s">
        <v>1223</v>
      </c>
      <c r="O305" t="s">
        <v>1224</v>
      </c>
      <c r="P305" t="s">
        <v>23</v>
      </c>
      <c r="Q305" t="s">
        <v>24</v>
      </c>
      <c r="R305" t="s">
        <v>25</v>
      </c>
      <c r="S305" t="s">
        <v>26</v>
      </c>
      <c r="T305" s="6">
        <v>46307</v>
      </c>
      <c r="U305">
        <v>36</v>
      </c>
      <c r="V305">
        <v>36</v>
      </c>
      <c r="W305">
        <v>36</v>
      </c>
      <c r="X305">
        <v>36</v>
      </c>
      <c r="Y305">
        <f t="shared" si="30"/>
        <v>0</v>
      </c>
      <c r="Z305">
        <f t="shared" si="31"/>
        <v>0</v>
      </c>
      <c r="AC305" s="1">
        <v>0</v>
      </c>
      <c r="AF305">
        <f t="shared" ref="AF305:AF311" si="41">V305</f>
        <v>36</v>
      </c>
      <c r="AG305" s="7">
        <v>12</v>
      </c>
      <c r="AH305">
        <f t="shared" si="32"/>
        <v>36</v>
      </c>
      <c r="AI305">
        <f t="shared" si="29"/>
        <v>0</v>
      </c>
      <c r="AK305">
        <f t="shared" si="33"/>
        <v>3</v>
      </c>
      <c r="AL305">
        <v>11.87</v>
      </c>
      <c r="AM305" t="s">
        <v>27</v>
      </c>
      <c r="AN305">
        <v>11.87</v>
      </c>
      <c r="AO305" t="b">
        <f t="shared" si="34"/>
        <v>1</v>
      </c>
      <c r="AR305" t="s">
        <v>5061</v>
      </c>
      <c r="AS305" s="21">
        <v>46276</v>
      </c>
      <c r="AT305" t="s">
        <v>5062</v>
      </c>
      <c r="AU305" t="s">
        <v>5067</v>
      </c>
      <c r="AV305" t="s">
        <v>5062</v>
      </c>
      <c r="AW305" t="s">
        <v>5086</v>
      </c>
    </row>
    <row r="306" spans="1:49" x14ac:dyDescent="0.35">
      <c r="A306" t="s">
        <v>871</v>
      </c>
      <c r="B306" t="s">
        <v>872</v>
      </c>
      <c r="C306" t="s">
        <v>4818</v>
      </c>
      <c r="D306" t="s">
        <v>18</v>
      </c>
      <c r="E306" t="s">
        <v>1225</v>
      </c>
      <c r="F306" t="s">
        <v>1226</v>
      </c>
      <c r="G306" t="s">
        <v>21</v>
      </c>
      <c r="H306" t="s">
        <v>4888</v>
      </c>
      <c r="I306" t="s">
        <v>4906</v>
      </c>
      <c r="J306" s="4" t="s">
        <v>4907</v>
      </c>
      <c r="K306" s="4" t="s">
        <v>4908</v>
      </c>
      <c r="L306" s="4" t="s">
        <v>4931</v>
      </c>
      <c r="M306" s="4" t="s">
        <v>5035</v>
      </c>
      <c r="N306" t="s">
        <v>1227</v>
      </c>
      <c r="O306" t="s">
        <v>1228</v>
      </c>
      <c r="P306" t="s">
        <v>23</v>
      </c>
      <c r="Q306" t="s">
        <v>24</v>
      </c>
      <c r="R306" t="s">
        <v>25</v>
      </c>
      <c r="S306" t="s">
        <v>26</v>
      </c>
      <c r="T306" s="6">
        <v>46307</v>
      </c>
      <c r="U306">
        <v>108</v>
      </c>
      <c r="V306">
        <v>108</v>
      </c>
      <c r="W306">
        <v>120</v>
      </c>
      <c r="X306">
        <v>120</v>
      </c>
      <c r="Y306">
        <f t="shared" si="30"/>
        <v>0</v>
      </c>
      <c r="Z306">
        <f t="shared" si="31"/>
        <v>-12</v>
      </c>
      <c r="AC306" s="1">
        <v>0</v>
      </c>
      <c r="AF306">
        <f t="shared" si="41"/>
        <v>108</v>
      </c>
      <c r="AG306" s="7">
        <v>12</v>
      </c>
      <c r="AH306">
        <f t="shared" si="32"/>
        <v>108</v>
      </c>
      <c r="AI306">
        <f t="shared" si="29"/>
        <v>0</v>
      </c>
      <c r="AK306">
        <f t="shared" si="33"/>
        <v>9</v>
      </c>
      <c r="AL306">
        <v>10.19</v>
      </c>
      <c r="AM306" t="s">
        <v>27</v>
      </c>
      <c r="AN306">
        <v>10.19</v>
      </c>
      <c r="AO306" t="b">
        <f t="shared" si="34"/>
        <v>1</v>
      </c>
      <c r="AR306" t="s">
        <v>5061</v>
      </c>
      <c r="AS306" s="21">
        <v>46276</v>
      </c>
      <c r="AT306" t="s">
        <v>5062</v>
      </c>
      <c r="AU306" t="s">
        <v>5070</v>
      </c>
      <c r="AV306" t="s">
        <v>5062</v>
      </c>
      <c r="AW306" t="s">
        <v>5086</v>
      </c>
    </row>
    <row r="307" spans="1:49" x14ac:dyDescent="0.35">
      <c r="A307" t="s">
        <v>871</v>
      </c>
      <c r="B307" t="s">
        <v>872</v>
      </c>
      <c r="C307" t="s">
        <v>4818</v>
      </c>
      <c r="D307" t="s">
        <v>18</v>
      </c>
      <c r="E307" t="s">
        <v>1229</v>
      </c>
      <c r="F307" t="s">
        <v>1230</v>
      </c>
      <c r="G307" t="s">
        <v>21</v>
      </c>
      <c r="H307" t="s">
        <v>4888</v>
      </c>
      <c r="I307" t="s">
        <v>4889</v>
      </c>
      <c r="J307" s="4" t="s">
        <v>4890</v>
      </c>
      <c r="K307" s="4" t="s">
        <v>4891</v>
      </c>
      <c r="L307" s="4" t="s">
        <v>4886</v>
      </c>
      <c r="M307" s="4" t="s">
        <v>5035</v>
      </c>
      <c r="N307" t="s">
        <v>1231</v>
      </c>
      <c r="O307" t="s">
        <v>1232</v>
      </c>
      <c r="P307" t="s">
        <v>23</v>
      </c>
      <c r="Q307" t="s">
        <v>24</v>
      </c>
      <c r="R307" t="s">
        <v>25</v>
      </c>
      <c r="S307" t="s">
        <v>26</v>
      </c>
      <c r="T307" s="6">
        <v>46307</v>
      </c>
      <c r="U307">
        <v>324</v>
      </c>
      <c r="V307">
        <v>324</v>
      </c>
      <c r="W307">
        <v>348</v>
      </c>
      <c r="X307">
        <v>348</v>
      </c>
      <c r="Y307">
        <f t="shared" si="30"/>
        <v>0</v>
      </c>
      <c r="Z307">
        <f t="shared" si="31"/>
        <v>-24</v>
      </c>
      <c r="AC307" s="1"/>
      <c r="AF307">
        <f t="shared" si="41"/>
        <v>324</v>
      </c>
      <c r="AG307" s="7">
        <v>12</v>
      </c>
      <c r="AH307">
        <f t="shared" si="32"/>
        <v>324</v>
      </c>
      <c r="AI307">
        <f t="shared" si="29"/>
        <v>0</v>
      </c>
      <c r="AK307">
        <f t="shared" si="33"/>
        <v>27</v>
      </c>
      <c r="AL307">
        <v>11.2</v>
      </c>
      <c r="AM307" t="s">
        <v>27</v>
      </c>
      <c r="AN307">
        <v>11.2</v>
      </c>
      <c r="AO307" t="b">
        <f t="shared" si="34"/>
        <v>1</v>
      </c>
      <c r="AR307" t="s">
        <v>5061</v>
      </c>
      <c r="AS307" s="21">
        <v>46276</v>
      </c>
      <c r="AT307" t="s">
        <v>5062</v>
      </c>
      <c r="AU307" t="s">
        <v>5067</v>
      </c>
      <c r="AV307" t="s">
        <v>5062</v>
      </c>
      <c r="AW307" t="s">
        <v>5086</v>
      </c>
    </row>
    <row r="308" spans="1:49" x14ac:dyDescent="0.35">
      <c r="A308" t="s">
        <v>871</v>
      </c>
      <c r="B308" t="s">
        <v>872</v>
      </c>
      <c r="C308" t="s">
        <v>4818</v>
      </c>
      <c r="D308" t="s">
        <v>18</v>
      </c>
      <c r="E308" t="s">
        <v>1233</v>
      </c>
      <c r="F308" t="s">
        <v>1234</v>
      </c>
      <c r="G308" t="s">
        <v>21</v>
      </c>
      <c r="H308" t="s">
        <v>4888</v>
      </c>
      <c r="I308" t="s">
        <v>4902</v>
      </c>
      <c r="J308" s="4" t="s">
        <v>4903</v>
      </c>
      <c r="K308" s="4" t="s">
        <v>4915</v>
      </c>
      <c r="L308" s="4" t="s">
        <v>4910</v>
      </c>
      <c r="M308" s="4" t="s">
        <v>5035</v>
      </c>
      <c r="N308" t="s">
        <v>1235</v>
      </c>
      <c r="O308" t="s">
        <v>1236</v>
      </c>
      <c r="P308" t="s">
        <v>23</v>
      </c>
      <c r="Q308" t="s">
        <v>24</v>
      </c>
      <c r="R308" t="s">
        <v>25</v>
      </c>
      <c r="S308" t="s">
        <v>26</v>
      </c>
      <c r="T308" s="6">
        <v>46307</v>
      </c>
      <c r="U308">
        <v>144</v>
      </c>
      <c r="V308">
        <v>144</v>
      </c>
      <c r="W308">
        <v>156</v>
      </c>
      <c r="X308">
        <v>156</v>
      </c>
      <c r="Y308">
        <f t="shared" si="30"/>
        <v>0</v>
      </c>
      <c r="Z308">
        <f t="shared" si="31"/>
        <v>-12</v>
      </c>
      <c r="AC308" s="1">
        <v>0</v>
      </c>
      <c r="AF308">
        <f t="shared" si="41"/>
        <v>144</v>
      </c>
      <c r="AG308" s="7">
        <v>12</v>
      </c>
      <c r="AH308">
        <f t="shared" si="32"/>
        <v>144</v>
      </c>
      <c r="AI308">
        <f t="shared" si="29"/>
        <v>0</v>
      </c>
      <c r="AK308">
        <f t="shared" si="33"/>
        <v>12</v>
      </c>
      <c r="AL308">
        <v>10.66</v>
      </c>
      <c r="AM308" t="s">
        <v>27</v>
      </c>
      <c r="AN308">
        <v>10.66</v>
      </c>
      <c r="AO308" t="b">
        <f t="shared" si="34"/>
        <v>1</v>
      </c>
      <c r="AR308" t="s">
        <v>5061</v>
      </c>
      <c r="AS308" s="21">
        <v>46276</v>
      </c>
      <c r="AT308" t="s">
        <v>5062</v>
      </c>
      <c r="AU308" t="s">
        <v>5069</v>
      </c>
      <c r="AV308" t="s">
        <v>5062</v>
      </c>
      <c r="AW308" t="s">
        <v>5086</v>
      </c>
    </row>
    <row r="309" spans="1:49" x14ac:dyDescent="0.35">
      <c r="A309" t="s">
        <v>871</v>
      </c>
      <c r="B309" t="s">
        <v>872</v>
      </c>
      <c r="C309" t="s">
        <v>4818</v>
      </c>
      <c r="D309" t="s">
        <v>18</v>
      </c>
      <c r="E309" t="s">
        <v>1237</v>
      </c>
      <c r="F309" t="s">
        <v>1238</v>
      </c>
      <c r="G309" t="s">
        <v>21</v>
      </c>
      <c r="H309" t="s">
        <v>4888</v>
      </c>
      <c r="I309" t="s">
        <v>4889</v>
      </c>
      <c r="J309" s="4" t="s">
        <v>4890</v>
      </c>
      <c r="K309" s="4" t="s">
        <v>4891</v>
      </c>
      <c r="L309" s="4" t="s">
        <v>4898</v>
      </c>
      <c r="M309" s="4" t="s">
        <v>5035</v>
      </c>
      <c r="N309" t="s">
        <v>1239</v>
      </c>
      <c r="O309" t="s">
        <v>1240</v>
      </c>
      <c r="P309" t="s">
        <v>23</v>
      </c>
      <c r="Q309" t="s">
        <v>24</v>
      </c>
      <c r="R309" t="s">
        <v>25</v>
      </c>
      <c r="S309" t="s">
        <v>26</v>
      </c>
      <c r="T309" s="6">
        <v>46307</v>
      </c>
      <c r="U309">
        <v>300</v>
      </c>
      <c r="V309">
        <v>300</v>
      </c>
      <c r="W309">
        <v>324</v>
      </c>
      <c r="X309">
        <v>324</v>
      </c>
      <c r="Y309">
        <f t="shared" si="30"/>
        <v>0</v>
      </c>
      <c r="Z309">
        <f t="shared" si="31"/>
        <v>-24</v>
      </c>
      <c r="AC309" s="1"/>
      <c r="AF309">
        <f t="shared" si="41"/>
        <v>300</v>
      </c>
      <c r="AG309" s="7">
        <v>12</v>
      </c>
      <c r="AH309">
        <f t="shared" si="32"/>
        <v>300</v>
      </c>
      <c r="AI309">
        <f t="shared" si="29"/>
        <v>0</v>
      </c>
      <c r="AK309">
        <f t="shared" si="33"/>
        <v>25</v>
      </c>
      <c r="AL309">
        <v>11.2</v>
      </c>
      <c r="AM309" t="s">
        <v>27</v>
      </c>
      <c r="AN309">
        <v>11.2</v>
      </c>
      <c r="AO309" t="b">
        <f t="shared" si="34"/>
        <v>1</v>
      </c>
      <c r="AR309" t="s">
        <v>5061</v>
      </c>
      <c r="AS309" s="21">
        <v>46276</v>
      </c>
      <c r="AT309" t="s">
        <v>5062</v>
      </c>
      <c r="AU309" t="s">
        <v>5067</v>
      </c>
      <c r="AV309" t="s">
        <v>5062</v>
      </c>
      <c r="AW309" t="s">
        <v>5086</v>
      </c>
    </row>
    <row r="310" spans="1:49" x14ac:dyDescent="0.35">
      <c r="A310" t="s">
        <v>871</v>
      </c>
      <c r="B310" t="s">
        <v>872</v>
      </c>
      <c r="C310" t="s">
        <v>4818</v>
      </c>
      <c r="D310" t="s">
        <v>18</v>
      </c>
      <c r="E310" t="s">
        <v>1241</v>
      </c>
      <c r="F310" t="s">
        <v>1242</v>
      </c>
      <c r="G310" t="s">
        <v>21</v>
      </c>
      <c r="H310" t="s">
        <v>4888</v>
      </c>
      <c r="I310" t="s">
        <v>4893</v>
      </c>
      <c r="J310" s="4" t="s">
        <v>4894</v>
      </c>
      <c r="K310" s="4" t="s">
        <v>4896</v>
      </c>
      <c r="L310" s="4" t="s">
        <v>4857</v>
      </c>
      <c r="M310" s="4" t="s">
        <v>5035</v>
      </c>
      <c r="N310" t="s">
        <v>1243</v>
      </c>
      <c r="O310" t="s">
        <v>1244</v>
      </c>
      <c r="P310" t="s">
        <v>23</v>
      </c>
      <c r="Q310" t="s">
        <v>24</v>
      </c>
      <c r="R310" t="s">
        <v>25</v>
      </c>
      <c r="S310" t="s">
        <v>26</v>
      </c>
      <c r="T310" s="6">
        <v>46307</v>
      </c>
      <c r="U310">
        <v>24</v>
      </c>
      <c r="V310">
        <v>24</v>
      </c>
      <c r="W310">
        <v>24</v>
      </c>
      <c r="X310">
        <v>24</v>
      </c>
      <c r="Y310">
        <f t="shared" si="30"/>
        <v>0</v>
      </c>
      <c r="Z310">
        <f t="shared" si="31"/>
        <v>0</v>
      </c>
      <c r="AC310" s="1">
        <v>0</v>
      </c>
      <c r="AF310">
        <f t="shared" si="41"/>
        <v>24</v>
      </c>
      <c r="AG310" s="7">
        <v>12</v>
      </c>
      <c r="AH310">
        <f t="shared" si="32"/>
        <v>24</v>
      </c>
      <c r="AI310">
        <f t="shared" si="29"/>
        <v>0</v>
      </c>
      <c r="AK310">
        <f t="shared" si="33"/>
        <v>2</v>
      </c>
      <c r="AL310">
        <v>10.220000000000001</v>
      </c>
      <c r="AM310" t="s">
        <v>27</v>
      </c>
      <c r="AN310">
        <v>10.220000000000001</v>
      </c>
      <c r="AO310" t="b">
        <f t="shared" si="34"/>
        <v>1</v>
      </c>
      <c r="AR310" t="s">
        <v>5061</v>
      </c>
      <c r="AS310" s="21">
        <v>46276</v>
      </c>
      <c r="AT310" t="s">
        <v>5062</v>
      </c>
      <c r="AU310" t="s">
        <v>5068</v>
      </c>
      <c r="AV310" t="s">
        <v>5062</v>
      </c>
      <c r="AW310" t="s">
        <v>5086</v>
      </c>
    </row>
    <row r="311" spans="1:49" x14ac:dyDescent="0.35">
      <c r="A311" t="s">
        <v>871</v>
      </c>
      <c r="B311" t="s">
        <v>872</v>
      </c>
      <c r="C311" t="s">
        <v>4818</v>
      </c>
      <c r="D311" t="s">
        <v>18</v>
      </c>
      <c r="E311" t="s">
        <v>1245</v>
      </c>
      <c r="F311" t="s">
        <v>1246</v>
      </c>
      <c r="G311" t="s">
        <v>21</v>
      </c>
      <c r="H311" t="s">
        <v>4888</v>
      </c>
      <c r="I311" t="s">
        <v>4906</v>
      </c>
      <c r="J311" s="4" t="s">
        <v>4907</v>
      </c>
      <c r="K311" s="4" t="s">
        <v>4908</v>
      </c>
      <c r="L311" s="4" t="s">
        <v>4909</v>
      </c>
      <c r="M311" s="4" t="s">
        <v>5035</v>
      </c>
      <c r="N311" t="s">
        <v>1247</v>
      </c>
      <c r="O311" t="s">
        <v>1248</v>
      </c>
      <c r="P311" t="s">
        <v>23</v>
      </c>
      <c r="Q311" t="s">
        <v>24</v>
      </c>
      <c r="R311" t="s">
        <v>25</v>
      </c>
      <c r="S311" t="s">
        <v>26</v>
      </c>
      <c r="T311" s="6">
        <v>46307</v>
      </c>
      <c r="U311">
        <v>36</v>
      </c>
      <c r="V311">
        <v>36</v>
      </c>
      <c r="W311">
        <v>36</v>
      </c>
      <c r="X311">
        <v>36</v>
      </c>
      <c r="Y311">
        <f t="shared" si="30"/>
        <v>0</v>
      </c>
      <c r="Z311">
        <f t="shared" si="31"/>
        <v>0</v>
      </c>
      <c r="AC311" s="1">
        <v>0</v>
      </c>
      <c r="AF311">
        <f t="shared" si="41"/>
        <v>36</v>
      </c>
      <c r="AG311" s="7">
        <v>12</v>
      </c>
      <c r="AH311">
        <f t="shared" si="32"/>
        <v>36</v>
      </c>
      <c r="AI311">
        <f t="shared" si="29"/>
        <v>0</v>
      </c>
      <c r="AK311">
        <f t="shared" si="33"/>
        <v>3</v>
      </c>
      <c r="AL311">
        <v>10.19</v>
      </c>
      <c r="AM311" t="s">
        <v>27</v>
      </c>
      <c r="AN311">
        <v>10.19</v>
      </c>
      <c r="AO311" t="b">
        <f t="shared" si="34"/>
        <v>1</v>
      </c>
      <c r="AR311" t="s">
        <v>5061</v>
      </c>
      <c r="AS311" s="21">
        <v>46276</v>
      </c>
      <c r="AT311" t="s">
        <v>5062</v>
      </c>
      <c r="AU311" t="s">
        <v>5070</v>
      </c>
      <c r="AV311" t="s">
        <v>5062</v>
      </c>
      <c r="AW311" t="s">
        <v>5086</v>
      </c>
    </row>
    <row r="312" spans="1:49" x14ac:dyDescent="0.35">
      <c r="A312" t="s">
        <v>871</v>
      </c>
      <c r="B312" t="s">
        <v>872</v>
      </c>
      <c r="C312" t="s">
        <v>4818</v>
      </c>
      <c r="D312" t="s">
        <v>18</v>
      </c>
      <c r="E312" t="s">
        <v>1249</v>
      </c>
      <c r="F312" t="s">
        <v>1250</v>
      </c>
      <c r="G312" t="s">
        <v>21</v>
      </c>
      <c r="H312" t="s">
        <v>4888</v>
      </c>
      <c r="I312" t="s">
        <v>4889</v>
      </c>
      <c r="J312" s="4" t="s">
        <v>4890</v>
      </c>
      <c r="K312" s="4" t="s">
        <v>4891</v>
      </c>
      <c r="L312" s="4" t="s">
        <v>4870</v>
      </c>
      <c r="M312" s="4" t="s">
        <v>5035</v>
      </c>
      <c r="N312" t="s">
        <v>1251</v>
      </c>
      <c r="O312" t="s">
        <v>1252</v>
      </c>
      <c r="P312" t="s">
        <v>23</v>
      </c>
      <c r="Q312" t="s">
        <v>24</v>
      </c>
      <c r="R312" t="s">
        <v>25</v>
      </c>
      <c r="S312" t="s">
        <v>26</v>
      </c>
      <c r="T312" s="6">
        <v>46307</v>
      </c>
      <c r="U312">
        <v>288</v>
      </c>
      <c r="V312">
        <v>288</v>
      </c>
      <c r="W312">
        <v>264</v>
      </c>
      <c r="X312">
        <v>264</v>
      </c>
      <c r="Y312">
        <f t="shared" si="30"/>
        <v>0</v>
      </c>
      <c r="Z312">
        <f t="shared" si="31"/>
        <v>24</v>
      </c>
      <c r="AA312">
        <f t="shared" ref="AA312:AA314" si="42">Z312</f>
        <v>24</v>
      </c>
      <c r="AC312" s="1">
        <v>0</v>
      </c>
      <c r="AF312">
        <f>X312</f>
        <v>264</v>
      </c>
      <c r="AG312" s="7">
        <v>12</v>
      </c>
      <c r="AH312">
        <f t="shared" si="32"/>
        <v>264</v>
      </c>
      <c r="AI312">
        <f t="shared" si="29"/>
        <v>24</v>
      </c>
      <c r="AK312">
        <f t="shared" si="33"/>
        <v>22</v>
      </c>
      <c r="AL312">
        <v>11.2</v>
      </c>
      <c r="AM312" t="s">
        <v>27</v>
      </c>
      <c r="AN312">
        <v>11.2</v>
      </c>
      <c r="AO312" t="b">
        <f t="shared" si="34"/>
        <v>1</v>
      </c>
      <c r="AR312" t="s">
        <v>5061</v>
      </c>
      <c r="AS312" s="21">
        <v>46276</v>
      </c>
      <c r="AT312" t="s">
        <v>5062</v>
      </c>
      <c r="AU312" t="s">
        <v>5067</v>
      </c>
      <c r="AV312" t="s">
        <v>5062</v>
      </c>
      <c r="AW312" t="s">
        <v>5086</v>
      </c>
    </row>
    <row r="313" spans="1:49" x14ac:dyDescent="0.35">
      <c r="A313" t="s">
        <v>871</v>
      </c>
      <c r="B313" t="s">
        <v>872</v>
      </c>
      <c r="C313" t="s">
        <v>4818</v>
      </c>
      <c r="D313" t="s">
        <v>18</v>
      </c>
      <c r="E313" t="s">
        <v>1253</v>
      </c>
      <c r="F313" t="s">
        <v>1254</v>
      </c>
      <c r="G313" t="s">
        <v>21</v>
      </c>
      <c r="H313" t="s">
        <v>4888</v>
      </c>
      <c r="I313" t="s">
        <v>4893</v>
      </c>
      <c r="J313" s="4" t="s">
        <v>4894</v>
      </c>
      <c r="K313" s="4" t="s">
        <v>4904</v>
      </c>
      <c r="L313" s="4" t="s">
        <v>4864</v>
      </c>
      <c r="M313" s="4" t="s">
        <v>5035</v>
      </c>
      <c r="N313" t="s">
        <v>1255</v>
      </c>
      <c r="O313" t="s">
        <v>1256</v>
      </c>
      <c r="P313" t="s">
        <v>23</v>
      </c>
      <c r="Q313" t="s">
        <v>24</v>
      </c>
      <c r="R313" t="s">
        <v>25</v>
      </c>
      <c r="S313" t="s">
        <v>26</v>
      </c>
      <c r="T313" s="6">
        <v>46307</v>
      </c>
      <c r="U313">
        <v>132</v>
      </c>
      <c r="V313">
        <v>132</v>
      </c>
      <c r="W313">
        <v>120</v>
      </c>
      <c r="X313">
        <v>120</v>
      </c>
      <c r="Y313">
        <f t="shared" si="30"/>
        <v>0</v>
      </c>
      <c r="Z313">
        <f t="shared" si="31"/>
        <v>12</v>
      </c>
      <c r="AA313">
        <f t="shared" si="42"/>
        <v>12</v>
      </c>
      <c r="AC313" s="1">
        <v>0</v>
      </c>
      <c r="AF313">
        <f>X313</f>
        <v>120</v>
      </c>
      <c r="AG313" s="7">
        <v>12</v>
      </c>
      <c r="AH313">
        <f t="shared" si="32"/>
        <v>120</v>
      </c>
      <c r="AI313">
        <f t="shared" si="29"/>
        <v>12</v>
      </c>
      <c r="AK313">
        <f t="shared" si="33"/>
        <v>10</v>
      </c>
      <c r="AL313">
        <v>10.16</v>
      </c>
      <c r="AM313" t="s">
        <v>27</v>
      </c>
      <c r="AN313">
        <v>10.16</v>
      </c>
      <c r="AO313" t="b">
        <f t="shared" si="34"/>
        <v>1</v>
      </c>
      <c r="AR313" t="s">
        <v>5061</v>
      </c>
      <c r="AS313" s="21">
        <v>46276</v>
      </c>
      <c r="AT313" t="s">
        <v>5062</v>
      </c>
      <c r="AU313" t="s">
        <v>5068</v>
      </c>
      <c r="AV313" t="s">
        <v>5062</v>
      </c>
      <c r="AW313" t="s">
        <v>5086</v>
      </c>
    </row>
    <row r="314" spans="1:49" x14ac:dyDescent="0.35">
      <c r="A314" t="s">
        <v>871</v>
      </c>
      <c r="B314" t="s">
        <v>872</v>
      </c>
      <c r="C314" t="s">
        <v>4818</v>
      </c>
      <c r="D314" t="s">
        <v>18</v>
      </c>
      <c r="E314" t="s">
        <v>1257</v>
      </c>
      <c r="F314" t="s">
        <v>1258</v>
      </c>
      <c r="G314" t="s">
        <v>21</v>
      </c>
      <c r="H314" t="s">
        <v>4888</v>
      </c>
      <c r="I314" t="s">
        <v>4893</v>
      </c>
      <c r="J314" s="4" t="s">
        <v>4894</v>
      </c>
      <c r="K314" s="4" t="s">
        <v>4896</v>
      </c>
      <c r="L314" s="4" t="s">
        <v>4877</v>
      </c>
      <c r="M314" s="4" t="s">
        <v>5035</v>
      </c>
      <c r="N314" t="s">
        <v>1259</v>
      </c>
      <c r="O314" t="s">
        <v>1260</v>
      </c>
      <c r="P314" t="s">
        <v>23</v>
      </c>
      <c r="Q314" t="s">
        <v>24</v>
      </c>
      <c r="R314" t="s">
        <v>25</v>
      </c>
      <c r="S314" t="s">
        <v>26</v>
      </c>
      <c r="T314" s="6">
        <v>46307</v>
      </c>
      <c r="U314">
        <v>228</v>
      </c>
      <c r="V314">
        <v>228</v>
      </c>
      <c r="W314">
        <v>216</v>
      </c>
      <c r="X314">
        <v>216</v>
      </c>
      <c r="Y314">
        <f t="shared" si="30"/>
        <v>0</v>
      </c>
      <c r="Z314">
        <f t="shared" si="31"/>
        <v>12</v>
      </c>
      <c r="AA314">
        <f t="shared" si="42"/>
        <v>12</v>
      </c>
      <c r="AC314" s="1">
        <v>0</v>
      </c>
      <c r="AF314">
        <f>X314</f>
        <v>216</v>
      </c>
      <c r="AG314" s="7">
        <v>12</v>
      </c>
      <c r="AH314">
        <f t="shared" si="32"/>
        <v>216</v>
      </c>
      <c r="AI314">
        <f t="shared" si="29"/>
        <v>12</v>
      </c>
      <c r="AK314">
        <f t="shared" si="33"/>
        <v>18</v>
      </c>
      <c r="AL314">
        <v>10.220000000000001</v>
      </c>
      <c r="AM314" t="s">
        <v>27</v>
      </c>
      <c r="AN314">
        <v>10.220000000000001</v>
      </c>
      <c r="AO314" t="b">
        <f t="shared" si="34"/>
        <v>1</v>
      </c>
      <c r="AR314" t="s">
        <v>5061</v>
      </c>
      <c r="AS314" s="21">
        <v>46276</v>
      </c>
      <c r="AT314" t="s">
        <v>5062</v>
      </c>
      <c r="AU314" t="s">
        <v>5068</v>
      </c>
      <c r="AV314" t="s">
        <v>5062</v>
      </c>
      <c r="AW314" t="s">
        <v>5086</v>
      </c>
    </row>
    <row r="315" spans="1:49" x14ac:dyDescent="0.35">
      <c r="A315" t="s">
        <v>871</v>
      </c>
      <c r="B315" t="s">
        <v>872</v>
      </c>
      <c r="C315" t="s">
        <v>4818</v>
      </c>
      <c r="D315" t="s">
        <v>18</v>
      </c>
      <c r="E315" t="s">
        <v>1261</v>
      </c>
      <c r="F315" t="s">
        <v>1262</v>
      </c>
      <c r="G315" t="s">
        <v>21</v>
      </c>
      <c r="H315" t="s">
        <v>4888</v>
      </c>
      <c r="I315" t="s">
        <v>4902</v>
      </c>
      <c r="J315" s="4" t="s">
        <v>4903</v>
      </c>
      <c r="K315" s="4" t="s">
        <v>4915</v>
      </c>
      <c r="L315" s="4" t="s">
        <v>4900</v>
      </c>
      <c r="M315" s="4" t="s">
        <v>5035</v>
      </c>
      <c r="N315" t="s">
        <v>1263</v>
      </c>
      <c r="O315" t="s">
        <v>1264</v>
      </c>
      <c r="P315" t="s">
        <v>23</v>
      </c>
      <c r="Q315" t="s">
        <v>24</v>
      </c>
      <c r="R315" t="s">
        <v>25</v>
      </c>
      <c r="S315" t="s">
        <v>26</v>
      </c>
      <c r="T315" s="6">
        <v>46307</v>
      </c>
      <c r="U315">
        <v>84</v>
      </c>
      <c r="V315">
        <v>84</v>
      </c>
      <c r="W315">
        <v>84</v>
      </c>
      <c r="X315">
        <v>84</v>
      </c>
      <c r="Y315">
        <f t="shared" si="30"/>
        <v>0</v>
      </c>
      <c r="Z315">
        <f t="shared" si="31"/>
        <v>0</v>
      </c>
      <c r="AC315" s="1">
        <v>0</v>
      </c>
      <c r="AF315">
        <f>V315</f>
        <v>84</v>
      </c>
      <c r="AG315" s="7">
        <v>12</v>
      </c>
      <c r="AH315">
        <f t="shared" si="32"/>
        <v>84</v>
      </c>
      <c r="AI315">
        <f t="shared" si="29"/>
        <v>0</v>
      </c>
      <c r="AK315">
        <f t="shared" si="33"/>
        <v>7</v>
      </c>
      <c r="AL315">
        <v>10.66</v>
      </c>
      <c r="AM315" t="s">
        <v>27</v>
      </c>
      <c r="AN315">
        <v>10.66</v>
      </c>
      <c r="AO315" t="b">
        <f t="shared" si="34"/>
        <v>1</v>
      </c>
      <c r="AR315" t="s">
        <v>5061</v>
      </c>
      <c r="AS315" s="21">
        <v>46276</v>
      </c>
      <c r="AT315" t="s">
        <v>5062</v>
      </c>
      <c r="AU315" t="s">
        <v>5069</v>
      </c>
      <c r="AV315" t="s">
        <v>5062</v>
      </c>
      <c r="AW315" t="s">
        <v>5086</v>
      </c>
    </row>
    <row r="316" spans="1:49" x14ac:dyDescent="0.35">
      <c r="A316" t="s">
        <v>871</v>
      </c>
      <c r="B316" t="s">
        <v>872</v>
      </c>
      <c r="C316" t="s">
        <v>4818</v>
      </c>
      <c r="D316" t="s">
        <v>18</v>
      </c>
      <c r="E316" t="s">
        <v>1265</v>
      </c>
      <c r="F316" t="s">
        <v>1266</v>
      </c>
      <c r="G316" t="s">
        <v>21</v>
      </c>
      <c r="H316" t="s">
        <v>4888</v>
      </c>
      <c r="I316" t="s">
        <v>4893</v>
      </c>
      <c r="J316" s="4" t="s">
        <v>4894</v>
      </c>
      <c r="K316" s="4" t="s">
        <v>4837</v>
      </c>
      <c r="L316" s="4" t="s">
        <v>4922</v>
      </c>
      <c r="M316" s="4" t="s">
        <v>5035</v>
      </c>
      <c r="N316" t="s">
        <v>1267</v>
      </c>
      <c r="O316" t="s">
        <v>1268</v>
      </c>
      <c r="P316" t="s">
        <v>23</v>
      </c>
      <c r="Q316" t="s">
        <v>24</v>
      </c>
      <c r="R316" t="s">
        <v>25</v>
      </c>
      <c r="S316" t="s">
        <v>26</v>
      </c>
      <c r="T316" s="6">
        <v>46307</v>
      </c>
      <c r="U316">
        <v>60</v>
      </c>
      <c r="V316">
        <v>60</v>
      </c>
      <c r="W316">
        <v>60</v>
      </c>
      <c r="X316">
        <v>60</v>
      </c>
      <c r="Y316">
        <f t="shared" si="30"/>
        <v>0</v>
      </c>
      <c r="Z316">
        <f t="shared" si="31"/>
        <v>0</v>
      </c>
      <c r="AC316" s="1">
        <v>0</v>
      </c>
      <c r="AF316">
        <f>V316</f>
        <v>60</v>
      </c>
      <c r="AG316" s="7">
        <v>12</v>
      </c>
      <c r="AH316">
        <f t="shared" si="32"/>
        <v>60</v>
      </c>
      <c r="AI316">
        <f t="shared" si="29"/>
        <v>0</v>
      </c>
      <c r="AK316">
        <f t="shared" si="33"/>
        <v>5</v>
      </c>
      <c r="AL316">
        <v>10.06</v>
      </c>
      <c r="AM316" t="s">
        <v>27</v>
      </c>
      <c r="AN316">
        <v>10.06</v>
      </c>
      <c r="AO316" t="b">
        <f t="shared" si="34"/>
        <v>1</v>
      </c>
      <c r="AR316" t="s">
        <v>5061</v>
      </c>
      <c r="AS316" s="21">
        <v>46276</v>
      </c>
      <c r="AT316" t="s">
        <v>5062</v>
      </c>
      <c r="AU316" t="s">
        <v>5068</v>
      </c>
      <c r="AV316" t="s">
        <v>5062</v>
      </c>
      <c r="AW316" t="s">
        <v>5086</v>
      </c>
    </row>
    <row r="317" spans="1:49" x14ac:dyDescent="0.35">
      <c r="A317" t="s">
        <v>871</v>
      </c>
      <c r="B317" t="s">
        <v>872</v>
      </c>
      <c r="C317" t="s">
        <v>4818</v>
      </c>
      <c r="D317" t="s">
        <v>18</v>
      </c>
      <c r="E317" t="s">
        <v>1269</v>
      </c>
      <c r="F317" t="s">
        <v>1270</v>
      </c>
      <c r="G317" t="s">
        <v>21</v>
      </c>
      <c r="H317" t="s">
        <v>4888</v>
      </c>
      <c r="I317" t="s">
        <v>4889</v>
      </c>
      <c r="J317" s="4" t="s">
        <v>4890</v>
      </c>
      <c r="K317" s="4" t="s">
        <v>4911</v>
      </c>
      <c r="L317" s="4" t="s">
        <v>4871</v>
      </c>
      <c r="M317" s="4" t="s">
        <v>5035</v>
      </c>
      <c r="N317" t="s">
        <v>1271</v>
      </c>
      <c r="O317" t="s">
        <v>1272</v>
      </c>
      <c r="P317" t="s">
        <v>23</v>
      </c>
      <c r="Q317" t="s">
        <v>24</v>
      </c>
      <c r="R317" t="s">
        <v>25</v>
      </c>
      <c r="S317" t="s">
        <v>26</v>
      </c>
      <c r="T317" s="6">
        <v>46307</v>
      </c>
      <c r="U317">
        <v>216</v>
      </c>
      <c r="V317">
        <v>216</v>
      </c>
      <c r="W317">
        <v>228</v>
      </c>
      <c r="X317">
        <v>228</v>
      </c>
      <c r="Y317">
        <f t="shared" si="30"/>
        <v>0</v>
      </c>
      <c r="Z317">
        <f t="shared" si="31"/>
        <v>-12</v>
      </c>
      <c r="AC317" s="1">
        <v>0</v>
      </c>
      <c r="AF317">
        <f>V317</f>
        <v>216</v>
      </c>
      <c r="AG317" s="7">
        <v>12</v>
      </c>
      <c r="AH317">
        <f t="shared" si="32"/>
        <v>216</v>
      </c>
      <c r="AI317">
        <f t="shared" si="29"/>
        <v>0</v>
      </c>
      <c r="AK317">
        <f t="shared" si="33"/>
        <v>18</v>
      </c>
      <c r="AL317">
        <v>11.87</v>
      </c>
      <c r="AM317" t="s">
        <v>27</v>
      </c>
      <c r="AN317">
        <v>11.87</v>
      </c>
      <c r="AO317" t="b">
        <f t="shared" si="34"/>
        <v>1</v>
      </c>
      <c r="AR317" t="s">
        <v>5061</v>
      </c>
      <c r="AS317" s="21">
        <v>46276</v>
      </c>
      <c r="AT317" t="s">
        <v>5062</v>
      </c>
      <c r="AU317" t="s">
        <v>5067</v>
      </c>
      <c r="AV317" t="s">
        <v>5062</v>
      </c>
      <c r="AW317" t="s">
        <v>5086</v>
      </c>
    </row>
    <row r="318" spans="1:49" x14ac:dyDescent="0.35">
      <c r="A318" t="s">
        <v>871</v>
      </c>
      <c r="B318" t="s">
        <v>872</v>
      </c>
      <c r="C318" t="s">
        <v>4818</v>
      </c>
      <c r="D318" t="s">
        <v>18</v>
      </c>
      <c r="E318" t="s">
        <v>1273</v>
      </c>
      <c r="F318" t="s">
        <v>1274</v>
      </c>
      <c r="G318" t="s">
        <v>21</v>
      </c>
      <c r="H318" t="s">
        <v>4888</v>
      </c>
      <c r="I318" t="s">
        <v>4893</v>
      </c>
      <c r="J318" s="4" t="s">
        <v>4894</v>
      </c>
      <c r="K318" s="4" t="s">
        <v>4896</v>
      </c>
      <c r="L318" s="4" t="s">
        <v>4895</v>
      </c>
      <c r="M318" s="4" t="s">
        <v>5035</v>
      </c>
      <c r="N318" t="s">
        <v>1275</v>
      </c>
      <c r="O318" t="s">
        <v>1276</v>
      </c>
      <c r="P318" t="s">
        <v>23</v>
      </c>
      <c r="Q318" t="s">
        <v>24</v>
      </c>
      <c r="R318" t="s">
        <v>25</v>
      </c>
      <c r="S318" t="s">
        <v>26</v>
      </c>
      <c r="T318" s="6">
        <v>46307</v>
      </c>
      <c r="U318">
        <v>120</v>
      </c>
      <c r="V318">
        <v>120</v>
      </c>
      <c r="W318">
        <v>108</v>
      </c>
      <c r="X318">
        <v>108</v>
      </c>
      <c r="Y318">
        <f t="shared" si="30"/>
        <v>0</v>
      </c>
      <c r="Z318">
        <f t="shared" si="31"/>
        <v>12</v>
      </c>
      <c r="AA318">
        <f>Z318</f>
        <v>12</v>
      </c>
      <c r="AC318" s="1">
        <v>0</v>
      </c>
      <c r="AF318">
        <f>X318</f>
        <v>108</v>
      </c>
      <c r="AG318" s="7">
        <v>12</v>
      </c>
      <c r="AH318">
        <f t="shared" si="32"/>
        <v>108</v>
      </c>
      <c r="AI318">
        <f t="shared" si="29"/>
        <v>12</v>
      </c>
      <c r="AK318">
        <f t="shared" si="33"/>
        <v>9</v>
      </c>
      <c r="AL318">
        <v>10.220000000000001</v>
      </c>
      <c r="AM318" t="s">
        <v>27</v>
      </c>
      <c r="AN318">
        <v>10.220000000000001</v>
      </c>
      <c r="AO318" t="b">
        <f t="shared" si="34"/>
        <v>1</v>
      </c>
      <c r="AR318" t="s">
        <v>5061</v>
      </c>
      <c r="AS318" s="21">
        <v>46276</v>
      </c>
      <c r="AT318" t="s">
        <v>5062</v>
      </c>
      <c r="AU318" t="s">
        <v>5068</v>
      </c>
      <c r="AV318" t="s">
        <v>5062</v>
      </c>
      <c r="AW318" t="s">
        <v>5086</v>
      </c>
    </row>
    <row r="319" spans="1:49" x14ac:dyDescent="0.35">
      <c r="A319" t="s">
        <v>871</v>
      </c>
      <c r="B319" t="s">
        <v>872</v>
      </c>
      <c r="C319" t="s">
        <v>4818</v>
      </c>
      <c r="D319" t="s">
        <v>18</v>
      </c>
      <c r="E319" t="s">
        <v>1277</v>
      </c>
      <c r="F319" t="s">
        <v>1278</v>
      </c>
      <c r="G319" t="s">
        <v>21</v>
      </c>
      <c r="H319" t="s">
        <v>4888</v>
      </c>
      <c r="I319" t="s">
        <v>4889</v>
      </c>
      <c r="J319" s="4" t="s">
        <v>4890</v>
      </c>
      <c r="K319" s="4" t="s">
        <v>4911</v>
      </c>
      <c r="L319" s="4" t="s">
        <v>4925</v>
      </c>
      <c r="M319" s="4" t="s">
        <v>5035</v>
      </c>
      <c r="N319" t="s">
        <v>1279</v>
      </c>
      <c r="O319" t="s">
        <v>1280</v>
      </c>
      <c r="P319" t="s">
        <v>23</v>
      </c>
      <c r="Q319" t="s">
        <v>24</v>
      </c>
      <c r="R319" t="s">
        <v>25</v>
      </c>
      <c r="S319" t="s">
        <v>26</v>
      </c>
      <c r="T319" s="6">
        <v>46307</v>
      </c>
      <c r="U319">
        <v>72</v>
      </c>
      <c r="V319">
        <v>72</v>
      </c>
      <c r="W319">
        <v>72</v>
      </c>
      <c r="X319">
        <v>72</v>
      </c>
      <c r="Y319">
        <f t="shared" si="30"/>
        <v>0</v>
      </c>
      <c r="Z319">
        <f t="shared" si="31"/>
        <v>0</v>
      </c>
      <c r="AC319" s="1">
        <v>0</v>
      </c>
      <c r="AF319">
        <f>V319</f>
        <v>72</v>
      </c>
      <c r="AG319" s="7">
        <v>12</v>
      </c>
      <c r="AH319">
        <f t="shared" si="32"/>
        <v>72</v>
      </c>
      <c r="AI319">
        <f t="shared" si="29"/>
        <v>0</v>
      </c>
      <c r="AK319">
        <f t="shared" si="33"/>
        <v>6</v>
      </c>
      <c r="AL319">
        <v>11.87</v>
      </c>
      <c r="AM319" t="s">
        <v>27</v>
      </c>
      <c r="AN319">
        <v>11.87</v>
      </c>
      <c r="AO319" t="b">
        <f t="shared" si="34"/>
        <v>1</v>
      </c>
      <c r="AR319" t="s">
        <v>5061</v>
      </c>
      <c r="AS319" s="21">
        <v>46276</v>
      </c>
      <c r="AT319" t="s">
        <v>5062</v>
      </c>
      <c r="AU319" t="s">
        <v>5067</v>
      </c>
      <c r="AV319" t="s">
        <v>5062</v>
      </c>
      <c r="AW319" t="s">
        <v>5086</v>
      </c>
    </row>
    <row r="320" spans="1:49" x14ac:dyDescent="0.35">
      <c r="A320" t="s">
        <v>871</v>
      </c>
      <c r="B320" t="s">
        <v>872</v>
      </c>
      <c r="C320" t="s">
        <v>4818</v>
      </c>
      <c r="D320" t="s">
        <v>18</v>
      </c>
      <c r="E320" t="s">
        <v>1281</v>
      </c>
      <c r="F320" t="s">
        <v>1282</v>
      </c>
      <c r="G320" t="s">
        <v>21</v>
      </c>
      <c r="H320" t="s">
        <v>4888</v>
      </c>
      <c r="I320" t="s">
        <v>4893</v>
      </c>
      <c r="J320" s="4" t="s">
        <v>4894</v>
      </c>
      <c r="K320" s="4" t="s">
        <v>4896</v>
      </c>
      <c r="L320" s="4" t="s">
        <v>4905</v>
      </c>
      <c r="M320" s="4" t="s">
        <v>5035</v>
      </c>
      <c r="N320" t="s">
        <v>1283</v>
      </c>
      <c r="O320" t="s">
        <v>1284</v>
      </c>
      <c r="P320" t="s">
        <v>23</v>
      </c>
      <c r="Q320" t="s">
        <v>24</v>
      </c>
      <c r="R320" t="s">
        <v>25</v>
      </c>
      <c r="S320" t="s">
        <v>26</v>
      </c>
      <c r="T320" s="6">
        <v>46307</v>
      </c>
      <c r="U320">
        <v>24</v>
      </c>
      <c r="V320">
        <v>24</v>
      </c>
      <c r="W320">
        <v>12</v>
      </c>
      <c r="X320">
        <v>12</v>
      </c>
      <c r="Y320">
        <f t="shared" si="30"/>
        <v>0</v>
      </c>
      <c r="Z320">
        <f t="shared" si="31"/>
        <v>12</v>
      </c>
      <c r="AA320">
        <f>Z320</f>
        <v>12</v>
      </c>
      <c r="AC320" s="1">
        <v>0</v>
      </c>
      <c r="AF320">
        <f>X320</f>
        <v>12</v>
      </c>
      <c r="AG320" s="7">
        <v>12</v>
      </c>
      <c r="AH320">
        <f t="shared" si="32"/>
        <v>12</v>
      </c>
      <c r="AI320">
        <f t="shared" si="29"/>
        <v>12</v>
      </c>
      <c r="AK320">
        <f t="shared" si="33"/>
        <v>1</v>
      </c>
      <c r="AL320">
        <v>10.220000000000001</v>
      </c>
      <c r="AM320" t="s">
        <v>27</v>
      </c>
      <c r="AN320">
        <v>10.220000000000001</v>
      </c>
      <c r="AO320" t="b">
        <f t="shared" si="34"/>
        <v>1</v>
      </c>
      <c r="AR320" t="s">
        <v>5061</v>
      </c>
      <c r="AS320" s="21">
        <v>46276</v>
      </c>
      <c r="AT320" t="s">
        <v>5062</v>
      </c>
      <c r="AU320" t="s">
        <v>5068</v>
      </c>
      <c r="AV320" t="s">
        <v>5062</v>
      </c>
      <c r="AW320" t="s">
        <v>5086</v>
      </c>
    </row>
    <row r="321" spans="1:49" x14ac:dyDescent="0.35">
      <c r="A321" t="s">
        <v>871</v>
      </c>
      <c r="B321" t="s">
        <v>872</v>
      </c>
      <c r="C321" t="s">
        <v>4818</v>
      </c>
      <c r="D321" t="s">
        <v>18</v>
      </c>
      <c r="E321" t="s">
        <v>1285</v>
      </c>
      <c r="F321" t="s">
        <v>1286</v>
      </c>
      <c r="G321" t="s">
        <v>21</v>
      </c>
      <c r="H321" t="s">
        <v>4888</v>
      </c>
      <c r="I321" t="s">
        <v>4889</v>
      </c>
      <c r="J321" s="4" t="s">
        <v>4890</v>
      </c>
      <c r="K321" s="4" t="s">
        <v>4911</v>
      </c>
      <c r="L321" s="4" t="s">
        <v>4877</v>
      </c>
      <c r="M321" s="4" t="s">
        <v>5035</v>
      </c>
      <c r="N321" t="s">
        <v>1287</v>
      </c>
      <c r="O321" t="s">
        <v>1288</v>
      </c>
      <c r="P321" t="s">
        <v>23</v>
      </c>
      <c r="Q321" t="s">
        <v>24</v>
      </c>
      <c r="R321" t="s">
        <v>25</v>
      </c>
      <c r="S321" t="s">
        <v>26</v>
      </c>
      <c r="T321" s="6">
        <v>46307</v>
      </c>
      <c r="U321">
        <v>216</v>
      </c>
      <c r="V321">
        <v>216</v>
      </c>
      <c r="W321">
        <v>240</v>
      </c>
      <c r="X321">
        <v>240</v>
      </c>
      <c r="Y321">
        <f t="shared" si="30"/>
        <v>0</v>
      </c>
      <c r="Z321">
        <f t="shared" si="31"/>
        <v>-24</v>
      </c>
      <c r="AC321" s="1">
        <v>0</v>
      </c>
      <c r="AF321">
        <f t="shared" ref="AF321:AF326" si="43">V321</f>
        <v>216</v>
      </c>
      <c r="AG321" s="7">
        <v>12</v>
      </c>
      <c r="AH321">
        <f t="shared" si="32"/>
        <v>216</v>
      </c>
      <c r="AI321">
        <f t="shared" si="29"/>
        <v>0</v>
      </c>
      <c r="AK321">
        <f t="shared" si="33"/>
        <v>18</v>
      </c>
      <c r="AL321">
        <v>11.87</v>
      </c>
      <c r="AM321" t="s">
        <v>27</v>
      </c>
      <c r="AN321">
        <v>11.87</v>
      </c>
      <c r="AO321" t="b">
        <f t="shared" si="34"/>
        <v>1</v>
      </c>
      <c r="AR321" t="s">
        <v>5061</v>
      </c>
      <c r="AS321" s="21">
        <v>46276</v>
      </c>
      <c r="AT321" t="s">
        <v>5062</v>
      </c>
      <c r="AU321" t="s">
        <v>5067</v>
      </c>
      <c r="AV321" t="s">
        <v>5062</v>
      </c>
      <c r="AW321" t="s">
        <v>5086</v>
      </c>
    </row>
    <row r="322" spans="1:49" x14ac:dyDescent="0.35">
      <c r="A322" t="s">
        <v>871</v>
      </c>
      <c r="B322" t="s">
        <v>872</v>
      </c>
      <c r="C322" t="s">
        <v>4818</v>
      </c>
      <c r="D322" t="s">
        <v>18</v>
      </c>
      <c r="E322" t="s">
        <v>1289</v>
      </c>
      <c r="F322" t="s">
        <v>1290</v>
      </c>
      <c r="G322" t="s">
        <v>21</v>
      </c>
      <c r="H322" t="s">
        <v>4888</v>
      </c>
      <c r="I322" t="s">
        <v>4889</v>
      </c>
      <c r="J322" s="4" t="s">
        <v>4890</v>
      </c>
      <c r="K322" s="4" t="s">
        <v>4899</v>
      </c>
      <c r="L322" s="4" t="s">
        <v>4930</v>
      </c>
      <c r="M322" s="4" t="s">
        <v>5035</v>
      </c>
      <c r="N322" t="s">
        <v>1291</v>
      </c>
      <c r="O322" t="s">
        <v>1292</v>
      </c>
      <c r="P322" t="s">
        <v>23</v>
      </c>
      <c r="Q322" t="s">
        <v>24</v>
      </c>
      <c r="R322" t="s">
        <v>25</v>
      </c>
      <c r="S322" t="s">
        <v>26</v>
      </c>
      <c r="T322" s="6">
        <v>46307</v>
      </c>
      <c r="U322">
        <v>12</v>
      </c>
      <c r="V322">
        <v>12</v>
      </c>
      <c r="W322">
        <v>12</v>
      </c>
      <c r="X322">
        <v>12</v>
      </c>
      <c r="Y322">
        <f t="shared" si="30"/>
        <v>0</v>
      </c>
      <c r="Z322">
        <f t="shared" si="31"/>
        <v>0</v>
      </c>
      <c r="AC322" s="1">
        <v>0</v>
      </c>
      <c r="AF322">
        <f t="shared" si="43"/>
        <v>12</v>
      </c>
      <c r="AG322" s="7">
        <v>12</v>
      </c>
      <c r="AH322">
        <f t="shared" si="32"/>
        <v>12</v>
      </c>
      <c r="AI322">
        <f t="shared" si="29"/>
        <v>0</v>
      </c>
      <c r="AK322">
        <f t="shared" si="33"/>
        <v>1</v>
      </c>
      <c r="AL322">
        <v>10.9</v>
      </c>
      <c r="AM322" t="s">
        <v>27</v>
      </c>
      <c r="AN322">
        <v>10.9</v>
      </c>
      <c r="AO322" t="b">
        <f t="shared" si="34"/>
        <v>1</v>
      </c>
      <c r="AR322" t="s">
        <v>5061</v>
      </c>
      <c r="AS322" s="21">
        <v>46276</v>
      </c>
      <c r="AT322" t="s">
        <v>5062</v>
      </c>
      <c r="AU322" t="s">
        <v>5067</v>
      </c>
      <c r="AV322" t="s">
        <v>5062</v>
      </c>
      <c r="AW322" t="s">
        <v>5086</v>
      </c>
    </row>
    <row r="323" spans="1:49" x14ac:dyDescent="0.35">
      <c r="A323" t="s">
        <v>871</v>
      </c>
      <c r="B323" t="s">
        <v>872</v>
      </c>
      <c r="C323" t="s">
        <v>4818</v>
      </c>
      <c r="D323" t="s">
        <v>18</v>
      </c>
      <c r="E323" t="s">
        <v>1293</v>
      </c>
      <c r="F323" t="s">
        <v>1294</v>
      </c>
      <c r="G323" t="s">
        <v>21</v>
      </c>
      <c r="H323" t="s">
        <v>4888</v>
      </c>
      <c r="I323" t="s">
        <v>4889</v>
      </c>
      <c r="J323" s="4" t="s">
        <v>4890</v>
      </c>
      <c r="K323" s="4" t="s">
        <v>4911</v>
      </c>
      <c r="L323" s="4" t="s">
        <v>4884</v>
      </c>
      <c r="M323" s="4" t="s">
        <v>5035</v>
      </c>
      <c r="N323" t="s">
        <v>1295</v>
      </c>
      <c r="O323" t="s">
        <v>1296</v>
      </c>
      <c r="P323" t="s">
        <v>23</v>
      </c>
      <c r="Q323" t="s">
        <v>24</v>
      </c>
      <c r="R323" t="s">
        <v>25</v>
      </c>
      <c r="S323" t="s">
        <v>26</v>
      </c>
      <c r="T323" s="6">
        <v>46307</v>
      </c>
      <c r="U323">
        <v>96</v>
      </c>
      <c r="V323">
        <v>96</v>
      </c>
      <c r="W323">
        <v>108</v>
      </c>
      <c r="X323">
        <v>108</v>
      </c>
      <c r="Y323">
        <f t="shared" si="30"/>
        <v>0</v>
      </c>
      <c r="Z323">
        <f t="shared" si="31"/>
        <v>-12</v>
      </c>
      <c r="AC323" s="1">
        <v>0</v>
      </c>
      <c r="AF323">
        <f t="shared" si="43"/>
        <v>96</v>
      </c>
      <c r="AG323" s="7">
        <v>12</v>
      </c>
      <c r="AH323">
        <f t="shared" si="32"/>
        <v>96</v>
      </c>
      <c r="AI323">
        <f t="shared" ref="AI323:AI386" si="44">V323-AH323</f>
        <v>0</v>
      </c>
      <c r="AK323">
        <f t="shared" si="33"/>
        <v>8</v>
      </c>
      <c r="AL323">
        <v>11.87</v>
      </c>
      <c r="AM323" t="s">
        <v>27</v>
      </c>
      <c r="AN323">
        <v>11.87</v>
      </c>
      <c r="AO323" t="b">
        <f t="shared" si="34"/>
        <v>1</v>
      </c>
      <c r="AR323" t="s">
        <v>5061</v>
      </c>
      <c r="AS323" s="21">
        <v>46276</v>
      </c>
      <c r="AT323" t="s">
        <v>5062</v>
      </c>
      <c r="AU323" t="s">
        <v>5067</v>
      </c>
      <c r="AV323" t="s">
        <v>5062</v>
      </c>
      <c r="AW323" t="s">
        <v>5086</v>
      </c>
    </row>
    <row r="324" spans="1:49" x14ac:dyDescent="0.35">
      <c r="A324" t="s">
        <v>871</v>
      </c>
      <c r="B324" t="s">
        <v>872</v>
      </c>
      <c r="C324" t="s">
        <v>4818</v>
      </c>
      <c r="D324" t="s">
        <v>18</v>
      </c>
      <c r="E324" t="s">
        <v>1297</v>
      </c>
      <c r="F324" t="s">
        <v>1298</v>
      </c>
      <c r="G324" t="s">
        <v>21</v>
      </c>
      <c r="H324" t="s">
        <v>4888</v>
      </c>
      <c r="I324" t="s">
        <v>4889</v>
      </c>
      <c r="J324" s="4" t="s">
        <v>4890</v>
      </c>
      <c r="K324" s="4" t="s">
        <v>4911</v>
      </c>
      <c r="L324" s="4" t="s">
        <v>4923</v>
      </c>
      <c r="M324" s="4" t="s">
        <v>5035</v>
      </c>
      <c r="N324" t="s">
        <v>1299</v>
      </c>
      <c r="O324" t="s">
        <v>1300</v>
      </c>
      <c r="P324" t="s">
        <v>23</v>
      </c>
      <c r="Q324" t="s">
        <v>24</v>
      </c>
      <c r="R324" t="s">
        <v>25</v>
      </c>
      <c r="S324" t="s">
        <v>26</v>
      </c>
      <c r="T324" s="6">
        <v>46307</v>
      </c>
      <c r="U324">
        <v>12</v>
      </c>
      <c r="V324">
        <v>12</v>
      </c>
      <c r="W324">
        <v>12</v>
      </c>
      <c r="X324">
        <v>12</v>
      </c>
      <c r="Y324">
        <f t="shared" ref="Y324:Y387" si="45">W324-X324</f>
        <v>0</v>
      </c>
      <c r="Z324">
        <f t="shared" ref="Z324:Z387" si="46">V324-X324</f>
        <v>0</v>
      </c>
      <c r="AC324" s="1">
        <v>0</v>
      </c>
      <c r="AF324">
        <f t="shared" si="43"/>
        <v>12</v>
      </c>
      <c r="AG324" s="7">
        <v>12</v>
      </c>
      <c r="AH324">
        <f t="shared" ref="AH324:AH387" si="47">ROUNDUP(AF324/AG324,0)*AG324</f>
        <v>12</v>
      </c>
      <c r="AI324">
        <f t="shared" si="44"/>
        <v>0</v>
      </c>
      <c r="AK324">
        <f t="shared" ref="AK324:AK387" si="48">AH324/AG324</f>
        <v>1</v>
      </c>
      <c r="AL324">
        <v>11.87</v>
      </c>
      <c r="AM324" t="s">
        <v>27</v>
      </c>
      <c r="AN324">
        <v>11.87</v>
      </c>
      <c r="AO324" t="b">
        <f t="shared" ref="AO324:AO387" si="49">AL324=AN324</f>
        <v>1</v>
      </c>
      <c r="AR324" t="s">
        <v>5061</v>
      </c>
      <c r="AS324" s="21">
        <v>46276</v>
      </c>
      <c r="AT324" t="s">
        <v>5062</v>
      </c>
      <c r="AU324" t="s">
        <v>5067</v>
      </c>
      <c r="AV324" t="s">
        <v>5062</v>
      </c>
      <c r="AW324" t="s">
        <v>5086</v>
      </c>
    </row>
    <row r="325" spans="1:49" x14ac:dyDescent="0.35">
      <c r="A325" t="s">
        <v>871</v>
      </c>
      <c r="B325" t="s">
        <v>872</v>
      </c>
      <c r="C325" t="s">
        <v>4818</v>
      </c>
      <c r="D325" t="s">
        <v>18</v>
      </c>
      <c r="E325" t="s">
        <v>1301</v>
      </c>
      <c r="F325" t="s">
        <v>1302</v>
      </c>
      <c r="G325" t="s">
        <v>21</v>
      </c>
      <c r="H325" t="s">
        <v>4888</v>
      </c>
      <c r="I325" t="s">
        <v>4906</v>
      </c>
      <c r="J325" s="4" t="s">
        <v>4907</v>
      </c>
      <c r="K325" s="4" t="s">
        <v>4908</v>
      </c>
      <c r="L325" s="4" t="s">
        <v>4880</v>
      </c>
      <c r="M325" s="4" t="s">
        <v>5035</v>
      </c>
      <c r="N325" t="s">
        <v>1303</v>
      </c>
      <c r="O325" t="s">
        <v>1304</v>
      </c>
      <c r="P325" t="s">
        <v>23</v>
      </c>
      <c r="Q325" t="s">
        <v>24</v>
      </c>
      <c r="R325" t="s">
        <v>25</v>
      </c>
      <c r="S325" t="s">
        <v>26</v>
      </c>
      <c r="T325" s="6">
        <v>46307</v>
      </c>
      <c r="U325">
        <v>108</v>
      </c>
      <c r="V325">
        <v>108</v>
      </c>
      <c r="W325">
        <v>120</v>
      </c>
      <c r="X325">
        <v>120</v>
      </c>
      <c r="Y325">
        <f t="shared" si="45"/>
        <v>0</v>
      </c>
      <c r="Z325">
        <f t="shared" si="46"/>
        <v>-12</v>
      </c>
      <c r="AC325" s="1">
        <v>0</v>
      </c>
      <c r="AF325">
        <f t="shared" si="43"/>
        <v>108</v>
      </c>
      <c r="AG325" s="7">
        <v>12</v>
      </c>
      <c r="AH325">
        <f t="shared" si="47"/>
        <v>108</v>
      </c>
      <c r="AI325">
        <f t="shared" si="44"/>
        <v>0</v>
      </c>
      <c r="AK325">
        <f t="shared" si="48"/>
        <v>9</v>
      </c>
      <c r="AL325">
        <v>10.19</v>
      </c>
      <c r="AM325" t="s">
        <v>27</v>
      </c>
      <c r="AN325">
        <v>10.19</v>
      </c>
      <c r="AO325" t="b">
        <f t="shared" si="49"/>
        <v>1</v>
      </c>
      <c r="AR325" t="s">
        <v>5061</v>
      </c>
      <c r="AS325" s="21">
        <v>46276</v>
      </c>
      <c r="AT325" t="s">
        <v>5062</v>
      </c>
      <c r="AU325" t="s">
        <v>5070</v>
      </c>
      <c r="AV325" t="s">
        <v>5062</v>
      </c>
      <c r="AW325" t="s">
        <v>5086</v>
      </c>
    </row>
    <row r="326" spans="1:49" x14ac:dyDescent="0.35">
      <c r="A326" t="s">
        <v>871</v>
      </c>
      <c r="B326" t="s">
        <v>872</v>
      </c>
      <c r="C326" t="s">
        <v>4818</v>
      </c>
      <c r="D326" t="s">
        <v>18</v>
      </c>
      <c r="E326" t="s">
        <v>1305</v>
      </c>
      <c r="F326" t="s">
        <v>1306</v>
      </c>
      <c r="G326" t="s">
        <v>21</v>
      </c>
      <c r="H326" t="s">
        <v>4888</v>
      </c>
      <c r="I326" t="s">
        <v>4906</v>
      </c>
      <c r="J326" s="4" t="s">
        <v>4907</v>
      </c>
      <c r="K326" s="4" t="s">
        <v>4908</v>
      </c>
      <c r="L326" s="4" t="s">
        <v>4886</v>
      </c>
      <c r="M326" s="4" t="s">
        <v>5035</v>
      </c>
      <c r="N326" t="s">
        <v>1307</v>
      </c>
      <c r="O326" t="s">
        <v>1308</v>
      </c>
      <c r="P326" t="s">
        <v>23</v>
      </c>
      <c r="Q326" t="s">
        <v>24</v>
      </c>
      <c r="R326" t="s">
        <v>25</v>
      </c>
      <c r="S326" t="s">
        <v>26</v>
      </c>
      <c r="T326" s="6">
        <v>46307</v>
      </c>
      <c r="U326">
        <v>108</v>
      </c>
      <c r="V326">
        <v>108</v>
      </c>
      <c r="W326">
        <v>120</v>
      </c>
      <c r="X326">
        <v>120</v>
      </c>
      <c r="Y326">
        <f t="shared" si="45"/>
        <v>0</v>
      </c>
      <c r="Z326">
        <f t="shared" si="46"/>
        <v>-12</v>
      </c>
      <c r="AC326" s="1">
        <v>0</v>
      </c>
      <c r="AF326">
        <f t="shared" si="43"/>
        <v>108</v>
      </c>
      <c r="AG326" s="7">
        <v>12</v>
      </c>
      <c r="AH326">
        <f t="shared" si="47"/>
        <v>108</v>
      </c>
      <c r="AI326">
        <f t="shared" si="44"/>
        <v>0</v>
      </c>
      <c r="AK326">
        <f t="shared" si="48"/>
        <v>9</v>
      </c>
      <c r="AL326">
        <v>10.19</v>
      </c>
      <c r="AM326" t="s">
        <v>27</v>
      </c>
      <c r="AN326">
        <v>10.19</v>
      </c>
      <c r="AO326" t="b">
        <f t="shared" si="49"/>
        <v>1</v>
      </c>
      <c r="AR326" t="s">
        <v>5061</v>
      </c>
      <c r="AS326" s="21">
        <v>46276</v>
      </c>
      <c r="AT326" t="s">
        <v>5062</v>
      </c>
      <c r="AU326" t="s">
        <v>5070</v>
      </c>
      <c r="AV326" t="s">
        <v>5062</v>
      </c>
      <c r="AW326" t="s">
        <v>5086</v>
      </c>
    </row>
    <row r="327" spans="1:49" x14ac:dyDescent="0.35">
      <c r="A327" t="s">
        <v>871</v>
      </c>
      <c r="B327" t="s">
        <v>872</v>
      </c>
      <c r="C327" t="s">
        <v>4818</v>
      </c>
      <c r="D327" t="s">
        <v>18</v>
      </c>
      <c r="E327" t="s">
        <v>1309</v>
      </c>
      <c r="F327" t="s">
        <v>1310</v>
      </c>
      <c r="G327" t="s">
        <v>21</v>
      </c>
      <c r="H327" t="s">
        <v>4888</v>
      </c>
      <c r="I327" t="s">
        <v>4902</v>
      </c>
      <c r="J327" s="4" t="s">
        <v>4903</v>
      </c>
      <c r="K327" s="4" t="s">
        <v>4915</v>
      </c>
      <c r="L327" s="4" t="s">
        <v>4851</v>
      </c>
      <c r="M327" s="4" t="s">
        <v>5035</v>
      </c>
      <c r="N327" t="s">
        <v>1311</v>
      </c>
      <c r="O327" t="s">
        <v>1312</v>
      </c>
      <c r="P327" t="s">
        <v>23</v>
      </c>
      <c r="Q327" t="s">
        <v>24</v>
      </c>
      <c r="R327" t="s">
        <v>25</v>
      </c>
      <c r="S327" t="s">
        <v>26</v>
      </c>
      <c r="T327" s="6">
        <v>46307</v>
      </c>
      <c r="U327">
        <v>252</v>
      </c>
      <c r="V327">
        <v>252</v>
      </c>
      <c r="W327">
        <v>228</v>
      </c>
      <c r="X327">
        <v>228</v>
      </c>
      <c r="Y327">
        <f t="shared" si="45"/>
        <v>0</v>
      </c>
      <c r="Z327">
        <f t="shared" si="46"/>
        <v>24</v>
      </c>
      <c r="AA327">
        <f>Z327</f>
        <v>24</v>
      </c>
      <c r="AC327" s="1">
        <v>0</v>
      </c>
      <c r="AF327">
        <f>X327</f>
        <v>228</v>
      </c>
      <c r="AG327" s="7">
        <v>12</v>
      </c>
      <c r="AH327">
        <f t="shared" si="47"/>
        <v>228</v>
      </c>
      <c r="AI327">
        <f t="shared" si="44"/>
        <v>24</v>
      </c>
      <c r="AK327">
        <f t="shared" si="48"/>
        <v>19</v>
      </c>
      <c r="AL327">
        <v>10.66</v>
      </c>
      <c r="AM327" t="s">
        <v>27</v>
      </c>
      <c r="AN327">
        <v>10.66</v>
      </c>
      <c r="AO327" t="b">
        <f t="shared" si="49"/>
        <v>1</v>
      </c>
      <c r="AR327" t="s">
        <v>5061</v>
      </c>
      <c r="AS327" s="21">
        <v>46276</v>
      </c>
      <c r="AT327" t="s">
        <v>5062</v>
      </c>
      <c r="AU327" t="s">
        <v>5069</v>
      </c>
      <c r="AV327" t="s">
        <v>5062</v>
      </c>
      <c r="AW327" t="s">
        <v>5086</v>
      </c>
    </row>
    <row r="328" spans="1:49" x14ac:dyDescent="0.35">
      <c r="A328" t="s">
        <v>871</v>
      </c>
      <c r="B328" t="s">
        <v>872</v>
      </c>
      <c r="C328" t="s">
        <v>4818</v>
      </c>
      <c r="D328" t="s">
        <v>18</v>
      </c>
      <c r="E328" t="s">
        <v>1313</v>
      </c>
      <c r="F328" t="s">
        <v>1314</v>
      </c>
      <c r="G328" t="s">
        <v>21</v>
      </c>
      <c r="H328" t="s">
        <v>4888</v>
      </c>
      <c r="I328" t="s">
        <v>4902</v>
      </c>
      <c r="J328" s="4" t="s">
        <v>4903</v>
      </c>
      <c r="K328" s="4" t="s">
        <v>4899</v>
      </c>
      <c r="L328" s="4" t="s">
        <v>4927</v>
      </c>
      <c r="M328" s="4" t="s">
        <v>5035</v>
      </c>
      <c r="N328" t="s">
        <v>1315</v>
      </c>
      <c r="O328" t="s">
        <v>1316</v>
      </c>
      <c r="P328" t="s">
        <v>23</v>
      </c>
      <c r="Q328" t="s">
        <v>24</v>
      </c>
      <c r="R328" t="s">
        <v>25</v>
      </c>
      <c r="S328" t="s">
        <v>26</v>
      </c>
      <c r="T328" s="6">
        <v>46307</v>
      </c>
      <c r="U328">
        <v>24</v>
      </c>
      <c r="V328">
        <v>24</v>
      </c>
      <c r="W328">
        <v>24</v>
      </c>
      <c r="X328">
        <v>24</v>
      </c>
      <c r="Y328">
        <f t="shared" si="45"/>
        <v>0</v>
      </c>
      <c r="Z328">
        <f t="shared" si="46"/>
        <v>0</v>
      </c>
      <c r="AC328" s="1">
        <v>0</v>
      </c>
      <c r="AF328">
        <f>V328</f>
        <v>24</v>
      </c>
      <c r="AG328" s="7">
        <v>12</v>
      </c>
      <c r="AH328">
        <f t="shared" si="47"/>
        <v>24</v>
      </c>
      <c r="AI328">
        <f t="shared" si="44"/>
        <v>0</v>
      </c>
      <c r="AK328">
        <f t="shared" si="48"/>
        <v>2</v>
      </c>
      <c r="AL328">
        <v>10.49</v>
      </c>
      <c r="AM328" t="s">
        <v>27</v>
      </c>
      <c r="AN328">
        <v>10.49</v>
      </c>
      <c r="AO328" t="b">
        <f t="shared" si="49"/>
        <v>1</v>
      </c>
      <c r="AR328" t="s">
        <v>5061</v>
      </c>
      <c r="AS328" s="21">
        <v>46276</v>
      </c>
      <c r="AT328" t="s">
        <v>5062</v>
      </c>
      <c r="AU328" t="s">
        <v>5069</v>
      </c>
      <c r="AV328" t="s">
        <v>5062</v>
      </c>
      <c r="AW328" t="s">
        <v>5086</v>
      </c>
    </row>
    <row r="329" spans="1:49" x14ac:dyDescent="0.35">
      <c r="A329" t="s">
        <v>871</v>
      </c>
      <c r="B329" t="s">
        <v>872</v>
      </c>
      <c r="C329" t="s">
        <v>4818</v>
      </c>
      <c r="D329" t="s">
        <v>18</v>
      </c>
      <c r="E329" t="s">
        <v>1317</v>
      </c>
      <c r="F329" t="s">
        <v>1318</v>
      </c>
      <c r="G329" t="s">
        <v>21</v>
      </c>
      <c r="H329" t="s">
        <v>4888</v>
      </c>
      <c r="I329" t="s">
        <v>4889</v>
      </c>
      <c r="J329" s="4" t="s">
        <v>4890</v>
      </c>
      <c r="K329" s="4" t="s">
        <v>4899</v>
      </c>
      <c r="L329" s="4" t="s">
        <v>4909</v>
      </c>
      <c r="M329" s="4" t="s">
        <v>5035</v>
      </c>
      <c r="N329" t="s">
        <v>1319</v>
      </c>
      <c r="O329" t="s">
        <v>1320</v>
      </c>
      <c r="P329" t="s">
        <v>23</v>
      </c>
      <c r="Q329" t="s">
        <v>24</v>
      </c>
      <c r="R329" t="s">
        <v>25</v>
      </c>
      <c r="S329" t="s">
        <v>26</v>
      </c>
      <c r="T329" s="6">
        <v>46307</v>
      </c>
      <c r="U329">
        <v>24</v>
      </c>
      <c r="V329">
        <v>24</v>
      </c>
      <c r="W329">
        <v>24</v>
      </c>
      <c r="X329">
        <v>24</v>
      </c>
      <c r="Y329">
        <f t="shared" si="45"/>
        <v>0</v>
      </c>
      <c r="Z329">
        <f t="shared" si="46"/>
        <v>0</v>
      </c>
      <c r="AC329" s="1">
        <v>0</v>
      </c>
      <c r="AF329">
        <f>V329</f>
        <v>24</v>
      </c>
      <c r="AG329" s="7">
        <v>12</v>
      </c>
      <c r="AH329">
        <f t="shared" si="47"/>
        <v>24</v>
      </c>
      <c r="AI329">
        <f t="shared" si="44"/>
        <v>0</v>
      </c>
      <c r="AK329">
        <f t="shared" si="48"/>
        <v>2</v>
      </c>
      <c r="AL329">
        <v>10.9</v>
      </c>
      <c r="AM329" t="s">
        <v>27</v>
      </c>
      <c r="AN329">
        <v>10.9</v>
      </c>
      <c r="AO329" t="b">
        <f t="shared" si="49"/>
        <v>1</v>
      </c>
      <c r="AR329" t="s">
        <v>5061</v>
      </c>
      <c r="AS329" s="21">
        <v>46276</v>
      </c>
      <c r="AT329" t="s">
        <v>5062</v>
      </c>
      <c r="AU329" t="s">
        <v>5067</v>
      </c>
      <c r="AV329" t="s">
        <v>5062</v>
      </c>
      <c r="AW329" t="s">
        <v>5086</v>
      </c>
    </row>
    <row r="330" spans="1:49" x14ac:dyDescent="0.35">
      <c r="A330" t="s">
        <v>871</v>
      </c>
      <c r="B330" t="s">
        <v>872</v>
      </c>
      <c r="C330" t="s">
        <v>4818</v>
      </c>
      <c r="D330" t="s">
        <v>18</v>
      </c>
      <c r="E330" t="s">
        <v>1321</v>
      </c>
      <c r="F330" t="s">
        <v>1322</v>
      </c>
      <c r="G330" t="s">
        <v>21</v>
      </c>
      <c r="H330" t="s">
        <v>4888</v>
      </c>
      <c r="I330" t="s">
        <v>4893</v>
      </c>
      <c r="J330" s="4" t="s">
        <v>4894</v>
      </c>
      <c r="K330" s="4" t="s">
        <v>4837</v>
      </c>
      <c r="L330" s="4" t="s">
        <v>4924</v>
      </c>
      <c r="M330" s="4" t="s">
        <v>5035</v>
      </c>
      <c r="N330" t="s">
        <v>1323</v>
      </c>
      <c r="O330" t="s">
        <v>1324</v>
      </c>
      <c r="P330" t="s">
        <v>23</v>
      </c>
      <c r="Q330" t="s">
        <v>24</v>
      </c>
      <c r="R330" t="s">
        <v>25</v>
      </c>
      <c r="S330" t="s">
        <v>26</v>
      </c>
      <c r="T330" s="6">
        <v>46307</v>
      </c>
      <c r="U330">
        <v>96</v>
      </c>
      <c r="V330">
        <v>96</v>
      </c>
      <c r="W330">
        <v>84</v>
      </c>
      <c r="X330">
        <v>84</v>
      </c>
      <c r="Y330">
        <f t="shared" si="45"/>
        <v>0</v>
      </c>
      <c r="Z330">
        <f t="shared" si="46"/>
        <v>12</v>
      </c>
      <c r="AA330">
        <f>Z330</f>
        <v>12</v>
      </c>
      <c r="AC330" s="1">
        <v>0</v>
      </c>
      <c r="AF330">
        <f>X330</f>
        <v>84</v>
      </c>
      <c r="AG330" s="7">
        <v>12</v>
      </c>
      <c r="AH330">
        <f t="shared" si="47"/>
        <v>84</v>
      </c>
      <c r="AI330">
        <f t="shared" si="44"/>
        <v>12</v>
      </c>
      <c r="AK330">
        <f t="shared" si="48"/>
        <v>7</v>
      </c>
      <c r="AL330">
        <v>10.06</v>
      </c>
      <c r="AM330" t="s">
        <v>27</v>
      </c>
      <c r="AN330">
        <v>10.06</v>
      </c>
      <c r="AO330" t="b">
        <f t="shared" si="49"/>
        <v>1</v>
      </c>
      <c r="AR330" t="s">
        <v>5061</v>
      </c>
      <c r="AS330" s="21">
        <v>46276</v>
      </c>
      <c r="AT330" t="s">
        <v>5062</v>
      </c>
      <c r="AU330" t="s">
        <v>5068</v>
      </c>
      <c r="AV330" t="s">
        <v>5062</v>
      </c>
      <c r="AW330" t="s">
        <v>5086</v>
      </c>
    </row>
    <row r="331" spans="1:49" x14ac:dyDescent="0.35">
      <c r="A331" t="s">
        <v>871</v>
      </c>
      <c r="B331" t="s">
        <v>872</v>
      </c>
      <c r="C331" t="s">
        <v>4818</v>
      </c>
      <c r="D331" t="s">
        <v>18</v>
      </c>
      <c r="E331" t="s">
        <v>1325</v>
      </c>
      <c r="F331" t="s">
        <v>1326</v>
      </c>
      <c r="G331" t="s">
        <v>21</v>
      </c>
      <c r="H331" t="s">
        <v>4888</v>
      </c>
      <c r="I331" t="s">
        <v>4889</v>
      </c>
      <c r="J331" s="4" t="s">
        <v>4890</v>
      </c>
      <c r="K331" s="4" t="s">
        <v>4891</v>
      </c>
      <c r="L331" s="4" t="s">
        <v>4885</v>
      </c>
      <c r="M331" s="4" t="s">
        <v>5035</v>
      </c>
      <c r="N331" t="s">
        <v>1327</v>
      </c>
      <c r="O331" t="s">
        <v>1328</v>
      </c>
      <c r="P331" t="s">
        <v>23</v>
      </c>
      <c r="Q331" t="s">
        <v>24</v>
      </c>
      <c r="R331" t="s">
        <v>25</v>
      </c>
      <c r="S331" t="s">
        <v>26</v>
      </c>
      <c r="T331" s="6">
        <v>46307</v>
      </c>
      <c r="U331">
        <v>12</v>
      </c>
      <c r="V331">
        <v>12</v>
      </c>
      <c r="W331">
        <v>12</v>
      </c>
      <c r="X331">
        <v>12</v>
      </c>
      <c r="Y331">
        <f t="shared" si="45"/>
        <v>0</v>
      </c>
      <c r="Z331">
        <f t="shared" si="46"/>
        <v>0</v>
      </c>
      <c r="AC331" s="1">
        <v>0</v>
      </c>
      <c r="AF331">
        <f>V331</f>
        <v>12</v>
      </c>
      <c r="AG331" s="7">
        <v>12</v>
      </c>
      <c r="AH331">
        <f t="shared" si="47"/>
        <v>12</v>
      </c>
      <c r="AI331">
        <f t="shared" si="44"/>
        <v>0</v>
      </c>
      <c r="AK331">
        <f t="shared" si="48"/>
        <v>1</v>
      </c>
      <c r="AL331">
        <v>11.2</v>
      </c>
      <c r="AM331" t="s">
        <v>27</v>
      </c>
      <c r="AN331">
        <v>11.2</v>
      </c>
      <c r="AO331" t="b">
        <f t="shared" si="49"/>
        <v>1</v>
      </c>
      <c r="AR331" t="s">
        <v>5061</v>
      </c>
      <c r="AS331" s="21">
        <v>46276</v>
      </c>
      <c r="AT331" t="s">
        <v>5062</v>
      </c>
      <c r="AU331" t="s">
        <v>5067</v>
      </c>
      <c r="AV331" t="s">
        <v>5062</v>
      </c>
      <c r="AW331" t="s">
        <v>5086</v>
      </c>
    </row>
    <row r="332" spans="1:49" x14ac:dyDescent="0.35">
      <c r="A332" t="s">
        <v>871</v>
      </c>
      <c r="B332" t="s">
        <v>872</v>
      </c>
      <c r="C332" t="s">
        <v>4818</v>
      </c>
      <c r="D332" t="s">
        <v>18</v>
      </c>
      <c r="E332" t="s">
        <v>1329</v>
      </c>
      <c r="F332" t="s">
        <v>1330</v>
      </c>
      <c r="G332" t="s">
        <v>21</v>
      </c>
      <c r="H332" t="s">
        <v>4888</v>
      </c>
      <c r="I332" t="s">
        <v>4893</v>
      </c>
      <c r="J332" s="4" t="s">
        <v>4894</v>
      </c>
      <c r="K332" s="4" t="s">
        <v>4913</v>
      </c>
      <c r="L332" s="4" t="s">
        <v>4885</v>
      </c>
      <c r="M332" s="4" t="s">
        <v>5035</v>
      </c>
      <c r="N332" t="s">
        <v>1331</v>
      </c>
      <c r="O332" t="s">
        <v>1332</v>
      </c>
      <c r="P332" t="s">
        <v>23</v>
      </c>
      <c r="Q332" t="s">
        <v>24</v>
      </c>
      <c r="R332" t="s">
        <v>25</v>
      </c>
      <c r="S332" t="s">
        <v>26</v>
      </c>
      <c r="T332" s="6">
        <v>46307</v>
      </c>
      <c r="U332">
        <v>60</v>
      </c>
      <c r="V332">
        <v>60</v>
      </c>
      <c r="W332">
        <v>48</v>
      </c>
      <c r="X332">
        <v>48</v>
      </c>
      <c r="Y332">
        <f t="shared" si="45"/>
        <v>0</v>
      </c>
      <c r="Z332">
        <f t="shared" si="46"/>
        <v>12</v>
      </c>
      <c r="AA332">
        <f>Z332</f>
        <v>12</v>
      </c>
      <c r="AC332" s="1">
        <v>0</v>
      </c>
      <c r="AF332">
        <f>X332</f>
        <v>48</v>
      </c>
      <c r="AG332" s="7">
        <v>12</v>
      </c>
      <c r="AH332">
        <f t="shared" si="47"/>
        <v>48</v>
      </c>
      <c r="AI332">
        <f t="shared" si="44"/>
        <v>12</v>
      </c>
      <c r="AK332">
        <f t="shared" si="48"/>
        <v>4</v>
      </c>
      <c r="AL332">
        <v>9.9499999999999993</v>
      </c>
      <c r="AM332" t="s">
        <v>27</v>
      </c>
      <c r="AN332">
        <v>9.9499999999999993</v>
      </c>
      <c r="AO332" t="b">
        <f t="shared" si="49"/>
        <v>1</v>
      </c>
      <c r="AR332" t="s">
        <v>5061</v>
      </c>
      <c r="AS332" s="21">
        <v>46276</v>
      </c>
      <c r="AT332" t="s">
        <v>5062</v>
      </c>
      <c r="AU332" t="s">
        <v>5068</v>
      </c>
      <c r="AV332" t="s">
        <v>5062</v>
      </c>
      <c r="AW332" t="s">
        <v>5086</v>
      </c>
    </row>
    <row r="333" spans="1:49" x14ac:dyDescent="0.35">
      <c r="A333" t="s">
        <v>871</v>
      </c>
      <c r="B333" t="s">
        <v>872</v>
      </c>
      <c r="C333" t="s">
        <v>4818</v>
      </c>
      <c r="D333" t="s">
        <v>18</v>
      </c>
      <c r="E333" t="s">
        <v>1333</v>
      </c>
      <c r="F333" t="s">
        <v>1334</v>
      </c>
      <c r="G333" t="s">
        <v>21</v>
      </c>
      <c r="H333" t="s">
        <v>4888</v>
      </c>
      <c r="I333" t="s">
        <v>4902</v>
      </c>
      <c r="J333" s="4" t="s">
        <v>4903</v>
      </c>
      <c r="K333" s="4" t="s">
        <v>4915</v>
      </c>
      <c r="L333" s="4" t="s">
        <v>4901</v>
      </c>
      <c r="M333" s="4" t="s">
        <v>5035</v>
      </c>
      <c r="N333" t="s">
        <v>1335</v>
      </c>
      <c r="O333" t="s">
        <v>1336</v>
      </c>
      <c r="P333" t="s">
        <v>23</v>
      </c>
      <c r="Q333" t="s">
        <v>24</v>
      </c>
      <c r="R333" t="s">
        <v>25</v>
      </c>
      <c r="S333" t="s">
        <v>26</v>
      </c>
      <c r="T333" s="6">
        <v>46307</v>
      </c>
      <c r="U333">
        <v>48</v>
      </c>
      <c r="V333">
        <v>48</v>
      </c>
      <c r="W333">
        <v>48</v>
      </c>
      <c r="X333">
        <v>48</v>
      </c>
      <c r="Y333">
        <f t="shared" si="45"/>
        <v>0</v>
      </c>
      <c r="Z333">
        <f t="shared" si="46"/>
        <v>0</v>
      </c>
      <c r="AC333" s="1">
        <v>0</v>
      </c>
      <c r="AF333">
        <f>V333</f>
        <v>48</v>
      </c>
      <c r="AG333" s="7">
        <v>12</v>
      </c>
      <c r="AH333">
        <f t="shared" si="47"/>
        <v>48</v>
      </c>
      <c r="AI333">
        <f t="shared" si="44"/>
        <v>0</v>
      </c>
      <c r="AK333">
        <f t="shared" si="48"/>
        <v>4</v>
      </c>
      <c r="AL333">
        <v>10.66</v>
      </c>
      <c r="AM333" t="s">
        <v>27</v>
      </c>
      <c r="AN333">
        <v>10.66</v>
      </c>
      <c r="AO333" t="b">
        <f t="shared" si="49"/>
        <v>1</v>
      </c>
      <c r="AR333" t="s">
        <v>5061</v>
      </c>
      <c r="AS333" s="21">
        <v>46276</v>
      </c>
      <c r="AT333" t="s">
        <v>5062</v>
      </c>
      <c r="AU333" t="s">
        <v>5069</v>
      </c>
      <c r="AV333" t="s">
        <v>5062</v>
      </c>
      <c r="AW333" t="s">
        <v>5086</v>
      </c>
    </row>
    <row r="334" spans="1:49" x14ac:dyDescent="0.35">
      <c r="A334" t="s">
        <v>871</v>
      </c>
      <c r="B334" t="s">
        <v>872</v>
      </c>
      <c r="C334" t="s">
        <v>4818</v>
      </c>
      <c r="D334" t="s">
        <v>18</v>
      </c>
      <c r="E334" t="s">
        <v>1337</v>
      </c>
      <c r="F334" t="s">
        <v>1338</v>
      </c>
      <c r="G334" t="s">
        <v>21</v>
      </c>
      <c r="H334" t="s">
        <v>4888</v>
      </c>
      <c r="I334" t="s">
        <v>4893</v>
      </c>
      <c r="J334" s="4" t="s">
        <v>4894</v>
      </c>
      <c r="K334" s="4" t="s">
        <v>4913</v>
      </c>
      <c r="L334" s="4" t="s">
        <v>4886</v>
      </c>
      <c r="M334" s="4" t="s">
        <v>5035</v>
      </c>
      <c r="N334" t="s">
        <v>1339</v>
      </c>
      <c r="O334" t="s">
        <v>1340</v>
      </c>
      <c r="P334" t="s">
        <v>23</v>
      </c>
      <c r="Q334" t="s">
        <v>24</v>
      </c>
      <c r="R334" t="s">
        <v>25</v>
      </c>
      <c r="S334" t="s">
        <v>26</v>
      </c>
      <c r="T334" s="6">
        <v>46307</v>
      </c>
      <c r="U334">
        <v>84</v>
      </c>
      <c r="V334">
        <v>84</v>
      </c>
      <c r="W334">
        <v>72</v>
      </c>
      <c r="X334">
        <v>72</v>
      </c>
      <c r="Y334">
        <f t="shared" si="45"/>
        <v>0</v>
      </c>
      <c r="Z334">
        <f t="shared" si="46"/>
        <v>12</v>
      </c>
      <c r="AA334">
        <f>Z334</f>
        <v>12</v>
      </c>
      <c r="AC334" s="1">
        <v>0</v>
      </c>
      <c r="AF334">
        <f>X334</f>
        <v>72</v>
      </c>
      <c r="AG334" s="7">
        <v>12</v>
      </c>
      <c r="AH334">
        <f t="shared" si="47"/>
        <v>72</v>
      </c>
      <c r="AI334">
        <f t="shared" si="44"/>
        <v>12</v>
      </c>
      <c r="AK334">
        <f t="shared" si="48"/>
        <v>6</v>
      </c>
      <c r="AL334">
        <v>9.9499999999999993</v>
      </c>
      <c r="AM334" t="s">
        <v>27</v>
      </c>
      <c r="AN334">
        <v>9.9499999999999993</v>
      </c>
      <c r="AO334" t="b">
        <f t="shared" si="49"/>
        <v>1</v>
      </c>
      <c r="AR334" t="s">
        <v>5061</v>
      </c>
      <c r="AS334" s="21">
        <v>46276</v>
      </c>
      <c r="AT334" t="s">
        <v>5062</v>
      </c>
      <c r="AU334" t="s">
        <v>5068</v>
      </c>
      <c r="AV334" t="s">
        <v>5062</v>
      </c>
      <c r="AW334" t="s">
        <v>5086</v>
      </c>
    </row>
    <row r="335" spans="1:49" x14ac:dyDescent="0.35">
      <c r="A335" t="s">
        <v>871</v>
      </c>
      <c r="B335" t="s">
        <v>872</v>
      </c>
      <c r="C335" t="s">
        <v>4818</v>
      </c>
      <c r="D335" t="s">
        <v>18</v>
      </c>
      <c r="E335" t="s">
        <v>1341</v>
      </c>
      <c r="F335" t="s">
        <v>1342</v>
      </c>
      <c r="G335" t="s">
        <v>21</v>
      </c>
      <c r="H335" t="s">
        <v>4888</v>
      </c>
      <c r="I335" t="s">
        <v>4906</v>
      </c>
      <c r="J335" s="4" t="s">
        <v>4907</v>
      </c>
      <c r="K335" s="4" t="s">
        <v>4908</v>
      </c>
      <c r="L335" s="4" t="s">
        <v>4929</v>
      </c>
      <c r="M335" s="4" t="s">
        <v>5035</v>
      </c>
      <c r="N335" t="s">
        <v>1343</v>
      </c>
      <c r="O335" t="s">
        <v>1344</v>
      </c>
      <c r="P335" t="s">
        <v>23</v>
      </c>
      <c r="Q335" t="s">
        <v>24</v>
      </c>
      <c r="R335" t="s">
        <v>25</v>
      </c>
      <c r="S335" t="s">
        <v>26</v>
      </c>
      <c r="T335" s="6">
        <v>46307</v>
      </c>
      <c r="U335">
        <v>72</v>
      </c>
      <c r="V335">
        <v>72</v>
      </c>
      <c r="W335">
        <v>84</v>
      </c>
      <c r="X335">
        <v>84</v>
      </c>
      <c r="Y335">
        <f t="shared" si="45"/>
        <v>0</v>
      </c>
      <c r="Z335">
        <f t="shared" si="46"/>
        <v>-12</v>
      </c>
      <c r="AC335" s="1">
        <v>0</v>
      </c>
      <c r="AF335">
        <f>V335</f>
        <v>72</v>
      </c>
      <c r="AG335" s="7">
        <v>12</v>
      </c>
      <c r="AH335">
        <f t="shared" si="47"/>
        <v>72</v>
      </c>
      <c r="AI335">
        <f t="shared" si="44"/>
        <v>0</v>
      </c>
      <c r="AK335">
        <f t="shared" si="48"/>
        <v>6</v>
      </c>
      <c r="AL335">
        <v>10.19</v>
      </c>
      <c r="AM335" t="s">
        <v>27</v>
      </c>
      <c r="AN335">
        <v>10.19</v>
      </c>
      <c r="AO335" t="b">
        <f t="shared" si="49"/>
        <v>1</v>
      </c>
      <c r="AR335" t="s">
        <v>5061</v>
      </c>
      <c r="AS335" s="21">
        <v>46276</v>
      </c>
      <c r="AT335" t="s">
        <v>5062</v>
      </c>
      <c r="AU335" t="s">
        <v>5070</v>
      </c>
      <c r="AV335" t="s">
        <v>5062</v>
      </c>
      <c r="AW335" t="s">
        <v>5086</v>
      </c>
    </row>
    <row r="336" spans="1:49" x14ac:dyDescent="0.35">
      <c r="A336" t="s">
        <v>871</v>
      </c>
      <c r="B336" t="s">
        <v>872</v>
      </c>
      <c r="C336" t="s">
        <v>4818</v>
      </c>
      <c r="D336" t="s">
        <v>18</v>
      </c>
      <c r="E336" t="s">
        <v>1345</v>
      </c>
      <c r="F336" t="s">
        <v>1346</v>
      </c>
      <c r="G336" t="s">
        <v>21</v>
      </c>
      <c r="H336" t="s">
        <v>4888</v>
      </c>
      <c r="I336" t="s">
        <v>4902</v>
      </c>
      <c r="J336" s="4" t="s">
        <v>4903</v>
      </c>
      <c r="K336" s="4" t="s">
        <v>4899</v>
      </c>
      <c r="L336" s="4" t="s">
        <v>4922</v>
      </c>
      <c r="M336" s="4" t="s">
        <v>5035</v>
      </c>
      <c r="N336" t="s">
        <v>1347</v>
      </c>
      <c r="O336" t="s">
        <v>1348</v>
      </c>
      <c r="P336" t="s">
        <v>23</v>
      </c>
      <c r="Q336" t="s">
        <v>24</v>
      </c>
      <c r="R336" t="s">
        <v>25</v>
      </c>
      <c r="S336" t="s">
        <v>26</v>
      </c>
      <c r="T336" s="6">
        <v>46307</v>
      </c>
      <c r="U336">
        <v>108</v>
      </c>
      <c r="V336">
        <v>108</v>
      </c>
      <c r="W336">
        <v>108</v>
      </c>
      <c r="X336">
        <v>108</v>
      </c>
      <c r="Y336">
        <f t="shared" si="45"/>
        <v>0</v>
      </c>
      <c r="Z336">
        <f t="shared" si="46"/>
        <v>0</v>
      </c>
      <c r="AC336" s="1">
        <v>0</v>
      </c>
      <c r="AF336">
        <f>V336</f>
        <v>108</v>
      </c>
      <c r="AG336" s="7">
        <v>12</v>
      </c>
      <c r="AH336">
        <f t="shared" si="47"/>
        <v>108</v>
      </c>
      <c r="AI336">
        <f t="shared" si="44"/>
        <v>0</v>
      </c>
      <c r="AK336">
        <f t="shared" si="48"/>
        <v>9</v>
      </c>
      <c r="AL336">
        <v>10.49</v>
      </c>
      <c r="AM336" t="s">
        <v>27</v>
      </c>
      <c r="AN336">
        <v>10.49</v>
      </c>
      <c r="AO336" t="b">
        <f t="shared" si="49"/>
        <v>1</v>
      </c>
      <c r="AR336" t="s">
        <v>5061</v>
      </c>
      <c r="AS336" s="21">
        <v>46276</v>
      </c>
      <c r="AT336" t="s">
        <v>5062</v>
      </c>
      <c r="AU336" t="s">
        <v>5069</v>
      </c>
      <c r="AV336" t="s">
        <v>5062</v>
      </c>
      <c r="AW336" t="s">
        <v>5086</v>
      </c>
    </row>
    <row r="337" spans="1:49" x14ac:dyDescent="0.35">
      <c r="A337" t="s">
        <v>871</v>
      </c>
      <c r="B337" t="s">
        <v>872</v>
      </c>
      <c r="C337" t="s">
        <v>4818</v>
      </c>
      <c r="D337" t="s">
        <v>18</v>
      </c>
      <c r="E337" t="s">
        <v>1349</v>
      </c>
      <c r="F337" t="s">
        <v>1350</v>
      </c>
      <c r="G337" t="s">
        <v>21</v>
      </c>
      <c r="H337" t="s">
        <v>4888</v>
      </c>
      <c r="I337" t="s">
        <v>4906</v>
      </c>
      <c r="J337" s="4" t="s">
        <v>4907</v>
      </c>
      <c r="K337" s="4" t="s">
        <v>4908</v>
      </c>
      <c r="L337" s="4" t="s">
        <v>4863</v>
      </c>
      <c r="M337" s="4" t="s">
        <v>5035</v>
      </c>
      <c r="N337" t="s">
        <v>1351</v>
      </c>
      <c r="O337" t="s">
        <v>1352</v>
      </c>
      <c r="P337" t="s">
        <v>23</v>
      </c>
      <c r="Q337" t="s">
        <v>24</v>
      </c>
      <c r="R337" t="s">
        <v>25</v>
      </c>
      <c r="S337" t="s">
        <v>26</v>
      </c>
      <c r="T337" s="6">
        <v>46307</v>
      </c>
      <c r="U337">
        <v>120</v>
      </c>
      <c r="V337">
        <v>120</v>
      </c>
      <c r="W337">
        <v>132</v>
      </c>
      <c r="X337">
        <v>132</v>
      </c>
      <c r="Y337">
        <f t="shared" si="45"/>
        <v>0</v>
      </c>
      <c r="Z337">
        <f t="shared" si="46"/>
        <v>-12</v>
      </c>
      <c r="AC337" s="1">
        <v>0</v>
      </c>
      <c r="AF337">
        <f>V337</f>
        <v>120</v>
      </c>
      <c r="AG337" s="7">
        <v>12</v>
      </c>
      <c r="AH337">
        <f t="shared" si="47"/>
        <v>120</v>
      </c>
      <c r="AI337">
        <f t="shared" si="44"/>
        <v>0</v>
      </c>
      <c r="AK337">
        <f t="shared" si="48"/>
        <v>10</v>
      </c>
      <c r="AL337">
        <v>10.19</v>
      </c>
      <c r="AM337" t="s">
        <v>27</v>
      </c>
      <c r="AN337">
        <v>10.19</v>
      </c>
      <c r="AO337" t="b">
        <f t="shared" si="49"/>
        <v>1</v>
      </c>
      <c r="AR337" t="s">
        <v>5061</v>
      </c>
      <c r="AS337" s="21">
        <v>46276</v>
      </c>
      <c r="AT337" t="s">
        <v>5062</v>
      </c>
      <c r="AU337" t="s">
        <v>5070</v>
      </c>
      <c r="AV337" t="s">
        <v>5062</v>
      </c>
      <c r="AW337" t="s">
        <v>5086</v>
      </c>
    </row>
    <row r="338" spans="1:49" x14ac:dyDescent="0.35">
      <c r="A338" t="s">
        <v>871</v>
      </c>
      <c r="B338" t="s">
        <v>872</v>
      </c>
      <c r="C338" t="s">
        <v>4818</v>
      </c>
      <c r="D338" t="s">
        <v>18</v>
      </c>
      <c r="E338" t="s">
        <v>1353</v>
      </c>
      <c r="F338" t="s">
        <v>1354</v>
      </c>
      <c r="G338" t="s">
        <v>21</v>
      </c>
      <c r="H338" t="s">
        <v>4888</v>
      </c>
      <c r="I338" t="s">
        <v>4906</v>
      </c>
      <c r="J338" s="4" t="s">
        <v>4907</v>
      </c>
      <c r="K338" s="4" t="s">
        <v>4908</v>
      </c>
      <c r="L338" s="4" t="s">
        <v>4900</v>
      </c>
      <c r="M338" s="4" t="s">
        <v>5035</v>
      </c>
      <c r="N338" t="s">
        <v>1355</v>
      </c>
      <c r="O338" t="s">
        <v>1356</v>
      </c>
      <c r="P338" t="s">
        <v>23</v>
      </c>
      <c r="Q338" t="s">
        <v>24</v>
      </c>
      <c r="R338" t="s">
        <v>25</v>
      </c>
      <c r="S338" t="s">
        <v>26</v>
      </c>
      <c r="T338" s="6">
        <v>46307</v>
      </c>
      <c r="U338">
        <v>72</v>
      </c>
      <c r="V338">
        <v>72</v>
      </c>
      <c r="W338">
        <v>72</v>
      </c>
      <c r="X338">
        <v>72</v>
      </c>
      <c r="Y338">
        <f t="shared" si="45"/>
        <v>0</v>
      </c>
      <c r="Z338">
        <f t="shared" si="46"/>
        <v>0</v>
      </c>
      <c r="AC338" s="1">
        <v>0</v>
      </c>
      <c r="AF338">
        <f>V338</f>
        <v>72</v>
      </c>
      <c r="AG338" s="7">
        <v>12</v>
      </c>
      <c r="AH338">
        <f t="shared" si="47"/>
        <v>72</v>
      </c>
      <c r="AI338">
        <f t="shared" si="44"/>
        <v>0</v>
      </c>
      <c r="AK338">
        <f t="shared" si="48"/>
        <v>6</v>
      </c>
      <c r="AL338">
        <v>10.19</v>
      </c>
      <c r="AM338" t="s">
        <v>27</v>
      </c>
      <c r="AN338">
        <v>10.19</v>
      </c>
      <c r="AO338" t="b">
        <f t="shared" si="49"/>
        <v>1</v>
      </c>
      <c r="AR338" t="s">
        <v>5061</v>
      </c>
      <c r="AS338" s="21">
        <v>46276</v>
      </c>
      <c r="AT338" t="s">
        <v>5062</v>
      </c>
      <c r="AU338" t="s">
        <v>5070</v>
      </c>
      <c r="AV338" t="s">
        <v>5062</v>
      </c>
      <c r="AW338" t="s">
        <v>5086</v>
      </c>
    </row>
    <row r="339" spans="1:49" x14ac:dyDescent="0.35">
      <c r="A339" t="s">
        <v>871</v>
      </c>
      <c r="B339" t="s">
        <v>872</v>
      </c>
      <c r="C339" t="s">
        <v>4818</v>
      </c>
      <c r="D339" t="s">
        <v>18</v>
      </c>
      <c r="E339" t="s">
        <v>1357</v>
      </c>
      <c r="F339" t="s">
        <v>1358</v>
      </c>
      <c r="G339" t="s">
        <v>21</v>
      </c>
      <c r="H339" t="s">
        <v>4888</v>
      </c>
      <c r="I339" t="s">
        <v>4893</v>
      </c>
      <c r="J339" s="4" t="s">
        <v>4894</v>
      </c>
      <c r="K339" s="4" t="s">
        <v>4913</v>
      </c>
      <c r="L339" s="4" t="s">
        <v>4880</v>
      </c>
      <c r="M339" s="4" t="s">
        <v>5035</v>
      </c>
      <c r="N339" t="s">
        <v>1359</v>
      </c>
      <c r="O339" t="s">
        <v>1360</v>
      </c>
      <c r="P339" t="s">
        <v>23</v>
      </c>
      <c r="Q339" t="s">
        <v>24</v>
      </c>
      <c r="R339" t="s">
        <v>25</v>
      </c>
      <c r="S339" t="s">
        <v>26</v>
      </c>
      <c r="T339" s="6">
        <v>46307</v>
      </c>
      <c r="U339">
        <v>36</v>
      </c>
      <c r="V339">
        <v>36</v>
      </c>
      <c r="W339">
        <v>36</v>
      </c>
      <c r="X339">
        <v>36</v>
      </c>
      <c r="Y339">
        <f t="shared" si="45"/>
        <v>0</v>
      </c>
      <c r="Z339">
        <f t="shared" si="46"/>
        <v>0</v>
      </c>
      <c r="AC339" s="1">
        <v>0</v>
      </c>
      <c r="AF339">
        <f>V339</f>
        <v>36</v>
      </c>
      <c r="AG339" s="7">
        <v>12</v>
      </c>
      <c r="AH339">
        <f t="shared" si="47"/>
        <v>36</v>
      </c>
      <c r="AI339">
        <f t="shared" si="44"/>
        <v>0</v>
      </c>
      <c r="AK339">
        <f t="shared" si="48"/>
        <v>3</v>
      </c>
      <c r="AL339">
        <v>9.9499999999999993</v>
      </c>
      <c r="AM339" t="s">
        <v>27</v>
      </c>
      <c r="AN339">
        <v>9.9499999999999993</v>
      </c>
      <c r="AO339" t="b">
        <f t="shared" si="49"/>
        <v>1</v>
      </c>
      <c r="AR339" t="s">
        <v>5061</v>
      </c>
      <c r="AS339" s="21">
        <v>46276</v>
      </c>
      <c r="AT339" t="s">
        <v>5062</v>
      </c>
      <c r="AU339" t="s">
        <v>5068</v>
      </c>
      <c r="AV339" t="s">
        <v>5062</v>
      </c>
      <c r="AW339" t="s">
        <v>5086</v>
      </c>
    </row>
    <row r="340" spans="1:49" x14ac:dyDescent="0.35">
      <c r="A340" t="s">
        <v>871</v>
      </c>
      <c r="B340" t="s">
        <v>872</v>
      </c>
      <c r="C340" t="s">
        <v>4818</v>
      </c>
      <c r="D340" t="s">
        <v>18</v>
      </c>
      <c r="E340" t="s">
        <v>1361</v>
      </c>
      <c r="F340" t="s">
        <v>1362</v>
      </c>
      <c r="G340" t="s">
        <v>21</v>
      </c>
      <c r="H340" t="s">
        <v>4888</v>
      </c>
      <c r="I340" t="s">
        <v>4893</v>
      </c>
      <c r="J340" s="4" t="s">
        <v>4894</v>
      </c>
      <c r="K340" s="4" t="s">
        <v>4837</v>
      </c>
      <c r="L340" s="4" t="s">
        <v>4884</v>
      </c>
      <c r="M340" s="4" t="s">
        <v>5035</v>
      </c>
      <c r="N340" t="s">
        <v>1363</v>
      </c>
      <c r="O340" t="s">
        <v>1364</v>
      </c>
      <c r="P340" t="s">
        <v>23</v>
      </c>
      <c r="Q340" t="s">
        <v>24</v>
      </c>
      <c r="R340" t="s">
        <v>25</v>
      </c>
      <c r="S340" t="s">
        <v>26</v>
      </c>
      <c r="T340" s="6">
        <v>46307</v>
      </c>
      <c r="U340">
        <v>156</v>
      </c>
      <c r="V340">
        <v>156</v>
      </c>
      <c r="W340">
        <v>144</v>
      </c>
      <c r="X340">
        <v>144</v>
      </c>
      <c r="Y340">
        <f t="shared" si="45"/>
        <v>0</v>
      </c>
      <c r="Z340">
        <f t="shared" si="46"/>
        <v>12</v>
      </c>
      <c r="AA340">
        <f t="shared" ref="AA340:AA342" si="50">Z340</f>
        <v>12</v>
      </c>
      <c r="AC340" s="1">
        <v>0</v>
      </c>
      <c r="AF340">
        <f>X340</f>
        <v>144</v>
      </c>
      <c r="AG340" s="7">
        <v>12</v>
      </c>
      <c r="AH340">
        <f t="shared" si="47"/>
        <v>144</v>
      </c>
      <c r="AI340">
        <f t="shared" si="44"/>
        <v>12</v>
      </c>
      <c r="AK340">
        <f t="shared" si="48"/>
        <v>12</v>
      </c>
      <c r="AL340">
        <v>10.06</v>
      </c>
      <c r="AM340" t="s">
        <v>27</v>
      </c>
      <c r="AN340">
        <v>10.06</v>
      </c>
      <c r="AO340" t="b">
        <f t="shared" si="49"/>
        <v>1</v>
      </c>
      <c r="AR340" t="s">
        <v>5061</v>
      </c>
      <c r="AS340" s="21">
        <v>46276</v>
      </c>
      <c r="AT340" t="s">
        <v>5062</v>
      </c>
      <c r="AU340" t="s">
        <v>5068</v>
      </c>
      <c r="AV340" t="s">
        <v>5062</v>
      </c>
      <c r="AW340" t="s">
        <v>5086</v>
      </c>
    </row>
    <row r="341" spans="1:49" x14ac:dyDescent="0.35">
      <c r="A341" t="s">
        <v>871</v>
      </c>
      <c r="B341" t="s">
        <v>872</v>
      </c>
      <c r="C341" t="s">
        <v>4818</v>
      </c>
      <c r="D341" t="s">
        <v>18</v>
      </c>
      <c r="E341" t="s">
        <v>1365</v>
      </c>
      <c r="F341" t="s">
        <v>1366</v>
      </c>
      <c r="G341" t="s">
        <v>21</v>
      </c>
      <c r="H341" t="s">
        <v>4888</v>
      </c>
      <c r="I341" t="s">
        <v>4893</v>
      </c>
      <c r="J341" s="4" t="s">
        <v>4894</v>
      </c>
      <c r="K341" s="4" t="s">
        <v>4837</v>
      </c>
      <c r="L341" s="4" t="s">
        <v>4926</v>
      </c>
      <c r="M341" s="4" t="s">
        <v>5035</v>
      </c>
      <c r="N341" t="s">
        <v>1367</v>
      </c>
      <c r="O341" t="s">
        <v>1368</v>
      </c>
      <c r="P341" t="s">
        <v>23</v>
      </c>
      <c r="Q341" t="s">
        <v>24</v>
      </c>
      <c r="R341" t="s">
        <v>25</v>
      </c>
      <c r="S341" t="s">
        <v>26</v>
      </c>
      <c r="T341" s="6">
        <v>46307</v>
      </c>
      <c r="U341">
        <v>48</v>
      </c>
      <c r="V341">
        <v>48</v>
      </c>
      <c r="W341">
        <v>36</v>
      </c>
      <c r="X341">
        <v>36</v>
      </c>
      <c r="Y341">
        <f t="shared" si="45"/>
        <v>0</v>
      </c>
      <c r="Z341">
        <f t="shared" si="46"/>
        <v>12</v>
      </c>
      <c r="AA341">
        <f t="shared" si="50"/>
        <v>12</v>
      </c>
      <c r="AC341" s="1">
        <v>0</v>
      </c>
      <c r="AF341">
        <f>X341</f>
        <v>36</v>
      </c>
      <c r="AG341" s="7">
        <v>12</v>
      </c>
      <c r="AH341">
        <f t="shared" si="47"/>
        <v>36</v>
      </c>
      <c r="AI341">
        <f t="shared" si="44"/>
        <v>12</v>
      </c>
      <c r="AK341">
        <f t="shared" si="48"/>
        <v>3</v>
      </c>
      <c r="AL341">
        <v>10.06</v>
      </c>
      <c r="AM341" t="s">
        <v>27</v>
      </c>
      <c r="AN341">
        <v>10.06</v>
      </c>
      <c r="AO341" t="b">
        <f t="shared" si="49"/>
        <v>1</v>
      </c>
      <c r="AR341" t="s">
        <v>5061</v>
      </c>
      <c r="AS341" s="21">
        <v>46276</v>
      </c>
      <c r="AT341" t="s">
        <v>5062</v>
      </c>
      <c r="AU341" t="s">
        <v>5068</v>
      </c>
      <c r="AV341" t="s">
        <v>5062</v>
      </c>
      <c r="AW341" t="s">
        <v>5086</v>
      </c>
    </row>
    <row r="342" spans="1:49" x14ac:dyDescent="0.35">
      <c r="A342" t="s">
        <v>871</v>
      </c>
      <c r="B342" t="s">
        <v>872</v>
      </c>
      <c r="C342" t="s">
        <v>4818</v>
      </c>
      <c r="D342" t="s">
        <v>18</v>
      </c>
      <c r="E342" t="s">
        <v>1369</v>
      </c>
      <c r="F342" t="s">
        <v>1370</v>
      </c>
      <c r="G342" t="s">
        <v>21</v>
      </c>
      <c r="H342" t="s">
        <v>4888</v>
      </c>
      <c r="I342" t="s">
        <v>4893</v>
      </c>
      <c r="J342" s="4" t="s">
        <v>4894</v>
      </c>
      <c r="K342" s="4" t="s">
        <v>4837</v>
      </c>
      <c r="L342" s="4" t="s">
        <v>4932</v>
      </c>
      <c r="M342" s="4" t="s">
        <v>5035</v>
      </c>
      <c r="N342" t="s">
        <v>1371</v>
      </c>
      <c r="O342" t="s">
        <v>1372</v>
      </c>
      <c r="P342" t="s">
        <v>23</v>
      </c>
      <c r="Q342" t="s">
        <v>24</v>
      </c>
      <c r="R342" t="s">
        <v>25</v>
      </c>
      <c r="S342" t="s">
        <v>26</v>
      </c>
      <c r="T342" s="6">
        <v>46307</v>
      </c>
      <c r="U342">
        <v>72</v>
      </c>
      <c r="V342">
        <v>72</v>
      </c>
      <c r="W342">
        <v>60</v>
      </c>
      <c r="X342">
        <v>60</v>
      </c>
      <c r="Y342">
        <f t="shared" si="45"/>
        <v>0</v>
      </c>
      <c r="Z342">
        <f t="shared" si="46"/>
        <v>12</v>
      </c>
      <c r="AA342">
        <f t="shared" si="50"/>
        <v>12</v>
      </c>
      <c r="AC342" s="1">
        <v>0</v>
      </c>
      <c r="AF342">
        <f>X342</f>
        <v>60</v>
      </c>
      <c r="AG342" s="7">
        <v>12</v>
      </c>
      <c r="AH342">
        <f t="shared" si="47"/>
        <v>60</v>
      </c>
      <c r="AI342">
        <f t="shared" si="44"/>
        <v>12</v>
      </c>
      <c r="AK342">
        <f t="shared" si="48"/>
        <v>5</v>
      </c>
      <c r="AL342">
        <v>10.06</v>
      </c>
      <c r="AM342" t="s">
        <v>27</v>
      </c>
      <c r="AN342">
        <v>10.06</v>
      </c>
      <c r="AO342" t="b">
        <f t="shared" si="49"/>
        <v>1</v>
      </c>
      <c r="AR342" t="s">
        <v>5061</v>
      </c>
      <c r="AS342" s="21">
        <v>46276</v>
      </c>
      <c r="AT342" t="s">
        <v>5062</v>
      </c>
      <c r="AU342" t="s">
        <v>5068</v>
      </c>
      <c r="AV342" t="s">
        <v>5062</v>
      </c>
      <c r="AW342" t="s">
        <v>5086</v>
      </c>
    </row>
    <row r="343" spans="1:49" x14ac:dyDescent="0.35">
      <c r="A343" t="s">
        <v>871</v>
      </c>
      <c r="B343" t="s">
        <v>872</v>
      </c>
      <c r="C343" t="s">
        <v>4818</v>
      </c>
      <c r="D343" t="s">
        <v>18</v>
      </c>
      <c r="E343" t="s">
        <v>1373</v>
      </c>
      <c r="F343" t="s">
        <v>1374</v>
      </c>
      <c r="G343" t="s">
        <v>21</v>
      </c>
      <c r="H343" t="s">
        <v>4888</v>
      </c>
      <c r="I343" t="s">
        <v>4893</v>
      </c>
      <c r="J343" s="4" t="s">
        <v>4894</v>
      </c>
      <c r="K343" s="4" t="s">
        <v>4904</v>
      </c>
      <c r="L343" s="4" t="s">
        <v>4863</v>
      </c>
      <c r="M343" s="4" t="s">
        <v>5035</v>
      </c>
      <c r="N343" t="s">
        <v>1375</v>
      </c>
      <c r="O343" t="s">
        <v>1376</v>
      </c>
      <c r="P343" t="s">
        <v>23</v>
      </c>
      <c r="Q343" t="s">
        <v>24</v>
      </c>
      <c r="R343" t="s">
        <v>25</v>
      </c>
      <c r="S343" t="s">
        <v>26</v>
      </c>
      <c r="T343" s="6">
        <v>46307</v>
      </c>
      <c r="U343">
        <v>12</v>
      </c>
      <c r="V343">
        <v>12</v>
      </c>
      <c r="W343">
        <v>12</v>
      </c>
      <c r="X343">
        <v>12</v>
      </c>
      <c r="Y343">
        <f t="shared" si="45"/>
        <v>0</v>
      </c>
      <c r="Z343">
        <f t="shared" si="46"/>
        <v>0</v>
      </c>
      <c r="AC343" s="1">
        <v>0</v>
      </c>
      <c r="AF343">
        <f>V343</f>
        <v>12</v>
      </c>
      <c r="AG343" s="7">
        <v>12</v>
      </c>
      <c r="AH343">
        <f t="shared" si="47"/>
        <v>12</v>
      </c>
      <c r="AI343">
        <f t="shared" si="44"/>
        <v>0</v>
      </c>
      <c r="AK343">
        <f t="shared" si="48"/>
        <v>1</v>
      </c>
      <c r="AL343">
        <v>10.16</v>
      </c>
      <c r="AM343" t="s">
        <v>27</v>
      </c>
      <c r="AN343">
        <v>10.16</v>
      </c>
      <c r="AO343" t="b">
        <f t="shared" si="49"/>
        <v>1</v>
      </c>
      <c r="AR343" t="s">
        <v>5061</v>
      </c>
      <c r="AS343" s="21">
        <v>46276</v>
      </c>
      <c r="AT343" t="s">
        <v>5062</v>
      </c>
      <c r="AU343" t="s">
        <v>5068</v>
      </c>
      <c r="AV343" t="s">
        <v>5062</v>
      </c>
      <c r="AW343" t="s">
        <v>5086</v>
      </c>
    </row>
    <row r="344" spans="1:49" x14ac:dyDescent="0.35">
      <c r="A344" t="s">
        <v>871</v>
      </c>
      <c r="B344" t="s">
        <v>872</v>
      </c>
      <c r="C344" t="s">
        <v>4818</v>
      </c>
      <c r="D344" t="s">
        <v>18</v>
      </c>
      <c r="E344" t="s">
        <v>1377</v>
      </c>
      <c r="F344" t="s">
        <v>1378</v>
      </c>
      <c r="G344" t="s">
        <v>21</v>
      </c>
      <c r="H344" t="s">
        <v>4888</v>
      </c>
      <c r="I344" t="s">
        <v>4893</v>
      </c>
      <c r="J344" s="4" t="s">
        <v>4894</v>
      </c>
      <c r="K344" s="4" t="s">
        <v>4896</v>
      </c>
      <c r="L344" s="4" t="s">
        <v>4927</v>
      </c>
      <c r="M344" s="4" t="s">
        <v>5035</v>
      </c>
      <c r="N344" t="s">
        <v>1379</v>
      </c>
      <c r="O344" t="s">
        <v>1380</v>
      </c>
      <c r="P344" t="s">
        <v>23</v>
      </c>
      <c r="Q344" t="s">
        <v>24</v>
      </c>
      <c r="R344" t="s">
        <v>25</v>
      </c>
      <c r="S344" t="s">
        <v>26</v>
      </c>
      <c r="T344" s="6">
        <v>46307</v>
      </c>
      <c r="U344">
        <v>96</v>
      </c>
      <c r="V344">
        <v>96</v>
      </c>
      <c r="W344">
        <v>84</v>
      </c>
      <c r="X344">
        <v>84</v>
      </c>
      <c r="Y344">
        <f t="shared" si="45"/>
        <v>0</v>
      </c>
      <c r="Z344">
        <f t="shared" si="46"/>
        <v>12</v>
      </c>
      <c r="AA344">
        <f t="shared" ref="AA344:AA345" si="51">Z344</f>
        <v>12</v>
      </c>
      <c r="AC344" s="1">
        <v>0</v>
      </c>
      <c r="AF344">
        <f>X344</f>
        <v>84</v>
      </c>
      <c r="AG344" s="7">
        <v>12</v>
      </c>
      <c r="AH344">
        <f t="shared" si="47"/>
        <v>84</v>
      </c>
      <c r="AI344">
        <f t="shared" si="44"/>
        <v>12</v>
      </c>
      <c r="AK344">
        <f t="shared" si="48"/>
        <v>7</v>
      </c>
      <c r="AL344">
        <v>10.220000000000001</v>
      </c>
      <c r="AM344" t="s">
        <v>27</v>
      </c>
      <c r="AN344">
        <v>10.220000000000001</v>
      </c>
      <c r="AO344" t="b">
        <f t="shared" si="49"/>
        <v>1</v>
      </c>
      <c r="AR344" t="s">
        <v>5061</v>
      </c>
      <c r="AS344" s="21">
        <v>46276</v>
      </c>
      <c r="AT344" t="s">
        <v>5062</v>
      </c>
      <c r="AU344" t="s">
        <v>5068</v>
      </c>
      <c r="AV344" t="s">
        <v>5062</v>
      </c>
      <c r="AW344" t="s">
        <v>5086</v>
      </c>
    </row>
    <row r="345" spans="1:49" x14ac:dyDescent="0.35">
      <c r="A345" t="s">
        <v>871</v>
      </c>
      <c r="B345" t="s">
        <v>872</v>
      </c>
      <c r="C345" t="s">
        <v>4818</v>
      </c>
      <c r="D345" t="s">
        <v>18</v>
      </c>
      <c r="E345" t="s">
        <v>1381</v>
      </c>
      <c r="F345" t="s">
        <v>1382</v>
      </c>
      <c r="G345" t="s">
        <v>21</v>
      </c>
      <c r="H345" t="s">
        <v>4888</v>
      </c>
      <c r="I345" t="s">
        <v>4893</v>
      </c>
      <c r="J345" s="4" t="s">
        <v>4894</v>
      </c>
      <c r="K345" s="4" t="s">
        <v>4896</v>
      </c>
      <c r="L345" s="4" t="s">
        <v>4898</v>
      </c>
      <c r="M345" s="4" t="s">
        <v>5035</v>
      </c>
      <c r="N345" t="s">
        <v>1383</v>
      </c>
      <c r="O345" t="s">
        <v>1384</v>
      </c>
      <c r="P345" t="s">
        <v>23</v>
      </c>
      <c r="Q345" t="s">
        <v>24</v>
      </c>
      <c r="R345" t="s">
        <v>25</v>
      </c>
      <c r="S345" t="s">
        <v>26</v>
      </c>
      <c r="T345" s="6">
        <v>46307</v>
      </c>
      <c r="U345">
        <v>108</v>
      </c>
      <c r="V345">
        <v>108</v>
      </c>
      <c r="W345">
        <v>96</v>
      </c>
      <c r="X345">
        <v>96</v>
      </c>
      <c r="Y345">
        <f t="shared" si="45"/>
        <v>0</v>
      </c>
      <c r="Z345">
        <f t="shared" si="46"/>
        <v>12</v>
      </c>
      <c r="AA345">
        <f t="shared" si="51"/>
        <v>12</v>
      </c>
      <c r="AC345" s="1">
        <v>0</v>
      </c>
      <c r="AF345">
        <f>X345</f>
        <v>96</v>
      </c>
      <c r="AG345" s="7">
        <v>12</v>
      </c>
      <c r="AH345">
        <f t="shared" si="47"/>
        <v>96</v>
      </c>
      <c r="AI345">
        <f t="shared" si="44"/>
        <v>12</v>
      </c>
      <c r="AK345">
        <f t="shared" si="48"/>
        <v>8</v>
      </c>
      <c r="AL345">
        <v>10.220000000000001</v>
      </c>
      <c r="AM345" t="s">
        <v>27</v>
      </c>
      <c r="AN345">
        <v>10.220000000000001</v>
      </c>
      <c r="AO345" t="b">
        <f t="shared" si="49"/>
        <v>1</v>
      </c>
      <c r="AR345" t="s">
        <v>5061</v>
      </c>
      <c r="AS345" s="21">
        <v>46276</v>
      </c>
      <c r="AT345" t="s">
        <v>5062</v>
      </c>
      <c r="AU345" t="s">
        <v>5068</v>
      </c>
      <c r="AV345" t="s">
        <v>5062</v>
      </c>
      <c r="AW345" t="s">
        <v>5086</v>
      </c>
    </row>
    <row r="346" spans="1:49" x14ac:dyDescent="0.35">
      <c r="A346" t="s">
        <v>871</v>
      </c>
      <c r="B346" t="s">
        <v>872</v>
      </c>
      <c r="C346" t="s">
        <v>4818</v>
      </c>
      <c r="D346" t="s">
        <v>18</v>
      </c>
      <c r="E346" t="s">
        <v>1385</v>
      </c>
      <c r="F346" t="s">
        <v>1386</v>
      </c>
      <c r="G346" t="s">
        <v>21</v>
      </c>
      <c r="H346" t="s">
        <v>4888</v>
      </c>
      <c r="I346" t="s">
        <v>4889</v>
      </c>
      <c r="J346" s="4" t="s">
        <v>4890</v>
      </c>
      <c r="K346" s="4" t="s">
        <v>4911</v>
      </c>
      <c r="L346" s="4" t="s">
        <v>4905</v>
      </c>
      <c r="M346" s="4" t="s">
        <v>5035</v>
      </c>
      <c r="N346" t="s">
        <v>1387</v>
      </c>
      <c r="O346" t="s">
        <v>1388</v>
      </c>
      <c r="P346" t="s">
        <v>23</v>
      </c>
      <c r="Q346" t="s">
        <v>24</v>
      </c>
      <c r="R346" t="s">
        <v>25</v>
      </c>
      <c r="S346" t="s">
        <v>26</v>
      </c>
      <c r="T346" s="6">
        <v>46307</v>
      </c>
      <c r="U346">
        <v>60</v>
      </c>
      <c r="V346">
        <v>60</v>
      </c>
      <c r="W346">
        <v>60</v>
      </c>
      <c r="X346">
        <v>60</v>
      </c>
      <c r="Y346">
        <f t="shared" si="45"/>
        <v>0</v>
      </c>
      <c r="Z346">
        <f t="shared" si="46"/>
        <v>0</v>
      </c>
      <c r="AC346" s="1">
        <v>0</v>
      </c>
      <c r="AF346">
        <f>V346</f>
        <v>60</v>
      </c>
      <c r="AG346" s="7">
        <v>12</v>
      </c>
      <c r="AH346">
        <f t="shared" si="47"/>
        <v>60</v>
      </c>
      <c r="AI346">
        <f t="shared" si="44"/>
        <v>0</v>
      </c>
      <c r="AK346">
        <f t="shared" si="48"/>
        <v>5</v>
      </c>
      <c r="AL346">
        <v>11.87</v>
      </c>
      <c r="AM346" t="s">
        <v>27</v>
      </c>
      <c r="AN346">
        <v>11.87</v>
      </c>
      <c r="AO346" t="b">
        <f t="shared" si="49"/>
        <v>1</v>
      </c>
      <c r="AR346" t="s">
        <v>5061</v>
      </c>
      <c r="AS346" s="21">
        <v>46276</v>
      </c>
      <c r="AT346" t="s">
        <v>5062</v>
      </c>
      <c r="AU346" t="s">
        <v>5067</v>
      </c>
      <c r="AV346" t="s">
        <v>5062</v>
      </c>
      <c r="AW346" t="s">
        <v>5086</v>
      </c>
    </row>
    <row r="347" spans="1:49" x14ac:dyDescent="0.35">
      <c r="A347" t="s">
        <v>871</v>
      </c>
      <c r="B347" t="s">
        <v>872</v>
      </c>
      <c r="C347" t="s">
        <v>4818</v>
      </c>
      <c r="D347" t="s">
        <v>18</v>
      </c>
      <c r="E347" t="s">
        <v>1389</v>
      </c>
      <c r="F347" t="s">
        <v>1390</v>
      </c>
      <c r="G347" t="s">
        <v>21</v>
      </c>
      <c r="H347" t="s">
        <v>4888</v>
      </c>
      <c r="I347" t="s">
        <v>4889</v>
      </c>
      <c r="J347" s="4" t="s">
        <v>4890</v>
      </c>
      <c r="K347" s="4" t="s">
        <v>4911</v>
      </c>
      <c r="L347" s="4" t="s">
        <v>4880</v>
      </c>
      <c r="M347" s="4" t="s">
        <v>5035</v>
      </c>
      <c r="N347" t="s">
        <v>1391</v>
      </c>
      <c r="O347" t="s">
        <v>1392</v>
      </c>
      <c r="P347" t="s">
        <v>23</v>
      </c>
      <c r="Q347" t="s">
        <v>24</v>
      </c>
      <c r="R347" t="s">
        <v>25</v>
      </c>
      <c r="S347" t="s">
        <v>26</v>
      </c>
      <c r="T347" s="6">
        <v>46307</v>
      </c>
      <c r="U347">
        <v>120</v>
      </c>
      <c r="V347">
        <v>120</v>
      </c>
      <c r="W347">
        <v>120</v>
      </c>
      <c r="X347">
        <v>120</v>
      </c>
      <c r="Y347">
        <f t="shared" si="45"/>
        <v>0</v>
      </c>
      <c r="Z347">
        <f t="shared" si="46"/>
        <v>0</v>
      </c>
      <c r="AC347" s="1">
        <v>0</v>
      </c>
      <c r="AF347">
        <f>V347</f>
        <v>120</v>
      </c>
      <c r="AG347" s="7">
        <v>12</v>
      </c>
      <c r="AH347">
        <f t="shared" si="47"/>
        <v>120</v>
      </c>
      <c r="AI347">
        <f t="shared" si="44"/>
        <v>0</v>
      </c>
      <c r="AK347">
        <f t="shared" si="48"/>
        <v>10</v>
      </c>
      <c r="AL347">
        <v>11.87</v>
      </c>
      <c r="AM347" t="s">
        <v>27</v>
      </c>
      <c r="AN347">
        <v>11.87</v>
      </c>
      <c r="AO347" t="b">
        <f t="shared" si="49"/>
        <v>1</v>
      </c>
      <c r="AR347" t="s">
        <v>5061</v>
      </c>
      <c r="AS347" s="21">
        <v>46276</v>
      </c>
      <c r="AT347" t="s">
        <v>5062</v>
      </c>
      <c r="AU347" t="s">
        <v>5067</v>
      </c>
      <c r="AV347" t="s">
        <v>5062</v>
      </c>
      <c r="AW347" t="s">
        <v>5086</v>
      </c>
    </row>
    <row r="348" spans="1:49" x14ac:dyDescent="0.35">
      <c r="A348" t="s">
        <v>871</v>
      </c>
      <c r="B348" t="s">
        <v>872</v>
      </c>
      <c r="C348" t="s">
        <v>4818</v>
      </c>
      <c r="D348" t="s">
        <v>18</v>
      </c>
      <c r="E348" t="s">
        <v>1393</v>
      </c>
      <c r="F348" t="s">
        <v>1394</v>
      </c>
      <c r="G348" t="s">
        <v>21</v>
      </c>
      <c r="H348" t="s">
        <v>4888</v>
      </c>
      <c r="I348" t="s">
        <v>4889</v>
      </c>
      <c r="J348" s="4" t="s">
        <v>4890</v>
      </c>
      <c r="K348" s="4" t="s">
        <v>4899</v>
      </c>
      <c r="L348" s="4" t="s">
        <v>4933</v>
      </c>
      <c r="M348" s="4" t="s">
        <v>5035</v>
      </c>
      <c r="N348" t="s">
        <v>1395</v>
      </c>
      <c r="O348" t="s">
        <v>1396</v>
      </c>
      <c r="P348" t="s">
        <v>23</v>
      </c>
      <c r="Q348" t="s">
        <v>24</v>
      </c>
      <c r="R348" t="s">
        <v>25</v>
      </c>
      <c r="S348" t="s">
        <v>26</v>
      </c>
      <c r="T348" s="6">
        <v>46307</v>
      </c>
      <c r="U348">
        <v>96</v>
      </c>
      <c r="V348">
        <v>96</v>
      </c>
      <c r="W348">
        <v>84</v>
      </c>
      <c r="X348">
        <v>84</v>
      </c>
      <c r="Y348">
        <f t="shared" si="45"/>
        <v>0</v>
      </c>
      <c r="Z348">
        <f t="shared" si="46"/>
        <v>12</v>
      </c>
      <c r="AA348">
        <f>Z348</f>
        <v>12</v>
      </c>
      <c r="AC348" s="1">
        <v>0</v>
      </c>
      <c r="AF348">
        <f>X348</f>
        <v>84</v>
      </c>
      <c r="AG348" s="7">
        <v>12</v>
      </c>
      <c r="AH348">
        <f t="shared" si="47"/>
        <v>84</v>
      </c>
      <c r="AI348">
        <f t="shared" si="44"/>
        <v>12</v>
      </c>
      <c r="AK348">
        <f t="shared" si="48"/>
        <v>7</v>
      </c>
      <c r="AL348">
        <v>10.9</v>
      </c>
      <c r="AM348" t="s">
        <v>27</v>
      </c>
      <c r="AN348">
        <v>10.9</v>
      </c>
      <c r="AO348" t="b">
        <f t="shared" si="49"/>
        <v>1</v>
      </c>
      <c r="AR348" t="s">
        <v>5061</v>
      </c>
      <c r="AS348" s="21">
        <v>46276</v>
      </c>
      <c r="AT348" t="s">
        <v>5062</v>
      </c>
      <c r="AU348" t="s">
        <v>5067</v>
      </c>
      <c r="AV348" t="s">
        <v>5062</v>
      </c>
      <c r="AW348" t="s">
        <v>5086</v>
      </c>
    </row>
    <row r="349" spans="1:49" x14ac:dyDescent="0.35">
      <c r="A349" t="s">
        <v>871</v>
      </c>
      <c r="B349" t="s">
        <v>872</v>
      </c>
      <c r="C349" t="s">
        <v>4818</v>
      </c>
      <c r="D349" t="s">
        <v>18</v>
      </c>
      <c r="E349" t="s">
        <v>1397</v>
      </c>
      <c r="F349" t="s">
        <v>1398</v>
      </c>
      <c r="G349" t="s">
        <v>21</v>
      </c>
      <c r="H349" t="s">
        <v>4888</v>
      </c>
      <c r="I349" t="s">
        <v>4906</v>
      </c>
      <c r="J349" s="4" t="s">
        <v>4907</v>
      </c>
      <c r="K349" s="4" t="s">
        <v>4908</v>
      </c>
      <c r="L349" s="4" t="s">
        <v>4853</v>
      </c>
      <c r="M349" s="4" t="s">
        <v>5035</v>
      </c>
      <c r="N349" t="s">
        <v>1399</v>
      </c>
      <c r="O349" t="s">
        <v>1400</v>
      </c>
      <c r="P349" t="s">
        <v>23</v>
      </c>
      <c r="Q349" t="s">
        <v>24</v>
      </c>
      <c r="R349" t="s">
        <v>25</v>
      </c>
      <c r="S349" t="s">
        <v>26</v>
      </c>
      <c r="T349" s="6">
        <v>46307</v>
      </c>
      <c r="U349">
        <v>132</v>
      </c>
      <c r="V349">
        <v>132</v>
      </c>
      <c r="W349">
        <v>144</v>
      </c>
      <c r="X349">
        <v>144</v>
      </c>
      <c r="Y349">
        <f t="shared" si="45"/>
        <v>0</v>
      </c>
      <c r="Z349">
        <f t="shared" si="46"/>
        <v>-12</v>
      </c>
      <c r="AC349" s="1">
        <v>0</v>
      </c>
      <c r="AF349">
        <f>V349</f>
        <v>132</v>
      </c>
      <c r="AG349" s="7">
        <v>12</v>
      </c>
      <c r="AH349">
        <f t="shared" si="47"/>
        <v>132</v>
      </c>
      <c r="AI349">
        <f t="shared" si="44"/>
        <v>0</v>
      </c>
      <c r="AK349">
        <f t="shared" si="48"/>
        <v>11</v>
      </c>
      <c r="AL349">
        <v>10.19</v>
      </c>
      <c r="AM349" t="s">
        <v>27</v>
      </c>
      <c r="AN349">
        <v>10.19</v>
      </c>
      <c r="AO349" t="b">
        <f t="shared" si="49"/>
        <v>1</v>
      </c>
      <c r="AR349" t="s">
        <v>5061</v>
      </c>
      <c r="AS349" s="21">
        <v>46276</v>
      </c>
      <c r="AT349" t="s">
        <v>5062</v>
      </c>
      <c r="AU349" t="s">
        <v>5070</v>
      </c>
      <c r="AV349" t="s">
        <v>5062</v>
      </c>
      <c r="AW349" t="s">
        <v>5086</v>
      </c>
    </row>
    <row r="350" spans="1:49" x14ac:dyDescent="0.35">
      <c r="A350" t="s">
        <v>871</v>
      </c>
      <c r="B350" t="s">
        <v>872</v>
      </c>
      <c r="C350" t="s">
        <v>4818</v>
      </c>
      <c r="D350" t="s">
        <v>18</v>
      </c>
      <c r="E350" t="s">
        <v>1401</v>
      </c>
      <c r="F350" t="s">
        <v>1402</v>
      </c>
      <c r="G350" t="s">
        <v>21</v>
      </c>
      <c r="H350" t="s">
        <v>4888</v>
      </c>
      <c r="I350" t="s">
        <v>4906</v>
      </c>
      <c r="J350" s="4" t="s">
        <v>4907</v>
      </c>
      <c r="K350" s="4" t="s">
        <v>4908</v>
      </c>
      <c r="L350" s="4" t="s">
        <v>4875</v>
      </c>
      <c r="M350" s="4" t="s">
        <v>5035</v>
      </c>
      <c r="N350" t="s">
        <v>1403</v>
      </c>
      <c r="O350" t="s">
        <v>1404</v>
      </c>
      <c r="P350" t="s">
        <v>23</v>
      </c>
      <c r="Q350" t="s">
        <v>24</v>
      </c>
      <c r="R350" t="s">
        <v>25</v>
      </c>
      <c r="S350" t="s">
        <v>26</v>
      </c>
      <c r="T350" s="6">
        <v>46307</v>
      </c>
      <c r="U350">
        <v>60</v>
      </c>
      <c r="V350">
        <v>60</v>
      </c>
      <c r="W350">
        <v>72</v>
      </c>
      <c r="X350">
        <v>72</v>
      </c>
      <c r="Y350">
        <f t="shared" si="45"/>
        <v>0</v>
      </c>
      <c r="Z350">
        <f t="shared" si="46"/>
        <v>-12</v>
      </c>
      <c r="AC350" s="1">
        <v>0</v>
      </c>
      <c r="AF350">
        <f>V350</f>
        <v>60</v>
      </c>
      <c r="AG350" s="7">
        <v>12</v>
      </c>
      <c r="AH350">
        <f t="shared" si="47"/>
        <v>60</v>
      </c>
      <c r="AI350">
        <f t="shared" si="44"/>
        <v>0</v>
      </c>
      <c r="AK350">
        <f t="shared" si="48"/>
        <v>5</v>
      </c>
      <c r="AL350">
        <v>10.19</v>
      </c>
      <c r="AM350" t="s">
        <v>27</v>
      </c>
      <c r="AN350">
        <v>10.19</v>
      </c>
      <c r="AO350" t="b">
        <f t="shared" si="49"/>
        <v>1</v>
      </c>
      <c r="AR350" t="s">
        <v>5061</v>
      </c>
      <c r="AS350" s="21">
        <v>46276</v>
      </c>
      <c r="AT350" t="s">
        <v>5062</v>
      </c>
      <c r="AU350" t="s">
        <v>5070</v>
      </c>
      <c r="AV350" t="s">
        <v>5062</v>
      </c>
      <c r="AW350" t="s">
        <v>5086</v>
      </c>
    </row>
    <row r="351" spans="1:49" x14ac:dyDescent="0.35">
      <c r="A351" t="s">
        <v>871</v>
      </c>
      <c r="B351" t="s">
        <v>872</v>
      </c>
      <c r="C351" t="s">
        <v>4818</v>
      </c>
      <c r="D351" t="s">
        <v>18</v>
      </c>
      <c r="E351" t="s">
        <v>1405</v>
      </c>
      <c r="F351" t="s">
        <v>1406</v>
      </c>
      <c r="G351" t="s">
        <v>21</v>
      </c>
      <c r="H351" t="s">
        <v>4888</v>
      </c>
      <c r="I351" t="s">
        <v>4906</v>
      </c>
      <c r="J351" s="4" t="s">
        <v>4907</v>
      </c>
      <c r="K351" s="4" t="s">
        <v>4908</v>
      </c>
      <c r="L351" s="4" t="s">
        <v>4873</v>
      </c>
      <c r="M351" s="4" t="s">
        <v>5035</v>
      </c>
      <c r="N351" t="s">
        <v>1407</v>
      </c>
      <c r="O351" t="s">
        <v>1408</v>
      </c>
      <c r="P351" t="s">
        <v>23</v>
      </c>
      <c r="Q351" t="s">
        <v>24</v>
      </c>
      <c r="R351" t="s">
        <v>25</v>
      </c>
      <c r="S351" t="s">
        <v>26</v>
      </c>
      <c r="T351" s="6">
        <v>46307</v>
      </c>
      <c r="U351">
        <v>108</v>
      </c>
      <c r="V351">
        <v>108</v>
      </c>
      <c r="W351">
        <v>120</v>
      </c>
      <c r="X351">
        <v>120</v>
      </c>
      <c r="Y351">
        <f t="shared" si="45"/>
        <v>0</v>
      </c>
      <c r="Z351">
        <f t="shared" si="46"/>
        <v>-12</v>
      </c>
      <c r="AC351" s="1"/>
      <c r="AF351">
        <f>V351</f>
        <v>108</v>
      </c>
      <c r="AG351" s="7">
        <v>12</v>
      </c>
      <c r="AH351">
        <f t="shared" si="47"/>
        <v>108</v>
      </c>
      <c r="AI351">
        <f t="shared" si="44"/>
        <v>0</v>
      </c>
      <c r="AK351">
        <f t="shared" si="48"/>
        <v>9</v>
      </c>
      <c r="AL351">
        <v>10.19</v>
      </c>
      <c r="AM351" t="s">
        <v>27</v>
      </c>
      <c r="AN351">
        <v>10.19</v>
      </c>
      <c r="AO351" t="b">
        <f t="shared" si="49"/>
        <v>1</v>
      </c>
      <c r="AR351" t="s">
        <v>5061</v>
      </c>
      <c r="AS351" s="21">
        <v>46276</v>
      </c>
      <c r="AT351" t="s">
        <v>5062</v>
      </c>
      <c r="AU351" t="s">
        <v>5070</v>
      </c>
      <c r="AV351" t="s">
        <v>5062</v>
      </c>
      <c r="AW351" t="s">
        <v>5086</v>
      </c>
    </row>
    <row r="352" spans="1:49" x14ac:dyDescent="0.35">
      <c r="A352" t="s">
        <v>871</v>
      </c>
      <c r="B352" t="s">
        <v>872</v>
      </c>
      <c r="C352" t="s">
        <v>4818</v>
      </c>
      <c r="D352" t="s">
        <v>18</v>
      </c>
      <c r="E352" t="s">
        <v>1409</v>
      </c>
      <c r="F352" t="s">
        <v>1410</v>
      </c>
      <c r="G352" t="s">
        <v>21</v>
      </c>
      <c r="H352" t="s">
        <v>4888</v>
      </c>
      <c r="I352" t="s">
        <v>4889</v>
      </c>
      <c r="J352" s="4" t="s">
        <v>4890</v>
      </c>
      <c r="K352" s="4" t="s">
        <v>4891</v>
      </c>
      <c r="L352" s="4" t="s">
        <v>4912</v>
      </c>
      <c r="M352" s="4" t="s">
        <v>5035</v>
      </c>
      <c r="N352" t="s">
        <v>1411</v>
      </c>
      <c r="O352" t="s">
        <v>1412</v>
      </c>
      <c r="P352" t="s">
        <v>23</v>
      </c>
      <c r="Q352" t="s">
        <v>24</v>
      </c>
      <c r="R352" t="s">
        <v>25</v>
      </c>
      <c r="S352" t="s">
        <v>26</v>
      </c>
      <c r="T352" s="6">
        <v>46307</v>
      </c>
      <c r="U352">
        <v>240</v>
      </c>
      <c r="V352">
        <v>240</v>
      </c>
      <c r="W352">
        <v>264</v>
      </c>
      <c r="X352">
        <v>264</v>
      </c>
      <c r="Y352">
        <f t="shared" si="45"/>
        <v>0</v>
      </c>
      <c r="Z352">
        <f t="shared" si="46"/>
        <v>-24</v>
      </c>
      <c r="AC352" s="1">
        <v>0</v>
      </c>
      <c r="AF352">
        <f>V352</f>
        <v>240</v>
      </c>
      <c r="AG352" s="7">
        <v>12</v>
      </c>
      <c r="AH352">
        <f t="shared" si="47"/>
        <v>240</v>
      </c>
      <c r="AI352">
        <f t="shared" si="44"/>
        <v>0</v>
      </c>
      <c r="AK352">
        <f t="shared" si="48"/>
        <v>20</v>
      </c>
      <c r="AL352">
        <v>11.2</v>
      </c>
      <c r="AM352" t="s">
        <v>27</v>
      </c>
      <c r="AN352">
        <v>11.2</v>
      </c>
      <c r="AO352" t="b">
        <f t="shared" si="49"/>
        <v>1</v>
      </c>
      <c r="AR352" t="s">
        <v>5061</v>
      </c>
      <c r="AS352" s="21">
        <v>46276</v>
      </c>
      <c r="AT352" t="s">
        <v>5062</v>
      </c>
      <c r="AU352" t="s">
        <v>5067</v>
      </c>
      <c r="AV352" t="s">
        <v>5062</v>
      </c>
      <c r="AW352" t="s">
        <v>5086</v>
      </c>
    </row>
    <row r="353" spans="1:49" x14ac:dyDescent="0.35">
      <c r="A353" t="s">
        <v>871</v>
      </c>
      <c r="B353" t="s">
        <v>872</v>
      </c>
      <c r="C353" t="s">
        <v>4818</v>
      </c>
      <c r="D353" t="s">
        <v>18</v>
      </c>
      <c r="E353" t="s">
        <v>1413</v>
      </c>
      <c r="F353" t="s">
        <v>1414</v>
      </c>
      <c r="G353" t="s">
        <v>21</v>
      </c>
      <c r="H353" t="s">
        <v>4888</v>
      </c>
      <c r="I353" t="s">
        <v>4889</v>
      </c>
      <c r="J353" s="4" t="s">
        <v>4890</v>
      </c>
      <c r="K353" s="4" t="s">
        <v>4891</v>
      </c>
      <c r="L353" s="4" t="s">
        <v>4867</v>
      </c>
      <c r="M353" s="4" t="s">
        <v>5035</v>
      </c>
      <c r="N353" t="s">
        <v>1415</v>
      </c>
      <c r="O353" t="s">
        <v>1416</v>
      </c>
      <c r="P353" t="s">
        <v>23</v>
      </c>
      <c r="Q353" t="s">
        <v>24</v>
      </c>
      <c r="R353" t="s">
        <v>25</v>
      </c>
      <c r="S353" t="s">
        <v>26</v>
      </c>
      <c r="T353" s="6">
        <v>46307</v>
      </c>
      <c r="U353">
        <v>156</v>
      </c>
      <c r="V353">
        <v>156</v>
      </c>
      <c r="W353">
        <v>144</v>
      </c>
      <c r="X353">
        <v>144</v>
      </c>
      <c r="Y353">
        <f t="shared" si="45"/>
        <v>0</v>
      </c>
      <c r="Z353">
        <f t="shared" si="46"/>
        <v>12</v>
      </c>
      <c r="AA353">
        <f t="shared" ref="AA353:AA354" si="52">Z353</f>
        <v>12</v>
      </c>
      <c r="AC353" s="1">
        <v>0</v>
      </c>
      <c r="AF353">
        <f>X353</f>
        <v>144</v>
      </c>
      <c r="AG353" s="7">
        <v>12</v>
      </c>
      <c r="AH353">
        <f t="shared" si="47"/>
        <v>144</v>
      </c>
      <c r="AI353">
        <f t="shared" si="44"/>
        <v>12</v>
      </c>
      <c r="AK353">
        <f t="shared" si="48"/>
        <v>12</v>
      </c>
      <c r="AL353">
        <v>11.2</v>
      </c>
      <c r="AM353" t="s">
        <v>27</v>
      </c>
      <c r="AN353">
        <v>11.2</v>
      </c>
      <c r="AO353" t="b">
        <f t="shared" si="49"/>
        <v>1</v>
      </c>
      <c r="AR353" t="s">
        <v>5061</v>
      </c>
      <c r="AS353" s="21">
        <v>46276</v>
      </c>
      <c r="AT353" t="s">
        <v>5062</v>
      </c>
      <c r="AU353" t="s">
        <v>5067</v>
      </c>
      <c r="AV353" t="s">
        <v>5062</v>
      </c>
      <c r="AW353" t="s">
        <v>5086</v>
      </c>
    </row>
    <row r="354" spans="1:49" x14ac:dyDescent="0.35">
      <c r="A354" t="s">
        <v>871</v>
      </c>
      <c r="B354" t="s">
        <v>872</v>
      </c>
      <c r="C354" t="s">
        <v>4818</v>
      </c>
      <c r="D354" t="s">
        <v>18</v>
      </c>
      <c r="E354" t="s">
        <v>1417</v>
      </c>
      <c r="F354" t="s">
        <v>1418</v>
      </c>
      <c r="G354" t="s">
        <v>21</v>
      </c>
      <c r="H354" t="s">
        <v>4888</v>
      </c>
      <c r="I354" t="s">
        <v>4902</v>
      </c>
      <c r="J354" s="4" t="s">
        <v>4903</v>
      </c>
      <c r="K354" s="4" t="s">
        <v>4915</v>
      </c>
      <c r="L354" s="4" t="s">
        <v>4892</v>
      </c>
      <c r="M354" s="4" t="s">
        <v>5035</v>
      </c>
      <c r="N354" t="s">
        <v>1419</v>
      </c>
      <c r="O354" t="s">
        <v>1420</v>
      </c>
      <c r="P354" t="s">
        <v>23</v>
      </c>
      <c r="Q354" t="s">
        <v>24</v>
      </c>
      <c r="R354" t="s">
        <v>25</v>
      </c>
      <c r="S354" t="s">
        <v>26</v>
      </c>
      <c r="T354" s="6">
        <v>46307</v>
      </c>
      <c r="U354">
        <v>24</v>
      </c>
      <c r="V354">
        <v>24</v>
      </c>
      <c r="W354">
        <v>12</v>
      </c>
      <c r="X354">
        <v>12</v>
      </c>
      <c r="Y354">
        <f t="shared" si="45"/>
        <v>0</v>
      </c>
      <c r="Z354">
        <f t="shared" si="46"/>
        <v>12</v>
      </c>
      <c r="AA354">
        <f t="shared" si="52"/>
        <v>12</v>
      </c>
      <c r="AC354" s="1">
        <v>0</v>
      </c>
      <c r="AF354">
        <f>X354</f>
        <v>12</v>
      </c>
      <c r="AG354" s="7">
        <v>12</v>
      </c>
      <c r="AH354">
        <f t="shared" si="47"/>
        <v>12</v>
      </c>
      <c r="AI354">
        <f t="shared" si="44"/>
        <v>12</v>
      </c>
      <c r="AK354">
        <f t="shared" si="48"/>
        <v>1</v>
      </c>
      <c r="AL354">
        <v>10.66</v>
      </c>
      <c r="AM354" t="s">
        <v>27</v>
      </c>
      <c r="AN354">
        <v>10.66</v>
      </c>
      <c r="AO354" t="b">
        <f t="shared" si="49"/>
        <v>1</v>
      </c>
      <c r="AR354" t="s">
        <v>5061</v>
      </c>
      <c r="AS354" s="21">
        <v>46276</v>
      </c>
      <c r="AT354" t="s">
        <v>5062</v>
      </c>
      <c r="AU354" t="s">
        <v>5069</v>
      </c>
      <c r="AV354" t="s">
        <v>5062</v>
      </c>
      <c r="AW354" t="s">
        <v>5086</v>
      </c>
    </row>
    <row r="355" spans="1:49" x14ac:dyDescent="0.35">
      <c r="A355" t="s">
        <v>871</v>
      </c>
      <c r="B355" t="s">
        <v>872</v>
      </c>
      <c r="C355" t="s">
        <v>4818</v>
      </c>
      <c r="D355" t="s">
        <v>18</v>
      </c>
      <c r="E355" t="s">
        <v>1421</v>
      </c>
      <c r="F355" t="s">
        <v>1422</v>
      </c>
      <c r="G355" t="s">
        <v>21</v>
      </c>
      <c r="H355" t="s">
        <v>4888</v>
      </c>
      <c r="I355" t="s">
        <v>4889</v>
      </c>
      <c r="J355" s="4" t="s">
        <v>4890</v>
      </c>
      <c r="K355" s="4" t="s">
        <v>4891</v>
      </c>
      <c r="L355" s="4" t="s">
        <v>4933</v>
      </c>
      <c r="M355" s="4" t="s">
        <v>5035</v>
      </c>
      <c r="N355" t="s">
        <v>1423</v>
      </c>
      <c r="O355" t="s">
        <v>1424</v>
      </c>
      <c r="P355" t="s">
        <v>23</v>
      </c>
      <c r="Q355" t="s">
        <v>24</v>
      </c>
      <c r="R355" t="s">
        <v>25</v>
      </c>
      <c r="S355" t="s">
        <v>26</v>
      </c>
      <c r="T355" s="6">
        <v>46307</v>
      </c>
      <c r="U355">
        <v>12</v>
      </c>
      <c r="V355">
        <v>12</v>
      </c>
      <c r="W355">
        <v>12</v>
      </c>
      <c r="X355">
        <v>12</v>
      </c>
      <c r="Y355">
        <f t="shared" si="45"/>
        <v>0</v>
      </c>
      <c r="Z355">
        <f t="shared" si="46"/>
        <v>0</v>
      </c>
      <c r="AC355" s="1">
        <v>0</v>
      </c>
      <c r="AF355">
        <f>V355</f>
        <v>12</v>
      </c>
      <c r="AG355" s="7">
        <v>12</v>
      </c>
      <c r="AH355">
        <f t="shared" si="47"/>
        <v>12</v>
      </c>
      <c r="AI355">
        <f t="shared" si="44"/>
        <v>0</v>
      </c>
      <c r="AK355">
        <f t="shared" si="48"/>
        <v>1</v>
      </c>
      <c r="AL355">
        <v>11.2</v>
      </c>
      <c r="AM355" t="s">
        <v>27</v>
      </c>
      <c r="AN355">
        <v>11.2</v>
      </c>
      <c r="AO355" t="b">
        <f t="shared" si="49"/>
        <v>1</v>
      </c>
      <c r="AR355" t="s">
        <v>5061</v>
      </c>
      <c r="AS355" s="21">
        <v>46276</v>
      </c>
      <c r="AT355" t="s">
        <v>5062</v>
      </c>
      <c r="AU355" t="s">
        <v>5067</v>
      </c>
      <c r="AV355" t="s">
        <v>5062</v>
      </c>
      <c r="AW355" t="s">
        <v>5086</v>
      </c>
    </row>
    <row r="356" spans="1:49" x14ac:dyDescent="0.35">
      <c r="A356" t="s">
        <v>871</v>
      </c>
      <c r="B356" t="s">
        <v>872</v>
      </c>
      <c r="C356" t="s">
        <v>4818</v>
      </c>
      <c r="D356" t="s">
        <v>18</v>
      </c>
      <c r="E356" t="s">
        <v>1425</v>
      </c>
      <c r="F356" t="s">
        <v>1426</v>
      </c>
      <c r="G356" t="s">
        <v>21</v>
      </c>
      <c r="H356" t="s">
        <v>4888</v>
      </c>
      <c r="I356" t="s">
        <v>4906</v>
      </c>
      <c r="J356" s="4" t="s">
        <v>4907</v>
      </c>
      <c r="K356" s="4" t="s">
        <v>4908</v>
      </c>
      <c r="L356" s="4" t="s">
        <v>4892</v>
      </c>
      <c r="M356" s="4" t="s">
        <v>5035</v>
      </c>
      <c r="N356" t="s">
        <v>1427</v>
      </c>
      <c r="O356" t="s">
        <v>1428</v>
      </c>
      <c r="P356" t="s">
        <v>23</v>
      </c>
      <c r="Q356" t="s">
        <v>24</v>
      </c>
      <c r="R356" t="s">
        <v>25</v>
      </c>
      <c r="S356" t="s">
        <v>26</v>
      </c>
      <c r="T356" s="6">
        <v>46307</v>
      </c>
      <c r="U356">
        <v>72</v>
      </c>
      <c r="V356">
        <v>72</v>
      </c>
      <c r="W356">
        <v>72</v>
      </c>
      <c r="X356">
        <v>72</v>
      </c>
      <c r="Y356">
        <f t="shared" si="45"/>
        <v>0</v>
      </c>
      <c r="Z356">
        <f t="shared" si="46"/>
        <v>0</v>
      </c>
      <c r="AC356" s="1">
        <v>0</v>
      </c>
      <c r="AF356">
        <f>V356</f>
        <v>72</v>
      </c>
      <c r="AG356" s="7">
        <v>12</v>
      </c>
      <c r="AH356">
        <f t="shared" si="47"/>
        <v>72</v>
      </c>
      <c r="AI356">
        <f t="shared" si="44"/>
        <v>0</v>
      </c>
      <c r="AK356">
        <f t="shared" si="48"/>
        <v>6</v>
      </c>
      <c r="AL356">
        <v>10.19</v>
      </c>
      <c r="AM356" t="s">
        <v>27</v>
      </c>
      <c r="AN356">
        <v>10.19</v>
      </c>
      <c r="AO356" t="b">
        <f t="shared" si="49"/>
        <v>1</v>
      </c>
      <c r="AR356" t="s">
        <v>5061</v>
      </c>
      <c r="AS356" s="21">
        <v>46276</v>
      </c>
      <c r="AT356" t="s">
        <v>5062</v>
      </c>
      <c r="AU356" t="s">
        <v>5070</v>
      </c>
      <c r="AV356" t="s">
        <v>5062</v>
      </c>
      <c r="AW356" t="s">
        <v>5086</v>
      </c>
    </row>
    <row r="357" spans="1:49" x14ac:dyDescent="0.35">
      <c r="A357" t="s">
        <v>871</v>
      </c>
      <c r="B357" t="s">
        <v>872</v>
      </c>
      <c r="C357" t="s">
        <v>4818</v>
      </c>
      <c r="D357" t="s">
        <v>18</v>
      </c>
      <c r="E357" t="s">
        <v>1429</v>
      </c>
      <c r="F357" t="s">
        <v>1430</v>
      </c>
      <c r="G357" t="s">
        <v>21</v>
      </c>
      <c r="H357" t="s">
        <v>4888</v>
      </c>
      <c r="I357" t="s">
        <v>4889</v>
      </c>
      <c r="J357" s="4" t="s">
        <v>4890</v>
      </c>
      <c r="K357" s="4" t="s">
        <v>4911</v>
      </c>
      <c r="L357" s="4" t="s">
        <v>4875</v>
      </c>
      <c r="M357" s="4" t="s">
        <v>5035</v>
      </c>
      <c r="N357" t="s">
        <v>1431</v>
      </c>
      <c r="O357" t="s">
        <v>1432</v>
      </c>
      <c r="P357" t="s">
        <v>23</v>
      </c>
      <c r="Q357" t="s">
        <v>24</v>
      </c>
      <c r="R357" t="s">
        <v>25</v>
      </c>
      <c r="S357" t="s">
        <v>26</v>
      </c>
      <c r="T357" s="6">
        <v>46307</v>
      </c>
      <c r="U357">
        <v>60</v>
      </c>
      <c r="V357">
        <v>60</v>
      </c>
      <c r="W357">
        <v>72</v>
      </c>
      <c r="X357">
        <v>72</v>
      </c>
      <c r="Y357">
        <f t="shared" si="45"/>
        <v>0</v>
      </c>
      <c r="Z357">
        <f t="shared" si="46"/>
        <v>-12</v>
      </c>
      <c r="AC357" s="1">
        <v>0</v>
      </c>
      <c r="AF357">
        <f>V357</f>
        <v>60</v>
      </c>
      <c r="AG357" s="7">
        <v>12</v>
      </c>
      <c r="AH357">
        <f t="shared" si="47"/>
        <v>60</v>
      </c>
      <c r="AI357">
        <f t="shared" si="44"/>
        <v>0</v>
      </c>
      <c r="AK357">
        <f t="shared" si="48"/>
        <v>5</v>
      </c>
      <c r="AL357">
        <v>11.87</v>
      </c>
      <c r="AM357" t="s">
        <v>27</v>
      </c>
      <c r="AN357">
        <v>11.87</v>
      </c>
      <c r="AO357" t="b">
        <f t="shared" si="49"/>
        <v>1</v>
      </c>
      <c r="AR357" t="s">
        <v>5061</v>
      </c>
      <c r="AS357" s="21">
        <v>46276</v>
      </c>
      <c r="AT357" t="s">
        <v>5062</v>
      </c>
      <c r="AU357" t="s">
        <v>5067</v>
      </c>
      <c r="AV357" t="s">
        <v>5062</v>
      </c>
      <c r="AW357" t="s">
        <v>5086</v>
      </c>
    </row>
    <row r="358" spans="1:49" x14ac:dyDescent="0.35">
      <c r="A358" t="s">
        <v>871</v>
      </c>
      <c r="B358" t="s">
        <v>872</v>
      </c>
      <c r="C358" t="s">
        <v>4818</v>
      </c>
      <c r="D358" t="s">
        <v>18</v>
      </c>
      <c r="E358" t="s">
        <v>1433</v>
      </c>
      <c r="F358" t="s">
        <v>1434</v>
      </c>
      <c r="G358" t="s">
        <v>21</v>
      </c>
      <c r="H358" t="s">
        <v>4888</v>
      </c>
      <c r="I358" t="s">
        <v>4893</v>
      </c>
      <c r="J358" s="4" t="s">
        <v>4894</v>
      </c>
      <c r="K358" s="4" t="s">
        <v>4837</v>
      </c>
      <c r="L358" s="4" t="s">
        <v>4863</v>
      </c>
      <c r="M358" s="4" t="s">
        <v>5035</v>
      </c>
      <c r="N358" t="s">
        <v>1435</v>
      </c>
      <c r="O358" t="s">
        <v>1436</v>
      </c>
      <c r="P358" t="s">
        <v>23</v>
      </c>
      <c r="Q358" t="s">
        <v>24</v>
      </c>
      <c r="R358" t="s">
        <v>25</v>
      </c>
      <c r="S358" t="s">
        <v>26</v>
      </c>
      <c r="T358" s="6">
        <v>46307</v>
      </c>
      <c r="U358">
        <v>72</v>
      </c>
      <c r="V358">
        <v>72</v>
      </c>
      <c r="W358">
        <v>84</v>
      </c>
      <c r="X358">
        <v>84</v>
      </c>
      <c r="Y358">
        <f t="shared" si="45"/>
        <v>0</v>
      </c>
      <c r="Z358">
        <f t="shared" si="46"/>
        <v>-12</v>
      </c>
      <c r="AC358" s="1">
        <v>0</v>
      </c>
      <c r="AF358">
        <f>V358</f>
        <v>72</v>
      </c>
      <c r="AG358" s="7">
        <v>12</v>
      </c>
      <c r="AH358">
        <f t="shared" si="47"/>
        <v>72</v>
      </c>
      <c r="AI358">
        <f t="shared" si="44"/>
        <v>0</v>
      </c>
      <c r="AK358">
        <f t="shared" si="48"/>
        <v>6</v>
      </c>
      <c r="AL358">
        <v>10.06</v>
      </c>
      <c r="AM358" t="s">
        <v>27</v>
      </c>
      <c r="AN358">
        <v>10.06</v>
      </c>
      <c r="AO358" t="b">
        <f t="shared" si="49"/>
        <v>1</v>
      </c>
      <c r="AR358" t="s">
        <v>5061</v>
      </c>
      <c r="AS358" s="21">
        <v>46276</v>
      </c>
      <c r="AT358" t="s">
        <v>5062</v>
      </c>
      <c r="AU358" t="s">
        <v>5068</v>
      </c>
      <c r="AV358" t="s">
        <v>5062</v>
      </c>
      <c r="AW358" t="s">
        <v>5086</v>
      </c>
    </row>
    <row r="359" spans="1:49" x14ac:dyDescent="0.35">
      <c r="A359" t="s">
        <v>871</v>
      </c>
      <c r="B359" t="s">
        <v>872</v>
      </c>
      <c r="C359" t="s">
        <v>4818</v>
      </c>
      <c r="D359" t="s">
        <v>18</v>
      </c>
      <c r="E359" t="s">
        <v>1437</v>
      </c>
      <c r="F359" t="s">
        <v>1438</v>
      </c>
      <c r="G359" t="s">
        <v>21</v>
      </c>
      <c r="H359" t="s">
        <v>4888</v>
      </c>
      <c r="I359" t="s">
        <v>4893</v>
      </c>
      <c r="J359" s="4" t="s">
        <v>4894</v>
      </c>
      <c r="K359" s="4" t="s">
        <v>4896</v>
      </c>
      <c r="L359" s="4" t="s">
        <v>4921</v>
      </c>
      <c r="M359" s="4" t="s">
        <v>5035</v>
      </c>
      <c r="N359" t="s">
        <v>1439</v>
      </c>
      <c r="O359" t="s">
        <v>1440</v>
      </c>
      <c r="P359" t="s">
        <v>23</v>
      </c>
      <c r="Q359" t="s">
        <v>24</v>
      </c>
      <c r="R359" t="s">
        <v>25</v>
      </c>
      <c r="S359" t="s">
        <v>26</v>
      </c>
      <c r="T359" s="6">
        <v>46307</v>
      </c>
      <c r="U359">
        <v>24</v>
      </c>
      <c r="V359">
        <v>24</v>
      </c>
      <c r="W359">
        <v>24</v>
      </c>
      <c r="X359">
        <v>24</v>
      </c>
      <c r="Y359">
        <f t="shared" si="45"/>
        <v>0</v>
      </c>
      <c r="Z359">
        <f t="shared" si="46"/>
        <v>0</v>
      </c>
      <c r="AC359" s="1">
        <v>0</v>
      </c>
      <c r="AF359">
        <f>V359</f>
        <v>24</v>
      </c>
      <c r="AG359" s="7">
        <v>12</v>
      </c>
      <c r="AH359">
        <f t="shared" si="47"/>
        <v>24</v>
      </c>
      <c r="AI359">
        <f t="shared" si="44"/>
        <v>0</v>
      </c>
      <c r="AK359">
        <f t="shared" si="48"/>
        <v>2</v>
      </c>
      <c r="AL359">
        <v>10.220000000000001</v>
      </c>
      <c r="AM359" t="s">
        <v>27</v>
      </c>
      <c r="AN359">
        <v>10.220000000000001</v>
      </c>
      <c r="AO359" t="b">
        <f t="shared" si="49"/>
        <v>1</v>
      </c>
      <c r="AR359" t="s">
        <v>5061</v>
      </c>
      <c r="AS359" s="21">
        <v>46276</v>
      </c>
      <c r="AT359" t="s">
        <v>5062</v>
      </c>
      <c r="AU359" t="s">
        <v>5068</v>
      </c>
      <c r="AV359" t="s">
        <v>5062</v>
      </c>
      <c r="AW359" t="s">
        <v>5086</v>
      </c>
    </row>
    <row r="360" spans="1:49" x14ac:dyDescent="0.35">
      <c r="A360" t="s">
        <v>871</v>
      </c>
      <c r="B360" t="s">
        <v>872</v>
      </c>
      <c r="C360" t="s">
        <v>4818</v>
      </c>
      <c r="D360" t="s">
        <v>18</v>
      </c>
      <c r="E360" t="s">
        <v>1441</v>
      </c>
      <c r="F360" t="s">
        <v>1442</v>
      </c>
      <c r="G360" t="s">
        <v>21</v>
      </c>
      <c r="H360" t="s">
        <v>4888</v>
      </c>
      <c r="I360" t="s">
        <v>4889</v>
      </c>
      <c r="J360" s="4" t="s">
        <v>4890</v>
      </c>
      <c r="K360" s="4" t="s">
        <v>4911</v>
      </c>
      <c r="L360" s="4" t="s">
        <v>4931</v>
      </c>
      <c r="M360" s="4" t="s">
        <v>5035</v>
      </c>
      <c r="N360" t="s">
        <v>1443</v>
      </c>
      <c r="O360" t="s">
        <v>1444</v>
      </c>
      <c r="P360" t="s">
        <v>23</v>
      </c>
      <c r="Q360" t="s">
        <v>24</v>
      </c>
      <c r="R360" t="s">
        <v>25</v>
      </c>
      <c r="S360" t="s">
        <v>26</v>
      </c>
      <c r="T360" s="6">
        <v>46307</v>
      </c>
      <c r="U360">
        <v>108</v>
      </c>
      <c r="V360">
        <v>108</v>
      </c>
      <c r="W360">
        <v>96</v>
      </c>
      <c r="X360">
        <v>96</v>
      </c>
      <c r="Y360">
        <f t="shared" si="45"/>
        <v>0</v>
      </c>
      <c r="Z360">
        <f t="shared" si="46"/>
        <v>12</v>
      </c>
      <c r="AA360">
        <f>Z360</f>
        <v>12</v>
      </c>
      <c r="AC360" s="1">
        <v>0</v>
      </c>
      <c r="AF360">
        <f>X360</f>
        <v>96</v>
      </c>
      <c r="AG360" s="7">
        <v>12</v>
      </c>
      <c r="AH360">
        <f t="shared" si="47"/>
        <v>96</v>
      </c>
      <c r="AI360">
        <f t="shared" si="44"/>
        <v>12</v>
      </c>
      <c r="AK360">
        <f t="shared" si="48"/>
        <v>8</v>
      </c>
      <c r="AL360">
        <v>11.87</v>
      </c>
      <c r="AM360" t="s">
        <v>27</v>
      </c>
      <c r="AN360">
        <v>11.87</v>
      </c>
      <c r="AO360" t="b">
        <f t="shared" si="49"/>
        <v>1</v>
      </c>
      <c r="AR360" t="s">
        <v>5061</v>
      </c>
      <c r="AS360" s="21">
        <v>46276</v>
      </c>
      <c r="AT360" t="s">
        <v>5062</v>
      </c>
      <c r="AU360" t="s">
        <v>5067</v>
      </c>
      <c r="AV360" t="s">
        <v>5062</v>
      </c>
      <c r="AW360" t="s">
        <v>5086</v>
      </c>
    </row>
    <row r="361" spans="1:49" x14ac:dyDescent="0.35">
      <c r="A361" t="s">
        <v>871</v>
      </c>
      <c r="B361" t="s">
        <v>872</v>
      </c>
      <c r="C361" t="s">
        <v>4818</v>
      </c>
      <c r="D361" t="s">
        <v>18</v>
      </c>
      <c r="E361" t="s">
        <v>1445</v>
      </c>
      <c r="F361" t="s">
        <v>1446</v>
      </c>
      <c r="G361" t="s">
        <v>21</v>
      </c>
      <c r="H361" t="s">
        <v>4888</v>
      </c>
      <c r="I361" t="s">
        <v>4893</v>
      </c>
      <c r="J361" s="4" t="s">
        <v>4894</v>
      </c>
      <c r="K361" s="4" t="s">
        <v>4913</v>
      </c>
      <c r="L361" s="4" t="s">
        <v>4929</v>
      </c>
      <c r="M361" s="4" t="s">
        <v>5035</v>
      </c>
      <c r="N361" t="s">
        <v>1447</v>
      </c>
      <c r="O361" t="s">
        <v>1448</v>
      </c>
      <c r="P361" t="s">
        <v>23</v>
      </c>
      <c r="Q361" t="s">
        <v>24</v>
      </c>
      <c r="R361" t="s">
        <v>25</v>
      </c>
      <c r="S361" t="s">
        <v>26</v>
      </c>
      <c r="T361" s="6">
        <v>46307</v>
      </c>
      <c r="U361">
        <v>60</v>
      </c>
      <c r="V361">
        <v>60</v>
      </c>
      <c r="W361">
        <v>60</v>
      </c>
      <c r="X361">
        <v>60</v>
      </c>
      <c r="Y361">
        <f t="shared" si="45"/>
        <v>0</v>
      </c>
      <c r="Z361">
        <f t="shared" si="46"/>
        <v>0</v>
      </c>
      <c r="AC361" s="1">
        <v>0</v>
      </c>
      <c r="AF361">
        <f>V361</f>
        <v>60</v>
      </c>
      <c r="AG361" s="7">
        <v>12</v>
      </c>
      <c r="AH361">
        <f t="shared" si="47"/>
        <v>60</v>
      </c>
      <c r="AI361">
        <f t="shared" si="44"/>
        <v>0</v>
      </c>
      <c r="AK361">
        <f t="shared" si="48"/>
        <v>5</v>
      </c>
      <c r="AL361">
        <v>9.9499999999999993</v>
      </c>
      <c r="AM361" t="s">
        <v>27</v>
      </c>
      <c r="AN361">
        <v>9.9499999999999993</v>
      </c>
      <c r="AO361" t="b">
        <f t="shared" si="49"/>
        <v>1</v>
      </c>
      <c r="AR361" t="s">
        <v>5061</v>
      </c>
      <c r="AS361" s="21">
        <v>46276</v>
      </c>
      <c r="AT361" t="s">
        <v>5062</v>
      </c>
      <c r="AU361" t="s">
        <v>5068</v>
      </c>
      <c r="AV361" t="s">
        <v>5062</v>
      </c>
      <c r="AW361" t="s">
        <v>5086</v>
      </c>
    </row>
    <row r="362" spans="1:49" x14ac:dyDescent="0.35">
      <c r="A362" t="s">
        <v>871</v>
      </c>
      <c r="B362" t="s">
        <v>872</v>
      </c>
      <c r="C362" t="s">
        <v>4818</v>
      </c>
      <c r="D362" t="s">
        <v>18</v>
      </c>
      <c r="E362" t="s">
        <v>1449</v>
      </c>
      <c r="F362" t="s">
        <v>1450</v>
      </c>
      <c r="G362" t="s">
        <v>21</v>
      </c>
      <c r="H362" t="s">
        <v>4888</v>
      </c>
      <c r="I362" t="s">
        <v>4902</v>
      </c>
      <c r="J362" s="4" t="s">
        <v>4903</v>
      </c>
      <c r="K362" s="4" t="s">
        <v>4899</v>
      </c>
      <c r="L362" s="4" t="s">
        <v>4918</v>
      </c>
      <c r="M362" s="4" t="s">
        <v>5035</v>
      </c>
      <c r="N362" t="s">
        <v>1451</v>
      </c>
      <c r="O362" t="s">
        <v>1452</v>
      </c>
      <c r="P362" t="s">
        <v>23</v>
      </c>
      <c r="Q362" t="s">
        <v>24</v>
      </c>
      <c r="R362" t="s">
        <v>25</v>
      </c>
      <c r="S362" t="s">
        <v>26</v>
      </c>
      <c r="T362" s="6">
        <v>46307</v>
      </c>
      <c r="U362">
        <v>24</v>
      </c>
      <c r="V362">
        <v>24</v>
      </c>
      <c r="W362">
        <v>12</v>
      </c>
      <c r="X362">
        <v>12</v>
      </c>
      <c r="Y362">
        <f t="shared" si="45"/>
        <v>0</v>
      </c>
      <c r="Z362">
        <f t="shared" si="46"/>
        <v>12</v>
      </c>
      <c r="AA362">
        <f>Z362</f>
        <v>12</v>
      </c>
      <c r="AC362" s="1">
        <v>0</v>
      </c>
      <c r="AF362">
        <f>X362</f>
        <v>12</v>
      </c>
      <c r="AG362" s="7">
        <v>12</v>
      </c>
      <c r="AH362">
        <f t="shared" si="47"/>
        <v>12</v>
      </c>
      <c r="AI362">
        <f t="shared" si="44"/>
        <v>12</v>
      </c>
      <c r="AK362">
        <f t="shared" si="48"/>
        <v>1</v>
      </c>
      <c r="AL362">
        <v>10.49</v>
      </c>
      <c r="AM362" t="s">
        <v>27</v>
      </c>
      <c r="AN362">
        <v>10.49</v>
      </c>
      <c r="AO362" t="b">
        <f t="shared" si="49"/>
        <v>1</v>
      </c>
      <c r="AR362" t="s">
        <v>5061</v>
      </c>
      <c r="AS362" s="21">
        <v>46276</v>
      </c>
      <c r="AT362" t="s">
        <v>5062</v>
      </c>
      <c r="AU362" t="s">
        <v>5069</v>
      </c>
      <c r="AV362" t="s">
        <v>5062</v>
      </c>
      <c r="AW362" t="s">
        <v>5086</v>
      </c>
    </row>
    <row r="363" spans="1:49" x14ac:dyDescent="0.35">
      <c r="A363" t="s">
        <v>871</v>
      </c>
      <c r="B363" t="s">
        <v>872</v>
      </c>
      <c r="C363" t="s">
        <v>4818</v>
      </c>
      <c r="D363" t="s">
        <v>18</v>
      </c>
      <c r="E363" t="s">
        <v>1453</v>
      </c>
      <c r="F363" t="s">
        <v>1454</v>
      </c>
      <c r="G363" t="s">
        <v>21</v>
      </c>
      <c r="H363" t="s">
        <v>4888</v>
      </c>
      <c r="I363" t="s">
        <v>4893</v>
      </c>
      <c r="J363" s="4" t="s">
        <v>4894</v>
      </c>
      <c r="K363" s="4" t="s">
        <v>4904</v>
      </c>
      <c r="L363" s="4" t="s">
        <v>4851</v>
      </c>
      <c r="M363" s="4" t="s">
        <v>5035</v>
      </c>
      <c r="N363" t="s">
        <v>1455</v>
      </c>
      <c r="O363" t="s">
        <v>1456</v>
      </c>
      <c r="P363" t="s">
        <v>23</v>
      </c>
      <c r="Q363" t="s">
        <v>24</v>
      </c>
      <c r="R363" t="s">
        <v>25</v>
      </c>
      <c r="S363" t="s">
        <v>26</v>
      </c>
      <c r="T363" s="6">
        <v>46307</v>
      </c>
      <c r="U363">
        <v>84</v>
      </c>
      <c r="V363">
        <v>84</v>
      </c>
      <c r="W363">
        <v>84</v>
      </c>
      <c r="X363">
        <v>84</v>
      </c>
      <c r="Y363">
        <f t="shared" si="45"/>
        <v>0</v>
      </c>
      <c r="Z363">
        <f t="shared" si="46"/>
        <v>0</v>
      </c>
      <c r="AC363" s="1">
        <v>0</v>
      </c>
      <c r="AF363">
        <f>V363</f>
        <v>84</v>
      </c>
      <c r="AG363" s="7">
        <v>12</v>
      </c>
      <c r="AH363">
        <f t="shared" si="47"/>
        <v>84</v>
      </c>
      <c r="AI363">
        <f t="shared" si="44"/>
        <v>0</v>
      </c>
      <c r="AK363">
        <f t="shared" si="48"/>
        <v>7</v>
      </c>
      <c r="AL363">
        <v>10.16</v>
      </c>
      <c r="AM363" t="s">
        <v>27</v>
      </c>
      <c r="AN363">
        <v>10.16</v>
      </c>
      <c r="AO363" t="b">
        <f t="shared" si="49"/>
        <v>1</v>
      </c>
      <c r="AR363" t="s">
        <v>5061</v>
      </c>
      <c r="AS363" s="21">
        <v>46276</v>
      </c>
      <c r="AT363" t="s">
        <v>5062</v>
      </c>
      <c r="AU363" t="s">
        <v>5068</v>
      </c>
      <c r="AV363" t="s">
        <v>5062</v>
      </c>
      <c r="AW363" t="s">
        <v>5086</v>
      </c>
    </row>
    <row r="364" spans="1:49" x14ac:dyDescent="0.35">
      <c r="A364" t="s">
        <v>871</v>
      </c>
      <c r="B364" t="s">
        <v>872</v>
      </c>
      <c r="C364" t="s">
        <v>4818</v>
      </c>
      <c r="D364" t="s">
        <v>18</v>
      </c>
      <c r="E364" t="s">
        <v>1457</v>
      </c>
      <c r="F364" t="s">
        <v>1458</v>
      </c>
      <c r="G364" t="s">
        <v>21</v>
      </c>
      <c r="H364" t="s">
        <v>4888</v>
      </c>
      <c r="I364" t="s">
        <v>4906</v>
      </c>
      <c r="J364" s="4" t="s">
        <v>4907</v>
      </c>
      <c r="K364" s="4" t="s">
        <v>4908</v>
      </c>
      <c r="L364" s="4" t="s">
        <v>4897</v>
      </c>
      <c r="M364" s="4" t="s">
        <v>5035</v>
      </c>
      <c r="N364" t="s">
        <v>1459</v>
      </c>
      <c r="O364" t="s">
        <v>1460</v>
      </c>
      <c r="P364" t="s">
        <v>23</v>
      </c>
      <c r="Q364" t="s">
        <v>24</v>
      </c>
      <c r="R364" t="s">
        <v>25</v>
      </c>
      <c r="S364" t="s">
        <v>26</v>
      </c>
      <c r="T364" s="6">
        <v>46307</v>
      </c>
      <c r="U364">
        <v>24</v>
      </c>
      <c r="V364">
        <v>24</v>
      </c>
      <c r="W364">
        <v>24</v>
      </c>
      <c r="X364">
        <v>24</v>
      </c>
      <c r="Y364">
        <f t="shared" si="45"/>
        <v>0</v>
      </c>
      <c r="Z364">
        <f t="shared" si="46"/>
        <v>0</v>
      </c>
      <c r="AC364" s="1">
        <v>0</v>
      </c>
      <c r="AF364">
        <f>V364</f>
        <v>24</v>
      </c>
      <c r="AG364" s="7">
        <v>12</v>
      </c>
      <c r="AH364">
        <f t="shared" si="47"/>
        <v>24</v>
      </c>
      <c r="AI364">
        <f t="shared" si="44"/>
        <v>0</v>
      </c>
      <c r="AK364">
        <f t="shared" si="48"/>
        <v>2</v>
      </c>
      <c r="AL364">
        <v>10.19</v>
      </c>
      <c r="AM364" t="s">
        <v>27</v>
      </c>
      <c r="AN364">
        <v>10.19</v>
      </c>
      <c r="AO364" t="b">
        <f t="shared" si="49"/>
        <v>1</v>
      </c>
      <c r="AR364" t="s">
        <v>5061</v>
      </c>
      <c r="AS364" s="21">
        <v>46276</v>
      </c>
      <c r="AT364" t="s">
        <v>5062</v>
      </c>
      <c r="AU364" t="s">
        <v>5070</v>
      </c>
      <c r="AV364" t="s">
        <v>5062</v>
      </c>
      <c r="AW364" t="s">
        <v>5086</v>
      </c>
    </row>
    <row r="365" spans="1:49" x14ac:dyDescent="0.35">
      <c r="A365" t="s">
        <v>871</v>
      </c>
      <c r="B365" t="s">
        <v>872</v>
      </c>
      <c r="C365" t="s">
        <v>4818</v>
      </c>
      <c r="D365" t="s">
        <v>18</v>
      </c>
      <c r="E365" t="s">
        <v>1461</v>
      </c>
      <c r="F365" t="s">
        <v>1462</v>
      </c>
      <c r="G365" t="s">
        <v>21</v>
      </c>
      <c r="H365" t="s">
        <v>4888</v>
      </c>
      <c r="I365" t="s">
        <v>4889</v>
      </c>
      <c r="J365" s="4" t="s">
        <v>4890</v>
      </c>
      <c r="K365" s="4" t="s">
        <v>4899</v>
      </c>
      <c r="L365" s="4" t="s">
        <v>4885</v>
      </c>
      <c r="M365" s="4" t="s">
        <v>5035</v>
      </c>
      <c r="N365" t="s">
        <v>1463</v>
      </c>
      <c r="O365" t="s">
        <v>1464</v>
      </c>
      <c r="P365" t="s">
        <v>23</v>
      </c>
      <c r="Q365" t="s">
        <v>24</v>
      </c>
      <c r="R365" t="s">
        <v>25</v>
      </c>
      <c r="S365" t="s">
        <v>26</v>
      </c>
      <c r="T365" s="6">
        <v>46307</v>
      </c>
      <c r="U365">
        <v>72</v>
      </c>
      <c r="V365">
        <v>72</v>
      </c>
      <c r="W365">
        <v>60</v>
      </c>
      <c r="X365">
        <v>60</v>
      </c>
      <c r="Y365">
        <f t="shared" si="45"/>
        <v>0</v>
      </c>
      <c r="Z365">
        <f t="shared" si="46"/>
        <v>12</v>
      </c>
      <c r="AA365">
        <f>Z365</f>
        <v>12</v>
      </c>
      <c r="AC365" s="1">
        <v>0</v>
      </c>
      <c r="AF365">
        <f>X365</f>
        <v>60</v>
      </c>
      <c r="AG365" s="7">
        <v>12</v>
      </c>
      <c r="AH365">
        <f t="shared" si="47"/>
        <v>60</v>
      </c>
      <c r="AI365">
        <f t="shared" si="44"/>
        <v>12</v>
      </c>
      <c r="AK365">
        <f t="shared" si="48"/>
        <v>5</v>
      </c>
      <c r="AL365">
        <v>10.9</v>
      </c>
      <c r="AM365" t="s">
        <v>27</v>
      </c>
      <c r="AN365">
        <v>10.9</v>
      </c>
      <c r="AO365" t="b">
        <f t="shared" si="49"/>
        <v>1</v>
      </c>
      <c r="AR365" t="s">
        <v>5061</v>
      </c>
      <c r="AS365" s="21">
        <v>46276</v>
      </c>
      <c r="AT365" t="s">
        <v>5062</v>
      </c>
      <c r="AU365" t="s">
        <v>5067</v>
      </c>
      <c r="AV365" t="s">
        <v>5062</v>
      </c>
      <c r="AW365" t="s">
        <v>5086</v>
      </c>
    </row>
    <row r="366" spans="1:49" x14ac:dyDescent="0.35">
      <c r="A366" t="s">
        <v>871</v>
      </c>
      <c r="B366" t="s">
        <v>872</v>
      </c>
      <c r="C366" t="s">
        <v>4818</v>
      </c>
      <c r="D366" t="s">
        <v>18</v>
      </c>
      <c r="E366" t="s">
        <v>1465</v>
      </c>
      <c r="F366" t="s">
        <v>1466</v>
      </c>
      <c r="G366" t="s">
        <v>21</v>
      </c>
      <c r="H366" t="s">
        <v>4888</v>
      </c>
      <c r="I366" t="s">
        <v>4906</v>
      </c>
      <c r="J366" s="4" t="s">
        <v>4907</v>
      </c>
      <c r="K366" s="4" t="s">
        <v>4908</v>
      </c>
      <c r="L366" s="4" t="s">
        <v>4879</v>
      </c>
      <c r="M366" s="4" t="s">
        <v>5035</v>
      </c>
      <c r="N366" t="s">
        <v>1467</v>
      </c>
      <c r="O366" t="s">
        <v>1468</v>
      </c>
      <c r="P366" t="s">
        <v>23</v>
      </c>
      <c r="Q366" t="s">
        <v>24</v>
      </c>
      <c r="R366" t="s">
        <v>25</v>
      </c>
      <c r="S366" t="s">
        <v>26</v>
      </c>
      <c r="T366" s="6">
        <v>46307</v>
      </c>
      <c r="U366">
        <v>144</v>
      </c>
      <c r="V366">
        <v>144</v>
      </c>
      <c r="W366">
        <v>156</v>
      </c>
      <c r="X366">
        <v>156</v>
      </c>
      <c r="Y366">
        <f t="shared" si="45"/>
        <v>0</v>
      </c>
      <c r="Z366">
        <f t="shared" si="46"/>
        <v>-12</v>
      </c>
      <c r="AC366" s="1"/>
      <c r="AF366">
        <f t="shared" ref="AF366:AF373" si="53">V366</f>
        <v>144</v>
      </c>
      <c r="AG366" s="7">
        <v>12</v>
      </c>
      <c r="AH366">
        <f t="shared" si="47"/>
        <v>144</v>
      </c>
      <c r="AI366">
        <f t="shared" si="44"/>
        <v>0</v>
      </c>
      <c r="AK366">
        <f t="shared" si="48"/>
        <v>12</v>
      </c>
      <c r="AL366">
        <v>10.19</v>
      </c>
      <c r="AM366" t="s">
        <v>27</v>
      </c>
      <c r="AN366">
        <v>10.19</v>
      </c>
      <c r="AO366" t="b">
        <f t="shared" si="49"/>
        <v>1</v>
      </c>
      <c r="AR366" t="s">
        <v>5061</v>
      </c>
      <c r="AS366" s="21">
        <v>46276</v>
      </c>
      <c r="AT366" t="s">
        <v>5062</v>
      </c>
      <c r="AU366" t="s">
        <v>5070</v>
      </c>
      <c r="AV366" t="s">
        <v>5062</v>
      </c>
      <c r="AW366" t="s">
        <v>5086</v>
      </c>
    </row>
    <row r="367" spans="1:49" x14ac:dyDescent="0.35">
      <c r="A367" t="s">
        <v>871</v>
      </c>
      <c r="B367" t="s">
        <v>872</v>
      </c>
      <c r="C367" t="s">
        <v>4818</v>
      </c>
      <c r="D367" t="s">
        <v>18</v>
      </c>
      <c r="E367" t="s">
        <v>1469</v>
      </c>
      <c r="F367" t="s">
        <v>1470</v>
      </c>
      <c r="G367" t="s">
        <v>21</v>
      </c>
      <c r="H367" t="s">
        <v>4888</v>
      </c>
      <c r="I367" t="s">
        <v>4902</v>
      </c>
      <c r="J367" s="4" t="s">
        <v>4903</v>
      </c>
      <c r="K367" s="4" t="s">
        <v>4915</v>
      </c>
      <c r="L367" s="4" t="s">
        <v>4933</v>
      </c>
      <c r="M367" s="4" t="s">
        <v>5035</v>
      </c>
      <c r="N367" t="s">
        <v>1471</v>
      </c>
      <c r="O367" t="s">
        <v>1472</v>
      </c>
      <c r="P367" t="s">
        <v>23</v>
      </c>
      <c r="Q367" t="s">
        <v>24</v>
      </c>
      <c r="R367" t="s">
        <v>25</v>
      </c>
      <c r="S367" t="s">
        <v>26</v>
      </c>
      <c r="T367" s="6">
        <v>46307</v>
      </c>
      <c r="U367">
        <v>12</v>
      </c>
      <c r="V367">
        <v>12</v>
      </c>
      <c r="W367">
        <v>12</v>
      </c>
      <c r="X367">
        <v>12</v>
      </c>
      <c r="Y367">
        <f t="shared" si="45"/>
        <v>0</v>
      </c>
      <c r="Z367">
        <f t="shared" si="46"/>
        <v>0</v>
      </c>
      <c r="AC367" s="1">
        <v>0</v>
      </c>
      <c r="AF367">
        <f t="shared" si="53"/>
        <v>12</v>
      </c>
      <c r="AG367" s="7">
        <v>12</v>
      </c>
      <c r="AH367">
        <f t="shared" si="47"/>
        <v>12</v>
      </c>
      <c r="AI367">
        <f t="shared" si="44"/>
        <v>0</v>
      </c>
      <c r="AK367">
        <f t="shared" si="48"/>
        <v>1</v>
      </c>
      <c r="AL367">
        <v>10.66</v>
      </c>
      <c r="AM367" t="s">
        <v>27</v>
      </c>
      <c r="AN367">
        <v>10.66</v>
      </c>
      <c r="AO367" t="b">
        <f t="shared" si="49"/>
        <v>1</v>
      </c>
      <c r="AR367" t="s">
        <v>5061</v>
      </c>
      <c r="AS367" s="21">
        <v>46276</v>
      </c>
      <c r="AT367" t="s">
        <v>5062</v>
      </c>
      <c r="AU367" t="s">
        <v>5069</v>
      </c>
      <c r="AV367" t="s">
        <v>5062</v>
      </c>
      <c r="AW367" t="s">
        <v>5086</v>
      </c>
    </row>
    <row r="368" spans="1:49" x14ac:dyDescent="0.35">
      <c r="A368" t="s">
        <v>871</v>
      </c>
      <c r="B368" t="s">
        <v>872</v>
      </c>
      <c r="C368" t="s">
        <v>4818</v>
      </c>
      <c r="D368" t="s">
        <v>18</v>
      </c>
      <c r="E368" t="s">
        <v>1473</v>
      </c>
      <c r="F368" t="s">
        <v>1474</v>
      </c>
      <c r="G368" t="s">
        <v>21</v>
      </c>
      <c r="H368" t="s">
        <v>4888</v>
      </c>
      <c r="I368" t="s">
        <v>4893</v>
      </c>
      <c r="J368" s="4" t="s">
        <v>4894</v>
      </c>
      <c r="K368" s="4" t="s">
        <v>4837</v>
      </c>
      <c r="L368" s="4" t="s">
        <v>4897</v>
      </c>
      <c r="M368" s="4" t="s">
        <v>5035</v>
      </c>
      <c r="N368" t="s">
        <v>1475</v>
      </c>
      <c r="O368" t="s">
        <v>1476</v>
      </c>
      <c r="P368" t="s">
        <v>23</v>
      </c>
      <c r="Q368" t="s">
        <v>24</v>
      </c>
      <c r="R368" t="s">
        <v>25</v>
      </c>
      <c r="S368" t="s">
        <v>26</v>
      </c>
      <c r="T368" s="6">
        <v>46307</v>
      </c>
      <c r="U368">
        <v>84</v>
      </c>
      <c r="V368">
        <v>84</v>
      </c>
      <c r="W368">
        <v>84</v>
      </c>
      <c r="X368">
        <v>84</v>
      </c>
      <c r="Y368">
        <f t="shared" si="45"/>
        <v>0</v>
      </c>
      <c r="Z368">
        <f t="shared" si="46"/>
        <v>0</v>
      </c>
      <c r="AC368" s="1">
        <v>0</v>
      </c>
      <c r="AF368">
        <f t="shared" si="53"/>
        <v>84</v>
      </c>
      <c r="AG368" s="7">
        <v>12</v>
      </c>
      <c r="AH368">
        <f t="shared" si="47"/>
        <v>84</v>
      </c>
      <c r="AI368">
        <f t="shared" si="44"/>
        <v>0</v>
      </c>
      <c r="AK368">
        <f t="shared" si="48"/>
        <v>7</v>
      </c>
      <c r="AL368">
        <v>10.06</v>
      </c>
      <c r="AM368" t="s">
        <v>27</v>
      </c>
      <c r="AN368">
        <v>10.06</v>
      </c>
      <c r="AO368" t="b">
        <f t="shared" si="49"/>
        <v>1</v>
      </c>
      <c r="AR368" t="s">
        <v>5061</v>
      </c>
      <c r="AS368" s="21">
        <v>46276</v>
      </c>
      <c r="AT368" t="s">
        <v>5062</v>
      </c>
      <c r="AU368" t="s">
        <v>5068</v>
      </c>
      <c r="AV368" t="s">
        <v>5062</v>
      </c>
      <c r="AW368" t="s">
        <v>5086</v>
      </c>
    </row>
    <row r="369" spans="1:49" x14ac:dyDescent="0.35">
      <c r="A369" t="s">
        <v>871</v>
      </c>
      <c r="B369" t="s">
        <v>872</v>
      </c>
      <c r="C369" t="s">
        <v>4818</v>
      </c>
      <c r="D369" t="s">
        <v>18</v>
      </c>
      <c r="E369" t="s">
        <v>1477</v>
      </c>
      <c r="F369" t="s">
        <v>1478</v>
      </c>
      <c r="G369" t="s">
        <v>21</v>
      </c>
      <c r="H369" t="s">
        <v>4888</v>
      </c>
      <c r="I369" t="s">
        <v>4889</v>
      </c>
      <c r="J369" s="4" t="s">
        <v>4890</v>
      </c>
      <c r="K369" s="4" t="s">
        <v>4891</v>
      </c>
      <c r="L369" s="4" t="s">
        <v>4922</v>
      </c>
      <c r="M369" s="4" t="s">
        <v>5035</v>
      </c>
      <c r="N369" t="s">
        <v>1479</v>
      </c>
      <c r="O369" t="s">
        <v>1480</v>
      </c>
      <c r="P369" t="s">
        <v>23</v>
      </c>
      <c r="Q369" t="s">
        <v>24</v>
      </c>
      <c r="R369" t="s">
        <v>25</v>
      </c>
      <c r="S369" t="s">
        <v>26</v>
      </c>
      <c r="T369" s="6">
        <v>46307</v>
      </c>
      <c r="U369">
        <v>96</v>
      </c>
      <c r="V369">
        <v>96</v>
      </c>
      <c r="W369">
        <v>96</v>
      </c>
      <c r="X369">
        <v>96</v>
      </c>
      <c r="Y369">
        <f t="shared" si="45"/>
        <v>0</v>
      </c>
      <c r="Z369">
        <f t="shared" si="46"/>
        <v>0</v>
      </c>
      <c r="AC369" s="1">
        <v>0</v>
      </c>
      <c r="AF369">
        <f t="shared" si="53"/>
        <v>96</v>
      </c>
      <c r="AG369" s="7">
        <v>12</v>
      </c>
      <c r="AH369">
        <f t="shared" si="47"/>
        <v>96</v>
      </c>
      <c r="AI369">
        <f t="shared" si="44"/>
        <v>0</v>
      </c>
      <c r="AK369">
        <f t="shared" si="48"/>
        <v>8</v>
      </c>
      <c r="AL369">
        <v>11.2</v>
      </c>
      <c r="AM369" t="s">
        <v>27</v>
      </c>
      <c r="AN369">
        <v>11.2</v>
      </c>
      <c r="AO369" t="b">
        <f t="shared" si="49"/>
        <v>1</v>
      </c>
      <c r="AR369" t="s">
        <v>5061</v>
      </c>
      <c r="AS369" s="21">
        <v>46276</v>
      </c>
      <c r="AT369" t="s">
        <v>5062</v>
      </c>
      <c r="AU369" t="s">
        <v>5067</v>
      </c>
      <c r="AV369" t="s">
        <v>5062</v>
      </c>
      <c r="AW369" t="s">
        <v>5086</v>
      </c>
    </row>
    <row r="370" spans="1:49" x14ac:dyDescent="0.35">
      <c r="A370" t="s">
        <v>871</v>
      </c>
      <c r="B370" t="s">
        <v>872</v>
      </c>
      <c r="C370" t="s">
        <v>4818</v>
      </c>
      <c r="D370" t="s">
        <v>18</v>
      </c>
      <c r="E370" t="s">
        <v>1481</v>
      </c>
      <c r="F370" t="s">
        <v>1482</v>
      </c>
      <c r="G370" t="s">
        <v>21</v>
      </c>
      <c r="H370" t="s">
        <v>4888</v>
      </c>
      <c r="I370" t="s">
        <v>4889</v>
      </c>
      <c r="J370" s="4" t="s">
        <v>4890</v>
      </c>
      <c r="K370" s="4" t="s">
        <v>4891</v>
      </c>
      <c r="L370" s="4" t="s">
        <v>4926</v>
      </c>
      <c r="M370" s="4" t="s">
        <v>5035</v>
      </c>
      <c r="N370" t="s">
        <v>1483</v>
      </c>
      <c r="O370" t="s">
        <v>1484</v>
      </c>
      <c r="P370" t="s">
        <v>23</v>
      </c>
      <c r="Q370" t="s">
        <v>24</v>
      </c>
      <c r="R370" t="s">
        <v>25</v>
      </c>
      <c r="S370" t="s">
        <v>26</v>
      </c>
      <c r="T370" s="6">
        <v>46307</v>
      </c>
      <c r="U370">
        <v>204</v>
      </c>
      <c r="V370">
        <v>204</v>
      </c>
      <c r="W370">
        <v>216</v>
      </c>
      <c r="X370">
        <v>216</v>
      </c>
      <c r="Y370">
        <f t="shared" si="45"/>
        <v>0</v>
      </c>
      <c r="Z370">
        <f t="shared" si="46"/>
        <v>-12</v>
      </c>
      <c r="AC370" s="1">
        <v>0</v>
      </c>
      <c r="AF370">
        <f t="shared" si="53"/>
        <v>204</v>
      </c>
      <c r="AG370" s="7">
        <v>12</v>
      </c>
      <c r="AH370">
        <f t="shared" si="47"/>
        <v>204</v>
      </c>
      <c r="AI370">
        <f t="shared" si="44"/>
        <v>0</v>
      </c>
      <c r="AK370">
        <f t="shared" si="48"/>
        <v>17</v>
      </c>
      <c r="AL370">
        <v>11.2</v>
      </c>
      <c r="AM370" t="s">
        <v>27</v>
      </c>
      <c r="AN370">
        <v>11.2</v>
      </c>
      <c r="AO370" t="b">
        <f t="shared" si="49"/>
        <v>1</v>
      </c>
      <c r="AR370" t="s">
        <v>5061</v>
      </c>
      <c r="AS370" s="21">
        <v>46276</v>
      </c>
      <c r="AT370" t="s">
        <v>5062</v>
      </c>
      <c r="AU370" t="s">
        <v>5067</v>
      </c>
      <c r="AV370" t="s">
        <v>5062</v>
      </c>
      <c r="AW370" t="s">
        <v>5086</v>
      </c>
    </row>
    <row r="371" spans="1:49" x14ac:dyDescent="0.35">
      <c r="A371" t="s">
        <v>871</v>
      </c>
      <c r="B371" t="s">
        <v>872</v>
      </c>
      <c r="C371" t="s">
        <v>4818</v>
      </c>
      <c r="D371" t="s">
        <v>18</v>
      </c>
      <c r="E371" t="s">
        <v>1485</v>
      </c>
      <c r="F371" t="s">
        <v>1486</v>
      </c>
      <c r="G371" t="s">
        <v>21</v>
      </c>
      <c r="H371" t="s">
        <v>4888</v>
      </c>
      <c r="I371" t="s">
        <v>4889</v>
      </c>
      <c r="J371" s="4" t="s">
        <v>4890</v>
      </c>
      <c r="K371" s="4" t="s">
        <v>4911</v>
      </c>
      <c r="L371" s="4" t="s">
        <v>4901</v>
      </c>
      <c r="M371" s="4" t="s">
        <v>5035</v>
      </c>
      <c r="N371" t="s">
        <v>1487</v>
      </c>
      <c r="O371" t="s">
        <v>1488</v>
      </c>
      <c r="P371" t="s">
        <v>23</v>
      </c>
      <c r="Q371" t="s">
        <v>24</v>
      </c>
      <c r="R371" t="s">
        <v>25</v>
      </c>
      <c r="S371" t="s">
        <v>26</v>
      </c>
      <c r="T371" s="6">
        <v>46307</v>
      </c>
      <c r="U371">
        <v>24</v>
      </c>
      <c r="V371">
        <v>24</v>
      </c>
      <c r="W371">
        <v>24</v>
      </c>
      <c r="X371">
        <v>24</v>
      </c>
      <c r="Y371">
        <f t="shared" si="45"/>
        <v>0</v>
      </c>
      <c r="Z371">
        <f t="shared" si="46"/>
        <v>0</v>
      </c>
      <c r="AC371" s="1">
        <v>0</v>
      </c>
      <c r="AF371">
        <f t="shared" si="53"/>
        <v>24</v>
      </c>
      <c r="AG371" s="7">
        <v>12</v>
      </c>
      <c r="AH371">
        <f t="shared" si="47"/>
        <v>24</v>
      </c>
      <c r="AI371">
        <f t="shared" si="44"/>
        <v>0</v>
      </c>
      <c r="AK371">
        <f t="shared" si="48"/>
        <v>2</v>
      </c>
      <c r="AL371">
        <v>11.87</v>
      </c>
      <c r="AM371" t="s">
        <v>27</v>
      </c>
      <c r="AN371">
        <v>11.87</v>
      </c>
      <c r="AO371" t="b">
        <f t="shared" si="49"/>
        <v>1</v>
      </c>
      <c r="AR371" t="s">
        <v>5061</v>
      </c>
      <c r="AS371" s="21">
        <v>46276</v>
      </c>
      <c r="AT371" t="s">
        <v>5062</v>
      </c>
      <c r="AU371" t="s">
        <v>5067</v>
      </c>
      <c r="AV371" t="s">
        <v>5062</v>
      </c>
      <c r="AW371" t="s">
        <v>5086</v>
      </c>
    </row>
    <row r="372" spans="1:49" x14ac:dyDescent="0.35">
      <c r="A372" t="s">
        <v>871</v>
      </c>
      <c r="B372" t="s">
        <v>872</v>
      </c>
      <c r="C372" t="s">
        <v>4818</v>
      </c>
      <c r="D372" t="s">
        <v>18</v>
      </c>
      <c r="E372" t="s">
        <v>1489</v>
      </c>
      <c r="F372" t="s">
        <v>1490</v>
      </c>
      <c r="G372" t="s">
        <v>21</v>
      </c>
      <c r="H372" t="s">
        <v>4888</v>
      </c>
      <c r="I372" t="s">
        <v>4906</v>
      </c>
      <c r="J372" s="4" t="s">
        <v>4907</v>
      </c>
      <c r="K372" s="4" t="s">
        <v>4908</v>
      </c>
      <c r="L372" s="4" t="s">
        <v>4855</v>
      </c>
      <c r="M372" s="4" t="s">
        <v>5035</v>
      </c>
      <c r="N372" t="s">
        <v>1491</v>
      </c>
      <c r="O372" t="s">
        <v>1492</v>
      </c>
      <c r="P372" t="s">
        <v>23</v>
      </c>
      <c r="Q372" t="s">
        <v>24</v>
      </c>
      <c r="R372" t="s">
        <v>25</v>
      </c>
      <c r="S372" t="s">
        <v>26</v>
      </c>
      <c r="T372" s="6">
        <v>46307</v>
      </c>
      <c r="U372">
        <v>108</v>
      </c>
      <c r="V372">
        <v>108</v>
      </c>
      <c r="W372">
        <v>108</v>
      </c>
      <c r="X372">
        <v>108</v>
      </c>
      <c r="Y372">
        <f t="shared" si="45"/>
        <v>0</v>
      </c>
      <c r="Z372">
        <f t="shared" si="46"/>
        <v>0</v>
      </c>
      <c r="AC372" s="1">
        <v>0</v>
      </c>
      <c r="AF372">
        <f t="shared" si="53"/>
        <v>108</v>
      </c>
      <c r="AG372" s="7">
        <v>12</v>
      </c>
      <c r="AH372">
        <f t="shared" si="47"/>
        <v>108</v>
      </c>
      <c r="AI372">
        <f t="shared" si="44"/>
        <v>0</v>
      </c>
      <c r="AK372">
        <f t="shared" si="48"/>
        <v>9</v>
      </c>
      <c r="AL372">
        <v>10.19</v>
      </c>
      <c r="AM372" t="s">
        <v>27</v>
      </c>
      <c r="AN372">
        <v>10.19</v>
      </c>
      <c r="AO372" t="b">
        <f t="shared" si="49"/>
        <v>1</v>
      </c>
      <c r="AR372" t="s">
        <v>5061</v>
      </c>
      <c r="AS372" s="21">
        <v>46276</v>
      </c>
      <c r="AT372" t="s">
        <v>5062</v>
      </c>
      <c r="AU372" t="s">
        <v>5070</v>
      </c>
      <c r="AV372" t="s">
        <v>5062</v>
      </c>
      <c r="AW372" t="s">
        <v>5086</v>
      </c>
    </row>
    <row r="373" spans="1:49" x14ac:dyDescent="0.35">
      <c r="A373" t="s">
        <v>871</v>
      </c>
      <c r="B373" t="s">
        <v>872</v>
      </c>
      <c r="C373" t="s">
        <v>4818</v>
      </c>
      <c r="D373" t="s">
        <v>18</v>
      </c>
      <c r="E373" t="s">
        <v>1493</v>
      </c>
      <c r="F373" t="s">
        <v>1494</v>
      </c>
      <c r="G373" t="s">
        <v>21</v>
      </c>
      <c r="H373" t="s">
        <v>4888</v>
      </c>
      <c r="I373" t="s">
        <v>4893</v>
      </c>
      <c r="J373" s="4" t="s">
        <v>4894</v>
      </c>
      <c r="K373" s="4" t="s">
        <v>4837</v>
      </c>
      <c r="L373" s="4" t="s">
        <v>4930</v>
      </c>
      <c r="M373" s="4" t="s">
        <v>5035</v>
      </c>
      <c r="N373" t="s">
        <v>1495</v>
      </c>
      <c r="O373" t="s">
        <v>1496</v>
      </c>
      <c r="P373" t="s">
        <v>23</v>
      </c>
      <c r="Q373" t="s">
        <v>24</v>
      </c>
      <c r="R373" t="s">
        <v>25</v>
      </c>
      <c r="S373" t="s">
        <v>26</v>
      </c>
      <c r="T373" s="6">
        <v>46307</v>
      </c>
      <c r="U373">
        <v>12</v>
      </c>
      <c r="V373">
        <v>12</v>
      </c>
      <c r="W373">
        <v>12</v>
      </c>
      <c r="X373">
        <v>12</v>
      </c>
      <c r="Y373">
        <f t="shared" si="45"/>
        <v>0</v>
      </c>
      <c r="Z373">
        <f t="shared" si="46"/>
        <v>0</v>
      </c>
      <c r="AC373" s="1">
        <v>0</v>
      </c>
      <c r="AF373">
        <f t="shared" si="53"/>
        <v>12</v>
      </c>
      <c r="AG373" s="7">
        <v>12</v>
      </c>
      <c r="AH373">
        <f t="shared" si="47"/>
        <v>12</v>
      </c>
      <c r="AI373">
        <f t="shared" si="44"/>
        <v>0</v>
      </c>
      <c r="AK373">
        <f t="shared" si="48"/>
        <v>1</v>
      </c>
      <c r="AL373">
        <v>10.06</v>
      </c>
      <c r="AM373" t="s">
        <v>27</v>
      </c>
      <c r="AN373">
        <v>10.06</v>
      </c>
      <c r="AO373" t="b">
        <f t="shared" si="49"/>
        <v>1</v>
      </c>
      <c r="AR373" t="s">
        <v>5061</v>
      </c>
      <c r="AS373" s="21">
        <v>46276</v>
      </c>
      <c r="AT373" t="s">
        <v>5062</v>
      </c>
      <c r="AU373" t="s">
        <v>5068</v>
      </c>
      <c r="AV373" t="s">
        <v>5062</v>
      </c>
      <c r="AW373" t="s">
        <v>5086</v>
      </c>
    </row>
    <row r="374" spans="1:49" x14ac:dyDescent="0.35">
      <c r="A374" t="s">
        <v>871</v>
      </c>
      <c r="B374" t="s">
        <v>872</v>
      </c>
      <c r="C374" t="s">
        <v>4818</v>
      </c>
      <c r="D374" t="s">
        <v>18</v>
      </c>
      <c r="E374" t="s">
        <v>1497</v>
      </c>
      <c r="F374" t="s">
        <v>1498</v>
      </c>
      <c r="G374" t="s">
        <v>21</v>
      </c>
      <c r="H374" t="s">
        <v>4888</v>
      </c>
      <c r="I374" t="s">
        <v>4889</v>
      </c>
      <c r="J374" s="4" t="s">
        <v>4890</v>
      </c>
      <c r="K374" s="4" t="s">
        <v>4891</v>
      </c>
      <c r="L374" s="4" t="s">
        <v>4857</v>
      </c>
      <c r="M374" s="4" t="s">
        <v>5035</v>
      </c>
      <c r="N374" t="s">
        <v>1499</v>
      </c>
      <c r="O374" t="s">
        <v>1500</v>
      </c>
      <c r="P374" t="s">
        <v>23</v>
      </c>
      <c r="Q374" t="s">
        <v>24</v>
      </c>
      <c r="R374" t="s">
        <v>25</v>
      </c>
      <c r="S374" t="s">
        <v>26</v>
      </c>
      <c r="T374" s="6">
        <v>46307</v>
      </c>
      <c r="U374">
        <v>24</v>
      </c>
      <c r="V374">
        <v>24</v>
      </c>
      <c r="W374">
        <v>12</v>
      </c>
      <c r="X374">
        <v>12</v>
      </c>
      <c r="Y374">
        <f t="shared" si="45"/>
        <v>0</v>
      </c>
      <c r="Z374">
        <f t="shared" si="46"/>
        <v>12</v>
      </c>
      <c r="AA374">
        <f>Z374</f>
        <v>12</v>
      </c>
      <c r="AC374" s="1">
        <v>0</v>
      </c>
      <c r="AF374">
        <f>X374</f>
        <v>12</v>
      </c>
      <c r="AG374" s="7">
        <v>12</v>
      </c>
      <c r="AH374">
        <f t="shared" si="47"/>
        <v>12</v>
      </c>
      <c r="AI374">
        <f t="shared" si="44"/>
        <v>12</v>
      </c>
      <c r="AK374">
        <f t="shared" si="48"/>
        <v>1</v>
      </c>
      <c r="AL374">
        <v>11.2</v>
      </c>
      <c r="AM374" t="s">
        <v>27</v>
      </c>
      <c r="AN374">
        <v>11.2</v>
      </c>
      <c r="AO374" t="b">
        <f t="shared" si="49"/>
        <v>1</v>
      </c>
      <c r="AR374" t="s">
        <v>5061</v>
      </c>
      <c r="AS374" s="21">
        <v>46276</v>
      </c>
      <c r="AT374" t="s">
        <v>5062</v>
      </c>
      <c r="AU374" t="s">
        <v>5067</v>
      </c>
      <c r="AV374" t="s">
        <v>5062</v>
      </c>
      <c r="AW374" t="s">
        <v>5086</v>
      </c>
    </row>
    <row r="375" spans="1:49" x14ac:dyDescent="0.35">
      <c r="A375" t="s">
        <v>871</v>
      </c>
      <c r="B375" t="s">
        <v>872</v>
      </c>
      <c r="C375" t="s">
        <v>4818</v>
      </c>
      <c r="D375" t="s">
        <v>18</v>
      </c>
      <c r="E375" t="s">
        <v>1501</v>
      </c>
      <c r="F375" t="s">
        <v>1502</v>
      </c>
      <c r="G375" t="s">
        <v>21</v>
      </c>
      <c r="H375" t="s">
        <v>4888</v>
      </c>
      <c r="I375" t="s">
        <v>4889</v>
      </c>
      <c r="J375" s="4" t="s">
        <v>4890</v>
      </c>
      <c r="K375" s="4" t="s">
        <v>4911</v>
      </c>
      <c r="L375" s="4" t="s">
        <v>4879</v>
      </c>
      <c r="M375" s="4" t="s">
        <v>5035</v>
      </c>
      <c r="N375" t="s">
        <v>1503</v>
      </c>
      <c r="O375" t="s">
        <v>1504</v>
      </c>
      <c r="P375" t="s">
        <v>23</v>
      </c>
      <c r="Q375" t="s">
        <v>24</v>
      </c>
      <c r="R375" t="s">
        <v>25</v>
      </c>
      <c r="S375" t="s">
        <v>26</v>
      </c>
      <c r="T375" s="6">
        <v>46307</v>
      </c>
      <c r="U375">
        <v>168</v>
      </c>
      <c r="V375">
        <v>168</v>
      </c>
      <c r="W375">
        <v>168</v>
      </c>
      <c r="X375">
        <v>168</v>
      </c>
      <c r="Y375">
        <f t="shared" si="45"/>
        <v>0</v>
      </c>
      <c r="Z375">
        <f t="shared" si="46"/>
        <v>0</v>
      </c>
      <c r="AC375" s="1">
        <v>0</v>
      </c>
      <c r="AF375">
        <f>V375</f>
        <v>168</v>
      </c>
      <c r="AG375" s="7">
        <v>12</v>
      </c>
      <c r="AH375">
        <f t="shared" si="47"/>
        <v>168</v>
      </c>
      <c r="AI375">
        <f t="shared" si="44"/>
        <v>0</v>
      </c>
      <c r="AK375">
        <f t="shared" si="48"/>
        <v>14</v>
      </c>
      <c r="AL375">
        <v>11.87</v>
      </c>
      <c r="AM375" t="s">
        <v>27</v>
      </c>
      <c r="AN375">
        <v>11.87</v>
      </c>
      <c r="AO375" t="b">
        <f t="shared" si="49"/>
        <v>1</v>
      </c>
      <c r="AR375" t="s">
        <v>5061</v>
      </c>
      <c r="AS375" s="21">
        <v>46276</v>
      </c>
      <c r="AT375" t="s">
        <v>5062</v>
      </c>
      <c r="AU375" t="s">
        <v>5067</v>
      </c>
      <c r="AV375" t="s">
        <v>5062</v>
      </c>
      <c r="AW375" t="s">
        <v>5086</v>
      </c>
    </row>
    <row r="376" spans="1:49" x14ac:dyDescent="0.35">
      <c r="A376" t="s">
        <v>871</v>
      </c>
      <c r="B376" t="s">
        <v>872</v>
      </c>
      <c r="C376" t="s">
        <v>4818</v>
      </c>
      <c r="D376" t="s">
        <v>18</v>
      </c>
      <c r="E376" t="s">
        <v>1505</v>
      </c>
      <c r="F376" t="s">
        <v>1506</v>
      </c>
      <c r="G376" t="s">
        <v>21</v>
      </c>
      <c r="H376" t="s">
        <v>4888</v>
      </c>
      <c r="I376" t="s">
        <v>4889</v>
      </c>
      <c r="J376" s="4" t="s">
        <v>4890</v>
      </c>
      <c r="K376" s="4" t="s">
        <v>4911</v>
      </c>
      <c r="L376" s="4" t="s">
        <v>4897</v>
      </c>
      <c r="M376" s="4" t="s">
        <v>5035</v>
      </c>
      <c r="N376" t="s">
        <v>1507</v>
      </c>
      <c r="O376" t="s">
        <v>1508</v>
      </c>
      <c r="P376" t="s">
        <v>23</v>
      </c>
      <c r="Q376" t="s">
        <v>24</v>
      </c>
      <c r="R376" t="s">
        <v>25</v>
      </c>
      <c r="S376" t="s">
        <v>26</v>
      </c>
      <c r="T376" s="6">
        <v>46307</v>
      </c>
      <c r="U376">
        <v>60</v>
      </c>
      <c r="V376">
        <v>60</v>
      </c>
      <c r="W376">
        <v>72</v>
      </c>
      <c r="X376">
        <v>72</v>
      </c>
      <c r="Y376">
        <f t="shared" si="45"/>
        <v>0</v>
      </c>
      <c r="Z376">
        <f t="shared" si="46"/>
        <v>-12</v>
      </c>
      <c r="AC376" s="1">
        <v>0</v>
      </c>
      <c r="AF376">
        <f>V376</f>
        <v>60</v>
      </c>
      <c r="AG376" s="7">
        <v>12</v>
      </c>
      <c r="AH376">
        <f t="shared" si="47"/>
        <v>60</v>
      </c>
      <c r="AI376">
        <f t="shared" si="44"/>
        <v>0</v>
      </c>
      <c r="AK376">
        <f t="shared" si="48"/>
        <v>5</v>
      </c>
      <c r="AL376">
        <v>11.87</v>
      </c>
      <c r="AM376" t="s">
        <v>27</v>
      </c>
      <c r="AN376">
        <v>11.87</v>
      </c>
      <c r="AO376" t="b">
        <f t="shared" si="49"/>
        <v>1</v>
      </c>
      <c r="AR376" t="s">
        <v>5061</v>
      </c>
      <c r="AS376" s="21">
        <v>46276</v>
      </c>
      <c r="AT376" t="s">
        <v>5062</v>
      </c>
      <c r="AU376" t="s">
        <v>5067</v>
      </c>
      <c r="AV376" t="s">
        <v>5062</v>
      </c>
      <c r="AW376" t="s">
        <v>5086</v>
      </c>
    </row>
    <row r="377" spans="1:49" x14ac:dyDescent="0.35">
      <c r="A377" t="s">
        <v>871</v>
      </c>
      <c r="B377" t="s">
        <v>872</v>
      </c>
      <c r="C377" t="s">
        <v>4818</v>
      </c>
      <c r="D377" t="s">
        <v>18</v>
      </c>
      <c r="E377" t="s">
        <v>1509</v>
      </c>
      <c r="F377" t="s">
        <v>1510</v>
      </c>
      <c r="G377" t="s">
        <v>21</v>
      </c>
      <c r="H377" t="s">
        <v>4888</v>
      </c>
      <c r="I377" t="s">
        <v>4906</v>
      </c>
      <c r="J377" s="4" t="s">
        <v>4907</v>
      </c>
      <c r="K377" s="4" t="s">
        <v>4908</v>
      </c>
      <c r="L377" s="4" t="s">
        <v>4869</v>
      </c>
      <c r="M377" s="4" t="s">
        <v>5035</v>
      </c>
      <c r="N377" t="s">
        <v>1511</v>
      </c>
      <c r="O377" t="s">
        <v>1512</v>
      </c>
      <c r="P377" t="s">
        <v>23</v>
      </c>
      <c r="Q377" t="s">
        <v>24</v>
      </c>
      <c r="R377" t="s">
        <v>25</v>
      </c>
      <c r="S377" t="s">
        <v>26</v>
      </c>
      <c r="T377" s="6">
        <v>46307</v>
      </c>
      <c r="U377">
        <v>96</v>
      </c>
      <c r="V377">
        <v>96</v>
      </c>
      <c r="W377">
        <v>108</v>
      </c>
      <c r="X377">
        <v>108</v>
      </c>
      <c r="Y377">
        <f t="shared" si="45"/>
        <v>0</v>
      </c>
      <c r="Z377">
        <f t="shared" si="46"/>
        <v>-12</v>
      </c>
      <c r="AC377" s="1">
        <v>0</v>
      </c>
      <c r="AF377">
        <f>V377</f>
        <v>96</v>
      </c>
      <c r="AG377" s="7">
        <v>12</v>
      </c>
      <c r="AH377">
        <f t="shared" si="47"/>
        <v>96</v>
      </c>
      <c r="AI377">
        <f t="shared" si="44"/>
        <v>0</v>
      </c>
      <c r="AK377">
        <f t="shared" si="48"/>
        <v>8</v>
      </c>
      <c r="AL377">
        <v>10.19</v>
      </c>
      <c r="AM377" t="s">
        <v>27</v>
      </c>
      <c r="AN377">
        <v>10.19</v>
      </c>
      <c r="AO377" t="b">
        <f t="shared" si="49"/>
        <v>1</v>
      </c>
      <c r="AR377" t="s">
        <v>5061</v>
      </c>
      <c r="AS377" s="21">
        <v>46276</v>
      </c>
      <c r="AT377" t="s">
        <v>5062</v>
      </c>
      <c r="AU377" t="s">
        <v>5070</v>
      </c>
      <c r="AV377" t="s">
        <v>5062</v>
      </c>
      <c r="AW377" t="s">
        <v>5086</v>
      </c>
    </row>
    <row r="378" spans="1:49" x14ac:dyDescent="0.35">
      <c r="A378" t="s">
        <v>871</v>
      </c>
      <c r="B378" t="s">
        <v>872</v>
      </c>
      <c r="C378" t="s">
        <v>4818</v>
      </c>
      <c r="D378" t="s">
        <v>18</v>
      </c>
      <c r="E378" t="s">
        <v>1513</v>
      </c>
      <c r="F378" t="s">
        <v>1514</v>
      </c>
      <c r="G378" t="s">
        <v>21</v>
      </c>
      <c r="H378" t="s">
        <v>4888</v>
      </c>
      <c r="I378" t="s">
        <v>4893</v>
      </c>
      <c r="J378" s="4" t="s">
        <v>4894</v>
      </c>
      <c r="K378" s="4" t="s">
        <v>4913</v>
      </c>
      <c r="L378" s="4" t="s">
        <v>4853</v>
      </c>
      <c r="M378" s="4" t="s">
        <v>5035</v>
      </c>
      <c r="N378" t="s">
        <v>1515</v>
      </c>
      <c r="O378" t="s">
        <v>1516</v>
      </c>
      <c r="P378" t="s">
        <v>23</v>
      </c>
      <c r="Q378" t="s">
        <v>24</v>
      </c>
      <c r="R378" t="s">
        <v>25</v>
      </c>
      <c r="S378" t="s">
        <v>26</v>
      </c>
      <c r="T378" s="6">
        <v>46307</v>
      </c>
      <c r="U378">
        <v>240</v>
      </c>
      <c r="V378">
        <v>240</v>
      </c>
      <c r="W378">
        <v>264</v>
      </c>
      <c r="X378">
        <v>264</v>
      </c>
      <c r="Y378">
        <f t="shared" si="45"/>
        <v>0</v>
      </c>
      <c r="Z378">
        <f t="shared" si="46"/>
        <v>-24</v>
      </c>
      <c r="AC378" s="1">
        <v>0</v>
      </c>
      <c r="AF378">
        <f>V378</f>
        <v>240</v>
      </c>
      <c r="AG378" s="7">
        <v>12</v>
      </c>
      <c r="AH378">
        <f t="shared" si="47"/>
        <v>240</v>
      </c>
      <c r="AI378">
        <f t="shared" si="44"/>
        <v>0</v>
      </c>
      <c r="AK378">
        <f t="shared" si="48"/>
        <v>20</v>
      </c>
      <c r="AL378">
        <v>9.9499999999999993</v>
      </c>
      <c r="AM378" t="s">
        <v>27</v>
      </c>
      <c r="AN378">
        <v>9.9499999999999993</v>
      </c>
      <c r="AO378" t="b">
        <f t="shared" si="49"/>
        <v>1</v>
      </c>
      <c r="AR378" t="s">
        <v>5061</v>
      </c>
      <c r="AS378" s="21">
        <v>46276</v>
      </c>
      <c r="AT378" t="s">
        <v>5062</v>
      </c>
      <c r="AU378" t="s">
        <v>5068</v>
      </c>
      <c r="AV378" t="s">
        <v>5062</v>
      </c>
      <c r="AW378" t="s">
        <v>5086</v>
      </c>
    </row>
    <row r="379" spans="1:49" x14ac:dyDescent="0.35">
      <c r="A379" t="s">
        <v>871</v>
      </c>
      <c r="B379" t="s">
        <v>872</v>
      </c>
      <c r="C379" t="s">
        <v>4818</v>
      </c>
      <c r="D379" t="s">
        <v>18</v>
      </c>
      <c r="E379" t="s">
        <v>1517</v>
      </c>
      <c r="F379" t="s">
        <v>1518</v>
      </c>
      <c r="G379" t="s">
        <v>21</v>
      </c>
      <c r="H379" t="s">
        <v>4888</v>
      </c>
      <c r="I379" t="s">
        <v>4893</v>
      </c>
      <c r="J379" s="4" t="s">
        <v>4894</v>
      </c>
      <c r="K379" s="4" t="s">
        <v>4904</v>
      </c>
      <c r="L379" s="4" t="s">
        <v>4920</v>
      </c>
      <c r="M379" s="4" t="s">
        <v>5035</v>
      </c>
      <c r="N379" t="s">
        <v>1519</v>
      </c>
      <c r="O379" t="s">
        <v>1520</v>
      </c>
      <c r="P379" t="s">
        <v>23</v>
      </c>
      <c r="Q379" t="s">
        <v>24</v>
      </c>
      <c r="R379" t="s">
        <v>25</v>
      </c>
      <c r="S379" t="s">
        <v>26</v>
      </c>
      <c r="T379" s="6">
        <v>46307</v>
      </c>
      <c r="U379">
        <v>84</v>
      </c>
      <c r="V379">
        <v>84</v>
      </c>
      <c r="W379">
        <v>72</v>
      </c>
      <c r="X379">
        <v>72</v>
      </c>
      <c r="Y379">
        <f t="shared" si="45"/>
        <v>0</v>
      </c>
      <c r="Z379">
        <f t="shared" si="46"/>
        <v>12</v>
      </c>
      <c r="AA379">
        <f t="shared" ref="AA379:AA380" si="54">Z379</f>
        <v>12</v>
      </c>
      <c r="AC379" s="1">
        <v>0</v>
      </c>
      <c r="AF379">
        <f>X379</f>
        <v>72</v>
      </c>
      <c r="AG379" s="7">
        <v>12</v>
      </c>
      <c r="AH379">
        <f t="shared" si="47"/>
        <v>72</v>
      </c>
      <c r="AI379">
        <f t="shared" si="44"/>
        <v>12</v>
      </c>
      <c r="AK379">
        <f t="shared" si="48"/>
        <v>6</v>
      </c>
      <c r="AL379">
        <v>10.16</v>
      </c>
      <c r="AM379" t="s">
        <v>27</v>
      </c>
      <c r="AN379">
        <v>10.16</v>
      </c>
      <c r="AO379" t="b">
        <f t="shared" si="49"/>
        <v>1</v>
      </c>
      <c r="AR379" t="s">
        <v>5061</v>
      </c>
      <c r="AS379" s="21">
        <v>46276</v>
      </c>
      <c r="AT379" t="s">
        <v>5062</v>
      </c>
      <c r="AU379" t="s">
        <v>5068</v>
      </c>
      <c r="AV379" t="s">
        <v>5062</v>
      </c>
      <c r="AW379" t="s">
        <v>5086</v>
      </c>
    </row>
    <row r="380" spans="1:49" x14ac:dyDescent="0.35">
      <c r="A380" t="s">
        <v>871</v>
      </c>
      <c r="B380" t="s">
        <v>872</v>
      </c>
      <c r="C380" t="s">
        <v>4818</v>
      </c>
      <c r="D380" t="s">
        <v>18</v>
      </c>
      <c r="E380" t="s">
        <v>1521</v>
      </c>
      <c r="F380" t="s">
        <v>1522</v>
      </c>
      <c r="G380" t="s">
        <v>21</v>
      </c>
      <c r="H380" t="s">
        <v>4888</v>
      </c>
      <c r="I380" t="s">
        <v>4889</v>
      </c>
      <c r="J380" s="4" t="s">
        <v>4890</v>
      </c>
      <c r="K380" s="4" t="s">
        <v>4911</v>
      </c>
      <c r="L380" s="4" t="s">
        <v>4892</v>
      </c>
      <c r="M380" s="4" t="s">
        <v>5035</v>
      </c>
      <c r="N380" t="s">
        <v>1523</v>
      </c>
      <c r="O380" t="s">
        <v>1524</v>
      </c>
      <c r="P380" t="s">
        <v>23</v>
      </c>
      <c r="Q380" t="s">
        <v>24</v>
      </c>
      <c r="R380" t="s">
        <v>25</v>
      </c>
      <c r="S380" t="s">
        <v>26</v>
      </c>
      <c r="T380" s="6">
        <v>46307</v>
      </c>
      <c r="U380">
        <v>60</v>
      </c>
      <c r="V380">
        <v>60</v>
      </c>
      <c r="W380">
        <v>48</v>
      </c>
      <c r="X380">
        <v>48</v>
      </c>
      <c r="Y380">
        <f t="shared" si="45"/>
        <v>0</v>
      </c>
      <c r="Z380">
        <f t="shared" si="46"/>
        <v>12</v>
      </c>
      <c r="AA380">
        <f t="shared" si="54"/>
        <v>12</v>
      </c>
      <c r="AC380" s="1">
        <v>0</v>
      </c>
      <c r="AF380">
        <f>X380</f>
        <v>48</v>
      </c>
      <c r="AG380" s="7">
        <v>12</v>
      </c>
      <c r="AH380">
        <f t="shared" si="47"/>
        <v>48</v>
      </c>
      <c r="AI380">
        <f t="shared" si="44"/>
        <v>12</v>
      </c>
      <c r="AK380">
        <f t="shared" si="48"/>
        <v>4</v>
      </c>
      <c r="AL380">
        <v>11.87</v>
      </c>
      <c r="AM380" t="s">
        <v>27</v>
      </c>
      <c r="AN380">
        <v>11.87</v>
      </c>
      <c r="AO380" t="b">
        <f t="shared" si="49"/>
        <v>1</v>
      </c>
      <c r="AR380" t="s">
        <v>5061</v>
      </c>
      <c r="AS380" s="21">
        <v>46276</v>
      </c>
      <c r="AT380" t="s">
        <v>5062</v>
      </c>
      <c r="AU380" t="s">
        <v>5067</v>
      </c>
      <c r="AV380" t="s">
        <v>5062</v>
      </c>
      <c r="AW380" t="s">
        <v>5086</v>
      </c>
    </row>
    <row r="381" spans="1:49" x14ac:dyDescent="0.35">
      <c r="A381" t="s">
        <v>871</v>
      </c>
      <c r="B381" t="s">
        <v>872</v>
      </c>
      <c r="C381" t="s">
        <v>4818</v>
      </c>
      <c r="D381" t="s">
        <v>18</v>
      </c>
      <c r="E381" t="s">
        <v>1525</v>
      </c>
      <c r="F381" t="s">
        <v>1526</v>
      </c>
      <c r="G381" t="s">
        <v>21</v>
      </c>
      <c r="H381" t="s">
        <v>4888</v>
      </c>
      <c r="I381" t="s">
        <v>4889</v>
      </c>
      <c r="J381" s="4" t="s">
        <v>4890</v>
      </c>
      <c r="K381" s="4" t="s">
        <v>4911</v>
      </c>
      <c r="L381" s="4" t="s">
        <v>4853</v>
      </c>
      <c r="M381" s="4" t="s">
        <v>5035</v>
      </c>
      <c r="N381" t="s">
        <v>1527</v>
      </c>
      <c r="O381" t="s">
        <v>1528</v>
      </c>
      <c r="P381" t="s">
        <v>23</v>
      </c>
      <c r="Q381" t="s">
        <v>24</v>
      </c>
      <c r="R381" t="s">
        <v>25</v>
      </c>
      <c r="S381" t="s">
        <v>26</v>
      </c>
      <c r="T381" s="6">
        <v>46307</v>
      </c>
      <c r="U381">
        <v>48</v>
      </c>
      <c r="V381">
        <v>48</v>
      </c>
      <c r="W381">
        <v>48</v>
      </c>
      <c r="X381">
        <v>48</v>
      </c>
      <c r="Y381">
        <f t="shared" si="45"/>
        <v>0</v>
      </c>
      <c r="Z381">
        <f t="shared" si="46"/>
        <v>0</v>
      </c>
      <c r="AC381" s="1">
        <v>0</v>
      </c>
      <c r="AF381">
        <f>V381</f>
        <v>48</v>
      </c>
      <c r="AG381" s="7">
        <v>12</v>
      </c>
      <c r="AH381">
        <f t="shared" si="47"/>
        <v>48</v>
      </c>
      <c r="AI381">
        <f t="shared" si="44"/>
        <v>0</v>
      </c>
      <c r="AK381">
        <f t="shared" si="48"/>
        <v>4</v>
      </c>
      <c r="AL381">
        <v>11.87</v>
      </c>
      <c r="AM381" t="s">
        <v>27</v>
      </c>
      <c r="AN381">
        <v>11.87</v>
      </c>
      <c r="AO381" t="b">
        <f t="shared" si="49"/>
        <v>1</v>
      </c>
      <c r="AR381" t="s">
        <v>5061</v>
      </c>
      <c r="AS381" s="21">
        <v>46276</v>
      </c>
      <c r="AT381" t="s">
        <v>5062</v>
      </c>
      <c r="AU381" t="s">
        <v>5067</v>
      </c>
      <c r="AV381" t="s">
        <v>5062</v>
      </c>
      <c r="AW381" t="s">
        <v>5086</v>
      </c>
    </row>
    <row r="382" spans="1:49" x14ac:dyDescent="0.35">
      <c r="A382" t="s">
        <v>871</v>
      </c>
      <c r="B382" t="s">
        <v>872</v>
      </c>
      <c r="C382" t="s">
        <v>4818</v>
      </c>
      <c r="D382" t="s">
        <v>18</v>
      </c>
      <c r="E382" t="s">
        <v>1529</v>
      </c>
      <c r="F382" t="s">
        <v>1530</v>
      </c>
      <c r="G382" t="s">
        <v>21</v>
      </c>
      <c r="H382" t="s">
        <v>4888</v>
      </c>
      <c r="I382" t="s">
        <v>4889</v>
      </c>
      <c r="J382" s="4" t="s">
        <v>4890</v>
      </c>
      <c r="K382" s="4" t="s">
        <v>4899</v>
      </c>
      <c r="L382" s="4" t="s">
        <v>4926</v>
      </c>
      <c r="M382" s="4" t="s">
        <v>5035</v>
      </c>
      <c r="N382" t="s">
        <v>1531</v>
      </c>
      <c r="O382" t="s">
        <v>1532</v>
      </c>
      <c r="P382" t="s">
        <v>23</v>
      </c>
      <c r="Q382" t="s">
        <v>24</v>
      </c>
      <c r="R382" t="s">
        <v>25</v>
      </c>
      <c r="S382" t="s">
        <v>26</v>
      </c>
      <c r="T382" s="6">
        <v>46307</v>
      </c>
      <c r="U382">
        <v>48</v>
      </c>
      <c r="V382">
        <v>48</v>
      </c>
      <c r="W382">
        <v>36</v>
      </c>
      <c r="X382">
        <v>36</v>
      </c>
      <c r="Y382">
        <f t="shared" si="45"/>
        <v>0</v>
      </c>
      <c r="Z382">
        <f t="shared" si="46"/>
        <v>12</v>
      </c>
      <c r="AA382">
        <f>Z382</f>
        <v>12</v>
      </c>
      <c r="AC382" s="1">
        <v>0</v>
      </c>
      <c r="AF382">
        <f>X382</f>
        <v>36</v>
      </c>
      <c r="AG382" s="7">
        <v>12</v>
      </c>
      <c r="AH382">
        <f t="shared" si="47"/>
        <v>36</v>
      </c>
      <c r="AI382">
        <f t="shared" si="44"/>
        <v>12</v>
      </c>
      <c r="AK382">
        <f t="shared" si="48"/>
        <v>3</v>
      </c>
      <c r="AL382">
        <v>10.9</v>
      </c>
      <c r="AM382" t="s">
        <v>27</v>
      </c>
      <c r="AN382">
        <v>10.9</v>
      </c>
      <c r="AO382" t="b">
        <f t="shared" si="49"/>
        <v>1</v>
      </c>
      <c r="AR382" t="s">
        <v>5061</v>
      </c>
      <c r="AS382" s="21">
        <v>46276</v>
      </c>
      <c r="AT382" t="s">
        <v>5062</v>
      </c>
      <c r="AU382" t="s">
        <v>5067</v>
      </c>
      <c r="AV382" t="s">
        <v>5062</v>
      </c>
      <c r="AW382" t="s">
        <v>5086</v>
      </c>
    </row>
    <row r="383" spans="1:49" x14ac:dyDescent="0.35">
      <c r="A383" t="s">
        <v>871</v>
      </c>
      <c r="B383" t="s">
        <v>872</v>
      </c>
      <c r="C383" t="s">
        <v>4818</v>
      </c>
      <c r="D383" t="s">
        <v>18</v>
      </c>
      <c r="E383" t="s">
        <v>1533</v>
      </c>
      <c r="F383" t="s">
        <v>1534</v>
      </c>
      <c r="G383" t="s">
        <v>21</v>
      </c>
      <c r="H383" t="s">
        <v>4888</v>
      </c>
      <c r="I383" t="s">
        <v>4889</v>
      </c>
      <c r="J383" s="4" t="s">
        <v>4890</v>
      </c>
      <c r="K383" s="4" t="s">
        <v>4911</v>
      </c>
      <c r="L383" s="4" t="s">
        <v>4898</v>
      </c>
      <c r="M383" s="4" t="s">
        <v>5035</v>
      </c>
      <c r="N383" t="s">
        <v>1535</v>
      </c>
      <c r="O383" t="s">
        <v>1536</v>
      </c>
      <c r="P383" t="s">
        <v>23</v>
      </c>
      <c r="Q383" t="s">
        <v>24</v>
      </c>
      <c r="R383" t="s">
        <v>25</v>
      </c>
      <c r="S383" t="s">
        <v>26</v>
      </c>
      <c r="T383" s="6">
        <v>46307</v>
      </c>
      <c r="U383">
        <v>36</v>
      </c>
      <c r="V383">
        <v>36</v>
      </c>
      <c r="W383">
        <v>36</v>
      </c>
      <c r="X383">
        <v>36</v>
      </c>
      <c r="Y383">
        <f t="shared" si="45"/>
        <v>0</v>
      </c>
      <c r="Z383">
        <f t="shared" si="46"/>
        <v>0</v>
      </c>
      <c r="AC383" s="1">
        <v>0</v>
      </c>
      <c r="AF383">
        <f>V383</f>
        <v>36</v>
      </c>
      <c r="AG383" s="7">
        <v>12</v>
      </c>
      <c r="AH383">
        <f t="shared" si="47"/>
        <v>36</v>
      </c>
      <c r="AI383">
        <f t="shared" si="44"/>
        <v>0</v>
      </c>
      <c r="AK383">
        <f t="shared" si="48"/>
        <v>3</v>
      </c>
      <c r="AL383">
        <v>11.87</v>
      </c>
      <c r="AM383" t="s">
        <v>27</v>
      </c>
      <c r="AN383">
        <v>11.87</v>
      </c>
      <c r="AO383" t="b">
        <f t="shared" si="49"/>
        <v>1</v>
      </c>
      <c r="AR383" t="s">
        <v>5061</v>
      </c>
      <c r="AS383" s="21">
        <v>46276</v>
      </c>
      <c r="AT383" t="s">
        <v>5062</v>
      </c>
      <c r="AU383" t="s">
        <v>5067</v>
      </c>
      <c r="AV383" t="s">
        <v>5062</v>
      </c>
      <c r="AW383" t="s">
        <v>5086</v>
      </c>
    </row>
    <row r="384" spans="1:49" x14ac:dyDescent="0.35">
      <c r="A384" t="s">
        <v>871</v>
      </c>
      <c r="B384" t="s">
        <v>872</v>
      </c>
      <c r="C384" t="s">
        <v>4818</v>
      </c>
      <c r="D384" t="s">
        <v>18</v>
      </c>
      <c r="E384" t="s">
        <v>1537</v>
      </c>
      <c r="F384" t="s">
        <v>1538</v>
      </c>
      <c r="G384" t="s">
        <v>21</v>
      </c>
      <c r="H384" t="s">
        <v>4888</v>
      </c>
      <c r="I384" t="s">
        <v>4889</v>
      </c>
      <c r="J384" s="4" t="s">
        <v>4890</v>
      </c>
      <c r="K384" s="4" t="s">
        <v>4911</v>
      </c>
      <c r="L384" s="4" t="s">
        <v>4914</v>
      </c>
      <c r="M384" s="4" t="s">
        <v>5035</v>
      </c>
      <c r="N384" t="s">
        <v>1539</v>
      </c>
      <c r="O384" t="s">
        <v>1540</v>
      </c>
      <c r="P384" t="s">
        <v>23</v>
      </c>
      <c r="Q384" t="s">
        <v>24</v>
      </c>
      <c r="R384" t="s">
        <v>25</v>
      </c>
      <c r="S384" t="s">
        <v>26</v>
      </c>
      <c r="T384" s="6">
        <v>46307</v>
      </c>
      <c r="U384">
        <v>24</v>
      </c>
      <c r="V384">
        <v>24</v>
      </c>
      <c r="W384">
        <v>24</v>
      </c>
      <c r="X384">
        <v>24</v>
      </c>
      <c r="Y384">
        <f t="shared" si="45"/>
        <v>0</v>
      </c>
      <c r="Z384">
        <f t="shared" si="46"/>
        <v>0</v>
      </c>
      <c r="AC384" s="1">
        <v>0</v>
      </c>
      <c r="AF384">
        <f>V384</f>
        <v>24</v>
      </c>
      <c r="AG384" s="7">
        <v>12</v>
      </c>
      <c r="AH384">
        <f t="shared" si="47"/>
        <v>24</v>
      </c>
      <c r="AI384">
        <f t="shared" si="44"/>
        <v>0</v>
      </c>
      <c r="AK384">
        <f t="shared" si="48"/>
        <v>2</v>
      </c>
      <c r="AL384">
        <v>11.87</v>
      </c>
      <c r="AM384" t="s">
        <v>27</v>
      </c>
      <c r="AN384">
        <v>11.87</v>
      </c>
      <c r="AO384" t="b">
        <f t="shared" si="49"/>
        <v>1</v>
      </c>
      <c r="AR384" t="s">
        <v>5061</v>
      </c>
      <c r="AS384" s="21">
        <v>46276</v>
      </c>
      <c r="AT384" t="s">
        <v>5062</v>
      </c>
      <c r="AU384" t="s">
        <v>5067</v>
      </c>
      <c r="AV384" t="s">
        <v>5062</v>
      </c>
      <c r="AW384" t="s">
        <v>5086</v>
      </c>
    </row>
    <row r="385" spans="1:49" x14ac:dyDescent="0.35">
      <c r="A385" t="s">
        <v>871</v>
      </c>
      <c r="B385" t="s">
        <v>872</v>
      </c>
      <c r="C385" t="s">
        <v>4818</v>
      </c>
      <c r="D385" t="s">
        <v>18</v>
      </c>
      <c r="E385" t="s">
        <v>1541</v>
      </c>
      <c r="F385" t="s">
        <v>1542</v>
      </c>
      <c r="G385" t="s">
        <v>21</v>
      </c>
      <c r="H385" t="s">
        <v>4888</v>
      </c>
      <c r="I385" t="s">
        <v>4893</v>
      </c>
      <c r="J385" s="4" t="s">
        <v>4894</v>
      </c>
      <c r="K385" s="4" t="s">
        <v>4904</v>
      </c>
      <c r="L385" s="4" t="s">
        <v>4855</v>
      </c>
      <c r="M385" s="4" t="s">
        <v>5035</v>
      </c>
      <c r="N385" t="s">
        <v>1543</v>
      </c>
      <c r="O385" t="s">
        <v>1544</v>
      </c>
      <c r="P385" t="s">
        <v>23</v>
      </c>
      <c r="Q385" t="s">
        <v>24</v>
      </c>
      <c r="R385" t="s">
        <v>25</v>
      </c>
      <c r="S385" t="s">
        <v>26</v>
      </c>
      <c r="T385" s="6">
        <v>46307</v>
      </c>
      <c r="U385">
        <v>60</v>
      </c>
      <c r="V385">
        <v>60</v>
      </c>
      <c r="W385">
        <v>60</v>
      </c>
      <c r="X385">
        <v>60</v>
      </c>
      <c r="Y385">
        <f t="shared" si="45"/>
        <v>0</v>
      </c>
      <c r="Z385">
        <f t="shared" si="46"/>
        <v>0</v>
      </c>
      <c r="AC385" s="1">
        <v>0</v>
      </c>
      <c r="AF385">
        <f>V385</f>
        <v>60</v>
      </c>
      <c r="AG385" s="7">
        <v>12</v>
      </c>
      <c r="AH385">
        <f t="shared" si="47"/>
        <v>60</v>
      </c>
      <c r="AI385">
        <f t="shared" si="44"/>
        <v>0</v>
      </c>
      <c r="AK385">
        <f t="shared" si="48"/>
        <v>5</v>
      </c>
      <c r="AL385">
        <v>10.16</v>
      </c>
      <c r="AM385" t="s">
        <v>27</v>
      </c>
      <c r="AN385">
        <v>10.16</v>
      </c>
      <c r="AO385" t="b">
        <f t="shared" si="49"/>
        <v>1</v>
      </c>
      <c r="AR385" t="s">
        <v>5061</v>
      </c>
      <c r="AS385" s="21">
        <v>46276</v>
      </c>
      <c r="AT385" t="s">
        <v>5062</v>
      </c>
      <c r="AU385" t="s">
        <v>5068</v>
      </c>
      <c r="AV385" t="s">
        <v>5062</v>
      </c>
      <c r="AW385" t="s">
        <v>5086</v>
      </c>
    </row>
    <row r="386" spans="1:49" x14ac:dyDescent="0.35">
      <c r="A386" t="s">
        <v>871</v>
      </c>
      <c r="B386" t="s">
        <v>872</v>
      </c>
      <c r="C386" t="s">
        <v>4818</v>
      </c>
      <c r="D386" t="s">
        <v>18</v>
      </c>
      <c r="E386" t="s">
        <v>1545</v>
      </c>
      <c r="F386" t="s">
        <v>1546</v>
      </c>
      <c r="G386" t="s">
        <v>21</v>
      </c>
      <c r="H386" t="s">
        <v>4888</v>
      </c>
      <c r="I386" t="s">
        <v>4902</v>
      </c>
      <c r="J386" s="4" t="s">
        <v>4903</v>
      </c>
      <c r="K386" s="4" t="s">
        <v>4915</v>
      </c>
      <c r="L386" s="4" t="s">
        <v>4879</v>
      </c>
      <c r="M386" s="4" t="s">
        <v>5035</v>
      </c>
      <c r="N386" t="s">
        <v>1547</v>
      </c>
      <c r="O386" t="s">
        <v>1548</v>
      </c>
      <c r="P386" t="s">
        <v>23</v>
      </c>
      <c r="Q386" t="s">
        <v>24</v>
      </c>
      <c r="R386" t="s">
        <v>25</v>
      </c>
      <c r="S386" t="s">
        <v>26</v>
      </c>
      <c r="T386" s="6">
        <v>46307</v>
      </c>
      <c r="U386">
        <v>240</v>
      </c>
      <c r="V386">
        <v>240</v>
      </c>
      <c r="W386">
        <v>216</v>
      </c>
      <c r="X386">
        <v>216</v>
      </c>
      <c r="Y386">
        <f t="shared" si="45"/>
        <v>0</v>
      </c>
      <c r="Z386">
        <f t="shared" si="46"/>
        <v>24</v>
      </c>
      <c r="AA386">
        <f t="shared" ref="AA386:AA388" si="55">Z386</f>
        <v>24</v>
      </c>
      <c r="AC386" s="1">
        <v>0</v>
      </c>
      <c r="AF386">
        <f>X386</f>
        <v>216</v>
      </c>
      <c r="AG386" s="7">
        <v>12</v>
      </c>
      <c r="AH386">
        <f t="shared" si="47"/>
        <v>216</v>
      </c>
      <c r="AI386">
        <f t="shared" si="44"/>
        <v>24</v>
      </c>
      <c r="AK386">
        <f t="shared" si="48"/>
        <v>18</v>
      </c>
      <c r="AL386">
        <v>10.66</v>
      </c>
      <c r="AM386" t="s">
        <v>27</v>
      </c>
      <c r="AN386">
        <v>10.66</v>
      </c>
      <c r="AO386" t="b">
        <f t="shared" si="49"/>
        <v>1</v>
      </c>
      <c r="AR386" t="s">
        <v>5061</v>
      </c>
      <c r="AS386" s="21">
        <v>46276</v>
      </c>
      <c r="AT386" t="s">
        <v>5062</v>
      </c>
      <c r="AU386" t="s">
        <v>5069</v>
      </c>
      <c r="AV386" t="s">
        <v>5062</v>
      </c>
      <c r="AW386" t="s">
        <v>5086</v>
      </c>
    </row>
    <row r="387" spans="1:49" x14ac:dyDescent="0.35">
      <c r="A387" t="s">
        <v>871</v>
      </c>
      <c r="B387" t="s">
        <v>872</v>
      </c>
      <c r="C387" t="s">
        <v>4818</v>
      </c>
      <c r="D387" t="s">
        <v>18</v>
      </c>
      <c r="E387" t="s">
        <v>1549</v>
      </c>
      <c r="F387" t="s">
        <v>1550</v>
      </c>
      <c r="G387" t="s">
        <v>21</v>
      </c>
      <c r="H387" t="s">
        <v>4888</v>
      </c>
      <c r="I387" t="s">
        <v>4893</v>
      </c>
      <c r="J387" s="4" t="s">
        <v>4894</v>
      </c>
      <c r="K387" s="4" t="s">
        <v>4904</v>
      </c>
      <c r="L387" s="4" t="s">
        <v>4919</v>
      </c>
      <c r="M387" s="4" t="s">
        <v>5035</v>
      </c>
      <c r="N387" t="s">
        <v>1551</v>
      </c>
      <c r="O387" t="s">
        <v>1552</v>
      </c>
      <c r="P387" t="s">
        <v>23</v>
      </c>
      <c r="Q387" t="s">
        <v>24</v>
      </c>
      <c r="R387" t="s">
        <v>25</v>
      </c>
      <c r="S387" t="s">
        <v>26</v>
      </c>
      <c r="T387" s="6">
        <v>46307</v>
      </c>
      <c r="U387">
        <v>144</v>
      </c>
      <c r="V387">
        <v>144</v>
      </c>
      <c r="W387">
        <v>120</v>
      </c>
      <c r="X387">
        <v>120</v>
      </c>
      <c r="Y387">
        <f t="shared" si="45"/>
        <v>0</v>
      </c>
      <c r="Z387">
        <f t="shared" si="46"/>
        <v>24</v>
      </c>
      <c r="AA387">
        <f t="shared" si="55"/>
        <v>24</v>
      </c>
      <c r="AC387" s="1">
        <v>0</v>
      </c>
      <c r="AF387">
        <f>X387</f>
        <v>120</v>
      </c>
      <c r="AG387" s="7">
        <v>12</v>
      </c>
      <c r="AH387">
        <f t="shared" si="47"/>
        <v>120</v>
      </c>
      <c r="AI387">
        <f t="shared" ref="AI387:AI450" si="56">V387-AH387</f>
        <v>24</v>
      </c>
      <c r="AK387">
        <f t="shared" si="48"/>
        <v>10</v>
      </c>
      <c r="AL387">
        <v>10.16</v>
      </c>
      <c r="AM387" t="s">
        <v>27</v>
      </c>
      <c r="AN387">
        <v>10.16</v>
      </c>
      <c r="AO387" t="b">
        <f t="shared" si="49"/>
        <v>1</v>
      </c>
      <c r="AR387" t="s">
        <v>5061</v>
      </c>
      <c r="AS387" s="21">
        <v>46276</v>
      </c>
      <c r="AT387" t="s">
        <v>5062</v>
      </c>
      <c r="AU387" t="s">
        <v>5068</v>
      </c>
      <c r="AV387" t="s">
        <v>5062</v>
      </c>
      <c r="AW387" t="s">
        <v>5086</v>
      </c>
    </row>
    <row r="388" spans="1:49" x14ac:dyDescent="0.35">
      <c r="A388" t="s">
        <v>871</v>
      </c>
      <c r="B388" t="s">
        <v>872</v>
      </c>
      <c r="C388" t="s">
        <v>4818</v>
      </c>
      <c r="D388" t="s">
        <v>18</v>
      </c>
      <c r="E388" t="s">
        <v>1553</v>
      </c>
      <c r="F388" t="s">
        <v>1554</v>
      </c>
      <c r="G388" t="s">
        <v>21</v>
      </c>
      <c r="H388" t="s">
        <v>4888</v>
      </c>
      <c r="I388" t="s">
        <v>4889</v>
      </c>
      <c r="J388" s="4" t="s">
        <v>4890</v>
      </c>
      <c r="K388" s="4" t="s">
        <v>4899</v>
      </c>
      <c r="L388" s="4" t="s">
        <v>4875</v>
      </c>
      <c r="M388" s="4" t="s">
        <v>5035</v>
      </c>
      <c r="N388" t="s">
        <v>1555</v>
      </c>
      <c r="O388" t="s">
        <v>1556</v>
      </c>
      <c r="P388" t="s">
        <v>23</v>
      </c>
      <c r="Q388" t="s">
        <v>24</v>
      </c>
      <c r="R388" t="s">
        <v>25</v>
      </c>
      <c r="S388" t="s">
        <v>26</v>
      </c>
      <c r="T388" s="6">
        <v>46307</v>
      </c>
      <c r="U388">
        <v>276</v>
      </c>
      <c r="V388">
        <v>276</v>
      </c>
      <c r="W388">
        <v>252</v>
      </c>
      <c r="X388">
        <v>252</v>
      </c>
      <c r="Y388">
        <f t="shared" ref="Y388:Y451" si="57">W388-X388</f>
        <v>0</v>
      </c>
      <c r="Z388">
        <f t="shared" ref="Z388:Z451" si="58">V388-X388</f>
        <v>24</v>
      </c>
      <c r="AA388">
        <f t="shared" si="55"/>
        <v>24</v>
      </c>
      <c r="AC388" s="1">
        <v>0</v>
      </c>
      <c r="AF388">
        <f>X388</f>
        <v>252</v>
      </c>
      <c r="AG388" s="7">
        <v>12</v>
      </c>
      <c r="AH388">
        <f t="shared" ref="AH388:AH451" si="59">ROUNDUP(AF388/AG388,0)*AG388</f>
        <v>252</v>
      </c>
      <c r="AI388">
        <f t="shared" si="56"/>
        <v>24</v>
      </c>
      <c r="AK388">
        <f t="shared" ref="AK388:AK451" si="60">AH388/AG388</f>
        <v>21</v>
      </c>
      <c r="AL388">
        <v>10.9</v>
      </c>
      <c r="AM388" t="s">
        <v>27</v>
      </c>
      <c r="AN388">
        <v>10.9</v>
      </c>
      <c r="AO388" t="b">
        <f t="shared" ref="AO388:AO451" si="61">AL388=AN388</f>
        <v>1</v>
      </c>
      <c r="AR388" t="s">
        <v>5061</v>
      </c>
      <c r="AS388" s="21">
        <v>46276</v>
      </c>
      <c r="AT388" t="s">
        <v>5062</v>
      </c>
      <c r="AU388" t="s">
        <v>5067</v>
      </c>
      <c r="AV388" t="s">
        <v>5062</v>
      </c>
      <c r="AW388" t="s">
        <v>5086</v>
      </c>
    </row>
    <row r="389" spans="1:49" x14ac:dyDescent="0.35">
      <c r="A389" t="s">
        <v>871</v>
      </c>
      <c r="B389" t="s">
        <v>872</v>
      </c>
      <c r="C389" t="s">
        <v>4818</v>
      </c>
      <c r="D389" t="s">
        <v>18</v>
      </c>
      <c r="E389" t="s">
        <v>1557</v>
      </c>
      <c r="F389" t="s">
        <v>1558</v>
      </c>
      <c r="G389" t="s">
        <v>21</v>
      </c>
      <c r="H389" t="s">
        <v>4888</v>
      </c>
      <c r="I389" t="s">
        <v>4893</v>
      </c>
      <c r="J389" s="4" t="s">
        <v>4894</v>
      </c>
      <c r="K389" s="4" t="s">
        <v>4837</v>
      </c>
      <c r="L389" s="4" t="s">
        <v>4853</v>
      </c>
      <c r="M389" s="4" t="s">
        <v>5035</v>
      </c>
      <c r="N389" t="s">
        <v>1559</v>
      </c>
      <c r="O389" t="s">
        <v>1560</v>
      </c>
      <c r="P389" t="s">
        <v>23</v>
      </c>
      <c r="Q389" t="s">
        <v>24</v>
      </c>
      <c r="R389" t="s">
        <v>25</v>
      </c>
      <c r="S389" t="s">
        <v>26</v>
      </c>
      <c r="T389" s="6">
        <v>46307</v>
      </c>
      <c r="U389">
        <v>72</v>
      </c>
      <c r="V389">
        <v>72</v>
      </c>
      <c r="W389">
        <v>72</v>
      </c>
      <c r="X389">
        <v>72</v>
      </c>
      <c r="Y389">
        <f t="shared" si="57"/>
        <v>0</v>
      </c>
      <c r="Z389">
        <f t="shared" si="58"/>
        <v>0</v>
      </c>
      <c r="AC389" s="1">
        <v>0</v>
      </c>
      <c r="AF389">
        <f t="shared" ref="AF389:AF396" si="62">V389</f>
        <v>72</v>
      </c>
      <c r="AG389" s="7">
        <v>12</v>
      </c>
      <c r="AH389">
        <f t="shared" si="59"/>
        <v>72</v>
      </c>
      <c r="AI389">
        <f t="shared" si="56"/>
        <v>0</v>
      </c>
      <c r="AK389">
        <f t="shared" si="60"/>
        <v>6</v>
      </c>
      <c r="AL389">
        <v>10.06</v>
      </c>
      <c r="AM389" t="s">
        <v>27</v>
      </c>
      <c r="AN389">
        <v>10.06</v>
      </c>
      <c r="AO389" t="b">
        <f t="shared" si="61"/>
        <v>1</v>
      </c>
      <c r="AR389" t="s">
        <v>5061</v>
      </c>
      <c r="AS389" s="21">
        <v>46276</v>
      </c>
      <c r="AT389" t="s">
        <v>5062</v>
      </c>
      <c r="AU389" t="s">
        <v>5068</v>
      </c>
      <c r="AV389" t="s">
        <v>5062</v>
      </c>
      <c r="AW389" t="s">
        <v>5086</v>
      </c>
    </row>
    <row r="390" spans="1:49" x14ac:dyDescent="0.35">
      <c r="A390" t="s">
        <v>871</v>
      </c>
      <c r="B390" t="s">
        <v>872</v>
      </c>
      <c r="C390" t="s">
        <v>4818</v>
      </c>
      <c r="D390" t="s">
        <v>18</v>
      </c>
      <c r="E390" t="s">
        <v>1561</v>
      </c>
      <c r="F390" t="s">
        <v>1562</v>
      </c>
      <c r="G390" t="s">
        <v>21</v>
      </c>
      <c r="H390" t="s">
        <v>4888</v>
      </c>
      <c r="I390" t="s">
        <v>4889</v>
      </c>
      <c r="J390" s="4" t="s">
        <v>4890</v>
      </c>
      <c r="K390" s="4" t="s">
        <v>4891</v>
      </c>
      <c r="L390" s="4" t="s">
        <v>4934</v>
      </c>
      <c r="M390" s="4" t="s">
        <v>5035</v>
      </c>
      <c r="N390" t="s">
        <v>1563</v>
      </c>
      <c r="O390" t="s">
        <v>1564</v>
      </c>
      <c r="P390" t="s">
        <v>23</v>
      </c>
      <c r="Q390" t="s">
        <v>24</v>
      </c>
      <c r="R390" t="s">
        <v>25</v>
      </c>
      <c r="S390" t="s">
        <v>26</v>
      </c>
      <c r="T390" s="6">
        <v>46307</v>
      </c>
      <c r="U390">
        <v>84</v>
      </c>
      <c r="V390">
        <v>84</v>
      </c>
      <c r="W390">
        <v>96</v>
      </c>
      <c r="X390">
        <v>96</v>
      </c>
      <c r="Y390">
        <f t="shared" si="57"/>
        <v>0</v>
      </c>
      <c r="Z390">
        <f t="shared" si="58"/>
        <v>-12</v>
      </c>
      <c r="AC390" s="1">
        <v>0</v>
      </c>
      <c r="AF390">
        <f t="shared" si="62"/>
        <v>84</v>
      </c>
      <c r="AG390" s="7">
        <v>12</v>
      </c>
      <c r="AH390">
        <f t="shared" si="59"/>
        <v>84</v>
      </c>
      <c r="AI390">
        <f t="shared" si="56"/>
        <v>0</v>
      </c>
      <c r="AK390">
        <f t="shared" si="60"/>
        <v>7</v>
      </c>
      <c r="AL390">
        <v>11.2</v>
      </c>
      <c r="AM390" t="s">
        <v>27</v>
      </c>
      <c r="AN390">
        <v>11.2</v>
      </c>
      <c r="AO390" t="b">
        <f t="shared" si="61"/>
        <v>1</v>
      </c>
      <c r="AR390" t="s">
        <v>5061</v>
      </c>
      <c r="AS390" s="21">
        <v>46276</v>
      </c>
      <c r="AT390" t="s">
        <v>5062</v>
      </c>
      <c r="AU390" t="s">
        <v>5067</v>
      </c>
      <c r="AV390" t="s">
        <v>5062</v>
      </c>
      <c r="AW390" t="s">
        <v>5086</v>
      </c>
    </row>
    <row r="391" spans="1:49" x14ac:dyDescent="0.35">
      <c r="A391" t="s">
        <v>871</v>
      </c>
      <c r="B391" t="s">
        <v>872</v>
      </c>
      <c r="C391" t="s">
        <v>4818</v>
      </c>
      <c r="D391" t="s">
        <v>18</v>
      </c>
      <c r="E391" t="s">
        <v>1565</v>
      </c>
      <c r="F391" t="s">
        <v>1566</v>
      </c>
      <c r="G391" t="s">
        <v>21</v>
      </c>
      <c r="H391" t="s">
        <v>4888</v>
      </c>
      <c r="I391" t="s">
        <v>4893</v>
      </c>
      <c r="J391" s="4" t="s">
        <v>4894</v>
      </c>
      <c r="K391" s="4" t="s">
        <v>4904</v>
      </c>
      <c r="L391" s="4" t="s">
        <v>4884</v>
      </c>
      <c r="M391" s="4" t="s">
        <v>5035</v>
      </c>
      <c r="N391" t="s">
        <v>1567</v>
      </c>
      <c r="O391" t="s">
        <v>1568</v>
      </c>
      <c r="P391" t="s">
        <v>23</v>
      </c>
      <c r="Q391" t="s">
        <v>24</v>
      </c>
      <c r="R391" t="s">
        <v>25</v>
      </c>
      <c r="S391" t="s">
        <v>26</v>
      </c>
      <c r="T391" s="6">
        <v>46307</v>
      </c>
      <c r="U391">
        <v>12</v>
      </c>
      <c r="V391">
        <v>12</v>
      </c>
      <c r="W391">
        <v>12</v>
      </c>
      <c r="X391">
        <v>12</v>
      </c>
      <c r="Y391">
        <f t="shared" si="57"/>
        <v>0</v>
      </c>
      <c r="Z391">
        <f t="shared" si="58"/>
        <v>0</v>
      </c>
      <c r="AC391" s="1">
        <v>0</v>
      </c>
      <c r="AF391">
        <f t="shared" si="62"/>
        <v>12</v>
      </c>
      <c r="AG391" s="7">
        <v>12</v>
      </c>
      <c r="AH391">
        <f t="shared" si="59"/>
        <v>12</v>
      </c>
      <c r="AI391">
        <f t="shared" si="56"/>
        <v>0</v>
      </c>
      <c r="AK391">
        <f t="shared" si="60"/>
        <v>1</v>
      </c>
      <c r="AL391">
        <v>10.16</v>
      </c>
      <c r="AM391" t="s">
        <v>27</v>
      </c>
      <c r="AN391">
        <v>10.16</v>
      </c>
      <c r="AO391" t="b">
        <f t="shared" si="61"/>
        <v>1</v>
      </c>
      <c r="AR391" t="s">
        <v>5061</v>
      </c>
      <c r="AS391" s="21">
        <v>46276</v>
      </c>
      <c r="AT391" t="s">
        <v>5062</v>
      </c>
      <c r="AU391" t="s">
        <v>5068</v>
      </c>
      <c r="AV391" t="s">
        <v>5062</v>
      </c>
      <c r="AW391" t="s">
        <v>5086</v>
      </c>
    </row>
    <row r="392" spans="1:49" x14ac:dyDescent="0.35">
      <c r="A392" t="s">
        <v>871</v>
      </c>
      <c r="B392" t="s">
        <v>872</v>
      </c>
      <c r="C392" t="s">
        <v>4818</v>
      </c>
      <c r="D392" t="s">
        <v>18</v>
      </c>
      <c r="E392" t="s">
        <v>1569</v>
      </c>
      <c r="F392" t="s">
        <v>1570</v>
      </c>
      <c r="G392" t="s">
        <v>21</v>
      </c>
      <c r="H392" t="s">
        <v>4888</v>
      </c>
      <c r="I392" t="s">
        <v>4893</v>
      </c>
      <c r="J392" s="4" t="s">
        <v>4894</v>
      </c>
      <c r="K392" s="4" t="s">
        <v>4913</v>
      </c>
      <c r="L392" s="4" t="s">
        <v>4864</v>
      </c>
      <c r="M392" s="4" t="s">
        <v>5035</v>
      </c>
      <c r="N392" t="s">
        <v>1571</v>
      </c>
      <c r="O392" t="s">
        <v>1572</v>
      </c>
      <c r="P392" t="s">
        <v>23</v>
      </c>
      <c r="Q392" t="s">
        <v>24</v>
      </c>
      <c r="R392" t="s">
        <v>25</v>
      </c>
      <c r="S392" t="s">
        <v>26</v>
      </c>
      <c r="T392" s="6">
        <v>46307</v>
      </c>
      <c r="U392">
        <v>84</v>
      </c>
      <c r="V392">
        <v>84</v>
      </c>
      <c r="W392">
        <v>96</v>
      </c>
      <c r="X392">
        <v>96</v>
      </c>
      <c r="Y392">
        <f t="shared" si="57"/>
        <v>0</v>
      </c>
      <c r="Z392">
        <f t="shared" si="58"/>
        <v>-12</v>
      </c>
      <c r="AC392" s="1">
        <v>0</v>
      </c>
      <c r="AF392">
        <f t="shared" si="62"/>
        <v>84</v>
      </c>
      <c r="AG392" s="7">
        <v>12</v>
      </c>
      <c r="AH392">
        <f t="shared" si="59"/>
        <v>84</v>
      </c>
      <c r="AI392">
        <f t="shared" si="56"/>
        <v>0</v>
      </c>
      <c r="AK392">
        <f t="shared" si="60"/>
        <v>7</v>
      </c>
      <c r="AL392">
        <v>9.9499999999999993</v>
      </c>
      <c r="AM392" t="s">
        <v>27</v>
      </c>
      <c r="AN392">
        <v>9.9499999999999993</v>
      </c>
      <c r="AO392" t="b">
        <f t="shared" si="61"/>
        <v>1</v>
      </c>
      <c r="AR392" t="s">
        <v>5061</v>
      </c>
      <c r="AS392" s="21">
        <v>46276</v>
      </c>
      <c r="AT392" t="s">
        <v>5062</v>
      </c>
      <c r="AU392" t="s">
        <v>5068</v>
      </c>
      <c r="AV392" t="s">
        <v>5062</v>
      </c>
      <c r="AW392" t="s">
        <v>5086</v>
      </c>
    </row>
    <row r="393" spans="1:49" x14ac:dyDescent="0.35">
      <c r="A393" t="s">
        <v>871</v>
      </c>
      <c r="B393" t="s">
        <v>872</v>
      </c>
      <c r="C393" t="s">
        <v>4818</v>
      </c>
      <c r="D393" t="s">
        <v>18</v>
      </c>
      <c r="E393" t="s">
        <v>1573</v>
      </c>
      <c r="F393" t="s">
        <v>1574</v>
      </c>
      <c r="G393" t="s">
        <v>21</v>
      </c>
      <c r="H393" t="s">
        <v>4888</v>
      </c>
      <c r="I393" t="s">
        <v>4893</v>
      </c>
      <c r="J393" s="4" t="s">
        <v>4894</v>
      </c>
      <c r="K393" s="4" t="s">
        <v>4904</v>
      </c>
      <c r="L393" s="4" t="s">
        <v>4933</v>
      </c>
      <c r="M393" s="4" t="s">
        <v>5035</v>
      </c>
      <c r="N393" t="s">
        <v>1575</v>
      </c>
      <c r="O393" t="s">
        <v>1576</v>
      </c>
      <c r="P393" t="s">
        <v>23</v>
      </c>
      <c r="Q393" t="s">
        <v>24</v>
      </c>
      <c r="R393" t="s">
        <v>25</v>
      </c>
      <c r="S393" t="s">
        <v>26</v>
      </c>
      <c r="T393" s="6">
        <v>46307</v>
      </c>
      <c r="U393">
        <v>72</v>
      </c>
      <c r="V393">
        <v>72</v>
      </c>
      <c r="W393">
        <v>84</v>
      </c>
      <c r="X393">
        <v>84</v>
      </c>
      <c r="Y393">
        <f t="shared" si="57"/>
        <v>0</v>
      </c>
      <c r="Z393">
        <f t="shared" si="58"/>
        <v>-12</v>
      </c>
      <c r="AC393" s="1">
        <v>0</v>
      </c>
      <c r="AF393">
        <f t="shared" si="62"/>
        <v>72</v>
      </c>
      <c r="AG393" s="7">
        <v>12</v>
      </c>
      <c r="AH393">
        <f t="shared" si="59"/>
        <v>72</v>
      </c>
      <c r="AI393">
        <f t="shared" si="56"/>
        <v>0</v>
      </c>
      <c r="AK393">
        <f t="shared" si="60"/>
        <v>6</v>
      </c>
      <c r="AL393">
        <v>10.16</v>
      </c>
      <c r="AM393" t="s">
        <v>27</v>
      </c>
      <c r="AN393">
        <v>10.16</v>
      </c>
      <c r="AO393" t="b">
        <f t="shared" si="61"/>
        <v>1</v>
      </c>
      <c r="AR393" t="s">
        <v>5061</v>
      </c>
      <c r="AS393" s="21">
        <v>46276</v>
      </c>
      <c r="AT393" t="s">
        <v>5062</v>
      </c>
      <c r="AU393" t="s">
        <v>5068</v>
      </c>
      <c r="AV393" t="s">
        <v>5062</v>
      </c>
      <c r="AW393" t="s">
        <v>5086</v>
      </c>
    </row>
    <row r="394" spans="1:49" x14ac:dyDescent="0.35">
      <c r="A394" t="s">
        <v>871</v>
      </c>
      <c r="B394" t="s">
        <v>872</v>
      </c>
      <c r="C394" t="s">
        <v>4818</v>
      </c>
      <c r="D394" t="s">
        <v>18</v>
      </c>
      <c r="E394" t="s">
        <v>1577</v>
      </c>
      <c r="F394" t="s">
        <v>1578</v>
      </c>
      <c r="G394" t="s">
        <v>21</v>
      </c>
      <c r="H394" t="s">
        <v>4888</v>
      </c>
      <c r="I394" t="s">
        <v>4893</v>
      </c>
      <c r="J394" s="4" t="s">
        <v>4894</v>
      </c>
      <c r="K394" s="4" t="s">
        <v>4837</v>
      </c>
      <c r="L394" s="4" t="s">
        <v>4934</v>
      </c>
      <c r="M394" s="4" t="s">
        <v>5035</v>
      </c>
      <c r="N394" t="s">
        <v>1579</v>
      </c>
      <c r="O394" t="s">
        <v>1580</v>
      </c>
      <c r="P394" t="s">
        <v>23</v>
      </c>
      <c r="Q394" t="s">
        <v>24</v>
      </c>
      <c r="R394" t="s">
        <v>25</v>
      </c>
      <c r="S394" t="s">
        <v>26</v>
      </c>
      <c r="T394" s="6">
        <v>46307</v>
      </c>
      <c r="U394">
        <v>96</v>
      </c>
      <c r="V394">
        <v>96</v>
      </c>
      <c r="W394">
        <v>96</v>
      </c>
      <c r="X394">
        <v>96</v>
      </c>
      <c r="Y394">
        <f t="shared" si="57"/>
        <v>0</v>
      </c>
      <c r="Z394">
        <f t="shared" si="58"/>
        <v>0</v>
      </c>
      <c r="AC394" s="1">
        <v>0</v>
      </c>
      <c r="AF394">
        <f t="shared" si="62"/>
        <v>96</v>
      </c>
      <c r="AG394" s="7">
        <v>12</v>
      </c>
      <c r="AH394">
        <f t="shared" si="59"/>
        <v>96</v>
      </c>
      <c r="AI394">
        <f t="shared" si="56"/>
        <v>0</v>
      </c>
      <c r="AK394">
        <f t="shared" si="60"/>
        <v>8</v>
      </c>
      <c r="AL394">
        <v>10.06</v>
      </c>
      <c r="AM394" t="s">
        <v>27</v>
      </c>
      <c r="AN394">
        <v>10.06</v>
      </c>
      <c r="AO394" t="b">
        <f t="shared" si="61"/>
        <v>1</v>
      </c>
      <c r="AR394" t="s">
        <v>5061</v>
      </c>
      <c r="AS394" s="21">
        <v>46276</v>
      </c>
      <c r="AT394" t="s">
        <v>5062</v>
      </c>
      <c r="AU394" t="s">
        <v>5068</v>
      </c>
      <c r="AV394" t="s">
        <v>5062</v>
      </c>
      <c r="AW394" t="s">
        <v>5086</v>
      </c>
    </row>
    <row r="395" spans="1:49" x14ac:dyDescent="0.35">
      <c r="A395" t="s">
        <v>871</v>
      </c>
      <c r="B395" t="s">
        <v>872</v>
      </c>
      <c r="C395" t="s">
        <v>4818</v>
      </c>
      <c r="D395" t="s">
        <v>18</v>
      </c>
      <c r="E395" t="s">
        <v>1581</v>
      </c>
      <c r="F395" t="s">
        <v>1582</v>
      </c>
      <c r="G395" t="s">
        <v>21</v>
      </c>
      <c r="H395" t="s">
        <v>4888</v>
      </c>
      <c r="I395" t="s">
        <v>4893</v>
      </c>
      <c r="J395" s="4" t="s">
        <v>4894</v>
      </c>
      <c r="K395" s="4" t="s">
        <v>4837</v>
      </c>
      <c r="L395" s="4" t="s">
        <v>4917</v>
      </c>
      <c r="M395" s="4" t="s">
        <v>5035</v>
      </c>
      <c r="N395" t="s">
        <v>1583</v>
      </c>
      <c r="O395" t="s">
        <v>1584</v>
      </c>
      <c r="P395" t="s">
        <v>23</v>
      </c>
      <c r="Q395" t="s">
        <v>24</v>
      </c>
      <c r="R395" t="s">
        <v>25</v>
      </c>
      <c r="S395" t="s">
        <v>26</v>
      </c>
      <c r="T395" s="6">
        <v>46307</v>
      </c>
      <c r="U395">
        <v>12</v>
      </c>
      <c r="V395">
        <v>12</v>
      </c>
      <c r="W395">
        <v>12</v>
      </c>
      <c r="X395">
        <v>12</v>
      </c>
      <c r="Y395">
        <f t="shared" si="57"/>
        <v>0</v>
      </c>
      <c r="Z395">
        <f t="shared" si="58"/>
        <v>0</v>
      </c>
      <c r="AC395" s="1">
        <v>0</v>
      </c>
      <c r="AF395">
        <f t="shared" si="62"/>
        <v>12</v>
      </c>
      <c r="AG395" s="7">
        <v>12</v>
      </c>
      <c r="AH395">
        <f t="shared" si="59"/>
        <v>12</v>
      </c>
      <c r="AI395">
        <f t="shared" si="56"/>
        <v>0</v>
      </c>
      <c r="AK395">
        <f t="shared" si="60"/>
        <v>1</v>
      </c>
      <c r="AL395">
        <v>10.06</v>
      </c>
      <c r="AM395" t="s">
        <v>27</v>
      </c>
      <c r="AN395">
        <v>10.06</v>
      </c>
      <c r="AO395" t="b">
        <f t="shared" si="61"/>
        <v>1</v>
      </c>
      <c r="AR395" t="s">
        <v>5061</v>
      </c>
      <c r="AS395" s="21">
        <v>46276</v>
      </c>
      <c r="AT395" t="s">
        <v>5062</v>
      </c>
      <c r="AU395" t="s">
        <v>5068</v>
      </c>
      <c r="AV395" t="s">
        <v>5062</v>
      </c>
      <c r="AW395" t="s">
        <v>5086</v>
      </c>
    </row>
    <row r="396" spans="1:49" x14ac:dyDescent="0.35">
      <c r="A396" t="s">
        <v>871</v>
      </c>
      <c r="B396" t="s">
        <v>872</v>
      </c>
      <c r="C396" t="s">
        <v>4818</v>
      </c>
      <c r="D396" t="s">
        <v>18</v>
      </c>
      <c r="E396" t="s">
        <v>1585</v>
      </c>
      <c r="F396" t="s">
        <v>1586</v>
      </c>
      <c r="G396" t="s">
        <v>21</v>
      </c>
      <c r="H396" t="s">
        <v>4888</v>
      </c>
      <c r="I396" t="s">
        <v>4893</v>
      </c>
      <c r="J396" s="4" t="s">
        <v>4894</v>
      </c>
      <c r="K396" s="4" t="s">
        <v>4896</v>
      </c>
      <c r="L396" s="4" t="s">
        <v>4900</v>
      </c>
      <c r="M396" s="4" t="s">
        <v>5035</v>
      </c>
      <c r="N396" t="s">
        <v>1587</v>
      </c>
      <c r="O396" t="s">
        <v>1588</v>
      </c>
      <c r="P396" t="s">
        <v>23</v>
      </c>
      <c r="Q396" t="s">
        <v>24</v>
      </c>
      <c r="R396" t="s">
        <v>25</v>
      </c>
      <c r="S396" t="s">
        <v>26</v>
      </c>
      <c r="T396" s="6">
        <v>46307</v>
      </c>
      <c r="U396">
        <v>36</v>
      </c>
      <c r="V396">
        <v>36</v>
      </c>
      <c r="W396">
        <v>36</v>
      </c>
      <c r="X396">
        <v>36</v>
      </c>
      <c r="Y396">
        <f t="shared" si="57"/>
        <v>0</v>
      </c>
      <c r="Z396">
        <f t="shared" si="58"/>
        <v>0</v>
      </c>
      <c r="AC396" s="1">
        <v>0</v>
      </c>
      <c r="AF396">
        <f t="shared" si="62"/>
        <v>36</v>
      </c>
      <c r="AG396" s="7">
        <v>12</v>
      </c>
      <c r="AH396">
        <f t="shared" si="59"/>
        <v>36</v>
      </c>
      <c r="AI396">
        <f t="shared" si="56"/>
        <v>0</v>
      </c>
      <c r="AK396">
        <f t="shared" si="60"/>
        <v>3</v>
      </c>
      <c r="AL396">
        <v>10.220000000000001</v>
      </c>
      <c r="AM396" t="s">
        <v>27</v>
      </c>
      <c r="AN396">
        <v>10.220000000000001</v>
      </c>
      <c r="AO396" t="b">
        <f t="shared" si="61"/>
        <v>1</v>
      </c>
      <c r="AR396" t="s">
        <v>5061</v>
      </c>
      <c r="AS396" s="21">
        <v>46276</v>
      </c>
      <c r="AT396" t="s">
        <v>5062</v>
      </c>
      <c r="AU396" t="s">
        <v>5068</v>
      </c>
      <c r="AV396" t="s">
        <v>5062</v>
      </c>
      <c r="AW396" t="s">
        <v>5086</v>
      </c>
    </row>
    <row r="397" spans="1:49" x14ac:dyDescent="0.35">
      <c r="A397" t="s">
        <v>871</v>
      </c>
      <c r="B397" t="s">
        <v>872</v>
      </c>
      <c r="C397" t="s">
        <v>4818</v>
      </c>
      <c r="D397" t="s">
        <v>18</v>
      </c>
      <c r="E397" t="s">
        <v>1589</v>
      </c>
      <c r="F397" t="s">
        <v>1590</v>
      </c>
      <c r="G397" t="s">
        <v>21</v>
      </c>
      <c r="H397" t="s">
        <v>4888</v>
      </c>
      <c r="I397" t="s">
        <v>4889</v>
      </c>
      <c r="J397" s="4" t="s">
        <v>4890</v>
      </c>
      <c r="K397" s="4" t="s">
        <v>4911</v>
      </c>
      <c r="L397" s="4" t="s">
        <v>4926</v>
      </c>
      <c r="M397" s="4" t="s">
        <v>5035</v>
      </c>
      <c r="N397" t="s">
        <v>1591</v>
      </c>
      <c r="O397" t="s">
        <v>1592</v>
      </c>
      <c r="P397" t="s">
        <v>23</v>
      </c>
      <c r="Q397" t="s">
        <v>24</v>
      </c>
      <c r="R397" t="s">
        <v>25</v>
      </c>
      <c r="S397" t="s">
        <v>26</v>
      </c>
      <c r="T397" s="6">
        <v>46307</v>
      </c>
      <c r="U397">
        <v>132</v>
      </c>
      <c r="V397">
        <v>132</v>
      </c>
      <c r="W397">
        <v>120</v>
      </c>
      <c r="X397">
        <v>120</v>
      </c>
      <c r="Y397">
        <f t="shared" si="57"/>
        <v>0</v>
      </c>
      <c r="Z397">
        <f t="shared" si="58"/>
        <v>12</v>
      </c>
      <c r="AA397">
        <f>Z397</f>
        <v>12</v>
      </c>
      <c r="AC397" s="1">
        <v>0</v>
      </c>
      <c r="AF397">
        <f>X397</f>
        <v>120</v>
      </c>
      <c r="AG397" s="7">
        <v>12</v>
      </c>
      <c r="AH397">
        <f t="shared" si="59"/>
        <v>120</v>
      </c>
      <c r="AI397">
        <f t="shared" si="56"/>
        <v>12</v>
      </c>
      <c r="AK397">
        <f t="shared" si="60"/>
        <v>10</v>
      </c>
      <c r="AL397">
        <v>11.87</v>
      </c>
      <c r="AM397" t="s">
        <v>27</v>
      </c>
      <c r="AN397">
        <v>11.87</v>
      </c>
      <c r="AO397" t="b">
        <f t="shared" si="61"/>
        <v>1</v>
      </c>
      <c r="AR397" t="s">
        <v>5061</v>
      </c>
      <c r="AS397" s="21">
        <v>46276</v>
      </c>
      <c r="AT397" t="s">
        <v>5062</v>
      </c>
      <c r="AU397" t="s">
        <v>5067</v>
      </c>
      <c r="AV397" t="s">
        <v>5062</v>
      </c>
      <c r="AW397" t="s">
        <v>5086</v>
      </c>
    </row>
    <row r="398" spans="1:49" x14ac:dyDescent="0.35">
      <c r="A398" t="s">
        <v>871</v>
      </c>
      <c r="B398" t="s">
        <v>872</v>
      </c>
      <c r="C398" t="s">
        <v>4818</v>
      </c>
      <c r="D398" t="s">
        <v>18</v>
      </c>
      <c r="E398" t="s">
        <v>1593</v>
      </c>
      <c r="F398" t="s">
        <v>1594</v>
      </c>
      <c r="G398" t="s">
        <v>21</v>
      </c>
      <c r="H398" t="s">
        <v>4888</v>
      </c>
      <c r="I398" t="s">
        <v>4889</v>
      </c>
      <c r="J398" s="4" t="s">
        <v>4890</v>
      </c>
      <c r="K398" s="4" t="s">
        <v>4911</v>
      </c>
      <c r="L398" s="4" t="s">
        <v>4933</v>
      </c>
      <c r="M398" s="4" t="s">
        <v>5035</v>
      </c>
      <c r="N398" t="s">
        <v>1595</v>
      </c>
      <c r="O398" t="s">
        <v>1596</v>
      </c>
      <c r="P398" t="s">
        <v>23</v>
      </c>
      <c r="Q398" t="s">
        <v>24</v>
      </c>
      <c r="R398" t="s">
        <v>25</v>
      </c>
      <c r="S398" t="s">
        <v>26</v>
      </c>
      <c r="T398" s="6">
        <v>46307</v>
      </c>
      <c r="U398">
        <v>120</v>
      </c>
      <c r="V398">
        <v>120</v>
      </c>
      <c r="W398">
        <v>132</v>
      </c>
      <c r="X398">
        <v>132</v>
      </c>
      <c r="Y398">
        <f t="shared" si="57"/>
        <v>0</v>
      </c>
      <c r="Z398">
        <f t="shared" si="58"/>
        <v>-12</v>
      </c>
      <c r="AC398" s="1">
        <v>0</v>
      </c>
      <c r="AF398">
        <f>V398</f>
        <v>120</v>
      </c>
      <c r="AG398" s="7">
        <v>12</v>
      </c>
      <c r="AH398">
        <f t="shared" si="59"/>
        <v>120</v>
      </c>
      <c r="AI398">
        <f t="shared" si="56"/>
        <v>0</v>
      </c>
      <c r="AK398">
        <f t="shared" si="60"/>
        <v>10</v>
      </c>
      <c r="AL398">
        <v>11.87</v>
      </c>
      <c r="AM398" t="s">
        <v>27</v>
      </c>
      <c r="AN398">
        <v>11.87</v>
      </c>
      <c r="AO398" t="b">
        <f t="shared" si="61"/>
        <v>1</v>
      </c>
      <c r="AR398" t="s">
        <v>5061</v>
      </c>
      <c r="AS398" s="21">
        <v>46276</v>
      </c>
      <c r="AT398" t="s">
        <v>5062</v>
      </c>
      <c r="AU398" t="s">
        <v>5067</v>
      </c>
      <c r="AV398" t="s">
        <v>5062</v>
      </c>
      <c r="AW398" t="s">
        <v>5086</v>
      </c>
    </row>
    <row r="399" spans="1:49" x14ac:dyDescent="0.35">
      <c r="A399" t="s">
        <v>871</v>
      </c>
      <c r="B399" t="s">
        <v>872</v>
      </c>
      <c r="C399" t="s">
        <v>4818</v>
      </c>
      <c r="D399" t="s">
        <v>18</v>
      </c>
      <c r="E399" t="s">
        <v>1597</v>
      </c>
      <c r="F399" t="s">
        <v>1598</v>
      </c>
      <c r="G399" t="s">
        <v>21</v>
      </c>
      <c r="H399" t="s">
        <v>4888</v>
      </c>
      <c r="I399" t="s">
        <v>4889</v>
      </c>
      <c r="J399" s="4" t="s">
        <v>4890</v>
      </c>
      <c r="K399" s="4" t="s">
        <v>4891</v>
      </c>
      <c r="L399" s="4" t="s">
        <v>4909</v>
      </c>
      <c r="M399" s="4" t="s">
        <v>5035</v>
      </c>
      <c r="N399" t="s">
        <v>1599</v>
      </c>
      <c r="O399" t="s">
        <v>1600</v>
      </c>
      <c r="P399" t="s">
        <v>23</v>
      </c>
      <c r="Q399" t="s">
        <v>24</v>
      </c>
      <c r="R399" t="s">
        <v>25</v>
      </c>
      <c r="S399" t="s">
        <v>26</v>
      </c>
      <c r="T399" s="6">
        <v>46307</v>
      </c>
      <c r="U399">
        <v>84</v>
      </c>
      <c r="V399">
        <v>84</v>
      </c>
      <c r="W399">
        <v>72</v>
      </c>
      <c r="X399">
        <v>72</v>
      </c>
      <c r="Y399">
        <f t="shared" si="57"/>
        <v>0</v>
      </c>
      <c r="Z399">
        <f t="shared" si="58"/>
        <v>12</v>
      </c>
      <c r="AA399">
        <f>Z399</f>
        <v>12</v>
      </c>
      <c r="AC399" s="1">
        <v>0</v>
      </c>
      <c r="AF399">
        <f>X399</f>
        <v>72</v>
      </c>
      <c r="AG399" s="7">
        <v>12</v>
      </c>
      <c r="AH399">
        <f t="shared" si="59"/>
        <v>72</v>
      </c>
      <c r="AI399">
        <f t="shared" si="56"/>
        <v>12</v>
      </c>
      <c r="AK399">
        <f t="shared" si="60"/>
        <v>6</v>
      </c>
      <c r="AL399">
        <v>11.2</v>
      </c>
      <c r="AM399" t="s">
        <v>27</v>
      </c>
      <c r="AN399">
        <v>11.2</v>
      </c>
      <c r="AO399" t="b">
        <f t="shared" si="61"/>
        <v>1</v>
      </c>
      <c r="AR399" t="s">
        <v>5061</v>
      </c>
      <c r="AS399" s="21">
        <v>46276</v>
      </c>
      <c r="AT399" t="s">
        <v>5062</v>
      </c>
      <c r="AU399" t="s">
        <v>5067</v>
      </c>
      <c r="AV399" t="s">
        <v>5062</v>
      </c>
      <c r="AW399" t="s">
        <v>5086</v>
      </c>
    </row>
    <row r="400" spans="1:49" x14ac:dyDescent="0.35">
      <c r="A400" t="s">
        <v>871</v>
      </c>
      <c r="B400" t="s">
        <v>872</v>
      </c>
      <c r="C400" t="s">
        <v>4818</v>
      </c>
      <c r="D400" t="s">
        <v>18</v>
      </c>
      <c r="E400" t="s">
        <v>1601</v>
      </c>
      <c r="F400" t="s">
        <v>1602</v>
      </c>
      <c r="G400" t="s">
        <v>21</v>
      </c>
      <c r="H400" t="s">
        <v>4888</v>
      </c>
      <c r="I400" t="s">
        <v>4893</v>
      </c>
      <c r="J400" s="4" t="s">
        <v>4894</v>
      </c>
      <c r="K400" s="4" t="s">
        <v>4913</v>
      </c>
      <c r="L400" s="4" t="s">
        <v>4919</v>
      </c>
      <c r="M400" s="4" t="s">
        <v>5035</v>
      </c>
      <c r="N400" t="s">
        <v>1603</v>
      </c>
      <c r="O400" t="s">
        <v>1604</v>
      </c>
      <c r="P400" t="s">
        <v>23</v>
      </c>
      <c r="Q400" t="s">
        <v>24</v>
      </c>
      <c r="R400" t="s">
        <v>25</v>
      </c>
      <c r="S400" t="s">
        <v>26</v>
      </c>
      <c r="T400" s="6">
        <v>46307</v>
      </c>
      <c r="U400">
        <v>24</v>
      </c>
      <c r="V400">
        <v>24</v>
      </c>
      <c r="W400">
        <v>24</v>
      </c>
      <c r="X400">
        <v>24</v>
      </c>
      <c r="Y400">
        <f t="shared" si="57"/>
        <v>0</v>
      </c>
      <c r="Z400">
        <f t="shared" si="58"/>
        <v>0</v>
      </c>
      <c r="AC400" s="1">
        <v>0</v>
      </c>
      <c r="AF400">
        <f>V400</f>
        <v>24</v>
      </c>
      <c r="AG400" s="7">
        <v>12</v>
      </c>
      <c r="AH400">
        <f t="shared" si="59"/>
        <v>24</v>
      </c>
      <c r="AI400">
        <f t="shared" si="56"/>
        <v>0</v>
      </c>
      <c r="AK400">
        <f t="shared" si="60"/>
        <v>2</v>
      </c>
      <c r="AL400">
        <v>9.9499999999999993</v>
      </c>
      <c r="AM400" t="s">
        <v>27</v>
      </c>
      <c r="AN400">
        <v>9.9499999999999993</v>
      </c>
      <c r="AO400" t="b">
        <f t="shared" si="61"/>
        <v>1</v>
      </c>
      <c r="AR400" t="s">
        <v>5061</v>
      </c>
      <c r="AS400" s="21">
        <v>46276</v>
      </c>
      <c r="AT400" t="s">
        <v>5062</v>
      </c>
      <c r="AU400" t="s">
        <v>5068</v>
      </c>
      <c r="AV400" t="s">
        <v>5062</v>
      </c>
      <c r="AW400" t="s">
        <v>5086</v>
      </c>
    </row>
    <row r="401" spans="1:49" x14ac:dyDescent="0.35">
      <c r="A401" t="s">
        <v>871</v>
      </c>
      <c r="B401" t="s">
        <v>872</v>
      </c>
      <c r="C401" t="s">
        <v>4818</v>
      </c>
      <c r="D401" t="s">
        <v>18</v>
      </c>
      <c r="E401" t="s">
        <v>1605</v>
      </c>
      <c r="F401" t="s">
        <v>1606</v>
      </c>
      <c r="G401" t="s">
        <v>21</v>
      </c>
      <c r="H401" t="s">
        <v>4888</v>
      </c>
      <c r="I401" t="s">
        <v>4889</v>
      </c>
      <c r="J401" s="4" t="s">
        <v>4890</v>
      </c>
      <c r="K401" s="4" t="s">
        <v>4899</v>
      </c>
      <c r="L401" s="4" t="s">
        <v>4879</v>
      </c>
      <c r="M401" s="4" t="s">
        <v>5035</v>
      </c>
      <c r="N401" t="s">
        <v>1607</v>
      </c>
      <c r="O401" t="s">
        <v>1608</v>
      </c>
      <c r="P401" t="s">
        <v>23</v>
      </c>
      <c r="Q401" t="s">
        <v>24</v>
      </c>
      <c r="R401" t="s">
        <v>25</v>
      </c>
      <c r="S401" t="s">
        <v>26</v>
      </c>
      <c r="T401" s="6">
        <v>46307</v>
      </c>
      <c r="U401">
        <v>120</v>
      </c>
      <c r="V401">
        <v>120</v>
      </c>
      <c r="W401">
        <v>108</v>
      </c>
      <c r="X401">
        <v>108</v>
      </c>
      <c r="Y401">
        <f t="shared" si="57"/>
        <v>0</v>
      </c>
      <c r="Z401">
        <f t="shared" si="58"/>
        <v>12</v>
      </c>
      <c r="AA401">
        <f>Z401</f>
        <v>12</v>
      </c>
      <c r="AC401" s="1">
        <v>0</v>
      </c>
      <c r="AF401">
        <f>X401</f>
        <v>108</v>
      </c>
      <c r="AG401" s="7">
        <v>12</v>
      </c>
      <c r="AH401">
        <f t="shared" si="59"/>
        <v>108</v>
      </c>
      <c r="AI401">
        <f t="shared" si="56"/>
        <v>12</v>
      </c>
      <c r="AK401">
        <f t="shared" si="60"/>
        <v>9</v>
      </c>
      <c r="AL401">
        <v>10.9</v>
      </c>
      <c r="AM401" t="s">
        <v>27</v>
      </c>
      <c r="AN401">
        <v>10.9</v>
      </c>
      <c r="AO401" t="b">
        <f t="shared" si="61"/>
        <v>1</v>
      </c>
      <c r="AR401" t="s">
        <v>5061</v>
      </c>
      <c r="AS401" s="21">
        <v>46276</v>
      </c>
      <c r="AT401" t="s">
        <v>5062</v>
      </c>
      <c r="AU401" t="s">
        <v>5067</v>
      </c>
      <c r="AV401" t="s">
        <v>5062</v>
      </c>
      <c r="AW401" t="s">
        <v>5086</v>
      </c>
    </row>
    <row r="402" spans="1:49" x14ac:dyDescent="0.35">
      <c r="A402" t="s">
        <v>871</v>
      </c>
      <c r="B402" t="s">
        <v>872</v>
      </c>
      <c r="C402" t="s">
        <v>4818</v>
      </c>
      <c r="D402" t="s">
        <v>18</v>
      </c>
      <c r="E402" t="s">
        <v>1609</v>
      </c>
      <c r="F402" t="s">
        <v>1610</v>
      </c>
      <c r="G402" t="s">
        <v>21</v>
      </c>
      <c r="H402" t="s">
        <v>4888</v>
      </c>
      <c r="I402" t="s">
        <v>4893</v>
      </c>
      <c r="J402" s="4" t="s">
        <v>4894</v>
      </c>
      <c r="K402" s="4" t="s">
        <v>4913</v>
      </c>
      <c r="L402" s="4" t="s">
        <v>4918</v>
      </c>
      <c r="M402" s="4" t="s">
        <v>5035</v>
      </c>
      <c r="N402" t="s">
        <v>1611</v>
      </c>
      <c r="O402" t="s">
        <v>1612</v>
      </c>
      <c r="P402" t="s">
        <v>23</v>
      </c>
      <c r="Q402" t="s">
        <v>24</v>
      </c>
      <c r="R402" t="s">
        <v>25</v>
      </c>
      <c r="S402" t="s">
        <v>26</v>
      </c>
      <c r="T402" s="6">
        <v>46307</v>
      </c>
      <c r="U402">
        <v>72</v>
      </c>
      <c r="V402">
        <v>72</v>
      </c>
      <c r="W402">
        <v>84</v>
      </c>
      <c r="X402">
        <v>84</v>
      </c>
      <c r="Y402">
        <f t="shared" si="57"/>
        <v>0</v>
      </c>
      <c r="Z402">
        <f t="shared" si="58"/>
        <v>-12</v>
      </c>
      <c r="AC402" s="1">
        <v>0</v>
      </c>
      <c r="AF402">
        <f>V402</f>
        <v>72</v>
      </c>
      <c r="AG402" s="7">
        <v>12</v>
      </c>
      <c r="AH402">
        <f t="shared" si="59"/>
        <v>72</v>
      </c>
      <c r="AI402">
        <f t="shared" si="56"/>
        <v>0</v>
      </c>
      <c r="AK402">
        <f t="shared" si="60"/>
        <v>6</v>
      </c>
      <c r="AL402">
        <v>9.9499999999999993</v>
      </c>
      <c r="AM402" t="s">
        <v>27</v>
      </c>
      <c r="AN402">
        <v>9.9499999999999993</v>
      </c>
      <c r="AO402" t="b">
        <f t="shared" si="61"/>
        <v>1</v>
      </c>
      <c r="AR402" t="s">
        <v>5061</v>
      </c>
      <c r="AS402" s="21">
        <v>46276</v>
      </c>
      <c r="AT402" t="s">
        <v>5062</v>
      </c>
      <c r="AU402" t="s">
        <v>5068</v>
      </c>
      <c r="AV402" t="s">
        <v>5062</v>
      </c>
      <c r="AW402" t="s">
        <v>5086</v>
      </c>
    </row>
    <row r="403" spans="1:49" x14ac:dyDescent="0.35">
      <c r="A403" t="s">
        <v>871</v>
      </c>
      <c r="B403" t="s">
        <v>872</v>
      </c>
      <c r="C403" t="s">
        <v>4818</v>
      </c>
      <c r="D403" t="s">
        <v>18</v>
      </c>
      <c r="E403" t="s">
        <v>1613</v>
      </c>
      <c r="F403" t="s">
        <v>1614</v>
      </c>
      <c r="G403" t="s">
        <v>21</v>
      </c>
      <c r="H403" t="s">
        <v>4888</v>
      </c>
      <c r="I403" t="s">
        <v>4889</v>
      </c>
      <c r="J403" s="4" t="s">
        <v>4890</v>
      </c>
      <c r="K403" s="4" t="s">
        <v>4911</v>
      </c>
      <c r="L403" s="4" t="s">
        <v>4855</v>
      </c>
      <c r="M403" s="4" t="s">
        <v>5035</v>
      </c>
      <c r="N403" t="s">
        <v>1615</v>
      </c>
      <c r="O403" t="s">
        <v>1616</v>
      </c>
      <c r="P403" t="s">
        <v>23</v>
      </c>
      <c r="Q403" t="s">
        <v>24</v>
      </c>
      <c r="R403" t="s">
        <v>25</v>
      </c>
      <c r="S403" t="s">
        <v>26</v>
      </c>
      <c r="T403" s="6">
        <v>46307</v>
      </c>
      <c r="U403">
        <v>192</v>
      </c>
      <c r="V403">
        <v>192</v>
      </c>
      <c r="W403">
        <v>204</v>
      </c>
      <c r="X403">
        <v>204</v>
      </c>
      <c r="Y403">
        <f t="shared" si="57"/>
        <v>0</v>
      </c>
      <c r="Z403">
        <f t="shared" si="58"/>
        <v>-12</v>
      </c>
      <c r="AC403" s="1"/>
      <c r="AF403">
        <f>V403</f>
        <v>192</v>
      </c>
      <c r="AG403" s="7">
        <v>12</v>
      </c>
      <c r="AH403">
        <f t="shared" si="59"/>
        <v>192</v>
      </c>
      <c r="AI403">
        <f t="shared" si="56"/>
        <v>0</v>
      </c>
      <c r="AK403">
        <f t="shared" si="60"/>
        <v>16</v>
      </c>
      <c r="AL403">
        <v>11.87</v>
      </c>
      <c r="AM403" t="s">
        <v>27</v>
      </c>
      <c r="AN403">
        <v>11.87</v>
      </c>
      <c r="AO403" t="b">
        <f t="shared" si="61"/>
        <v>1</v>
      </c>
      <c r="AR403" t="s">
        <v>5061</v>
      </c>
      <c r="AS403" s="21">
        <v>46276</v>
      </c>
      <c r="AT403" t="s">
        <v>5062</v>
      </c>
      <c r="AU403" t="s">
        <v>5067</v>
      </c>
      <c r="AV403" t="s">
        <v>5062</v>
      </c>
      <c r="AW403" t="s">
        <v>5086</v>
      </c>
    </row>
    <row r="404" spans="1:49" x14ac:dyDescent="0.35">
      <c r="A404" t="s">
        <v>871</v>
      </c>
      <c r="B404" t="s">
        <v>872</v>
      </c>
      <c r="C404" t="s">
        <v>4818</v>
      </c>
      <c r="D404" t="s">
        <v>18</v>
      </c>
      <c r="E404" t="s">
        <v>1617</v>
      </c>
      <c r="F404" t="s">
        <v>1618</v>
      </c>
      <c r="G404" t="s">
        <v>21</v>
      </c>
      <c r="H404" t="s">
        <v>4888</v>
      </c>
      <c r="I404" t="s">
        <v>4889</v>
      </c>
      <c r="J404" s="4" t="s">
        <v>4890</v>
      </c>
      <c r="K404" s="4" t="s">
        <v>4899</v>
      </c>
      <c r="L404" s="4" t="s">
        <v>4925</v>
      </c>
      <c r="M404" s="4" t="s">
        <v>5035</v>
      </c>
      <c r="N404" t="s">
        <v>1619</v>
      </c>
      <c r="O404" t="s">
        <v>1620</v>
      </c>
      <c r="P404" t="s">
        <v>23</v>
      </c>
      <c r="Q404" t="s">
        <v>24</v>
      </c>
      <c r="R404" t="s">
        <v>25</v>
      </c>
      <c r="S404" t="s">
        <v>26</v>
      </c>
      <c r="T404" s="6">
        <v>46307</v>
      </c>
      <c r="U404">
        <v>132</v>
      </c>
      <c r="V404">
        <v>132</v>
      </c>
      <c r="W404">
        <v>120</v>
      </c>
      <c r="X404">
        <v>120</v>
      </c>
      <c r="Y404">
        <f t="shared" si="57"/>
        <v>0</v>
      </c>
      <c r="Z404">
        <f t="shared" si="58"/>
        <v>12</v>
      </c>
      <c r="AA404">
        <f>Z404</f>
        <v>12</v>
      </c>
      <c r="AC404" s="1">
        <v>0</v>
      </c>
      <c r="AF404">
        <f>X404</f>
        <v>120</v>
      </c>
      <c r="AG404" s="7">
        <v>12</v>
      </c>
      <c r="AH404">
        <f t="shared" si="59"/>
        <v>120</v>
      </c>
      <c r="AI404">
        <f t="shared" si="56"/>
        <v>12</v>
      </c>
      <c r="AK404">
        <f t="shared" si="60"/>
        <v>10</v>
      </c>
      <c r="AL404">
        <v>10.9</v>
      </c>
      <c r="AM404" t="s">
        <v>27</v>
      </c>
      <c r="AN404">
        <v>10.9</v>
      </c>
      <c r="AO404" t="b">
        <f t="shared" si="61"/>
        <v>1</v>
      </c>
      <c r="AR404" t="s">
        <v>5061</v>
      </c>
      <c r="AS404" s="21">
        <v>46276</v>
      </c>
      <c r="AT404" t="s">
        <v>5062</v>
      </c>
      <c r="AU404" t="s">
        <v>5067</v>
      </c>
      <c r="AV404" t="s">
        <v>5062</v>
      </c>
      <c r="AW404" t="s">
        <v>5086</v>
      </c>
    </row>
    <row r="405" spans="1:49" x14ac:dyDescent="0.35">
      <c r="A405" t="s">
        <v>871</v>
      </c>
      <c r="B405" t="s">
        <v>872</v>
      </c>
      <c r="C405" t="s">
        <v>4818</v>
      </c>
      <c r="D405" t="s">
        <v>18</v>
      </c>
      <c r="E405" t="s">
        <v>1621</v>
      </c>
      <c r="F405" t="s">
        <v>1622</v>
      </c>
      <c r="G405" t="s">
        <v>21</v>
      </c>
      <c r="H405" t="s">
        <v>4888</v>
      </c>
      <c r="I405" t="s">
        <v>4906</v>
      </c>
      <c r="J405" s="4" t="s">
        <v>4907</v>
      </c>
      <c r="K405" s="4" t="s">
        <v>4908</v>
      </c>
      <c r="L405" s="4" t="s">
        <v>4933</v>
      </c>
      <c r="M405" s="4" t="s">
        <v>5035</v>
      </c>
      <c r="N405" t="s">
        <v>1623</v>
      </c>
      <c r="O405" t="s">
        <v>1624</v>
      </c>
      <c r="P405" t="s">
        <v>23</v>
      </c>
      <c r="Q405" t="s">
        <v>24</v>
      </c>
      <c r="R405" t="s">
        <v>25</v>
      </c>
      <c r="S405" t="s">
        <v>26</v>
      </c>
      <c r="T405" s="6">
        <v>46307</v>
      </c>
      <c r="U405">
        <v>24</v>
      </c>
      <c r="V405">
        <v>24</v>
      </c>
      <c r="W405">
        <v>24</v>
      </c>
      <c r="X405">
        <v>24</v>
      </c>
      <c r="Y405">
        <f t="shared" si="57"/>
        <v>0</v>
      </c>
      <c r="Z405">
        <f t="shared" si="58"/>
        <v>0</v>
      </c>
      <c r="AC405" s="1">
        <v>0</v>
      </c>
      <c r="AF405">
        <f>V405</f>
        <v>24</v>
      </c>
      <c r="AG405" s="7">
        <v>12</v>
      </c>
      <c r="AH405">
        <f t="shared" si="59"/>
        <v>24</v>
      </c>
      <c r="AI405">
        <f t="shared" si="56"/>
        <v>0</v>
      </c>
      <c r="AK405">
        <f t="shared" si="60"/>
        <v>2</v>
      </c>
      <c r="AL405">
        <v>10.19</v>
      </c>
      <c r="AM405" t="s">
        <v>27</v>
      </c>
      <c r="AN405">
        <v>10.19</v>
      </c>
      <c r="AO405" t="b">
        <f t="shared" si="61"/>
        <v>1</v>
      </c>
      <c r="AR405" t="s">
        <v>5061</v>
      </c>
      <c r="AS405" s="21">
        <v>46276</v>
      </c>
      <c r="AT405" t="s">
        <v>5062</v>
      </c>
      <c r="AU405" t="s">
        <v>5070</v>
      </c>
      <c r="AV405" t="s">
        <v>5062</v>
      </c>
      <c r="AW405" t="s">
        <v>5086</v>
      </c>
    </row>
    <row r="406" spans="1:49" x14ac:dyDescent="0.35">
      <c r="A406" t="s">
        <v>871</v>
      </c>
      <c r="B406" t="s">
        <v>872</v>
      </c>
      <c r="C406" t="s">
        <v>4818</v>
      </c>
      <c r="D406" t="s">
        <v>18</v>
      </c>
      <c r="E406" t="s">
        <v>1625</v>
      </c>
      <c r="F406" t="s">
        <v>1626</v>
      </c>
      <c r="G406" t="s">
        <v>21</v>
      </c>
      <c r="H406" t="s">
        <v>4888</v>
      </c>
      <c r="I406" t="s">
        <v>4893</v>
      </c>
      <c r="J406" s="4" t="s">
        <v>4894</v>
      </c>
      <c r="K406" s="4" t="s">
        <v>4896</v>
      </c>
      <c r="L406" s="4" t="s">
        <v>4901</v>
      </c>
      <c r="M406" s="4" t="s">
        <v>5035</v>
      </c>
      <c r="N406" t="s">
        <v>1627</v>
      </c>
      <c r="O406" t="s">
        <v>1628</v>
      </c>
      <c r="P406" t="s">
        <v>23</v>
      </c>
      <c r="Q406" t="s">
        <v>24</v>
      </c>
      <c r="R406" t="s">
        <v>25</v>
      </c>
      <c r="S406" t="s">
        <v>26</v>
      </c>
      <c r="T406" s="6">
        <v>46307</v>
      </c>
      <c r="U406">
        <v>12</v>
      </c>
      <c r="V406">
        <v>12</v>
      </c>
      <c r="W406">
        <v>12</v>
      </c>
      <c r="X406">
        <v>12</v>
      </c>
      <c r="Y406">
        <f t="shared" si="57"/>
        <v>0</v>
      </c>
      <c r="Z406">
        <f t="shared" si="58"/>
        <v>0</v>
      </c>
      <c r="AC406" s="1">
        <v>0</v>
      </c>
      <c r="AF406">
        <f>V406</f>
        <v>12</v>
      </c>
      <c r="AG406" s="7">
        <v>12</v>
      </c>
      <c r="AH406">
        <f t="shared" si="59"/>
        <v>12</v>
      </c>
      <c r="AI406">
        <f t="shared" si="56"/>
        <v>0</v>
      </c>
      <c r="AK406">
        <f t="shared" si="60"/>
        <v>1</v>
      </c>
      <c r="AL406">
        <v>10.220000000000001</v>
      </c>
      <c r="AM406" t="s">
        <v>27</v>
      </c>
      <c r="AN406">
        <v>10.220000000000001</v>
      </c>
      <c r="AO406" t="b">
        <f t="shared" si="61"/>
        <v>1</v>
      </c>
      <c r="AR406" t="s">
        <v>5061</v>
      </c>
      <c r="AS406" s="21">
        <v>46276</v>
      </c>
      <c r="AT406" t="s">
        <v>5062</v>
      </c>
      <c r="AU406" t="s">
        <v>5068</v>
      </c>
      <c r="AV406" t="s">
        <v>5062</v>
      </c>
      <c r="AW406" t="s">
        <v>5086</v>
      </c>
    </row>
    <row r="407" spans="1:49" x14ac:dyDescent="0.35">
      <c r="A407" t="s">
        <v>871</v>
      </c>
      <c r="B407" t="s">
        <v>872</v>
      </c>
      <c r="C407" t="s">
        <v>4818</v>
      </c>
      <c r="D407" t="s">
        <v>18</v>
      </c>
      <c r="E407" t="s">
        <v>1629</v>
      </c>
      <c r="F407" t="s">
        <v>1630</v>
      </c>
      <c r="G407" t="s">
        <v>21</v>
      </c>
      <c r="H407" t="s">
        <v>4888</v>
      </c>
      <c r="I407" t="s">
        <v>4893</v>
      </c>
      <c r="J407" s="4" t="s">
        <v>4894</v>
      </c>
      <c r="K407" s="4" t="s">
        <v>4904</v>
      </c>
      <c r="L407" s="4" t="s">
        <v>4892</v>
      </c>
      <c r="M407" s="4" t="s">
        <v>5035</v>
      </c>
      <c r="N407" t="s">
        <v>1631</v>
      </c>
      <c r="O407" t="s">
        <v>1632</v>
      </c>
      <c r="P407" t="s">
        <v>23</v>
      </c>
      <c r="Q407" t="s">
        <v>24</v>
      </c>
      <c r="R407" t="s">
        <v>25</v>
      </c>
      <c r="S407" t="s">
        <v>26</v>
      </c>
      <c r="T407" s="6">
        <v>46307</v>
      </c>
      <c r="U407">
        <v>72</v>
      </c>
      <c r="V407">
        <v>72</v>
      </c>
      <c r="W407">
        <v>72</v>
      </c>
      <c r="X407">
        <v>72</v>
      </c>
      <c r="Y407">
        <f t="shared" si="57"/>
        <v>0</v>
      </c>
      <c r="Z407">
        <f t="shared" si="58"/>
        <v>0</v>
      </c>
      <c r="AC407" s="1">
        <v>0</v>
      </c>
      <c r="AF407">
        <f>V407</f>
        <v>72</v>
      </c>
      <c r="AG407" s="7">
        <v>12</v>
      </c>
      <c r="AH407">
        <f t="shared" si="59"/>
        <v>72</v>
      </c>
      <c r="AI407">
        <f t="shared" si="56"/>
        <v>0</v>
      </c>
      <c r="AK407">
        <f t="shared" si="60"/>
        <v>6</v>
      </c>
      <c r="AL407">
        <v>10.16</v>
      </c>
      <c r="AM407" t="s">
        <v>27</v>
      </c>
      <c r="AN407">
        <v>10.16</v>
      </c>
      <c r="AO407" t="b">
        <f t="shared" si="61"/>
        <v>1</v>
      </c>
      <c r="AR407" t="s">
        <v>5061</v>
      </c>
      <c r="AS407" s="21">
        <v>46276</v>
      </c>
      <c r="AT407" t="s">
        <v>5062</v>
      </c>
      <c r="AU407" t="s">
        <v>5068</v>
      </c>
      <c r="AV407" t="s">
        <v>5062</v>
      </c>
      <c r="AW407" t="s">
        <v>5086</v>
      </c>
    </row>
    <row r="408" spans="1:49" x14ac:dyDescent="0.35">
      <c r="A408" t="s">
        <v>871</v>
      </c>
      <c r="B408" t="s">
        <v>872</v>
      </c>
      <c r="C408" t="s">
        <v>4818</v>
      </c>
      <c r="D408" t="s">
        <v>18</v>
      </c>
      <c r="E408" t="s">
        <v>1633</v>
      </c>
      <c r="F408" t="s">
        <v>1634</v>
      </c>
      <c r="G408" t="s">
        <v>21</v>
      </c>
      <c r="H408" t="s">
        <v>4888</v>
      </c>
      <c r="I408" t="s">
        <v>4893</v>
      </c>
      <c r="J408" s="4" t="s">
        <v>4894</v>
      </c>
      <c r="K408" s="4" t="s">
        <v>4896</v>
      </c>
      <c r="L408" s="4" t="s">
        <v>4916</v>
      </c>
      <c r="M408" s="4" t="s">
        <v>5035</v>
      </c>
      <c r="N408" t="s">
        <v>1635</v>
      </c>
      <c r="O408" t="s">
        <v>1636</v>
      </c>
      <c r="P408" t="s">
        <v>23</v>
      </c>
      <c r="Q408" t="s">
        <v>24</v>
      </c>
      <c r="R408" t="s">
        <v>25</v>
      </c>
      <c r="S408" t="s">
        <v>26</v>
      </c>
      <c r="T408" s="6">
        <v>46307</v>
      </c>
      <c r="U408">
        <v>180</v>
      </c>
      <c r="V408">
        <v>180</v>
      </c>
      <c r="W408">
        <v>168</v>
      </c>
      <c r="X408">
        <v>168</v>
      </c>
      <c r="Y408">
        <f t="shared" si="57"/>
        <v>0</v>
      </c>
      <c r="Z408">
        <f t="shared" si="58"/>
        <v>12</v>
      </c>
      <c r="AA408">
        <f>Z408</f>
        <v>12</v>
      </c>
      <c r="AC408" s="1">
        <v>0</v>
      </c>
      <c r="AF408">
        <f>X408</f>
        <v>168</v>
      </c>
      <c r="AG408" s="7">
        <v>12</v>
      </c>
      <c r="AH408">
        <f t="shared" si="59"/>
        <v>168</v>
      </c>
      <c r="AI408">
        <f t="shared" si="56"/>
        <v>12</v>
      </c>
      <c r="AK408">
        <f t="shared" si="60"/>
        <v>14</v>
      </c>
      <c r="AL408">
        <v>10.220000000000001</v>
      </c>
      <c r="AM408" t="s">
        <v>27</v>
      </c>
      <c r="AN408">
        <v>10.220000000000001</v>
      </c>
      <c r="AO408" t="b">
        <f t="shared" si="61"/>
        <v>1</v>
      </c>
      <c r="AR408" t="s">
        <v>5061</v>
      </c>
      <c r="AS408" s="21">
        <v>46276</v>
      </c>
      <c r="AT408" t="s">
        <v>5062</v>
      </c>
      <c r="AU408" t="s">
        <v>5068</v>
      </c>
      <c r="AV408" t="s">
        <v>5062</v>
      </c>
      <c r="AW408" t="s">
        <v>5086</v>
      </c>
    </row>
    <row r="409" spans="1:49" x14ac:dyDescent="0.35">
      <c r="A409" t="s">
        <v>871</v>
      </c>
      <c r="B409" t="s">
        <v>872</v>
      </c>
      <c r="C409" t="s">
        <v>4818</v>
      </c>
      <c r="D409" t="s">
        <v>18</v>
      </c>
      <c r="E409" t="s">
        <v>1637</v>
      </c>
      <c r="F409" t="s">
        <v>1638</v>
      </c>
      <c r="G409" t="s">
        <v>21</v>
      </c>
      <c r="H409" t="s">
        <v>4888</v>
      </c>
      <c r="I409" t="s">
        <v>4893</v>
      </c>
      <c r="J409" s="4" t="s">
        <v>4894</v>
      </c>
      <c r="K409" s="4" t="s">
        <v>4837</v>
      </c>
      <c r="L409" s="4" t="s">
        <v>4925</v>
      </c>
      <c r="M409" s="4" t="s">
        <v>5035</v>
      </c>
      <c r="N409" t="s">
        <v>1639</v>
      </c>
      <c r="O409" t="s">
        <v>1640</v>
      </c>
      <c r="P409" t="s">
        <v>23</v>
      </c>
      <c r="Q409" t="s">
        <v>24</v>
      </c>
      <c r="R409" t="s">
        <v>25</v>
      </c>
      <c r="S409" t="s">
        <v>26</v>
      </c>
      <c r="T409" s="6">
        <v>46307</v>
      </c>
      <c r="U409">
        <v>12</v>
      </c>
      <c r="V409">
        <v>12</v>
      </c>
      <c r="W409">
        <v>12</v>
      </c>
      <c r="X409">
        <v>12</v>
      </c>
      <c r="Y409">
        <f t="shared" si="57"/>
        <v>0</v>
      </c>
      <c r="Z409">
        <f t="shared" si="58"/>
        <v>0</v>
      </c>
      <c r="AC409" s="1">
        <v>0</v>
      </c>
      <c r="AF409">
        <f>V409</f>
        <v>12</v>
      </c>
      <c r="AG409" s="7">
        <v>12</v>
      </c>
      <c r="AH409">
        <f t="shared" si="59"/>
        <v>12</v>
      </c>
      <c r="AI409">
        <f t="shared" si="56"/>
        <v>0</v>
      </c>
      <c r="AK409">
        <f t="shared" si="60"/>
        <v>1</v>
      </c>
      <c r="AL409">
        <v>10.06</v>
      </c>
      <c r="AM409" t="s">
        <v>27</v>
      </c>
      <c r="AN409">
        <v>10.06</v>
      </c>
      <c r="AO409" t="b">
        <f t="shared" si="61"/>
        <v>1</v>
      </c>
      <c r="AR409" t="s">
        <v>5061</v>
      </c>
      <c r="AS409" s="21">
        <v>46276</v>
      </c>
      <c r="AT409" t="s">
        <v>5062</v>
      </c>
      <c r="AU409" t="s">
        <v>5068</v>
      </c>
      <c r="AV409" t="s">
        <v>5062</v>
      </c>
      <c r="AW409" t="s">
        <v>5086</v>
      </c>
    </row>
    <row r="410" spans="1:49" x14ac:dyDescent="0.35">
      <c r="A410" t="s">
        <v>871</v>
      </c>
      <c r="B410" t="s">
        <v>872</v>
      </c>
      <c r="C410" t="s">
        <v>4818</v>
      </c>
      <c r="D410" t="s">
        <v>18</v>
      </c>
      <c r="E410" t="s">
        <v>1641</v>
      </c>
      <c r="F410" t="s">
        <v>1642</v>
      </c>
      <c r="G410" t="s">
        <v>21</v>
      </c>
      <c r="H410" t="s">
        <v>4888</v>
      </c>
      <c r="I410" t="s">
        <v>4893</v>
      </c>
      <c r="J410" s="4" t="s">
        <v>4894</v>
      </c>
      <c r="K410" s="4" t="s">
        <v>4913</v>
      </c>
      <c r="L410" s="4" t="s">
        <v>4877</v>
      </c>
      <c r="M410" s="4" t="s">
        <v>5035</v>
      </c>
      <c r="N410" t="s">
        <v>1643</v>
      </c>
      <c r="O410" t="s">
        <v>1644</v>
      </c>
      <c r="P410" t="s">
        <v>23</v>
      </c>
      <c r="Q410" t="s">
        <v>24</v>
      </c>
      <c r="R410" t="s">
        <v>25</v>
      </c>
      <c r="S410" t="s">
        <v>26</v>
      </c>
      <c r="T410" s="6">
        <v>46307</v>
      </c>
      <c r="U410">
        <v>84</v>
      </c>
      <c r="V410">
        <v>84</v>
      </c>
      <c r="W410">
        <v>72</v>
      </c>
      <c r="X410">
        <v>72</v>
      </c>
      <c r="Y410">
        <f t="shared" si="57"/>
        <v>0</v>
      </c>
      <c r="Z410">
        <f t="shared" si="58"/>
        <v>12</v>
      </c>
      <c r="AA410">
        <f>Z410</f>
        <v>12</v>
      </c>
      <c r="AC410" s="1">
        <v>0</v>
      </c>
      <c r="AF410">
        <f>X410</f>
        <v>72</v>
      </c>
      <c r="AG410" s="7">
        <v>12</v>
      </c>
      <c r="AH410">
        <f t="shared" si="59"/>
        <v>72</v>
      </c>
      <c r="AI410">
        <f t="shared" si="56"/>
        <v>12</v>
      </c>
      <c r="AK410">
        <f t="shared" si="60"/>
        <v>6</v>
      </c>
      <c r="AL410">
        <v>9.9499999999999993</v>
      </c>
      <c r="AM410" t="s">
        <v>27</v>
      </c>
      <c r="AN410">
        <v>9.9499999999999993</v>
      </c>
      <c r="AO410" t="b">
        <f t="shared" si="61"/>
        <v>1</v>
      </c>
      <c r="AR410" t="s">
        <v>5061</v>
      </c>
      <c r="AS410" s="21">
        <v>46276</v>
      </c>
      <c r="AT410" t="s">
        <v>5062</v>
      </c>
      <c r="AU410" t="s">
        <v>5068</v>
      </c>
      <c r="AV410" t="s">
        <v>5062</v>
      </c>
      <c r="AW410" t="s">
        <v>5086</v>
      </c>
    </row>
    <row r="411" spans="1:49" x14ac:dyDescent="0.35">
      <c r="A411" t="s">
        <v>871</v>
      </c>
      <c r="B411" t="s">
        <v>872</v>
      </c>
      <c r="C411" t="s">
        <v>4818</v>
      </c>
      <c r="D411" t="s">
        <v>18</v>
      </c>
      <c r="E411" t="s">
        <v>1645</v>
      </c>
      <c r="F411" t="s">
        <v>1646</v>
      </c>
      <c r="G411" t="s">
        <v>21</v>
      </c>
      <c r="H411" t="s">
        <v>4888</v>
      </c>
      <c r="I411" t="s">
        <v>4893</v>
      </c>
      <c r="J411" s="4" t="s">
        <v>4894</v>
      </c>
      <c r="K411" s="4" t="s">
        <v>4904</v>
      </c>
      <c r="L411" s="4" t="s">
        <v>4867</v>
      </c>
      <c r="M411" s="4" t="s">
        <v>5035</v>
      </c>
      <c r="N411" t="s">
        <v>1647</v>
      </c>
      <c r="O411" t="s">
        <v>1648</v>
      </c>
      <c r="P411" t="s">
        <v>23</v>
      </c>
      <c r="Q411" t="s">
        <v>24</v>
      </c>
      <c r="R411" t="s">
        <v>25</v>
      </c>
      <c r="S411" t="s">
        <v>26</v>
      </c>
      <c r="T411" s="6">
        <v>46307</v>
      </c>
      <c r="U411">
        <v>72</v>
      </c>
      <c r="V411">
        <v>72</v>
      </c>
      <c r="W411">
        <v>72</v>
      </c>
      <c r="X411">
        <v>72</v>
      </c>
      <c r="Y411">
        <f t="shared" si="57"/>
        <v>0</v>
      </c>
      <c r="Z411">
        <f t="shared" si="58"/>
        <v>0</v>
      </c>
      <c r="AC411" s="1">
        <v>0</v>
      </c>
      <c r="AF411">
        <f t="shared" ref="AF411:AF417" si="63">V411</f>
        <v>72</v>
      </c>
      <c r="AG411" s="7">
        <v>12</v>
      </c>
      <c r="AH411">
        <f t="shared" si="59"/>
        <v>72</v>
      </c>
      <c r="AI411">
        <f t="shared" si="56"/>
        <v>0</v>
      </c>
      <c r="AK411">
        <f t="shared" si="60"/>
        <v>6</v>
      </c>
      <c r="AL411">
        <v>10.16</v>
      </c>
      <c r="AM411" t="s">
        <v>27</v>
      </c>
      <c r="AN411">
        <v>10.16</v>
      </c>
      <c r="AO411" t="b">
        <f t="shared" si="61"/>
        <v>1</v>
      </c>
      <c r="AR411" t="s">
        <v>5061</v>
      </c>
      <c r="AS411" s="21">
        <v>46276</v>
      </c>
      <c r="AT411" t="s">
        <v>5062</v>
      </c>
      <c r="AU411" t="s">
        <v>5068</v>
      </c>
      <c r="AV411" t="s">
        <v>5062</v>
      </c>
      <c r="AW411" t="s">
        <v>5086</v>
      </c>
    </row>
    <row r="412" spans="1:49" x14ac:dyDescent="0.35">
      <c r="A412" t="s">
        <v>871</v>
      </c>
      <c r="B412" t="s">
        <v>872</v>
      </c>
      <c r="C412" t="s">
        <v>4818</v>
      </c>
      <c r="D412" t="s">
        <v>18</v>
      </c>
      <c r="E412" t="s">
        <v>1649</v>
      </c>
      <c r="F412" t="s">
        <v>1650</v>
      </c>
      <c r="G412" t="s">
        <v>21</v>
      </c>
      <c r="H412" t="s">
        <v>4888</v>
      </c>
      <c r="I412" t="s">
        <v>4893</v>
      </c>
      <c r="J412" s="4" t="s">
        <v>4894</v>
      </c>
      <c r="K412" s="4" t="s">
        <v>4913</v>
      </c>
      <c r="L412" s="4" t="s">
        <v>4923</v>
      </c>
      <c r="M412" s="4" t="s">
        <v>5035</v>
      </c>
      <c r="N412" t="s">
        <v>1651</v>
      </c>
      <c r="O412" t="s">
        <v>1652</v>
      </c>
      <c r="P412" t="s">
        <v>23</v>
      </c>
      <c r="Q412" t="s">
        <v>24</v>
      </c>
      <c r="R412" t="s">
        <v>25</v>
      </c>
      <c r="S412" t="s">
        <v>26</v>
      </c>
      <c r="T412" s="6">
        <v>46307</v>
      </c>
      <c r="U412">
        <v>72</v>
      </c>
      <c r="V412">
        <v>72</v>
      </c>
      <c r="W412">
        <v>84</v>
      </c>
      <c r="X412">
        <v>84</v>
      </c>
      <c r="Y412">
        <f t="shared" si="57"/>
        <v>0</v>
      </c>
      <c r="Z412">
        <f t="shared" si="58"/>
        <v>-12</v>
      </c>
      <c r="AC412" s="1">
        <v>0</v>
      </c>
      <c r="AF412">
        <f t="shared" si="63"/>
        <v>72</v>
      </c>
      <c r="AG412" s="7">
        <v>12</v>
      </c>
      <c r="AH412">
        <f t="shared" si="59"/>
        <v>72</v>
      </c>
      <c r="AI412">
        <f t="shared" si="56"/>
        <v>0</v>
      </c>
      <c r="AK412">
        <f t="shared" si="60"/>
        <v>6</v>
      </c>
      <c r="AL412">
        <v>9.9499999999999993</v>
      </c>
      <c r="AM412" t="s">
        <v>27</v>
      </c>
      <c r="AN412">
        <v>9.9499999999999993</v>
      </c>
      <c r="AO412" t="b">
        <f t="shared" si="61"/>
        <v>1</v>
      </c>
      <c r="AR412" t="s">
        <v>5061</v>
      </c>
      <c r="AS412" s="21">
        <v>46276</v>
      </c>
      <c r="AT412" t="s">
        <v>5062</v>
      </c>
      <c r="AU412" t="s">
        <v>5068</v>
      </c>
      <c r="AV412" t="s">
        <v>5062</v>
      </c>
      <c r="AW412" t="s">
        <v>5086</v>
      </c>
    </row>
    <row r="413" spans="1:49" x14ac:dyDescent="0.35">
      <c r="A413" t="s">
        <v>871</v>
      </c>
      <c r="B413" t="s">
        <v>872</v>
      </c>
      <c r="C413" t="s">
        <v>4818</v>
      </c>
      <c r="D413" t="s">
        <v>18</v>
      </c>
      <c r="E413" t="s">
        <v>1653</v>
      </c>
      <c r="F413" t="s">
        <v>1654</v>
      </c>
      <c r="G413" t="s">
        <v>21</v>
      </c>
      <c r="H413" t="s">
        <v>4888</v>
      </c>
      <c r="I413" t="s">
        <v>4902</v>
      </c>
      <c r="J413" s="4" t="s">
        <v>4903</v>
      </c>
      <c r="K413" s="4" t="s">
        <v>4915</v>
      </c>
      <c r="L413" s="4" t="s">
        <v>4871</v>
      </c>
      <c r="M413" s="4" t="s">
        <v>5035</v>
      </c>
      <c r="N413" t="s">
        <v>1655</v>
      </c>
      <c r="O413" t="s">
        <v>1656</v>
      </c>
      <c r="P413" t="s">
        <v>23</v>
      </c>
      <c r="Q413" t="s">
        <v>24</v>
      </c>
      <c r="R413" t="s">
        <v>25</v>
      </c>
      <c r="S413" t="s">
        <v>26</v>
      </c>
      <c r="T413" s="6">
        <v>46307</v>
      </c>
      <c r="U413">
        <v>72</v>
      </c>
      <c r="V413">
        <v>72</v>
      </c>
      <c r="W413">
        <v>72</v>
      </c>
      <c r="X413">
        <v>72</v>
      </c>
      <c r="Y413">
        <f t="shared" si="57"/>
        <v>0</v>
      </c>
      <c r="Z413">
        <f t="shared" si="58"/>
        <v>0</v>
      </c>
      <c r="AC413" s="1">
        <v>0</v>
      </c>
      <c r="AF413">
        <f t="shared" si="63"/>
        <v>72</v>
      </c>
      <c r="AG413" s="7">
        <v>12</v>
      </c>
      <c r="AH413">
        <f t="shared" si="59"/>
        <v>72</v>
      </c>
      <c r="AI413">
        <f t="shared" si="56"/>
        <v>0</v>
      </c>
      <c r="AK413">
        <f t="shared" si="60"/>
        <v>6</v>
      </c>
      <c r="AL413">
        <v>10.66</v>
      </c>
      <c r="AM413" t="s">
        <v>27</v>
      </c>
      <c r="AN413">
        <v>10.66</v>
      </c>
      <c r="AO413" t="b">
        <f t="shared" si="61"/>
        <v>1</v>
      </c>
      <c r="AR413" t="s">
        <v>5061</v>
      </c>
      <c r="AS413" s="21">
        <v>46276</v>
      </c>
      <c r="AT413" t="s">
        <v>5062</v>
      </c>
      <c r="AU413" t="s">
        <v>5069</v>
      </c>
      <c r="AV413" t="s">
        <v>5062</v>
      </c>
      <c r="AW413" t="s">
        <v>5086</v>
      </c>
    </row>
    <row r="414" spans="1:49" x14ac:dyDescent="0.35">
      <c r="A414" t="s">
        <v>871</v>
      </c>
      <c r="B414" t="s">
        <v>872</v>
      </c>
      <c r="C414" t="s">
        <v>4818</v>
      </c>
      <c r="D414" t="s">
        <v>18</v>
      </c>
      <c r="E414" t="s">
        <v>1657</v>
      </c>
      <c r="F414" t="s">
        <v>1658</v>
      </c>
      <c r="G414" t="s">
        <v>21</v>
      </c>
      <c r="H414" t="s">
        <v>4888</v>
      </c>
      <c r="I414" t="s">
        <v>4902</v>
      </c>
      <c r="J414" s="4" t="s">
        <v>4903</v>
      </c>
      <c r="K414" s="4" t="s">
        <v>4899</v>
      </c>
      <c r="L414" s="4" t="s">
        <v>4897</v>
      </c>
      <c r="M414" s="4" t="s">
        <v>5035</v>
      </c>
      <c r="N414" t="s">
        <v>1659</v>
      </c>
      <c r="O414" t="s">
        <v>1660</v>
      </c>
      <c r="P414" t="s">
        <v>23</v>
      </c>
      <c r="Q414" t="s">
        <v>24</v>
      </c>
      <c r="R414" t="s">
        <v>25</v>
      </c>
      <c r="S414" t="s">
        <v>26</v>
      </c>
      <c r="T414" s="6">
        <v>46307</v>
      </c>
      <c r="U414">
        <v>96</v>
      </c>
      <c r="V414">
        <v>96</v>
      </c>
      <c r="W414">
        <v>108</v>
      </c>
      <c r="X414">
        <v>108</v>
      </c>
      <c r="Y414">
        <f t="shared" si="57"/>
        <v>0</v>
      </c>
      <c r="Z414">
        <f t="shared" si="58"/>
        <v>-12</v>
      </c>
      <c r="AC414" s="1">
        <v>0</v>
      </c>
      <c r="AF414">
        <f t="shared" si="63"/>
        <v>96</v>
      </c>
      <c r="AG414" s="7">
        <v>12</v>
      </c>
      <c r="AH414">
        <f t="shared" si="59"/>
        <v>96</v>
      </c>
      <c r="AI414">
        <f t="shared" si="56"/>
        <v>0</v>
      </c>
      <c r="AK414">
        <f t="shared" si="60"/>
        <v>8</v>
      </c>
      <c r="AL414">
        <v>10.49</v>
      </c>
      <c r="AM414" t="s">
        <v>27</v>
      </c>
      <c r="AN414">
        <v>10.49</v>
      </c>
      <c r="AO414" t="b">
        <f t="shared" si="61"/>
        <v>1</v>
      </c>
      <c r="AR414" t="s">
        <v>5061</v>
      </c>
      <c r="AS414" s="21">
        <v>46276</v>
      </c>
      <c r="AT414" t="s">
        <v>5062</v>
      </c>
      <c r="AU414" t="s">
        <v>5069</v>
      </c>
      <c r="AV414" t="s">
        <v>5062</v>
      </c>
      <c r="AW414" t="s">
        <v>5086</v>
      </c>
    </row>
    <row r="415" spans="1:49" x14ac:dyDescent="0.35">
      <c r="A415" t="s">
        <v>871</v>
      </c>
      <c r="B415" t="s">
        <v>872</v>
      </c>
      <c r="C415" t="s">
        <v>4818</v>
      </c>
      <c r="D415" t="s">
        <v>18</v>
      </c>
      <c r="E415" t="s">
        <v>1661</v>
      </c>
      <c r="F415" t="s">
        <v>1662</v>
      </c>
      <c r="G415" t="s">
        <v>21</v>
      </c>
      <c r="H415" t="s">
        <v>4888</v>
      </c>
      <c r="I415" t="s">
        <v>4889</v>
      </c>
      <c r="J415" s="4" t="s">
        <v>4890</v>
      </c>
      <c r="K415" s="4" t="s">
        <v>4911</v>
      </c>
      <c r="L415" s="4" t="s">
        <v>4924</v>
      </c>
      <c r="M415" s="4" t="s">
        <v>5035</v>
      </c>
      <c r="N415" t="s">
        <v>1663</v>
      </c>
      <c r="O415" t="s">
        <v>1664</v>
      </c>
      <c r="P415" t="s">
        <v>23</v>
      </c>
      <c r="Q415" t="s">
        <v>24</v>
      </c>
      <c r="R415" t="s">
        <v>25</v>
      </c>
      <c r="S415" t="s">
        <v>26</v>
      </c>
      <c r="T415" s="6">
        <v>46307</v>
      </c>
      <c r="U415">
        <v>48</v>
      </c>
      <c r="V415">
        <v>48</v>
      </c>
      <c r="W415">
        <v>48</v>
      </c>
      <c r="X415">
        <v>48</v>
      </c>
      <c r="Y415">
        <f t="shared" si="57"/>
        <v>0</v>
      </c>
      <c r="Z415">
        <f t="shared" si="58"/>
        <v>0</v>
      </c>
      <c r="AC415" s="1">
        <v>0</v>
      </c>
      <c r="AF415">
        <f t="shared" si="63"/>
        <v>48</v>
      </c>
      <c r="AG415" s="7">
        <v>12</v>
      </c>
      <c r="AH415">
        <f t="shared" si="59"/>
        <v>48</v>
      </c>
      <c r="AI415">
        <f t="shared" si="56"/>
        <v>0</v>
      </c>
      <c r="AK415">
        <f t="shared" si="60"/>
        <v>4</v>
      </c>
      <c r="AL415">
        <v>11.87</v>
      </c>
      <c r="AM415" t="s">
        <v>27</v>
      </c>
      <c r="AN415">
        <v>11.87</v>
      </c>
      <c r="AO415" t="b">
        <f t="shared" si="61"/>
        <v>1</v>
      </c>
      <c r="AR415" t="s">
        <v>5061</v>
      </c>
      <c r="AS415" s="21">
        <v>46276</v>
      </c>
      <c r="AT415" t="s">
        <v>5062</v>
      </c>
      <c r="AU415" t="s">
        <v>5067</v>
      </c>
      <c r="AV415" t="s">
        <v>5062</v>
      </c>
      <c r="AW415" t="s">
        <v>5086</v>
      </c>
    </row>
    <row r="416" spans="1:49" x14ac:dyDescent="0.35">
      <c r="A416" t="s">
        <v>871</v>
      </c>
      <c r="B416" t="s">
        <v>872</v>
      </c>
      <c r="C416" t="s">
        <v>4818</v>
      </c>
      <c r="D416" t="s">
        <v>18</v>
      </c>
      <c r="E416" t="s">
        <v>1665</v>
      </c>
      <c r="F416" t="s">
        <v>1666</v>
      </c>
      <c r="G416" t="s">
        <v>21</v>
      </c>
      <c r="H416" t="s">
        <v>4888</v>
      </c>
      <c r="I416" t="s">
        <v>4906</v>
      </c>
      <c r="J416" s="4" t="s">
        <v>4907</v>
      </c>
      <c r="K416" s="4" t="s">
        <v>4908</v>
      </c>
      <c r="L416" s="4" t="s">
        <v>4905</v>
      </c>
      <c r="M416" s="4" t="s">
        <v>5035</v>
      </c>
      <c r="N416" t="s">
        <v>1667</v>
      </c>
      <c r="O416" t="s">
        <v>1668</v>
      </c>
      <c r="P416" t="s">
        <v>23</v>
      </c>
      <c r="Q416" t="s">
        <v>24</v>
      </c>
      <c r="R416" t="s">
        <v>25</v>
      </c>
      <c r="S416" t="s">
        <v>26</v>
      </c>
      <c r="T416" s="6">
        <v>46307</v>
      </c>
      <c r="U416">
        <v>36</v>
      </c>
      <c r="V416">
        <v>36</v>
      </c>
      <c r="W416">
        <v>36</v>
      </c>
      <c r="X416">
        <v>36</v>
      </c>
      <c r="Y416">
        <f t="shared" si="57"/>
        <v>0</v>
      </c>
      <c r="Z416">
        <f t="shared" si="58"/>
        <v>0</v>
      </c>
      <c r="AC416" s="1">
        <v>0</v>
      </c>
      <c r="AF416">
        <f t="shared" si="63"/>
        <v>36</v>
      </c>
      <c r="AG416" s="7">
        <v>12</v>
      </c>
      <c r="AH416">
        <f t="shared" si="59"/>
        <v>36</v>
      </c>
      <c r="AI416">
        <f t="shared" si="56"/>
        <v>0</v>
      </c>
      <c r="AK416">
        <f t="shared" si="60"/>
        <v>3</v>
      </c>
      <c r="AL416">
        <v>10.19</v>
      </c>
      <c r="AM416" t="s">
        <v>27</v>
      </c>
      <c r="AN416">
        <v>10.19</v>
      </c>
      <c r="AO416" t="b">
        <f t="shared" si="61"/>
        <v>1</v>
      </c>
      <c r="AR416" t="s">
        <v>5061</v>
      </c>
      <c r="AS416" s="21">
        <v>46276</v>
      </c>
      <c r="AT416" t="s">
        <v>5062</v>
      </c>
      <c r="AU416" t="s">
        <v>5070</v>
      </c>
      <c r="AV416" t="s">
        <v>5062</v>
      </c>
      <c r="AW416" t="s">
        <v>5086</v>
      </c>
    </row>
    <row r="417" spans="1:49" x14ac:dyDescent="0.35">
      <c r="A417" t="s">
        <v>871</v>
      </c>
      <c r="B417" t="s">
        <v>872</v>
      </c>
      <c r="C417" t="s">
        <v>4818</v>
      </c>
      <c r="D417" t="s">
        <v>18</v>
      </c>
      <c r="E417" t="s">
        <v>1669</v>
      </c>
      <c r="F417" t="s">
        <v>1670</v>
      </c>
      <c r="G417" t="s">
        <v>21</v>
      </c>
      <c r="H417" t="s">
        <v>4888</v>
      </c>
      <c r="I417" t="s">
        <v>4893</v>
      </c>
      <c r="J417" s="4" t="s">
        <v>4894</v>
      </c>
      <c r="K417" s="4" t="s">
        <v>4904</v>
      </c>
      <c r="L417" s="4" t="s">
        <v>4924</v>
      </c>
      <c r="M417" s="4" t="s">
        <v>5035</v>
      </c>
      <c r="N417" t="s">
        <v>1671</v>
      </c>
      <c r="O417" t="s">
        <v>1672</v>
      </c>
      <c r="P417" t="s">
        <v>23</v>
      </c>
      <c r="Q417" t="s">
        <v>24</v>
      </c>
      <c r="R417" t="s">
        <v>25</v>
      </c>
      <c r="S417" t="s">
        <v>26</v>
      </c>
      <c r="T417" s="6">
        <v>46307</v>
      </c>
      <c r="U417">
        <v>132</v>
      </c>
      <c r="V417">
        <v>132</v>
      </c>
      <c r="W417">
        <v>144</v>
      </c>
      <c r="X417">
        <v>144</v>
      </c>
      <c r="Y417">
        <f t="shared" si="57"/>
        <v>0</v>
      </c>
      <c r="Z417">
        <f t="shared" si="58"/>
        <v>-12</v>
      </c>
      <c r="AC417" s="1">
        <v>0</v>
      </c>
      <c r="AF417">
        <f t="shared" si="63"/>
        <v>132</v>
      </c>
      <c r="AG417" s="7">
        <v>12</v>
      </c>
      <c r="AH417">
        <f t="shared" si="59"/>
        <v>132</v>
      </c>
      <c r="AI417">
        <f t="shared" si="56"/>
        <v>0</v>
      </c>
      <c r="AK417">
        <f t="shared" si="60"/>
        <v>11</v>
      </c>
      <c r="AL417">
        <v>10.16</v>
      </c>
      <c r="AM417" t="s">
        <v>27</v>
      </c>
      <c r="AN417">
        <v>10.16</v>
      </c>
      <c r="AO417" t="b">
        <f t="shared" si="61"/>
        <v>1</v>
      </c>
      <c r="AR417" t="s">
        <v>5061</v>
      </c>
      <c r="AS417" s="21">
        <v>46276</v>
      </c>
      <c r="AT417" t="s">
        <v>5062</v>
      </c>
      <c r="AU417" t="s">
        <v>5068</v>
      </c>
      <c r="AV417" t="s">
        <v>5062</v>
      </c>
      <c r="AW417" t="s">
        <v>5086</v>
      </c>
    </row>
    <row r="418" spans="1:49" x14ac:dyDescent="0.35">
      <c r="A418" t="s">
        <v>871</v>
      </c>
      <c r="B418" t="s">
        <v>872</v>
      </c>
      <c r="C418" t="s">
        <v>4818</v>
      </c>
      <c r="D418" t="s">
        <v>18</v>
      </c>
      <c r="E418" t="s">
        <v>1673</v>
      </c>
      <c r="F418" t="s">
        <v>1674</v>
      </c>
      <c r="G418" t="s">
        <v>21</v>
      </c>
      <c r="H418" t="s">
        <v>4888</v>
      </c>
      <c r="I418" t="s">
        <v>4893</v>
      </c>
      <c r="J418" s="4" t="s">
        <v>4894</v>
      </c>
      <c r="K418" s="4" t="s">
        <v>4904</v>
      </c>
      <c r="L418" s="4" t="s">
        <v>4857</v>
      </c>
      <c r="M418" s="4" t="s">
        <v>5035</v>
      </c>
      <c r="N418" t="s">
        <v>1675</v>
      </c>
      <c r="O418" t="s">
        <v>1676</v>
      </c>
      <c r="P418" t="s">
        <v>23</v>
      </c>
      <c r="Q418" t="s">
        <v>24</v>
      </c>
      <c r="R418" t="s">
        <v>25</v>
      </c>
      <c r="S418" t="s">
        <v>26</v>
      </c>
      <c r="T418" s="6">
        <v>46307</v>
      </c>
      <c r="U418">
        <v>48</v>
      </c>
      <c r="V418">
        <v>48</v>
      </c>
      <c r="W418">
        <v>36</v>
      </c>
      <c r="X418">
        <v>36</v>
      </c>
      <c r="Y418">
        <f t="shared" si="57"/>
        <v>0</v>
      </c>
      <c r="Z418">
        <f t="shared" si="58"/>
        <v>12</v>
      </c>
      <c r="AA418">
        <f t="shared" ref="AA418:AA419" si="64">Z418</f>
        <v>12</v>
      </c>
      <c r="AC418" s="1">
        <v>0</v>
      </c>
      <c r="AF418">
        <f>X418</f>
        <v>36</v>
      </c>
      <c r="AG418" s="7">
        <v>12</v>
      </c>
      <c r="AH418">
        <f t="shared" si="59"/>
        <v>36</v>
      </c>
      <c r="AI418">
        <f t="shared" si="56"/>
        <v>12</v>
      </c>
      <c r="AK418">
        <f t="shared" si="60"/>
        <v>3</v>
      </c>
      <c r="AL418">
        <v>10.16</v>
      </c>
      <c r="AM418" t="s">
        <v>27</v>
      </c>
      <c r="AN418">
        <v>10.16</v>
      </c>
      <c r="AO418" t="b">
        <f t="shared" si="61"/>
        <v>1</v>
      </c>
      <c r="AR418" t="s">
        <v>5061</v>
      </c>
      <c r="AS418" s="21">
        <v>46276</v>
      </c>
      <c r="AT418" t="s">
        <v>5062</v>
      </c>
      <c r="AU418" t="s">
        <v>5068</v>
      </c>
      <c r="AV418" t="s">
        <v>5062</v>
      </c>
      <c r="AW418" t="s">
        <v>5086</v>
      </c>
    </row>
    <row r="419" spans="1:49" x14ac:dyDescent="0.35">
      <c r="A419" t="s">
        <v>871</v>
      </c>
      <c r="B419" t="s">
        <v>872</v>
      </c>
      <c r="C419" t="s">
        <v>4818</v>
      </c>
      <c r="D419" t="s">
        <v>18</v>
      </c>
      <c r="E419" t="s">
        <v>1677</v>
      </c>
      <c r="F419" t="s">
        <v>1678</v>
      </c>
      <c r="G419" t="s">
        <v>21</v>
      </c>
      <c r="H419" t="s">
        <v>4888</v>
      </c>
      <c r="I419" t="s">
        <v>4889</v>
      </c>
      <c r="J419" s="4" t="s">
        <v>4890</v>
      </c>
      <c r="K419" s="4" t="s">
        <v>4891</v>
      </c>
      <c r="L419" s="4" t="s">
        <v>4869</v>
      </c>
      <c r="M419" s="4" t="s">
        <v>5035</v>
      </c>
      <c r="N419" t="s">
        <v>1679</v>
      </c>
      <c r="O419" t="s">
        <v>1680</v>
      </c>
      <c r="P419" t="s">
        <v>23</v>
      </c>
      <c r="Q419" t="s">
        <v>24</v>
      </c>
      <c r="R419" t="s">
        <v>25</v>
      </c>
      <c r="S419" t="s">
        <v>26</v>
      </c>
      <c r="T419" s="6">
        <v>46307</v>
      </c>
      <c r="U419">
        <v>132</v>
      </c>
      <c r="V419">
        <v>132</v>
      </c>
      <c r="W419">
        <v>120</v>
      </c>
      <c r="X419">
        <v>120</v>
      </c>
      <c r="Y419">
        <f t="shared" si="57"/>
        <v>0</v>
      </c>
      <c r="Z419">
        <f t="shared" si="58"/>
        <v>12</v>
      </c>
      <c r="AA419">
        <f t="shared" si="64"/>
        <v>12</v>
      </c>
      <c r="AC419" s="1">
        <v>0</v>
      </c>
      <c r="AF419">
        <f>X419</f>
        <v>120</v>
      </c>
      <c r="AG419" s="7">
        <v>12</v>
      </c>
      <c r="AH419">
        <f t="shared" si="59"/>
        <v>120</v>
      </c>
      <c r="AI419">
        <f t="shared" si="56"/>
        <v>12</v>
      </c>
      <c r="AK419">
        <f t="shared" si="60"/>
        <v>10</v>
      </c>
      <c r="AL419">
        <v>11.2</v>
      </c>
      <c r="AM419" t="s">
        <v>27</v>
      </c>
      <c r="AN419">
        <v>11.2</v>
      </c>
      <c r="AO419" t="b">
        <f t="shared" si="61"/>
        <v>1</v>
      </c>
      <c r="AR419" t="s">
        <v>5061</v>
      </c>
      <c r="AS419" s="21">
        <v>46276</v>
      </c>
      <c r="AT419" t="s">
        <v>5062</v>
      </c>
      <c r="AU419" t="s">
        <v>5067</v>
      </c>
      <c r="AV419" t="s">
        <v>5062</v>
      </c>
      <c r="AW419" t="s">
        <v>5086</v>
      </c>
    </row>
    <row r="420" spans="1:49" x14ac:dyDescent="0.35">
      <c r="A420" t="s">
        <v>871</v>
      </c>
      <c r="B420" t="s">
        <v>872</v>
      </c>
      <c r="C420" t="s">
        <v>4818</v>
      </c>
      <c r="D420" t="s">
        <v>18</v>
      </c>
      <c r="E420" t="s">
        <v>1681</v>
      </c>
      <c r="F420" t="s">
        <v>1682</v>
      </c>
      <c r="G420" t="s">
        <v>21</v>
      </c>
      <c r="H420" t="s">
        <v>4888</v>
      </c>
      <c r="I420" t="s">
        <v>4906</v>
      </c>
      <c r="J420" s="4" t="s">
        <v>4907</v>
      </c>
      <c r="K420" s="4" t="s">
        <v>4908</v>
      </c>
      <c r="L420" s="4" t="s">
        <v>4918</v>
      </c>
      <c r="M420" s="4" t="s">
        <v>5035</v>
      </c>
      <c r="N420" t="s">
        <v>1683</v>
      </c>
      <c r="O420" t="s">
        <v>1684</v>
      </c>
      <c r="P420" t="s">
        <v>23</v>
      </c>
      <c r="Q420" t="s">
        <v>24</v>
      </c>
      <c r="R420" t="s">
        <v>25</v>
      </c>
      <c r="S420" t="s">
        <v>26</v>
      </c>
      <c r="T420" s="6">
        <v>46307</v>
      </c>
      <c r="U420">
        <v>12</v>
      </c>
      <c r="V420">
        <v>12</v>
      </c>
      <c r="W420">
        <v>12</v>
      </c>
      <c r="X420">
        <v>12</v>
      </c>
      <c r="Y420">
        <f t="shared" si="57"/>
        <v>0</v>
      </c>
      <c r="Z420">
        <f t="shared" si="58"/>
        <v>0</v>
      </c>
      <c r="AC420" s="1">
        <v>0</v>
      </c>
      <c r="AF420">
        <f>V420</f>
        <v>12</v>
      </c>
      <c r="AG420" s="7">
        <v>12</v>
      </c>
      <c r="AH420">
        <f t="shared" si="59"/>
        <v>12</v>
      </c>
      <c r="AI420">
        <f t="shared" si="56"/>
        <v>0</v>
      </c>
      <c r="AK420">
        <f t="shared" si="60"/>
        <v>1</v>
      </c>
      <c r="AL420">
        <v>10.19</v>
      </c>
      <c r="AM420" t="s">
        <v>27</v>
      </c>
      <c r="AN420">
        <v>10.19</v>
      </c>
      <c r="AO420" t="b">
        <f t="shared" si="61"/>
        <v>1</v>
      </c>
      <c r="AR420" t="s">
        <v>5061</v>
      </c>
      <c r="AS420" s="21">
        <v>46276</v>
      </c>
      <c r="AT420" t="s">
        <v>5062</v>
      </c>
      <c r="AU420" t="s">
        <v>5070</v>
      </c>
      <c r="AV420" t="s">
        <v>5062</v>
      </c>
      <c r="AW420" t="s">
        <v>5086</v>
      </c>
    </row>
    <row r="421" spans="1:49" x14ac:dyDescent="0.35">
      <c r="A421" t="s">
        <v>871</v>
      </c>
      <c r="B421" t="s">
        <v>872</v>
      </c>
      <c r="C421" t="s">
        <v>4818</v>
      </c>
      <c r="D421" t="s">
        <v>18</v>
      </c>
      <c r="E421" t="s">
        <v>1685</v>
      </c>
      <c r="F421" t="s">
        <v>1686</v>
      </c>
      <c r="G421" t="s">
        <v>21</v>
      </c>
      <c r="H421" t="s">
        <v>4888</v>
      </c>
      <c r="I421" t="s">
        <v>4902</v>
      </c>
      <c r="J421" s="4" t="s">
        <v>4903</v>
      </c>
      <c r="K421" s="4" t="s">
        <v>4899</v>
      </c>
      <c r="L421" s="4" t="s">
        <v>4921</v>
      </c>
      <c r="M421" s="4" t="s">
        <v>5035</v>
      </c>
      <c r="N421" t="s">
        <v>1687</v>
      </c>
      <c r="O421" t="s">
        <v>1688</v>
      </c>
      <c r="P421" t="s">
        <v>23</v>
      </c>
      <c r="Q421" t="s">
        <v>24</v>
      </c>
      <c r="R421" t="s">
        <v>25</v>
      </c>
      <c r="S421" t="s">
        <v>26</v>
      </c>
      <c r="T421" s="6">
        <v>46307</v>
      </c>
      <c r="U421">
        <v>24</v>
      </c>
      <c r="V421">
        <v>24</v>
      </c>
      <c r="W421">
        <v>24</v>
      </c>
      <c r="X421">
        <v>24</v>
      </c>
      <c r="Y421">
        <f t="shared" si="57"/>
        <v>0</v>
      </c>
      <c r="Z421">
        <f t="shared" si="58"/>
        <v>0</v>
      </c>
      <c r="AC421" s="1">
        <v>0</v>
      </c>
      <c r="AF421">
        <f>V421</f>
        <v>24</v>
      </c>
      <c r="AG421" s="7">
        <v>12</v>
      </c>
      <c r="AH421">
        <f t="shared" si="59"/>
        <v>24</v>
      </c>
      <c r="AI421">
        <f t="shared" si="56"/>
        <v>0</v>
      </c>
      <c r="AK421">
        <f t="shared" si="60"/>
        <v>2</v>
      </c>
      <c r="AL421">
        <v>10.49</v>
      </c>
      <c r="AM421" t="s">
        <v>27</v>
      </c>
      <c r="AN421">
        <v>10.49</v>
      </c>
      <c r="AO421" t="b">
        <f t="shared" si="61"/>
        <v>1</v>
      </c>
      <c r="AR421" t="s">
        <v>5061</v>
      </c>
      <c r="AS421" s="21">
        <v>46276</v>
      </c>
      <c r="AT421" t="s">
        <v>5062</v>
      </c>
      <c r="AU421" t="s">
        <v>5069</v>
      </c>
      <c r="AV421" t="s">
        <v>5062</v>
      </c>
      <c r="AW421" t="s">
        <v>5086</v>
      </c>
    </row>
    <row r="422" spans="1:49" x14ac:dyDescent="0.35">
      <c r="A422" t="s">
        <v>871</v>
      </c>
      <c r="B422" t="s">
        <v>872</v>
      </c>
      <c r="C422" t="s">
        <v>4818</v>
      </c>
      <c r="D422" t="s">
        <v>18</v>
      </c>
      <c r="E422" t="s">
        <v>1689</v>
      </c>
      <c r="F422" t="s">
        <v>1690</v>
      </c>
      <c r="G422" t="s">
        <v>21</v>
      </c>
      <c r="H422" t="s">
        <v>4888</v>
      </c>
      <c r="I422" t="s">
        <v>4889</v>
      </c>
      <c r="J422" s="4" t="s">
        <v>4890</v>
      </c>
      <c r="K422" s="4" t="s">
        <v>4891</v>
      </c>
      <c r="L422" s="4" t="s">
        <v>4880</v>
      </c>
      <c r="M422" s="4" t="s">
        <v>5035</v>
      </c>
      <c r="N422" t="s">
        <v>1691</v>
      </c>
      <c r="O422" t="s">
        <v>1692</v>
      </c>
      <c r="P422" t="s">
        <v>23</v>
      </c>
      <c r="Q422" t="s">
        <v>24</v>
      </c>
      <c r="R422" t="s">
        <v>25</v>
      </c>
      <c r="S422" t="s">
        <v>26</v>
      </c>
      <c r="T422" s="6">
        <v>46307</v>
      </c>
      <c r="U422">
        <v>12</v>
      </c>
      <c r="V422">
        <v>12</v>
      </c>
      <c r="W422">
        <v>12</v>
      </c>
      <c r="X422">
        <v>12</v>
      </c>
      <c r="Y422">
        <f t="shared" si="57"/>
        <v>0</v>
      </c>
      <c r="Z422">
        <f t="shared" si="58"/>
        <v>0</v>
      </c>
      <c r="AC422" s="1">
        <v>0</v>
      </c>
      <c r="AF422">
        <f>V422</f>
        <v>12</v>
      </c>
      <c r="AG422" s="7">
        <v>12</v>
      </c>
      <c r="AH422">
        <f t="shared" si="59"/>
        <v>12</v>
      </c>
      <c r="AI422">
        <f t="shared" si="56"/>
        <v>0</v>
      </c>
      <c r="AK422">
        <f t="shared" si="60"/>
        <v>1</v>
      </c>
      <c r="AL422">
        <v>11.2</v>
      </c>
      <c r="AM422" t="s">
        <v>27</v>
      </c>
      <c r="AN422">
        <v>11.2</v>
      </c>
      <c r="AO422" t="b">
        <f t="shared" si="61"/>
        <v>1</v>
      </c>
      <c r="AR422" t="s">
        <v>5061</v>
      </c>
      <c r="AS422" s="21">
        <v>46276</v>
      </c>
      <c r="AT422" t="s">
        <v>5062</v>
      </c>
      <c r="AU422" t="s">
        <v>5067</v>
      </c>
      <c r="AV422" t="s">
        <v>5062</v>
      </c>
      <c r="AW422" t="s">
        <v>5086</v>
      </c>
    </row>
    <row r="423" spans="1:49" x14ac:dyDescent="0.35">
      <c r="A423" t="s">
        <v>871</v>
      </c>
      <c r="B423" t="s">
        <v>872</v>
      </c>
      <c r="C423" t="s">
        <v>4818</v>
      </c>
      <c r="D423" t="s">
        <v>18</v>
      </c>
      <c r="E423" t="s">
        <v>1693</v>
      </c>
      <c r="F423" t="s">
        <v>1694</v>
      </c>
      <c r="G423" t="s">
        <v>21</v>
      </c>
      <c r="H423" t="s">
        <v>4888</v>
      </c>
      <c r="I423" t="s">
        <v>4889</v>
      </c>
      <c r="J423" s="4" t="s">
        <v>4890</v>
      </c>
      <c r="K423" s="4" t="s">
        <v>4899</v>
      </c>
      <c r="L423" s="4" t="s">
        <v>4934</v>
      </c>
      <c r="M423" s="4" t="s">
        <v>5035</v>
      </c>
      <c r="N423" t="s">
        <v>1695</v>
      </c>
      <c r="O423" t="s">
        <v>1696</v>
      </c>
      <c r="P423" t="s">
        <v>23</v>
      </c>
      <c r="Q423" t="s">
        <v>24</v>
      </c>
      <c r="R423" t="s">
        <v>25</v>
      </c>
      <c r="S423" t="s">
        <v>26</v>
      </c>
      <c r="T423" s="6">
        <v>46307</v>
      </c>
      <c r="U423">
        <v>12</v>
      </c>
      <c r="V423">
        <v>12</v>
      </c>
      <c r="W423">
        <v>12</v>
      </c>
      <c r="X423">
        <v>12</v>
      </c>
      <c r="Y423">
        <f t="shared" si="57"/>
        <v>0</v>
      </c>
      <c r="Z423">
        <f t="shared" si="58"/>
        <v>0</v>
      </c>
      <c r="AC423" s="1">
        <v>0</v>
      </c>
      <c r="AF423">
        <f>V423</f>
        <v>12</v>
      </c>
      <c r="AG423" s="7">
        <v>12</v>
      </c>
      <c r="AH423">
        <f t="shared" si="59"/>
        <v>12</v>
      </c>
      <c r="AI423">
        <f t="shared" si="56"/>
        <v>0</v>
      </c>
      <c r="AK423">
        <f t="shared" si="60"/>
        <v>1</v>
      </c>
      <c r="AL423">
        <v>10.9</v>
      </c>
      <c r="AM423" t="s">
        <v>27</v>
      </c>
      <c r="AN423">
        <v>10.9</v>
      </c>
      <c r="AO423" t="b">
        <f t="shared" si="61"/>
        <v>1</v>
      </c>
      <c r="AR423" t="s">
        <v>5061</v>
      </c>
      <c r="AS423" s="21">
        <v>46276</v>
      </c>
      <c r="AT423" t="s">
        <v>5062</v>
      </c>
      <c r="AU423" t="s">
        <v>5067</v>
      </c>
      <c r="AV423" t="s">
        <v>5062</v>
      </c>
      <c r="AW423" t="s">
        <v>5086</v>
      </c>
    </row>
    <row r="424" spans="1:49" x14ac:dyDescent="0.35">
      <c r="A424" t="s">
        <v>871</v>
      </c>
      <c r="B424" t="s">
        <v>872</v>
      </c>
      <c r="C424" t="s">
        <v>4818</v>
      </c>
      <c r="D424" t="s">
        <v>18</v>
      </c>
      <c r="E424" t="s">
        <v>1697</v>
      </c>
      <c r="F424" t="s">
        <v>1698</v>
      </c>
      <c r="G424" t="s">
        <v>21</v>
      </c>
      <c r="H424" t="s">
        <v>4888</v>
      </c>
      <c r="I424" t="s">
        <v>4889</v>
      </c>
      <c r="J424" s="4" t="s">
        <v>4890</v>
      </c>
      <c r="K424" s="4" t="s">
        <v>4891</v>
      </c>
      <c r="L424" s="4" t="s">
        <v>4931</v>
      </c>
      <c r="M424" s="4" t="s">
        <v>5035</v>
      </c>
      <c r="N424" t="s">
        <v>1699</v>
      </c>
      <c r="O424" t="s">
        <v>1700</v>
      </c>
      <c r="P424" t="s">
        <v>23</v>
      </c>
      <c r="Q424" t="s">
        <v>24</v>
      </c>
      <c r="R424" t="s">
        <v>25</v>
      </c>
      <c r="S424" t="s">
        <v>26</v>
      </c>
      <c r="T424" s="6">
        <v>46307</v>
      </c>
      <c r="U424">
        <v>12</v>
      </c>
      <c r="V424">
        <v>12</v>
      </c>
      <c r="W424">
        <v>12</v>
      </c>
      <c r="X424">
        <v>12</v>
      </c>
      <c r="Y424">
        <f t="shared" si="57"/>
        <v>0</v>
      </c>
      <c r="Z424">
        <f t="shared" si="58"/>
        <v>0</v>
      </c>
      <c r="AC424" s="1">
        <v>0</v>
      </c>
      <c r="AF424">
        <f>V424</f>
        <v>12</v>
      </c>
      <c r="AG424" s="7">
        <v>12</v>
      </c>
      <c r="AH424">
        <f t="shared" si="59"/>
        <v>12</v>
      </c>
      <c r="AI424">
        <f t="shared" si="56"/>
        <v>0</v>
      </c>
      <c r="AK424">
        <f t="shared" si="60"/>
        <v>1</v>
      </c>
      <c r="AL424">
        <v>11.2</v>
      </c>
      <c r="AM424" t="s">
        <v>27</v>
      </c>
      <c r="AN424">
        <v>11.2</v>
      </c>
      <c r="AO424" t="b">
        <f t="shared" si="61"/>
        <v>1</v>
      </c>
      <c r="AR424" t="s">
        <v>5061</v>
      </c>
      <c r="AS424" s="21">
        <v>46276</v>
      </c>
      <c r="AT424" t="s">
        <v>5062</v>
      </c>
      <c r="AU424" t="s">
        <v>5067</v>
      </c>
      <c r="AV424" t="s">
        <v>5062</v>
      </c>
      <c r="AW424" t="s">
        <v>5086</v>
      </c>
    </row>
    <row r="425" spans="1:49" x14ac:dyDescent="0.35">
      <c r="A425" t="s">
        <v>871</v>
      </c>
      <c r="B425" t="s">
        <v>872</v>
      </c>
      <c r="C425" t="s">
        <v>4818</v>
      </c>
      <c r="D425" t="s">
        <v>18</v>
      </c>
      <c r="E425" t="s">
        <v>1701</v>
      </c>
      <c r="F425" t="s">
        <v>1702</v>
      </c>
      <c r="G425" t="s">
        <v>21</v>
      </c>
      <c r="H425" t="s">
        <v>4888</v>
      </c>
      <c r="I425" t="s">
        <v>4902</v>
      </c>
      <c r="J425" s="4" t="s">
        <v>4903</v>
      </c>
      <c r="K425" s="4" t="s">
        <v>4915</v>
      </c>
      <c r="L425" s="4" t="s">
        <v>4853</v>
      </c>
      <c r="M425" s="4" t="s">
        <v>5035</v>
      </c>
      <c r="N425" t="s">
        <v>1703</v>
      </c>
      <c r="O425" t="s">
        <v>1704</v>
      </c>
      <c r="P425" t="s">
        <v>23</v>
      </c>
      <c r="Q425" t="s">
        <v>24</v>
      </c>
      <c r="R425" t="s">
        <v>25</v>
      </c>
      <c r="S425" t="s">
        <v>26</v>
      </c>
      <c r="T425" s="6">
        <v>46307</v>
      </c>
      <c r="U425">
        <v>252</v>
      </c>
      <c r="V425">
        <v>252</v>
      </c>
      <c r="W425">
        <v>228</v>
      </c>
      <c r="X425">
        <v>228</v>
      </c>
      <c r="Y425">
        <f t="shared" si="57"/>
        <v>0</v>
      </c>
      <c r="Z425">
        <f t="shared" si="58"/>
        <v>24</v>
      </c>
      <c r="AA425">
        <f>Z425</f>
        <v>24</v>
      </c>
      <c r="AC425" s="1">
        <v>0</v>
      </c>
      <c r="AF425">
        <f>X425</f>
        <v>228</v>
      </c>
      <c r="AG425" s="7">
        <v>12</v>
      </c>
      <c r="AH425">
        <f t="shared" si="59"/>
        <v>228</v>
      </c>
      <c r="AI425">
        <f t="shared" si="56"/>
        <v>24</v>
      </c>
      <c r="AK425">
        <f t="shared" si="60"/>
        <v>19</v>
      </c>
      <c r="AL425">
        <v>10.66</v>
      </c>
      <c r="AM425" t="s">
        <v>27</v>
      </c>
      <c r="AN425">
        <v>10.66</v>
      </c>
      <c r="AO425" t="b">
        <f t="shared" si="61"/>
        <v>1</v>
      </c>
      <c r="AR425" t="s">
        <v>5061</v>
      </c>
      <c r="AS425" s="21">
        <v>46276</v>
      </c>
      <c r="AT425" t="s">
        <v>5062</v>
      </c>
      <c r="AU425" t="s">
        <v>5069</v>
      </c>
      <c r="AV425" t="s">
        <v>5062</v>
      </c>
      <c r="AW425" t="s">
        <v>5086</v>
      </c>
    </row>
    <row r="426" spans="1:49" x14ac:dyDescent="0.35">
      <c r="A426" t="s">
        <v>871</v>
      </c>
      <c r="B426" t="s">
        <v>872</v>
      </c>
      <c r="C426" t="s">
        <v>4818</v>
      </c>
      <c r="D426" t="s">
        <v>18</v>
      </c>
      <c r="E426" t="s">
        <v>1705</v>
      </c>
      <c r="F426" t="s">
        <v>1706</v>
      </c>
      <c r="G426" t="s">
        <v>21</v>
      </c>
      <c r="H426" t="s">
        <v>4888</v>
      </c>
      <c r="I426" t="s">
        <v>4889</v>
      </c>
      <c r="J426" s="4" t="s">
        <v>4890</v>
      </c>
      <c r="K426" s="4" t="s">
        <v>4911</v>
      </c>
      <c r="L426" s="4" t="s">
        <v>4869</v>
      </c>
      <c r="M426" s="4" t="s">
        <v>5035</v>
      </c>
      <c r="N426" t="s">
        <v>1707</v>
      </c>
      <c r="O426" t="s">
        <v>1708</v>
      </c>
      <c r="P426" t="s">
        <v>23</v>
      </c>
      <c r="Q426" t="s">
        <v>24</v>
      </c>
      <c r="R426" t="s">
        <v>25</v>
      </c>
      <c r="S426" t="s">
        <v>26</v>
      </c>
      <c r="T426" s="6">
        <v>46307</v>
      </c>
      <c r="U426">
        <v>84</v>
      </c>
      <c r="V426">
        <v>84</v>
      </c>
      <c r="W426">
        <v>84</v>
      </c>
      <c r="X426">
        <v>84</v>
      </c>
      <c r="Y426">
        <f t="shared" si="57"/>
        <v>0</v>
      </c>
      <c r="Z426">
        <f t="shared" si="58"/>
        <v>0</v>
      </c>
      <c r="AC426" s="1">
        <v>0</v>
      </c>
      <c r="AF426">
        <f>V426</f>
        <v>84</v>
      </c>
      <c r="AG426" s="7">
        <v>12</v>
      </c>
      <c r="AH426">
        <f t="shared" si="59"/>
        <v>84</v>
      </c>
      <c r="AI426">
        <f t="shared" si="56"/>
        <v>0</v>
      </c>
      <c r="AK426">
        <f t="shared" si="60"/>
        <v>7</v>
      </c>
      <c r="AL426">
        <v>11.87</v>
      </c>
      <c r="AM426" t="s">
        <v>27</v>
      </c>
      <c r="AN426">
        <v>11.87</v>
      </c>
      <c r="AO426" t="b">
        <f t="shared" si="61"/>
        <v>1</v>
      </c>
      <c r="AR426" t="s">
        <v>5061</v>
      </c>
      <c r="AS426" s="21">
        <v>46276</v>
      </c>
      <c r="AT426" t="s">
        <v>5062</v>
      </c>
      <c r="AU426" t="s">
        <v>5067</v>
      </c>
      <c r="AV426" t="s">
        <v>5062</v>
      </c>
      <c r="AW426" t="s">
        <v>5086</v>
      </c>
    </row>
    <row r="427" spans="1:49" x14ac:dyDescent="0.35">
      <c r="A427" t="s">
        <v>871</v>
      </c>
      <c r="B427" t="s">
        <v>872</v>
      </c>
      <c r="C427" t="s">
        <v>4818</v>
      </c>
      <c r="D427" t="s">
        <v>18</v>
      </c>
      <c r="E427" t="s">
        <v>1709</v>
      </c>
      <c r="F427" t="s">
        <v>1710</v>
      </c>
      <c r="G427" t="s">
        <v>21</v>
      </c>
      <c r="H427" t="s">
        <v>4888</v>
      </c>
      <c r="I427" t="s">
        <v>4893</v>
      </c>
      <c r="J427" s="4" t="s">
        <v>4894</v>
      </c>
      <c r="K427" s="4" t="s">
        <v>4913</v>
      </c>
      <c r="L427" s="4" t="s">
        <v>4917</v>
      </c>
      <c r="M427" s="4" t="s">
        <v>5035</v>
      </c>
      <c r="N427" t="s">
        <v>1711</v>
      </c>
      <c r="O427" t="s">
        <v>1712</v>
      </c>
      <c r="P427" t="s">
        <v>23</v>
      </c>
      <c r="Q427" t="s">
        <v>24</v>
      </c>
      <c r="R427" t="s">
        <v>25</v>
      </c>
      <c r="S427" t="s">
        <v>26</v>
      </c>
      <c r="T427" s="6">
        <v>46307</v>
      </c>
      <c r="U427">
        <v>120</v>
      </c>
      <c r="V427">
        <v>120</v>
      </c>
      <c r="W427">
        <v>132</v>
      </c>
      <c r="X427">
        <v>132</v>
      </c>
      <c r="Y427">
        <f t="shared" si="57"/>
        <v>0</v>
      </c>
      <c r="Z427">
        <f t="shared" si="58"/>
        <v>-12</v>
      </c>
      <c r="AC427" s="1">
        <v>0</v>
      </c>
      <c r="AF427">
        <f>V427</f>
        <v>120</v>
      </c>
      <c r="AG427" s="7">
        <v>12</v>
      </c>
      <c r="AH427">
        <f t="shared" si="59"/>
        <v>120</v>
      </c>
      <c r="AI427">
        <f t="shared" si="56"/>
        <v>0</v>
      </c>
      <c r="AK427">
        <f t="shared" si="60"/>
        <v>10</v>
      </c>
      <c r="AL427">
        <v>9.9499999999999993</v>
      </c>
      <c r="AM427" t="s">
        <v>27</v>
      </c>
      <c r="AN427">
        <v>9.9499999999999993</v>
      </c>
      <c r="AO427" t="b">
        <f t="shared" si="61"/>
        <v>1</v>
      </c>
      <c r="AR427" t="s">
        <v>5061</v>
      </c>
      <c r="AS427" s="21">
        <v>46276</v>
      </c>
      <c r="AT427" t="s">
        <v>5062</v>
      </c>
      <c r="AU427" t="s">
        <v>5068</v>
      </c>
      <c r="AV427" t="s">
        <v>5062</v>
      </c>
      <c r="AW427" t="s">
        <v>5086</v>
      </c>
    </row>
    <row r="428" spans="1:49" x14ac:dyDescent="0.35">
      <c r="A428" t="s">
        <v>871</v>
      </c>
      <c r="B428" t="s">
        <v>872</v>
      </c>
      <c r="C428" t="s">
        <v>4818</v>
      </c>
      <c r="D428" t="s">
        <v>18</v>
      </c>
      <c r="E428" t="s">
        <v>1713</v>
      </c>
      <c r="F428" t="s">
        <v>1714</v>
      </c>
      <c r="G428" t="s">
        <v>21</v>
      </c>
      <c r="H428" t="s">
        <v>4888</v>
      </c>
      <c r="I428" t="s">
        <v>4889</v>
      </c>
      <c r="J428" s="4" t="s">
        <v>4890</v>
      </c>
      <c r="K428" s="4" t="s">
        <v>4911</v>
      </c>
      <c r="L428" s="4" t="s">
        <v>4922</v>
      </c>
      <c r="M428" s="4" t="s">
        <v>5035</v>
      </c>
      <c r="N428" t="s">
        <v>1715</v>
      </c>
      <c r="O428" t="s">
        <v>1716</v>
      </c>
      <c r="P428" t="s">
        <v>23</v>
      </c>
      <c r="Q428" t="s">
        <v>24</v>
      </c>
      <c r="R428" t="s">
        <v>25</v>
      </c>
      <c r="S428" t="s">
        <v>26</v>
      </c>
      <c r="T428" s="6">
        <v>46307</v>
      </c>
      <c r="U428">
        <v>36</v>
      </c>
      <c r="V428">
        <v>36</v>
      </c>
      <c r="W428">
        <v>24</v>
      </c>
      <c r="X428">
        <v>24</v>
      </c>
      <c r="Y428">
        <f t="shared" si="57"/>
        <v>0</v>
      </c>
      <c r="Z428">
        <f t="shared" si="58"/>
        <v>12</v>
      </c>
      <c r="AA428">
        <f>Z428</f>
        <v>12</v>
      </c>
      <c r="AC428" s="1">
        <v>0</v>
      </c>
      <c r="AF428">
        <f>X428</f>
        <v>24</v>
      </c>
      <c r="AG428" s="7">
        <v>12</v>
      </c>
      <c r="AH428">
        <f t="shared" si="59"/>
        <v>24</v>
      </c>
      <c r="AI428">
        <f t="shared" si="56"/>
        <v>12</v>
      </c>
      <c r="AK428">
        <f t="shared" si="60"/>
        <v>2</v>
      </c>
      <c r="AL428">
        <v>11.87</v>
      </c>
      <c r="AM428" t="s">
        <v>27</v>
      </c>
      <c r="AN428">
        <v>11.87</v>
      </c>
      <c r="AO428" t="b">
        <f t="shared" si="61"/>
        <v>1</v>
      </c>
      <c r="AR428" t="s">
        <v>5061</v>
      </c>
      <c r="AS428" s="21">
        <v>46276</v>
      </c>
      <c r="AT428" t="s">
        <v>5062</v>
      </c>
      <c r="AU428" t="s">
        <v>5067</v>
      </c>
      <c r="AV428" t="s">
        <v>5062</v>
      </c>
      <c r="AW428" t="s">
        <v>5086</v>
      </c>
    </row>
    <row r="429" spans="1:49" x14ac:dyDescent="0.35">
      <c r="A429" t="s">
        <v>871</v>
      </c>
      <c r="B429" t="s">
        <v>872</v>
      </c>
      <c r="C429" t="s">
        <v>4818</v>
      </c>
      <c r="D429" t="s">
        <v>18</v>
      </c>
      <c r="E429" t="s">
        <v>1717</v>
      </c>
      <c r="F429" t="s">
        <v>1718</v>
      </c>
      <c r="G429" t="s">
        <v>21</v>
      </c>
      <c r="H429" t="s">
        <v>4888</v>
      </c>
      <c r="I429" t="s">
        <v>4889</v>
      </c>
      <c r="J429" s="4" t="s">
        <v>4890</v>
      </c>
      <c r="K429" s="4" t="s">
        <v>4891</v>
      </c>
      <c r="L429" s="4" t="s">
        <v>4924</v>
      </c>
      <c r="M429" s="4" t="s">
        <v>5035</v>
      </c>
      <c r="N429" t="s">
        <v>1719</v>
      </c>
      <c r="O429" t="s">
        <v>1720</v>
      </c>
      <c r="P429" t="s">
        <v>23</v>
      </c>
      <c r="Q429" t="s">
        <v>24</v>
      </c>
      <c r="R429" t="s">
        <v>25</v>
      </c>
      <c r="S429" t="s">
        <v>26</v>
      </c>
      <c r="T429" s="6">
        <v>46307</v>
      </c>
      <c r="U429">
        <v>180</v>
      </c>
      <c r="V429">
        <v>180</v>
      </c>
      <c r="W429">
        <v>192</v>
      </c>
      <c r="X429">
        <v>192</v>
      </c>
      <c r="Y429">
        <f t="shared" si="57"/>
        <v>0</v>
      </c>
      <c r="Z429">
        <f t="shared" si="58"/>
        <v>-12</v>
      </c>
      <c r="AC429" s="1">
        <v>0</v>
      </c>
      <c r="AF429">
        <f>V429</f>
        <v>180</v>
      </c>
      <c r="AG429" s="7">
        <v>12</v>
      </c>
      <c r="AH429">
        <f t="shared" si="59"/>
        <v>180</v>
      </c>
      <c r="AI429">
        <f t="shared" si="56"/>
        <v>0</v>
      </c>
      <c r="AK429">
        <f t="shared" si="60"/>
        <v>15</v>
      </c>
      <c r="AL429">
        <v>11.2</v>
      </c>
      <c r="AM429" t="s">
        <v>27</v>
      </c>
      <c r="AN429">
        <v>11.2</v>
      </c>
      <c r="AO429" t="b">
        <f t="shared" si="61"/>
        <v>1</v>
      </c>
      <c r="AR429" t="s">
        <v>5061</v>
      </c>
      <c r="AS429" s="21">
        <v>46276</v>
      </c>
      <c r="AT429" t="s">
        <v>5062</v>
      </c>
      <c r="AU429" t="s">
        <v>5067</v>
      </c>
      <c r="AV429" t="s">
        <v>5062</v>
      </c>
      <c r="AW429" t="s">
        <v>5086</v>
      </c>
    </row>
    <row r="430" spans="1:49" x14ac:dyDescent="0.35">
      <c r="A430" t="s">
        <v>871</v>
      </c>
      <c r="B430" t="s">
        <v>872</v>
      </c>
      <c r="C430" t="s">
        <v>4818</v>
      </c>
      <c r="D430" t="s">
        <v>18</v>
      </c>
      <c r="E430" t="s">
        <v>1721</v>
      </c>
      <c r="F430" t="s">
        <v>1722</v>
      </c>
      <c r="G430" t="s">
        <v>21</v>
      </c>
      <c r="H430" t="s">
        <v>4888</v>
      </c>
      <c r="I430" t="s">
        <v>4889</v>
      </c>
      <c r="J430" s="4" t="s">
        <v>4890</v>
      </c>
      <c r="K430" s="4" t="s">
        <v>4911</v>
      </c>
      <c r="L430" s="4" t="s">
        <v>4916</v>
      </c>
      <c r="M430" s="4" t="s">
        <v>5035</v>
      </c>
      <c r="N430" t="s">
        <v>1723</v>
      </c>
      <c r="O430" t="s">
        <v>1724</v>
      </c>
      <c r="P430" t="s">
        <v>23</v>
      </c>
      <c r="Q430" t="s">
        <v>24</v>
      </c>
      <c r="R430" t="s">
        <v>25</v>
      </c>
      <c r="S430" t="s">
        <v>26</v>
      </c>
      <c r="T430" s="6">
        <v>46307</v>
      </c>
      <c r="U430">
        <v>84</v>
      </c>
      <c r="V430">
        <v>84</v>
      </c>
      <c r="W430">
        <v>96</v>
      </c>
      <c r="X430">
        <v>96</v>
      </c>
      <c r="Y430">
        <f t="shared" si="57"/>
        <v>0</v>
      </c>
      <c r="Z430">
        <f t="shared" si="58"/>
        <v>-12</v>
      </c>
      <c r="AC430" s="1">
        <v>0</v>
      </c>
      <c r="AF430">
        <f>V430</f>
        <v>84</v>
      </c>
      <c r="AG430" s="7">
        <v>12</v>
      </c>
      <c r="AH430">
        <f t="shared" si="59"/>
        <v>84</v>
      </c>
      <c r="AI430">
        <f t="shared" si="56"/>
        <v>0</v>
      </c>
      <c r="AK430">
        <f t="shared" si="60"/>
        <v>7</v>
      </c>
      <c r="AL430">
        <v>11.87</v>
      </c>
      <c r="AM430" t="s">
        <v>27</v>
      </c>
      <c r="AN430">
        <v>11.87</v>
      </c>
      <c r="AO430" t="b">
        <f t="shared" si="61"/>
        <v>1</v>
      </c>
      <c r="AR430" t="s">
        <v>5061</v>
      </c>
      <c r="AS430" s="21">
        <v>46276</v>
      </c>
      <c r="AT430" t="s">
        <v>5062</v>
      </c>
      <c r="AU430" t="s">
        <v>5067</v>
      </c>
      <c r="AV430" t="s">
        <v>5062</v>
      </c>
      <c r="AW430" t="s">
        <v>5086</v>
      </c>
    </row>
    <row r="431" spans="1:49" x14ac:dyDescent="0.35">
      <c r="A431" t="s">
        <v>871</v>
      </c>
      <c r="B431" t="s">
        <v>872</v>
      </c>
      <c r="C431" t="s">
        <v>4818</v>
      </c>
      <c r="D431" t="s">
        <v>18</v>
      </c>
      <c r="E431" t="s">
        <v>1725</v>
      </c>
      <c r="F431" t="s">
        <v>1726</v>
      </c>
      <c r="G431" t="s">
        <v>21</v>
      </c>
      <c r="H431" t="s">
        <v>4888</v>
      </c>
      <c r="I431" t="s">
        <v>4906</v>
      </c>
      <c r="J431" s="4" t="s">
        <v>4907</v>
      </c>
      <c r="K431" s="4" t="s">
        <v>4908</v>
      </c>
      <c r="L431" s="4" t="s">
        <v>4871</v>
      </c>
      <c r="M431" s="4" t="s">
        <v>5035</v>
      </c>
      <c r="N431" t="s">
        <v>1727</v>
      </c>
      <c r="O431" t="s">
        <v>1728</v>
      </c>
      <c r="P431" t="s">
        <v>23</v>
      </c>
      <c r="Q431" t="s">
        <v>24</v>
      </c>
      <c r="R431" t="s">
        <v>25</v>
      </c>
      <c r="S431" t="s">
        <v>26</v>
      </c>
      <c r="T431" s="6">
        <v>46307</v>
      </c>
      <c r="U431">
        <v>144</v>
      </c>
      <c r="V431">
        <v>144</v>
      </c>
      <c r="W431">
        <v>156</v>
      </c>
      <c r="X431">
        <v>156</v>
      </c>
      <c r="Y431">
        <f t="shared" si="57"/>
        <v>0</v>
      </c>
      <c r="Z431">
        <f t="shared" si="58"/>
        <v>-12</v>
      </c>
      <c r="AC431" s="1"/>
      <c r="AF431">
        <f>V431</f>
        <v>144</v>
      </c>
      <c r="AG431" s="7">
        <v>12</v>
      </c>
      <c r="AH431">
        <f t="shared" si="59"/>
        <v>144</v>
      </c>
      <c r="AI431">
        <f t="shared" si="56"/>
        <v>0</v>
      </c>
      <c r="AK431">
        <f t="shared" si="60"/>
        <v>12</v>
      </c>
      <c r="AL431">
        <v>10.19</v>
      </c>
      <c r="AM431" t="s">
        <v>27</v>
      </c>
      <c r="AN431">
        <v>10.19</v>
      </c>
      <c r="AO431" t="b">
        <f t="shared" si="61"/>
        <v>1</v>
      </c>
      <c r="AR431" t="s">
        <v>5061</v>
      </c>
      <c r="AS431" s="21">
        <v>46276</v>
      </c>
      <c r="AT431" t="s">
        <v>5062</v>
      </c>
      <c r="AU431" t="s">
        <v>5070</v>
      </c>
      <c r="AV431" t="s">
        <v>5062</v>
      </c>
      <c r="AW431" t="s">
        <v>5086</v>
      </c>
    </row>
    <row r="432" spans="1:49" x14ac:dyDescent="0.35">
      <c r="A432" t="s">
        <v>871</v>
      </c>
      <c r="B432" t="s">
        <v>872</v>
      </c>
      <c r="C432" t="s">
        <v>4818</v>
      </c>
      <c r="D432" t="s">
        <v>18</v>
      </c>
      <c r="E432" t="s">
        <v>1729</v>
      </c>
      <c r="F432" t="s">
        <v>1730</v>
      </c>
      <c r="G432" t="s">
        <v>21</v>
      </c>
      <c r="H432" t="s">
        <v>4888</v>
      </c>
      <c r="I432" t="s">
        <v>4906</v>
      </c>
      <c r="J432" s="4" t="s">
        <v>4907</v>
      </c>
      <c r="K432" s="4" t="s">
        <v>4908</v>
      </c>
      <c r="L432" s="4" t="s">
        <v>4922</v>
      </c>
      <c r="M432" s="4" t="s">
        <v>5035</v>
      </c>
      <c r="N432" t="s">
        <v>1731</v>
      </c>
      <c r="O432" t="s">
        <v>1732</v>
      </c>
      <c r="P432" t="s">
        <v>23</v>
      </c>
      <c r="Q432" t="s">
        <v>24</v>
      </c>
      <c r="R432" t="s">
        <v>25</v>
      </c>
      <c r="S432" t="s">
        <v>26</v>
      </c>
      <c r="T432" s="6">
        <v>46307</v>
      </c>
      <c r="U432">
        <v>48</v>
      </c>
      <c r="V432">
        <v>48</v>
      </c>
      <c r="W432">
        <v>48</v>
      </c>
      <c r="X432">
        <v>48</v>
      </c>
      <c r="Y432">
        <f t="shared" si="57"/>
        <v>0</v>
      </c>
      <c r="Z432">
        <f t="shared" si="58"/>
        <v>0</v>
      </c>
      <c r="AC432" s="1">
        <v>0</v>
      </c>
      <c r="AF432">
        <f>V432</f>
        <v>48</v>
      </c>
      <c r="AG432" s="7">
        <v>12</v>
      </c>
      <c r="AH432">
        <f t="shared" si="59"/>
        <v>48</v>
      </c>
      <c r="AI432">
        <f t="shared" si="56"/>
        <v>0</v>
      </c>
      <c r="AK432">
        <f t="shared" si="60"/>
        <v>4</v>
      </c>
      <c r="AL432">
        <v>10.19</v>
      </c>
      <c r="AM432" t="s">
        <v>27</v>
      </c>
      <c r="AN432">
        <v>10.19</v>
      </c>
      <c r="AO432" t="b">
        <f t="shared" si="61"/>
        <v>1</v>
      </c>
      <c r="AR432" t="s">
        <v>5061</v>
      </c>
      <c r="AS432" s="21">
        <v>46276</v>
      </c>
      <c r="AT432" t="s">
        <v>5062</v>
      </c>
      <c r="AU432" t="s">
        <v>5070</v>
      </c>
      <c r="AV432" t="s">
        <v>5062</v>
      </c>
      <c r="AW432" t="s">
        <v>5086</v>
      </c>
    </row>
    <row r="433" spans="1:49" x14ac:dyDescent="0.35">
      <c r="A433" t="s">
        <v>871</v>
      </c>
      <c r="B433" t="s">
        <v>872</v>
      </c>
      <c r="C433" t="s">
        <v>4818</v>
      </c>
      <c r="D433" t="s">
        <v>18</v>
      </c>
      <c r="E433" t="s">
        <v>1733</v>
      </c>
      <c r="F433" t="s">
        <v>1734</v>
      </c>
      <c r="G433" t="s">
        <v>21</v>
      </c>
      <c r="H433" t="s">
        <v>4888</v>
      </c>
      <c r="I433" t="s">
        <v>4889</v>
      </c>
      <c r="J433" s="4" t="s">
        <v>4890</v>
      </c>
      <c r="K433" s="4" t="s">
        <v>4911</v>
      </c>
      <c r="L433" s="4" t="s">
        <v>4895</v>
      </c>
      <c r="M433" s="4" t="s">
        <v>5035</v>
      </c>
      <c r="N433" t="s">
        <v>1735</v>
      </c>
      <c r="O433" t="s">
        <v>1736</v>
      </c>
      <c r="P433" t="s">
        <v>23</v>
      </c>
      <c r="Q433" t="s">
        <v>24</v>
      </c>
      <c r="R433" t="s">
        <v>25</v>
      </c>
      <c r="S433" t="s">
        <v>26</v>
      </c>
      <c r="T433" s="6">
        <v>46307</v>
      </c>
      <c r="U433">
        <v>36</v>
      </c>
      <c r="V433">
        <v>36</v>
      </c>
      <c r="W433">
        <v>24</v>
      </c>
      <c r="X433">
        <v>24</v>
      </c>
      <c r="Y433">
        <f t="shared" si="57"/>
        <v>0</v>
      </c>
      <c r="Z433">
        <f t="shared" si="58"/>
        <v>12</v>
      </c>
      <c r="AA433">
        <f>Z433</f>
        <v>12</v>
      </c>
      <c r="AC433" s="1">
        <v>0</v>
      </c>
      <c r="AF433">
        <f>X433</f>
        <v>24</v>
      </c>
      <c r="AG433" s="7">
        <v>12</v>
      </c>
      <c r="AH433">
        <f t="shared" si="59"/>
        <v>24</v>
      </c>
      <c r="AI433">
        <f t="shared" si="56"/>
        <v>12</v>
      </c>
      <c r="AK433">
        <f t="shared" si="60"/>
        <v>2</v>
      </c>
      <c r="AL433">
        <v>11.87</v>
      </c>
      <c r="AM433" t="s">
        <v>27</v>
      </c>
      <c r="AN433">
        <v>11.87</v>
      </c>
      <c r="AO433" t="b">
        <f t="shared" si="61"/>
        <v>1</v>
      </c>
      <c r="AR433" t="s">
        <v>5061</v>
      </c>
      <c r="AS433" s="21">
        <v>46276</v>
      </c>
      <c r="AT433" t="s">
        <v>5062</v>
      </c>
      <c r="AU433" t="s">
        <v>5067</v>
      </c>
      <c r="AV433" t="s">
        <v>5062</v>
      </c>
      <c r="AW433" t="s">
        <v>5086</v>
      </c>
    </row>
    <row r="434" spans="1:49" x14ac:dyDescent="0.35">
      <c r="A434" t="s">
        <v>871</v>
      </c>
      <c r="B434" t="s">
        <v>872</v>
      </c>
      <c r="C434" t="s">
        <v>4818</v>
      </c>
      <c r="D434" t="s">
        <v>18</v>
      </c>
      <c r="E434" t="s">
        <v>1737</v>
      </c>
      <c r="F434" t="s">
        <v>1738</v>
      </c>
      <c r="G434" t="s">
        <v>21</v>
      </c>
      <c r="H434" t="s">
        <v>4888</v>
      </c>
      <c r="I434" t="s">
        <v>4889</v>
      </c>
      <c r="J434" s="4" t="s">
        <v>4890</v>
      </c>
      <c r="K434" s="4" t="s">
        <v>4911</v>
      </c>
      <c r="L434" s="4" t="s">
        <v>4919</v>
      </c>
      <c r="M434" s="4" t="s">
        <v>5035</v>
      </c>
      <c r="N434" t="s">
        <v>1739</v>
      </c>
      <c r="O434" t="s">
        <v>1740</v>
      </c>
      <c r="P434" t="s">
        <v>23</v>
      </c>
      <c r="Q434" t="s">
        <v>24</v>
      </c>
      <c r="R434" t="s">
        <v>25</v>
      </c>
      <c r="S434" t="s">
        <v>26</v>
      </c>
      <c r="T434" s="6">
        <v>46307</v>
      </c>
      <c r="U434">
        <v>60</v>
      </c>
      <c r="V434">
        <v>60</v>
      </c>
      <c r="W434">
        <v>60</v>
      </c>
      <c r="X434">
        <v>60</v>
      </c>
      <c r="Y434">
        <f t="shared" si="57"/>
        <v>0</v>
      </c>
      <c r="Z434">
        <f t="shared" si="58"/>
        <v>0</v>
      </c>
      <c r="AC434" s="1">
        <v>0</v>
      </c>
      <c r="AF434">
        <f t="shared" ref="AF434:AF439" si="65">V434</f>
        <v>60</v>
      </c>
      <c r="AG434" s="7">
        <v>12</v>
      </c>
      <c r="AH434">
        <f t="shared" si="59"/>
        <v>60</v>
      </c>
      <c r="AI434">
        <f t="shared" si="56"/>
        <v>0</v>
      </c>
      <c r="AK434">
        <f t="shared" si="60"/>
        <v>5</v>
      </c>
      <c r="AL434">
        <v>11.87</v>
      </c>
      <c r="AM434" t="s">
        <v>27</v>
      </c>
      <c r="AN434">
        <v>11.87</v>
      </c>
      <c r="AO434" t="b">
        <f t="shared" si="61"/>
        <v>1</v>
      </c>
      <c r="AR434" t="s">
        <v>5061</v>
      </c>
      <c r="AS434" s="21">
        <v>46276</v>
      </c>
      <c r="AT434" t="s">
        <v>5062</v>
      </c>
      <c r="AU434" t="s">
        <v>5067</v>
      </c>
      <c r="AV434" t="s">
        <v>5062</v>
      </c>
      <c r="AW434" t="s">
        <v>5086</v>
      </c>
    </row>
    <row r="435" spans="1:49" x14ac:dyDescent="0.35">
      <c r="A435" t="s">
        <v>871</v>
      </c>
      <c r="B435" t="s">
        <v>872</v>
      </c>
      <c r="C435" t="s">
        <v>4818</v>
      </c>
      <c r="D435" t="s">
        <v>18</v>
      </c>
      <c r="E435" t="s">
        <v>1741</v>
      </c>
      <c r="F435" t="s">
        <v>1742</v>
      </c>
      <c r="G435" t="s">
        <v>21</v>
      </c>
      <c r="H435" t="s">
        <v>4888</v>
      </c>
      <c r="I435" t="s">
        <v>4889</v>
      </c>
      <c r="J435" s="4" t="s">
        <v>4890</v>
      </c>
      <c r="K435" s="4" t="s">
        <v>4899</v>
      </c>
      <c r="L435" s="4" t="s">
        <v>4912</v>
      </c>
      <c r="M435" s="4" t="s">
        <v>5035</v>
      </c>
      <c r="N435" t="s">
        <v>1743</v>
      </c>
      <c r="O435" t="s">
        <v>1744</v>
      </c>
      <c r="P435" t="s">
        <v>23</v>
      </c>
      <c r="Q435" t="s">
        <v>24</v>
      </c>
      <c r="R435" t="s">
        <v>25</v>
      </c>
      <c r="S435" t="s">
        <v>26</v>
      </c>
      <c r="T435" s="6">
        <v>46307</v>
      </c>
      <c r="U435">
        <v>12</v>
      </c>
      <c r="V435">
        <v>12</v>
      </c>
      <c r="W435">
        <v>12</v>
      </c>
      <c r="X435">
        <v>12</v>
      </c>
      <c r="Y435">
        <f t="shared" si="57"/>
        <v>0</v>
      </c>
      <c r="Z435">
        <f t="shared" si="58"/>
        <v>0</v>
      </c>
      <c r="AC435" s="1">
        <v>0</v>
      </c>
      <c r="AF435">
        <f t="shared" si="65"/>
        <v>12</v>
      </c>
      <c r="AG435" s="7">
        <v>12</v>
      </c>
      <c r="AH435">
        <f t="shared" si="59"/>
        <v>12</v>
      </c>
      <c r="AI435">
        <f t="shared" si="56"/>
        <v>0</v>
      </c>
      <c r="AK435">
        <f t="shared" si="60"/>
        <v>1</v>
      </c>
      <c r="AL435">
        <v>10.9</v>
      </c>
      <c r="AM435" t="s">
        <v>27</v>
      </c>
      <c r="AN435">
        <v>10.9</v>
      </c>
      <c r="AO435" t="b">
        <f t="shared" si="61"/>
        <v>1</v>
      </c>
      <c r="AR435" t="s">
        <v>5061</v>
      </c>
      <c r="AS435" s="21">
        <v>46276</v>
      </c>
      <c r="AT435" t="s">
        <v>5062</v>
      </c>
      <c r="AU435" t="s">
        <v>5067</v>
      </c>
      <c r="AV435" t="s">
        <v>5062</v>
      </c>
      <c r="AW435" t="s">
        <v>5086</v>
      </c>
    </row>
    <row r="436" spans="1:49" x14ac:dyDescent="0.35">
      <c r="A436" t="s">
        <v>871</v>
      </c>
      <c r="B436" t="s">
        <v>872</v>
      </c>
      <c r="C436" t="s">
        <v>4818</v>
      </c>
      <c r="D436" t="s">
        <v>18</v>
      </c>
      <c r="E436" t="s">
        <v>1745</v>
      </c>
      <c r="F436" t="s">
        <v>1746</v>
      </c>
      <c r="G436" t="s">
        <v>21</v>
      </c>
      <c r="H436" t="s">
        <v>4888</v>
      </c>
      <c r="I436" t="s">
        <v>4902</v>
      </c>
      <c r="J436" s="4" t="s">
        <v>4903</v>
      </c>
      <c r="K436" s="4" t="s">
        <v>4899</v>
      </c>
      <c r="L436" s="4" t="s">
        <v>4917</v>
      </c>
      <c r="M436" s="4" t="s">
        <v>5035</v>
      </c>
      <c r="N436" t="s">
        <v>1747</v>
      </c>
      <c r="O436" t="s">
        <v>1748</v>
      </c>
      <c r="P436" t="s">
        <v>23</v>
      </c>
      <c r="Q436" t="s">
        <v>24</v>
      </c>
      <c r="R436" t="s">
        <v>25</v>
      </c>
      <c r="S436" t="s">
        <v>26</v>
      </c>
      <c r="T436" s="6">
        <v>46307</v>
      </c>
      <c r="U436">
        <v>108</v>
      </c>
      <c r="V436">
        <v>108</v>
      </c>
      <c r="W436">
        <v>108</v>
      </c>
      <c r="X436">
        <v>108</v>
      </c>
      <c r="Y436">
        <f t="shared" si="57"/>
        <v>0</v>
      </c>
      <c r="Z436">
        <f t="shared" si="58"/>
        <v>0</v>
      </c>
      <c r="AC436" s="1">
        <v>0</v>
      </c>
      <c r="AF436">
        <f t="shared" si="65"/>
        <v>108</v>
      </c>
      <c r="AG436" s="7">
        <v>12</v>
      </c>
      <c r="AH436">
        <f t="shared" si="59"/>
        <v>108</v>
      </c>
      <c r="AI436">
        <f t="shared" si="56"/>
        <v>0</v>
      </c>
      <c r="AK436">
        <f t="shared" si="60"/>
        <v>9</v>
      </c>
      <c r="AL436">
        <v>10.49</v>
      </c>
      <c r="AM436" t="s">
        <v>27</v>
      </c>
      <c r="AN436">
        <v>10.49</v>
      </c>
      <c r="AO436" t="b">
        <f t="shared" si="61"/>
        <v>1</v>
      </c>
      <c r="AR436" t="s">
        <v>5061</v>
      </c>
      <c r="AS436" s="21">
        <v>46276</v>
      </c>
      <c r="AT436" t="s">
        <v>5062</v>
      </c>
      <c r="AU436" t="s">
        <v>5069</v>
      </c>
      <c r="AV436" t="s">
        <v>5062</v>
      </c>
      <c r="AW436" t="s">
        <v>5086</v>
      </c>
    </row>
    <row r="437" spans="1:49" x14ac:dyDescent="0.35">
      <c r="A437" t="s">
        <v>871</v>
      </c>
      <c r="B437" t="s">
        <v>872</v>
      </c>
      <c r="C437" t="s">
        <v>4818</v>
      </c>
      <c r="D437" t="s">
        <v>18</v>
      </c>
      <c r="E437" t="s">
        <v>1749</v>
      </c>
      <c r="F437" t="s">
        <v>1750</v>
      </c>
      <c r="G437" t="s">
        <v>21</v>
      </c>
      <c r="H437" t="s">
        <v>4888</v>
      </c>
      <c r="I437" t="s">
        <v>4906</v>
      </c>
      <c r="J437" s="4" t="s">
        <v>4907</v>
      </c>
      <c r="K437" s="4" t="s">
        <v>4908</v>
      </c>
      <c r="L437" s="4" t="s">
        <v>4916</v>
      </c>
      <c r="M437" s="4" t="s">
        <v>5035</v>
      </c>
      <c r="N437" t="s">
        <v>1751</v>
      </c>
      <c r="O437" t="s">
        <v>1752</v>
      </c>
      <c r="P437" t="s">
        <v>23</v>
      </c>
      <c r="Q437" t="s">
        <v>24</v>
      </c>
      <c r="R437" t="s">
        <v>25</v>
      </c>
      <c r="S437" t="s">
        <v>26</v>
      </c>
      <c r="T437" s="6">
        <v>46307</v>
      </c>
      <c r="U437">
        <v>48</v>
      </c>
      <c r="V437">
        <v>48</v>
      </c>
      <c r="W437">
        <v>48</v>
      </c>
      <c r="X437">
        <v>48</v>
      </c>
      <c r="Y437">
        <f t="shared" si="57"/>
        <v>0</v>
      </c>
      <c r="Z437">
        <f t="shared" si="58"/>
        <v>0</v>
      </c>
      <c r="AC437" s="1">
        <v>0</v>
      </c>
      <c r="AF437">
        <f t="shared" si="65"/>
        <v>48</v>
      </c>
      <c r="AG437" s="7">
        <v>12</v>
      </c>
      <c r="AH437">
        <f t="shared" si="59"/>
        <v>48</v>
      </c>
      <c r="AI437">
        <f t="shared" si="56"/>
        <v>0</v>
      </c>
      <c r="AK437">
        <f t="shared" si="60"/>
        <v>4</v>
      </c>
      <c r="AL437">
        <v>10.19</v>
      </c>
      <c r="AM437" t="s">
        <v>27</v>
      </c>
      <c r="AN437">
        <v>10.19</v>
      </c>
      <c r="AO437" t="b">
        <f t="shared" si="61"/>
        <v>1</v>
      </c>
      <c r="AR437" t="s">
        <v>5061</v>
      </c>
      <c r="AS437" s="21">
        <v>46276</v>
      </c>
      <c r="AT437" t="s">
        <v>5062</v>
      </c>
      <c r="AU437" t="s">
        <v>5070</v>
      </c>
      <c r="AV437" t="s">
        <v>5062</v>
      </c>
      <c r="AW437" t="s">
        <v>5086</v>
      </c>
    </row>
    <row r="438" spans="1:49" x14ac:dyDescent="0.35">
      <c r="A438" t="s">
        <v>871</v>
      </c>
      <c r="B438" t="s">
        <v>872</v>
      </c>
      <c r="C438" t="s">
        <v>4818</v>
      </c>
      <c r="D438" t="s">
        <v>18</v>
      </c>
      <c r="E438" t="s">
        <v>1753</v>
      </c>
      <c r="F438" t="s">
        <v>1754</v>
      </c>
      <c r="G438" t="s">
        <v>21</v>
      </c>
      <c r="H438" t="s">
        <v>4888</v>
      </c>
      <c r="I438" t="s">
        <v>4889</v>
      </c>
      <c r="J438" s="4" t="s">
        <v>4890</v>
      </c>
      <c r="K438" s="4" t="s">
        <v>4899</v>
      </c>
      <c r="L438" s="4" t="s">
        <v>4867</v>
      </c>
      <c r="M438" s="4" t="s">
        <v>5035</v>
      </c>
      <c r="N438" t="s">
        <v>1755</v>
      </c>
      <c r="O438" t="s">
        <v>1756</v>
      </c>
      <c r="P438" t="s">
        <v>23</v>
      </c>
      <c r="Q438" t="s">
        <v>24</v>
      </c>
      <c r="R438" t="s">
        <v>25</v>
      </c>
      <c r="S438" t="s">
        <v>26</v>
      </c>
      <c r="T438" s="6">
        <v>46307</v>
      </c>
      <c r="U438">
        <v>96</v>
      </c>
      <c r="V438">
        <v>96</v>
      </c>
      <c r="W438">
        <v>108</v>
      </c>
      <c r="X438">
        <v>108</v>
      </c>
      <c r="Y438">
        <f t="shared" si="57"/>
        <v>0</v>
      </c>
      <c r="Z438">
        <f t="shared" si="58"/>
        <v>-12</v>
      </c>
      <c r="AC438" s="1">
        <v>0</v>
      </c>
      <c r="AF438">
        <f t="shared" si="65"/>
        <v>96</v>
      </c>
      <c r="AG438" s="7">
        <v>12</v>
      </c>
      <c r="AH438">
        <f t="shared" si="59"/>
        <v>96</v>
      </c>
      <c r="AI438">
        <f t="shared" si="56"/>
        <v>0</v>
      </c>
      <c r="AK438">
        <f t="shared" si="60"/>
        <v>8</v>
      </c>
      <c r="AL438">
        <v>10.9</v>
      </c>
      <c r="AM438" t="s">
        <v>27</v>
      </c>
      <c r="AN438">
        <v>10.9</v>
      </c>
      <c r="AO438" t="b">
        <f t="shared" si="61"/>
        <v>1</v>
      </c>
      <c r="AR438" t="s">
        <v>5061</v>
      </c>
      <c r="AS438" s="21">
        <v>46276</v>
      </c>
      <c r="AT438" t="s">
        <v>5062</v>
      </c>
      <c r="AU438" t="s">
        <v>5067</v>
      </c>
      <c r="AV438" t="s">
        <v>5062</v>
      </c>
      <c r="AW438" t="s">
        <v>5086</v>
      </c>
    </row>
    <row r="439" spans="1:49" x14ac:dyDescent="0.35">
      <c r="A439" t="s">
        <v>871</v>
      </c>
      <c r="B439" t="s">
        <v>872</v>
      </c>
      <c r="C439" t="s">
        <v>4818</v>
      </c>
      <c r="D439" t="s">
        <v>18</v>
      </c>
      <c r="E439" t="s">
        <v>1757</v>
      </c>
      <c r="F439" t="s">
        <v>1758</v>
      </c>
      <c r="G439" t="s">
        <v>21</v>
      </c>
      <c r="H439" t="s">
        <v>4888</v>
      </c>
      <c r="I439" t="s">
        <v>4893</v>
      </c>
      <c r="J439" s="4" t="s">
        <v>4894</v>
      </c>
      <c r="K439" s="4" t="s">
        <v>4913</v>
      </c>
      <c r="L439" s="4" t="s">
        <v>4931</v>
      </c>
      <c r="M439" s="4" t="s">
        <v>5035</v>
      </c>
      <c r="N439" t="s">
        <v>1759</v>
      </c>
      <c r="O439" t="s">
        <v>1760</v>
      </c>
      <c r="P439" t="s">
        <v>23</v>
      </c>
      <c r="Q439" t="s">
        <v>24</v>
      </c>
      <c r="R439" t="s">
        <v>25</v>
      </c>
      <c r="S439" t="s">
        <v>26</v>
      </c>
      <c r="T439" s="6">
        <v>46307</v>
      </c>
      <c r="U439">
        <v>72</v>
      </c>
      <c r="V439">
        <v>72</v>
      </c>
      <c r="W439">
        <v>72</v>
      </c>
      <c r="X439">
        <v>72</v>
      </c>
      <c r="Y439">
        <f t="shared" si="57"/>
        <v>0</v>
      </c>
      <c r="Z439">
        <f t="shared" si="58"/>
        <v>0</v>
      </c>
      <c r="AC439" s="1">
        <v>0</v>
      </c>
      <c r="AF439">
        <f t="shared" si="65"/>
        <v>72</v>
      </c>
      <c r="AG439" s="7">
        <v>12</v>
      </c>
      <c r="AH439">
        <f t="shared" si="59"/>
        <v>72</v>
      </c>
      <c r="AI439">
        <f t="shared" si="56"/>
        <v>0</v>
      </c>
      <c r="AK439">
        <f t="shared" si="60"/>
        <v>6</v>
      </c>
      <c r="AL439">
        <v>9.9499999999999993</v>
      </c>
      <c r="AM439" t="s">
        <v>27</v>
      </c>
      <c r="AN439">
        <v>9.9499999999999993</v>
      </c>
      <c r="AO439" t="b">
        <f t="shared" si="61"/>
        <v>1</v>
      </c>
      <c r="AR439" t="s">
        <v>5061</v>
      </c>
      <c r="AS439" s="21">
        <v>46276</v>
      </c>
      <c r="AT439" t="s">
        <v>5062</v>
      </c>
      <c r="AU439" t="s">
        <v>5068</v>
      </c>
      <c r="AV439" t="s">
        <v>5062</v>
      </c>
      <c r="AW439" t="s">
        <v>5086</v>
      </c>
    </row>
    <row r="440" spans="1:49" x14ac:dyDescent="0.35">
      <c r="A440" t="s">
        <v>871</v>
      </c>
      <c r="B440" t="s">
        <v>872</v>
      </c>
      <c r="C440" t="s">
        <v>4818</v>
      </c>
      <c r="D440" t="s">
        <v>18</v>
      </c>
      <c r="E440" t="s">
        <v>1761</v>
      </c>
      <c r="F440" t="s">
        <v>1762</v>
      </c>
      <c r="G440" t="s">
        <v>21</v>
      </c>
      <c r="H440" t="s">
        <v>4888</v>
      </c>
      <c r="I440" t="s">
        <v>4889</v>
      </c>
      <c r="J440" s="4" t="s">
        <v>4890</v>
      </c>
      <c r="K440" s="4" t="s">
        <v>4899</v>
      </c>
      <c r="L440" s="4" t="s">
        <v>4905</v>
      </c>
      <c r="M440" s="4" t="s">
        <v>5035</v>
      </c>
      <c r="N440" t="s">
        <v>1763</v>
      </c>
      <c r="O440" t="s">
        <v>1764</v>
      </c>
      <c r="P440" t="s">
        <v>23</v>
      </c>
      <c r="Q440" t="s">
        <v>24</v>
      </c>
      <c r="R440" t="s">
        <v>25</v>
      </c>
      <c r="S440" t="s">
        <v>26</v>
      </c>
      <c r="T440" s="6">
        <v>46307</v>
      </c>
      <c r="U440">
        <v>84</v>
      </c>
      <c r="V440">
        <v>84</v>
      </c>
      <c r="W440">
        <v>72</v>
      </c>
      <c r="X440">
        <v>72</v>
      </c>
      <c r="Y440">
        <f t="shared" si="57"/>
        <v>0</v>
      </c>
      <c r="Z440">
        <f t="shared" si="58"/>
        <v>12</v>
      </c>
      <c r="AA440">
        <f>Z440</f>
        <v>12</v>
      </c>
      <c r="AC440" s="1">
        <v>0</v>
      </c>
      <c r="AF440">
        <f>X440</f>
        <v>72</v>
      </c>
      <c r="AG440" s="7">
        <v>12</v>
      </c>
      <c r="AH440">
        <f t="shared" si="59"/>
        <v>72</v>
      </c>
      <c r="AI440">
        <f t="shared" si="56"/>
        <v>12</v>
      </c>
      <c r="AK440">
        <f t="shared" si="60"/>
        <v>6</v>
      </c>
      <c r="AL440">
        <v>10.9</v>
      </c>
      <c r="AM440" t="s">
        <v>27</v>
      </c>
      <c r="AN440">
        <v>10.9</v>
      </c>
      <c r="AO440" t="b">
        <f t="shared" si="61"/>
        <v>1</v>
      </c>
      <c r="AR440" t="s">
        <v>5061</v>
      </c>
      <c r="AS440" s="21">
        <v>46276</v>
      </c>
      <c r="AT440" t="s">
        <v>5062</v>
      </c>
      <c r="AU440" t="s">
        <v>5067</v>
      </c>
      <c r="AV440" t="s">
        <v>5062</v>
      </c>
      <c r="AW440" t="s">
        <v>5086</v>
      </c>
    </row>
    <row r="441" spans="1:49" x14ac:dyDescent="0.35">
      <c r="A441" t="s">
        <v>871</v>
      </c>
      <c r="B441" t="s">
        <v>872</v>
      </c>
      <c r="C441" t="s">
        <v>4818</v>
      </c>
      <c r="D441" t="s">
        <v>18</v>
      </c>
      <c r="E441" t="s">
        <v>1765</v>
      </c>
      <c r="F441" t="s">
        <v>1766</v>
      </c>
      <c r="G441" t="s">
        <v>21</v>
      </c>
      <c r="H441" t="s">
        <v>4888</v>
      </c>
      <c r="I441" t="s">
        <v>4906</v>
      </c>
      <c r="J441" s="4" t="s">
        <v>4907</v>
      </c>
      <c r="K441" s="4" t="s">
        <v>4908</v>
      </c>
      <c r="L441" s="4" t="s">
        <v>4901</v>
      </c>
      <c r="M441" s="4" t="s">
        <v>5035</v>
      </c>
      <c r="N441" t="s">
        <v>1767</v>
      </c>
      <c r="O441" t="s">
        <v>1768</v>
      </c>
      <c r="P441" t="s">
        <v>23</v>
      </c>
      <c r="Q441" t="s">
        <v>24</v>
      </c>
      <c r="R441" t="s">
        <v>25</v>
      </c>
      <c r="S441" t="s">
        <v>26</v>
      </c>
      <c r="T441" s="6">
        <v>46307</v>
      </c>
      <c r="U441">
        <v>24</v>
      </c>
      <c r="V441">
        <v>24</v>
      </c>
      <c r="W441">
        <v>24</v>
      </c>
      <c r="X441">
        <v>24</v>
      </c>
      <c r="Y441">
        <f t="shared" si="57"/>
        <v>0</v>
      </c>
      <c r="Z441">
        <f t="shared" si="58"/>
        <v>0</v>
      </c>
      <c r="AC441" s="1">
        <v>0</v>
      </c>
      <c r="AF441">
        <f t="shared" ref="AF441:AF448" si="66">V441</f>
        <v>24</v>
      </c>
      <c r="AG441" s="7">
        <v>12</v>
      </c>
      <c r="AH441">
        <f t="shared" si="59"/>
        <v>24</v>
      </c>
      <c r="AI441">
        <f t="shared" si="56"/>
        <v>0</v>
      </c>
      <c r="AK441">
        <f t="shared" si="60"/>
        <v>2</v>
      </c>
      <c r="AL441">
        <v>10.19</v>
      </c>
      <c r="AM441" t="s">
        <v>27</v>
      </c>
      <c r="AN441">
        <v>10.19</v>
      </c>
      <c r="AO441" t="b">
        <f t="shared" si="61"/>
        <v>1</v>
      </c>
      <c r="AR441" t="s">
        <v>5061</v>
      </c>
      <c r="AS441" s="21">
        <v>46276</v>
      </c>
      <c r="AT441" t="s">
        <v>5062</v>
      </c>
      <c r="AU441" t="s">
        <v>5070</v>
      </c>
      <c r="AV441" t="s">
        <v>5062</v>
      </c>
      <c r="AW441" t="s">
        <v>5086</v>
      </c>
    </row>
    <row r="442" spans="1:49" x14ac:dyDescent="0.35">
      <c r="A442" t="s">
        <v>871</v>
      </c>
      <c r="B442" t="s">
        <v>872</v>
      </c>
      <c r="C442" t="s">
        <v>4818</v>
      </c>
      <c r="D442" t="s">
        <v>18</v>
      </c>
      <c r="E442" t="s">
        <v>1769</v>
      </c>
      <c r="F442" t="s">
        <v>1770</v>
      </c>
      <c r="G442" t="s">
        <v>21</v>
      </c>
      <c r="H442" t="s">
        <v>4888</v>
      </c>
      <c r="I442" t="s">
        <v>4889</v>
      </c>
      <c r="J442" s="4" t="s">
        <v>4890</v>
      </c>
      <c r="K442" s="4" t="s">
        <v>4899</v>
      </c>
      <c r="L442" s="4" t="s">
        <v>4898</v>
      </c>
      <c r="M442" s="4" t="s">
        <v>5035</v>
      </c>
      <c r="N442" t="s">
        <v>1771</v>
      </c>
      <c r="O442" t="s">
        <v>1772</v>
      </c>
      <c r="P442" t="s">
        <v>23</v>
      </c>
      <c r="Q442" t="s">
        <v>24</v>
      </c>
      <c r="R442" t="s">
        <v>25</v>
      </c>
      <c r="S442" t="s">
        <v>26</v>
      </c>
      <c r="T442" s="6">
        <v>46307</v>
      </c>
      <c r="U442">
        <v>216</v>
      </c>
      <c r="V442">
        <v>216</v>
      </c>
      <c r="W442">
        <v>240</v>
      </c>
      <c r="X442">
        <v>240</v>
      </c>
      <c r="Y442">
        <f t="shared" si="57"/>
        <v>0</v>
      </c>
      <c r="Z442">
        <f t="shared" si="58"/>
        <v>-24</v>
      </c>
      <c r="AC442" s="1">
        <v>0</v>
      </c>
      <c r="AF442">
        <f t="shared" si="66"/>
        <v>216</v>
      </c>
      <c r="AG442" s="7">
        <v>12</v>
      </c>
      <c r="AH442">
        <f t="shared" si="59"/>
        <v>216</v>
      </c>
      <c r="AI442">
        <f t="shared" si="56"/>
        <v>0</v>
      </c>
      <c r="AK442">
        <f t="shared" si="60"/>
        <v>18</v>
      </c>
      <c r="AL442">
        <v>10.9</v>
      </c>
      <c r="AM442" t="s">
        <v>27</v>
      </c>
      <c r="AN442">
        <v>10.9</v>
      </c>
      <c r="AO442" t="b">
        <f t="shared" si="61"/>
        <v>1</v>
      </c>
      <c r="AR442" t="s">
        <v>5061</v>
      </c>
      <c r="AS442" s="21">
        <v>46276</v>
      </c>
      <c r="AT442" t="s">
        <v>5062</v>
      </c>
      <c r="AU442" t="s">
        <v>5067</v>
      </c>
      <c r="AV442" t="s">
        <v>5062</v>
      </c>
      <c r="AW442" t="s">
        <v>5086</v>
      </c>
    </row>
    <row r="443" spans="1:49" x14ac:dyDescent="0.35">
      <c r="A443" t="s">
        <v>871</v>
      </c>
      <c r="B443" t="s">
        <v>872</v>
      </c>
      <c r="C443" t="s">
        <v>4818</v>
      </c>
      <c r="D443" t="s">
        <v>18</v>
      </c>
      <c r="E443" t="s">
        <v>1773</v>
      </c>
      <c r="F443" t="s">
        <v>1774</v>
      </c>
      <c r="G443" t="s">
        <v>21</v>
      </c>
      <c r="H443" t="s">
        <v>4888</v>
      </c>
      <c r="I443" t="s">
        <v>4889</v>
      </c>
      <c r="J443" s="4" t="s">
        <v>4890</v>
      </c>
      <c r="K443" s="4" t="s">
        <v>4911</v>
      </c>
      <c r="L443" s="4" t="s">
        <v>4932</v>
      </c>
      <c r="M443" s="4" t="s">
        <v>5035</v>
      </c>
      <c r="N443" t="s">
        <v>1775</v>
      </c>
      <c r="O443" t="s">
        <v>1776</v>
      </c>
      <c r="P443" t="s">
        <v>23</v>
      </c>
      <c r="Q443" t="s">
        <v>24</v>
      </c>
      <c r="R443" t="s">
        <v>25</v>
      </c>
      <c r="S443" t="s">
        <v>26</v>
      </c>
      <c r="T443" s="6">
        <v>46307</v>
      </c>
      <c r="U443">
        <v>24</v>
      </c>
      <c r="V443">
        <v>24</v>
      </c>
      <c r="W443">
        <v>24</v>
      </c>
      <c r="X443">
        <v>24</v>
      </c>
      <c r="Y443">
        <f t="shared" si="57"/>
        <v>0</v>
      </c>
      <c r="Z443">
        <f t="shared" si="58"/>
        <v>0</v>
      </c>
      <c r="AC443" s="1">
        <v>0</v>
      </c>
      <c r="AF443">
        <f t="shared" si="66"/>
        <v>24</v>
      </c>
      <c r="AG443" s="7">
        <v>12</v>
      </c>
      <c r="AH443">
        <f t="shared" si="59"/>
        <v>24</v>
      </c>
      <c r="AI443">
        <f t="shared" si="56"/>
        <v>0</v>
      </c>
      <c r="AK443">
        <f t="shared" si="60"/>
        <v>2</v>
      </c>
      <c r="AL443">
        <v>11.87</v>
      </c>
      <c r="AM443" t="s">
        <v>27</v>
      </c>
      <c r="AN443">
        <v>11.87</v>
      </c>
      <c r="AO443" t="b">
        <f t="shared" si="61"/>
        <v>1</v>
      </c>
      <c r="AR443" t="s">
        <v>5061</v>
      </c>
      <c r="AS443" s="21">
        <v>46276</v>
      </c>
      <c r="AT443" t="s">
        <v>5062</v>
      </c>
      <c r="AU443" t="s">
        <v>5067</v>
      </c>
      <c r="AV443" t="s">
        <v>5062</v>
      </c>
      <c r="AW443" t="s">
        <v>5086</v>
      </c>
    </row>
    <row r="444" spans="1:49" x14ac:dyDescent="0.35">
      <c r="A444" t="s">
        <v>871</v>
      </c>
      <c r="B444" t="s">
        <v>872</v>
      </c>
      <c r="C444" t="s">
        <v>4818</v>
      </c>
      <c r="D444" t="s">
        <v>18</v>
      </c>
      <c r="E444" t="s">
        <v>1777</v>
      </c>
      <c r="F444" t="s">
        <v>1778</v>
      </c>
      <c r="G444" t="s">
        <v>21</v>
      </c>
      <c r="H444" t="s">
        <v>4888</v>
      </c>
      <c r="I444" t="s">
        <v>4889</v>
      </c>
      <c r="J444" s="4" t="s">
        <v>4890</v>
      </c>
      <c r="K444" s="4" t="s">
        <v>4899</v>
      </c>
      <c r="L444" s="4" t="s">
        <v>4892</v>
      </c>
      <c r="M444" s="4" t="s">
        <v>5035</v>
      </c>
      <c r="N444" t="s">
        <v>1779</v>
      </c>
      <c r="O444" t="s">
        <v>1780</v>
      </c>
      <c r="P444" t="s">
        <v>23</v>
      </c>
      <c r="Q444" t="s">
        <v>24</v>
      </c>
      <c r="R444" t="s">
        <v>25</v>
      </c>
      <c r="S444" t="s">
        <v>26</v>
      </c>
      <c r="T444" s="6">
        <v>46307</v>
      </c>
      <c r="U444">
        <v>108</v>
      </c>
      <c r="V444">
        <v>108</v>
      </c>
      <c r="W444">
        <v>108</v>
      </c>
      <c r="X444">
        <v>108</v>
      </c>
      <c r="Y444">
        <f t="shared" si="57"/>
        <v>0</v>
      </c>
      <c r="Z444">
        <f t="shared" si="58"/>
        <v>0</v>
      </c>
      <c r="AC444" s="1">
        <v>0</v>
      </c>
      <c r="AF444">
        <f t="shared" si="66"/>
        <v>108</v>
      </c>
      <c r="AG444" s="7">
        <v>12</v>
      </c>
      <c r="AH444">
        <f t="shared" si="59"/>
        <v>108</v>
      </c>
      <c r="AI444">
        <f t="shared" si="56"/>
        <v>0</v>
      </c>
      <c r="AK444">
        <f t="shared" si="60"/>
        <v>9</v>
      </c>
      <c r="AL444">
        <v>10.9</v>
      </c>
      <c r="AM444" t="s">
        <v>27</v>
      </c>
      <c r="AN444">
        <v>10.9</v>
      </c>
      <c r="AO444" t="b">
        <f t="shared" si="61"/>
        <v>1</v>
      </c>
      <c r="AR444" t="s">
        <v>5061</v>
      </c>
      <c r="AS444" s="21">
        <v>46276</v>
      </c>
      <c r="AT444" t="s">
        <v>5062</v>
      </c>
      <c r="AU444" t="s">
        <v>5067</v>
      </c>
      <c r="AV444" t="s">
        <v>5062</v>
      </c>
      <c r="AW444" t="s">
        <v>5086</v>
      </c>
    </row>
    <row r="445" spans="1:49" x14ac:dyDescent="0.35">
      <c r="A445" t="s">
        <v>871</v>
      </c>
      <c r="B445" t="s">
        <v>872</v>
      </c>
      <c r="C445" t="s">
        <v>4818</v>
      </c>
      <c r="D445" t="s">
        <v>18</v>
      </c>
      <c r="E445" t="s">
        <v>1781</v>
      </c>
      <c r="F445" t="s">
        <v>1782</v>
      </c>
      <c r="G445" t="s">
        <v>21</v>
      </c>
      <c r="H445" t="s">
        <v>4888</v>
      </c>
      <c r="I445" t="s">
        <v>4906</v>
      </c>
      <c r="J445" s="4" t="s">
        <v>4907</v>
      </c>
      <c r="K445" s="4" t="s">
        <v>4908</v>
      </c>
      <c r="L445" s="4" t="s">
        <v>4924</v>
      </c>
      <c r="M445" s="4" t="s">
        <v>5035</v>
      </c>
      <c r="N445" t="s">
        <v>1783</v>
      </c>
      <c r="O445" t="s">
        <v>1784</v>
      </c>
      <c r="P445" t="s">
        <v>23</v>
      </c>
      <c r="Q445" t="s">
        <v>24</v>
      </c>
      <c r="R445" t="s">
        <v>25</v>
      </c>
      <c r="S445" t="s">
        <v>26</v>
      </c>
      <c r="T445" s="6">
        <v>46307</v>
      </c>
      <c r="U445">
        <v>48</v>
      </c>
      <c r="V445">
        <v>48</v>
      </c>
      <c r="W445">
        <v>48</v>
      </c>
      <c r="X445">
        <v>48</v>
      </c>
      <c r="Y445">
        <f t="shared" si="57"/>
        <v>0</v>
      </c>
      <c r="Z445">
        <f t="shared" si="58"/>
        <v>0</v>
      </c>
      <c r="AC445" s="1">
        <v>0</v>
      </c>
      <c r="AF445">
        <f t="shared" si="66"/>
        <v>48</v>
      </c>
      <c r="AG445" s="7">
        <v>12</v>
      </c>
      <c r="AH445">
        <f t="shared" si="59"/>
        <v>48</v>
      </c>
      <c r="AI445">
        <f t="shared" si="56"/>
        <v>0</v>
      </c>
      <c r="AK445">
        <f t="shared" si="60"/>
        <v>4</v>
      </c>
      <c r="AL445">
        <v>10.19</v>
      </c>
      <c r="AM445" t="s">
        <v>27</v>
      </c>
      <c r="AN445">
        <v>10.19</v>
      </c>
      <c r="AO445" t="b">
        <f t="shared" si="61"/>
        <v>1</v>
      </c>
      <c r="AR445" t="s">
        <v>5061</v>
      </c>
      <c r="AS445" s="21">
        <v>46276</v>
      </c>
      <c r="AT445" t="s">
        <v>5062</v>
      </c>
      <c r="AU445" t="s">
        <v>5070</v>
      </c>
      <c r="AV445" t="s">
        <v>5062</v>
      </c>
      <c r="AW445" t="s">
        <v>5086</v>
      </c>
    </row>
    <row r="446" spans="1:49" x14ac:dyDescent="0.35">
      <c r="A446" t="s">
        <v>871</v>
      </c>
      <c r="B446" t="s">
        <v>872</v>
      </c>
      <c r="C446" t="s">
        <v>4818</v>
      </c>
      <c r="D446" t="s">
        <v>18</v>
      </c>
      <c r="E446" t="s">
        <v>1785</v>
      </c>
      <c r="F446" t="s">
        <v>1786</v>
      </c>
      <c r="G446" t="s">
        <v>21</v>
      </c>
      <c r="H446" t="s">
        <v>4888</v>
      </c>
      <c r="I446" t="s">
        <v>4902</v>
      </c>
      <c r="J446" s="4" t="s">
        <v>4903</v>
      </c>
      <c r="K446" s="4" t="s">
        <v>4899</v>
      </c>
      <c r="L446" s="4" t="s">
        <v>4877</v>
      </c>
      <c r="M446" s="4" t="s">
        <v>5035</v>
      </c>
      <c r="N446" t="s">
        <v>1787</v>
      </c>
      <c r="O446" t="s">
        <v>1788</v>
      </c>
      <c r="P446" t="s">
        <v>23</v>
      </c>
      <c r="Q446" t="s">
        <v>24</v>
      </c>
      <c r="R446" t="s">
        <v>25</v>
      </c>
      <c r="S446" t="s">
        <v>26</v>
      </c>
      <c r="T446" s="6">
        <v>46307</v>
      </c>
      <c r="U446">
        <v>348</v>
      </c>
      <c r="V446">
        <v>348</v>
      </c>
      <c r="W446">
        <v>372</v>
      </c>
      <c r="X446">
        <v>372</v>
      </c>
      <c r="Y446">
        <f t="shared" si="57"/>
        <v>0</v>
      </c>
      <c r="Z446">
        <f t="shared" si="58"/>
        <v>-24</v>
      </c>
      <c r="AC446" s="1">
        <v>0</v>
      </c>
      <c r="AF446">
        <f t="shared" si="66"/>
        <v>348</v>
      </c>
      <c r="AG446" s="7">
        <v>12</v>
      </c>
      <c r="AH446">
        <f t="shared" si="59"/>
        <v>348</v>
      </c>
      <c r="AI446">
        <f t="shared" si="56"/>
        <v>0</v>
      </c>
      <c r="AK446">
        <f t="shared" si="60"/>
        <v>29</v>
      </c>
      <c r="AL446">
        <v>10.49</v>
      </c>
      <c r="AM446" t="s">
        <v>27</v>
      </c>
      <c r="AN446">
        <v>10.49</v>
      </c>
      <c r="AO446" t="b">
        <f t="shared" si="61"/>
        <v>1</v>
      </c>
      <c r="AR446" t="s">
        <v>5061</v>
      </c>
      <c r="AS446" s="21">
        <v>46276</v>
      </c>
      <c r="AT446" t="s">
        <v>5062</v>
      </c>
      <c r="AU446" t="s">
        <v>5069</v>
      </c>
      <c r="AV446" t="s">
        <v>5062</v>
      </c>
      <c r="AW446" t="s">
        <v>5086</v>
      </c>
    </row>
    <row r="447" spans="1:49" x14ac:dyDescent="0.35">
      <c r="A447" t="s">
        <v>871</v>
      </c>
      <c r="B447" t="s">
        <v>872</v>
      </c>
      <c r="C447" t="s">
        <v>4818</v>
      </c>
      <c r="D447" t="s">
        <v>18</v>
      </c>
      <c r="E447" t="s">
        <v>1789</v>
      </c>
      <c r="F447" t="s">
        <v>1790</v>
      </c>
      <c r="G447" t="s">
        <v>21</v>
      </c>
      <c r="H447" t="s">
        <v>4888</v>
      </c>
      <c r="I447" t="s">
        <v>4902</v>
      </c>
      <c r="J447" s="4" t="s">
        <v>4903</v>
      </c>
      <c r="K447" s="4" t="s">
        <v>4899</v>
      </c>
      <c r="L447" s="4" t="s">
        <v>4926</v>
      </c>
      <c r="M447" s="4" t="s">
        <v>5035</v>
      </c>
      <c r="N447" t="s">
        <v>1791</v>
      </c>
      <c r="O447" t="s">
        <v>1792</v>
      </c>
      <c r="P447" t="s">
        <v>23</v>
      </c>
      <c r="Q447" t="s">
        <v>24</v>
      </c>
      <c r="R447" t="s">
        <v>25</v>
      </c>
      <c r="S447" t="s">
        <v>26</v>
      </c>
      <c r="T447" s="6">
        <v>46307</v>
      </c>
      <c r="U447">
        <v>12</v>
      </c>
      <c r="V447">
        <v>12</v>
      </c>
      <c r="W447">
        <v>12</v>
      </c>
      <c r="X447">
        <v>12</v>
      </c>
      <c r="Y447">
        <f t="shared" si="57"/>
        <v>0</v>
      </c>
      <c r="Z447">
        <f t="shared" si="58"/>
        <v>0</v>
      </c>
      <c r="AC447" s="1">
        <v>0</v>
      </c>
      <c r="AF447">
        <f t="shared" si="66"/>
        <v>12</v>
      </c>
      <c r="AG447" s="7">
        <v>12</v>
      </c>
      <c r="AH447">
        <f t="shared" si="59"/>
        <v>12</v>
      </c>
      <c r="AI447">
        <f t="shared" si="56"/>
        <v>0</v>
      </c>
      <c r="AK447">
        <f t="shared" si="60"/>
        <v>1</v>
      </c>
      <c r="AL447">
        <v>10.49</v>
      </c>
      <c r="AM447" t="s">
        <v>27</v>
      </c>
      <c r="AN447">
        <v>10.49</v>
      </c>
      <c r="AO447" t="b">
        <f t="shared" si="61"/>
        <v>1</v>
      </c>
      <c r="AR447" t="s">
        <v>5061</v>
      </c>
      <c r="AS447" s="21">
        <v>46276</v>
      </c>
      <c r="AT447" t="s">
        <v>5062</v>
      </c>
      <c r="AU447" t="s">
        <v>5069</v>
      </c>
      <c r="AV447" t="s">
        <v>5062</v>
      </c>
      <c r="AW447" t="s">
        <v>5086</v>
      </c>
    </row>
    <row r="448" spans="1:49" x14ac:dyDescent="0.35">
      <c r="A448" t="s">
        <v>871</v>
      </c>
      <c r="B448" t="s">
        <v>872</v>
      </c>
      <c r="C448" t="s">
        <v>4818</v>
      </c>
      <c r="D448" t="s">
        <v>18</v>
      </c>
      <c r="E448" t="s">
        <v>1793</v>
      </c>
      <c r="F448" t="s">
        <v>1794</v>
      </c>
      <c r="G448" t="s">
        <v>21</v>
      </c>
      <c r="H448" t="s">
        <v>4888</v>
      </c>
      <c r="I448" t="s">
        <v>4889</v>
      </c>
      <c r="J448" s="4" t="s">
        <v>4890</v>
      </c>
      <c r="K448" s="4" t="s">
        <v>4911</v>
      </c>
      <c r="L448" s="4" t="s">
        <v>4870</v>
      </c>
      <c r="M448" s="4" t="s">
        <v>5035</v>
      </c>
      <c r="N448" t="s">
        <v>1795</v>
      </c>
      <c r="O448" t="s">
        <v>1796</v>
      </c>
      <c r="P448" t="s">
        <v>23</v>
      </c>
      <c r="Q448" t="s">
        <v>24</v>
      </c>
      <c r="R448" t="s">
        <v>25</v>
      </c>
      <c r="S448" t="s">
        <v>26</v>
      </c>
      <c r="T448" s="6">
        <v>46307</v>
      </c>
      <c r="U448">
        <v>120</v>
      </c>
      <c r="V448">
        <v>120</v>
      </c>
      <c r="W448">
        <v>132</v>
      </c>
      <c r="X448">
        <v>132</v>
      </c>
      <c r="Y448">
        <f t="shared" si="57"/>
        <v>0</v>
      </c>
      <c r="Z448">
        <f t="shared" si="58"/>
        <v>-12</v>
      </c>
      <c r="AC448" s="1">
        <v>0</v>
      </c>
      <c r="AF448">
        <f t="shared" si="66"/>
        <v>120</v>
      </c>
      <c r="AG448" s="7">
        <v>12</v>
      </c>
      <c r="AH448">
        <f t="shared" si="59"/>
        <v>120</v>
      </c>
      <c r="AI448">
        <f t="shared" si="56"/>
        <v>0</v>
      </c>
      <c r="AK448">
        <f t="shared" si="60"/>
        <v>10</v>
      </c>
      <c r="AL448">
        <v>11.87</v>
      </c>
      <c r="AM448" t="s">
        <v>27</v>
      </c>
      <c r="AN448">
        <v>11.87</v>
      </c>
      <c r="AO448" t="b">
        <f t="shared" si="61"/>
        <v>1</v>
      </c>
      <c r="AR448" t="s">
        <v>5061</v>
      </c>
      <c r="AS448" s="21">
        <v>46276</v>
      </c>
      <c r="AT448" t="s">
        <v>5062</v>
      </c>
      <c r="AU448" t="s">
        <v>5067</v>
      </c>
      <c r="AV448" t="s">
        <v>5062</v>
      </c>
      <c r="AW448" t="s">
        <v>5086</v>
      </c>
    </row>
    <row r="449" spans="1:49" x14ac:dyDescent="0.35">
      <c r="A449" t="s">
        <v>871</v>
      </c>
      <c r="B449" t="s">
        <v>872</v>
      </c>
      <c r="C449" t="s">
        <v>4818</v>
      </c>
      <c r="D449" t="s">
        <v>18</v>
      </c>
      <c r="E449" t="s">
        <v>1797</v>
      </c>
      <c r="F449" t="s">
        <v>1798</v>
      </c>
      <c r="G449" t="s">
        <v>21</v>
      </c>
      <c r="H449" t="s">
        <v>4888</v>
      </c>
      <c r="I449" t="s">
        <v>4893</v>
      </c>
      <c r="J449" s="4" t="s">
        <v>4894</v>
      </c>
      <c r="K449" s="4" t="s">
        <v>4896</v>
      </c>
      <c r="L449" s="4" t="s">
        <v>4892</v>
      </c>
      <c r="M449" s="4" t="s">
        <v>5035</v>
      </c>
      <c r="N449" t="s">
        <v>1799</v>
      </c>
      <c r="O449" t="s">
        <v>1800</v>
      </c>
      <c r="P449" t="s">
        <v>23</v>
      </c>
      <c r="Q449" t="s">
        <v>24</v>
      </c>
      <c r="R449" t="s">
        <v>25</v>
      </c>
      <c r="S449" t="s">
        <v>26</v>
      </c>
      <c r="T449" s="6">
        <v>46307</v>
      </c>
      <c r="U449">
        <v>48</v>
      </c>
      <c r="V449">
        <v>48</v>
      </c>
      <c r="W449">
        <v>36</v>
      </c>
      <c r="X449">
        <v>36</v>
      </c>
      <c r="Y449">
        <f t="shared" si="57"/>
        <v>0</v>
      </c>
      <c r="Z449">
        <f t="shared" si="58"/>
        <v>12</v>
      </c>
      <c r="AA449">
        <f>Z449</f>
        <v>12</v>
      </c>
      <c r="AC449" s="1">
        <v>0</v>
      </c>
      <c r="AF449">
        <f>X449</f>
        <v>36</v>
      </c>
      <c r="AG449" s="7">
        <v>12</v>
      </c>
      <c r="AH449">
        <f t="shared" si="59"/>
        <v>36</v>
      </c>
      <c r="AI449">
        <f t="shared" si="56"/>
        <v>12</v>
      </c>
      <c r="AK449">
        <f t="shared" si="60"/>
        <v>3</v>
      </c>
      <c r="AL449">
        <v>10.220000000000001</v>
      </c>
      <c r="AM449" t="s">
        <v>27</v>
      </c>
      <c r="AN449">
        <v>10.220000000000001</v>
      </c>
      <c r="AO449" t="b">
        <f t="shared" si="61"/>
        <v>1</v>
      </c>
      <c r="AR449" t="s">
        <v>5061</v>
      </c>
      <c r="AS449" s="21">
        <v>46276</v>
      </c>
      <c r="AT449" t="s">
        <v>5062</v>
      </c>
      <c r="AU449" t="s">
        <v>5068</v>
      </c>
      <c r="AV449" t="s">
        <v>5062</v>
      </c>
      <c r="AW449" t="s">
        <v>5086</v>
      </c>
    </row>
    <row r="450" spans="1:49" x14ac:dyDescent="0.35">
      <c r="A450" t="s">
        <v>871</v>
      </c>
      <c r="B450" t="s">
        <v>872</v>
      </c>
      <c r="C450" t="s">
        <v>4818</v>
      </c>
      <c r="D450" t="s">
        <v>18</v>
      </c>
      <c r="E450" t="s">
        <v>1801</v>
      </c>
      <c r="F450" t="s">
        <v>1802</v>
      </c>
      <c r="G450" t="s">
        <v>21</v>
      </c>
      <c r="H450" t="s">
        <v>4888</v>
      </c>
      <c r="I450" t="s">
        <v>4906</v>
      </c>
      <c r="J450" s="4" t="s">
        <v>4907</v>
      </c>
      <c r="K450" s="4" t="s">
        <v>4908</v>
      </c>
      <c r="L450" s="4" t="s">
        <v>4917</v>
      </c>
      <c r="M450" s="4" t="s">
        <v>5035</v>
      </c>
      <c r="N450" t="s">
        <v>1803</v>
      </c>
      <c r="O450" t="s">
        <v>1804</v>
      </c>
      <c r="P450" t="s">
        <v>23</v>
      </c>
      <c r="Q450" t="s">
        <v>24</v>
      </c>
      <c r="R450" t="s">
        <v>25</v>
      </c>
      <c r="S450" t="s">
        <v>26</v>
      </c>
      <c r="T450" s="6">
        <v>46307</v>
      </c>
      <c r="U450">
        <v>24</v>
      </c>
      <c r="V450">
        <v>24</v>
      </c>
      <c r="W450">
        <v>24</v>
      </c>
      <c r="X450">
        <v>24</v>
      </c>
      <c r="Y450">
        <f t="shared" si="57"/>
        <v>0</v>
      </c>
      <c r="Z450">
        <f t="shared" si="58"/>
        <v>0</v>
      </c>
      <c r="AC450" s="1">
        <v>0</v>
      </c>
      <c r="AF450">
        <f t="shared" ref="AF450:AF455" si="67">V450</f>
        <v>24</v>
      </c>
      <c r="AG450" s="7">
        <v>12</v>
      </c>
      <c r="AH450">
        <f t="shared" si="59"/>
        <v>24</v>
      </c>
      <c r="AI450">
        <f t="shared" si="56"/>
        <v>0</v>
      </c>
      <c r="AK450">
        <f t="shared" si="60"/>
        <v>2</v>
      </c>
      <c r="AL450">
        <v>10.19</v>
      </c>
      <c r="AM450" t="s">
        <v>27</v>
      </c>
      <c r="AN450">
        <v>10.19</v>
      </c>
      <c r="AO450" t="b">
        <f t="shared" si="61"/>
        <v>1</v>
      </c>
      <c r="AR450" t="s">
        <v>5061</v>
      </c>
      <c r="AS450" s="21">
        <v>46276</v>
      </c>
      <c r="AT450" t="s">
        <v>5062</v>
      </c>
      <c r="AU450" t="s">
        <v>5070</v>
      </c>
      <c r="AV450" t="s">
        <v>5062</v>
      </c>
      <c r="AW450" t="s">
        <v>5086</v>
      </c>
    </row>
    <row r="451" spans="1:49" x14ac:dyDescent="0.35">
      <c r="A451" t="s">
        <v>871</v>
      </c>
      <c r="B451" t="s">
        <v>872</v>
      </c>
      <c r="C451" t="s">
        <v>4818</v>
      </c>
      <c r="D451" t="s">
        <v>18</v>
      </c>
      <c r="E451" t="s">
        <v>1805</v>
      </c>
      <c r="F451" t="s">
        <v>1806</v>
      </c>
      <c r="G451" t="s">
        <v>21</v>
      </c>
      <c r="H451" t="s">
        <v>4888</v>
      </c>
      <c r="I451" t="s">
        <v>4893</v>
      </c>
      <c r="J451" s="4" t="s">
        <v>4894</v>
      </c>
      <c r="K451" s="4" t="s">
        <v>4913</v>
      </c>
      <c r="L451" s="4" t="s">
        <v>4928</v>
      </c>
      <c r="M451" s="4" t="s">
        <v>5035</v>
      </c>
      <c r="N451" t="s">
        <v>1807</v>
      </c>
      <c r="O451" t="s">
        <v>1808</v>
      </c>
      <c r="P451" t="s">
        <v>23</v>
      </c>
      <c r="Q451" t="s">
        <v>24</v>
      </c>
      <c r="R451" t="s">
        <v>25</v>
      </c>
      <c r="S451" t="s">
        <v>26</v>
      </c>
      <c r="T451" s="6">
        <v>46307</v>
      </c>
      <c r="U451">
        <v>24</v>
      </c>
      <c r="V451">
        <v>24</v>
      </c>
      <c r="W451">
        <v>24</v>
      </c>
      <c r="X451">
        <v>24</v>
      </c>
      <c r="Y451">
        <f t="shared" si="57"/>
        <v>0</v>
      </c>
      <c r="Z451">
        <f t="shared" si="58"/>
        <v>0</v>
      </c>
      <c r="AC451" s="1">
        <v>0</v>
      </c>
      <c r="AF451">
        <f t="shared" si="67"/>
        <v>24</v>
      </c>
      <c r="AG451" s="7">
        <v>12</v>
      </c>
      <c r="AH451">
        <f t="shared" si="59"/>
        <v>24</v>
      </c>
      <c r="AI451">
        <f t="shared" ref="AI451:AI514" si="68">V451-AH451</f>
        <v>0</v>
      </c>
      <c r="AK451">
        <f t="shared" si="60"/>
        <v>2</v>
      </c>
      <c r="AL451">
        <v>9.9499999999999993</v>
      </c>
      <c r="AM451" t="s">
        <v>27</v>
      </c>
      <c r="AN451">
        <v>9.9499999999999993</v>
      </c>
      <c r="AO451" t="b">
        <f t="shared" si="61"/>
        <v>1</v>
      </c>
      <c r="AR451" t="s">
        <v>5061</v>
      </c>
      <c r="AS451" s="21">
        <v>46276</v>
      </c>
      <c r="AT451" t="s">
        <v>5062</v>
      </c>
      <c r="AU451" t="s">
        <v>5068</v>
      </c>
      <c r="AV451" t="s">
        <v>5062</v>
      </c>
      <c r="AW451" t="s">
        <v>5086</v>
      </c>
    </row>
    <row r="452" spans="1:49" x14ac:dyDescent="0.35">
      <c r="A452" t="s">
        <v>871</v>
      </c>
      <c r="B452" t="s">
        <v>872</v>
      </c>
      <c r="C452" t="s">
        <v>4818</v>
      </c>
      <c r="D452" t="s">
        <v>18</v>
      </c>
      <c r="E452" t="s">
        <v>1809</v>
      </c>
      <c r="F452" t="s">
        <v>1810</v>
      </c>
      <c r="G452" t="s">
        <v>21</v>
      </c>
      <c r="H452" t="s">
        <v>4888</v>
      </c>
      <c r="I452" t="s">
        <v>4906</v>
      </c>
      <c r="J452" s="4" t="s">
        <v>4907</v>
      </c>
      <c r="K452" s="4" t="s">
        <v>4908</v>
      </c>
      <c r="L452" s="4" t="s">
        <v>4925</v>
      </c>
      <c r="M452" s="4" t="s">
        <v>5035</v>
      </c>
      <c r="N452" t="s">
        <v>1811</v>
      </c>
      <c r="O452" t="s">
        <v>1812</v>
      </c>
      <c r="P452" t="s">
        <v>23</v>
      </c>
      <c r="Q452" t="s">
        <v>24</v>
      </c>
      <c r="R452" t="s">
        <v>25</v>
      </c>
      <c r="S452" t="s">
        <v>26</v>
      </c>
      <c r="T452" s="6">
        <v>46307</v>
      </c>
      <c r="U452">
        <v>48</v>
      </c>
      <c r="V452">
        <v>48</v>
      </c>
      <c r="W452">
        <v>48</v>
      </c>
      <c r="X452">
        <v>48</v>
      </c>
      <c r="Y452">
        <f t="shared" ref="Y452:Y515" si="69">W452-X452</f>
        <v>0</v>
      </c>
      <c r="Z452">
        <f t="shared" ref="Z452:Z515" si="70">V452-X452</f>
        <v>0</v>
      </c>
      <c r="AC452" s="1">
        <v>0</v>
      </c>
      <c r="AF452">
        <f t="shared" si="67"/>
        <v>48</v>
      </c>
      <c r="AG452" s="7">
        <v>12</v>
      </c>
      <c r="AH452">
        <f t="shared" ref="AH452:AH515" si="71">ROUNDUP(AF452/AG452,0)*AG452</f>
        <v>48</v>
      </c>
      <c r="AI452">
        <f t="shared" si="68"/>
        <v>0</v>
      </c>
      <c r="AK452">
        <f t="shared" ref="AK452:AK515" si="72">AH452/AG452</f>
        <v>4</v>
      </c>
      <c r="AL452">
        <v>10.19</v>
      </c>
      <c r="AM452" t="s">
        <v>27</v>
      </c>
      <c r="AN452">
        <v>10.19</v>
      </c>
      <c r="AO452" t="b">
        <f t="shared" ref="AO452:AO515" si="73">AL452=AN452</f>
        <v>1</v>
      </c>
      <c r="AR452" t="s">
        <v>5061</v>
      </c>
      <c r="AS452" s="21">
        <v>46276</v>
      </c>
      <c r="AT452" t="s">
        <v>5062</v>
      </c>
      <c r="AU452" t="s">
        <v>5070</v>
      </c>
      <c r="AV452" t="s">
        <v>5062</v>
      </c>
      <c r="AW452" t="s">
        <v>5086</v>
      </c>
    </row>
    <row r="453" spans="1:49" x14ac:dyDescent="0.35">
      <c r="A453" t="s">
        <v>871</v>
      </c>
      <c r="B453" t="s">
        <v>872</v>
      </c>
      <c r="C453" t="s">
        <v>4818</v>
      </c>
      <c r="D453" t="s">
        <v>18</v>
      </c>
      <c r="E453" t="s">
        <v>1813</v>
      </c>
      <c r="F453" t="s">
        <v>1814</v>
      </c>
      <c r="G453" t="s">
        <v>21</v>
      </c>
      <c r="H453" t="s">
        <v>4888</v>
      </c>
      <c r="I453" t="s">
        <v>4889</v>
      </c>
      <c r="J453" s="4" t="s">
        <v>4890</v>
      </c>
      <c r="K453" s="4" t="s">
        <v>4911</v>
      </c>
      <c r="L453" s="4" t="s">
        <v>4900</v>
      </c>
      <c r="M453" s="4" t="s">
        <v>5035</v>
      </c>
      <c r="N453" t="s">
        <v>1815</v>
      </c>
      <c r="O453" t="s">
        <v>1816</v>
      </c>
      <c r="P453" t="s">
        <v>23</v>
      </c>
      <c r="Q453" t="s">
        <v>24</v>
      </c>
      <c r="R453" t="s">
        <v>25</v>
      </c>
      <c r="S453" t="s">
        <v>26</v>
      </c>
      <c r="T453" s="6">
        <v>46307</v>
      </c>
      <c r="U453">
        <v>60</v>
      </c>
      <c r="V453">
        <v>60</v>
      </c>
      <c r="W453">
        <v>60</v>
      </c>
      <c r="X453">
        <v>60</v>
      </c>
      <c r="Y453">
        <f t="shared" si="69"/>
        <v>0</v>
      </c>
      <c r="Z453">
        <f t="shared" si="70"/>
        <v>0</v>
      </c>
      <c r="AC453" s="1">
        <v>0</v>
      </c>
      <c r="AF453">
        <f t="shared" si="67"/>
        <v>60</v>
      </c>
      <c r="AG453" s="7">
        <v>12</v>
      </c>
      <c r="AH453">
        <f t="shared" si="71"/>
        <v>60</v>
      </c>
      <c r="AI453">
        <f t="shared" si="68"/>
        <v>0</v>
      </c>
      <c r="AK453">
        <f t="shared" si="72"/>
        <v>5</v>
      </c>
      <c r="AL453">
        <v>11.87</v>
      </c>
      <c r="AM453" t="s">
        <v>27</v>
      </c>
      <c r="AN453">
        <v>11.87</v>
      </c>
      <c r="AO453" t="b">
        <f t="shared" si="73"/>
        <v>1</v>
      </c>
      <c r="AR453" t="s">
        <v>5061</v>
      </c>
      <c r="AS453" s="21">
        <v>46276</v>
      </c>
      <c r="AT453" t="s">
        <v>5062</v>
      </c>
      <c r="AU453" t="s">
        <v>5067</v>
      </c>
      <c r="AV453" t="s">
        <v>5062</v>
      </c>
      <c r="AW453" t="s">
        <v>5086</v>
      </c>
    </row>
    <row r="454" spans="1:49" x14ac:dyDescent="0.35">
      <c r="A454" t="s">
        <v>871</v>
      </c>
      <c r="B454" t="s">
        <v>872</v>
      </c>
      <c r="C454" t="s">
        <v>4818</v>
      </c>
      <c r="D454" t="s">
        <v>18</v>
      </c>
      <c r="E454" t="s">
        <v>1817</v>
      </c>
      <c r="F454" t="s">
        <v>1818</v>
      </c>
      <c r="G454" t="s">
        <v>21</v>
      </c>
      <c r="H454" t="s">
        <v>4888</v>
      </c>
      <c r="I454" t="s">
        <v>4889</v>
      </c>
      <c r="J454" s="4" t="s">
        <v>4890</v>
      </c>
      <c r="K454" s="4" t="s">
        <v>4899</v>
      </c>
      <c r="L454" s="4" t="s">
        <v>4914</v>
      </c>
      <c r="M454" s="4" t="s">
        <v>5035</v>
      </c>
      <c r="N454" t="s">
        <v>1819</v>
      </c>
      <c r="O454" t="s">
        <v>1820</v>
      </c>
      <c r="P454" t="s">
        <v>23</v>
      </c>
      <c r="Q454" t="s">
        <v>24</v>
      </c>
      <c r="R454" t="s">
        <v>25</v>
      </c>
      <c r="S454" t="s">
        <v>26</v>
      </c>
      <c r="T454" s="6">
        <v>46307</v>
      </c>
      <c r="U454">
        <v>36</v>
      </c>
      <c r="V454">
        <v>36</v>
      </c>
      <c r="W454">
        <v>36</v>
      </c>
      <c r="X454">
        <v>36</v>
      </c>
      <c r="Y454">
        <f t="shared" si="69"/>
        <v>0</v>
      </c>
      <c r="Z454">
        <f t="shared" si="70"/>
        <v>0</v>
      </c>
      <c r="AC454" s="1"/>
      <c r="AF454">
        <f t="shared" si="67"/>
        <v>36</v>
      </c>
      <c r="AG454" s="7">
        <v>12</v>
      </c>
      <c r="AH454">
        <f t="shared" si="71"/>
        <v>36</v>
      </c>
      <c r="AI454">
        <f t="shared" si="68"/>
        <v>0</v>
      </c>
      <c r="AK454">
        <f t="shared" si="72"/>
        <v>3</v>
      </c>
      <c r="AL454">
        <v>10.9</v>
      </c>
      <c r="AM454" t="s">
        <v>27</v>
      </c>
      <c r="AN454">
        <v>10.9</v>
      </c>
      <c r="AO454" t="b">
        <f t="shared" si="73"/>
        <v>1</v>
      </c>
      <c r="AR454" t="s">
        <v>5061</v>
      </c>
      <c r="AS454" s="21">
        <v>46276</v>
      </c>
      <c r="AT454" t="s">
        <v>5062</v>
      </c>
      <c r="AU454" t="s">
        <v>5067</v>
      </c>
      <c r="AV454" t="s">
        <v>5062</v>
      </c>
      <c r="AW454" t="s">
        <v>5086</v>
      </c>
    </row>
    <row r="455" spans="1:49" x14ac:dyDescent="0.35">
      <c r="A455" t="s">
        <v>871</v>
      </c>
      <c r="B455" t="s">
        <v>872</v>
      </c>
      <c r="C455" t="s">
        <v>4818</v>
      </c>
      <c r="D455" t="s">
        <v>18</v>
      </c>
      <c r="E455" t="s">
        <v>1821</v>
      </c>
      <c r="F455" t="s">
        <v>1822</v>
      </c>
      <c r="G455" t="s">
        <v>21</v>
      </c>
      <c r="H455" t="s">
        <v>4888</v>
      </c>
      <c r="I455" t="s">
        <v>4889</v>
      </c>
      <c r="J455" s="4" t="s">
        <v>4890</v>
      </c>
      <c r="K455" s="4" t="s">
        <v>4891</v>
      </c>
      <c r="L455" s="4" t="s">
        <v>4905</v>
      </c>
      <c r="M455" s="4" t="s">
        <v>5035</v>
      </c>
      <c r="N455" t="s">
        <v>1823</v>
      </c>
      <c r="O455" t="s">
        <v>1824</v>
      </c>
      <c r="P455" t="s">
        <v>23</v>
      </c>
      <c r="Q455" t="s">
        <v>24</v>
      </c>
      <c r="R455" t="s">
        <v>25</v>
      </c>
      <c r="S455" t="s">
        <v>26</v>
      </c>
      <c r="T455" s="6">
        <v>46307</v>
      </c>
      <c r="U455">
        <v>132</v>
      </c>
      <c r="V455">
        <v>132</v>
      </c>
      <c r="W455">
        <v>132</v>
      </c>
      <c r="X455">
        <v>132</v>
      </c>
      <c r="Y455">
        <f t="shared" si="69"/>
        <v>0</v>
      </c>
      <c r="Z455">
        <f t="shared" si="70"/>
        <v>0</v>
      </c>
      <c r="AC455" s="1">
        <v>0</v>
      </c>
      <c r="AF455">
        <f t="shared" si="67"/>
        <v>132</v>
      </c>
      <c r="AG455" s="7">
        <v>12</v>
      </c>
      <c r="AH455">
        <f t="shared" si="71"/>
        <v>132</v>
      </c>
      <c r="AI455">
        <f t="shared" si="68"/>
        <v>0</v>
      </c>
      <c r="AK455">
        <f t="shared" si="72"/>
        <v>11</v>
      </c>
      <c r="AL455">
        <v>11.2</v>
      </c>
      <c r="AM455" t="s">
        <v>27</v>
      </c>
      <c r="AN455">
        <v>11.2</v>
      </c>
      <c r="AO455" t="b">
        <f t="shared" si="73"/>
        <v>1</v>
      </c>
      <c r="AR455" t="s">
        <v>5061</v>
      </c>
      <c r="AS455" s="21">
        <v>46276</v>
      </c>
      <c r="AT455" t="s">
        <v>5062</v>
      </c>
      <c r="AU455" t="s">
        <v>5067</v>
      </c>
      <c r="AV455" t="s">
        <v>5062</v>
      </c>
      <c r="AW455" t="s">
        <v>5086</v>
      </c>
    </row>
    <row r="456" spans="1:49" x14ac:dyDescent="0.35">
      <c r="A456" t="s">
        <v>871</v>
      </c>
      <c r="B456" t="s">
        <v>872</v>
      </c>
      <c r="C456" t="s">
        <v>4818</v>
      </c>
      <c r="D456" t="s">
        <v>18</v>
      </c>
      <c r="E456" t="s">
        <v>1825</v>
      </c>
      <c r="F456" t="s">
        <v>1826</v>
      </c>
      <c r="G456" t="s">
        <v>21</v>
      </c>
      <c r="H456" t="s">
        <v>4888</v>
      </c>
      <c r="I456" t="s">
        <v>4893</v>
      </c>
      <c r="J456" s="4" t="s">
        <v>4894</v>
      </c>
      <c r="K456" s="4" t="s">
        <v>4837</v>
      </c>
      <c r="L456" s="4" t="s">
        <v>4875</v>
      </c>
      <c r="M456" s="4" t="s">
        <v>5035</v>
      </c>
      <c r="N456" t="s">
        <v>1827</v>
      </c>
      <c r="O456" t="s">
        <v>1828</v>
      </c>
      <c r="P456" t="s">
        <v>23</v>
      </c>
      <c r="Q456" t="s">
        <v>24</v>
      </c>
      <c r="R456" t="s">
        <v>25</v>
      </c>
      <c r="S456" t="s">
        <v>26</v>
      </c>
      <c r="T456" s="6">
        <v>46307</v>
      </c>
      <c r="U456">
        <v>72</v>
      </c>
      <c r="V456">
        <v>72</v>
      </c>
      <c r="W456">
        <v>60</v>
      </c>
      <c r="X456">
        <v>60</v>
      </c>
      <c r="Y456">
        <f t="shared" si="69"/>
        <v>0</v>
      </c>
      <c r="Z456">
        <f t="shared" si="70"/>
        <v>12</v>
      </c>
      <c r="AA456">
        <f>Z456</f>
        <v>12</v>
      </c>
      <c r="AC456" s="1">
        <v>0</v>
      </c>
      <c r="AF456">
        <f>X456</f>
        <v>60</v>
      </c>
      <c r="AG456" s="7">
        <v>12</v>
      </c>
      <c r="AH456">
        <f t="shared" si="71"/>
        <v>60</v>
      </c>
      <c r="AI456">
        <f t="shared" si="68"/>
        <v>12</v>
      </c>
      <c r="AK456">
        <f t="shared" si="72"/>
        <v>5</v>
      </c>
      <c r="AL456">
        <v>10.06</v>
      </c>
      <c r="AM456" t="s">
        <v>27</v>
      </c>
      <c r="AN456">
        <v>10.06</v>
      </c>
      <c r="AO456" t="b">
        <f t="shared" si="73"/>
        <v>1</v>
      </c>
      <c r="AR456" t="s">
        <v>5061</v>
      </c>
      <c r="AS456" s="21">
        <v>46276</v>
      </c>
      <c r="AT456" t="s">
        <v>5062</v>
      </c>
      <c r="AU456" t="s">
        <v>5068</v>
      </c>
      <c r="AV456" t="s">
        <v>5062</v>
      </c>
      <c r="AW456" t="s">
        <v>5086</v>
      </c>
    </row>
    <row r="457" spans="1:49" x14ac:dyDescent="0.35">
      <c r="A457" t="s">
        <v>871</v>
      </c>
      <c r="B457" t="s">
        <v>872</v>
      </c>
      <c r="C457" t="s">
        <v>4818</v>
      </c>
      <c r="D457" t="s">
        <v>18</v>
      </c>
      <c r="E457" t="s">
        <v>1829</v>
      </c>
      <c r="F457" t="s">
        <v>1830</v>
      </c>
      <c r="G457" t="s">
        <v>21</v>
      </c>
      <c r="H457" t="s">
        <v>4888</v>
      </c>
      <c r="I457" t="s">
        <v>4893</v>
      </c>
      <c r="J457" s="4" t="s">
        <v>4894</v>
      </c>
      <c r="K457" s="4" t="s">
        <v>4837</v>
      </c>
      <c r="L457" s="4" t="s">
        <v>4864</v>
      </c>
      <c r="M457" s="4" t="s">
        <v>5035</v>
      </c>
      <c r="N457" t="s">
        <v>1831</v>
      </c>
      <c r="O457" t="s">
        <v>1832</v>
      </c>
      <c r="P457" t="s">
        <v>23</v>
      </c>
      <c r="Q457" t="s">
        <v>24</v>
      </c>
      <c r="R457" t="s">
        <v>25</v>
      </c>
      <c r="S457" t="s">
        <v>26</v>
      </c>
      <c r="T457" s="6">
        <v>46307</v>
      </c>
      <c r="U457">
        <v>24</v>
      </c>
      <c r="V457">
        <v>24</v>
      </c>
      <c r="W457">
        <v>24</v>
      </c>
      <c r="X457">
        <v>24</v>
      </c>
      <c r="Y457">
        <f t="shared" si="69"/>
        <v>0</v>
      </c>
      <c r="Z457">
        <f t="shared" si="70"/>
        <v>0</v>
      </c>
      <c r="AC457" s="1">
        <v>0</v>
      </c>
      <c r="AF457">
        <f>V457</f>
        <v>24</v>
      </c>
      <c r="AG457" s="7">
        <v>12</v>
      </c>
      <c r="AH457">
        <f t="shared" si="71"/>
        <v>24</v>
      </c>
      <c r="AI457">
        <f t="shared" si="68"/>
        <v>0</v>
      </c>
      <c r="AK457">
        <f t="shared" si="72"/>
        <v>2</v>
      </c>
      <c r="AL457">
        <v>10.06</v>
      </c>
      <c r="AM457" t="s">
        <v>27</v>
      </c>
      <c r="AN457">
        <v>10.06</v>
      </c>
      <c r="AO457" t="b">
        <f t="shared" si="73"/>
        <v>1</v>
      </c>
      <c r="AR457" t="s">
        <v>5061</v>
      </c>
      <c r="AS457" s="21">
        <v>46276</v>
      </c>
      <c r="AT457" t="s">
        <v>5062</v>
      </c>
      <c r="AU457" t="s">
        <v>5068</v>
      </c>
      <c r="AV457" t="s">
        <v>5062</v>
      </c>
      <c r="AW457" t="s">
        <v>5086</v>
      </c>
    </row>
    <row r="458" spans="1:49" x14ac:dyDescent="0.35">
      <c r="A458" t="s">
        <v>871</v>
      </c>
      <c r="B458" t="s">
        <v>872</v>
      </c>
      <c r="C458" t="s">
        <v>4818</v>
      </c>
      <c r="D458" t="s">
        <v>18</v>
      </c>
      <c r="E458" t="s">
        <v>1833</v>
      </c>
      <c r="F458" t="s">
        <v>1834</v>
      </c>
      <c r="G458" t="s">
        <v>21</v>
      </c>
      <c r="H458" t="s">
        <v>4888</v>
      </c>
      <c r="I458" t="s">
        <v>4893</v>
      </c>
      <c r="J458" s="4" t="s">
        <v>4894</v>
      </c>
      <c r="K458" s="4" t="s">
        <v>4904</v>
      </c>
      <c r="L458" s="4" t="s">
        <v>4870</v>
      </c>
      <c r="M458" s="4" t="s">
        <v>5035</v>
      </c>
      <c r="N458" t="s">
        <v>1835</v>
      </c>
      <c r="O458" t="s">
        <v>1836</v>
      </c>
      <c r="P458" t="s">
        <v>23</v>
      </c>
      <c r="Q458" t="s">
        <v>24</v>
      </c>
      <c r="R458" t="s">
        <v>25</v>
      </c>
      <c r="S458" t="s">
        <v>26</v>
      </c>
      <c r="T458" s="6">
        <v>46307</v>
      </c>
      <c r="U458">
        <v>120</v>
      </c>
      <c r="V458">
        <v>120</v>
      </c>
      <c r="W458">
        <v>132</v>
      </c>
      <c r="X458">
        <v>132</v>
      </c>
      <c r="Y458">
        <f t="shared" si="69"/>
        <v>0</v>
      </c>
      <c r="Z458">
        <f t="shared" si="70"/>
        <v>-12</v>
      </c>
      <c r="AC458" s="1"/>
      <c r="AF458">
        <f>V458</f>
        <v>120</v>
      </c>
      <c r="AG458" s="7">
        <v>12</v>
      </c>
      <c r="AH458">
        <f t="shared" si="71"/>
        <v>120</v>
      </c>
      <c r="AI458">
        <f t="shared" si="68"/>
        <v>0</v>
      </c>
      <c r="AK458">
        <f t="shared" si="72"/>
        <v>10</v>
      </c>
      <c r="AL458">
        <v>10.16</v>
      </c>
      <c r="AM458" t="s">
        <v>27</v>
      </c>
      <c r="AN458">
        <v>10.16</v>
      </c>
      <c r="AO458" t="b">
        <f t="shared" si="73"/>
        <v>1</v>
      </c>
      <c r="AR458" t="s">
        <v>5061</v>
      </c>
      <c r="AS458" s="21">
        <v>46276</v>
      </c>
      <c r="AT458" t="s">
        <v>5062</v>
      </c>
      <c r="AU458" t="s">
        <v>5068</v>
      </c>
      <c r="AV458" t="s">
        <v>5062</v>
      </c>
      <c r="AW458" t="s">
        <v>5086</v>
      </c>
    </row>
    <row r="459" spans="1:49" x14ac:dyDescent="0.35">
      <c r="A459" t="s">
        <v>871</v>
      </c>
      <c r="B459" t="s">
        <v>872</v>
      </c>
      <c r="C459" t="s">
        <v>4818</v>
      </c>
      <c r="D459" t="s">
        <v>18</v>
      </c>
      <c r="E459" t="s">
        <v>1837</v>
      </c>
      <c r="F459" t="s">
        <v>1838</v>
      </c>
      <c r="G459" t="s">
        <v>21</v>
      </c>
      <c r="H459" t="s">
        <v>4888</v>
      </c>
      <c r="I459" t="s">
        <v>4893</v>
      </c>
      <c r="J459" s="4" t="s">
        <v>4894</v>
      </c>
      <c r="K459" s="4" t="s">
        <v>4913</v>
      </c>
      <c r="L459" s="4" t="s">
        <v>4867</v>
      </c>
      <c r="M459" s="4" t="s">
        <v>5035</v>
      </c>
      <c r="N459" t="s">
        <v>1839</v>
      </c>
      <c r="O459" t="s">
        <v>1840</v>
      </c>
      <c r="P459" t="s">
        <v>23</v>
      </c>
      <c r="Q459" t="s">
        <v>24</v>
      </c>
      <c r="R459" t="s">
        <v>25</v>
      </c>
      <c r="S459" t="s">
        <v>26</v>
      </c>
      <c r="T459" s="6">
        <v>46307</v>
      </c>
      <c r="U459">
        <v>24</v>
      </c>
      <c r="V459">
        <v>24</v>
      </c>
      <c r="W459">
        <v>24</v>
      </c>
      <c r="X459">
        <v>24</v>
      </c>
      <c r="Y459">
        <f t="shared" si="69"/>
        <v>0</v>
      </c>
      <c r="Z459">
        <f t="shared" si="70"/>
        <v>0</v>
      </c>
      <c r="AC459" s="1">
        <v>0</v>
      </c>
      <c r="AF459">
        <f>V459</f>
        <v>24</v>
      </c>
      <c r="AG459" s="7">
        <v>12</v>
      </c>
      <c r="AH459">
        <f t="shared" si="71"/>
        <v>24</v>
      </c>
      <c r="AI459">
        <f t="shared" si="68"/>
        <v>0</v>
      </c>
      <c r="AK459">
        <f t="shared" si="72"/>
        <v>2</v>
      </c>
      <c r="AL459">
        <v>9.9499999999999993</v>
      </c>
      <c r="AM459" t="s">
        <v>27</v>
      </c>
      <c r="AN459">
        <v>9.9499999999999993</v>
      </c>
      <c r="AO459" t="b">
        <f t="shared" si="73"/>
        <v>1</v>
      </c>
      <c r="AR459" t="s">
        <v>5061</v>
      </c>
      <c r="AS459" s="21">
        <v>46276</v>
      </c>
      <c r="AT459" t="s">
        <v>5062</v>
      </c>
      <c r="AU459" t="s">
        <v>5068</v>
      </c>
      <c r="AV459" t="s">
        <v>5062</v>
      </c>
      <c r="AW459" t="s">
        <v>5086</v>
      </c>
    </row>
    <row r="460" spans="1:49" x14ac:dyDescent="0.35">
      <c r="A460" t="s">
        <v>871</v>
      </c>
      <c r="B460" t="s">
        <v>872</v>
      </c>
      <c r="C460" t="s">
        <v>4818</v>
      </c>
      <c r="D460" t="s">
        <v>18</v>
      </c>
      <c r="E460" t="s">
        <v>1841</v>
      </c>
      <c r="F460" t="s">
        <v>1842</v>
      </c>
      <c r="G460" t="s">
        <v>21</v>
      </c>
      <c r="H460" t="s">
        <v>4888</v>
      </c>
      <c r="I460" t="s">
        <v>4906</v>
      </c>
      <c r="J460" s="4" t="s">
        <v>4907</v>
      </c>
      <c r="K460" s="4" t="s">
        <v>4908</v>
      </c>
      <c r="L460" s="4" t="s">
        <v>4932</v>
      </c>
      <c r="M460" s="4" t="s">
        <v>5035</v>
      </c>
      <c r="N460" t="s">
        <v>1843</v>
      </c>
      <c r="O460" t="s">
        <v>1844</v>
      </c>
      <c r="P460" t="s">
        <v>23</v>
      </c>
      <c r="Q460" t="s">
        <v>24</v>
      </c>
      <c r="R460" t="s">
        <v>25</v>
      </c>
      <c r="S460" t="s">
        <v>26</v>
      </c>
      <c r="T460" s="6">
        <v>46307</v>
      </c>
      <c r="U460">
        <v>72</v>
      </c>
      <c r="V460">
        <v>72</v>
      </c>
      <c r="W460">
        <v>60</v>
      </c>
      <c r="X460">
        <v>60</v>
      </c>
      <c r="Y460">
        <f t="shared" si="69"/>
        <v>0</v>
      </c>
      <c r="Z460">
        <f t="shared" si="70"/>
        <v>12</v>
      </c>
      <c r="AA460">
        <f>Z460</f>
        <v>12</v>
      </c>
      <c r="AC460" s="1">
        <v>0</v>
      </c>
      <c r="AF460">
        <f>X460</f>
        <v>60</v>
      </c>
      <c r="AG460" s="7">
        <v>12</v>
      </c>
      <c r="AH460">
        <f t="shared" si="71"/>
        <v>60</v>
      </c>
      <c r="AI460">
        <f t="shared" si="68"/>
        <v>12</v>
      </c>
      <c r="AK460">
        <f t="shared" si="72"/>
        <v>5</v>
      </c>
      <c r="AL460">
        <v>10.19</v>
      </c>
      <c r="AM460" t="s">
        <v>27</v>
      </c>
      <c r="AN460">
        <v>10.19</v>
      </c>
      <c r="AO460" t="b">
        <f t="shared" si="73"/>
        <v>1</v>
      </c>
      <c r="AR460" t="s">
        <v>5061</v>
      </c>
      <c r="AS460" s="21">
        <v>46276</v>
      </c>
      <c r="AT460" t="s">
        <v>5062</v>
      </c>
      <c r="AU460" t="s">
        <v>5070</v>
      </c>
      <c r="AV460" t="s">
        <v>5062</v>
      </c>
      <c r="AW460" t="s">
        <v>5086</v>
      </c>
    </row>
    <row r="461" spans="1:49" x14ac:dyDescent="0.35">
      <c r="A461" t="s">
        <v>871</v>
      </c>
      <c r="B461" t="s">
        <v>872</v>
      </c>
      <c r="C461" t="s">
        <v>4818</v>
      </c>
      <c r="D461" t="s">
        <v>18</v>
      </c>
      <c r="E461" t="s">
        <v>1845</v>
      </c>
      <c r="F461" t="s">
        <v>1846</v>
      </c>
      <c r="G461" t="s">
        <v>21</v>
      </c>
      <c r="H461" t="s">
        <v>4888</v>
      </c>
      <c r="I461" t="s">
        <v>4893</v>
      </c>
      <c r="J461" s="4" t="s">
        <v>4894</v>
      </c>
      <c r="K461" s="4" t="s">
        <v>4904</v>
      </c>
      <c r="L461" s="4" t="s">
        <v>4873</v>
      </c>
      <c r="M461" s="4" t="s">
        <v>5035</v>
      </c>
      <c r="N461" t="s">
        <v>1847</v>
      </c>
      <c r="O461" t="s">
        <v>1848</v>
      </c>
      <c r="P461" t="s">
        <v>23</v>
      </c>
      <c r="Q461" t="s">
        <v>24</v>
      </c>
      <c r="R461" t="s">
        <v>25</v>
      </c>
      <c r="S461" t="s">
        <v>26</v>
      </c>
      <c r="T461" s="6">
        <v>46307</v>
      </c>
      <c r="U461">
        <v>96</v>
      </c>
      <c r="V461">
        <v>96</v>
      </c>
      <c r="W461">
        <v>96</v>
      </c>
      <c r="X461">
        <v>96</v>
      </c>
      <c r="Y461">
        <f t="shared" si="69"/>
        <v>0</v>
      </c>
      <c r="Z461">
        <f t="shared" si="70"/>
        <v>0</v>
      </c>
      <c r="AC461" s="1">
        <v>0</v>
      </c>
      <c r="AF461">
        <f>V461</f>
        <v>96</v>
      </c>
      <c r="AG461" s="7">
        <v>12</v>
      </c>
      <c r="AH461">
        <f t="shared" si="71"/>
        <v>96</v>
      </c>
      <c r="AI461">
        <f t="shared" si="68"/>
        <v>0</v>
      </c>
      <c r="AK461">
        <f t="shared" si="72"/>
        <v>8</v>
      </c>
      <c r="AL461">
        <v>10.16</v>
      </c>
      <c r="AM461" t="s">
        <v>27</v>
      </c>
      <c r="AN461">
        <v>10.16</v>
      </c>
      <c r="AO461" t="b">
        <f t="shared" si="73"/>
        <v>1</v>
      </c>
      <c r="AR461" t="s">
        <v>5061</v>
      </c>
      <c r="AS461" s="21">
        <v>46276</v>
      </c>
      <c r="AT461" t="s">
        <v>5062</v>
      </c>
      <c r="AU461" t="s">
        <v>5068</v>
      </c>
      <c r="AV461" t="s">
        <v>5062</v>
      </c>
      <c r="AW461" t="s">
        <v>5086</v>
      </c>
    </row>
    <row r="462" spans="1:49" x14ac:dyDescent="0.35">
      <c r="A462" t="s">
        <v>871</v>
      </c>
      <c r="B462" t="s">
        <v>872</v>
      </c>
      <c r="C462" t="s">
        <v>4818</v>
      </c>
      <c r="D462" t="s">
        <v>18</v>
      </c>
      <c r="E462" t="s">
        <v>1849</v>
      </c>
      <c r="F462" t="s">
        <v>1850</v>
      </c>
      <c r="G462" t="s">
        <v>21</v>
      </c>
      <c r="H462" t="s">
        <v>4888</v>
      </c>
      <c r="I462" t="s">
        <v>4889</v>
      </c>
      <c r="J462" s="4" t="s">
        <v>4890</v>
      </c>
      <c r="K462" s="4" t="s">
        <v>4891</v>
      </c>
      <c r="L462" s="4" t="s">
        <v>4875</v>
      </c>
      <c r="M462" s="4" t="s">
        <v>5035</v>
      </c>
      <c r="N462" t="s">
        <v>1851</v>
      </c>
      <c r="O462" t="s">
        <v>1852</v>
      </c>
      <c r="P462" t="s">
        <v>23</v>
      </c>
      <c r="Q462" t="s">
        <v>24</v>
      </c>
      <c r="R462" t="s">
        <v>25</v>
      </c>
      <c r="S462" t="s">
        <v>26</v>
      </c>
      <c r="T462" s="6">
        <v>46307</v>
      </c>
      <c r="U462">
        <v>144</v>
      </c>
      <c r="V462">
        <v>144</v>
      </c>
      <c r="W462">
        <v>120</v>
      </c>
      <c r="X462">
        <v>120</v>
      </c>
      <c r="Y462">
        <f t="shared" si="69"/>
        <v>0</v>
      </c>
      <c r="Z462">
        <f t="shared" si="70"/>
        <v>24</v>
      </c>
      <c r="AA462">
        <f>Z462</f>
        <v>24</v>
      </c>
      <c r="AC462" s="1">
        <v>0</v>
      </c>
      <c r="AF462">
        <f>X462</f>
        <v>120</v>
      </c>
      <c r="AG462" s="7">
        <v>12</v>
      </c>
      <c r="AH462">
        <f t="shared" si="71"/>
        <v>120</v>
      </c>
      <c r="AI462">
        <f t="shared" si="68"/>
        <v>24</v>
      </c>
      <c r="AK462">
        <f t="shared" si="72"/>
        <v>10</v>
      </c>
      <c r="AL462">
        <v>11.2</v>
      </c>
      <c r="AM462" t="s">
        <v>27</v>
      </c>
      <c r="AN462">
        <v>11.2</v>
      </c>
      <c r="AO462" t="b">
        <f t="shared" si="73"/>
        <v>1</v>
      </c>
      <c r="AR462" t="s">
        <v>5061</v>
      </c>
      <c r="AS462" s="21">
        <v>46276</v>
      </c>
      <c r="AT462" t="s">
        <v>5062</v>
      </c>
      <c r="AU462" t="s">
        <v>5067</v>
      </c>
      <c r="AV462" t="s">
        <v>5062</v>
      </c>
      <c r="AW462" t="s">
        <v>5086</v>
      </c>
    </row>
    <row r="463" spans="1:49" x14ac:dyDescent="0.35">
      <c r="A463" t="s">
        <v>871</v>
      </c>
      <c r="B463" t="s">
        <v>872</v>
      </c>
      <c r="C463" t="s">
        <v>4818</v>
      </c>
      <c r="D463" t="s">
        <v>18</v>
      </c>
      <c r="E463" t="s">
        <v>1853</v>
      </c>
      <c r="F463" t="s">
        <v>1854</v>
      </c>
      <c r="G463" t="s">
        <v>21</v>
      </c>
      <c r="H463" t="s">
        <v>4888</v>
      </c>
      <c r="I463" t="s">
        <v>4889</v>
      </c>
      <c r="J463" s="4" t="s">
        <v>4890</v>
      </c>
      <c r="K463" s="4" t="s">
        <v>4911</v>
      </c>
      <c r="L463" s="4" t="s">
        <v>4863</v>
      </c>
      <c r="M463" s="4" t="s">
        <v>5035</v>
      </c>
      <c r="N463" t="s">
        <v>1855</v>
      </c>
      <c r="O463" t="s">
        <v>1856</v>
      </c>
      <c r="P463" t="s">
        <v>23</v>
      </c>
      <c r="Q463" t="s">
        <v>24</v>
      </c>
      <c r="R463" t="s">
        <v>25</v>
      </c>
      <c r="S463" t="s">
        <v>26</v>
      </c>
      <c r="T463" s="6">
        <v>46307</v>
      </c>
      <c r="U463">
        <v>60</v>
      </c>
      <c r="V463">
        <v>60</v>
      </c>
      <c r="W463">
        <v>60</v>
      </c>
      <c r="X463">
        <v>60</v>
      </c>
      <c r="Y463">
        <f t="shared" si="69"/>
        <v>0</v>
      </c>
      <c r="Z463">
        <f t="shared" si="70"/>
        <v>0</v>
      </c>
      <c r="AC463" s="1">
        <v>0</v>
      </c>
      <c r="AF463">
        <f t="shared" ref="AF463:AF471" si="74">V463</f>
        <v>60</v>
      </c>
      <c r="AG463" s="7">
        <v>12</v>
      </c>
      <c r="AH463">
        <f t="shared" si="71"/>
        <v>60</v>
      </c>
      <c r="AI463">
        <f t="shared" si="68"/>
        <v>0</v>
      </c>
      <c r="AK463">
        <f t="shared" si="72"/>
        <v>5</v>
      </c>
      <c r="AL463">
        <v>11.87</v>
      </c>
      <c r="AM463" t="s">
        <v>27</v>
      </c>
      <c r="AN463">
        <v>11.87</v>
      </c>
      <c r="AO463" t="b">
        <f t="shared" si="73"/>
        <v>1</v>
      </c>
      <c r="AR463" t="s">
        <v>5061</v>
      </c>
      <c r="AS463" s="21">
        <v>46276</v>
      </c>
      <c r="AT463" t="s">
        <v>5062</v>
      </c>
      <c r="AU463" t="s">
        <v>5067</v>
      </c>
      <c r="AV463" t="s">
        <v>5062</v>
      </c>
      <c r="AW463" t="s">
        <v>5086</v>
      </c>
    </row>
    <row r="464" spans="1:49" x14ac:dyDescent="0.35">
      <c r="A464" t="s">
        <v>871</v>
      </c>
      <c r="B464" t="s">
        <v>872</v>
      </c>
      <c r="C464" t="s">
        <v>4818</v>
      </c>
      <c r="D464" t="s">
        <v>18</v>
      </c>
      <c r="E464" t="s">
        <v>1857</v>
      </c>
      <c r="F464" t="s">
        <v>1858</v>
      </c>
      <c r="G464" t="s">
        <v>21</v>
      </c>
      <c r="H464" t="s">
        <v>4888</v>
      </c>
      <c r="I464" t="s">
        <v>4906</v>
      </c>
      <c r="J464" s="4" t="s">
        <v>4907</v>
      </c>
      <c r="K464" s="4" t="s">
        <v>4908</v>
      </c>
      <c r="L464" s="4" t="s">
        <v>4919</v>
      </c>
      <c r="M464" s="4" t="s">
        <v>5035</v>
      </c>
      <c r="N464" t="s">
        <v>1859</v>
      </c>
      <c r="O464" t="s">
        <v>1860</v>
      </c>
      <c r="P464" t="s">
        <v>23</v>
      </c>
      <c r="Q464" t="s">
        <v>24</v>
      </c>
      <c r="R464" t="s">
        <v>25</v>
      </c>
      <c r="S464" t="s">
        <v>26</v>
      </c>
      <c r="T464" s="6">
        <v>46307</v>
      </c>
      <c r="U464">
        <v>108</v>
      </c>
      <c r="V464">
        <v>108</v>
      </c>
      <c r="W464">
        <v>120</v>
      </c>
      <c r="X464">
        <v>120</v>
      </c>
      <c r="Y464">
        <f t="shared" si="69"/>
        <v>0</v>
      </c>
      <c r="Z464">
        <f t="shared" si="70"/>
        <v>-12</v>
      </c>
      <c r="AC464" s="1">
        <v>0</v>
      </c>
      <c r="AF464">
        <f t="shared" si="74"/>
        <v>108</v>
      </c>
      <c r="AG464" s="7">
        <v>12</v>
      </c>
      <c r="AH464">
        <f t="shared" si="71"/>
        <v>108</v>
      </c>
      <c r="AI464">
        <f t="shared" si="68"/>
        <v>0</v>
      </c>
      <c r="AK464">
        <f t="shared" si="72"/>
        <v>9</v>
      </c>
      <c r="AL464">
        <v>10.19</v>
      </c>
      <c r="AM464" t="s">
        <v>27</v>
      </c>
      <c r="AN464">
        <v>10.19</v>
      </c>
      <c r="AO464" t="b">
        <f t="shared" si="73"/>
        <v>1</v>
      </c>
      <c r="AR464" t="s">
        <v>5061</v>
      </c>
      <c r="AS464" s="21">
        <v>46276</v>
      </c>
      <c r="AT464" t="s">
        <v>5062</v>
      </c>
      <c r="AU464" t="s">
        <v>5070</v>
      </c>
      <c r="AV464" t="s">
        <v>5062</v>
      </c>
      <c r="AW464" t="s">
        <v>5086</v>
      </c>
    </row>
    <row r="465" spans="1:49" x14ac:dyDescent="0.35">
      <c r="A465" t="s">
        <v>871</v>
      </c>
      <c r="B465" t="s">
        <v>872</v>
      </c>
      <c r="C465" t="s">
        <v>4818</v>
      </c>
      <c r="D465" t="s">
        <v>18</v>
      </c>
      <c r="E465" t="s">
        <v>1861</v>
      </c>
      <c r="F465" t="s">
        <v>1862</v>
      </c>
      <c r="G465" t="s">
        <v>21</v>
      </c>
      <c r="H465" t="s">
        <v>4888</v>
      </c>
      <c r="I465" t="s">
        <v>4889</v>
      </c>
      <c r="J465" s="4" t="s">
        <v>4890</v>
      </c>
      <c r="K465" s="4" t="s">
        <v>4911</v>
      </c>
      <c r="L465" s="4" t="s">
        <v>4885</v>
      </c>
      <c r="M465" s="4" t="s">
        <v>5035</v>
      </c>
      <c r="N465" t="s">
        <v>1863</v>
      </c>
      <c r="O465" t="s">
        <v>1864</v>
      </c>
      <c r="P465" t="s">
        <v>23</v>
      </c>
      <c r="Q465" t="s">
        <v>24</v>
      </c>
      <c r="R465" t="s">
        <v>25</v>
      </c>
      <c r="S465" t="s">
        <v>26</v>
      </c>
      <c r="T465" s="6">
        <v>46307</v>
      </c>
      <c r="U465">
        <v>12</v>
      </c>
      <c r="V465">
        <v>12</v>
      </c>
      <c r="W465">
        <v>12</v>
      </c>
      <c r="X465">
        <v>12</v>
      </c>
      <c r="Y465">
        <f t="shared" si="69"/>
        <v>0</v>
      </c>
      <c r="Z465">
        <f t="shared" si="70"/>
        <v>0</v>
      </c>
      <c r="AC465" s="1">
        <v>0</v>
      </c>
      <c r="AF465">
        <f t="shared" si="74"/>
        <v>12</v>
      </c>
      <c r="AG465" s="7">
        <v>12</v>
      </c>
      <c r="AH465">
        <f t="shared" si="71"/>
        <v>12</v>
      </c>
      <c r="AI465">
        <f t="shared" si="68"/>
        <v>0</v>
      </c>
      <c r="AK465">
        <f t="shared" si="72"/>
        <v>1</v>
      </c>
      <c r="AL465">
        <v>11.87</v>
      </c>
      <c r="AM465" t="s">
        <v>27</v>
      </c>
      <c r="AN465">
        <v>11.87</v>
      </c>
      <c r="AO465" t="b">
        <f t="shared" si="73"/>
        <v>1</v>
      </c>
      <c r="AR465" t="s">
        <v>5061</v>
      </c>
      <c r="AS465" s="21">
        <v>46276</v>
      </c>
      <c r="AT465" t="s">
        <v>5062</v>
      </c>
      <c r="AU465" t="s">
        <v>5067</v>
      </c>
      <c r="AV465" t="s">
        <v>5062</v>
      </c>
      <c r="AW465" t="s">
        <v>5086</v>
      </c>
    </row>
    <row r="466" spans="1:49" x14ac:dyDescent="0.35">
      <c r="A466" t="s">
        <v>871</v>
      </c>
      <c r="B466" t="s">
        <v>872</v>
      </c>
      <c r="C466" t="s">
        <v>4818</v>
      </c>
      <c r="D466" t="s">
        <v>18</v>
      </c>
      <c r="E466" t="s">
        <v>1865</v>
      </c>
      <c r="F466" t="s">
        <v>1866</v>
      </c>
      <c r="G466" t="s">
        <v>21</v>
      </c>
      <c r="H466" t="s">
        <v>4888</v>
      </c>
      <c r="I466" t="s">
        <v>4893</v>
      </c>
      <c r="J466" s="4" t="s">
        <v>4894</v>
      </c>
      <c r="K466" s="4" t="s">
        <v>4896</v>
      </c>
      <c r="L466" s="4" t="s">
        <v>4929</v>
      </c>
      <c r="M466" s="4" t="s">
        <v>5035</v>
      </c>
      <c r="N466" t="s">
        <v>1867</v>
      </c>
      <c r="O466" t="s">
        <v>1868</v>
      </c>
      <c r="P466" t="s">
        <v>23</v>
      </c>
      <c r="Q466" t="s">
        <v>24</v>
      </c>
      <c r="R466" t="s">
        <v>25</v>
      </c>
      <c r="S466" t="s">
        <v>26</v>
      </c>
      <c r="T466" s="6">
        <v>46307</v>
      </c>
      <c r="U466">
        <v>12</v>
      </c>
      <c r="V466">
        <v>12</v>
      </c>
      <c r="W466">
        <v>12</v>
      </c>
      <c r="X466">
        <v>12</v>
      </c>
      <c r="Y466">
        <f t="shared" si="69"/>
        <v>0</v>
      </c>
      <c r="Z466">
        <f t="shared" si="70"/>
        <v>0</v>
      </c>
      <c r="AC466" s="1">
        <v>0</v>
      </c>
      <c r="AF466">
        <f t="shared" si="74"/>
        <v>12</v>
      </c>
      <c r="AG466" s="7">
        <v>12</v>
      </c>
      <c r="AH466">
        <f t="shared" si="71"/>
        <v>12</v>
      </c>
      <c r="AI466">
        <f t="shared" si="68"/>
        <v>0</v>
      </c>
      <c r="AK466">
        <f t="shared" si="72"/>
        <v>1</v>
      </c>
      <c r="AL466">
        <v>10.220000000000001</v>
      </c>
      <c r="AM466" t="s">
        <v>27</v>
      </c>
      <c r="AN466">
        <v>10.220000000000001</v>
      </c>
      <c r="AO466" t="b">
        <f t="shared" si="73"/>
        <v>1</v>
      </c>
      <c r="AR466" t="s">
        <v>5061</v>
      </c>
      <c r="AS466" s="21">
        <v>46276</v>
      </c>
      <c r="AT466" t="s">
        <v>5062</v>
      </c>
      <c r="AU466" t="s">
        <v>5068</v>
      </c>
      <c r="AV466" t="s">
        <v>5062</v>
      </c>
      <c r="AW466" t="s">
        <v>5086</v>
      </c>
    </row>
    <row r="467" spans="1:49" x14ac:dyDescent="0.35">
      <c r="A467" t="s">
        <v>871</v>
      </c>
      <c r="B467" t="s">
        <v>872</v>
      </c>
      <c r="C467" t="s">
        <v>4818</v>
      </c>
      <c r="D467" t="s">
        <v>18</v>
      </c>
      <c r="E467" t="s">
        <v>1869</v>
      </c>
      <c r="F467" t="s">
        <v>1870</v>
      </c>
      <c r="G467" t="s">
        <v>21</v>
      </c>
      <c r="H467" t="s">
        <v>4888</v>
      </c>
      <c r="I467" t="s">
        <v>4906</v>
      </c>
      <c r="J467" s="4" t="s">
        <v>4907</v>
      </c>
      <c r="K467" s="4" t="s">
        <v>4908</v>
      </c>
      <c r="L467" s="4" t="s">
        <v>4898</v>
      </c>
      <c r="M467" s="4" t="s">
        <v>5035</v>
      </c>
      <c r="N467" t="s">
        <v>1871</v>
      </c>
      <c r="O467" t="s">
        <v>1872</v>
      </c>
      <c r="P467" t="s">
        <v>23</v>
      </c>
      <c r="Q467" t="s">
        <v>24</v>
      </c>
      <c r="R467" t="s">
        <v>25</v>
      </c>
      <c r="S467" t="s">
        <v>26</v>
      </c>
      <c r="T467" s="6">
        <v>46307</v>
      </c>
      <c r="U467">
        <v>60</v>
      </c>
      <c r="V467">
        <v>60</v>
      </c>
      <c r="W467">
        <v>60</v>
      </c>
      <c r="X467">
        <v>60</v>
      </c>
      <c r="Y467">
        <f t="shared" si="69"/>
        <v>0</v>
      </c>
      <c r="Z467">
        <f t="shared" si="70"/>
        <v>0</v>
      </c>
      <c r="AC467" s="1">
        <v>0</v>
      </c>
      <c r="AF467">
        <f t="shared" si="74"/>
        <v>60</v>
      </c>
      <c r="AG467" s="7">
        <v>12</v>
      </c>
      <c r="AH467">
        <f t="shared" si="71"/>
        <v>60</v>
      </c>
      <c r="AI467">
        <f t="shared" si="68"/>
        <v>0</v>
      </c>
      <c r="AK467">
        <f t="shared" si="72"/>
        <v>5</v>
      </c>
      <c r="AL467">
        <v>10.19</v>
      </c>
      <c r="AM467" t="s">
        <v>27</v>
      </c>
      <c r="AN467">
        <v>10.19</v>
      </c>
      <c r="AO467" t="b">
        <f t="shared" si="73"/>
        <v>1</v>
      </c>
      <c r="AR467" t="s">
        <v>5061</v>
      </c>
      <c r="AS467" s="21">
        <v>46276</v>
      </c>
      <c r="AT467" t="s">
        <v>5062</v>
      </c>
      <c r="AU467" t="s">
        <v>5070</v>
      </c>
      <c r="AV467" t="s">
        <v>5062</v>
      </c>
      <c r="AW467" t="s">
        <v>5086</v>
      </c>
    </row>
    <row r="468" spans="1:49" x14ac:dyDescent="0.35">
      <c r="A468" t="s">
        <v>871</v>
      </c>
      <c r="B468" t="s">
        <v>872</v>
      </c>
      <c r="C468" t="s">
        <v>4818</v>
      </c>
      <c r="D468" t="s">
        <v>18</v>
      </c>
      <c r="E468" t="s">
        <v>1873</v>
      </c>
      <c r="F468" t="s">
        <v>1874</v>
      </c>
      <c r="G468" t="s">
        <v>21</v>
      </c>
      <c r="H468" t="s">
        <v>4888</v>
      </c>
      <c r="I468" t="s">
        <v>4893</v>
      </c>
      <c r="J468" s="4" t="s">
        <v>4894</v>
      </c>
      <c r="K468" s="4" t="s">
        <v>4913</v>
      </c>
      <c r="L468" s="4" t="s">
        <v>4871</v>
      </c>
      <c r="M468" s="4" t="s">
        <v>5035</v>
      </c>
      <c r="N468" t="s">
        <v>1875</v>
      </c>
      <c r="O468" t="s">
        <v>1876</v>
      </c>
      <c r="P468" t="s">
        <v>23</v>
      </c>
      <c r="Q468" t="s">
        <v>24</v>
      </c>
      <c r="R468" t="s">
        <v>25</v>
      </c>
      <c r="S468" t="s">
        <v>26</v>
      </c>
      <c r="T468" s="6">
        <v>46307</v>
      </c>
      <c r="U468">
        <v>240</v>
      </c>
      <c r="V468">
        <v>240</v>
      </c>
      <c r="W468">
        <v>264</v>
      </c>
      <c r="X468">
        <v>264</v>
      </c>
      <c r="Y468">
        <f t="shared" si="69"/>
        <v>0</v>
      </c>
      <c r="Z468">
        <f t="shared" si="70"/>
        <v>-24</v>
      </c>
      <c r="AC468" s="1">
        <v>0</v>
      </c>
      <c r="AF468">
        <f t="shared" si="74"/>
        <v>240</v>
      </c>
      <c r="AG468" s="7">
        <v>12</v>
      </c>
      <c r="AH468">
        <f t="shared" si="71"/>
        <v>240</v>
      </c>
      <c r="AI468">
        <f t="shared" si="68"/>
        <v>0</v>
      </c>
      <c r="AK468">
        <f t="shared" si="72"/>
        <v>20</v>
      </c>
      <c r="AL468">
        <v>9.9499999999999993</v>
      </c>
      <c r="AM468" t="s">
        <v>27</v>
      </c>
      <c r="AN468">
        <v>9.9499999999999993</v>
      </c>
      <c r="AO468" t="b">
        <f t="shared" si="73"/>
        <v>1</v>
      </c>
      <c r="AR468" t="s">
        <v>5061</v>
      </c>
      <c r="AS468" s="21">
        <v>46276</v>
      </c>
      <c r="AT468" t="s">
        <v>5062</v>
      </c>
      <c r="AU468" t="s">
        <v>5068</v>
      </c>
      <c r="AV468" t="s">
        <v>5062</v>
      </c>
      <c r="AW468" t="s">
        <v>5086</v>
      </c>
    </row>
    <row r="469" spans="1:49" x14ac:dyDescent="0.35">
      <c r="A469" t="s">
        <v>871</v>
      </c>
      <c r="B469" t="s">
        <v>872</v>
      </c>
      <c r="C469" t="s">
        <v>4818</v>
      </c>
      <c r="D469" t="s">
        <v>18</v>
      </c>
      <c r="E469" t="s">
        <v>1877</v>
      </c>
      <c r="F469" t="s">
        <v>1878</v>
      </c>
      <c r="G469" t="s">
        <v>21</v>
      </c>
      <c r="H469" t="s">
        <v>4826</v>
      </c>
      <c r="I469" t="s">
        <v>4935</v>
      </c>
      <c r="J469" s="4" t="s">
        <v>4936</v>
      </c>
      <c r="K469" s="4" t="s">
        <v>4937</v>
      </c>
      <c r="L469" s="4" t="s">
        <v>4938</v>
      </c>
      <c r="M469" s="4" t="s">
        <v>5035</v>
      </c>
      <c r="N469" t="s">
        <v>15</v>
      </c>
      <c r="O469" t="s">
        <v>1879</v>
      </c>
      <c r="P469" t="s">
        <v>23</v>
      </c>
      <c r="Q469" t="s">
        <v>24</v>
      </c>
      <c r="R469" t="s">
        <v>25</v>
      </c>
      <c r="S469" t="s">
        <v>26</v>
      </c>
      <c r="T469" s="6">
        <v>46307</v>
      </c>
      <c r="U469">
        <v>24</v>
      </c>
      <c r="V469">
        <v>24</v>
      </c>
      <c r="W469">
        <v>24</v>
      </c>
      <c r="X469">
        <v>24</v>
      </c>
      <c r="Y469">
        <f t="shared" si="69"/>
        <v>0</v>
      </c>
      <c r="Z469">
        <f t="shared" si="70"/>
        <v>0</v>
      </c>
      <c r="AC469" s="1">
        <v>0</v>
      </c>
      <c r="AF469">
        <f t="shared" si="74"/>
        <v>24</v>
      </c>
      <c r="AG469" s="7">
        <v>12</v>
      </c>
      <c r="AH469">
        <f t="shared" si="71"/>
        <v>24</v>
      </c>
      <c r="AI469">
        <f t="shared" si="68"/>
        <v>0</v>
      </c>
      <c r="AK469">
        <f t="shared" si="72"/>
        <v>2</v>
      </c>
      <c r="AL469">
        <v>11.16</v>
      </c>
      <c r="AM469" t="s">
        <v>27</v>
      </c>
      <c r="AN469">
        <v>11.16</v>
      </c>
      <c r="AO469" t="b">
        <f t="shared" si="73"/>
        <v>1</v>
      </c>
      <c r="AR469" t="s">
        <v>5061</v>
      </c>
      <c r="AS469" s="21">
        <v>46276</v>
      </c>
      <c r="AT469" t="s">
        <v>5062</v>
      </c>
      <c r="AU469" t="s">
        <v>5071</v>
      </c>
      <c r="AV469" t="s">
        <v>5062</v>
      </c>
      <c r="AW469" t="s">
        <v>5086</v>
      </c>
    </row>
    <row r="470" spans="1:49" x14ac:dyDescent="0.35">
      <c r="A470" t="s">
        <v>871</v>
      </c>
      <c r="B470" t="s">
        <v>872</v>
      </c>
      <c r="C470" t="s">
        <v>4818</v>
      </c>
      <c r="D470" t="s">
        <v>18</v>
      </c>
      <c r="E470" t="s">
        <v>1880</v>
      </c>
      <c r="F470" t="s">
        <v>1881</v>
      </c>
      <c r="G470" t="s">
        <v>21</v>
      </c>
      <c r="H470" t="s">
        <v>4826</v>
      </c>
      <c r="I470" t="s">
        <v>4935</v>
      </c>
      <c r="J470" s="4" t="s">
        <v>4936</v>
      </c>
      <c r="K470" s="4" t="s">
        <v>4937</v>
      </c>
      <c r="L470" s="4" t="s">
        <v>4939</v>
      </c>
      <c r="M470" s="4" t="s">
        <v>5035</v>
      </c>
      <c r="N470" t="s">
        <v>15</v>
      </c>
      <c r="O470" t="s">
        <v>1882</v>
      </c>
      <c r="P470" t="s">
        <v>23</v>
      </c>
      <c r="Q470" t="s">
        <v>24</v>
      </c>
      <c r="R470" t="s">
        <v>25</v>
      </c>
      <c r="S470" t="s">
        <v>26</v>
      </c>
      <c r="T470" s="6">
        <v>46307</v>
      </c>
      <c r="U470">
        <v>12</v>
      </c>
      <c r="V470">
        <v>12</v>
      </c>
      <c r="W470">
        <v>12</v>
      </c>
      <c r="X470">
        <v>12</v>
      </c>
      <c r="Y470">
        <f t="shared" si="69"/>
        <v>0</v>
      </c>
      <c r="Z470">
        <f t="shared" si="70"/>
        <v>0</v>
      </c>
      <c r="AC470" s="1">
        <v>0</v>
      </c>
      <c r="AF470">
        <f t="shared" si="74"/>
        <v>12</v>
      </c>
      <c r="AG470" s="7">
        <v>12</v>
      </c>
      <c r="AH470">
        <f t="shared" si="71"/>
        <v>12</v>
      </c>
      <c r="AI470">
        <f t="shared" si="68"/>
        <v>0</v>
      </c>
      <c r="AK470">
        <f t="shared" si="72"/>
        <v>1</v>
      </c>
      <c r="AL470">
        <v>11.16</v>
      </c>
      <c r="AM470" t="s">
        <v>27</v>
      </c>
      <c r="AN470">
        <v>11.16</v>
      </c>
      <c r="AO470" t="b">
        <f t="shared" si="73"/>
        <v>1</v>
      </c>
      <c r="AR470" t="s">
        <v>5061</v>
      </c>
      <c r="AS470" s="21">
        <v>46276</v>
      </c>
      <c r="AT470" t="s">
        <v>5062</v>
      </c>
      <c r="AU470" t="s">
        <v>5071</v>
      </c>
      <c r="AV470" t="s">
        <v>5062</v>
      </c>
      <c r="AW470" t="s">
        <v>5086</v>
      </c>
    </row>
    <row r="471" spans="1:49" x14ac:dyDescent="0.35">
      <c r="A471" t="s">
        <v>871</v>
      </c>
      <c r="B471" t="s">
        <v>872</v>
      </c>
      <c r="C471" t="s">
        <v>4818</v>
      </c>
      <c r="D471" t="s">
        <v>18</v>
      </c>
      <c r="E471" t="s">
        <v>1883</v>
      </c>
      <c r="F471" t="s">
        <v>1884</v>
      </c>
      <c r="G471" t="s">
        <v>21</v>
      </c>
      <c r="H471" t="s">
        <v>4826</v>
      </c>
      <c r="I471" t="s">
        <v>4935</v>
      </c>
      <c r="J471" s="4" t="s">
        <v>4936</v>
      </c>
      <c r="K471" s="4" t="s">
        <v>4937</v>
      </c>
      <c r="L471" s="4" t="s">
        <v>4940</v>
      </c>
      <c r="M471" s="4" t="s">
        <v>5035</v>
      </c>
      <c r="N471" t="s">
        <v>15</v>
      </c>
      <c r="O471" t="s">
        <v>1885</v>
      </c>
      <c r="P471" t="s">
        <v>23</v>
      </c>
      <c r="Q471" t="s">
        <v>24</v>
      </c>
      <c r="R471" t="s">
        <v>25</v>
      </c>
      <c r="S471" t="s">
        <v>26</v>
      </c>
      <c r="T471" s="6">
        <v>46307</v>
      </c>
      <c r="U471">
        <v>12</v>
      </c>
      <c r="V471">
        <v>12</v>
      </c>
      <c r="W471">
        <v>12</v>
      </c>
      <c r="X471">
        <v>12</v>
      </c>
      <c r="Y471">
        <f t="shared" si="69"/>
        <v>0</v>
      </c>
      <c r="Z471">
        <f t="shared" si="70"/>
        <v>0</v>
      </c>
      <c r="AC471" s="1">
        <v>0</v>
      </c>
      <c r="AF471">
        <f t="shared" si="74"/>
        <v>12</v>
      </c>
      <c r="AG471" s="7">
        <v>12</v>
      </c>
      <c r="AH471">
        <f t="shared" si="71"/>
        <v>12</v>
      </c>
      <c r="AI471">
        <f t="shared" si="68"/>
        <v>0</v>
      </c>
      <c r="AK471">
        <f t="shared" si="72"/>
        <v>1</v>
      </c>
      <c r="AL471">
        <v>11.16</v>
      </c>
      <c r="AM471" t="s">
        <v>27</v>
      </c>
      <c r="AN471">
        <v>11.16</v>
      </c>
      <c r="AO471" t="b">
        <f t="shared" si="73"/>
        <v>1</v>
      </c>
      <c r="AR471" t="s">
        <v>5061</v>
      </c>
      <c r="AS471" s="21">
        <v>46276</v>
      </c>
      <c r="AT471" t="s">
        <v>5062</v>
      </c>
      <c r="AU471" t="s">
        <v>5071</v>
      </c>
      <c r="AV471" t="s">
        <v>5062</v>
      </c>
      <c r="AW471" t="s">
        <v>5086</v>
      </c>
    </row>
    <row r="472" spans="1:49" x14ac:dyDescent="0.35">
      <c r="A472" t="s">
        <v>871</v>
      </c>
      <c r="B472" t="s">
        <v>872</v>
      </c>
      <c r="C472" t="s">
        <v>4818</v>
      </c>
      <c r="D472" t="s">
        <v>18</v>
      </c>
      <c r="E472" t="s">
        <v>1886</v>
      </c>
      <c r="F472" t="s">
        <v>1887</v>
      </c>
      <c r="G472" t="s">
        <v>21</v>
      </c>
      <c r="H472" t="s">
        <v>4826</v>
      </c>
      <c r="I472" t="s">
        <v>4935</v>
      </c>
      <c r="J472" s="4" t="s">
        <v>4936</v>
      </c>
      <c r="K472" s="4" t="s">
        <v>4832</v>
      </c>
      <c r="L472" s="4" t="s">
        <v>4941</v>
      </c>
      <c r="M472" s="4" t="s">
        <v>5035</v>
      </c>
      <c r="N472" t="s">
        <v>15</v>
      </c>
      <c r="O472" t="s">
        <v>1888</v>
      </c>
      <c r="P472" t="s">
        <v>23</v>
      </c>
      <c r="Q472" t="s">
        <v>24</v>
      </c>
      <c r="R472" t="s">
        <v>25</v>
      </c>
      <c r="S472" t="s">
        <v>26</v>
      </c>
      <c r="T472" s="6">
        <v>46307</v>
      </c>
      <c r="U472">
        <v>72</v>
      </c>
      <c r="V472">
        <v>72</v>
      </c>
      <c r="W472">
        <v>60</v>
      </c>
      <c r="X472">
        <v>60</v>
      </c>
      <c r="Y472">
        <f t="shared" si="69"/>
        <v>0</v>
      </c>
      <c r="Z472">
        <f t="shared" si="70"/>
        <v>12</v>
      </c>
      <c r="AA472">
        <f>Z472</f>
        <v>12</v>
      </c>
      <c r="AC472" s="1">
        <v>0</v>
      </c>
      <c r="AF472">
        <f>X472</f>
        <v>60</v>
      </c>
      <c r="AG472" s="7">
        <v>12</v>
      </c>
      <c r="AH472">
        <f t="shared" si="71"/>
        <v>60</v>
      </c>
      <c r="AI472">
        <f t="shared" si="68"/>
        <v>12</v>
      </c>
      <c r="AK472">
        <f t="shared" si="72"/>
        <v>5</v>
      </c>
      <c r="AL472">
        <v>11.16</v>
      </c>
      <c r="AM472" t="s">
        <v>27</v>
      </c>
      <c r="AN472">
        <v>11.16</v>
      </c>
      <c r="AO472" t="b">
        <f t="shared" si="73"/>
        <v>1</v>
      </c>
      <c r="AR472" t="s">
        <v>5061</v>
      </c>
      <c r="AS472" s="21">
        <v>46276</v>
      </c>
      <c r="AT472" t="s">
        <v>5062</v>
      </c>
      <c r="AU472" t="s">
        <v>5071</v>
      </c>
      <c r="AV472" t="s">
        <v>5062</v>
      </c>
      <c r="AW472" t="s">
        <v>5086</v>
      </c>
    </row>
    <row r="473" spans="1:49" x14ac:dyDescent="0.35">
      <c r="A473" t="s">
        <v>871</v>
      </c>
      <c r="B473" t="s">
        <v>872</v>
      </c>
      <c r="C473" t="s">
        <v>4818</v>
      </c>
      <c r="D473" t="s">
        <v>18</v>
      </c>
      <c r="E473" t="s">
        <v>1889</v>
      </c>
      <c r="F473" t="s">
        <v>1890</v>
      </c>
      <c r="G473" t="s">
        <v>21</v>
      </c>
      <c r="H473" t="s">
        <v>4826</v>
      </c>
      <c r="I473" t="s">
        <v>4935</v>
      </c>
      <c r="J473" s="4" t="s">
        <v>4936</v>
      </c>
      <c r="K473" s="4" t="s">
        <v>4832</v>
      </c>
      <c r="L473" s="4" t="s">
        <v>4942</v>
      </c>
      <c r="M473" s="4" t="s">
        <v>5035</v>
      </c>
      <c r="N473" t="s">
        <v>15</v>
      </c>
      <c r="O473" t="s">
        <v>1891</v>
      </c>
      <c r="P473" t="s">
        <v>23</v>
      </c>
      <c r="Q473" t="s">
        <v>24</v>
      </c>
      <c r="R473" t="s">
        <v>25</v>
      </c>
      <c r="S473" t="s">
        <v>26</v>
      </c>
      <c r="T473" s="6">
        <v>46307</v>
      </c>
      <c r="U473">
        <v>12</v>
      </c>
      <c r="V473">
        <v>12</v>
      </c>
      <c r="W473">
        <v>12</v>
      </c>
      <c r="X473">
        <v>12</v>
      </c>
      <c r="Y473">
        <f t="shared" si="69"/>
        <v>0</v>
      </c>
      <c r="Z473">
        <f t="shared" si="70"/>
        <v>0</v>
      </c>
      <c r="AC473" s="1">
        <v>0</v>
      </c>
      <c r="AF473">
        <f>V473</f>
        <v>12</v>
      </c>
      <c r="AG473" s="7">
        <v>12</v>
      </c>
      <c r="AH473">
        <f t="shared" si="71"/>
        <v>12</v>
      </c>
      <c r="AI473">
        <f t="shared" si="68"/>
        <v>0</v>
      </c>
      <c r="AK473">
        <f t="shared" si="72"/>
        <v>1</v>
      </c>
      <c r="AL473">
        <v>11.16</v>
      </c>
      <c r="AM473" t="s">
        <v>27</v>
      </c>
      <c r="AN473">
        <v>11.16</v>
      </c>
      <c r="AO473" t="b">
        <f t="shared" si="73"/>
        <v>1</v>
      </c>
      <c r="AR473" t="s">
        <v>5061</v>
      </c>
      <c r="AS473" s="21">
        <v>46276</v>
      </c>
      <c r="AT473" t="s">
        <v>5062</v>
      </c>
      <c r="AU473" t="s">
        <v>5071</v>
      </c>
      <c r="AV473" t="s">
        <v>5062</v>
      </c>
      <c r="AW473" t="s">
        <v>5086</v>
      </c>
    </row>
    <row r="474" spans="1:49" x14ac:dyDescent="0.35">
      <c r="A474" t="s">
        <v>871</v>
      </c>
      <c r="B474" t="s">
        <v>872</v>
      </c>
      <c r="C474" t="s">
        <v>4818</v>
      </c>
      <c r="D474" t="s">
        <v>18</v>
      </c>
      <c r="E474" t="s">
        <v>1892</v>
      </c>
      <c r="F474" t="s">
        <v>1893</v>
      </c>
      <c r="G474" t="s">
        <v>21</v>
      </c>
      <c r="H474" t="s">
        <v>4826</v>
      </c>
      <c r="I474" t="s">
        <v>4935</v>
      </c>
      <c r="J474" s="4" t="s">
        <v>4936</v>
      </c>
      <c r="K474" s="4" t="s">
        <v>4832</v>
      </c>
      <c r="L474" s="4" t="s">
        <v>4943</v>
      </c>
      <c r="M474" s="4" t="s">
        <v>5035</v>
      </c>
      <c r="N474" t="s">
        <v>15</v>
      </c>
      <c r="O474" t="s">
        <v>1894</v>
      </c>
      <c r="P474" t="s">
        <v>23</v>
      </c>
      <c r="Q474" t="s">
        <v>24</v>
      </c>
      <c r="R474" t="s">
        <v>25</v>
      </c>
      <c r="S474" t="s">
        <v>26</v>
      </c>
      <c r="T474" s="6">
        <v>46307</v>
      </c>
      <c r="U474">
        <v>24</v>
      </c>
      <c r="V474">
        <v>24</v>
      </c>
      <c r="W474">
        <v>24</v>
      </c>
      <c r="X474">
        <v>24</v>
      </c>
      <c r="Y474">
        <f t="shared" si="69"/>
        <v>0</v>
      </c>
      <c r="Z474">
        <f t="shared" si="70"/>
        <v>0</v>
      </c>
      <c r="AC474" s="1">
        <v>0</v>
      </c>
      <c r="AF474">
        <f>V474</f>
        <v>24</v>
      </c>
      <c r="AG474" s="7">
        <v>12</v>
      </c>
      <c r="AH474">
        <f t="shared" si="71"/>
        <v>24</v>
      </c>
      <c r="AI474">
        <f t="shared" si="68"/>
        <v>0</v>
      </c>
      <c r="AK474">
        <f t="shared" si="72"/>
        <v>2</v>
      </c>
      <c r="AL474">
        <v>11.16</v>
      </c>
      <c r="AM474" t="s">
        <v>27</v>
      </c>
      <c r="AN474">
        <v>11.16</v>
      </c>
      <c r="AO474" t="b">
        <f t="shared" si="73"/>
        <v>1</v>
      </c>
      <c r="AR474" t="s">
        <v>5061</v>
      </c>
      <c r="AS474" s="21">
        <v>46276</v>
      </c>
      <c r="AT474" t="s">
        <v>5062</v>
      </c>
      <c r="AU474" t="s">
        <v>5071</v>
      </c>
      <c r="AV474" t="s">
        <v>5062</v>
      </c>
      <c r="AW474" t="s">
        <v>5086</v>
      </c>
    </row>
    <row r="475" spans="1:49" x14ac:dyDescent="0.35">
      <c r="A475" t="s">
        <v>871</v>
      </c>
      <c r="B475" t="s">
        <v>872</v>
      </c>
      <c r="C475" t="s">
        <v>4818</v>
      </c>
      <c r="D475" t="s">
        <v>18</v>
      </c>
      <c r="E475" t="s">
        <v>1895</v>
      </c>
      <c r="F475" t="s">
        <v>1896</v>
      </c>
      <c r="G475" t="s">
        <v>21</v>
      </c>
      <c r="H475" t="s">
        <v>4826</v>
      </c>
      <c r="I475" t="s">
        <v>4935</v>
      </c>
      <c r="J475" s="4" t="s">
        <v>4936</v>
      </c>
      <c r="K475" s="4" t="s">
        <v>4837</v>
      </c>
      <c r="L475" s="4" t="s">
        <v>4944</v>
      </c>
      <c r="M475" s="4" t="s">
        <v>5035</v>
      </c>
      <c r="N475" t="s">
        <v>15</v>
      </c>
      <c r="O475" t="s">
        <v>1897</v>
      </c>
      <c r="P475" t="s">
        <v>23</v>
      </c>
      <c r="Q475" t="s">
        <v>24</v>
      </c>
      <c r="R475" t="s">
        <v>25</v>
      </c>
      <c r="S475" t="s">
        <v>26</v>
      </c>
      <c r="T475" s="6">
        <v>46307</v>
      </c>
      <c r="U475">
        <v>156</v>
      </c>
      <c r="V475">
        <v>156</v>
      </c>
      <c r="W475">
        <v>144</v>
      </c>
      <c r="X475">
        <v>144</v>
      </c>
      <c r="Y475">
        <f t="shared" si="69"/>
        <v>0</v>
      </c>
      <c r="Z475">
        <f t="shared" si="70"/>
        <v>12</v>
      </c>
      <c r="AA475">
        <f>Z475</f>
        <v>12</v>
      </c>
      <c r="AC475" s="1">
        <v>0</v>
      </c>
      <c r="AF475">
        <f>X475</f>
        <v>144</v>
      </c>
      <c r="AG475" s="7">
        <v>12</v>
      </c>
      <c r="AH475">
        <f t="shared" si="71"/>
        <v>144</v>
      </c>
      <c r="AI475">
        <f t="shared" si="68"/>
        <v>12</v>
      </c>
      <c r="AK475">
        <f t="shared" si="72"/>
        <v>12</v>
      </c>
      <c r="AL475">
        <v>11.16</v>
      </c>
      <c r="AM475" t="s">
        <v>27</v>
      </c>
      <c r="AN475">
        <v>11.16</v>
      </c>
      <c r="AO475" t="b">
        <f t="shared" si="73"/>
        <v>1</v>
      </c>
      <c r="AR475" t="s">
        <v>5061</v>
      </c>
      <c r="AS475" s="21">
        <v>46276</v>
      </c>
      <c r="AT475" t="s">
        <v>5062</v>
      </c>
      <c r="AU475" t="s">
        <v>5071</v>
      </c>
      <c r="AV475" t="s">
        <v>5062</v>
      </c>
      <c r="AW475" t="s">
        <v>5086</v>
      </c>
    </row>
    <row r="476" spans="1:49" x14ac:dyDescent="0.35">
      <c r="A476" t="s">
        <v>871</v>
      </c>
      <c r="B476" t="s">
        <v>872</v>
      </c>
      <c r="C476" t="s">
        <v>4818</v>
      </c>
      <c r="D476" t="s">
        <v>18</v>
      </c>
      <c r="E476" t="s">
        <v>1898</v>
      </c>
      <c r="F476" t="s">
        <v>1899</v>
      </c>
      <c r="G476" t="s">
        <v>21</v>
      </c>
      <c r="H476" t="s">
        <v>4826</v>
      </c>
      <c r="I476" t="s">
        <v>4935</v>
      </c>
      <c r="J476" s="4" t="s">
        <v>4936</v>
      </c>
      <c r="K476" s="4" t="s">
        <v>4837</v>
      </c>
      <c r="L476" s="4" t="s">
        <v>4942</v>
      </c>
      <c r="M476" s="4" t="s">
        <v>5035</v>
      </c>
      <c r="N476" t="s">
        <v>15</v>
      </c>
      <c r="O476" t="s">
        <v>1900</v>
      </c>
      <c r="P476" t="s">
        <v>23</v>
      </c>
      <c r="Q476" t="s">
        <v>24</v>
      </c>
      <c r="R476" t="s">
        <v>25</v>
      </c>
      <c r="S476" t="s">
        <v>26</v>
      </c>
      <c r="T476" s="6">
        <v>46307</v>
      </c>
      <c r="U476">
        <v>120</v>
      </c>
      <c r="V476">
        <v>120</v>
      </c>
      <c r="W476">
        <v>132</v>
      </c>
      <c r="X476">
        <v>132</v>
      </c>
      <c r="Y476">
        <f t="shared" si="69"/>
        <v>0</v>
      </c>
      <c r="Z476">
        <f t="shared" si="70"/>
        <v>-12</v>
      </c>
      <c r="AC476" s="1">
        <v>0</v>
      </c>
      <c r="AF476">
        <f>V476</f>
        <v>120</v>
      </c>
      <c r="AG476" s="7">
        <v>12</v>
      </c>
      <c r="AH476">
        <f t="shared" si="71"/>
        <v>120</v>
      </c>
      <c r="AI476">
        <f t="shared" si="68"/>
        <v>0</v>
      </c>
      <c r="AK476">
        <f t="shared" si="72"/>
        <v>10</v>
      </c>
      <c r="AL476">
        <v>11.16</v>
      </c>
      <c r="AM476" t="s">
        <v>27</v>
      </c>
      <c r="AN476">
        <v>11.16</v>
      </c>
      <c r="AO476" t="b">
        <f t="shared" si="73"/>
        <v>1</v>
      </c>
      <c r="AR476" t="s">
        <v>5061</v>
      </c>
      <c r="AS476" s="21">
        <v>46276</v>
      </c>
      <c r="AT476" t="s">
        <v>5062</v>
      </c>
      <c r="AU476" t="s">
        <v>5071</v>
      </c>
      <c r="AV476" t="s">
        <v>5062</v>
      </c>
      <c r="AW476" t="s">
        <v>5086</v>
      </c>
    </row>
    <row r="477" spans="1:49" x14ac:dyDescent="0.35">
      <c r="A477" t="s">
        <v>871</v>
      </c>
      <c r="B477" t="s">
        <v>872</v>
      </c>
      <c r="C477" t="s">
        <v>4818</v>
      </c>
      <c r="D477" t="s">
        <v>18</v>
      </c>
      <c r="E477" t="s">
        <v>1901</v>
      </c>
      <c r="F477" t="s">
        <v>1902</v>
      </c>
      <c r="G477" t="s">
        <v>21</v>
      </c>
      <c r="H477" t="s">
        <v>4826</v>
      </c>
      <c r="I477" t="s">
        <v>4935</v>
      </c>
      <c r="J477" s="4" t="s">
        <v>4936</v>
      </c>
      <c r="K477" s="4" t="s">
        <v>4945</v>
      </c>
      <c r="L477" s="4" t="s">
        <v>4946</v>
      </c>
      <c r="M477" s="4" t="s">
        <v>5035</v>
      </c>
      <c r="N477" t="s">
        <v>15</v>
      </c>
      <c r="O477" t="s">
        <v>1903</v>
      </c>
      <c r="P477" t="s">
        <v>23</v>
      </c>
      <c r="Q477" t="s">
        <v>24</v>
      </c>
      <c r="R477" t="s">
        <v>25</v>
      </c>
      <c r="S477" t="s">
        <v>26</v>
      </c>
      <c r="T477" s="6">
        <v>46307</v>
      </c>
      <c r="U477">
        <v>132</v>
      </c>
      <c r="V477">
        <v>132</v>
      </c>
      <c r="W477">
        <v>144</v>
      </c>
      <c r="X477">
        <v>144</v>
      </c>
      <c r="Y477">
        <f t="shared" si="69"/>
        <v>0</v>
      </c>
      <c r="Z477">
        <f t="shared" si="70"/>
        <v>-12</v>
      </c>
      <c r="AC477" s="1">
        <v>0</v>
      </c>
      <c r="AF477">
        <f>V477</f>
        <v>132</v>
      </c>
      <c r="AG477" s="7">
        <v>12</v>
      </c>
      <c r="AH477">
        <f t="shared" si="71"/>
        <v>132</v>
      </c>
      <c r="AI477">
        <f t="shared" si="68"/>
        <v>0</v>
      </c>
      <c r="AK477">
        <f t="shared" si="72"/>
        <v>11</v>
      </c>
      <c r="AL477">
        <v>11.16</v>
      </c>
      <c r="AM477" t="s">
        <v>27</v>
      </c>
      <c r="AN477">
        <v>11.16</v>
      </c>
      <c r="AO477" t="b">
        <f t="shared" si="73"/>
        <v>1</v>
      </c>
      <c r="AR477" t="s">
        <v>5061</v>
      </c>
      <c r="AS477" s="21">
        <v>46276</v>
      </c>
      <c r="AT477" t="s">
        <v>5062</v>
      </c>
      <c r="AU477" t="s">
        <v>5071</v>
      </c>
      <c r="AV477" t="s">
        <v>5062</v>
      </c>
      <c r="AW477" t="s">
        <v>5086</v>
      </c>
    </row>
    <row r="478" spans="1:49" x14ac:dyDescent="0.35">
      <c r="A478" t="s">
        <v>871</v>
      </c>
      <c r="B478" t="s">
        <v>872</v>
      </c>
      <c r="C478" t="s">
        <v>4818</v>
      </c>
      <c r="D478" t="s">
        <v>18</v>
      </c>
      <c r="E478" t="s">
        <v>1904</v>
      </c>
      <c r="F478" t="s">
        <v>1905</v>
      </c>
      <c r="G478" t="s">
        <v>21</v>
      </c>
      <c r="H478" t="s">
        <v>4826</v>
      </c>
      <c r="I478" t="s">
        <v>4935</v>
      </c>
      <c r="J478" s="4" t="s">
        <v>4936</v>
      </c>
      <c r="K478" s="4" t="s">
        <v>4837</v>
      </c>
      <c r="L478" s="4" t="s">
        <v>4947</v>
      </c>
      <c r="M478" s="4" t="s">
        <v>5035</v>
      </c>
      <c r="N478" t="s">
        <v>15</v>
      </c>
      <c r="O478" t="s">
        <v>1906</v>
      </c>
      <c r="P478" t="s">
        <v>23</v>
      </c>
      <c r="Q478" t="s">
        <v>24</v>
      </c>
      <c r="R478" t="s">
        <v>25</v>
      </c>
      <c r="S478" t="s">
        <v>26</v>
      </c>
      <c r="T478" s="6">
        <v>46307</v>
      </c>
      <c r="U478">
        <v>24</v>
      </c>
      <c r="V478">
        <v>24</v>
      </c>
      <c r="W478">
        <v>24</v>
      </c>
      <c r="X478">
        <v>24</v>
      </c>
      <c r="Y478">
        <f t="shared" si="69"/>
        <v>0</v>
      </c>
      <c r="Z478">
        <f t="shared" si="70"/>
        <v>0</v>
      </c>
      <c r="AC478" s="1">
        <v>0</v>
      </c>
      <c r="AF478">
        <f>V478</f>
        <v>24</v>
      </c>
      <c r="AG478" s="7">
        <v>12</v>
      </c>
      <c r="AH478">
        <f t="shared" si="71"/>
        <v>24</v>
      </c>
      <c r="AI478">
        <f t="shared" si="68"/>
        <v>0</v>
      </c>
      <c r="AK478">
        <f t="shared" si="72"/>
        <v>2</v>
      </c>
      <c r="AL478">
        <v>11.16</v>
      </c>
      <c r="AM478" t="s">
        <v>27</v>
      </c>
      <c r="AN478">
        <v>11.16</v>
      </c>
      <c r="AO478" t="b">
        <f t="shared" si="73"/>
        <v>1</v>
      </c>
      <c r="AR478" t="s">
        <v>5061</v>
      </c>
      <c r="AS478" s="21">
        <v>46276</v>
      </c>
      <c r="AT478" t="s">
        <v>5062</v>
      </c>
      <c r="AU478" t="s">
        <v>5071</v>
      </c>
      <c r="AV478" t="s">
        <v>5062</v>
      </c>
      <c r="AW478" t="s">
        <v>5086</v>
      </c>
    </row>
    <row r="479" spans="1:49" x14ac:dyDescent="0.35">
      <c r="A479" t="s">
        <v>871</v>
      </c>
      <c r="B479" t="s">
        <v>872</v>
      </c>
      <c r="C479" t="s">
        <v>4818</v>
      </c>
      <c r="D479" t="s">
        <v>18</v>
      </c>
      <c r="E479" t="s">
        <v>1907</v>
      </c>
      <c r="F479" t="s">
        <v>1908</v>
      </c>
      <c r="G479" t="s">
        <v>21</v>
      </c>
      <c r="H479" t="s">
        <v>4826</v>
      </c>
      <c r="I479" t="s">
        <v>4935</v>
      </c>
      <c r="J479" s="4" t="s">
        <v>4936</v>
      </c>
      <c r="K479" s="4" t="s">
        <v>4832</v>
      </c>
      <c r="L479" s="4" t="s">
        <v>4938</v>
      </c>
      <c r="M479" s="4" t="s">
        <v>5035</v>
      </c>
      <c r="N479" t="s">
        <v>15</v>
      </c>
      <c r="O479" t="s">
        <v>1909</v>
      </c>
      <c r="P479" t="s">
        <v>23</v>
      </c>
      <c r="Q479" t="s">
        <v>24</v>
      </c>
      <c r="R479" t="s">
        <v>25</v>
      </c>
      <c r="S479" t="s">
        <v>26</v>
      </c>
      <c r="T479" s="6">
        <v>46307</v>
      </c>
      <c r="U479">
        <v>288</v>
      </c>
      <c r="V479">
        <v>288</v>
      </c>
      <c r="W479">
        <v>252</v>
      </c>
      <c r="X479">
        <v>252</v>
      </c>
      <c r="Y479">
        <f t="shared" si="69"/>
        <v>0</v>
      </c>
      <c r="Z479">
        <f t="shared" si="70"/>
        <v>36</v>
      </c>
      <c r="AA479">
        <f>Z479</f>
        <v>36</v>
      </c>
      <c r="AC479" s="1">
        <v>0</v>
      </c>
      <c r="AF479">
        <f>X479</f>
        <v>252</v>
      </c>
      <c r="AG479" s="7">
        <v>12</v>
      </c>
      <c r="AH479">
        <f t="shared" si="71"/>
        <v>252</v>
      </c>
      <c r="AI479">
        <f t="shared" si="68"/>
        <v>36</v>
      </c>
      <c r="AK479">
        <f t="shared" si="72"/>
        <v>21</v>
      </c>
      <c r="AL479">
        <v>11.16</v>
      </c>
      <c r="AM479" t="s">
        <v>27</v>
      </c>
      <c r="AN479">
        <v>11.16</v>
      </c>
      <c r="AO479" t="b">
        <f t="shared" si="73"/>
        <v>1</v>
      </c>
      <c r="AR479" t="s">
        <v>5061</v>
      </c>
      <c r="AS479" s="21">
        <v>46276</v>
      </c>
      <c r="AT479" t="s">
        <v>5062</v>
      </c>
      <c r="AU479" t="s">
        <v>5071</v>
      </c>
      <c r="AV479" t="s">
        <v>5062</v>
      </c>
      <c r="AW479" t="s">
        <v>5086</v>
      </c>
    </row>
    <row r="480" spans="1:49" x14ac:dyDescent="0.35">
      <c r="A480" t="s">
        <v>871</v>
      </c>
      <c r="B480" t="s">
        <v>872</v>
      </c>
      <c r="C480" t="s">
        <v>4818</v>
      </c>
      <c r="D480" t="s">
        <v>18</v>
      </c>
      <c r="E480" t="s">
        <v>1910</v>
      </c>
      <c r="F480" t="s">
        <v>1911</v>
      </c>
      <c r="G480" t="s">
        <v>21</v>
      </c>
      <c r="H480" t="s">
        <v>4826</v>
      </c>
      <c r="I480" t="s">
        <v>4935</v>
      </c>
      <c r="J480" s="4" t="s">
        <v>4936</v>
      </c>
      <c r="K480" s="4" t="s">
        <v>4832</v>
      </c>
      <c r="L480" s="4" t="s">
        <v>4948</v>
      </c>
      <c r="M480" s="4" t="s">
        <v>5035</v>
      </c>
      <c r="N480" t="s">
        <v>15</v>
      </c>
      <c r="O480" t="s">
        <v>1912</v>
      </c>
      <c r="P480" t="s">
        <v>23</v>
      </c>
      <c r="Q480" t="s">
        <v>24</v>
      </c>
      <c r="R480" t="s">
        <v>25</v>
      </c>
      <c r="S480" t="s">
        <v>26</v>
      </c>
      <c r="T480" s="6">
        <v>46307</v>
      </c>
      <c r="U480">
        <v>60</v>
      </c>
      <c r="V480">
        <v>60</v>
      </c>
      <c r="W480">
        <v>60</v>
      </c>
      <c r="X480">
        <v>60</v>
      </c>
      <c r="Y480">
        <f t="shared" si="69"/>
        <v>0</v>
      </c>
      <c r="Z480">
        <f t="shared" si="70"/>
        <v>0</v>
      </c>
      <c r="AC480" s="1">
        <v>0</v>
      </c>
      <c r="AF480">
        <f t="shared" ref="AF480:AF485" si="75">V480</f>
        <v>60</v>
      </c>
      <c r="AG480" s="7">
        <v>12</v>
      </c>
      <c r="AH480">
        <f t="shared" si="71"/>
        <v>60</v>
      </c>
      <c r="AI480">
        <f t="shared" si="68"/>
        <v>0</v>
      </c>
      <c r="AK480">
        <f t="shared" si="72"/>
        <v>5</v>
      </c>
      <c r="AL480">
        <v>11.16</v>
      </c>
      <c r="AM480" t="s">
        <v>27</v>
      </c>
      <c r="AN480">
        <v>11.16</v>
      </c>
      <c r="AO480" t="b">
        <f t="shared" si="73"/>
        <v>1</v>
      </c>
      <c r="AR480" t="s">
        <v>5061</v>
      </c>
      <c r="AS480" s="21">
        <v>46276</v>
      </c>
      <c r="AT480" t="s">
        <v>5062</v>
      </c>
      <c r="AU480" t="s">
        <v>5071</v>
      </c>
      <c r="AV480" t="s">
        <v>5062</v>
      </c>
      <c r="AW480" t="s">
        <v>5086</v>
      </c>
    </row>
    <row r="481" spans="1:49" x14ac:dyDescent="0.35">
      <c r="A481" t="s">
        <v>871</v>
      </c>
      <c r="B481" t="s">
        <v>872</v>
      </c>
      <c r="C481" t="s">
        <v>4818</v>
      </c>
      <c r="D481" t="s">
        <v>18</v>
      </c>
      <c r="E481" t="s">
        <v>1913</v>
      </c>
      <c r="F481" t="s">
        <v>1914</v>
      </c>
      <c r="G481" t="s">
        <v>21</v>
      </c>
      <c r="H481" t="s">
        <v>4826</v>
      </c>
      <c r="I481" t="s">
        <v>4935</v>
      </c>
      <c r="J481" s="4" t="s">
        <v>4936</v>
      </c>
      <c r="K481" s="4" t="s">
        <v>4832</v>
      </c>
      <c r="L481" s="4" t="s">
        <v>4949</v>
      </c>
      <c r="M481" s="4" t="s">
        <v>5035</v>
      </c>
      <c r="N481" t="s">
        <v>15</v>
      </c>
      <c r="O481" t="s">
        <v>1915</v>
      </c>
      <c r="P481" t="s">
        <v>23</v>
      </c>
      <c r="Q481" t="s">
        <v>24</v>
      </c>
      <c r="R481" t="s">
        <v>25</v>
      </c>
      <c r="S481" t="s">
        <v>26</v>
      </c>
      <c r="T481" s="6">
        <v>46307</v>
      </c>
      <c r="U481">
        <v>36</v>
      </c>
      <c r="V481">
        <v>36</v>
      </c>
      <c r="W481">
        <v>36</v>
      </c>
      <c r="X481">
        <v>36</v>
      </c>
      <c r="Y481">
        <f t="shared" si="69"/>
        <v>0</v>
      </c>
      <c r="Z481">
        <f t="shared" si="70"/>
        <v>0</v>
      </c>
      <c r="AC481" s="1">
        <v>0</v>
      </c>
      <c r="AF481">
        <f t="shared" si="75"/>
        <v>36</v>
      </c>
      <c r="AG481" s="7">
        <v>12</v>
      </c>
      <c r="AH481">
        <f t="shared" si="71"/>
        <v>36</v>
      </c>
      <c r="AI481">
        <f t="shared" si="68"/>
        <v>0</v>
      </c>
      <c r="AK481">
        <f t="shared" si="72"/>
        <v>3</v>
      </c>
      <c r="AL481">
        <v>11.16</v>
      </c>
      <c r="AM481" t="s">
        <v>27</v>
      </c>
      <c r="AN481">
        <v>11.16</v>
      </c>
      <c r="AO481" t="b">
        <f t="shared" si="73"/>
        <v>1</v>
      </c>
      <c r="AR481" t="s">
        <v>5061</v>
      </c>
      <c r="AS481" s="21">
        <v>46276</v>
      </c>
      <c r="AT481" t="s">
        <v>5062</v>
      </c>
      <c r="AU481" t="s">
        <v>5071</v>
      </c>
      <c r="AV481" t="s">
        <v>5062</v>
      </c>
      <c r="AW481" t="s">
        <v>5086</v>
      </c>
    </row>
    <row r="482" spans="1:49" x14ac:dyDescent="0.35">
      <c r="A482" t="s">
        <v>871</v>
      </c>
      <c r="B482" t="s">
        <v>872</v>
      </c>
      <c r="C482" t="s">
        <v>4818</v>
      </c>
      <c r="D482" t="s">
        <v>18</v>
      </c>
      <c r="E482" t="s">
        <v>1916</v>
      </c>
      <c r="F482" t="s">
        <v>1917</v>
      </c>
      <c r="G482" t="s">
        <v>21</v>
      </c>
      <c r="H482" t="s">
        <v>4826</v>
      </c>
      <c r="I482" t="s">
        <v>4935</v>
      </c>
      <c r="J482" s="4" t="s">
        <v>4936</v>
      </c>
      <c r="K482" s="4" t="s">
        <v>4937</v>
      </c>
      <c r="L482" s="4" t="s">
        <v>4950</v>
      </c>
      <c r="M482" s="4" t="s">
        <v>5035</v>
      </c>
      <c r="N482" t="s">
        <v>15</v>
      </c>
      <c r="O482" t="s">
        <v>1918</v>
      </c>
      <c r="P482" t="s">
        <v>23</v>
      </c>
      <c r="Q482" t="s">
        <v>24</v>
      </c>
      <c r="R482" t="s">
        <v>25</v>
      </c>
      <c r="S482" t="s">
        <v>26</v>
      </c>
      <c r="T482" s="6">
        <v>46307</v>
      </c>
      <c r="U482">
        <v>60</v>
      </c>
      <c r="V482">
        <v>60</v>
      </c>
      <c r="W482">
        <v>60</v>
      </c>
      <c r="X482">
        <v>60</v>
      </c>
      <c r="Y482">
        <f t="shared" si="69"/>
        <v>0</v>
      </c>
      <c r="Z482">
        <f t="shared" si="70"/>
        <v>0</v>
      </c>
      <c r="AC482" s="1">
        <v>0</v>
      </c>
      <c r="AF482">
        <f t="shared" si="75"/>
        <v>60</v>
      </c>
      <c r="AG482" s="7">
        <v>12</v>
      </c>
      <c r="AH482">
        <f t="shared" si="71"/>
        <v>60</v>
      </c>
      <c r="AI482">
        <f t="shared" si="68"/>
        <v>0</v>
      </c>
      <c r="AK482">
        <f t="shared" si="72"/>
        <v>5</v>
      </c>
      <c r="AL482">
        <v>11.16</v>
      </c>
      <c r="AM482" t="s">
        <v>27</v>
      </c>
      <c r="AN482">
        <v>11.16</v>
      </c>
      <c r="AO482" t="b">
        <f t="shared" si="73"/>
        <v>1</v>
      </c>
      <c r="AR482" t="s">
        <v>5061</v>
      </c>
      <c r="AS482" s="21">
        <v>46276</v>
      </c>
      <c r="AT482" t="s">
        <v>5062</v>
      </c>
      <c r="AU482" t="s">
        <v>5071</v>
      </c>
      <c r="AV482" t="s">
        <v>5062</v>
      </c>
      <c r="AW482" t="s">
        <v>5086</v>
      </c>
    </row>
    <row r="483" spans="1:49" x14ac:dyDescent="0.35">
      <c r="A483" t="s">
        <v>871</v>
      </c>
      <c r="B483" t="s">
        <v>872</v>
      </c>
      <c r="C483" t="s">
        <v>4818</v>
      </c>
      <c r="D483" t="s">
        <v>18</v>
      </c>
      <c r="E483" t="s">
        <v>1919</v>
      </c>
      <c r="F483" t="s">
        <v>1920</v>
      </c>
      <c r="G483" t="s">
        <v>21</v>
      </c>
      <c r="H483" t="s">
        <v>4826</v>
      </c>
      <c r="I483" t="s">
        <v>4935</v>
      </c>
      <c r="J483" s="4" t="s">
        <v>4936</v>
      </c>
      <c r="K483" s="4" t="s">
        <v>4937</v>
      </c>
      <c r="L483" s="4" t="s">
        <v>4951</v>
      </c>
      <c r="M483" s="4" t="s">
        <v>5035</v>
      </c>
      <c r="N483" t="s">
        <v>15</v>
      </c>
      <c r="O483" t="s">
        <v>1921</v>
      </c>
      <c r="P483" t="s">
        <v>23</v>
      </c>
      <c r="Q483" t="s">
        <v>24</v>
      </c>
      <c r="R483" t="s">
        <v>25</v>
      </c>
      <c r="S483" t="s">
        <v>26</v>
      </c>
      <c r="T483" s="6">
        <v>46307</v>
      </c>
      <c r="U483">
        <v>204</v>
      </c>
      <c r="V483">
        <v>204</v>
      </c>
      <c r="W483">
        <v>216</v>
      </c>
      <c r="X483">
        <v>216</v>
      </c>
      <c r="Y483">
        <f t="shared" si="69"/>
        <v>0</v>
      </c>
      <c r="Z483">
        <f t="shared" si="70"/>
        <v>-12</v>
      </c>
      <c r="AC483" s="1"/>
      <c r="AF483">
        <f t="shared" si="75"/>
        <v>204</v>
      </c>
      <c r="AG483" s="7">
        <v>12</v>
      </c>
      <c r="AH483">
        <f t="shared" si="71"/>
        <v>204</v>
      </c>
      <c r="AI483">
        <f t="shared" si="68"/>
        <v>0</v>
      </c>
      <c r="AK483">
        <f t="shared" si="72"/>
        <v>17</v>
      </c>
      <c r="AL483">
        <v>11.16</v>
      </c>
      <c r="AM483" t="s">
        <v>27</v>
      </c>
      <c r="AN483">
        <v>11.16</v>
      </c>
      <c r="AO483" t="b">
        <f t="shared" si="73"/>
        <v>1</v>
      </c>
      <c r="AR483" t="s">
        <v>5061</v>
      </c>
      <c r="AS483" s="21">
        <v>46276</v>
      </c>
      <c r="AT483" t="s">
        <v>5062</v>
      </c>
      <c r="AU483" t="s">
        <v>5071</v>
      </c>
      <c r="AV483" t="s">
        <v>5062</v>
      </c>
      <c r="AW483" t="s">
        <v>5086</v>
      </c>
    </row>
    <row r="484" spans="1:49" x14ac:dyDescent="0.35">
      <c r="A484" t="s">
        <v>871</v>
      </c>
      <c r="B484" t="s">
        <v>872</v>
      </c>
      <c r="C484" t="s">
        <v>4818</v>
      </c>
      <c r="D484" t="s">
        <v>18</v>
      </c>
      <c r="E484" t="s">
        <v>1922</v>
      </c>
      <c r="F484" t="s">
        <v>1923</v>
      </c>
      <c r="G484" t="s">
        <v>21</v>
      </c>
      <c r="H484" t="s">
        <v>4826</v>
      </c>
      <c r="I484" t="s">
        <v>4935</v>
      </c>
      <c r="J484" s="4" t="s">
        <v>4936</v>
      </c>
      <c r="K484" s="4" t="s">
        <v>4945</v>
      </c>
      <c r="L484" s="4" t="s">
        <v>4939</v>
      </c>
      <c r="M484" s="4" t="s">
        <v>5035</v>
      </c>
      <c r="N484" t="s">
        <v>15</v>
      </c>
      <c r="O484" t="s">
        <v>1924</v>
      </c>
      <c r="P484" t="s">
        <v>23</v>
      </c>
      <c r="Q484" t="s">
        <v>24</v>
      </c>
      <c r="R484" t="s">
        <v>25</v>
      </c>
      <c r="S484" t="s">
        <v>26</v>
      </c>
      <c r="T484" s="6">
        <v>46307</v>
      </c>
      <c r="U484">
        <v>36</v>
      </c>
      <c r="V484">
        <v>36</v>
      </c>
      <c r="W484">
        <v>36</v>
      </c>
      <c r="X484">
        <v>36</v>
      </c>
      <c r="Y484">
        <f t="shared" si="69"/>
        <v>0</v>
      </c>
      <c r="Z484">
        <f t="shared" si="70"/>
        <v>0</v>
      </c>
      <c r="AC484" s="1">
        <v>0</v>
      </c>
      <c r="AF484">
        <f t="shared" si="75"/>
        <v>36</v>
      </c>
      <c r="AG484" s="7">
        <v>12</v>
      </c>
      <c r="AH484">
        <f t="shared" si="71"/>
        <v>36</v>
      </c>
      <c r="AI484">
        <f t="shared" si="68"/>
        <v>0</v>
      </c>
      <c r="AK484">
        <f t="shared" si="72"/>
        <v>3</v>
      </c>
      <c r="AL484">
        <v>11.16</v>
      </c>
      <c r="AM484" t="s">
        <v>27</v>
      </c>
      <c r="AN484">
        <v>11.16</v>
      </c>
      <c r="AO484" t="b">
        <f t="shared" si="73"/>
        <v>1</v>
      </c>
      <c r="AR484" t="s">
        <v>5061</v>
      </c>
      <c r="AS484" s="21">
        <v>46276</v>
      </c>
      <c r="AT484" t="s">
        <v>5062</v>
      </c>
      <c r="AU484" t="s">
        <v>5071</v>
      </c>
      <c r="AV484" t="s">
        <v>5062</v>
      </c>
      <c r="AW484" t="s">
        <v>5086</v>
      </c>
    </row>
    <row r="485" spans="1:49" x14ac:dyDescent="0.35">
      <c r="A485" t="s">
        <v>871</v>
      </c>
      <c r="B485" t="s">
        <v>872</v>
      </c>
      <c r="C485" t="s">
        <v>4818</v>
      </c>
      <c r="D485" t="s">
        <v>18</v>
      </c>
      <c r="E485" t="s">
        <v>1925</v>
      </c>
      <c r="F485" t="s">
        <v>1926</v>
      </c>
      <c r="G485" t="s">
        <v>21</v>
      </c>
      <c r="H485" t="s">
        <v>4826</v>
      </c>
      <c r="I485" t="s">
        <v>4935</v>
      </c>
      <c r="J485" s="4" t="s">
        <v>4936</v>
      </c>
      <c r="K485" s="4" t="s">
        <v>4945</v>
      </c>
      <c r="L485" s="4" t="s">
        <v>4952</v>
      </c>
      <c r="M485" s="4" t="s">
        <v>5035</v>
      </c>
      <c r="N485" t="s">
        <v>15</v>
      </c>
      <c r="O485" t="s">
        <v>1927</v>
      </c>
      <c r="P485" t="s">
        <v>23</v>
      </c>
      <c r="Q485" t="s">
        <v>24</v>
      </c>
      <c r="R485" t="s">
        <v>25</v>
      </c>
      <c r="S485" t="s">
        <v>26</v>
      </c>
      <c r="T485" s="6">
        <v>46307</v>
      </c>
      <c r="U485">
        <v>12</v>
      </c>
      <c r="V485">
        <v>12</v>
      </c>
      <c r="W485">
        <v>12</v>
      </c>
      <c r="X485">
        <v>12</v>
      </c>
      <c r="Y485">
        <f t="shared" si="69"/>
        <v>0</v>
      </c>
      <c r="Z485">
        <f t="shared" si="70"/>
        <v>0</v>
      </c>
      <c r="AC485" s="1">
        <v>0</v>
      </c>
      <c r="AF485">
        <f t="shared" si="75"/>
        <v>12</v>
      </c>
      <c r="AG485" s="7">
        <v>12</v>
      </c>
      <c r="AH485">
        <f t="shared" si="71"/>
        <v>12</v>
      </c>
      <c r="AI485">
        <f t="shared" si="68"/>
        <v>0</v>
      </c>
      <c r="AK485">
        <f t="shared" si="72"/>
        <v>1</v>
      </c>
      <c r="AL485">
        <v>11.16</v>
      </c>
      <c r="AM485" t="s">
        <v>27</v>
      </c>
      <c r="AN485">
        <v>11.16</v>
      </c>
      <c r="AO485" t="b">
        <f t="shared" si="73"/>
        <v>1</v>
      </c>
      <c r="AR485" t="s">
        <v>5061</v>
      </c>
      <c r="AS485" s="21">
        <v>46276</v>
      </c>
      <c r="AT485" t="s">
        <v>5062</v>
      </c>
      <c r="AU485" t="s">
        <v>5071</v>
      </c>
      <c r="AV485" t="s">
        <v>5062</v>
      </c>
      <c r="AW485" t="s">
        <v>5086</v>
      </c>
    </row>
    <row r="486" spans="1:49" x14ac:dyDescent="0.35">
      <c r="A486" t="s">
        <v>871</v>
      </c>
      <c r="B486" t="s">
        <v>872</v>
      </c>
      <c r="C486" t="s">
        <v>4818</v>
      </c>
      <c r="D486" t="s">
        <v>18</v>
      </c>
      <c r="E486" t="s">
        <v>1928</v>
      </c>
      <c r="F486" t="s">
        <v>1929</v>
      </c>
      <c r="G486" t="s">
        <v>21</v>
      </c>
      <c r="H486" t="s">
        <v>4826</v>
      </c>
      <c r="I486" t="s">
        <v>4935</v>
      </c>
      <c r="J486" s="4" t="s">
        <v>4936</v>
      </c>
      <c r="K486" s="4" t="s">
        <v>4832</v>
      </c>
      <c r="L486" s="4" t="s">
        <v>4953</v>
      </c>
      <c r="M486" s="4" t="s">
        <v>5035</v>
      </c>
      <c r="N486" t="s">
        <v>15</v>
      </c>
      <c r="O486" t="s">
        <v>1930</v>
      </c>
      <c r="P486" t="s">
        <v>23</v>
      </c>
      <c r="Q486" t="s">
        <v>24</v>
      </c>
      <c r="R486" t="s">
        <v>25</v>
      </c>
      <c r="S486" t="s">
        <v>26</v>
      </c>
      <c r="T486" s="6">
        <v>46307</v>
      </c>
      <c r="U486">
        <v>108</v>
      </c>
      <c r="V486">
        <v>108</v>
      </c>
      <c r="W486">
        <v>96</v>
      </c>
      <c r="X486">
        <v>96</v>
      </c>
      <c r="Y486">
        <f t="shared" si="69"/>
        <v>0</v>
      </c>
      <c r="Z486">
        <f t="shared" si="70"/>
        <v>12</v>
      </c>
      <c r="AA486">
        <f t="shared" ref="AA486:AA489" si="76">Z486</f>
        <v>12</v>
      </c>
      <c r="AC486" s="1">
        <v>0</v>
      </c>
      <c r="AF486">
        <f>X486</f>
        <v>96</v>
      </c>
      <c r="AG486" s="7">
        <v>12</v>
      </c>
      <c r="AH486">
        <f t="shared" si="71"/>
        <v>96</v>
      </c>
      <c r="AI486">
        <f t="shared" si="68"/>
        <v>12</v>
      </c>
      <c r="AK486">
        <f t="shared" si="72"/>
        <v>8</v>
      </c>
      <c r="AL486">
        <v>11.16</v>
      </c>
      <c r="AM486" t="s">
        <v>27</v>
      </c>
      <c r="AN486">
        <v>11.16</v>
      </c>
      <c r="AO486" t="b">
        <f t="shared" si="73"/>
        <v>1</v>
      </c>
      <c r="AR486" t="s">
        <v>5061</v>
      </c>
      <c r="AS486" s="21">
        <v>46276</v>
      </c>
      <c r="AT486" t="s">
        <v>5062</v>
      </c>
      <c r="AU486" t="s">
        <v>5071</v>
      </c>
      <c r="AV486" t="s">
        <v>5062</v>
      </c>
      <c r="AW486" t="s">
        <v>5086</v>
      </c>
    </row>
    <row r="487" spans="1:49" x14ac:dyDescent="0.35">
      <c r="A487" t="s">
        <v>871</v>
      </c>
      <c r="B487" t="s">
        <v>872</v>
      </c>
      <c r="C487" t="s">
        <v>4818</v>
      </c>
      <c r="D487" t="s">
        <v>18</v>
      </c>
      <c r="E487" t="s">
        <v>1931</v>
      </c>
      <c r="F487" t="s">
        <v>1932</v>
      </c>
      <c r="G487" t="s">
        <v>21</v>
      </c>
      <c r="H487" t="s">
        <v>4826</v>
      </c>
      <c r="I487" t="s">
        <v>4935</v>
      </c>
      <c r="J487" s="4" t="s">
        <v>4936</v>
      </c>
      <c r="K487" s="4" t="s">
        <v>4837</v>
      </c>
      <c r="L487" s="4" t="s">
        <v>4954</v>
      </c>
      <c r="M487" s="4" t="s">
        <v>5035</v>
      </c>
      <c r="N487" t="s">
        <v>15</v>
      </c>
      <c r="O487" t="s">
        <v>1933</v>
      </c>
      <c r="P487" t="s">
        <v>23</v>
      </c>
      <c r="Q487" t="s">
        <v>24</v>
      </c>
      <c r="R487" t="s">
        <v>25</v>
      </c>
      <c r="S487" t="s">
        <v>26</v>
      </c>
      <c r="T487" s="6">
        <v>46307</v>
      </c>
      <c r="U487">
        <v>132</v>
      </c>
      <c r="V487">
        <v>132</v>
      </c>
      <c r="W487">
        <v>120</v>
      </c>
      <c r="X487">
        <v>120</v>
      </c>
      <c r="Y487">
        <f t="shared" si="69"/>
        <v>0</v>
      </c>
      <c r="Z487">
        <f t="shared" si="70"/>
        <v>12</v>
      </c>
      <c r="AA487">
        <f t="shared" si="76"/>
        <v>12</v>
      </c>
      <c r="AC487" s="1">
        <v>0</v>
      </c>
      <c r="AF487">
        <f>X487</f>
        <v>120</v>
      </c>
      <c r="AG487" s="7">
        <v>12</v>
      </c>
      <c r="AH487">
        <f t="shared" si="71"/>
        <v>120</v>
      </c>
      <c r="AI487">
        <f t="shared" si="68"/>
        <v>12</v>
      </c>
      <c r="AK487">
        <f t="shared" si="72"/>
        <v>10</v>
      </c>
      <c r="AL487">
        <v>11.16</v>
      </c>
      <c r="AM487" t="s">
        <v>27</v>
      </c>
      <c r="AN487">
        <v>11.16</v>
      </c>
      <c r="AO487" t="b">
        <f t="shared" si="73"/>
        <v>1</v>
      </c>
      <c r="AR487" t="s">
        <v>5061</v>
      </c>
      <c r="AS487" s="21">
        <v>46276</v>
      </c>
      <c r="AT487" t="s">
        <v>5062</v>
      </c>
      <c r="AU487" t="s">
        <v>5071</v>
      </c>
      <c r="AV487" t="s">
        <v>5062</v>
      </c>
      <c r="AW487" t="s">
        <v>5086</v>
      </c>
    </row>
    <row r="488" spans="1:49" x14ac:dyDescent="0.35">
      <c r="A488" t="s">
        <v>871</v>
      </c>
      <c r="B488" t="s">
        <v>872</v>
      </c>
      <c r="C488" t="s">
        <v>4818</v>
      </c>
      <c r="D488" t="s">
        <v>18</v>
      </c>
      <c r="E488" t="s">
        <v>1934</v>
      </c>
      <c r="F488" t="s">
        <v>1935</v>
      </c>
      <c r="G488" t="s">
        <v>21</v>
      </c>
      <c r="H488" t="s">
        <v>4826</v>
      </c>
      <c r="I488" t="s">
        <v>4935</v>
      </c>
      <c r="J488" s="4" t="s">
        <v>4936</v>
      </c>
      <c r="K488" s="4" t="s">
        <v>4832</v>
      </c>
      <c r="L488" s="4" t="s">
        <v>4951</v>
      </c>
      <c r="M488" s="4" t="s">
        <v>5035</v>
      </c>
      <c r="N488" t="s">
        <v>15</v>
      </c>
      <c r="O488" t="s">
        <v>1936</v>
      </c>
      <c r="P488" t="s">
        <v>23</v>
      </c>
      <c r="Q488" t="s">
        <v>24</v>
      </c>
      <c r="R488" t="s">
        <v>25</v>
      </c>
      <c r="S488" t="s">
        <v>26</v>
      </c>
      <c r="T488" s="6">
        <v>46307</v>
      </c>
      <c r="U488">
        <v>192</v>
      </c>
      <c r="V488">
        <v>192</v>
      </c>
      <c r="W488">
        <v>168</v>
      </c>
      <c r="X488">
        <v>168</v>
      </c>
      <c r="Y488">
        <f t="shared" si="69"/>
        <v>0</v>
      </c>
      <c r="Z488">
        <f t="shared" si="70"/>
        <v>24</v>
      </c>
      <c r="AA488">
        <f t="shared" si="76"/>
        <v>24</v>
      </c>
      <c r="AC488" s="1">
        <v>0</v>
      </c>
      <c r="AF488">
        <f>X488</f>
        <v>168</v>
      </c>
      <c r="AG488" s="7">
        <v>12</v>
      </c>
      <c r="AH488">
        <f t="shared" si="71"/>
        <v>168</v>
      </c>
      <c r="AI488">
        <f t="shared" si="68"/>
        <v>24</v>
      </c>
      <c r="AK488">
        <f t="shared" si="72"/>
        <v>14</v>
      </c>
      <c r="AL488">
        <v>11.16</v>
      </c>
      <c r="AM488" t="s">
        <v>27</v>
      </c>
      <c r="AN488">
        <v>11.16</v>
      </c>
      <c r="AO488" t="b">
        <f t="shared" si="73"/>
        <v>1</v>
      </c>
      <c r="AR488" t="s">
        <v>5061</v>
      </c>
      <c r="AS488" s="21">
        <v>46276</v>
      </c>
      <c r="AT488" t="s">
        <v>5062</v>
      </c>
      <c r="AU488" t="s">
        <v>5071</v>
      </c>
      <c r="AV488" t="s">
        <v>5062</v>
      </c>
      <c r="AW488" t="s">
        <v>5086</v>
      </c>
    </row>
    <row r="489" spans="1:49" x14ac:dyDescent="0.35">
      <c r="A489" t="s">
        <v>871</v>
      </c>
      <c r="B489" t="s">
        <v>872</v>
      </c>
      <c r="C489" t="s">
        <v>4818</v>
      </c>
      <c r="D489" t="s">
        <v>18</v>
      </c>
      <c r="E489" t="s">
        <v>1937</v>
      </c>
      <c r="F489" t="s">
        <v>1938</v>
      </c>
      <c r="G489" t="s">
        <v>21</v>
      </c>
      <c r="H489" t="s">
        <v>4826</v>
      </c>
      <c r="I489" t="s">
        <v>4935</v>
      </c>
      <c r="J489" s="4" t="s">
        <v>4936</v>
      </c>
      <c r="K489" s="4" t="s">
        <v>4945</v>
      </c>
      <c r="L489" s="4" t="s">
        <v>4940</v>
      </c>
      <c r="M489" s="4" t="s">
        <v>5035</v>
      </c>
      <c r="N489" t="s">
        <v>15</v>
      </c>
      <c r="O489" t="s">
        <v>1939</v>
      </c>
      <c r="P489" t="s">
        <v>23</v>
      </c>
      <c r="Q489" t="s">
        <v>24</v>
      </c>
      <c r="R489" t="s">
        <v>25</v>
      </c>
      <c r="S489" t="s">
        <v>26</v>
      </c>
      <c r="T489" s="6">
        <v>46307</v>
      </c>
      <c r="U489">
        <v>72</v>
      </c>
      <c r="V489">
        <v>72</v>
      </c>
      <c r="W489">
        <v>60</v>
      </c>
      <c r="X489">
        <v>60</v>
      </c>
      <c r="Y489">
        <f t="shared" si="69"/>
        <v>0</v>
      </c>
      <c r="Z489">
        <f t="shared" si="70"/>
        <v>12</v>
      </c>
      <c r="AA489">
        <f t="shared" si="76"/>
        <v>12</v>
      </c>
      <c r="AC489" s="1">
        <v>0</v>
      </c>
      <c r="AF489">
        <f>X489</f>
        <v>60</v>
      </c>
      <c r="AG489" s="7">
        <v>12</v>
      </c>
      <c r="AH489">
        <f t="shared" si="71"/>
        <v>60</v>
      </c>
      <c r="AI489">
        <f t="shared" si="68"/>
        <v>12</v>
      </c>
      <c r="AK489">
        <f t="shared" si="72"/>
        <v>5</v>
      </c>
      <c r="AL489">
        <v>11.16</v>
      </c>
      <c r="AM489" t="s">
        <v>27</v>
      </c>
      <c r="AN489">
        <v>11.16</v>
      </c>
      <c r="AO489" t="b">
        <f t="shared" si="73"/>
        <v>1</v>
      </c>
      <c r="AR489" t="s">
        <v>5061</v>
      </c>
      <c r="AS489" s="21">
        <v>46276</v>
      </c>
      <c r="AT489" t="s">
        <v>5062</v>
      </c>
      <c r="AU489" t="s">
        <v>5071</v>
      </c>
      <c r="AV489" t="s">
        <v>5062</v>
      </c>
      <c r="AW489" t="s">
        <v>5086</v>
      </c>
    </row>
    <row r="490" spans="1:49" x14ac:dyDescent="0.35">
      <c r="A490" t="s">
        <v>871</v>
      </c>
      <c r="B490" t="s">
        <v>872</v>
      </c>
      <c r="C490" t="s">
        <v>4818</v>
      </c>
      <c r="D490" t="s">
        <v>18</v>
      </c>
      <c r="E490" t="s">
        <v>1940</v>
      </c>
      <c r="F490" t="s">
        <v>1941</v>
      </c>
      <c r="G490" t="s">
        <v>21</v>
      </c>
      <c r="H490" t="s">
        <v>4826</v>
      </c>
      <c r="I490" t="s">
        <v>4935</v>
      </c>
      <c r="J490" s="4" t="s">
        <v>4936</v>
      </c>
      <c r="K490" s="4" t="s">
        <v>4937</v>
      </c>
      <c r="L490" s="4" t="s">
        <v>4953</v>
      </c>
      <c r="M490" s="4" t="s">
        <v>5035</v>
      </c>
      <c r="N490" t="s">
        <v>15</v>
      </c>
      <c r="O490" t="s">
        <v>1942</v>
      </c>
      <c r="P490" t="s">
        <v>23</v>
      </c>
      <c r="Q490" t="s">
        <v>24</v>
      </c>
      <c r="R490" t="s">
        <v>25</v>
      </c>
      <c r="S490" t="s">
        <v>26</v>
      </c>
      <c r="T490" s="6">
        <v>46307</v>
      </c>
      <c r="U490">
        <v>36</v>
      </c>
      <c r="V490">
        <v>36</v>
      </c>
      <c r="W490">
        <v>36</v>
      </c>
      <c r="X490">
        <v>36</v>
      </c>
      <c r="Y490">
        <f t="shared" si="69"/>
        <v>0</v>
      </c>
      <c r="Z490">
        <f t="shared" si="70"/>
        <v>0</v>
      </c>
      <c r="AC490" s="1">
        <v>0</v>
      </c>
      <c r="AF490">
        <f>V490</f>
        <v>36</v>
      </c>
      <c r="AG490" s="7">
        <v>12</v>
      </c>
      <c r="AH490">
        <f t="shared" si="71"/>
        <v>36</v>
      </c>
      <c r="AI490">
        <f t="shared" si="68"/>
        <v>0</v>
      </c>
      <c r="AK490">
        <f t="shared" si="72"/>
        <v>3</v>
      </c>
      <c r="AL490">
        <v>11.16</v>
      </c>
      <c r="AM490" t="s">
        <v>27</v>
      </c>
      <c r="AN490">
        <v>11.16</v>
      </c>
      <c r="AO490" t="b">
        <f t="shared" si="73"/>
        <v>1</v>
      </c>
      <c r="AR490" t="s">
        <v>5061</v>
      </c>
      <c r="AS490" s="21">
        <v>46276</v>
      </c>
      <c r="AT490" t="s">
        <v>5062</v>
      </c>
      <c r="AU490" t="s">
        <v>5071</v>
      </c>
      <c r="AV490" t="s">
        <v>5062</v>
      </c>
      <c r="AW490" t="s">
        <v>5086</v>
      </c>
    </row>
    <row r="491" spans="1:49" x14ac:dyDescent="0.35">
      <c r="A491" t="s">
        <v>871</v>
      </c>
      <c r="B491" t="s">
        <v>872</v>
      </c>
      <c r="C491" t="s">
        <v>4818</v>
      </c>
      <c r="D491" t="s">
        <v>18</v>
      </c>
      <c r="E491" t="s">
        <v>1943</v>
      </c>
      <c r="F491" t="s">
        <v>1944</v>
      </c>
      <c r="G491" t="s">
        <v>21</v>
      </c>
      <c r="H491" t="s">
        <v>4826</v>
      </c>
      <c r="I491" t="s">
        <v>4935</v>
      </c>
      <c r="J491" s="4" t="s">
        <v>4936</v>
      </c>
      <c r="K491" s="4" t="s">
        <v>4945</v>
      </c>
      <c r="L491" s="4" t="s">
        <v>4955</v>
      </c>
      <c r="M491" s="4" t="s">
        <v>5035</v>
      </c>
      <c r="N491" t="s">
        <v>15</v>
      </c>
      <c r="O491" t="s">
        <v>1945</v>
      </c>
      <c r="P491" t="s">
        <v>23</v>
      </c>
      <c r="Q491" t="s">
        <v>24</v>
      </c>
      <c r="R491" t="s">
        <v>25</v>
      </c>
      <c r="S491" t="s">
        <v>26</v>
      </c>
      <c r="T491" s="6">
        <v>46307</v>
      </c>
      <c r="U491">
        <v>12</v>
      </c>
      <c r="V491">
        <v>12</v>
      </c>
      <c r="W491">
        <v>12</v>
      </c>
      <c r="X491">
        <v>12</v>
      </c>
      <c r="Y491">
        <f t="shared" si="69"/>
        <v>0</v>
      </c>
      <c r="Z491">
        <f t="shared" si="70"/>
        <v>0</v>
      </c>
      <c r="AC491" s="1">
        <v>0</v>
      </c>
      <c r="AF491">
        <f>V491</f>
        <v>12</v>
      </c>
      <c r="AG491" s="7">
        <v>12</v>
      </c>
      <c r="AH491">
        <f t="shared" si="71"/>
        <v>12</v>
      </c>
      <c r="AI491">
        <f t="shared" si="68"/>
        <v>0</v>
      </c>
      <c r="AK491">
        <f t="shared" si="72"/>
        <v>1</v>
      </c>
      <c r="AL491">
        <v>11.16</v>
      </c>
      <c r="AM491" t="s">
        <v>27</v>
      </c>
      <c r="AN491">
        <v>11.16</v>
      </c>
      <c r="AO491" t="b">
        <f t="shared" si="73"/>
        <v>1</v>
      </c>
      <c r="AR491" t="s">
        <v>5061</v>
      </c>
      <c r="AS491" s="21">
        <v>46276</v>
      </c>
      <c r="AT491" t="s">
        <v>5062</v>
      </c>
      <c r="AU491" t="s">
        <v>5071</v>
      </c>
      <c r="AV491" t="s">
        <v>5062</v>
      </c>
      <c r="AW491" t="s">
        <v>5086</v>
      </c>
    </row>
    <row r="492" spans="1:49" x14ac:dyDescent="0.35">
      <c r="A492" t="s">
        <v>871</v>
      </c>
      <c r="B492" t="s">
        <v>872</v>
      </c>
      <c r="C492" t="s">
        <v>4818</v>
      </c>
      <c r="D492" t="s">
        <v>18</v>
      </c>
      <c r="E492" t="s">
        <v>1946</v>
      </c>
      <c r="F492" t="s">
        <v>1947</v>
      </c>
      <c r="G492" t="s">
        <v>21</v>
      </c>
      <c r="H492" t="s">
        <v>4826</v>
      </c>
      <c r="I492" t="s">
        <v>4935</v>
      </c>
      <c r="J492" s="4" t="s">
        <v>4936</v>
      </c>
      <c r="K492" s="4" t="s">
        <v>4945</v>
      </c>
      <c r="L492" s="4" t="s">
        <v>4956</v>
      </c>
      <c r="M492" s="4" t="s">
        <v>5035</v>
      </c>
      <c r="N492" t="s">
        <v>15</v>
      </c>
      <c r="O492" t="s">
        <v>1948</v>
      </c>
      <c r="P492" t="s">
        <v>23</v>
      </c>
      <c r="Q492" t="s">
        <v>24</v>
      </c>
      <c r="R492" t="s">
        <v>25</v>
      </c>
      <c r="S492" t="s">
        <v>26</v>
      </c>
      <c r="T492" s="6">
        <v>46307</v>
      </c>
      <c r="U492">
        <v>48</v>
      </c>
      <c r="V492">
        <v>48</v>
      </c>
      <c r="W492">
        <v>48</v>
      </c>
      <c r="X492">
        <v>48</v>
      </c>
      <c r="Y492">
        <f t="shared" si="69"/>
        <v>0</v>
      </c>
      <c r="Z492">
        <f t="shared" si="70"/>
        <v>0</v>
      </c>
      <c r="AC492" s="1">
        <v>0</v>
      </c>
      <c r="AF492">
        <f>V492</f>
        <v>48</v>
      </c>
      <c r="AG492" s="7">
        <v>12</v>
      </c>
      <c r="AH492">
        <f t="shared" si="71"/>
        <v>48</v>
      </c>
      <c r="AI492">
        <f t="shared" si="68"/>
        <v>0</v>
      </c>
      <c r="AK492">
        <f t="shared" si="72"/>
        <v>4</v>
      </c>
      <c r="AL492">
        <v>11.16</v>
      </c>
      <c r="AM492" t="s">
        <v>27</v>
      </c>
      <c r="AN492">
        <v>11.16</v>
      </c>
      <c r="AO492" t="b">
        <f t="shared" si="73"/>
        <v>1</v>
      </c>
      <c r="AR492" t="s">
        <v>5061</v>
      </c>
      <c r="AS492" s="21">
        <v>46276</v>
      </c>
      <c r="AT492" t="s">
        <v>5062</v>
      </c>
      <c r="AU492" t="s">
        <v>5071</v>
      </c>
      <c r="AV492" t="s">
        <v>5062</v>
      </c>
      <c r="AW492" t="s">
        <v>5086</v>
      </c>
    </row>
    <row r="493" spans="1:49" x14ac:dyDescent="0.35">
      <c r="A493" t="s">
        <v>871</v>
      </c>
      <c r="B493" t="s">
        <v>872</v>
      </c>
      <c r="C493" t="s">
        <v>4818</v>
      </c>
      <c r="D493" t="s">
        <v>18</v>
      </c>
      <c r="E493" t="s">
        <v>1949</v>
      </c>
      <c r="F493" t="s">
        <v>1950</v>
      </c>
      <c r="G493" t="s">
        <v>21</v>
      </c>
      <c r="H493" t="s">
        <v>4826</v>
      </c>
      <c r="I493" t="s">
        <v>4935</v>
      </c>
      <c r="J493" s="4" t="s">
        <v>4936</v>
      </c>
      <c r="K493" s="4" t="s">
        <v>4957</v>
      </c>
      <c r="L493" s="4" t="s">
        <v>4939</v>
      </c>
      <c r="M493" s="4" t="s">
        <v>5035</v>
      </c>
      <c r="N493" t="s">
        <v>15</v>
      </c>
      <c r="O493" t="s">
        <v>1951</v>
      </c>
      <c r="P493" t="s">
        <v>23</v>
      </c>
      <c r="Q493" t="s">
        <v>24</v>
      </c>
      <c r="R493" t="s">
        <v>25</v>
      </c>
      <c r="S493" t="s">
        <v>26</v>
      </c>
      <c r="T493" s="6">
        <v>46307</v>
      </c>
      <c r="U493">
        <v>48</v>
      </c>
      <c r="V493">
        <v>48</v>
      </c>
      <c r="W493">
        <v>36</v>
      </c>
      <c r="X493">
        <v>36</v>
      </c>
      <c r="Y493">
        <f t="shared" si="69"/>
        <v>0</v>
      </c>
      <c r="Z493">
        <f t="shared" si="70"/>
        <v>12</v>
      </c>
      <c r="AA493">
        <f>Z493</f>
        <v>12</v>
      </c>
      <c r="AC493" s="1">
        <v>0</v>
      </c>
      <c r="AF493">
        <f>X493</f>
        <v>36</v>
      </c>
      <c r="AG493" s="7">
        <v>12</v>
      </c>
      <c r="AH493">
        <f t="shared" si="71"/>
        <v>36</v>
      </c>
      <c r="AI493">
        <f t="shared" si="68"/>
        <v>12</v>
      </c>
      <c r="AK493">
        <f t="shared" si="72"/>
        <v>3</v>
      </c>
      <c r="AL493">
        <v>11.27</v>
      </c>
      <c r="AM493" t="s">
        <v>27</v>
      </c>
      <c r="AN493">
        <v>11.27</v>
      </c>
      <c r="AO493" t="b">
        <f t="shared" si="73"/>
        <v>1</v>
      </c>
      <c r="AR493" t="s">
        <v>5061</v>
      </c>
      <c r="AS493" s="21">
        <v>46276</v>
      </c>
      <c r="AT493" t="s">
        <v>5062</v>
      </c>
      <c r="AU493" t="s">
        <v>5071</v>
      </c>
      <c r="AV493" t="s">
        <v>5062</v>
      </c>
      <c r="AW493" t="s">
        <v>5086</v>
      </c>
    </row>
    <row r="494" spans="1:49" x14ac:dyDescent="0.35">
      <c r="A494" t="s">
        <v>871</v>
      </c>
      <c r="B494" t="s">
        <v>872</v>
      </c>
      <c r="C494" t="s">
        <v>4818</v>
      </c>
      <c r="D494" t="s">
        <v>18</v>
      </c>
      <c r="E494" t="s">
        <v>1952</v>
      </c>
      <c r="F494" t="s">
        <v>1953</v>
      </c>
      <c r="G494" t="s">
        <v>21</v>
      </c>
      <c r="H494" t="s">
        <v>4826</v>
      </c>
      <c r="I494" t="s">
        <v>4935</v>
      </c>
      <c r="J494" s="4" t="s">
        <v>4936</v>
      </c>
      <c r="K494" s="4" t="s">
        <v>4937</v>
      </c>
      <c r="L494" s="4" t="s">
        <v>4958</v>
      </c>
      <c r="M494" s="4" t="s">
        <v>5035</v>
      </c>
      <c r="N494" t="s">
        <v>15</v>
      </c>
      <c r="O494" t="s">
        <v>1954</v>
      </c>
      <c r="P494" t="s">
        <v>23</v>
      </c>
      <c r="Q494" t="s">
        <v>24</v>
      </c>
      <c r="R494" t="s">
        <v>25</v>
      </c>
      <c r="S494" t="s">
        <v>26</v>
      </c>
      <c r="T494" s="6">
        <v>46307</v>
      </c>
      <c r="U494">
        <v>228</v>
      </c>
      <c r="V494">
        <v>228</v>
      </c>
      <c r="W494">
        <v>252</v>
      </c>
      <c r="X494">
        <v>252</v>
      </c>
      <c r="Y494">
        <f t="shared" si="69"/>
        <v>0</v>
      </c>
      <c r="Z494">
        <f t="shared" si="70"/>
        <v>-24</v>
      </c>
      <c r="AC494" s="1">
        <v>0</v>
      </c>
      <c r="AF494">
        <f>V494</f>
        <v>228</v>
      </c>
      <c r="AG494" s="7">
        <v>12</v>
      </c>
      <c r="AH494">
        <f t="shared" si="71"/>
        <v>228</v>
      </c>
      <c r="AI494">
        <f t="shared" si="68"/>
        <v>0</v>
      </c>
      <c r="AK494">
        <f t="shared" si="72"/>
        <v>19</v>
      </c>
      <c r="AL494">
        <v>11.16</v>
      </c>
      <c r="AM494" t="s">
        <v>27</v>
      </c>
      <c r="AN494">
        <v>11.16</v>
      </c>
      <c r="AO494" t="b">
        <f t="shared" si="73"/>
        <v>1</v>
      </c>
      <c r="AR494" t="s">
        <v>5061</v>
      </c>
      <c r="AS494" s="21">
        <v>46276</v>
      </c>
      <c r="AT494" t="s">
        <v>5062</v>
      </c>
      <c r="AU494" t="s">
        <v>5071</v>
      </c>
      <c r="AV494" t="s">
        <v>5062</v>
      </c>
      <c r="AW494" t="s">
        <v>5086</v>
      </c>
    </row>
    <row r="495" spans="1:49" x14ac:dyDescent="0.35">
      <c r="A495" t="s">
        <v>871</v>
      </c>
      <c r="B495" t="s">
        <v>872</v>
      </c>
      <c r="C495" t="s">
        <v>4818</v>
      </c>
      <c r="D495" t="s">
        <v>18</v>
      </c>
      <c r="E495" t="s">
        <v>1955</v>
      </c>
      <c r="F495" t="s">
        <v>1956</v>
      </c>
      <c r="G495" t="s">
        <v>21</v>
      </c>
      <c r="H495" t="s">
        <v>4826</v>
      </c>
      <c r="I495" t="s">
        <v>4935</v>
      </c>
      <c r="J495" s="4" t="s">
        <v>4936</v>
      </c>
      <c r="K495" s="4" t="s">
        <v>4837</v>
      </c>
      <c r="L495" s="4" t="s">
        <v>4959</v>
      </c>
      <c r="M495" s="4" t="s">
        <v>5035</v>
      </c>
      <c r="N495" t="s">
        <v>15</v>
      </c>
      <c r="O495" t="s">
        <v>1957</v>
      </c>
      <c r="P495" t="s">
        <v>23</v>
      </c>
      <c r="Q495" t="s">
        <v>24</v>
      </c>
      <c r="R495" t="s">
        <v>25</v>
      </c>
      <c r="S495" t="s">
        <v>26</v>
      </c>
      <c r="T495" s="6">
        <v>46307</v>
      </c>
      <c r="U495">
        <v>96</v>
      </c>
      <c r="V495">
        <v>96</v>
      </c>
      <c r="W495">
        <v>84</v>
      </c>
      <c r="X495">
        <v>84</v>
      </c>
      <c r="Y495">
        <f t="shared" si="69"/>
        <v>0</v>
      </c>
      <c r="Z495">
        <f t="shared" si="70"/>
        <v>12</v>
      </c>
      <c r="AA495">
        <f t="shared" ref="AA495:AA497" si="77">Z495</f>
        <v>12</v>
      </c>
      <c r="AC495" s="1">
        <v>0</v>
      </c>
      <c r="AF495">
        <f>X495</f>
        <v>84</v>
      </c>
      <c r="AG495" s="7">
        <v>12</v>
      </c>
      <c r="AH495">
        <f t="shared" si="71"/>
        <v>84</v>
      </c>
      <c r="AI495">
        <f t="shared" si="68"/>
        <v>12</v>
      </c>
      <c r="AK495">
        <f t="shared" si="72"/>
        <v>7</v>
      </c>
      <c r="AL495">
        <v>11.16</v>
      </c>
      <c r="AM495" t="s">
        <v>27</v>
      </c>
      <c r="AN495">
        <v>11.16</v>
      </c>
      <c r="AO495" t="b">
        <f t="shared" si="73"/>
        <v>1</v>
      </c>
      <c r="AR495" t="s">
        <v>5061</v>
      </c>
      <c r="AS495" s="21">
        <v>46276</v>
      </c>
      <c r="AT495" t="s">
        <v>5062</v>
      </c>
      <c r="AU495" t="s">
        <v>5071</v>
      </c>
      <c r="AV495" t="s">
        <v>5062</v>
      </c>
      <c r="AW495" t="s">
        <v>5086</v>
      </c>
    </row>
    <row r="496" spans="1:49" x14ac:dyDescent="0.35">
      <c r="A496" t="s">
        <v>871</v>
      </c>
      <c r="B496" t="s">
        <v>872</v>
      </c>
      <c r="C496" t="s">
        <v>4818</v>
      </c>
      <c r="D496" t="s">
        <v>18</v>
      </c>
      <c r="E496" t="s">
        <v>1958</v>
      </c>
      <c r="F496" t="s">
        <v>1959</v>
      </c>
      <c r="G496" t="s">
        <v>21</v>
      </c>
      <c r="H496" t="s">
        <v>4826</v>
      </c>
      <c r="I496" t="s">
        <v>4935</v>
      </c>
      <c r="J496" s="4" t="s">
        <v>4936</v>
      </c>
      <c r="K496" s="4" t="s">
        <v>4957</v>
      </c>
      <c r="L496" s="4" t="s">
        <v>4960</v>
      </c>
      <c r="M496" s="4" t="s">
        <v>5035</v>
      </c>
      <c r="N496" t="s">
        <v>15</v>
      </c>
      <c r="O496" t="s">
        <v>1960</v>
      </c>
      <c r="P496" t="s">
        <v>23</v>
      </c>
      <c r="Q496" t="s">
        <v>24</v>
      </c>
      <c r="R496" t="s">
        <v>25</v>
      </c>
      <c r="S496" t="s">
        <v>26</v>
      </c>
      <c r="T496" s="6">
        <v>46307</v>
      </c>
      <c r="U496">
        <v>240</v>
      </c>
      <c r="V496">
        <v>240</v>
      </c>
      <c r="W496">
        <v>216</v>
      </c>
      <c r="X496">
        <v>216</v>
      </c>
      <c r="Y496">
        <f t="shared" si="69"/>
        <v>0</v>
      </c>
      <c r="Z496">
        <f t="shared" si="70"/>
        <v>24</v>
      </c>
      <c r="AA496">
        <f t="shared" si="77"/>
        <v>24</v>
      </c>
      <c r="AC496" s="1">
        <v>0</v>
      </c>
      <c r="AF496">
        <f>X496</f>
        <v>216</v>
      </c>
      <c r="AG496" s="7">
        <v>12</v>
      </c>
      <c r="AH496">
        <f t="shared" si="71"/>
        <v>216</v>
      </c>
      <c r="AI496">
        <f t="shared" si="68"/>
        <v>24</v>
      </c>
      <c r="AK496">
        <f t="shared" si="72"/>
        <v>18</v>
      </c>
      <c r="AL496">
        <v>11.27</v>
      </c>
      <c r="AM496" t="s">
        <v>27</v>
      </c>
      <c r="AN496">
        <v>11.27</v>
      </c>
      <c r="AO496" t="b">
        <f t="shared" si="73"/>
        <v>1</v>
      </c>
      <c r="AR496" t="s">
        <v>5061</v>
      </c>
      <c r="AS496" s="21">
        <v>46276</v>
      </c>
      <c r="AT496" t="s">
        <v>5062</v>
      </c>
      <c r="AU496" t="s">
        <v>5071</v>
      </c>
      <c r="AV496" t="s">
        <v>5062</v>
      </c>
      <c r="AW496" t="s">
        <v>5086</v>
      </c>
    </row>
    <row r="497" spans="1:49" x14ac:dyDescent="0.35">
      <c r="A497" t="s">
        <v>871</v>
      </c>
      <c r="B497" t="s">
        <v>872</v>
      </c>
      <c r="C497" t="s">
        <v>4818</v>
      </c>
      <c r="D497" t="s">
        <v>18</v>
      </c>
      <c r="E497" t="s">
        <v>1961</v>
      </c>
      <c r="F497" t="s">
        <v>1962</v>
      </c>
      <c r="G497" t="s">
        <v>21</v>
      </c>
      <c r="H497" t="s">
        <v>4826</v>
      </c>
      <c r="I497" t="s">
        <v>4935</v>
      </c>
      <c r="J497" s="4" t="s">
        <v>4936</v>
      </c>
      <c r="K497" s="4" t="s">
        <v>4832</v>
      </c>
      <c r="L497" s="4" t="s">
        <v>4961</v>
      </c>
      <c r="M497" s="4" t="s">
        <v>5035</v>
      </c>
      <c r="N497" t="s">
        <v>15</v>
      </c>
      <c r="O497" t="s">
        <v>1963</v>
      </c>
      <c r="P497" t="s">
        <v>23</v>
      </c>
      <c r="Q497" t="s">
        <v>24</v>
      </c>
      <c r="R497" t="s">
        <v>25</v>
      </c>
      <c r="S497" t="s">
        <v>26</v>
      </c>
      <c r="T497" s="6">
        <v>46307</v>
      </c>
      <c r="U497">
        <v>96</v>
      </c>
      <c r="V497">
        <v>96</v>
      </c>
      <c r="W497">
        <v>84</v>
      </c>
      <c r="X497">
        <v>84</v>
      </c>
      <c r="Y497">
        <f t="shared" si="69"/>
        <v>0</v>
      </c>
      <c r="Z497">
        <f t="shared" si="70"/>
        <v>12</v>
      </c>
      <c r="AA497">
        <f t="shared" si="77"/>
        <v>12</v>
      </c>
      <c r="AC497" s="1">
        <v>0</v>
      </c>
      <c r="AF497">
        <f>X497</f>
        <v>84</v>
      </c>
      <c r="AG497" s="7">
        <v>12</v>
      </c>
      <c r="AH497">
        <f t="shared" si="71"/>
        <v>84</v>
      </c>
      <c r="AI497">
        <f t="shared" si="68"/>
        <v>12</v>
      </c>
      <c r="AK497">
        <f t="shared" si="72"/>
        <v>7</v>
      </c>
      <c r="AL497">
        <v>11.16</v>
      </c>
      <c r="AM497" t="s">
        <v>27</v>
      </c>
      <c r="AN497">
        <v>11.16</v>
      </c>
      <c r="AO497" t="b">
        <f t="shared" si="73"/>
        <v>1</v>
      </c>
      <c r="AR497" t="s">
        <v>5061</v>
      </c>
      <c r="AS497" s="21">
        <v>46276</v>
      </c>
      <c r="AT497" t="s">
        <v>5062</v>
      </c>
      <c r="AU497" t="s">
        <v>5071</v>
      </c>
      <c r="AV497" t="s">
        <v>5062</v>
      </c>
      <c r="AW497" t="s">
        <v>5086</v>
      </c>
    </row>
    <row r="498" spans="1:49" x14ac:dyDescent="0.35">
      <c r="A498" t="s">
        <v>871</v>
      </c>
      <c r="B498" t="s">
        <v>872</v>
      </c>
      <c r="C498" t="s">
        <v>4818</v>
      </c>
      <c r="D498" t="s">
        <v>18</v>
      </c>
      <c r="E498" t="s">
        <v>1964</v>
      </c>
      <c r="F498" t="s">
        <v>1965</v>
      </c>
      <c r="G498" t="s">
        <v>21</v>
      </c>
      <c r="H498" t="s">
        <v>4826</v>
      </c>
      <c r="I498" t="s">
        <v>4935</v>
      </c>
      <c r="J498" s="4" t="s">
        <v>4936</v>
      </c>
      <c r="K498" s="4" t="s">
        <v>4945</v>
      </c>
      <c r="L498" s="4" t="s">
        <v>4962</v>
      </c>
      <c r="M498" s="4" t="s">
        <v>5035</v>
      </c>
      <c r="N498" t="s">
        <v>15</v>
      </c>
      <c r="O498" t="s">
        <v>1966</v>
      </c>
      <c r="P498" t="s">
        <v>23</v>
      </c>
      <c r="Q498" t="s">
        <v>24</v>
      </c>
      <c r="R498" t="s">
        <v>25</v>
      </c>
      <c r="S498" t="s">
        <v>26</v>
      </c>
      <c r="T498" s="6">
        <v>46307</v>
      </c>
      <c r="U498">
        <v>36</v>
      </c>
      <c r="V498">
        <v>36</v>
      </c>
      <c r="W498">
        <v>36</v>
      </c>
      <c r="X498">
        <v>36</v>
      </c>
      <c r="Y498">
        <f t="shared" si="69"/>
        <v>0</v>
      </c>
      <c r="Z498">
        <f t="shared" si="70"/>
        <v>0</v>
      </c>
      <c r="AC498" s="1">
        <v>0</v>
      </c>
      <c r="AF498">
        <f>V498</f>
        <v>36</v>
      </c>
      <c r="AG498" s="7">
        <v>12</v>
      </c>
      <c r="AH498">
        <f t="shared" si="71"/>
        <v>36</v>
      </c>
      <c r="AI498">
        <f t="shared" si="68"/>
        <v>0</v>
      </c>
      <c r="AK498">
        <f t="shared" si="72"/>
        <v>3</v>
      </c>
      <c r="AL498">
        <v>11.16</v>
      </c>
      <c r="AM498" t="s">
        <v>27</v>
      </c>
      <c r="AN498">
        <v>11.16</v>
      </c>
      <c r="AO498" t="b">
        <f t="shared" si="73"/>
        <v>1</v>
      </c>
      <c r="AR498" t="s">
        <v>5061</v>
      </c>
      <c r="AS498" s="21">
        <v>46276</v>
      </c>
      <c r="AT498" t="s">
        <v>5062</v>
      </c>
      <c r="AU498" t="s">
        <v>5071</v>
      </c>
      <c r="AV498" t="s">
        <v>5062</v>
      </c>
      <c r="AW498" t="s">
        <v>5086</v>
      </c>
    </row>
    <row r="499" spans="1:49" x14ac:dyDescent="0.35">
      <c r="A499" t="s">
        <v>871</v>
      </c>
      <c r="B499" t="s">
        <v>872</v>
      </c>
      <c r="C499" t="s">
        <v>4818</v>
      </c>
      <c r="D499" t="s">
        <v>18</v>
      </c>
      <c r="E499" t="s">
        <v>1967</v>
      </c>
      <c r="F499" t="s">
        <v>1968</v>
      </c>
      <c r="G499" t="s">
        <v>21</v>
      </c>
      <c r="H499" t="s">
        <v>4826</v>
      </c>
      <c r="I499" t="s">
        <v>4935</v>
      </c>
      <c r="J499" s="4" t="s">
        <v>4936</v>
      </c>
      <c r="K499" s="4" t="s">
        <v>4937</v>
      </c>
      <c r="L499" s="4" t="s">
        <v>4963</v>
      </c>
      <c r="M499" s="4" t="s">
        <v>5035</v>
      </c>
      <c r="N499" t="s">
        <v>15</v>
      </c>
      <c r="O499" t="s">
        <v>1969</v>
      </c>
      <c r="P499" t="s">
        <v>23</v>
      </c>
      <c r="Q499" t="s">
        <v>24</v>
      </c>
      <c r="R499" t="s">
        <v>25</v>
      </c>
      <c r="S499" t="s">
        <v>26</v>
      </c>
      <c r="T499" s="6">
        <v>46307</v>
      </c>
      <c r="U499">
        <v>12</v>
      </c>
      <c r="V499">
        <v>12</v>
      </c>
      <c r="W499">
        <v>12</v>
      </c>
      <c r="X499">
        <v>12</v>
      </c>
      <c r="Y499">
        <f t="shared" si="69"/>
        <v>0</v>
      </c>
      <c r="Z499">
        <f t="shared" si="70"/>
        <v>0</v>
      </c>
      <c r="AC499" s="1">
        <v>0</v>
      </c>
      <c r="AF499">
        <f>V499</f>
        <v>12</v>
      </c>
      <c r="AG499" s="7">
        <v>12</v>
      </c>
      <c r="AH499">
        <f t="shared" si="71"/>
        <v>12</v>
      </c>
      <c r="AI499">
        <f t="shared" si="68"/>
        <v>0</v>
      </c>
      <c r="AK499">
        <f t="shared" si="72"/>
        <v>1</v>
      </c>
      <c r="AL499">
        <v>11.16</v>
      </c>
      <c r="AM499" t="s">
        <v>27</v>
      </c>
      <c r="AN499">
        <v>11.16</v>
      </c>
      <c r="AO499" t="b">
        <f t="shared" si="73"/>
        <v>1</v>
      </c>
      <c r="AR499" t="s">
        <v>5061</v>
      </c>
      <c r="AS499" s="21">
        <v>46276</v>
      </c>
      <c r="AT499" t="s">
        <v>5062</v>
      </c>
      <c r="AU499" t="s">
        <v>5071</v>
      </c>
      <c r="AV499" t="s">
        <v>5062</v>
      </c>
      <c r="AW499" t="s">
        <v>5086</v>
      </c>
    </row>
    <row r="500" spans="1:49" x14ac:dyDescent="0.35">
      <c r="A500" t="s">
        <v>871</v>
      </c>
      <c r="B500" t="s">
        <v>872</v>
      </c>
      <c r="C500" t="s">
        <v>4818</v>
      </c>
      <c r="D500" t="s">
        <v>18</v>
      </c>
      <c r="E500" t="s">
        <v>1970</v>
      </c>
      <c r="F500" t="s">
        <v>1971</v>
      </c>
      <c r="G500" t="s">
        <v>21</v>
      </c>
      <c r="H500" t="s">
        <v>4826</v>
      </c>
      <c r="I500" t="s">
        <v>4935</v>
      </c>
      <c r="J500" s="4" t="s">
        <v>4936</v>
      </c>
      <c r="K500" s="4" t="s">
        <v>4945</v>
      </c>
      <c r="L500" s="4" t="s">
        <v>4942</v>
      </c>
      <c r="M500" s="4" t="s">
        <v>5035</v>
      </c>
      <c r="N500" t="s">
        <v>15</v>
      </c>
      <c r="O500" t="s">
        <v>1972</v>
      </c>
      <c r="P500" t="s">
        <v>23</v>
      </c>
      <c r="Q500" t="s">
        <v>24</v>
      </c>
      <c r="R500" t="s">
        <v>25</v>
      </c>
      <c r="S500" t="s">
        <v>26</v>
      </c>
      <c r="T500" s="6">
        <v>46307</v>
      </c>
      <c r="U500">
        <v>12</v>
      </c>
      <c r="V500">
        <v>12</v>
      </c>
      <c r="W500">
        <v>12</v>
      </c>
      <c r="X500">
        <v>12</v>
      </c>
      <c r="Y500">
        <f t="shared" si="69"/>
        <v>0</v>
      </c>
      <c r="Z500">
        <f t="shared" si="70"/>
        <v>0</v>
      </c>
      <c r="AC500" s="1">
        <v>0</v>
      </c>
      <c r="AF500">
        <f>V500</f>
        <v>12</v>
      </c>
      <c r="AG500" s="7">
        <v>12</v>
      </c>
      <c r="AH500">
        <f t="shared" si="71"/>
        <v>12</v>
      </c>
      <c r="AI500">
        <f t="shared" si="68"/>
        <v>0</v>
      </c>
      <c r="AK500">
        <f t="shared" si="72"/>
        <v>1</v>
      </c>
      <c r="AL500">
        <v>11.16</v>
      </c>
      <c r="AM500" t="s">
        <v>27</v>
      </c>
      <c r="AN500">
        <v>11.16</v>
      </c>
      <c r="AO500" t="b">
        <f t="shared" si="73"/>
        <v>1</v>
      </c>
      <c r="AR500" t="s">
        <v>5061</v>
      </c>
      <c r="AS500" s="21">
        <v>46276</v>
      </c>
      <c r="AT500" t="s">
        <v>5062</v>
      </c>
      <c r="AU500" t="s">
        <v>5071</v>
      </c>
      <c r="AV500" t="s">
        <v>5062</v>
      </c>
      <c r="AW500" t="s">
        <v>5086</v>
      </c>
    </row>
    <row r="501" spans="1:49" x14ac:dyDescent="0.35">
      <c r="A501" t="s">
        <v>871</v>
      </c>
      <c r="B501" t="s">
        <v>872</v>
      </c>
      <c r="C501" t="s">
        <v>4818</v>
      </c>
      <c r="D501" t="s">
        <v>18</v>
      </c>
      <c r="E501" t="s">
        <v>1973</v>
      </c>
      <c r="F501" t="s">
        <v>1974</v>
      </c>
      <c r="G501" t="s">
        <v>21</v>
      </c>
      <c r="H501" t="s">
        <v>4826</v>
      </c>
      <c r="I501" t="s">
        <v>4935</v>
      </c>
      <c r="J501" s="4" t="s">
        <v>4936</v>
      </c>
      <c r="K501" s="4" t="s">
        <v>4837</v>
      </c>
      <c r="L501" s="4" t="s">
        <v>4940</v>
      </c>
      <c r="M501" s="4" t="s">
        <v>5035</v>
      </c>
      <c r="N501" t="s">
        <v>15</v>
      </c>
      <c r="O501" t="s">
        <v>1975</v>
      </c>
      <c r="P501" t="s">
        <v>23</v>
      </c>
      <c r="Q501" t="s">
        <v>24</v>
      </c>
      <c r="R501" t="s">
        <v>25</v>
      </c>
      <c r="S501" t="s">
        <v>26</v>
      </c>
      <c r="T501" s="6">
        <v>46307</v>
      </c>
      <c r="U501">
        <v>120</v>
      </c>
      <c r="V501">
        <v>120</v>
      </c>
      <c r="W501">
        <v>108</v>
      </c>
      <c r="X501">
        <v>108</v>
      </c>
      <c r="Y501">
        <f t="shared" si="69"/>
        <v>0</v>
      </c>
      <c r="Z501">
        <f t="shared" si="70"/>
        <v>12</v>
      </c>
      <c r="AA501">
        <f>Z501</f>
        <v>12</v>
      </c>
      <c r="AC501" s="1">
        <v>0</v>
      </c>
      <c r="AF501">
        <f>X501</f>
        <v>108</v>
      </c>
      <c r="AG501" s="7">
        <v>12</v>
      </c>
      <c r="AH501">
        <f t="shared" si="71"/>
        <v>108</v>
      </c>
      <c r="AI501">
        <f t="shared" si="68"/>
        <v>12</v>
      </c>
      <c r="AK501">
        <f t="shared" si="72"/>
        <v>9</v>
      </c>
      <c r="AL501">
        <v>11.16</v>
      </c>
      <c r="AM501" t="s">
        <v>27</v>
      </c>
      <c r="AN501">
        <v>11.16</v>
      </c>
      <c r="AO501" t="b">
        <f t="shared" si="73"/>
        <v>1</v>
      </c>
      <c r="AR501" t="s">
        <v>5061</v>
      </c>
      <c r="AS501" s="21">
        <v>46276</v>
      </c>
      <c r="AT501" t="s">
        <v>5062</v>
      </c>
      <c r="AU501" t="s">
        <v>5071</v>
      </c>
      <c r="AV501" t="s">
        <v>5062</v>
      </c>
      <c r="AW501" t="s">
        <v>5086</v>
      </c>
    </row>
    <row r="502" spans="1:49" x14ac:dyDescent="0.35">
      <c r="A502" t="s">
        <v>871</v>
      </c>
      <c r="B502" t="s">
        <v>872</v>
      </c>
      <c r="C502" t="s">
        <v>4818</v>
      </c>
      <c r="D502" t="s">
        <v>18</v>
      </c>
      <c r="E502" t="s">
        <v>1976</v>
      </c>
      <c r="F502" t="s">
        <v>1977</v>
      </c>
      <c r="G502" t="s">
        <v>21</v>
      </c>
      <c r="H502" t="s">
        <v>4826</v>
      </c>
      <c r="I502" t="s">
        <v>4935</v>
      </c>
      <c r="J502" s="4" t="s">
        <v>4936</v>
      </c>
      <c r="K502" s="4" t="s">
        <v>4832</v>
      </c>
      <c r="L502" s="4" t="s">
        <v>4964</v>
      </c>
      <c r="M502" s="4" t="s">
        <v>5035</v>
      </c>
      <c r="N502" t="s">
        <v>15</v>
      </c>
      <c r="O502" t="s">
        <v>1978</v>
      </c>
      <c r="P502" t="s">
        <v>23</v>
      </c>
      <c r="Q502" t="s">
        <v>24</v>
      </c>
      <c r="R502" t="s">
        <v>25</v>
      </c>
      <c r="S502" t="s">
        <v>26</v>
      </c>
      <c r="T502" s="6">
        <v>46307</v>
      </c>
      <c r="U502">
        <v>24</v>
      </c>
      <c r="V502">
        <v>24</v>
      </c>
      <c r="W502">
        <v>24</v>
      </c>
      <c r="X502">
        <v>24</v>
      </c>
      <c r="Y502">
        <f t="shared" si="69"/>
        <v>0</v>
      </c>
      <c r="Z502">
        <f t="shared" si="70"/>
        <v>0</v>
      </c>
      <c r="AC502" s="1">
        <v>0</v>
      </c>
      <c r="AF502">
        <f>V502</f>
        <v>24</v>
      </c>
      <c r="AG502" s="7">
        <v>12</v>
      </c>
      <c r="AH502">
        <f t="shared" si="71"/>
        <v>24</v>
      </c>
      <c r="AI502">
        <f t="shared" si="68"/>
        <v>0</v>
      </c>
      <c r="AK502">
        <f t="shared" si="72"/>
        <v>2</v>
      </c>
      <c r="AL502">
        <v>11.16</v>
      </c>
      <c r="AM502" t="s">
        <v>27</v>
      </c>
      <c r="AN502">
        <v>11.16</v>
      </c>
      <c r="AO502" t="b">
        <f t="shared" si="73"/>
        <v>1</v>
      </c>
      <c r="AR502" t="s">
        <v>5061</v>
      </c>
      <c r="AS502" s="21">
        <v>46276</v>
      </c>
      <c r="AT502" t="s">
        <v>5062</v>
      </c>
      <c r="AU502" t="s">
        <v>5071</v>
      </c>
      <c r="AV502" t="s">
        <v>5062</v>
      </c>
      <c r="AW502" t="s">
        <v>5086</v>
      </c>
    </row>
    <row r="503" spans="1:49" x14ac:dyDescent="0.35">
      <c r="A503" t="s">
        <v>871</v>
      </c>
      <c r="B503" t="s">
        <v>872</v>
      </c>
      <c r="C503" t="s">
        <v>4818</v>
      </c>
      <c r="D503" t="s">
        <v>18</v>
      </c>
      <c r="E503" t="s">
        <v>1979</v>
      </c>
      <c r="F503" t="s">
        <v>1980</v>
      </c>
      <c r="G503" t="s">
        <v>21</v>
      </c>
      <c r="H503" t="s">
        <v>4826</v>
      </c>
      <c r="I503" t="s">
        <v>4935</v>
      </c>
      <c r="J503" s="4" t="s">
        <v>4936</v>
      </c>
      <c r="K503" s="4" t="s">
        <v>4945</v>
      </c>
      <c r="L503" s="4" t="s">
        <v>4964</v>
      </c>
      <c r="M503" s="4" t="s">
        <v>5035</v>
      </c>
      <c r="N503" t="s">
        <v>15</v>
      </c>
      <c r="O503" t="s">
        <v>1981</v>
      </c>
      <c r="P503" t="s">
        <v>23</v>
      </c>
      <c r="Q503" t="s">
        <v>24</v>
      </c>
      <c r="R503" t="s">
        <v>25</v>
      </c>
      <c r="S503" t="s">
        <v>26</v>
      </c>
      <c r="T503" s="6">
        <v>46307</v>
      </c>
      <c r="U503">
        <v>24</v>
      </c>
      <c r="V503">
        <v>24</v>
      </c>
      <c r="W503">
        <v>24</v>
      </c>
      <c r="X503">
        <v>24</v>
      </c>
      <c r="Y503">
        <f t="shared" si="69"/>
        <v>0</v>
      </c>
      <c r="Z503">
        <f t="shared" si="70"/>
        <v>0</v>
      </c>
      <c r="AC503" s="1">
        <v>0</v>
      </c>
      <c r="AF503">
        <f>V503</f>
        <v>24</v>
      </c>
      <c r="AG503" s="7">
        <v>12</v>
      </c>
      <c r="AH503">
        <f t="shared" si="71"/>
        <v>24</v>
      </c>
      <c r="AI503">
        <f t="shared" si="68"/>
        <v>0</v>
      </c>
      <c r="AK503">
        <f t="shared" si="72"/>
        <v>2</v>
      </c>
      <c r="AL503">
        <v>11.16</v>
      </c>
      <c r="AM503" t="s">
        <v>27</v>
      </c>
      <c r="AN503">
        <v>11.16</v>
      </c>
      <c r="AO503" t="b">
        <f t="shared" si="73"/>
        <v>1</v>
      </c>
      <c r="AR503" t="s">
        <v>5061</v>
      </c>
      <c r="AS503" s="21">
        <v>46276</v>
      </c>
      <c r="AT503" t="s">
        <v>5062</v>
      </c>
      <c r="AU503" t="s">
        <v>5071</v>
      </c>
      <c r="AV503" t="s">
        <v>5062</v>
      </c>
      <c r="AW503" t="s">
        <v>5086</v>
      </c>
    </row>
    <row r="504" spans="1:49" x14ac:dyDescent="0.35">
      <c r="A504" t="s">
        <v>871</v>
      </c>
      <c r="B504" t="s">
        <v>872</v>
      </c>
      <c r="C504" t="s">
        <v>4818</v>
      </c>
      <c r="D504" t="s">
        <v>18</v>
      </c>
      <c r="E504" t="s">
        <v>1982</v>
      </c>
      <c r="F504" t="s">
        <v>1983</v>
      </c>
      <c r="G504" t="s">
        <v>21</v>
      </c>
      <c r="H504" t="s">
        <v>4826</v>
      </c>
      <c r="I504" t="s">
        <v>4935</v>
      </c>
      <c r="J504" s="4" t="s">
        <v>4936</v>
      </c>
      <c r="K504" s="4" t="s">
        <v>4837</v>
      </c>
      <c r="L504" s="4" t="s">
        <v>4965</v>
      </c>
      <c r="M504" s="4" t="s">
        <v>5035</v>
      </c>
      <c r="N504" t="s">
        <v>15</v>
      </c>
      <c r="O504" t="s">
        <v>1984</v>
      </c>
      <c r="P504" t="s">
        <v>23</v>
      </c>
      <c r="Q504" t="s">
        <v>24</v>
      </c>
      <c r="R504" t="s">
        <v>25</v>
      </c>
      <c r="S504" t="s">
        <v>26</v>
      </c>
      <c r="T504" s="6">
        <v>46307</v>
      </c>
      <c r="U504">
        <v>144</v>
      </c>
      <c r="V504">
        <v>144</v>
      </c>
      <c r="W504">
        <v>156</v>
      </c>
      <c r="X504">
        <v>156</v>
      </c>
      <c r="Y504">
        <f t="shared" si="69"/>
        <v>0</v>
      </c>
      <c r="Z504">
        <f t="shared" si="70"/>
        <v>-12</v>
      </c>
      <c r="AC504" s="1">
        <v>0</v>
      </c>
      <c r="AF504">
        <f>V504</f>
        <v>144</v>
      </c>
      <c r="AG504" s="7">
        <v>12</v>
      </c>
      <c r="AH504">
        <f t="shared" si="71"/>
        <v>144</v>
      </c>
      <c r="AI504">
        <f t="shared" si="68"/>
        <v>0</v>
      </c>
      <c r="AK504">
        <f t="shared" si="72"/>
        <v>12</v>
      </c>
      <c r="AL504">
        <v>11.16</v>
      </c>
      <c r="AM504" t="s">
        <v>27</v>
      </c>
      <c r="AN504">
        <v>11.16</v>
      </c>
      <c r="AO504" t="b">
        <f t="shared" si="73"/>
        <v>1</v>
      </c>
      <c r="AR504" t="s">
        <v>5061</v>
      </c>
      <c r="AS504" s="21">
        <v>46276</v>
      </c>
      <c r="AT504" t="s">
        <v>5062</v>
      </c>
      <c r="AU504" t="s">
        <v>5071</v>
      </c>
      <c r="AV504" t="s">
        <v>5062</v>
      </c>
      <c r="AW504" t="s">
        <v>5086</v>
      </c>
    </row>
    <row r="505" spans="1:49" x14ac:dyDescent="0.35">
      <c r="A505" t="s">
        <v>871</v>
      </c>
      <c r="B505" t="s">
        <v>872</v>
      </c>
      <c r="C505" t="s">
        <v>4818</v>
      </c>
      <c r="D505" t="s">
        <v>18</v>
      </c>
      <c r="E505" t="s">
        <v>1985</v>
      </c>
      <c r="F505" t="s">
        <v>1986</v>
      </c>
      <c r="G505" t="s">
        <v>21</v>
      </c>
      <c r="H505" t="s">
        <v>4826</v>
      </c>
      <c r="I505" t="s">
        <v>4935</v>
      </c>
      <c r="J505" s="4" t="s">
        <v>4936</v>
      </c>
      <c r="K505" s="4" t="s">
        <v>4957</v>
      </c>
      <c r="L505" s="4" t="s">
        <v>4938</v>
      </c>
      <c r="M505" s="4" t="s">
        <v>5035</v>
      </c>
      <c r="N505" t="s">
        <v>15</v>
      </c>
      <c r="O505" t="s">
        <v>1987</v>
      </c>
      <c r="P505" t="s">
        <v>23</v>
      </c>
      <c r="Q505" t="s">
        <v>24</v>
      </c>
      <c r="R505" t="s">
        <v>25</v>
      </c>
      <c r="S505" t="s">
        <v>26</v>
      </c>
      <c r="T505" s="6">
        <v>46307</v>
      </c>
      <c r="U505">
        <v>180</v>
      </c>
      <c r="V505">
        <v>180</v>
      </c>
      <c r="W505">
        <v>156</v>
      </c>
      <c r="X505">
        <v>156</v>
      </c>
      <c r="Y505">
        <f t="shared" si="69"/>
        <v>0</v>
      </c>
      <c r="Z505">
        <f t="shared" si="70"/>
        <v>24</v>
      </c>
      <c r="AA505">
        <f>Z505</f>
        <v>24</v>
      </c>
      <c r="AC505" s="1">
        <v>0</v>
      </c>
      <c r="AF505">
        <f>X505</f>
        <v>156</v>
      </c>
      <c r="AG505" s="7">
        <v>12</v>
      </c>
      <c r="AH505">
        <f t="shared" si="71"/>
        <v>156</v>
      </c>
      <c r="AI505">
        <f t="shared" si="68"/>
        <v>24</v>
      </c>
      <c r="AK505">
        <f t="shared" si="72"/>
        <v>13</v>
      </c>
      <c r="AL505">
        <v>11.27</v>
      </c>
      <c r="AM505" t="s">
        <v>27</v>
      </c>
      <c r="AN505">
        <v>11.27</v>
      </c>
      <c r="AO505" t="b">
        <f t="shared" si="73"/>
        <v>1</v>
      </c>
      <c r="AR505" t="s">
        <v>5061</v>
      </c>
      <c r="AS505" s="21">
        <v>46276</v>
      </c>
      <c r="AT505" t="s">
        <v>5062</v>
      </c>
      <c r="AU505" t="s">
        <v>5071</v>
      </c>
      <c r="AV505" t="s">
        <v>5062</v>
      </c>
      <c r="AW505" t="s">
        <v>5086</v>
      </c>
    </row>
    <row r="506" spans="1:49" x14ac:dyDescent="0.35">
      <c r="A506" t="s">
        <v>871</v>
      </c>
      <c r="B506" t="s">
        <v>872</v>
      </c>
      <c r="C506" t="s">
        <v>4818</v>
      </c>
      <c r="D506" t="s">
        <v>18</v>
      </c>
      <c r="E506" t="s">
        <v>1988</v>
      </c>
      <c r="F506" t="s">
        <v>1989</v>
      </c>
      <c r="G506" t="s">
        <v>21</v>
      </c>
      <c r="H506" t="s">
        <v>4826</v>
      </c>
      <c r="I506" t="s">
        <v>4935</v>
      </c>
      <c r="J506" s="4" t="s">
        <v>4936</v>
      </c>
      <c r="K506" s="4" t="s">
        <v>4945</v>
      </c>
      <c r="L506" s="4" t="s">
        <v>4943</v>
      </c>
      <c r="M506" s="4" t="s">
        <v>5035</v>
      </c>
      <c r="N506" t="s">
        <v>15</v>
      </c>
      <c r="O506" t="s">
        <v>1990</v>
      </c>
      <c r="P506" t="s">
        <v>23</v>
      </c>
      <c r="Q506" t="s">
        <v>24</v>
      </c>
      <c r="R506" t="s">
        <v>25</v>
      </c>
      <c r="S506" t="s">
        <v>26</v>
      </c>
      <c r="T506" s="6">
        <v>46307</v>
      </c>
      <c r="U506">
        <v>24</v>
      </c>
      <c r="V506">
        <v>24</v>
      </c>
      <c r="W506">
        <v>24</v>
      </c>
      <c r="X506">
        <v>24</v>
      </c>
      <c r="Y506">
        <f t="shared" si="69"/>
        <v>0</v>
      </c>
      <c r="Z506">
        <f t="shared" si="70"/>
        <v>0</v>
      </c>
      <c r="AC506" s="1">
        <v>0</v>
      </c>
      <c r="AF506">
        <f>V506</f>
        <v>24</v>
      </c>
      <c r="AG506" s="7">
        <v>12</v>
      </c>
      <c r="AH506">
        <f t="shared" si="71"/>
        <v>24</v>
      </c>
      <c r="AI506">
        <f t="shared" si="68"/>
        <v>0</v>
      </c>
      <c r="AK506">
        <f t="shared" si="72"/>
        <v>2</v>
      </c>
      <c r="AL506">
        <v>11.16</v>
      </c>
      <c r="AM506" t="s">
        <v>27</v>
      </c>
      <c r="AN506">
        <v>11.16</v>
      </c>
      <c r="AO506" t="b">
        <f t="shared" si="73"/>
        <v>1</v>
      </c>
      <c r="AR506" t="s">
        <v>5061</v>
      </c>
      <c r="AS506" s="21">
        <v>46276</v>
      </c>
      <c r="AT506" t="s">
        <v>5062</v>
      </c>
      <c r="AU506" t="s">
        <v>5071</v>
      </c>
      <c r="AV506" t="s">
        <v>5062</v>
      </c>
      <c r="AW506" t="s">
        <v>5086</v>
      </c>
    </row>
    <row r="507" spans="1:49" x14ac:dyDescent="0.35">
      <c r="A507" t="s">
        <v>871</v>
      </c>
      <c r="B507" t="s">
        <v>872</v>
      </c>
      <c r="C507" t="s">
        <v>4818</v>
      </c>
      <c r="D507" t="s">
        <v>18</v>
      </c>
      <c r="E507" t="s">
        <v>1991</v>
      </c>
      <c r="F507" t="s">
        <v>1992</v>
      </c>
      <c r="G507" t="s">
        <v>21</v>
      </c>
      <c r="H507" t="s">
        <v>4826</v>
      </c>
      <c r="I507" t="s">
        <v>4935</v>
      </c>
      <c r="J507" s="4" t="s">
        <v>4936</v>
      </c>
      <c r="K507" s="4" t="s">
        <v>4832</v>
      </c>
      <c r="L507" s="4" t="s">
        <v>4966</v>
      </c>
      <c r="M507" s="4" t="s">
        <v>5035</v>
      </c>
      <c r="N507" t="s">
        <v>15</v>
      </c>
      <c r="O507" t="s">
        <v>1993</v>
      </c>
      <c r="P507" t="s">
        <v>23</v>
      </c>
      <c r="Q507" t="s">
        <v>24</v>
      </c>
      <c r="R507" t="s">
        <v>25</v>
      </c>
      <c r="S507" t="s">
        <v>26</v>
      </c>
      <c r="T507" s="6">
        <v>46307</v>
      </c>
      <c r="U507">
        <v>108</v>
      </c>
      <c r="V507">
        <v>108</v>
      </c>
      <c r="W507">
        <v>96</v>
      </c>
      <c r="X507">
        <v>96</v>
      </c>
      <c r="Y507">
        <f t="shared" si="69"/>
        <v>0</v>
      </c>
      <c r="Z507">
        <f t="shared" si="70"/>
        <v>12</v>
      </c>
      <c r="AA507">
        <f>Z507</f>
        <v>12</v>
      </c>
      <c r="AC507" s="1">
        <v>0</v>
      </c>
      <c r="AF507">
        <f>X507</f>
        <v>96</v>
      </c>
      <c r="AG507" s="7">
        <v>12</v>
      </c>
      <c r="AH507">
        <f t="shared" si="71"/>
        <v>96</v>
      </c>
      <c r="AI507">
        <f t="shared" si="68"/>
        <v>12</v>
      </c>
      <c r="AK507">
        <f t="shared" si="72"/>
        <v>8</v>
      </c>
      <c r="AL507">
        <v>11.16</v>
      </c>
      <c r="AM507" t="s">
        <v>27</v>
      </c>
      <c r="AN507">
        <v>11.16</v>
      </c>
      <c r="AO507" t="b">
        <f t="shared" si="73"/>
        <v>1</v>
      </c>
      <c r="AR507" t="s">
        <v>5061</v>
      </c>
      <c r="AS507" s="21">
        <v>46276</v>
      </c>
      <c r="AT507" t="s">
        <v>5062</v>
      </c>
      <c r="AU507" t="s">
        <v>5071</v>
      </c>
      <c r="AV507" t="s">
        <v>5062</v>
      </c>
      <c r="AW507" t="s">
        <v>5086</v>
      </c>
    </row>
    <row r="508" spans="1:49" x14ac:dyDescent="0.35">
      <c r="A508" t="s">
        <v>871</v>
      </c>
      <c r="B508" t="s">
        <v>872</v>
      </c>
      <c r="C508" t="s">
        <v>4818</v>
      </c>
      <c r="D508" t="s">
        <v>18</v>
      </c>
      <c r="E508" t="s">
        <v>1994</v>
      </c>
      <c r="F508" t="s">
        <v>1995</v>
      </c>
      <c r="G508" t="s">
        <v>21</v>
      </c>
      <c r="H508" t="s">
        <v>4826</v>
      </c>
      <c r="I508" t="s">
        <v>4935</v>
      </c>
      <c r="J508" s="4" t="s">
        <v>4936</v>
      </c>
      <c r="K508" s="4" t="s">
        <v>4837</v>
      </c>
      <c r="L508" s="4" t="s">
        <v>4967</v>
      </c>
      <c r="M508" s="4" t="s">
        <v>5035</v>
      </c>
      <c r="N508" t="s">
        <v>15</v>
      </c>
      <c r="O508" t="s">
        <v>1996</v>
      </c>
      <c r="P508" t="s">
        <v>23</v>
      </c>
      <c r="Q508" t="s">
        <v>24</v>
      </c>
      <c r="R508" t="s">
        <v>25</v>
      </c>
      <c r="S508" t="s">
        <v>26</v>
      </c>
      <c r="T508" s="6">
        <v>46307</v>
      </c>
      <c r="U508">
        <v>96</v>
      </c>
      <c r="V508">
        <v>96</v>
      </c>
      <c r="W508">
        <v>96</v>
      </c>
      <c r="X508">
        <v>96</v>
      </c>
      <c r="Y508">
        <f t="shared" si="69"/>
        <v>0</v>
      </c>
      <c r="Z508">
        <f t="shared" si="70"/>
        <v>0</v>
      </c>
      <c r="AC508" s="1">
        <v>0</v>
      </c>
      <c r="AF508">
        <f t="shared" ref="AF508:AF514" si="78">V508</f>
        <v>96</v>
      </c>
      <c r="AG508" s="7">
        <v>12</v>
      </c>
      <c r="AH508">
        <f t="shared" si="71"/>
        <v>96</v>
      </c>
      <c r="AI508">
        <f t="shared" si="68"/>
        <v>0</v>
      </c>
      <c r="AK508">
        <f t="shared" si="72"/>
        <v>8</v>
      </c>
      <c r="AL508">
        <v>11.16</v>
      </c>
      <c r="AM508" t="s">
        <v>27</v>
      </c>
      <c r="AN508">
        <v>11.16</v>
      </c>
      <c r="AO508" t="b">
        <f t="shared" si="73"/>
        <v>1</v>
      </c>
      <c r="AR508" t="s">
        <v>5061</v>
      </c>
      <c r="AS508" s="21">
        <v>46276</v>
      </c>
      <c r="AT508" t="s">
        <v>5062</v>
      </c>
      <c r="AU508" t="s">
        <v>5071</v>
      </c>
      <c r="AV508" t="s">
        <v>5062</v>
      </c>
      <c r="AW508" t="s">
        <v>5086</v>
      </c>
    </row>
    <row r="509" spans="1:49" x14ac:dyDescent="0.35">
      <c r="A509" t="s">
        <v>871</v>
      </c>
      <c r="B509" t="s">
        <v>872</v>
      </c>
      <c r="C509" t="s">
        <v>4818</v>
      </c>
      <c r="D509" t="s">
        <v>18</v>
      </c>
      <c r="E509" t="s">
        <v>1997</v>
      </c>
      <c r="F509" t="s">
        <v>1998</v>
      </c>
      <c r="G509" t="s">
        <v>21</v>
      </c>
      <c r="H509" t="s">
        <v>4826</v>
      </c>
      <c r="I509" t="s">
        <v>4935</v>
      </c>
      <c r="J509" s="4" t="s">
        <v>4936</v>
      </c>
      <c r="K509" s="4" t="s">
        <v>4837</v>
      </c>
      <c r="L509" s="4" t="s">
        <v>4968</v>
      </c>
      <c r="M509" s="4" t="s">
        <v>5035</v>
      </c>
      <c r="N509" t="s">
        <v>15</v>
      </c>
      <c r="O509" t="s">
        <v>1999</v>
      </c>
      <c r="P509" t="s">
        <v>23</v>
      </c>
      <c r="Q509" t="s">
        <v>24</v>
      </c>
      <c r="R509" t="s">
        <v>25</v>
      </c>
      <c r="S509" t="s">
        <v>26</v>
      </c>
      <c r="T509" s="6">
        <v>46307</v>
      </c>
      <c r="U509">
        <v>384</v>
      </c>
      <c r="V509">
        <v>384</v>
      </c>
      <c r="W509">
        <v>408</v>
      </c>
      <c r="X509">
        <v>408</v>
      </c>
      <c r="Y509">
        <f t="shared" si="69"/>
        <v>0</v>
      </c>
      <c r="Z509">
        <f t="shared" si="70"/>
        <v>-24</v>
      </c>
      <c r="AC509" s="1"/>
      <c r="AF509">
        <f t="shared" si="78"/>
        <v>384</v>
      </c>
      <c r="AG509" s="7">
        <v>12</v>
      </c>
      <c r="AH509">
        <f t="shared" si="71"/>
        <v>384</v>
      </c>
      <c r="AI509">
        <f t="shared" si="68"/>
        <v>0</v>
      </c>
      <c r="AK509">
        <f t="shared" si="72"/>
        <v>32</v>
      </c>
      <c r="AL509">
        <v>11.16</v>
      </c>
      <c r="AM509" t="s">
        <v>27</v>
      </c>
      <c r="AN509">
        <v>11.16</v>
      </c>
      <c r="AO509" t="b">
        <f t="shared" si="73"/>
        <v>1</v>
      </c>
      <c r="AR509" t="s">
        <v>5061</v>
      </c>
      <c r="AS509" s="21">
        <v>46276</v>
      </c>
      <c r="AT509" t="s">
        <v>5062</v>
      </c>
      <c r="AU509" t="s">
        <v>5071</v>
      </c>
      <c r="AV509" t="s">
        <v>5062</v>
      </c>
      <c r="AW509" t="s">
        <v>5086</v>
      </c>
    </row>
    <row r="510" spans="1:49" x14ac:dyDescent="0.35">
      <c r="A510" t="s">
        <v>871</v>
      </c>
      <c r="B510" t="s">
        <v>872</v>
      </c>
      <c r="C510" t="s">
        <v>4818</v>
      </c>
      <c r="D510" t="s">
        <v>18</v>
      </c>
      <c r="E510" t="s">
        <v>2000</v>
      </c>
      <c r="F510" t="s">
        <v>2001</v>
      </c>
      <c r="G510" t="s">
        <v>21</v>
      </c>
      <c r="H510" t="s">
        <v>4826</v>
      </c>
      <c r="I510" t="s">
        <v>4935</v>
      </c>
      <c r="J510" s="4" t="s">
        <v>4936</v>
      </c>
      <c r="K510" s="4" t="s">
        <v>4937</v>
      </c>
      <c r="L510" s="4" t="s">
        <v>4960</v>
      </c>
      <c r="M510" s="4" t="s">
        <v>5035</v>
      </c>
      <c r="N510" t="s">
        <v>15</v>
      </c>
      <c r="O510" t="s">
        <v>2002</v>
      </c>
      <c r="P510" t="s">
        <v>23</v>
      </c>
      <c r="Q510" t="s">
        <v>24</v>
      </c>
      <c r="R510" t="s">
        <v>25</v>
      </c>
      <c r="S510" t="s">
        <v>26</v>
      </c>
      <c r="T510" s="6">
        <v>46307</v>
      </c>
      <c r="U510">
        <v>12</v>
      </c>
      <c r="V510">
        <v>12</v>
      </c>
      <c r="W510">
        <v>12</v>
      </c>
      <c r="X510">
        <v>12</v>
      </c>
      <c r="Y510">
        <f t="shared" si="69"/>
        <v>0</v>
      </c>
      <c r="Z510">
        <f t="shared" si="70"/>
        <v>0</v>
      </c>
      <c r="AC510" s="1">
        <v>0</v>
      </c>
      <c r="AF510">
        <f t="shared" si="78"/>
        <v>12</v>
      </c>
      <c r="AG510" s="7">
        <v>12</v>
      </c>
      <c r="AH510">
        <f t="shared" si="71"/>
        <v>12</v>
      </c>
      <c r="AI510">
        <f t="shared" si="68"/>
        <v>0</v>
      </c>
      <c r="AK510">
        <f t="shared" si="72"/>
        <v>1</v>
      </c>
      <c r="AL510">
        <v>11.16</v>
      </c>
      <c r="AM510" t="s">
        <v>27</v>
      </c>
      <c r="AN510">
        <v>11.16</v>
      </c>
      <c r="AO510" t="b">
        <f t="shared" si="73"/>
        <v>1</v>
      </c>
      <c r="AR510" t="s">
        <v>5061</v>
      </c>
      <c r="AS510" s="21">
        <v>46276</v>
      </c>
      <c r="AT510" t="s">
        <v>5062</v>
      </c>
      <c r="AU510" t="s">
        <v>5071</v>
      </c>
      <c r="AV510" t="s">
        <v>5062</v>
      </c>
      <c r="AW510" t="s">
        <v>5086</v>
      </c>
    </row>
    <row r="511" spans="1:49" x14ac:dyDescent="0.35">
      <c r="A511" t="s">
        <v>871</v>
      </c>
      <c r="B511" t="s">
        <v>872</v>
      </c>
      <c r="C511" t="s">
        <v>4818</v>
      </c>
      <c r="D511" t="s">
        <v>18</v>
      </c>
      <c r="E511" t="s">
        <v>2003</v>
      </c>
      <c r="F511" t="s">
        <v>2004</v>
      </c>
      <c r="G511" t="s">
        <v>21</v>
      </c>
      <c r="H511" t="s">
        <v>4826</v>
      </c>
      <c r="I511" t="s">
        <v>4935</v>
      </c>
      <c r="J511" s="4" t="s">
        <v>4936</v>
      </c>
      <c r="K511" s="4" t="s">
        <v>4832</v>
      </c>
      <c r="L511" s="4" t="s">
        <v>4969</v>
      </c>
      <c r="M511" s="4" t="s">
        <v>5035</v>
      </c>
      <c r="N511" t="s">
        <v>15</v>
      </c>
      <c r="O511" t="s">
        <v>2005</v>
      </c>
      <c r="P511" t="s">
        <v>23</v>
      </c>
      <c r="Q511" t="s">
        <v>24</v>
      </c>
      <c r="R511" t="s">
        <v>25</v>
      </c>
      <c r="S511" t="s">
        <v>26</v>
      </c>
      <c r="T511" s="6">
        <v>46307</v>
      </c>
      <c r="U511">
        <v>24</v>
      </c>
      <c r="V511">
        <v>24</v>
      </c>
      <c r="W511">
        <v>24</v>
      </c>
      <c r="X511">
        <v>24</v>
      </c>
      <c r="Y511">
        <f t="shared" si="69"/>
        <v>0</v>
      </c>
      <c r="Z511">
        <f t="shared" si="70"/>
        <v>0</v>
      </c>
      <c r="AC511" s="1">
        <v>0</v>
      </c>
      <c r="AF511">
        <f t="shared" si="78"/>
        <v>24</v>
      </c>
      <c r="AG511" s="7">
        <v>12</v>
      </c>
      <c r="AH511">
        <f t="shared" si="71"/>
        <v>24</v>
      </c>
      <c r="AI511">
        <f t="shared" si="68"/>
        <v>0</v>
      </c>
      <c r="AK511">
        <f t="shared" si="72"/>
        <v>2</v>
      </c>
      <c r="AL511">
        <v>11.16</v>
      </c>
      <c r="AM511" t="s">
        <v>27</v>
      </c>
      <c r="AN511">
        <v>11.16</v>
      </c>
      <c r="AO511" t="b">
        <f t="shared" si="73"/>
        <v>1</v>
      </c>
      <c r="AR511" t="s">
        <v>5061</v>
      </c>
      <c r="AS511" s="21">
        <v>46276</v>
      </c>
      <c r="AT511" t="s">
        <v>5062</v>
      </c>
      <c r="AU511" t="s">
        <v>5071</v>
      </c>
      <c r="AV511" t="s">
        <v>5062</v>
      </c>
      <c r="AW511" t="s">
        <v>5086</v>
      </c>
    </row>
    <row r="512" spans="1:49" x14ac:dyDescent="0.35">
      <c r="A512" t="s">
        <v>871</v>
      </c>
      <c r="B512" t="s">
        <v>872</v>
      </c>
      <c r="C512" t="s">
        <v>4818</v>
      </c>
      <c r="D512" t="s">
        <v>18</v>
      </c>
      <c r="E512" t="s">
        <v>2006</v>
      </c>
      <c r="F512" t="s">
        <v>2007</v>
      </c>
      <c r="G512" t="s">
        <v>21</v>
      </c>
      <c r="H512" t="s">
        <v>4826</v>
      </c>
      <c r="I512" t="s">
        <v>4935</v>
      </c>
      <c r="J512" s="4" t="s">
        <v>4936</v>
      </c>
      <c r="K512" s="4" t="s">
        <v>4837</v>
      </c>
      <c r="L512" s="4" t="s">
        <v>4961</v>
      </c>
      <c r="M512" s="4" t="s">
        <v>5035</v>
      </c>
      <c r="N512" t="s">
        <v>15</v>
      </c>
      <c r="O512" t="s">
        <v>2008</v>
      </c>
      <c r="P512" t="s">
        <v>23</v>
      </c>
      <c r="Q512" t="s">
        <v>24</v>
      </c>
      <c r="R512" t="s">
        <v>25</v>
      </c>
      <c r="S512" t="s">
        <v>26</v>
      </c>
      <c r="T512" s="6">
        <v>46307</v>
      </c>
      <c r="U512">
        <v>48</v>
      </c>
      <c r="V512">
        <v>48</v>
      </c>
      <c r="W512">
        <v>60</v>
      </c>
      <c r="X512">
        <v>60</v>
      </c>
      <c r="Y512">
        <f t="shared" si="69"/>
        <v>0</v>
      </c>
      <c r="Z512">
        <f t="shared" si="70"/>
        <v>-12</v>
      </c>
      <c r="AC512" s="1">
        <v>0</v>
      </c>
      <c r="AF512">
        <f t="shared" si="78"/>
        <v>48</v>
      </c>
      <c r="AG512" s="7">
        <v>12</v>
      </c>
      <c r="AH512">
        <f t="shared" si="71"/>
        <v>48</v>
      </c>
      <c r="AI512">
        <f t="shared" si="68"/>
        <v>0</v>
      </c>
      <c r="AK512">
        <f t="shared" si="72"/>
        <v>4</v>
      </c>
      <c r="AL512">
        <v>11.16</v>
      </c>
      <c r="AM512" t="s">
        <v>27</v>
      </c>
      <c r="AN512">
        <v>11.16</v>
      </c>
      <c r="AO512" t="b">
        <f t="shared" si="73"/>
        <v>1</v>
      </c>
      <c r="AR512" t="s">
        <v>5061</v>
      </c>
      <c r="AS512" s="21">
        <v>46276</v>
      </c>
      <c r="AT512" t="s">
        <v>5062</v>
      </c>
      <c r="AU512" t="s">
        <v>5071</v>
      </c>
      <c r="AV512" t="s">
        <v>5062</v>
      </c>
      <c r="AW512" t="s">
        <v>5086</v>
      </c>
    </row>
    <row r="513" spans="1:49" x14ac:dyDescent="0.35">
      <c r="A513" t="s">
        <v>871</v>
      </c>
      <c r="B513" t="s">
        <v>872</v>
      </c>
      <c r="C513" t="s">
        <v>4818</v>
      </c>
      <c r="D513" t="s">
        <v>18</v>
      </c>
      <c r="E513" t="s">
        <v>2009</v>
      </c>
      <c r="F513" t="s">
        <v>2010</v>
      </c>
      <c r="G513" t="s">
        <v>21</v>
      </c>
      <c r="H513" t="s">
        <v>4826</v>
      </c>
      <c r="I513" t="s">
        <v>4935</v>
      </c>
      <c r="J513" s="4" t="s">
        <v>4936</v>
      </c>
      <c r="K513" s="4" t="s">
        <v>4957</v>
      </c>
      <c r="L513" s="4" t="s">
        <v>4966</v>
      </c>
      <c r="M513" s="4" t="s">
        <v>5035</v>
      </c>
      <c r="N513" t="s">
        <v>15</v>
      </c>
      <c r="O513" t="s">
        <v>2011</v>
      </c>
      <c r="P513" t="s">
        <v>23</v>
      </c>
      <c r="Q513" t="s">
        <v>24</v>
      </c>
      <c r="R513" t="s">
        <v>25</v>
      </c>
      <c r="S513" t="s">
        <v>26</v>
      </c>
      <c r="T513" s="6">
        <v>46307</v>
      </c>
      <c r="U513">
        <v>36</v>
      </c>
      <c r="V513">
        <v>36</v>
      </c>
      <c r="W513">
        <v>36</v>
      </c>
      <c r="X513">
        <v>36</v>
      </c>
      <c r="Y513">
        <f t="shared" si="69"/>
        <v>0</v>
      </c>
      <c r="Z513">
        <f t="shared" si="70"/>
        <v>0</v>
      </c>
      <c r="AC513" s="1">
        <v>0</v>
      </c>
      <c r="AF513">
        <f t="shared" si="78"/>
        <v>36</v>
      </c>
      <c r="AG513" s="7">
        <v>12</v>
      </c>
      <c r="AH513">
        <f t="shared" si="71"/>
        <v>36</v>
      </c>
      <c r="AI513">
        <f t="shared" si="68"/>
        <v>0</v>
      </c>
      <c r="AK513">
        <f t="shared" si="72"/>
        <v>3</v>
      </c>
      <c r="AL513">
        <v>11.27</v>
      </c>
      <c r="AM513" t="s">
        <v>27</v>
      </c>
      <c r="AN513">
        <v>11.27</v>
      </c>
      <c r="AO513" t="b">
        <f t="shared" si="73"/>
        <v>1</v>
      </c>
      <c r="AR513" t="s">
        <v>5061</v>
      </c>
      <c r="AS513" s="21">
        <v>46276</v>
      </c>
      <c r="AT513" t="s">
        <v>5062</v>
      </c>
      <c r="AU513" t="s">
        <v>5071</v>
      </c>
      <c r="AV513" t="s">
        <v>5062</v>
      </c>
      <c r="AW513" t="s">
        <v>5086</v>
      </c>
    </row>
    <row r="514" spans="1:49" x14ac:dyDescent="0.35">
      <c r="A514" t="s">
        <v>871</v>
      </c>
      <c r="B514" t="s">
        <v>872</v>
      </c>
      <c r="C514" t="s">
        <v>4818</v>
      </c>
      <c r="D514" t="s">
        <v>18</v>
      </c>
      <c r="E514" t="s">
        <v>2012</v>
      </c>
      <c r="F514" t="s">
        <v>2013</v>
      </c>
      <c r="G514" t="s">
        <v>21</v>
      </c>
      <c r="H514" t="s">
        <v>4826</v>
      </c>
      <c r="I514" t="s">
        <v>4935</v>
      </c>
      <c r="J514" s="4" t="s">
        <v>4936</v>
      </c>
      <c r="K514" s="4" t="s">
        <v>4832</v>
      </c>
      <c r="L514" s="4" t="s">
        <v>4956</v>
      </c>
      <c r="M514" s="4" t="s">
        <v>5035</v>
      </c>
      <c r="N514" t="s">
        <v>15</v>
      </c>
      <c r="O514" t="s">
        <v>2014</v>
      </c>
      <c r="P514" t="s">
        <v>23</v>
      </c>
      <c r="Q514" t="s">
        <v>24</v>
      </c>
      <c r="R514" t="s">
        <v>25</v>
      </c>
      <c r="S514" t="s">
        <v>26</v>
      </c>
      <c r="T514" s="6">
        <v>46307</v>
      </c>
      <c r="U514">
        <v>12</v>
      </c>
      <c r="V514">
        <v>12</v>
      </c>
      <c r="W514">
        <v>12</v>
      </c>
      <c r="X514">
        <v>12</v>
      </c>
      <c r="Y514">
        <f t="shared" si="69"/>
        <v>0</v>
      </c>
      <c r="Z514">
        <f t="shared" si="70"/>
        <v>0</v>
      </c>
      <c r="AC514" s="1">
        <v>0</v>
      </c>
      <c r="AF514">
        <f t="shared" si="78"/>
        <v>12</v>
      </c>
      <c r="AG514" s="7">
        <v>12</v>
      </c>
      <c r="AH514">
        <f t="shared" si="71"/>
        <v>12</v>
      </c>
      <c r="AI514">
        <f t="shared" si="68"/>
        <v>0</v>
      </c>
      <c r="AK514">
        <f t="shared" si="72"/>
        <v>1</v>
      </c>
      <c r="AL514">
        <v>11.16</v>
      </c>
      <c r="AM514" t="s">
        <v>27</v>
      </c>
      <c r="AN514">
        <v>11.16</v>
      </c>
      <c r="AO514" t="b">
        <f t="shared" si="73"/>
        <v>1</v>
      </c>
      <c r="AR514" t="s">
        <v>5061</v>
      </c>
      <c r="AS514" s="21">
        <v>46276</v>
      </c>
      <c r="AT514" t="s">
        <v>5062</v>
      </c>
      <c r="AU514" t="s">
        <v>5071</v>
      </c>
      <c r="AV514" t="s">
        <v>5062</v>
      </c>
      <c r="AW514" t="s">
        <v>5086</v>
      </c>
    </row>
    <row r="515" spans="1:49" x14ac:dyDescent="0.35">
      <c r="A515" t="s">
        <v>871</v>
      </c>
      <c r="B515" t="s">
        <v>872</v>
      </c>
      <c r="C515" t="s">
        <v>4818</v>
      </c>
      <c r="D515" t="s">
        <v>18</v>
      </c>
      <c r="E515" t="s">
        <v>2015</v>
      </c>
      <c r="F515" t="s">
        <v>2016</v>
      </c>
      <c r="G515" t="s">
        <v>21</v>
      </c>
      <c r="H515" t="s">
        <v>4826</v>
      </c>
      <c r="I515" t="s">
        <v>4935</v>
      </c>
      <c r="J515" s="4" t="s">
        <v>4936</v>
      </c>
      <c r="K515" s="4" t="s">
        <v>4837</v>
      </c>
      <c r="L515" s="4" t="s">
        <v>4953</v>
      </c>
      <c r="M515" s="4" t="s">
        <v>5035</v>
      </c>
      <c r="N515" t="s">
        <v>15</v>
      </c>
      <c r="O515" t="s">
        <v>2017</v>
      </c>
      <c r="P515" t="s">
        <v>23</v>
      </c>
      <c r="Q515" t="s">
        <v>24</v>
      </c>
      <c r="R515" t="s">
        <v>25</v>
      </c>
      <c r="S515" t="s">
        <v>26</v>
      </c>
      <c r="T515" s="6">
        <v>46307</v>
      </c>
      <c r="U515">
        <v>312</v>
      </c>
      <c r="V515">
        <v>312</v>
      </c>
      <c r="W515">
        <v>288</v>
      </c>
      <c r="X515">
        <v>288</v>
      </c>
      <c r="Y515">
        <f t="shared" si="69"/>
        <v>0</v>
      </c>
      <c r="Z515">
        <f t="shared" si="70"/>
        <v>24</v>
      </c>
      <c r="AA515">
        <f t="shared" ref="AA515:AA517" si="79">Z515</f>
        <v>24</v>
      </c>
      <c r="AC515" s="1">
        <v>0</v>
      </c>
      <c r="AF515">
        <f>X515</f>
        <v>288</v>
      </c>
      <c r="AG515" s="7">
        <v>12</v>
      </c>
      <c r="AH515">
        <f t="shared" si="71"/>
        <v>288</v>
      </c>
      <c r="AI515">
        <f t="shared" ref="AI515:AI578" si="80">V515-AH515</f>
        <v>24</v>
      </c>
      <c r="AK515">
        <f t="shared" si="72"/>
        <v>24</v>
      </c>
      <c r="AL515">
        <v>11.16</v>
      </c>
      <c r="AM515" t="s">
        <v>27</v>
      </c>
      <c r="AN515">
        <v>11.16</v>
      </c>
      <c r="AO515" t="b">
        <f t="shared" si="73"/>
        <v>1</v>
      </c>
      <c r="AR515" t="s">
        <v>5061</v>
      </c>
      <c r="AS515" s="21">
        <v>46276</v>
      </c>
      <c r="AT515" t="s">
        <v>5062</v>
      </c>
      <c r="AU515" t="s">
        <v>5071</v>
      </c>
      <c r="AV515" t="s">
        <v>5062</v>
      </c>
      <c r="AW515" t="s">
        <v>5086</v>
      </c>
    </row>
    <row r="516" spans="1:49" x14ac:dyDescent="0.35">
      <c r="A516" t="s">
        <v>871</v>
      </c>
      <c r="B516" t="s">
        <v>872</v>
      </c>
      <c r="C516" t="s">
        <v>4818</v>
      </c>
      <c r="D516" t="s">
        <v>18</v>
      </c>
      <c r="E516" t="s">
        <v>2018</v>
      </c>
      <c r="F516" t="s">
        <v>2019</v>
      </c>
      <c r="G516" t="s">
        <v>21</v>
      </c>
      <c r="H516" t="s">
        <v>4826</v>
      </c>
      <c r="I516" t="s">
        <v>4935</v>
      </c>
      <c r="J516" s="4" t="s">
        <v>4936</v>
      </c>
      <c r="K516" s="4" t="s">
        <v>4832</v>
      </c>
      <c r="L516" s="4" t="s">
        <v>4970</v>
      </c>
      <c r="M516" s="4" t="s">
        <v>5035</v>
      </c>
      <c r="N516" t="s">
        <v>15</v>
      </c>
      <c r="O516" t="s">
        <v>2020</v>
      </c>
      <c r="P516" t="s">
        <v>23</v>
      </c>
      <c r="Q516" t="s">
        <v>24</v>
      </c>
      <c r="R516" t="s">
        <v>25</v>
      </c>
      <c r="S516" t="s">
        <v>26</v>
      </c>
      <c r="T516" s="6">
        <v>46307</v>
      </c>
      <c r="U516">
        <v>384</v>
      </c>
      <c r="V516">
        <v>384</v>
      </c>
      <c r="W516">
        <v>360</v>
      </c>
      <c r="X516">
        <v>360</v>
      </c>
      <c r="Y516">
        <f t="shared" ref="Y516:Y579" si="81">W516-X516</f>
        <v>0</v>
      </c>
      <c r="Z516">
        <f t="shared" ref="Z516:Z579" si="82">V516-X516</f>
        <v>24</v>
      </c>
      <c r="AA516">
        <f t="shared" si="79"/>
        <v>24</v>
      </c>
      <c r="AC516" s="1">
        <v>0</v>
      </c>
      <c r="AF516">
        <f>X516</f>
        <v>360</v>
      </c>
      <c r="AG516" s="7">
        <v>12</v>
      </c>
      <c r="AH516">
        <f t="shared" ref="AH516:AH579" si="83">ROUNDUP(AF516/AG516,0)*AG516</f>
        <v>360</v>
      </c>
      <c r="AI516">
        <f t="shared" si="80"/>
        <v>24</v>
      </c>
      <c r="AK516">
        <f t="shared" ref="AK516:AK579" si="84">AH516/AG516</f>
        <v>30</v>
      </c>
      <c r="AL516">
        <v>11.16</v>
      </c>
      <c r="AM516" t="s">
        <v>27</v>
      </c>
      <c r="AN516">
        <v>11.16</v>
      </c>
      <c r="AO516" t="b">
        <f t="shared" ref="AO516:AO579" si="85">AL516=AN516</f>
        <v>1</v>
      </c>
      <c r="AR516" t="s">
        <v>5061</v>
      </c>
      <c r="AS516" s="21">
        <v>46276</v>
      </c>
      <c r="AT516" t="s">
        <v>5062</v>
      </c>
      <c r="AU516" t="s">
        <v>5071</v>
      </c>
      <c r="AV516" t="s">
        <v>5062</v>
      </c>
      <c r="AW516" t="s">
        <v>5086</v>
      </c>
    </row>
    <row r="517" spans="1:49" x14ac:dyDescent="0.35">
      <c r="A517" t="s">
        <v>871</v>
      </c>
      <c r="B517" t="s">
        <v>872</v>
      </c>
      <c r="C517" t="s">
        <v>4818</v>
      </c>
      <c r="D517" t="s">
        <v>18</v>
      </c>
      <c r="E517" t="s">
        <v>2021</v>
      </c>
      <c r="F517" t="s">
        <v>2022</v>
      </c>
      <c r="G517" t="s">
        <v>21</v>
      </c>
      <c r="H517" t="s">
        <v>4826</v>
      </c>
      <c r="I517" t="s">
        <v>4935</v>
      </c>
      <c r="J517" s="4" t="s">
        <v>4936</v>
      </c>
      <c r="K517" s="4" t="s">
        <v>4945</v>
      </c>
      <c r="L517" s="4" t="s">
        <v>4960</v>
      </c>
      <c r="M517" s="4" t="s">
        <v>5035</v>
      </c>
      <c r="N517" t="s">
        <v>15</v>
      </c>
      <c r="O517" t="s">
        <v>2023</v>
      </c>
      <c r="P517" t="s">
        <v>23</v>
      </c>
      <c r="Q517" t="s">
        <v>24</v>
      </c>
      <c r="R517" t="s">
        <v>25</v>
      </c>
      <c r="S517" t="s">
        <v>26</v>
      </c>
      <c r="T517" s="6">
        <v>46307</v>
      </c>
      <c r="U517">
        <v>108</v>
      </c>
      <c r="V517">
        <v>108</v>
      </c>
      <c r="W517">
        <v>96</v>
      </c>
      <c r="X517">
        <v>96</v>
      </c>
      <c r="Y517">
        <f t="shared" si="81"/>
        <v>0</v>
      </c>
      <c r="Z517">
        <f t="shared" si="82"/>
        <v>12</v>
      </c>
      <c r="AA517">
        <f t="shared" si="79"/>
        <v>12</v>
      </c>
      <c r="AC517" s="1">
        <v>0</v>
      </c>
      <c r="AF517">
        <f>X517</f>
        <v>96</v>
      </c>
      <c r="AG517" s="7">
        <v>12</v>
      </c>
      <c r="AH517">
        <f t="shared" si="83"/>
        <v>96</v>
      </c>
      <c r="AI517">
        <f t="shared" si="80"/>
        <v>12</v>
      </c>
      <c r="AK517">
        <f t="shared" si="84"/>
        <v>8</v>
      </c>
      <c r="AL517">
        <v>11.16</v>
      </c>
      <c r="AM517" t="s">
        <v>27</v>
      </c>
      <c r="AN517">
        <v>11.16</v>
      </c>
      <c r="AO517" t="b">
        <f t="shared" si="85"/>
        <v>1</v>
      </c>
      <c r="AR517" t="s">
        <v>5061</v>
      </c>
      <c r="AS517" s="21">
        <v>46276</v>
      </c>
      <c r="AT517" t="s">
        <v>5062</v>
      </c>
      <c r="AU517" t="s">
        <v>5071</v>
      </c>
      <c r="AV517" t="s">
        <v>5062</v>
      </c>
      <c r="AW517" t="s">
        <v>5086</v>
      </c>
    </row>
    <row r="518" spans="1:49" x14ac:dyDescent="0.35">
      <c r="A518" t="s">
        <v>871</v>
      </c>
      <c r="B518" t="s">
        <v>872</v>
      </c>
      <c r="C518" t="s">
        <v>4818</v>
      </c>
      <c r="D518" t="s">
        <v>18</v>
      </c>
      <c r="E518" t="s">
        <v>2024</v>
      </c>
      <c r="F518" t="s">
        <v>2025</v>
      </c>
      <c r="G518" t="s">
        <v>21</v>
      </c>
      <c r="H518" t="s">
        <v>4826</v>
      </c>
      <c r="I518" t="s">
        <v>4935</v>
      </c>
      <c r="J518" s="4" t="s">
        <v>4936</v>
      </c>
      <c r="K518" s="4" t="s">
        <v>4837</v>
      </c>
      <c r="L518" s="4" t="s">
        <v>4969</v>
      </c>
      <c r="M518" s="4" t="s">
        <v>5035</v>
      </c>
      <c r="N518" t="s">
        <v>15</v>
      </c>
      <c r="O518" t="s">
        <v>2026</v>
      </c>
      <c r="P518" t="s">
        <v>23</v>
      </c>
      <c r="Q518" t="s">
        <v>24</v>
      </c>
      <c r="R518" t="s">
        <v>25</v>
      </c>
      <c r="S518" t="s">
        <v>26</v>
      </c>
      <c r="T518" s="6">
        <v>46307</v>
      </c>
      <c r="U518">
        <v>12</v>
      </c>
      <c r="V518">
        <v>12</v>
      </c>
      <c r="W518">
        <v>12</v>
      </c>
      <c r="X518">
        <v>12</v>
      </c>
      <c r="Y518">
        <f t="shared" si="81"/>
        <v>0</v>
      </c>
      <c r="Z518">
        <f t="shared" si="82"/>
        <v>0</v>
      </c>
      <c r="AC518" s="1">
        <v>0</v>
      </c>
      <c r="AF518">
        <f>V518</f>
        <v>12</v>
      </c>
      <c r="AG518" s="7">
        <v>12</v>
      </c>
      <c r="AH518">
        <f t="shared" si="83"/>
        <v>12</v>
      </c>
      <c r="AI518">
        <f t="shared" si="80"/>
        <v>0</v>
      </c>
      <c r="AK518">
        <f t="shared" si="84"/>
        <v>1</v>
      </c>
      <c r="AL518">
        <v>11.16</v>
      </c>
      <c r="AM518" t="s">
        <v>27</v>
      </c>
      <c r="AN518">
        <v>11.16</v>
      </c>
      <c r="AO518" t="b">
        <f t="shared" si="85"/>
        <v>1</v>
      </c>
      <c r="AR518" t="s">
        <v>5061</v>
      </c>
      <c r="AS518" s="21">
        <v>46276</v>
      </c>
      <c r="AT518" t="s">
        <v>5062</v>
      </c>
      <c r="AU518" t="s">
        <v>5071</v>
      </c>
      <c r="AV518" t="s">
        <v>5062</v>
      </c>
      <c r="AW518" t="s">
        <v>5086</v>
      </c>
    </row>
    <row r="519" spans="1:49" x14ac:dyDescent="0.35">
      <c r="A519" t="s">
        <v>871</v>
      </c>
      <c r="B519" t="s">
        <v>872</v>
      </c>
      <c r="C519" t="s">
        <v>4818</v>
      </c>
      <c r="D519" t="s">
        <v>18</v>
      </c>
      <c r="E519" t="s">
        <v>2027</v>
      </c>
      <c r="F519" t="s">
        <v>2028</v>
      </c>
      <c r="G519" t="s">
        <v>21</v>
      </c>
      <c r="H519" t="s">
        <v>4826</v>
      </c>
      <c r="I519" t="s">
        <v>4935</v>
      </c>
      <c r="J519" s="4" t="s">
        <v>4936</v>
      </c>
      <c r="K519" s="4" t="s">
        <v>4957</v>
      </c>
      <c r="L519" s="4" t="s">
        <v>4944</v>
      </c>
      <c r="M519" s="4" t="s">
        <v>5035</v>
      </c>
      <c r="N519" t="s">
        <v>15</v>
      </c>
      <c r="O519" t="s">
        <v>2029</v>
      </c>
      <c r="P519" t="s">
        <v>23</v>
      </c>
      <c r="Q519" t="s">
        <v>24</v>
      </c>
      <c r="R519" t="s">
        <v>25</v>
      </c>
      <c r="S519" t="s">
        <v>26</v>
      </c>
      <c r="T519" s="6">
        <v>46307</v>
      </c>
      <c r="U519">
        <v>108</v>
      </c>
      <c r="V519">
        <v>108</v>
      </c>
      <c r="W519">
        <v>96</v>
      </c>
      <c r="X519">
        <v>96</v>
      </c>
      <c r="Y519">
        <f t="shared" si="81"/>
        <v>0</v>
      </c>
      <c r="Z519">
        <f t="shared" si="82"/>
        <v>12</v>
      </c>
      <c r="AA519">
        <f>Z519</f>
        <v>12</v>
      </c>
      <c r="AC519" s="1">
        <v>0</v>
      </c>
      <c r="AF519">
        <f>X519</f>
        <v>96</v>
      </c>
      <c r="AG519" s="7">
        <v>12</v>
      </c>
      <c r="AH519">
        <f t="shared" si="83"/>
        <v>96</v>
      </c>
      <c r="AI519">
        <f t="shared" si="80"/>
        <v>12</v>
      </c>
      <c r="AK519">
        <f t="shared" si="84"/>
        <v>8</v>
      </c>
      <c r="AL519">
        <v>11.27</v>
      </c>
      <c r="AM519" t="s">
        <v>27</v>
      </c>
      <c r="AN519">
        <v>11.27</v>
      </c>
      <c r="AO519" t="b">
        <f t="shared" si="85"/>
        <v>1</v>
      </c>
      <c r="AR519" t="s">
        <v>5061</v>
      </c>
      <c r="AS519" s="21">
        <v>46276</v>
      </c>
      <c r="AT519" t="s">
        <v>5062</v>
      </c>
      <c r="AU519" t="s">
        <v>5071</v>
      </c>
      <c r="AV519" t="s">
        <v>5062</v>
      </c>
      <c r="AW519" t="s">
        <v>5086</v>
      </c>
    </row>
    <row r="520" spans="1:49" x14ac:dyDescent="0.35">
      <c r="A520" t="s">
        <v>871</v>
      </c>
      <c r="B520" t="s">
        <v>872</v>
      </c>
      <c r="C520" t="s">
        <v>4818</v>
      </c>
      <c r="D520" t="s">
        <v>18</v>
      </c>
      <c r="E520" t="s">
        <v>2030</v>
      </c>
      <c r="F520" t="s">
        <v>2031</v>
      </c>
      <c r="G520" t="s">
        <v>21</v>
      </c>
      <c r="H520" t="s">
        <v>4826</v>
      </c>
      <c r="I520" t="s">
        <v>4935</v>
      </c>
      <c r="J520" s="4" t="s">
        <v>4936</v>
      </c>
      <c r="K520" s="4" t="s">
        <v>4937</v>
      </c>
      <c r="L520" s="4" t="s">
        <v>4955</v>
      </c>
      <c r="M520" s="4" t="s">
        <v>5035</v>
      </c>
      <c r="N520" t="s">
        <v>15</v>
      </c>
      <c r="O520" t="s">
        <v>2032</v>
      </c>
      <c r="P520" t="s">
        <v>23</v>
      </c>
      <c r="Q520" t="s">
        <v>24</v>
      </c>
      <c r="R520" t="s">
        <v>25</v>
      </c>
      <c r="S520" t="s">
        <v>26</v>
      </c>
      <c r="T520" s="6">
        <v>46307</v>
      </c>
      <c r="U520">
        <v>48</v>
      </c>
      <c r="V520">
        <v>48</v>
      </c>
      <c r="W520">
        <v>48</v>
      </c>
      <c r="X520">
        <v>48</v>
      </c>
      <c r="Y520">
        <f t="shared" si="81"/>
        <v>0</v>
      </c>
      <c r="Z520">
        <f t="shared" si="82"/>
        <v>0</v>
      </c>
      <c r="AC520" s="1">
        <v>0</v>
      </c>
      <c r="AF520">
        <f>V520</f>
        <v>48</v>
      </c>
      <c r="AG520" s="7">
        <v>12</v>
      </c>
      <c r="AH520">
        <f t="shared" si="83"/>
        <v>48</v>
      </c>
      <c r="AI520">
        <f t="shared" si="80"/>
        <v>0</v>
      </c>
      <c r="AK520">
        <f t="shared" si="84"/>
        <v>4</v>
      </c>
      <c r="AL520">
        <v>11.16</v>
      </c>
      <c r="AM520" t="s">
        <v>27</v>
      </c>
      <c r="AN520">
        <v>11.16</v>
      </c>
      <c r="AO520" t="b">
        <f t="shared" si="85"/>
        <v>1</v>
      </c>
      <c r="AR520" t="s">
        <v>5061</v>
      </c>
      <c r="AS520" s="21">
        <v>46276</v>
      </c>
      <c r="AT520" t="s">
        <v>5062</v>
      </c>
      <c r="AU520" t="s">
        <v>5071</v>
      </c>
      <c r="AV520" t="s">
        <v>5062</v>
      </c>
      <c r="AW520" t="s">
        <v>5086</v>
      </c>
    </row>
    <row r="521" spans="1:49" x14ac:dyDescent="0.35">
      <c r="A521" t="s">
        <v>871</v>
      </c>
      <c r="B521" t="s">
        <v>872</v>
      </c>
      <c r="C521" t="s">
        <v>4818</v>
      </c>
      <c r="D521" t="s">
        <v>18</v>
      </c>
      <c r="E521" t="s">
        <v>2033</v>
      </c>
      <c r="F521" t="s">
        <v>2034</v>
      </c>
      <c r="G521" t="s">
        <v>21</v>
      </c>
      <c r="H521" t="s">
        <v>4826</v>
      </c>
      <c r="I521" t="s">
        <v>4935</v>
      </c>
      <c r="J521" s="4" t="s">
        <v>4936</v>
      </c>
      <c r="K521" s="4" t="s">
        <v>4832</v>
      </c>
      <c r="L521" s="4" t="s">
        <v>4940</v>
      </c>
      <c r="M521" s="4" t="s">
        <v>5035</v>
      </c>
      <c r="N521" t="s">
        <v>15</v>
      </c>
      <c r="O521" t="s">
        <v>2035</v>
      </c>
      <c r="P521" t="s">
        <v>23</v>
      </c>
      <c r="Q521" t="s">
        <v>24</v>
      </c>
      <c r="R521" t="s">
        <v>25</v>
      </c>
      <c r="S521" t="s">
        <v>26</v>
      </c>
      <c r="T521" s="6">
        <v>46307</v>
      </c>
      <c r="U521">
        <v>60</v>
      </c>
      <c r="V521">
        <v>60</v>
      </c>
      <c r="W521">
        <v>48</v>
      </c>
      <c r="X521">
        <v>48</v>
      </c>
      <c r="Y521">
        <f t="shared" si="81"/>
        <v>0</v>
      </c>
      <c r="Z521">
        <f t="shared" si="82"/>
        <v>12</v>
      </c>
      <c r="AA521">
        <f>Z521</f>
        <v>12</v>
      </c>
      <c r="AC521" s="1">
        <v>0</v>
      </c>
      <c r="AF521">
        <f>X521</f>
        <v>48</v>
      </c>
      <c r="AG521" s="7">
        <v>12</v>
      </c>
      <c r="AH521">
        <f t="shared" si="83"/>
        <v>48</v>
      </c>
      <c r="AI521">
        <f t="shared" si="80"/>
        <v>12</v>
      </c>
      <c r="AK521">
        <f t="shared" si="84"/>
        <v>4</v>
      </c>
      <c r="AL521">
        <v>11.16</v>
      </c>
      <c r="AM521" t="s">
        <v>27</v>
      </c>
      <c r="AN521">
        <v>11.16</v>
      </c>
      <c r="AO521" t="b">
        <f t="shared" si="85"/>
        <v>1</v>
      </c>
      <c r="AR521" t="s">
        <v>5061</v>
      </c>
      <c r="AS521" s="21">
        <v>46276</v>
      </c>
      <c r="AT521" t="s">
        <v>5062</v>
      </c>
      <c r="AU521" t="s">
        <v>5071</v>
      </c>
      <c r="AV521" t="s">
        <v>5062</v>
      </c>
      <c r="AW521" t="s">
        <v>5086</v>
      </c>
    </row>
    <row r="522" spans="1:49" x14ac:dyDescent="0.35">
      <c r="A522" t="s">
        <v>871</v>
      </c>
      <c r="B522" t="s">
        <v>872</v>
      </c>
      <c r="C522" t="s">
        <v>4818</v>
      </c>
      <c r="D522" t="s">
        <v>18</v>
      </c>
      <c r="E522" t="s">
        <v>2036</v>
      </c>
      <c r="F522" t="s">
        <v>2037</v>
      </c>
      <c r="G522" t="s">
        <v>21</v>
      </c>
      <c r="H522" t="s">
        <v>4826</v>
      </c>
      <c r="I522" t="s">
        <v>4935</v>
      </c>
      <c r="J522" s="4" t="s">
        <v>4936</v>
      </c>
      <c r="K522" s="4" t="s">
        <v>4945</v>
      </c>
      <c r="L522" s="4" t="s">
        <v>4949</v>
      </c>
      <c r="M522" s="4" t="s">
        <v>5035</v>
      </c>
      <c r="N522" t="s">
        <v>15</v>
      </c>
      <c r="O522" t="s">
        <v>2038</v>
      </c>
      <c r="P522" t="s">
        <v>23</v>
      </c>
      <c r="Q522" t="s">
        <v>24</v>
      </c>
      <c r="R522" t="s">
        <v>25</v>
      </c>
      <c r="S522" t="s">
        <v>26</v>
      </c>
      <c r="T522" s="6">
        <v>46307</v>
      </c>
      <c r="U522">
        <v>12</v>
      </c>
      <c r="V522">
        <v>12</v>
      </c>
      <c r="W522">
        <v>12</v>
      </c>
      <c r="X522">
        <v>12</v>
      </c>
      <c r="Y522">
        <f t="shared" si="81"/>
        <v>0</v>
      </c>
      <c r="Z522">
        <f t="shared" si="82"/>
        <v>0</v>
      </c>
      <c r="AC522" s="1">
        <v>0</v>
      </c>
      <c r="AF522">
        <f>V522</f>
        <v>12</v>
      </c>
      <c r="AG522" s="7">
        <v>12</v>
      </c>
      <c r="AH522">
        <f t="shared" si="83"/>
        <v>12</v>
      </c>
      <c r="AI522">
        <f t="shared" si="80"/>
        <v>0</v>
      </c>
      <c r="AK522">
        <f t="shared" si="84"/>
        <v>1</v>
      </c>
      <c r="AL522">
        <v>11.16</v>
      </c>
      <c r="AM522" t="s">
        <v>27</v>
      </c>
      <c r="AN522">
        <v>11.16</v>
      </c>
      <c r="AO522" t="b">
        <f t="shared" si="85"/>
        <v>1</v>
      </c>
      <c r="AR522" t="s">
        <v>5061</v>
      </c>
      <c r="AS522" s="21">
        <v>46276</v>
      </c>
      <c r="AT522" t="s">
        <v>5062</v>
      </c>
      <c r="AU522" t="s">
        <v>5071</v>
      </c>
      <c r="AV522" t="s">
        <v>5062</v>
      </c>
      <c r="AW522" t="s">
        <v>5086</v>
      </c>
    </row>
    <row r="523" spans="1:49" x14ac:dyDescent="0.35">
      <c r="A523" t="s">
        <v>871</v>
      </c>
      <c r="B523" t="s">
        <v>872</v>
      </c>
      <c r="C523" t="s">
        <v>4818</v>
      </c>
      <c r="D523" t="s">
        <v>18</v>
      </c>
      <c r="E523" t="s">
        <v>2039</v>
      </c>
      <c r="F523" t="s">
        <v>2040</v>
      </c>
      <c r="G523" t="s">
        <v>21</v>
      </c>
      <c r="H523" t="s">
        <v>4826</v>
      </c>
      <c r="I523" t="s">
        <v>4935</v>
      </c>
      <c r="J523" s="4" t="s">
        <v>4936</v>
      </c>
      <c r="K523" s="4" t="s">
        <v>4937</v>
      </c>
      <c r="L523" s="4" t="s">
        <v>4971</v>
      </c>
      <c r="M523" s="4" t="s">
        <v>5035</v>
      </c>
      <c r="N523" t="s">
        <v>15</v>
      </c>
      <c r="O523" t="s">
        <v>2041</v>
      </c>
      <c r="P523" t="s">
        <v>23</v>
      </c>
      <c r="Q523" t="s">
        <v>24</v>
      </c>
      <c r="R523" t="s">
        <v>25</v>
      </c>
      <c r="S523" t="s">
        <v>26</v>
      </c>
      <c r="T523" s="6">
        <v>46307</v>
      </c>
      <c r="U523">
        <v>24</v>
      </c>
      <c r="V523">
        <v>24</v>
      </c>
      <c r="W523">
        <v>24</v>
      </c>
      <c r="X523">
        <v>24</v>
      </c>
      <c r="Y523">
        <f t="shared" si="81"/>
        <v>0</v>
      </c>
      <c r="Z523">
        <f t="shared" si="82"/>
        <v>0</v>
      </c>
      <c r="AC523" s="1">
        <v>0</v>
      </c>
      <c r="AF523">
        <f>V523</f>
        <v>24</v>
      </c>
      <c r="AG523" s="7">
        <v>12</v>
      </c>
      <c r="AH523">
        <f t="shared" si="83"/>
        <v>24</v>
      </c>
      <c r="AI523">
        <f t="shared" si="80"/>
        <v>0</v>
      </c>
      <c r="AK523">
        <f t="shared" si="84"/>
        <v>2</v>
      </c>
      <c r="AL523">
        <v>11.16</v>
      </c>
      <c r="AM523" t="s">
        <v>27</v>
      </c>
      <c r="AN523">
        <v>11.16</v>
      </c>
      <c r="AO523" t="b">
        <f t="shared" si="85"/>
        <v>1</v>
      </c>
      <c r="AR523" t="s">
        <v>5061</v>
      </c>
      <c r="AS523" s="21">
        <v>46276</v>
      </c>
      <c r="AT523" t="s">
        <v>5062</v>
      </c>
      <c r="AU523" t="s">
        <v>5071</v>
      </c>
      <c r="AV523" t="s">
        <v>5062</v>
      </c>
      <c r="AW523" t="s">
        <v>5086</v>
      </c>
    </row>
    <row r="524" spans="1:49" x14ac:dyDescent="0.35">
      <c r="A524" t="s">
        <v>871</v>
      </c>
      <c r="B524" t="s">
        <v>872</v>
      </c>
      <c r="C524" t="s">
        <v>4818</v>
      </c>
      <c r="D524" t="s">
        <v>18</v>
      </c>
      <c r="E524" t="s">
        <v>2042</v>
      </c>
      <c r="F524" t="s">
        <v>2043</v>
      </c>
      <c r="G524" t="s">
        <v>21</v>
      </c>
      <c r="H524" t="s">
        <v>4826</v>
      </c>
      <c r="I524" t="s">
        <v>4935</v>
      </c>
      <c r="J524" s="4" t="s">
        <v>4936</v>
      </c>
      <c r="K524" s="4" t="s">
        <v>4945</v>
      </c>
      <c r="L524" s="4" t="s">
        <v>4953</v>
      </c>
      <c r="M524" s="4" t="s">
        <v>5035</v>
      </c>
      <c r="N524" t="s">
        <v>15</v>
      </c>
      <c r="O524" t="s">
        <v>2044</v>
      </c>
      <c r="P524" t="s">
        <v>23</v>
      </c>
      <c r="Q524" t="s">
        <v>24</v>
      </c>
      <c r="R524" t="s">
        <v>25</v>
      </c>
      <c r="S524" t="s">
        <v>26</v>
      </c>
      <c r="T524" s="6">
        <v>46307</v>
      </c>
      <c r="U524">
        <v>48</v>
      </c>
      <c r="V524">
        <v>48</v>
      </c>
      <c r="W524">
        <v>48</v>
      </c>
      <c r="X524">
        <v>48</v>
      </c>
      <c r="Y524">
        <f t="shared" si="81"/>
        <v>0</v>
      </c>
      <c r="Z524">
        <f t="shared" si="82"/>
        <v>0</v>
      </c>
      <c r="AC524" s="1">
        <v>0</v>
      </c>
      <c r="AF524">
        <f>V524</f>
        <v>48</v>
      </c>
      <c r="AG524" s="7">
        <v>12</v>
      </c>
      <c r="AH524">
        <f t="shared" si="83"/>
        <v>48</v>
      </c>
      <c r="AI524">
        <f t="shared" si="80"/>
        <v>0</v>
      </c>
      <c r="AK524">
        <f t="shared" si="84"/>
        <v>4</v>
      </c>
      <c r="AL524">
        <v>11.16</v>
      </c>
      <c r="AM524" t="s">
        <v>27</v>
      </c>
      <c r="AN524">
        <v>11.16</v>
      </c>
      <c r="AO524" t="b">
        <f t="shared" si="85"/>
        <v>1</v>
      </c>
      <c r="AR524" t="s">
        <v>5061</v>
      </c>
      <c r="AS524" s="21">
        <v>46276</v>
      </c>
      <c r="AT524" t="s">
        <v>5062</v>
      </c>
      <c r="AU524" t="s">
        <v>5071</v>
      </c>
      <c r="AV524" t="s">
        <v>5062</v>
      </c>
      <c r="AW524" t="s">
        <v>5086</v>
      </c>
    </row>
    <row r="525" spans="1:49" x14ac:dyDescent="0.35">
      <c r="A525" t="s">
        <v>871</v>
      </c>
      <c r="B525" t="s">
        <v>872</v>
      </c>
      <c r="C525" t="s">
        <v>4818</v>
      </c>
      <c r="D525" t="s">
        <v>18</v>
      </c>
      <c r="E525" t="s">
        <v>2045</v>
      </c>
      <c r="F525" t="s">
        <v>2046</v>
      </c>
      <c r="G525" t="s">
        <v>21</v>
      </c>
      <c r="H525" t="s">
        <v>4826</v>
      </c>
      <c r="I525" t="s">
        <v>4935</v>
      </c>
      <c r="J525" s="4" t="s">
        <v>4936</v>
      </c>
      <c r="K525" s="4" t="s">
        <v>4832</v>
      </c>
      <c r="L525" s="4" t="s">
        <v>4946</v>
      </c>
      <c r="M525" s="4" t="s">
        <v>5035</v>
      </c>
      <c r="N525" t="s">
        <v>15</v>
      </c>
      <c r="O525" t="s">
        <v>2047</v>
      </c>
      <c r="P525" t="s">
        <v>23</v>
      </c>
      <c r="Q525" t="s">
        <v>24</v>
      </c>
      <c r="R525" t="s">
        <v>25</v>
      </c>
      <c r="S525" t="s">
        <v>26</v>
      </c>
      <c r="T525" s="6">
        <v>46307</v>
      </c>
      <c r="U525">
        <v>324</v>
      </c>
      <c r="V525">
        <v>324</v>
      </c>
      <c r="W525">
        <v>288</v>
      </c>
      <c r="X525">
        <v>288</v>
      </c>
      <c r="Y525">
        <f t="shared" si="81"/>
        <v>0</v>
      </c>
      <c r="Z525">
        <f t="shared" si="82"/>
        <v>36</v>
      </c>
      <c r="AA525">
        <f>Z525</f>
        <v>36</v>
      </c>
      <c r="AC525" s="1">
        <v>0</v>
      </c>
      <c r="AF525">
        <f>X525</f>
        <v>288</v>
      </c>
      <c r="AG525" s="7">
        <v>12</v>
      </c>
      <c r="AH525">
        <f t="shared" si="83"/>
        <v>288</v>
      </c>
      <c r="AI525">
        <f t="shared" si="80"/>
        <v>36</v>
      </c>
      <c r="AK525">
        <f t="shared" si="84"/>
        <v>24</v>
      </c>
      <c r="AL525">
        <v>11.16</v>
      </c>
      <c r="AM525" t="s">
        <v>27</v>
      </c>
      <c r="AN525">
        <v>11.16</v>
      </c>
      <c r="AO525" t="b">
        <f t="shared" si="85"/>
        <v>1</v>
      </c>
      <c r="AR525" t="s">
        <v>5061</v>
      </c>
      <c r="AS525" s="21">
        <v>46276</v>
      </c>
      <c r="AT525" t="s">
        <v>5062</v>
      </c>
      <c r="AU525" t="s">
        <v>5071</v>
      </c>
      <c r="AV525" t="s">
        <v>5062</v>
      </c>
      <c r="AW525" t="s">
        <v>5086</v>
      </c>
    </row>
    <row r="526" spans="1:49" x14ac:dyDescent="0.35">
      <c r="A526" t="s">
        <v>871</v>
      </c>
      <c r="B526" t="s">
        <v>872</v>
      </c>
      <c r="C526" t="s">
        <v>4818</v>
      </c>
      <c r="D526" t="s">
        <v>18</v>
      </c>
      <c r="E526" t="s">
        <v>2048</v>
      </c>
      <c r="F526" t="s">
        <v>2049</v>
      </c>
      <c r="G526" t="s">
        <v>21</v>
      </c>
      <c r="H526" t="s">
        <v>4826</v>
      </c>
      <c r="I526" t="s">
        <v>4935</v>
      </c>
      <c r="J526" s="4" t="s">
        <v>4936</v>
      </c>
      <c r="K526" s="4" t="s">
        <v>4945</v>
      </c>
      <c r="L526" s="4" t="s">
        <v>4954</v>
      </c>
      <c r="M526" s="4" t="s">
        <v>5035</v>
      </c>
      <c r="N526" t="s">
        <v>15</v>
      </c>
      <c r="O526" t="s">
        <v>2050</v>
      </c>
      <c r="P526" t="s">
        <v>23</v>
      </c>
      <c r="Q526" t="s">
        <v>24</v>
      </c>
      <c r="R526" t="s">
        <v>25</v>
      </c>
      <c r="S526" t="s">
        <v>26</v>
      </c>
      <c r="T526" s="6">
        <v>46307</v>
      </c>
      <c r="U526">
        <v>12</v>
      </c>
      <c r="V526">
        <v>12</v>
      </c>
      <c r="W526">
        <v>12</v>
      </c>
      <c r="X526">
        <v>12</v>
      </c>
      <c r="Y526">
        <f t="shared" si="81"/>
        <v>0</v>
      </c>
      <c r="Z526">
        <f t="shared" si="82"/>
        <v>0</v>
      </c>
      <c r="AC526" s="1">
        <v>0</v>
      </c>
      <c r="AF526">
        <f>V526</f>
        <v>12</v>
      </c>
      <c r="AG526" s="7">
        <v>12</v>
      </c>
      <c r="AH526">
        <f t="shared" si="83"/>
        <v>12</v>
      </c>
      <c r="AI526">
        <f t="shared" si="80"/>
        <v>0</v>
      </c>
      <c r="AK526">
        <f t="shared" si="84"/>
        <v>1</v>
      </c>
      <c r="AL526">
        <v>11.16</v>
      </c>
      <c r="AM526" t="s">
        <v>27</v>
      </c>
      <c r="AN526">
        <v>11.16</v>
      </c>
      <c r="AO526" t="b">
        <f t="shared" si="85"/>
        <v>1</v>
      </c>
      <c r="AR526" t="s">
        <v>5061</v>
      </c>
      <c r="AS526" s="21">
        <v>46276</v>
      </c>
      <c r="AT526" t="s">
        <v>5062</v>
      </c>
      <c r="AU526" t="s">
        <v>5071</v>
      </c>
      <c r="AV526" t="s">
        <v>5062</v>
      </c>
      <c r="AW526" t="s">
        <v>5086</v>
      </c>
    </row>
    <row r="527" spans="1:49" x14ac:dyDescent="0.35">
      <c r="A527" t="s">
        <v>871</v>
      </c>
      <c r="B527" t="s">
        <v>872</v>
      </c>
      <c r="C527" t="s">
        <v>4818</v>
      </c>
      <c r="D527" t="s">
        <v>18</v>
      </c>
      <c r="E527" t="s">
        <v>2051</v>
      </c>
      <c r="F527" t="s">
        <v>2052</v>
      </c>
      <c r="G527" t="s">
        <v>21</v>
      </c>
      <c r="H527" t="s">
        <v>4826</v>
      </c>
      <c r="I527" t="s">
        <v>4935</v>
      </c>
      <c r="J527" s="4" t="s">
        <v>4936</v>
      </c>
      <c r="K527" s="4" t="s">
        <v>4837</v>
      </c>
      <c r="L527" s="4" t="s">
        <v>4970</v>
      </c>
      <c r="M527" s="4" t="s">
        <v>5035</v>
      </c>
      <c r="N527" t="s">
        <v>15</v>
      </c>
      <c r="O527" t="s">
        <v>2053</v>
      </c>
      <c r="P527" t="s">
        <v>23</v>
      </c>
      <c r="Q527" t="s">
        <v>24</v>
      </c>
      <c r="R527" t="s">
        <v>25</v>
      </c>
      <c r="S527" t="s">
        <v>26</v>
      </c>
      <c r="T527" s="6">
        <v>46307</v>
      </c>
      <c r="U527">
        <v>276</v>
      </c>
      <c r="V527">
        <v>276</v>
      </c>
      <c r="W527">
        <v>252</v>
      </c>
      <c r="X527">
        <v>252</v>
      </c>
      <c r="Y527">
        <f t="shared" si="81"/>
        <v>0</v>
      </c>
      <c r="Z527">
        <f t="shared" si="82"/>
        <v>24</v>
      </c>
      <c r="AA527">
        <f t="shared" ref="AA527:AA529" si="86">Z527</f>
        <v>24</v>
      </c>
      <c r="AC527" s="1">
        <v>0</v>
      </c>
      <c r="AF527">
        <f>X527</f>
        <v>252</v>
      </c>
      <c r="AG527" s="7">
        <v>12</v>
      </c>
      <c r="AH527">
        <f t="shared" si="83"/>
        <v>252</v>
      </c>
      <c r="AI527">
        <f t="shared" si="80"/>
        <v>24</v>
      </c>
      <c r="AK527">
        <f t="shared" si="84"/>
        <v>21</v>
      </c>
      <c r="AL527">
        <v>11.16</v>
      </c>
      <c r="AM527" t="s">
        <v>27</v>
      </c>
      <c r="AN527">
        <v>11.16</v>
      </c>
      <c r="AO527" t="b">
        <f t="shared" si="85"/>
        <v>1</v>
      </c>
      <c r="AR527" t="s">
        <v>5061</v>
      </c>
      <c r="AS527" s="21">
        <v>46276</v>
      </c>
      <c r="AT527" t="s">
        <v>5062</v>
      </c>
      <c r="AU527" t="s">
        <v>5071</v>
      </c>
      <c r="AV527" t="s">
        <v>5062</v>
      </c>
      <c r="AW527" t="s">
        <v>5086</v>
      </c>
    </row>
    <row r="528" spans="1:49" x14ac:dyDescent="0.35">
      <c r="A528" t="s">
        <v>871</v>
      </c>
      <c r="B528" t="s">
        <v>872</v>
      </c>
      <c r="C528" t="s">
        <v>4818</v>
      </c>
      <c r="D528" t="s">
        <v>18</v>
      </c>
      <c r="E528" t="s">
        <v>2054</v>
      </c>
      <c r="F528" t="s">
        <v>2055</v>
      </c>
      <c r="G528" t="s">
        <v>21</v>
      </c>
      <c r="H528" t="s">
        <v>4826</v>
      </c>
      <c r="I528" t="s">
        <v>4935</v>
      </c>
      <c r="J528" s="4" t="s">
        <v>4936</v>
      </c>
      <c r="K528" s="4" t="s">
        <v>4832</v>
      </c>
      <c r="L528" s="4" t="s">
        <v>4958</v>
      </c>
      <c r="M528" s="4" t="s">
        <v>5035</v>
      </c>
      <c r="N528" t="s">
        <v>15</v>
      </c>
      <c r="O528" t="s">
        <v>2056</v>
      </c>
      <c r="P528" t="s">
        <v>23</v>
      </c>
      <c r="Q528" t="s">
        <v>24</v>
      </c>
      <c r="R528" t="s">
        <v>25</v>
      </c>
      <c r="S528" t="s">
        <v>26</v>
      </c>
      <c r="T528" s="6">
        <v>46307</v>
      </c>
      <c r="U528">
        <v>216</v>
      </c>
      <c r="V528">
        <v>216</v>
      </c>
      <c r="W528">
        <v>204</v>
      </c>
      <c r="X528">
        <v>204</v>
      </c>
      <c r="Y528">
        <f t="shared" si="81"/>
        <v>0</v>
      </c>
      <c r="Z528">
        <f t="shared" si="82"/>
        <v>12</v>
      </c>
      <c r="AA528">
        <f t="shared" si="86"/>
        <v>12</v>
      </c>
      <c r="AC528" s="1">
        <v>0</v>
      </c>
      <c r="AF528">
        <f>X528</f>
        <v>204</v>
      </c>
      <c r="AG528" s="7">
        <v>12</v>
      </c>
      <c r="AH528">
        <f t="shared" si="83"/>
        <v>204</v>
      </c>
      <c r="AI528">
        <f t="shared" si="80"/>
        <v>12</v>
      </c>
      <c r="AK528">
        <f t="shared" si="84"/>
        <v>17</v>
      </c>
      <c r="AL528">
        <v>11.16</v>
      </c>
      <c r="AM528" t="s">
        <v>27</v>
      </c>
      <c r="AN528">
        <v>11.16</v>
      </c>
      <c r="AO528" t="b">
        <f t="shared" si="85"/>
        <v>1</v>
      </c>
      <c r="AR528" t="s">
        <v>5061</v>
      </c>
      <c r="AS528" s="21">
        <v>46276</v>
      </c>
      <c r="AT528" t="s">
        <v>5062</v>
      </c>
      <c r="AU528" t="s">
        <v>5071</v>
      </c>
      <c r="AV528" t="s">
        <v>5062</v>
      </c>
      <c r="AW528" t="s">
        <v>5086</v>
      </c>
    </row>
    <row r="529" spans="1:49" x14ac:dyDescent="0.35">
      <c r="A529" t="s">
        <v>871</v>
      </c>
      <c r="B529" t="s">
        <v>872</v>
      </c>
      <c r="C529" t="s">
        <v>4818</v>
      </c>
      <c r="D529" t="s">
        <v>18</v>
      </c>
      <c r="E529" t="s">
        <v>2057</v>
      </c>
      <c r="F529" t="s">
        <v>2058</v>
      </c>
      <c r="G529" t="s">
        <v>21</v>
      </c>
      <c r="H529" t="s">
        <v>4826</v>
      </c>
      <c r="I529" t="s">
        <v>4935</v>
      </c>
      <c r="J529" s="4" t="s">
        <v>4936</v>
      </c>
      <c r="K529" s="4" t="s">
        <v>4832</v>
      </c>
      <c r="L529" s="4" t="s">
        <v>4972</v>
      </c>
      <c r="M529" s="4" t="s">
        <v>5035</v>
      </c>
      <c r="N529" t="s">
        <v>15</v>
      </c>
      <c r="O529" t="s">
        <v>2059</v>
      </c>
      <c r="P529" t="s">
        <v>23</v>
      </c>
      <c r="Q529" t="s">
        <v>24</v>
      </c>
      <c r="R529" t="s">
        <v>25</v>
      </c>
      <c r="S529" t="s">
        <v>26</v>
      </c>
      <c r="T529" s="6">
        <v>46307</v>
      </c>
      <c r="U529">
        <v>180</v>
      </c>
      <c r="V529">
        <v>180</v>
      </c>
      <c r="W529">
        <v>156</v>
      </c>
      <c r="X529">
        <v>156</v>
      </c>
      <c r="Y529">
        <f t="shared" si="81"/>
        <v>0</v>
      </c>
      <c r="Z529">
        <f t="shared" si="82"/>
        <v>24</v>
      </c>
      <c r="AA529">
        <f t="shared" si="86"/>
        <v>24</v>
      </c>
      <c r="AC529" s="1">
        <v>0</v>
      </c>
      <c r="AF529">
        <f>X529</f>
        <v>156</v>
      </c>
      <c r="AG529" s="7">
        <v>12</v>
      </c>
      <c r="AH529">
        <f t="shared" si="83"/>
        <v>156</v>
      </c>
      <c r="AI529">
        <f t="shared" si="80"/>
        <v>24</v>
      </c>
      <c r="AK529">
        <f t="shared" si="84"/>
        <v>13</v>
      </c>
      <c r="AL529">
        <v>11.16</v>
      </c>
      <c r="AM529" t="s">
        <v>27</v>
      </c>
      <c r="AN529">
        <v>11.16</v>
      </c>
      <c r="AO529" t="b">
        <f t="shared" si="85"/>
        <v>1</v>
      </c>
      <c r="AR529" t="s">
        <v>5061</v>
      </c>
      <c r="AS529" s="21">
        <v>46276</v>
      </c>
      <c r="AT529" t="s">
        <v>5062</v>
      </c>
      <c r="AU529" t="s">
        <v>5071</v>
      </c>
      <c r="AV529" t="s">
        <v>5062</v>
      </c>
      <c r="AW529" t="s">
        <v>5086</v>
      </c>
    </row>
    <row r="530" spans="1:49" x14ac:dyDescent="0.35">
      <c r="A530" t="s">
        <v>871</v>
      </c>
      <c r="B530" t="s">
        <v>872</v>
      </c>
      <c r="C530" t="s">
        <v>4818</v>
      </c>
      <c r="D530" t="s">
        <v>18</v>
      </c>
      <c r="E530" t="s">
        <v>2060</v>
      </c>
      <c r="F530" t="s">
        <v>2061</v>
      </c>
      <c r="G530" t="s">
        <v>21</v>
      </c>
      <c r="H530" t="s">
        <v>4826</v>
      </c>
      <c r="I530" t="s">
        <v>4935</v>
      </c>
      <c r="J530" s="4" t="s">
        <v>4936</v>
      </c>
      <c r="K530" s="4" t="s">
        <v>4957</v>
      </c>
      <c r="L530" s="4" t="s">
        <v>4946</v>
      </c>
      <c r="M530" s="4" t="s">
        <v>5035</v>
      </c>
      <c r="N530" t="s">
        <v>15</v>
      </c>
      <c r="O530" t="s">
        <v>2062</v>
      </c>
      <c r="P530" t="s">
        <v>23</v>
      </c>
      <c r="Q530" t="s">
        <v>24</v>
      </c>
      <c r="R530" t="s">
        <v>25</v>
      </c>
      <c r="S530" t="s">
        <v>26</v>
      </c>
      <c r="T530" s="6">
        <v>46307</v>
      </c>
      <c r="U530">
        <v>72</v>
      </c>
      <c r="V530">
        <v>72</v>
      </c>
      <c r="W530">
        <v>84</v>
      </c>
      <c r="X530">
        <v>84</v>
      </c>
      <c r="Y530">
        <f t="shared" si="81"/>
        <v>0</v>
      </c>
      <c r="Z530">
        <f t="shared" si="82"/>
        <v>-12</v>
      </c>
      <c r="AC530" s="1">
        <v>0</v>
      </c>
      <c r="AF530">
        <f>V530</f>
        <v>72</v>
      </c>
      <c r="AG530" s="7">
        <v>12</v>
      </c>
      <c r="AH530">
        <f t="shared" si="83"/>
        <v>72</v>
      </c>
      <c r="AI530">
        <f t="shared" si="80"/>
        <v>0</v>
      </c>
      <c r="AK530">
        <f t="shared" si="84"/>
        <v>6</v>
      </c>
      <c r="AL530">
        <v>11.27</v>
      </c>
      <c r="AM530" t="s">
        <v>27</v>
      </c>
      <c r="AN530">
        <v>11.27</v>
      </c>
      <c r="AO530" t="b">
        <f t="shared" si="85"/>
        <v>1</v>
      </c>
      <c r="AR530" t="s">
        <v>5061</v>
      </c>
      <c r="AS530" s="21">
        <v>46276</v>
      </c>
      <c r="AT530" t="s">
        <v>5062</v>
      </c>
      <c r="AU530" t="s">
        <v>5071</v>
      </c>
      <c r="AV530" t="s">
        <v>5062</v>
      </c>
      <c r="AW530" t="s">
        <v>5086</v>
      </c>
    </row>
    <row r="531" spans="1:49" x14ac:dyDescent="0.35">
      <c r="A531" t="s">
        <v>871</v>
      </c>
      <c r="B531" t="s">
        <v>872</v>
      </c>
      <c r="C531" t="s">
        <v>4818</v>
      </c>
      <c r="D531" t="s">
        <v>18</v>
      </c>
      <c r="E531" t="s">
        <v>2063</v>
      </c>
      <c r="F531" t="s">
        <v>2064</v>
      </c>
      <c r="G531" t="s">
        <v>21</v>
      </c>
      <c r="H531" t="s">
        <v>4826</v>
      </c>
      <c r="I531" t="s">
        <v>4935</v>
      </c>
      <c r="J531" s="4" t="s">
        <v>4936</v>
      </c>
      <c r="K531" s="4" t="s">
        <v>4832</v>
      </c>
      <c r="L531" s="4" t="s">
        <v>4973</v>
      </c>
      <c r="M531" s="4" t="s">
        <v>5035</v>
      </c>
      <c r="N531" t="s">
        <v>15</v>
      </c>
      <c r="O531" t="s">
        <v>2065</v>
      </c>
      <c r="P531" t="s">
        <v>23</v>
      </c>
      <c r="Q531" t="s">
        <v>24</v>
      </c>
      <c r="R531" t="s">
        <v>25</v>
      </c>
      <c r="S531" t="s">
        <v>26</v>
      </c>
      <c r="T531" s="6">
        <v>46307</v>
      </c>
      <c r="U531">
        <v>36</v>
      </c>
      <c r="V531">
        <v>36</v>
      </c>
      <c r="W531">
        <v>36</v>
      </c>
      <c r="X531">
        <v>36</v>
      </c>
      <c r="Y531">
        <f t="shared" si="81"/>
        <v>0</v>
      </c>
      <c r="Z531">
        <f t="shared" si="82"/>
        <v>0</v>
      </c>
      <c r="AC531" s="1">
        <v>0</v>
      </c>
      <c r="AF531">
        <f>V531</f>
        <v>36</v>
      </c>
      <c r="AG531" s="7">
        <v>12</v>
      </c>
      <c r="AH531">
        <f t="shared" si="83"/>
        <v>36</v>
      </c>
      <c r="AI531">
        <f t="shared" si="80"/>
        <v>0</v>
      </c>
      <c r="AK531">
        <f t="shared" si="84"/>
        <v>3</v>
      </c>
      <c r="AL531">
        <v>11.16</v>
      </c>
      <c r="AM531" t="s">
        <v>27</v>
      </c>
      <c r="AN531">
        <v>11.16</v>
      </c>
      <c r="AO531" t="b">
        <f t="shared" si="85"/>
        <v>1</v>
      </c>
      <c r="AR531" t="s">
        <v>5061</v>
      </c>
      <c r="AS531" s="21">
        <v>46276</v>
      </c>
      <c r="AT531" t="s">
        <v>5062</v>
      </c>
      <c r="AU531" t="s">
        <v>5071</v>
      </c>
      <c r="AV531" t="s">
        <v>5062</v>
      </c>
      <c r="AW531" t="s">
        <v>5086</v>
      </c>
    </row>
    <row r="532" spans="1:49" x14ac:dyDescent="0.35">
      <c r="A532" t="s">
        <v>871</v>
      </c>
      <c r="B532" t="s">
        <v>872</v>
      </c>
      <c r="C532" t="s">
        <v>4818</v>
      </c>
      <c r="D532" t="s">
        <v>18</v>
      </c>
      <c r="E532" t="s">
        <v>2066</v>
      </c>
      <c r="F532" t="s">
        <v>2067</v>
      </c>
      <c r="G532" t="s">
        <v>21</v>
      </c>
      <c r="H532" t="s">
        <v>4826</v>
      </c>
      <c r="I532" t="s">
        <v>4935</v>
      </c>
      <c r="J532" s="4" t="s">
        <v>4936</v>
      </c>
      <c r="K532" s="4" t="s">
        <v>4832</v>
      </c>
      <c r="L532" s="4" t="s">
        <v>4939</v>
      </c>
      <c r="M532" s="4" t="s">
        <v>5035</v>
      </c>
      <c r="N532" t="s">
        <v>15</v>
      </c>
      <c r="O532" t="s">
        <v>2068</v>
      </c>
      <c r="P532" t="s">
        <v>23</v>
      </c>
      <c r="Q532" t="s">
        <v>24</v>
      </c>
      <c r="R532" t="s">
        <v>25</v>
      </c>
      <c r="S532" t="s">
        <v>26</v>
      </c>
      <c r="T532" s="6">
        <v>46307</v>
      </c>
      <c r="U532">
        <v>72</v>
      </c>
      <c r="V532">
        <v>72</v>
      </c>
      <c r="W532">
        <v>60</v>
      </c>
      <c r="X532">
        <v>60</v>
      </c>
      <c r="Y532">
        <f t="shared" si="81"/>
        <v>0</v>
      </c>
      <c r="Z532">
        <f t="shared" si="82"/>
        <v>12</v>
      </c>
      <c r="AA532">
        <f t="shared" ref="AA532:AA533" si="87">Z532</f>
        <v>12</v>
      </c>
      <c r="AC532" s="1">
        <v>0</v>
      </c>
      <c r="AF532">
        <f>X532</f>
        <v>60</v>
      </c>
      <c r="AG532" s="7">
        <v>12</v>
      </c>
      <c r="AH532">
        <f t="shared" si="83"/>
        <v>60</v>
      </c>
      <c r="AI532">
        <f t="shared" si="80"/>
        <v>12</v>
      </c>
      <c r="AK532">
        <f t="shared" si="84"/>
        <v>5</v>
      </c>
      <c r="AL532">
        <v>11.16</v>
      </c>
      <c r="AM532" t="s">
        <v>27</v>
      </c>
      <c r="AN532">
        <v>11.16</v>
      </c>
      <c r="AO532" t="b">
        <f t="shared" si="85"/>
        <v>1</v>
      </c>
      <c r="AR532" t="s">
        <v>5061</v>
      </c>
      <c r="AS532" s="21">
        <v>46276</v>
      </c>
      <c r="AT532" t="s">
        <v>5062</v>
      </c>
      <c r="AU532" t="s">
        <v>5071</v>
      </c>
      <c r="AV532" t="s">
        <v>5062</v>
      </c>
      <c r="AW532" t="s">
        <v>5086</v>
      </c>
    </row>
    <row r="533" spans="1:49" x14ac:dyDescent="0.35">
      <c r="A533" t="s">
        <v>871</v>
      </c>
      <c r="B533" t="s">
        <v>872</v>
      </c>
      <c r="C533" t="s">
        <v>4818</v>
      </c>
      <c r="D533" t="s">
        <v>18</v>
      </c>
      <c r="E533" t="s">
        <v>2069</v>
      </c>
      <c r="F533" t="s">
        <v>2070</v>
      </c>
      <c r="G533" t="s">
        <v>21</v>
      </c>
      <c r="H533" t="s">
        <v>4826</v>
      </c>
      <c r="I533" t="s">
        <v>4935</v>
      </c>
      <c r="J533" s="4" t="s">
        <v>4936</v>
      </c>
      <c r="K533" s="4" t="s">
        <v>4832</v>
      </c>
      <c r="L533" s="4" t="s">
        <v>4968</v>
      </c>
      <c r="M533" s="4" t="s">
        <v>5035</v>
      </c>
      <c r="N533" t="s">
        <v>15</v>
      </c>
      <c r="O533" t="s">
        <v>2071</v>
      </c>
      <c r="P533" t="s">
        <v>23</v>
      </c>
      <c r="Q533" t="s">
        <v>24</v>
      </c>
      <c r="R533" t="s">
        <v>25</v>
      </c>
      <c r="S533" t="s">
        <v>26</v>
      </c>
      <c r="T533" s="6">
        <v>46307</v>
      </c>
      <c r="U533">
        <v>204</v>
      </c>
      <c r="V533">
        <v>204</v>
      </c>
      <c r="W533">
        <v>192</v>
      </c>
      <c r="X533">
        <v>192</v>
      </c>
      <c r="Y533">
        <f t="shared" si="81"/>
        <v>0</v>
      </c>
      <c r="Z533">
        <f t="shared" si="82"/>
        <v>12</v>
      </c>
      <c r="AA533">
        <f t="shared" si="87"/>
        <v>12</v>
      </c>
      <c r="AC533" s="1">
        <v>0</v>
      </c>
      <c r="AF533">
        <f>X533</f>
        <v>192</v>
      </c>
      <c r="AG533" s="7">
        <v>12</v>
      </c>
      <c r="AH533">
        <f t="shared" si="83"/>
        <v>192</v>
      </c>
      <c r="AI533">
        <f t="shared" si="80"/>
        <v>12</v>
      </c>
      <c r="AK533">
        <f t="shared" si="84"/>
        <v>16</v>
      </c>
      <c r="AL533">
        <v>11.16</v>
      </c>
      <c r="AM533" t="s">
        <v>27</v>
      </c>
      <c r="AN533">
        <v>11.16</v>
      </c>
      <c r="AO533" t="b">
        <f t="shared" si="85"/>
        <v>1</v>
      </c>
      <c r="AR533" t="s">
        <v>5061</v>
      </c>
      <c r="AS533" s="21">
        <v>46276</v>
      </c>
      <c r="AT533" t="s">
        <v>5062</v>
      </c>
      <c r="AU533" t="s">
        <v>5071</v>
      </c>
      <c r="AV533" t="s">
        <v>5062</v>
      </c>
      <c r="AW533" t="s">
        <v>5086</v>
      </c>
    </row>
    <row r="534" spans="1:49" x14ac:dyDescent="0.35">
      <c r="A534" t="s">
        <v>871</v>
      </c>
      <c r="B534" t="s">
        <v>872</v>
      </c>
      <c r="C534" t="s">
        <v>4818</v>
      </c>
      <c r="D534" t="s">
        <v>18</v>
      </c>
      <c r="E534" t="s">
        <v>2072</v>
      </c>
      <c r="F534" t="s">
        <v>2073</v>
      </c>
      <c r="G534" t="s">
        <v>21</v>
      </c>
      <c r="H534" t="s">
        <v>4826</v>
      </c>
      <c r="I534" t="s">
        <v>4935</v>
      </c>
      <c r="J534" s="4" t="s">
        <v>4936</v>
      </c>
      <c r="K534" s="4" t="s">
        <v>4937</v>
      </c>
      <c r="L534" s="4" t="s">
        <v>4968</v>
      </c>
      <c r="M534" s="4" t="s">
        <v>5035</v>
      </c>
      <c r="N534" t="s">
        <v>15</v>
      </c>
      <c r="O534" t="s">
        <v>2074</v>
      </c>
      <c r="P534" t="s">
        <v>23</v>
      </c>
      <c r="Q534" t="s">
        <v>24</v>
      </c>
      <c r="R534" t="s">
        <v>25</v>
      </c>
      <c r="S534" t="s">
        <v>26</v>
      </c>
      <c r="T534" s="6">
        <v>46307</v>
      </c>
      <c r="U534">
        <v>156</v>
      </c>
      <c r="V534">
        <v>156</v>
      </c>
      <c r="W534">
        <v>168</v>
      </c>
      <c r="X534">
        <v>168</v>
      </c>
      <c r="Y534">
        <f t="shared" si="81"/>
        <v>0</v>
      </c>
      <c r="Z534">
        <f t="shared" si="82"/>
        <v>-12</v>
      </c>
      <c r="AC534" s="1">
        <v>0</v>
      </c>
      <c r="AF534">
        <f>V534</f>
        <v>156</v>
      </c>
      <c r="AG534" s="7">
        <v>12</v>
      </c>
      <c r="AH534">
        <f t="shared" si="83"/>
        <v>156</v>
      </c>
      <c r="AI534">
        <f t="shared" si="80"/>
        <v>0</v>
      </c>
      <c r="AK534">
        <f t="shared" si="84"/>
        <v>13</v>
      </c>
      <c r="AL534">
        <v>11.16</v>
      </c>
      <c r="AM534" t="s">
        <v>27</v>
      </c>
      <c r="AN534">
        <v>11.16</v>
      </c>
      <c r="AO534" t="b">
        <f t="shared" si="85"/>
        <v>1</v>
      </c>
      <c r="AR534" t="s">
        <v>5061</v>
      </c>
      <c r="AS534" s="21">
        <v>46276</v>
      </c>
      <c r="AT534" t="s">
        <v>5062</v>
      </c>
      <c r="AU534" t="s">
        <v>5071</v>
      </c>
      <c r="AV534" t="s">
        <v>5062</v>
      </c>
      <c r="AW534" t="s">
        <v>5086</v>
      </c>
    </row>
    <row r="535" spans="1:49" x14ac:dyDescent="0.35">
      <c r="A535" t="s">
        <v>871</v>
      </c>
      <c r="B535" t="s">
        <v>872</v>
      </c>
      <c r="C535" t="s">
        <v>4818</v>
      </c>
      <c r="D535" t="s">
        <v>18</v>
      </c>
      <c r="E535" t="s">
        <v>2075</v>
      </c>
      <c r="F535" t="s">
        <v>2076</v>
      </c>
      <c r="G535" t="s">
        <v>21</v>
      </c>
      <c r="H535" t="s">
        <v>4826</v>
      </c>
      <c r="I535" t="s">
        <v>4935</v>
      </c>
      <c r="J535" s="4" t="s">
        <v>4936</v>
      </c>
      <c r="K535" s="4" t="s">
        <v>4945</v>
      </c>
      <c r="L535" s="4" t="s">
        <v>4963</v>
      </c>
      <c r="M535" s="4" t="s">
        <v>5035</v>
      </c>
      <c r="N535" t="s">
        <v>15</v>
      </c>
      <c r="O535" t="s">
        <v>2077</v>
      </c>
      <c r="P535" t="s">
        <v>23</v>
      </c>
      <c r="Q535" t="s">
        <v>24</v>
      </c>
      <c r="R535" t="s">
        <v>25</v>
      </c>
      <c r="S535" t="s">
        <v>26</v>
      </c>
      <c r="T535" s="6">
        <v>46307</v>
      </c>
      <c r="U535">
        <v>60</v>
      </c>
      <c r="V535">
        <v>60</v>
      </c>
      <c r="W535">
        <v>60</v>
      </c>
      <c r="X535">
        <v>60</v>
      </c>
      <c r="Y535">
        <f t="shared" si="81"/>
        <v>0</v>
      </c>
      <c r="Z535">
        <f t="shared" si="82"/>
        <v>0</v>
      </c>
      <c r="AC535" s="1">
        <v>0</v>
      </c>
      <c r="AF535">
        <f>V535</f>
        <v>60</v>
      </c>
      <c r="AG535" s="7">
        <v>12</v>
      </c>
      <c r="AH535">
        <f t="shared" si="83"/>
        <v>60</v>
      </c>
      <c r="AI535">
        <f t="shared" si="80"/>
        <v>0</v>
      </c>
      <c r="AK535">
        <f t="shared" si="84"/>
        <v>5</v>
      </c>
      <c r="AL535">
        <v>11.16</v>
      </c>
      <c r="AM535" t="s">
        <v>27</v>
      </c>
      <c r="AN535">
        <v>11.16</v>
      </c>
      <c r="AO535" t="b">
        <f t="shared" si="85"/>
        <v>1</v>
      </c>
      <c r="AR535" t="s">
        <v>5061</v>
      </c>
      <c r="AS535" s="21">
        <v>46276</v>
      </c>
      <c r="AT535" t="s">
        <v>5062</v>
      </c>
      <c r="AU535" t="s">
        <v>5071</v>
      </c>
      <c r="AV535" t="s">
        <v>5062</v>
      </c>
      <c r="AW535" t="s">
        <v>5086</v>
      </c>
    </row>
    <row r="536" spans="1:49" x14ac:dyDescent="0.35">
      <c r="A536" t="s">
        <v>871</v>
      </c>
      <c r="B536" t="s">
        <v>872</v>
      </c>
      <c r="C536" t="s">
        <v>4818</v>
      </c>
      <c r="D536" t="s">
        <v>18</v>
      </c>
      <c r="E536" t="s">
        <v>2078</v>
      </c>
      <c r="F536" t="s">
        <v>2079</v>
      </c>
      <c r="G536" t="s">
        <v>21</v>
      </c>
      <c r="H536" t="s">
        <v>4826</v>
      </c>
      <c r="I536" t="s">
        <v>4935</v>
      </c>
      <c r="J536" s="4" t="s">
        <v>4936</v>
      </c>
      <c r="K536" s="4" t="s">
        <v>4837</v>
      </c>
      <c r="L536" s="4" t="s">
        <v>4949</v>
      </c>
      <c r="M536" s="4" t="s">
        <v>5035</v>
      </c>
      <c r="N536" t="s">
        <v>15</v>
      </c>
      <c r="O536" t="s">
        <v>2080</v>
      </c>
      <c r="P536" t="s">
        <v>23</v>
      </c>
      <c r="Q536" t="s">
        <v>24</v>
      </c>
      <c r="R536" t="s">
        <v>25</v>
      </c>
      <c r="S536" t="s">
        <v>26</v>
      </c>
      <c r="T536" s="6">
        <v>46307</v>
      </c>
      <c r="U536">
        <v>60</v>
      </c>
      <c r="V536">
        <v>60</v>
      </c>
      <c r="W536">
        <v>60</v>
      </c>
      <c r="X536">
        <v>60</v>
      </c>
      <c r="Y536">
        <f t="shared" si="81"/>
        <v>0</v>
      </c>
      <c r="Z536">
        <f t="shared" si="82"/>
        <v>0</v>
      </c>
      <c r="AC536" s="1">
        <v>0</v>
      </c>
      <c r="AF536">
        <f>V536</f>
        <v>60</v>
      </c>
      <c r="AG536" s="7">
        <v>12</v>
      </c>
      <c r="AH536">
        <f t="shared" si="83"/>
        <v>60</v>
      </c>
      <c r="AI536">
        <f t="shared" si="80"/>
        <v>0</v>
      </c>
      <c r="AK536">
        <f t="shared" si="84"/>
        <v>5</v>
      </c>
      <c r="AL536">
        <v>11.16</v>
      </c>
      <c r="AM536" t="s">
        <v>27</v>
      </c>
      <c r="AN536">
        <v>11.16</v>
      </c>
      <c r="AO536" t="b">
        <f t="shared" si="85"/>
        <v>1</v>
      </c>
      <c r="AR536" t="s">
        <v>5061</v>
      </c>
      <c r="AS536" s="21">
        <v>46276</v>
      </c>
      <c r="AT536" t="s">
        <v>5062</v>
      </c>
      <c r="AU536" t="s">
        <v>5071</v>
      </c>
      <c r="AV536" t="s">
        <v>5062</v>
      </c>
      <c r="AW536" t="s">
        <v>5086</v>
      </c>
    </row>
    <row r="537" spans="1:49" x14ac:dyDescent="0.35">
      <c r="A537" t="s">
        <v>871</v>
      </c>
      <c r="B537" t="s">
        <v>872</v>
      </c>
      <c r="C537" t="s">
        <v>4818</v>
      </c>
      <c r="D537" t="s">
        <v>18</v>
      </c>
      <c r="E537" t="s">
        <v>2081</v>
      </c>
      <c r="F537" t="s">
        <v>2082</v>
      </c>
      <c r="G537" t="s">
        <v>21</v>
      </c>
      <c r="H537" t="s">
        <v>4826</v>
      </c>
      <c r="I537" t="s">
        <v>4935</v>
      </c>
      <c r="J537" s="4" t="s">
        <v>4936</v>
      </c>
      <c r="K537" s="4" t="s">
        <v>4837</v>
      </c>
      <c r="L537" s="4" t="s">
        <v>4964</v>
      </c>
      <c r="M537" s="4" t="s">
        <v>5035</v>
      </c>
      <c r="N537" t="s">
        <v>15</v>
      </c>
      <c r="O537" t="s">
        <v>2083</v>
      </c>
      <c r="P537" t="s">
        <v>23</v>
      </c>
      <c r="Q537" t="s">
        <v>24</v>
      </c>
      <c r="R537" t="s">
        <v>25</v>
      </c>
      <c r="S537" t="s">
        <v>26</v>
      </c>
      <c r="T537" s="6">
        <v>46307</v>
      </c>
      <c r="U537">
        <v>12</v>
      </c>
      <c r="V537">
        <v>12</v>
      </c>
      <c r="W537">
        <v>12</v>
      </c>
      <c r="X537">
        <v>12</v>
      </c>
      <c r="Y537">
        <f t="shared" si="81"/>
        <v>0</v>
      </c>
      <c r="Z537">
        <f t="shared" si="82"/>
        <v>0</v>
      </c>
      <c r="AC537" s="1">
        <v>0</v>
      </c>
      <c r="AF537">
        <f>V537</f>
        <v>12</v>
      </c>
      <c r="AG537" s="7">
        <v>12</v>
      </c>
      <c r="AH537">
        <f t="shared" si="83"/>
        <v>12</v>
      </c>
      <c r="AI537">
        <f t="shared" si="80"/>
        <v>0</v>
      </c>
      <c r="AK537">
        <f t="shared" si="84"/>
        <v>1</v>
      </c>
      <c r="AL537">
        <v>11.16</v>
      </c>
      <c r="AM537" t="s">
        <v>27</v>
      </c>
      <c r="AN537">
        <v>11.16</v>
      </c>
      <c r="AO537" t="b">
        <f t="shared" si="85"/>
        <v>1</v>
      </c>
      <c r="AR537" t="s">
        <v>5061</v>
      </c>
      <c r="AS537" s="21">
        <v>46276</v>
      </c>
      <c r="AT537" t="s">
        <v>5062</v>
      </c>
      <c r="AU537" t="s">
        <v>5071</v>
      </c>
      <c r="AV537" t="s">
        <v>5062</v>
      </c>
      <c r="AW537" t="s">
        <v>5086</v>
      </c>
    </row>
    <row r="538" spans="1:49" x14ac:dyDescent="0.35">
      <c r="A538" t="s">
        <v>871</v>
      </c>
      <c r="B538" t="s">
        <v>872</v>
      </c>
      <c r="C538" t="s">
        <v>4818</v>
      </c>
      <c r="D538" t="s">
        <v>18</v>
      </c>
      <c r="E538" t="s">
        <v>2084</v>
      </c>
      <c r="F538" t="s">
        <v>2085</v>
      </c>
      <c r="G538" t="s">
        <v>21</v>
      </c>
      <c r="H538" t="s">
        <v>4826</v>
      </c>
      <c r="I538" t="s">
        <v>4935</v>
      </c>
      <c r="J538" s="4" t="s">
        <v>4936</v>
      </c>
      <c r="K538" s="4" t="s">
        <v>4837</v>
      </c>
      <c r="L538" s="4" t="s">
        <v>4974</v>
      </c>
      <c r="M538" s="4" t="s">
        <v>5035</v>
      </c>
      <c r="N538" t="s">
        <v>15</v>
      </c>
      <c r="O538" t="s">
        <v>2086</v>
      </c>
      <c r="P538" t="s">
        <v>23</v>
      </c>
      <c r="Q538" t="s">
        <v>24</v>
      </c>
      <c r="R538" t="s">
        <v>25</v>
      </c>
      <c r="S538" t="s">
        <v>26</v>
      </c>
      <c r="T538" s="6">
        <v>46307</v>
      </c>
      <c r="U538">
        <v>240</v>
      </c>
      <c r="V538">
        <v>240</v>
      </c>
      <c r="W538">
        <v>216</v>
      </c>
      <c r="X538">
        <v>216</v>
      </c>
      <c r="Y538">
        <f t="shared" si="81"/>
        <v>0</v>
      </c>
      <c r="Z538">
        <f t="shared" si="82"/>
        <v>24</v>
      </c>
      <c r="AA538">
        <f>Z538</f>
        <v>24</v>
      </c>
      <c r="AC538" s="1">
        <v>0</v>
      </c>
      <c r="AF538">
        <f>X538</f>
        <v>216</v>
      </c>
      <c r="AG538" s="7">
        <v>12</v>
      </c>
      <c r="AH538">
        <f t="shared" si="83"/>
        <v>216</v>
      </c>
      <c r="AI538">
        <f t="shared" si="80"/>
        <v>24</v>
      </c>
      <c r="AK538">
        <f t="shared" si="84"/>
        <v>18</v>
      </c>
      <c r="AL538">
        <v>11.16</v>
      </c>
      <c r="AM538" t="s">
        <v>27</v>
      </c>
      <c r="AN538">
        <v>11.16</v>
      </c>
      <c r="AO538" t="b">
        <f t="shared" si="85"/>
        <v>1</v>
      </c>
      <c r="AR538" t="s">
        <v>5061</v>
      </c>
      <c r="AS538" s="21">
        <v>46276</v>
      </c>
      <c r="AT538" t="s">
        <v>5062</v>
      </c>
      <c r="AU538" t="s">
        <v>5071</v>
      </c>
      <c r="AV538" t="s">
        <v>5062</v>
      </c>
      <c r="AW538" t="s">
        <v>5086</v>
      </c>
    </row>
    <row r="539" spans="1:49" x14ac:dyDescent="0.35">
      <c r="A539" t="s">
        <v>871</v>
      </c>
      <c r="B539" t="s">
        <v>872</v>
      </c>
      <c r="C539" t="s">
        <v>4818</v>
      </c>
      <c r="D539" t="s">
        <v>18</v>
      </c>
      <c r="E539" t="s">
        <v>2087</v>
      </c>
      <c r="F539" t="s">
        <v>2088</v>
      </c>
      <c r="G539" t="s">
        <v>21</v>
      </c>
      <c r="H539" t="s">
        <v>4826</v>
      </c>
      <c r="I539" t="s">
        <v>4935</v>
      </c>
      <c r="J539" s="4" t="s">
        <v>4936</v>
      </c>
      <c r="K539" s="4" t="s">
        <v>4837</v>
      </c>
      <c r="L539" s="4" t="s">
        <v>4948</v>
      </c>
      <c r="M539" s="4" t="s">
        <v>5035</v>
      </c>
      <c r="N539" t="s">
        <v>15</v>
      </c>
      <c r="O539" t="s">
        <v>2089</v>
      </c>
      <c r="P539" t="s">
        <v>23</v>
      </c>
      <c r="Q539" t="s">
        <v>24</v>
      </c>
      <c r="R539" t="s">
        <v>25</v>
      </c>
      <c r="S539" t="s">
        <v>26</v>
      </c>
      <c r="T539" s="6">
        <v>46307</v>
      </c>
      <c r="U539">
        <v>48</v>
      </c>
      <c r="V539">
        <v>48</v>
      </c>
      <c r="W539">
        <v>48</v>
      </c>
      <c r="X539">
        <v>48</v>
      </c>
      <c r="Y539">
        <f t="shared" si="81"/>
        <v>0</v>
      </c>
      <c r="Z539">
        <f t="shared" si="82"/>
        <v>0</v>
      </c>
      <c r="AC539" s="1">
        <v>0</v>
      </c>
      <c r="AF539">
        <f>V539</f>
        <v>48</v>
      </c>
      <c r="AG539" s="7">
        <v>12</v>
      </c>
      <c r="AH539">
        <f t="shared" si="83"/>
        <v>48</v>
      </c>
      <c r="AI539">
        <f t="shared" si="80"/>
        <v>0</v>
      </c>
      <c r="AK539">
        <f t="shared" si="84"/>
        <v>4</v>
      </c>
      <c r="AL539">
        <v>11.16</v>
      </c>
      <c r="AM539" t="s">
        <v>27</v>
      </c>
      <c r="AN539">
        <v>11.16</v>
      </c>
      <c r="AO539" t="b">
        <f t="shared" si="85"/>
        <v>1</v>
      </c>
      <c r="AR539" t="s">
        <v>5061</v>
      </c>
      <c r="AS539" s="21">
        <v>46276</v>
      </c>
      <c r="AT539" t="s">
        <v>5062</v>
      </c>
      <c r="AU539" t="s">
        <v>5071</v>
      </c>
      <c r="AV539" t="s">
        <v>5062</v>
      </c>
      <c r="AW539" t="s">
        <v>5086</v>
      </c>
    </row>
    <row r="540" spans="1:49" x14ac:dyDescent="0.35">
      <c r="A540" t="s">
        <v>871</v>
      </c>
      <c r="B540" t="s">
        <v>872</v>
      </c>
      <c r="C540" t="s">
        <v>4818</v>
      </c>
      <c r="D540" t="s">
        <v>18</v>
      </c>
      <c r="E540" t="s">
        <v>2090</v>
      </c>
      <c r="F540" t="s">
        <v>2091</v>
      </c>
      <c r="G540" t="s">
        <v>21</v>
      </c>
      <c r="H540" t="s">
        <v>4826</v>
      </c>
      <c r="I540" t="s">
        <v>4935</v>
      </c>
      <c r="J540" s="4" t="s">
        <v>4936</v>
      </c>
      <c r="K540" s="4" t="s">
        <v>4937</v>
      </c>
      <c r="L540" s="4" t="s">
        <v>4944</v>
      </c>
      <c r="M540" s="4" t="s">
        <v>5035</v>
      </c>
      <c r="N540" t="s">
        <v>15</v>
      </c>
      <c r="O540" t="s">
        <v>2092</v>
      </c>
      <c r="P540" t="s">
        <v>23</v>
      </c>
      <c r="Q540" t="s">
        <v>24</v>
      </c>
      <c r="R540" t="s">
        <v>25</v>
      </c>
      <c r="S540" t="s">
        <v>26</v>
      </c>
      <c r="T540" s="6">
        <v>46307</v>
      </c>
      <c r="U540">
        <v>168</v>
      </c>
      <c r="V540">
        <v>168</v>
      </c>
      <c r="W540">
        <v>180</v>
      </c>
      <c r="X540">
        <v>180</v>
      </c>
      <c r="Y540">
        <f t="shared" si="81"/>
        <v>0</v>
      </c>
      <c r="Z540">
        <f t="shared" si="82"/>
        <v>-12</v>
      </c>
      <c r="AC540" s="1"/>
      <c r="AF540">
        <f>V540</f>
        <v>168</v>
      </c>
      <c r="AG540" s="7">
        <v>12</v>
      </c>
      <c r="AH540">
        <f t="shared" si="83"/>
        <v>168</v>
      </c>
      <c r="AI540">
        <f t="shared" si="80"/>
        <v>0</v>
      </c>
      <c r="AK540">
        <f t="shared" si="84"/>
        <v>14</v>
      </c>
      <c r="AL540">
        <v>11.16</v>
      </c>
      <c r="AM540" t="s">
        <v>27</v>
      </c>
      <c r="AN540">
        <v>11.16</v>
      </c>
      <c r="AO540" t="b">
        <f t="shared" si="85"/>
        <v>1</v>
      </c>
      <c r="AR540" t="s">
        <v>5061</v>
      </c>
      <c r="AS540" s="21">
        <v>46276</v>
      </c>
      <c r="AT540" t="s">
        <v>5062</v>
      </c>
      <c r="AU540" t="s">
        <v>5071</v>
      </c>
      <c r="AV540" t="s">
        <v>5062</v>
      </c>
      <c r="AW540" t="s">
        <v>5086</v>
      </c>
    </row>
    <row r="541" spans="1:49" x14ac:dyDescent="0.35">
      <c r="A541" t="s">
        <v>871</v>
      </c>
      <c r="B541" t="s">
        <v>872</v>
      </c>
      <c r="C541" t="s">
        <v>4818</v>
      </c>
      <c r="D541" t="s">
        <v>18</v>
      </c>
      <c r="E541" t="s">
        <v>2093</v>
      </c>
      <c r="F541" t="s">
        <v>2094</v>
      </c>
      <c r="G541" t="s">
        <v>21</v>
      </c>
      <c r="H541" t="s">
        <v>4826</v>
      </c>
      <c r="I541" t="s">
        <v>4935</v>
      </c>
      <c r="J541" s="4" t="s">
        <v>4936</v>
      </c>
      <c r="K541" s="4" t="s">
        <v>4832</v>
      </c>
      <c r="L541" s="4" t="s">
        <v>4974</v>
      </c>
      <c r="M541" s="4" t="s">
        <v>5035</v>
      </c>
      <c r="N541" t="s">
        <v>15</v>
      </c>
      <c r="O541" t="s">
        <v>2095</v>
      </c>
      <c r="P541" t="s">
        <v>23</v>
      </c>
      <c r="Q541" t="s">
        <v>24</v>
      </c>
      <c r="R541" t="s">
        <v>25</v>
      </c>
      <c r="S541" t="s">
        <v>26</v>
      </c>
      <c r="T541" s="6">
        <v>46307</v>
      </c>
      <c r="U541">
        <v>60</v>
      </c>
      <c r="V541">
        <v>60</v>
      </c>
      <c r="W541">
        <v>60</v>
      </c>
      <c r="X541">
        <v>60</v>
      </c>
      <c r="Y541">
        <f t="shared" si="81"/>
        <v>0</v>
      </c>
      <c r="Z541">
        <f t="shared" si="82"/>
        <v>0</v>
      </c>
      <c r="AC541" s="1">
        <v>0</v>
      </c>
      <c r="AF541">
        <f>V541</f>
        <v>60</v>
      </c>
      <c r="AG541" s="7">
        <v>12</v>
      </c>
      <c r="AH541">
        <f t="shared" si="83"/>
        <v>60</v>
      </c>
      <c r="AI541">
        <f t="shared" si="80"/>
        <v>0</v>
      </c>
      <c r="AK541">
        <f t="shared" si="84"/>
        <v>5</v>
      </c>
      <c r="AL541">
        <v>11.16</v>
      </c>
      <c r="AM541" t="s">
        <v>27</v>
      </c>
      <c r="AN541">
        <v>11.16</v>
      </c>
      <c r="AO541" t="b">
        <f t="shared" si="85"/>
        <v>1</v>
      </c>
      <c r="AR541" t="s">
        <v>5061</v>
      </c>
      <c r="AS541" s="21">
        <v>46276</v>
      </c>
      <c r="AT541" t="s">
        <v>5062</v>
      </c>
      <c r="AU541" t="s">
        <v>5071</v>
      </c>
      <c r="AV541" t="s">
        <v>5062</v>
      </c>
      <c r="AW541" t="s">
        <v>5086</v>
      </c>
    </row>
    <row r="542" spans="1:49" x14ac:dyDescent="0.35">
      <c r="A542" t="s">
        <v>871</v>
      </c>
      <c r="B542" t="s">
        <v>872</v>
      </c>
      <c r="C542" t="s">
        <v>4818</v>
      </c>
      <c r="D542" t="s">
        <v>18</v>
      </c>
      <c r="E542" t="s">
        <v>2096</v>
      </c>
      <c r="F542" t="s">
        <v>2097</v>
      </c>
      <c r="G542" t="s">
        <v>21</v>
      </c>
      <c r="H542" t="s">
        <v>4826</v>
      </c>
      <c r="I542" t="s">
        <v>4935</v>
      </c>
      <c r="J542" s="4" t="s">
        <v>4936</v>
      </c>
      <c r="K542" s="4" t="s">
        <v>4945</v>
      </c>
      <c r="L542" s="4" t="s">
        <v>4970</v>
      </c>
      <c r="M542" s="4" t="s">
        <v>5035</v>
      </c>
      <c r="N542" t="s">
        <v>15</v>
      </c>
      <c r="O542" t="s">
        <v>2098</v>
      </c>
      <c r="P542" t="s">
        <v>23</v>
      </c>
      <c r="Q542" t="s">
        <v>24</v>
      </c>
      <c r="R542" t="s">
        <v>25</v>
      </c>
      <c r="S542" t="s">
        <v>26</v>
      </c>
      <c r="T542" s="6">
        <v>46307</v>
      </c>
      <c r="U542">
        <v>132</v>
      </c>
      <c r="V542">
        <v>132</v>
      </c>
      <c r="W542">
        <v>120</v>
      </c>
      <c r="X542">
        <v>120</v>
      </c>
      <c r="Y542">
        <f t="shared" si="81"/>
        <v>0</v>
      </c>
      <c r="Z542">
        <f t="shared" si="82"/>
        <v>12</v>
      </c>
      <c r="AA542">
        <f>Z542</f>
        <v>12</v>
      </c>
      <c r="AC542" s="1">
        <v>0</v>
      </c>
      <c r="AF542">
        <f>X542</f>
        <v>120</v>
      </c>
      <c r="AG542" s="7">
        <v>12</v>
      </c>
      <c r="AH542">
        <f t="shared" si="83"/>
        <v>120</v>
      </c>
      <c r="AI542">
        <f t="shared" si="80"/>
        <v>12</v>
      </c>
      <c r="AK542">
        <f t="shared" si="84"/>
        <v>10</v>
      </c>
      <c r="AL542">
        <v>11.16</v>
      </c>
      <c r="AM542" t="s">
        <v>27</v>
      </c>
      <c r="AN542">
        <v>11.16</v>
      </c>
      <c r="AO542" t="b">
        <f t="shared" si="85"/>
        <v>1</v>
      </c>
      <c r="AR542" t="s">
        <v>5061</v>
      </c>
      <c r="AS542" s="21">
        <v>46276</v>
      </c>
      <c r="AT542" t="s">
        <v>5062</v>
      </c>
      <c r="AU542" t="s">
        <v>5071</v>
      </c>
      <c r="AV542" t="s">
        <v>5062</v>
      </c>
      <c r="AW542" t="s">
        <v>5086</v>
      </c>
    </row>
    <row r="543" spans="1:49" x14ac:dyDescent="0.35">
      <c r="A543" t="s">
        <v>871</v>
      </c>
      <c r="B543" t="s">
        <v>872</v>
      </c>
      <c r="C543" t="s">
        <v>4818</v>
      </c>
      <c r="D543" t="s">
        <v>18</v>
      </c>
      <c r="E543" t="s">
        <v>2099</v>
      </c>
      <c r="F543" t="s">
        <v>2100</v>
      </c>
      <c r="G543" t="s">
        <v>21</v>
      </c>
      <c r="H543" t="s">
        <v>4826</v>
      </c>
      <c r="I543" t="s">
        <v>4935</v>
      </c>
      <c r="J543" s="4" t="s">
        <v>4936</v>
      </c>
      <c r="K543" s="4" t="s">
        <v>4945</v>
      </c>
      <c r="L543" s="4" t="s">
        <v>4973</v>
      </c>
      <c r="M543" s="4" t="s">
        <v>5035</v>
      </c>
      <c r="N543" t="s">
        <v>15</v>
      </c>
      <c r="O543" t="s">
        <v>2101</v>
      </c>
      <c r="P543" t="s">
        <v>23</v>
      </c>
      <c r="Q543" t="s">
        <v>24</v>
      </c>
      <c r="R543" t="s">
        <v>25</v>
      </c>
      <c r="S543" t="s">
        <v>26</v>
      </c>
      <c r="T543" s="6">
        <v>46307</v>
      </c>
      <c r="U543">
        <v>36</v>
      </c>
      <c r="V543">
        <v>36</v>
      </c>
      <c r="W543">
        <v>36</v>
      </c>
      <c r="X543">
        <v>36</v>
      </c>
      <c r="Y543">
        <f t="shared" si="81"/>
        <v>0</v>
      </c>
      <c r="Z543">
        <f t="shared" si="82"/>
        <v>0</v>
      </c>
      <c r="AC543" s="1">
        <v>0</v>
      </c>
      <c r="AF543">
        <f t="shared" ref="AF543:AF551" si="88">V543</f>
        <v>36</v>
      </c>
      <c r="AG543" s="7">
        <v>12</v>
      </c>
      <c r="AH543">
        <f t="shared" si="83"/>
        <v>36</v>
      </c>
      <c r="AI543">
        <f t="shared" si="80"/>
        <v>0</v>
      </c>
      <c r="AK543">
        <f t="shared" si="84"/>
        <v>3</v>
      </c>
      <c r="AL543">
        <v>11.16</v>
      </c>
      <c r="AM543" t="s">
        <v>27</v>
      </c>
      <c r="AN543">
        <v>11.16</v>
      </c>
      <c r="AO543" t="b">
        <f t="shared" si="85"/>
        <v>1</v>
      </c>
      <c r="AR543" t="s">
        <v>5061</v>
      </c>
      <c r="AS543" s="21">
        <v>46276</v>
      </c>
      <c r="AT543" t="s">
        <v>5062</v>
      </c>
      <c r="AU543" t="s">
        <v>5071</v>
      </c>
      <c r="AV543" t="s">
        <v>5062</v>
      </c>
      <c r="AW543" t="s">
        <v>5086</v>
      </c>
    </row>
    <row r="544" spans="1:49" x14ac:dyDescent="0.35">
      <c r="A544" t="s">
        <v>871</v>
      </c>
      <c r="B544" t="s">
        <v>872</v>
      </c>
      <c r="C544" t="s">
        <v>4818</v>
      </c>
      <c r="D544" t="s">
        <v>18</v>
      </c>
      <c r="E544" t="s">
        <v>2102</v>
      </c>
      <c r="F544" t="s">
        <v>2103</v>
      </c>
      <c r="G544" t="s">
        <v>21</v>
      </c>
      <c r="H544" t="s">
        <v>4826</v>
      </c>
      <c r="I544" t="s">
        <v>4935</v>
      </c>
      <c r="J544" s="4" t="s">
        <v>4936</v>
      </c>
      <c r="K544" s="4" t="s">
        <v>4832</v>
      </c>
      <c r="L544" s="4" t="s">
        <v>4947</v>
      </c>
      <c r="M544" s="4" t="s">
        <v>5035</v>
      </c>
      <c r="N544" t="s">
        <v>15</v>
      </c>
      <c r="O544" t="s">
        <v>2104</v>
      </c>
      <c r="P544" t="s">
        <v>23</v>
      </c>
      <c r="Q544" t="s">
        <v>24</v>
      </c>
      <c r="R544" t="s">
        <v>25</v>
      </c>
      <c r="S544" t="s">
        <v>26</v>
      </c>
      <c r="T544" s="6">
        <v>46307</v>
      </c>
      <c r="U544">
        <v>12</v>
      </c>
      <c r="V544">
        <v>12</v>
      </c>
      <c r="W544">
        <v>12</v>
      </c>
      <c r="X544">
        <v>12</v>
      </c>
      <c r="Y544">
        <f t="shared" si="81"/>
        <v>0</v>
      </c>
      <c r="Z544">
        <f t="shared" si="82"/>
        <v>0</v>
      </c>
      <c r="AC544" s="1">
        <v>0</v>
      </c>
      <c r="AF544">
        <f t="shared" si="88"/>
        <v>12</v>
      </c>
      <c r="AG544" s="7">
        <v>12</v>
      </c>
      <c r="AH544">
        <f t="shared" si="83"/>
        <v>12</v>
      </c>
      <c r="AI544">
        <f t="shared" si="80"/>
        <v>0</v>
      </c>
      <c r="AK544">
        <f t="shared" si="84"/>
        <v>1</v>
      </c>
      <c r="AL544">
        <v>11.16</v>
      </c>
      <c r="AM544" t="s">
        <v>27</v>
      </c>
      <c r="AN544">
        <v>11.16</v>
      </c>
      <c r="AO544" t="b">
        <f t="shared" si="85"/>
        <v>1</v>
      </c>
      <c r="AR544" t="s">
        <v>5061</v>
      </c>
      <c r="AS544" s="21">
        <v>46276</v>
      </c>
      <c r="AT544" t="s">
        <v>5062</v>
      </c>
      <c r="AU544" t="s">
        <v>5071</v>
      </c>
      <c r="AV544" t="s">
        <v>5062</v>
      </c>
      <c r="AW544" t="s">
        <v>5086</v>
      </c>
    </row>
    <row r="545" spans="1:49" x14ac:dyDescent="0.35">
      <c r="A545" t="s">
        <v>871</v>
      </c>
      <c r="B545" t="s">
        <v>872</v>
      </c>
      <c r="C545" t="s">
        <v>4818</v>
      </c>
      <c r="D545" t="s">
        <v>18</v>
      </c>
      <c r="E545" t="s">
        <v>2105</v>
      </c>
      <c r="F545" t="s">
        <v>2106</v>
      </c>
      <c r="G545" t="s">
        <v>21</v>
      </c>
      <c r="H545" t="s">
        <v>4826</v>
      </c>
      <c r="I545" t="s">
        <v>4935</v>
      </c>
      <c r="J545" s="4" t="s">
        <v>4936</v>
      </c>
      <c r="K545" s="4" t="s">
        <v>4937</v>
      </c>
      <c r="L545" s="4" t="s">
        <v>4946</v>
      </c>
      <c r="M545" s="4" t="s">
        <v>5035</v>
      </c>
      <c r="N545" t="s">
        <v>15</v>
      </c>
      <c r="O545" t="s">
        <v>2107</v>
      </c>
      <c r="P545" t="s">
        <v>23</v>
      </c>
      <c r="Q545" t="s">
        <v>24</v>
      </c>
      <c r="R545" t="s">
        <v>25</v>
      </c>
      <c r="S545" t="s">
        <v>26</v>
      </c>
      <c r="T545" s="6">
        <v>46307</v>
      </c>
      <c r="U545">
        <v>36</v>
      </c>
      <c r="V545">
        <v>36</v>
      </c>
      <c r="W545">
        <v>36</v>
      </c>
      <c r="X545">
        <v>36</v>
      </c>
      <c r="Y545">
        <f t="shared" si="81"/>
        <v>0</v>
      </c>
      <c r="Z545">
        <f t="shared" si="82"/>
        <v>0</v>
      </c>
      <c r="AC545" s="1">
        <v>0</v>
      </c>
      <c r="AF545">
        <f t="shared" si="88"/>
        <v>36</v>
      </c>
      <c r="AG545" s="7">
        <v>12</v>
      </c>
      <c r="AH545">
        <f t="shared" si="83"/>
        <v>36</v>
      </c>
      <c r="AI545">
        <f t="shared" si="80"/>
        <v>0</v>
      </c>
      <c r="AK545">
        <f t="shared" si="84"/>
        <v>3</v>
      </c>
      <c r="AL545">
        <v>11.16</v>
      </c>
      <c r="AM545" t="s">
        <v>27</v>
      </c>
      <c r="AN545">
        <v>11.16</v>
      </c>
      <c r="AO545" t="b">
        <f t="shared" si="85"/>
        <v>1</v>
      </c>
      <c r="AR545" t="s">
        <v>5061</v>
      </c>
      <c r="AS545" s="21">
        <v>46276</v>
      </c>
      <c r="AT545" t="s">
        <v>5062</v>
      </c>
      <c r="AU545" t="s">
        <v>5071</v>
      </c>
      <c r="AV545" t="s">
        <v>5062</v>
      </c>
      <c r="AW545" t="s">
        <v>5086</v>
      </c>
    </row>
    <row r="546" spans="1:49" x14ac:dyDescent="0.35">
      <c r="A546" t="s">
        <v>871</v>
      </c>
      <c r="B546" t="s">
        <v>872</v>
      </c>
      <c r="C546" t="s">
        <v>4818</v>
      </c>
      <c r="D546" t="s">
        <v>18</v>
      </c>
      <c r="E546" t="s">
        <v>2108</v>
      </c>
      <c r="F546" t="s">
        <v>2109</v>
      </c>
      <c r="G546" t="s">
        <v>21</v>
      </c>
      <c r="H546" t="s">
        <v>4826</v>
      </c>
      <c r="I546" t="s">
        <v>4935</v>
      </c>
      <c r="J546" s="4" t="s">
        <v>4936</v>
      </c>
      <c r="K546" s="4" t="s">
        <v>4957</v>
      </c>
      <c r="L546" s="4" t="s">
        <v>4968</v>
      </c>
      <c r="M546" s="4" t="s">
        <v>5035</v>
      </c>
      <c r="N546" t="s">
        <v>15</v>
      </c>
      <c r="O546" t="s">
        <v>2110</v>
      </c>
      <c r="P546" t="s">
        <v>23</v>
      </c>
      <c r="Q546" t="s">
        <v>24</v>
      </c>
      <c r="R546" t="s">
        <v>25</v>
      </c>
      <c r="S546" t="s">
        <v>26</v>
      </c>
      <c r="T546" s="6">
        <v>46307</v>
      </c>
      <c r="U546">
        <v>84</v>
      </c>
      <c r="V546">
        <v>84</v>
      </c>
      <c r="W546">
        <v>84</v>
      </c>
      <c r="X546">
        <v>84</v>
      </c>
      <c r="Y546">
        <f t="shared" si="81"/>
        <v>0</v>
      </c>
      <c r="Z546">
        <f t="shared" si="82"/>
        <v>0</v>
      </c>
      <c r="AC546" s="1">
        <v>0</v>
      </c>
      <c r="AF546">
        <f t="shared" si="88"/>
        <v>84</v>
      </c>
      <c r="AG546" s="7">
        <v>12</v>
      </c>
      <c r="AH546">
        <f t="shared" si="83"/>
        <v>84</v>
      </c>
      <c r="AI546">
        <f t="shared" si="80"/>
        <v>0</v>
      </c>
      <c r="AK546">
        <f t="shared" si="84"/>
        <v>7</v>
      </c>
      <c r="AL546">
        <v>11.27</v>
      </c>
      <c r="AM546" t="s">
        <v>27</v>
      </c>
      <c r="AN546">
        <v>11.27</v>
      </c>
      <c r="AO546" t="b">
        <f t="shared" si="85"/>
        <v>1</v>
      </c>
      <c r="AR546" t="s">
        <v>5061</v>
      </c>
      <c r="AS546" s="21">
        <v>46276</v>
      </c>
      <c r="AT546" t="s">
        <v>5062</v>
      </c>
      <c r="AU546" t="s">
        <v>5071</v>
      </c>
      <c r="AV546" t="s">
        <v>5062</v>
      </c>
      <c r="AW546" t="s">
        <v>5086</v>
      </c>
    </row>
    <row r="547" spans="1:49" x14ac:dyDescent="0.35">
      <c r="A547" t="s">
        <v>871</v>
      </c>
      <c r="B547" t="s">
        <v>872</v>
      </c>
      <c r="C547" t="s">
        <v>4818</v>
      </c>
      <c r="D547" t="s">
        <v>18</v>
      </c>
      <c r="E547" t="s">
        <v>2111</v>
      </c>
      <c r="F547" t="s">
        <v>2112</v>
      </c>
      <c r="G547" t="s">
        <v>21</v>
      </c>
      <c r="H547" t="s">
        <v>4826</v>
      </c>
      <c r="I547" t="s">
        <v>4935</v>
      </c>
      <c r="J547" s="4" t="s">
        <v>4936</v>
      </c>
      <c r="K547" s="4" t="s">
        <v>4837</v>
      </c>
      <c r="L547" s="4" t="s">
        <v>4962</v>
      </c>
      <c r="M547" s="4" t="s">
        <v>5035</v>
      </c>
      <c r="N547" t="s">
        <v>15</v>
      </c>
      <c r="O547" t="s">
        <v>2113</v>
      </c>
      <c r="P547" t="s">
        <v>23</v>
      </c>
      <c r="Q547" t="s">
        <v>24</v>
      </c>
      <c r="R547" t="s">
        <v>25</v>
      </c>
      <c r="S547" t="s">
        <v>26</v>
      </c>
      <c r="T547" s="6">
        <v>46307</v>
      </c>
      <c r="U547">
        <v>72</v>
      </c>
      <c r="V547">
        <v>72</v>
      </c>
      <c r="W547">
        <v>84</v>
      </c>
      <c r="X547">
        <v>84</v>
      </c>
      <c r="Y547">
        <f t="shared" si="81"/>
        <v>0</v>
      </c>
      <c r="Z547">
        <f t="shared" si="82"/>
        <v>-12</v>
      </c>
      <c r="AC547" s="1">
        <v>0</v>
      </c>
      <c r="AF547">
        <f t="shared" si="88"/>
        <v>72</v>
      </c>
      <c r="AG547" s="7">
        <v>12</v>
      </c>
      <c r="AH547">
        <f t="shared" si="83"/>
        <v>72</v>
      </c>
      <c r="AI547">
        <f t="shared" si="80"/>
        <v>0</v>
      </c>
      <c r="AK547">
        <f t="shared" si="84"/>
        <v>6</v>
      </c>
      <c r="AL547">
        <v>11.16</v>
      </c>
      <c r="AM547" t="s">
        <v>27</v>
      </c>
      <c r="AN547">
        <v>11.16</v>
      </c>
      <c r="AO547" t="b">
        <f t="shared" si="85"/>
        <v>1</v>
      </c>
      <c r="AR547" t="s">
        <v>5061</v>
      </c>
      <c r="AS547" s="21">
        <v>46276</v>
      </c>
      <c r="AT547" t="s">
        <v>5062</v>
      </c>
      <c r="AU547" t="s">
        <v>5071</v>
      </c>
      <c r="AV547" t="s">
        <v>5062</v>
      </c>
      <c r="AW547" t="s">
        <v>5086</v>
      </c>
    </row>
    <row r="548" spans="1:49" x14ac:dyDescent="0.35">
      <c r="A548" t="s">
        <v>871</v>
      </c>
      <c r="B548" t="s">
        <v>872</v>
      </c>
      <c r="C548" t="s">
        <v>4818</v>
      </c>
      <c r="D548" t="s">
        <v>18</v>
      </c>
      <c r="E548" t="s">
        <v>2114</v>
      </c>
      <c r="F548" t="s">
        <v>2115</v>
      </c>
      <c r="G548" t="s">
        <v>21</v>
      </c>
      <c r="H548" t="s">
        <v>4826</v>
      </c>
      <c r="I548" t="s">
        <v>4935</v>
      </c>
      <c r="J548" s="4" t="s">
        <v>4936</v>
      </c>
      <c r="K548" s="4" t="s">
        <v>4937</v>
      </c>
      <c r="L548" s="4" t="s">
        <v>4943</v>
      </c>
      <c r="M548" s="4" t="s">
        <v>5035</v>
      </c>
      <c r="N548" t="s">
        <v>15</v>
      </c>
      <c r="O548" t="s">
        <v>2116</v>
      </c>
      <c r="P548" t="s">
        <v>23</v>
      </c>
      <c r="Q548" t="s">
        <v>24</v>
      </c>
      <c r="R548" t="s">
        <v>25</v>
      </c>
      <c r="S548" t="s">
        <v>26</v>
      </c>
      <c r="T548" s="6">
        <v>46307</v>
      </c>
      <c r="U548">
        <v>36</v>
      </c>
      <c r="V548">
        <v>36</v>
      </c>
      <c r="W548">
        <v>36</v>
      </c>
      <c r="X548">
        <v>36</v>
      </c>
      <c r="Y548">
        <f t="shared" si="81"/>
        <v>0</v>
      </c>
      <c r="Z548">
        <f t="shared" si="82"/>
        <v>0</v>
      </c>
      <c r="AC548" s="1">
        <v>0</v>
      </c>
      <c r="AF548">
        <f t="shared" si="88"/>
        <v>36</v>
      </c>
      <c r="AG548" s="7">
        <v>12</v>
      </c>
      <c r="AH548">
        <f t="shared" si="83"/>
        <v>36</v>
      </c>
      <c r="AI548">
        <f t="shared" si="80"/>
        <v>0</v>
      </c>
      <c r="AK548">
        <f t="shared" si="84"/>
        <v>3</v>
      </c>
      <c r="AL548">
        <v>11.16</v>
      </c>
      <c r="AM548" t="s">
        <v>27</v>
      </c>
      <c r="AN548">
        <v>11.16</v>
      </c>
      <c r="AO548" t="b">
        <f t="shared" si="85"/>
        <v>1</v>
      </c>
      <c r="AR548" t="s">
        <v>5061</v>
      </c>
      <c r="AS548" s="21">
        <v>46276</v>
      </c>
      <c r="AT548" t="s">
        <v>5062</v>
      </c>
      <c r="AU548" t="s">
        <v>5071</v>
      </c>
      <c r="AV548" t="s">
        <v>5062</v>
      </c>
      <c r="AW548" t="s">
        <v>5086</v>
      </c>
    </row>
    <row r="549" spans="1:49" x14ac:dyDescent="0.35">
      <c r="A549" t="s">
        <v>871</v>
      </c>
      <c r="B549" t="s">
        <v>872</v>
      </c>
      <c r="C549" t="s">
        <v>4818</v>
      </c>
      <c r="D549" t="s">
        <v>18</v>
      </c>
      <c r="E549" t="s">
        <v>2117</v>
      </c>
      <c r="F549" t="s">
        <v>2118</v>
      </c>
      <c r="G549" t="s">
        <v>21</v>
      </c>
      <c r="H549" t="s">
        <v>4826</v>
      </c>
      <c r="I549" t="s">
        <v>4935</v>
      </c>
      <c r="J549" s="4" t="s">
        <v>4936</v>
      </c>
      <c r="K549" s="4" t="s">
        <v>4837</v>
      </c>
      <c r="L549" s="4" t="s">
        <v>4972</v>
      </c>
      <c r="M549" s="4" t="s">
        <v>5035</v>
      </c>
      <c r="N549" t="s">
        <v>15</v>
      </c>
      <c r="O549" t="s">
        <v>2119</v>
      </c>
      <c r="P549" t="s">
        <v>23</v>
      </c>
      <c r="Q549" t="s">
        <v>24</v>
      </c>
      <c r="R549" t="s">
        <v>25</v>
      </c>
      <c r="S549" t="s">
        <v>26</v>
      </c>
      <c r="T549" s="6">
        <v>46307</v>
      </c>
      <c r="U549">
        <v>312</v>
      </c>
      <c r="V549">
        <v>312</v>
      </c>
      <c r="W549">
        <v>336</v>
      </c>
      <c r="X549">
        <v>336</v>
      </c>
      <c r="Y549">
        <f t="shared" si="81"/>
        <v>0</v>
      </c>
      <c r="Z549">
        <f t="shared" si="82"/>
        <v>-24</v>
      </c>
      <c r="AC549" s="1"/>
      <c r="AF549">
        <f t="shared" si="88"/>
        <v>312</v>
      </c>
      <c r="AG549" s="7">
        <v>12</v>
      </c>
      <c r="AH549">
        <f t="shared" si="83"/>
        <v>312</v>
      </c>
      <c r="AI549">
        <f t="shared" si="80"/>
        <v>0</v>
      </c>
      <c r="AK549">
        <f t="shared" si="84"/>
        <v>26</v>
      </c>
      <c r="AL549">
        <v>11.16</v>
      </c>
      <c r="AM549" t="s">
        <v>27</v>
      </c>
      <c r="AN549">
        <v>11.16</v>
      </c>
      <c r="AO549" t="b">
        <f t="shared" si="85"/>
        <v>1</v>
      </c>
      <c r="AR549" t="s">
        <v>5061</v>
      </c>
      <c r="AS549" s="21">
        <v>46276</v>
      </c>
      <c r="AT549" t="s">
        <v>5062</v>
      </c>
      <c r="AU549" t="s">
        <v>5071</v>
      </c>
      <c r="AV549" t="s">
        <v>5062</v>
      </c>
      <c r="AW549" t="s">
        <v>5086</v>
      </c>
    </row>
    <row r="550" spans="1:49" x14ac:dyDescent="0.35">
      <c r="A550" t="s">
        <v>871</v>
      </c>
      <c r="B550" t="s">
        <v>872</v>
      </c>
      <c r="C550" t="s">
        <v>4818</v>
      </c>
      <c r="D550" t="s">
        <v>18</v>
      </c>
      <c r="E550" t="s">
        <v>2120</v>
      </c>
      <c r="F550" t="s">
        <v>2121</v>
      </c>
      <c r="G550" t="s">
        <v>21</v>
      </c>
      <c r="H550" t="s">
        <v>4826</v>
      </c>
      <c r="I550" t="s">
        <v>4935</v>
      </c>
      <c r="J550" s="4" t="s">
        <v>4936</v>
      </c>
      <c r="K550" s="4" t="s">
        <v>4937</v>
      </c>
      <c r="L550" s="4" t="s">
        <v>4974</v>
      </c>
      <c r="M550" s="4" t="s">
        <v>5035</v>
      </c>
      <c r="N550" t="s">
        <v>15</v>
      </c>
      <c r="O550" t="s">
        <v>2122</v>
      </c>
      <c r="P550" t="s">
        <v>23</v>
      </c>
      <c r="Q550" t="s">
        <v>24</v>
      </c>
      <c r="R550" t="s">
        <v>25</v>
      </c>
      <c r="S550" t="s">
        <v>26</v>
      </c>
      <c r="T550" s="6">
        <v>46307</v>
      </c>
      <c r="U550">
        <v>24</v>
      </c>
      <c r="V550">
        <v>24</v>
      </c>
      <c r="W550">
        <v>24</v>
      </c>
      <c r="X550">
        <v>24</v>
      </c>
      <c r="Y550">
        <f t="shared" si="81"/>
        <v>0</v>
      </c>
      <c r="Z550">
        <f t="shared" si="82"/>
        <v>0</v>
      </c>
      <c r="AC550" s="1">
        <v>0</v>
      </c>
      <c r="AF550">
        <f t="shared" si="88"/>
        <v>24</v>
      </c>
      <c r="AG550" s="7">
        <v>12</v>
      </c>
      <c r="AH550">
        <f t="shared" si="83"/>
        <v>24</v>
      </c>
      <c r="AI550">
        <f t="shared" si="80"/>
        <v>0</v>
      </c>
      <c r="AK550">
        <f t="shared" si="84"/>
        <v>2</v>
      </c>
      <c r="AL550">
        <v>11.16</v>
      </c>
      <c r="AM550" t="s">
        <v>27</v>
      </c>
      <c r="AN550">
        <v>11.16</v>
      </c>
      <c r="AO550" t="b">
        <f t="shared" si="85"/>
        <v>1</v>
      </c>
      <c r="AR550" t="s">
        <v>5061</v>
      </c>
      <c r="AS550" s="21">
        <v>46276</v>
      </c>
      <c r="AT550" t="s">
        <v>5062</v>
      </c>
      <c r="AU550" t="s">
        <v>5071</v>
      </c>
      <c r="AV550" t="s">
        <v>5062</v>
      </c>
      <c r="AW550" t="s">
        <v>5086</v>
      </c>
    </row>
    <row r="551" spans="1:49" x14ac:dyDescent="0.35">
      <c r="A551" t="s">
        <v>871</v>
      </c>
      <c r="B551" t="s">
        <v>872</v>
      </c>
      <c r="C551" t="s">
        <v>4818</v>
      </c>
      <c r="D551" t="s">
        <v>18</v>
      </c>
      <c r="E551" t="s">
        <v>2123</v>
      </c>
      <c r="F551" t="s">
        <v>2124</v>
      </c>
      <c r="G551" t="s">
        <v>21</v>
      </c>
      <c r="H551" t="s">
        <v>4826</v>
      </c>
      <c r="I551" t="s">
        <v>4935</v>
      </c>
      <c r="J551" s="4" t="s">
        <v>4936</v>
      </c>
      <c r="K551" s="4" t="s">
        <v>4837</v>
      </c>
      <c r="L551" s="4" t="s">
        <v>4943</v>
      </c>
      <c r="M551" s="4" t="s">
        <v>5035</v>
      </c>
      <c r="N551" t="s">
        <v>15</v>
      </c>
      <c r="O551" t="s">
        <v>2125</v>
      </c>
      <c r="P551" t="s">
        <v>23</v>
      </c>
      <c r="Q551" t="s">
        <v>24</v>
      </c>
      <c r="R551" t="s">
        <v>25</v>
      </c>
      <c r="S551" t="s">
        <v>26</v>
      </c>
      <c r="T551" s="6">
        <v>46307</v>
      </c>
      <c r="U551">
        <v>132</v>
      </c>
      <c r="V551">
        <v>132</v>
      </c>
      <c r="W551">
        <v>132</v>
      </c>
      <c r="X551">
        <v>132</v>
      </c>
      <c r="Y551">
        <f t="shared" si="81"/>
        <v>0</v>
      </c>
      <c r="Z551">
        <f t="shared" si="82"/>
        <v>0</v>
      </c>
      <c r="AC551" s="1">
        <v>0</v>
      </c>
      <c r="AF551">
        <f t="shared" si="88"/>
        <v>132</v>
      </c>
      <c r="AG551" s="7">
        <v>12</v>
      </c>
      <c r="AH551">
        <f t="shared" si="83"/>
        <v>132</v>
      </c>
      <c r="AI551">
        <f t="shared" si="80"/>
        <v>0</v>
      </c>
      <c r="AK551">
        <f t="shared" si="84"/>
        <v>11</v>
      </c>
      <c r="AL551">
        <v>11.16</v>
      </c>
      <c r="AM551" t="s">
        <v>27</v>
      </c>
      <c r="AN551">
        <v>11.16</v>
      </c>
      <c r="AO551" t="b">
        <f t="shared" si="85"/>
        <v>1</v>
      </c>
      <c r="AR551" t="s">
        <v>5061</v>
      </c>
      <c r="AS551" s="21">
        <v>46276</v>
      </c>
      <c r="AT551" t="s">
        <v>5062</v>
      </c>
      <c r="AU551" t="s">
        <v>5071</v>
      </c>
      <c r="AV551" t="s">
        <v>5062</v>
      </c>
      <c r="AW551" t="s">
        <v>5086</v>
      </c>
    </row>
    <row r="552" spans="1:49" x14ac:dyDescent="0.35">
      <c r="A552" t="s">
        <v>871</v>
      </c>
      <c r="B552" t="s">
        <v>872</v>
      </c>
      <c r="C552" t="s">
        <v>4818</v>
      </c>
      <c r="D552" t="s">
        <v>18</v>
      </c>
      <c r="E552" t="s">
        <v>2126</v>
      </c>
      <c r="F552" t="s">
        <v>2127</v>
      </c>
      <c r="G552" t="s">
        <v>21</v>
      </c>
      <c r="H552" t="s">
        <v>4826</v>
      </c>
      <c r="I552" t="s">
        <v>4935</v>
      </c>
      <c r="J552" s="4" t="s">
        <v>4936</v>
      </c>
      <c r="K552" s="4" t="s">
        <v>4957</v>
      </c>
      <c r="L552" s="4" t="s">
        <v>4953</v>
      </c>
      <c r="M552" s="4" t="s">
        <v>5035</v>
      </c>
      <c r="N552" t="s">
        <v>15</v>
      </c>
      <c r="O552" t="s">
        <v>2128</v>
      </c>
      <c r="P552" t="s">
        <v>23</v>
      </c>
      <c r="Q552" t="s">
        <v>24</v>
      </c>
      <c r="R552" t="s">
        <v>25</v>
      </c>
      <c r="S552" t="s">
        <v>26</v>
      </c>
      <c r="T552" s="6">
        <v>46307</v>
      </c>
      <c r="U552">
        <v>96</v>
      </c>
      <c r="V552">
        <v>96</v>
      </c>
      <c r="W552">
        <v>84</v>
      </c>
      <c r="X552">
        <v>84</v>
      </c>
      <c r="Y552">
        <f t="shared" si="81"/>
        <v>0</v>
      </c>
      <c r="Z552">
        <f t="shared" si="82"/>
        <v>12</v>
      </c>
      <c r="AA552">
        <f>Z552</f>
        <v>12</v>
      </c>
      <c r="AC552" s="1">
        <v>0</v>
      </c>
      <c r="AF552">
        <f>X552</f>
        <v>84</v>
      </c>
      <c r="AG552" s="7">
        <v>12</v>
      </c>
      <c r="AH552">
        <f t="shared" si="83"/>
        <v>84</v>
      </c>
      <c r="AI552">
        <f t="shared" si="80"/>
        <v>12</v>
      </c>
      <c r="AK552">
        <f t="shared" si="84"/>
        <v>7</v>
      </c>
      <c r="AL552">
        <v>11.27</v>
      </c>
      <c r="AM552" t="s">
        <v>27</v>
      </c>
      <c r="AN552">
        <v>11.27</v>
      </c>
      <c r="AO552" t="b">
        <f t="shared" si="85"/>
        <v>1</v>
      </c>
      <c r="AR552" t="s">
        <v>5061</v>
      </c>
      <c r="AS552" s="21">
        <v>46276</v>
      </c>
      <c r="AT552" t="s">
        <v>5062</v>
      </c>
      <c r="AU552" t="s">
        <v>5071</v>
      </c>
      <c r="AV552" t="s">
        <v>5062</v>
      </c>
      <c r="AW552" t="s">
        <v>5086</v>
      </c>
    </row>
    <row r="553" spans="1:49" x14ac:dyDescent="0.35">
      <c r="A553" t="s">
        <v>871</v>
      </c>
      <c r="B553" t="s">
        <v>872</v>
      </c>
      <c r="C553" t="s">
        <v>4818</v>
      </c>
      <c r="D553" t="s">
        <v>18</v>
      </c>
      <c r="E553" t="s">
        <v>2129</v>
      </c>
      <c r="F553" t="s">
        <v>2130</v>
      </c>
      <c r="G553" t="s">
        <v>21</v>
      </c>
      <c r="H553" t="s">
        <v>4826</v>
      </c>
      <c r="I553" t="s">
        <v>4935</v>
      </c>
      <c r="J553" s="4" t="s">
        <v>4936</v>
      </c>
      <c r="K553" s="4" t="s">
        <v>4945</v>
      </c>
      <c r="L553" s="4" t="s">
        <v>4950</v>
      </c>
      <c r="M553" s="4" t="s">
        <v>5035</v>
      </c>
      <c r="N553" t="s">
        <v>15</v>
      </c>
      <c r="O553" t="s">
        <v>2131</v>
      </c>
      <c r="P553" t="s">
        <v>23</v>
      </c>
      <c r="Q553" t="s">
        <v>24</v>
      </c>
      <c r="R553" t="s">
        <v>25</v>
      </c>
      <c r="S553" t="s">
        <v>26</v>
      </c>
      <c r="T553" s="6">
        <v>46307</v>
      </c>
      <c r="U553">
        <v>24</v>
      </c>
      <c r="V553">
        <v>24</v>
      </c>
      <c r="W553">
        <v>24</v>
      </c>
      <c r="X553">
        <v>24</v>
      </c>
      <c r="Y553">
        <f t="shared" si="81"/>
        <v>0</v>
      </c>
      <c r="Z553">
        <f t="shared" si="82"/>
        <v>0</v>
      </c>
      <c r="AC553" s="1">
        <v>0</v>
      </c>
      <c r="AF553">
        <f>V553</f>
        <v>24</v>
      </c>
      <c r="AG553" s="7">
        <v>12</v>
      </c>
      <c r="AH553">
        <f t="shared" si="83"/>
        <v>24</v>
      </c>
      <c r="AI553">
        <f t="shared" si="80"/>
        <v>0</v>
      </c>
      <c r="AK553">
        <f t="shared" si="84"/>
        <v>2</v>
      </c>
      <c r="AL553">
        <v>11.16</v>
      </c>
      <c r="AM553" t="s">
        <v>27</v>
      </c>
      <c r="AN553">
        <v>11.16</v>
      </c>
      <c r="AO553" t="b">
        <f t="shared" si="85"/>
        <v>1</v>
      </c>
      <c r="AR553" t="s">
        <v>5061</v>
      </c>
      <c r="AS553" s="21">
        <v>46276</v>
      </c>
      <c r="AT553" t="s">
        <v>5062</v>
      </c>
      <c r="AU553" t="s">
        <v>5071</v>
      </c>
      <c r="AV553" t="s">
        <v>5062</v>
      </c>
      <c r="AW553" t="s">
        <v>5086</v>
      </c>
    </row>
    <row r="554" spans="1:49" x14ac:dyDescent="0.35">
      <c r="A554" t="s">
        <v>871</v>
      </c>
      <c r="B554" t="s">
        <v>872</v>
      </c>
      <c r="C554" t="s">
        <v>4818</v>
      </c>
      <c r="D554" t="s">
        <v>18</v>
      </c>
      <c r="E554" t="s">
        <v>2132</v>
      </c>
      <c r="F554" t="s">
        <v>2133</v>
      </c>
      <c r="G554" t="s">
        <v>21</v>
      </c>
      <c r="H554" t="s">
        <v>4826</v>
      </c>
      <c r="I554" t="s">
        <v>4935</v>
      </c>
      <c r="J554" s="4" t="s">
        <v>4936</v>
      </c>
      <c r="K554" s="4" t="s">
        <v>4945</v>
      </c>
      <c r="L554" s="4" t="s">
        <v>4938</v>
      </c>
      <c r="M554" s="4" t="s">
        <v>5035</v>
      </c>
      <c r="N554" t="s">
        <v>15</v>
      </c>
      <c r="O554" t="s">
        <v>2134</v>
      </c>
      <c r="P554" t="s">
        <v>23</v>
      </c>
      <c r="Q554" t="s">
        <v>24</v>
      </c>
      <c r="R554" t="s">
        <v>25</v>
      </c>
      <c r="S554" t="s">
        <v>26</v>
      </c>
      <c r="T554" s="6">
        <v>46307</v>
      </c>
      <c r="U554">
        <v>276</v>
      </c>
      <c r="V554">
        <v>276</v>
      </c>
      <c r="W554">
        <v>252</v>
      </c>
      <c r="X554">
        <v>252</v>
      </c>
      <c r="Y554">
        <f t="shared" si="81"/>
        <v>0</v>
      </c>
      <c r="Z554">
        <f t="shared" si="82"/>
        <v>24</v>
      </c>
      <c r="AA554">
        <f t="shared" ref="AA554:AA556" si="89">Z554</f>
        <v>24</v>
      </c>
      <c r="AC554" s="1">
        <v>0</v>
      </c>
      <c r="AF554">
        <f>X554</f>
        <v>252</v>
      </c>
      <c r="AG554" s="7">
        <v>12</v>
      </c>
      <c r="AH554">
        <f t="shared" si="83"/>
        <v>252</v>
      </c>
      <c r="AI554">
        <f t="shared" si="80"/>
        <v>24</v>
      </c>
      <c r="AK554">
        <f t="shared" si="84"/>
        <v>21</v>
      </c>
      <c r="AL554">
        <v>11.16</v>
      </c>
      <c r="AM554" t="s">
        <v>27</v>
      </c>
      <c r="AN554">
        <v>11.16</v>
      </c>
      <c r="AO554" t="b">
        <f t="shared" si="85"/>
        <v>1</v>
      </c>
      <c r="AR554" t="s">
        <v>5061</v>
      </c>
      <c r="AS554" s="21">
        <v>46276</v>
      </c>
      <c r="AT554" t="s">
        <v>5062</v>
      </c>
      <c r="AU554" t="s">
        <v>5071</v>
      </c>
      <c r="AV554" t="s">
        <v>5062</v>
      </c>
      <c r="AW554" t="s">
        <v>5086</v>
      </c>
    </row>
    <row r="555" spans="1:49" x14ac:dyDescent="0.35">
      <c r="A555" t="s">
        <v>871</v>
      </c>
      <c r="B555" t="s">
        <v>872</v>
      </c>
      <c r="C555" t="s">
        <v>4818</v>
      </c>
      <c r="D555" t="s">
        <v>18</v>
      </c>
      <c r="E555" t="s">
        <v>2135</v>
      </c>
      <c r="F555" t="s">
        <v>2136</v>
      </c>
      <c r="G555" t="s">
        <v>21</v>
      </c>
      <c r="H555" t="s">
        <v>4826</v>
      </c>
      <c r="I555" t="s">
        <v>4935</v>
      </c>
      <c r="J555" s="4" t="s">
        <v>4936</v>
      </c>
      <c r="K555" s="4" t="s">
        <v>4945</v>
      </c>
      <c r="L555" s="4" t="s">
        <v>4974</v>
      </c>
      <c r="M555" s="4" t="s">
        <v>5035</v>
      </c>
      <c r="N555" t="s">
        <v>15</v>
      </c>
      <c r="O555" t="s">
        <v>2137</v>
      </c>
      <c r="P555" t="s">
        <v>23</v>
      </c>
      <c r="Q555" t="s">
        <v>24</v>
      </c>
      <c r="R555" t="s">
        <v>25</v>
      </c>
      <c r="S555" t="s">
        <v>26</v>
      </c>
      <c r="T555" s="6">
        <v>46307</v>
      </c>
      <c r="U555">
        <v>84</v>
      </c>
      <c r="V555">
        <v>84</v>
      </c>
      <c r="W555">
        <v>72</v>
      </c>
      <c r="X555">
        <v>72</v>
      </c>
      <c r="Y555">
        <f t="shared" si="81"/>
        <v>0</v>
      </c>
      <c r="Z555">
        <f t="shared" si="82"/>
        <v>12</v>
      </c>
      <c r="AA555">
        <f t="shared" si="89"/>
        <v>12</v>
      </c>
      <c r="AC555" s="1">
        <v>0</v>
      </c>
      <c r="AF555">
        <f>X555</f>
        <v>72</v>
      </c>
      <c r="AG555" s="7">
        <v>12</v>
      </c>
      <c r="AH555">
        <f t="shared" si="83"/>
        <v>72</v>
      </c>
      <c r="AI555">
        <f t="shared" si="80"/>
        <v>12</v>
      </c>
      <c r="AK555">
        <f t="shared" si="84"/>
        <v>6</v>
      </c>
      <c r="AL555">
        <v>11.16</v>
      </c>
      <c r="AM555" t="s">
        <v>27</v>
      </c>
      <c r="AN555">
        <v>11.16</v>
      </c>
      <c r="AO555" t="b">
        <f t="shared" si="85"/>
        <v>1</v>
      </c>
      <c r="AR555" t="s">
        <v>5061</v>
      </c>
      <c r="AS555" s="21">
        <v>46276</v>
      </c>
      <c r="AT555" t="s">
        <v>5062</v>
      </c>
      <c r="AU555" t="s">
        <v>5071</v>
      </c>
      <c r="AV555" t="s">
        <v>5062</v>
      </c>
      <c r="AW555" t="s">
        <v>5086</v>
      </c>
    </row>
    <row r="556" spans="1:49" x14ac:dyDescent="0.35">
      <c r="A556" t="s">
        <v>871</v>
      </c>
      <c r="B556" t="s">
        <v>872</v>
      </c>
      <c r="C556" t="s">
        <v>4818</v>
      </c>
      <c r="D556" t="s">
        <v>18</v>
      </c>
      <c r="E556" t="s">
        <v>2138</v>
      </c>
      <c r="F556" t="s">
        <v>2139</v>
      </c>
      <c r="G556" t="s">
        <v>21</v>
      </c>
      <c r="H556" t="s">
        <v>4826</v>
      </c>
      <c r="I556" t="s">
        <v>4935</v>
      </c>
      <c r="J556" s="4" t="s">
        <v>4936</v>
      </c>
      <c r="K556" s="4" t="s">
        <v>4837</v>
      </c>
      <c r="L556" s="4" t="s">
        <v>4939</v>
      </c>
      <c r="M556" s="4" t="s">
        <v>5035</v>
      </c>
      <c r="N556" t="s">
        <v>15</v>
      </c>
      <c r="O556" t="s">
        <v>2140</v>
      </c>
      <c r="P556" t="s">
        <v>23</v>
      </c>
      <c r="Q556" t="s">
        <v>24</v>
      </c>
      <c r="R556" t="s">
        <v>25</v>
      </c>
      <c r="S556" t="s">
        <v>26</v>
      </c>
      <c r="T556" s="6">
        <v>46307</v>
      </c>
      <c r="U556">
        <v>120</v>
      </c>
      <c r="V556">
        <v>120</v>
      </c>
      <c r="W556">
        <v>108</v>
      </c>
      <c r="X556">
        <v>108</v>
      </c>
      <c r="Y556">
        <f t="shared" si="81"/>
        <v>0</v>
      </c>
      <c r="Z556">
        <f t="shared" si="82"/>
        <v>12</v>
      </c>
      <c r="AA556">
        <f t="shared" si="89"/>
        <v>12</v>
      </c>
      <c r="AC556" s="1">
        <v>0</v>
      </c>
      <c r="AF556">
        <f>X556</f>
        <v>108</v>
      </c>
      <c r="AG556" s="7">
        <v>12</v>
      </c>
      <c r="AH556">
        <f t="shared" si="83"/>
        <v>108</v>
      </c>
      <c r="AI556">
        <f t="shared" si="80"/>
        <v>12</v>
      </c>
      <c r="AK556">
        <f t="shared" si="84"/>
        <v>9</v>
      </c>
      <c r="AL556">
        <v>11.16</v>
      </c>
      <c r="AM556" t="s">
        <v>27</v>
      </c>
      <c r="AN556">
        <v>11.16</v>
      </c>
      <c r="AO556" t="b">
        <f t="shared" si="85"/>
        <v>1</v>
      </c>
      <c r="AR556" t="s">
        <v>5061</v>
      </c>
      <c r="AS556" s="21">
        <v>46276</v>
      </c>
      <c r="AT556" t="s">
        <v>5062</v>
      </c>
      <c r="AU556" t="s">
        <v>5071</v>
      </c>
      <c r="AV556" t="s">
        <v>5062</v>
      </c>
      <c r="AW556" t="s">
        <v>5086</v>
      </c>
    </row>
    <row r="557" spans="1:49" x14ac:dyDescent="0.35">
      <c r="A557" t="s">
        <v>871</v>
      </c>
      <c r="B557" t="s">
        <v>872</v>
      </c>
      <c r="C557" t="s">
        <v>4818</v>
      </c>
      <c r="D557" t="s">
        <v>18</v>
      </c>
      <c r="E557" t="s">
        <v>2141</v>
      </c>
      <c r="F557" t="s">
        <v>2142</v>
      </c>
      <c r="G557" t="s">
        <v>21</v>
      </c>
      <c r="H557" t="s">
        <v>4826</v>
      </c>
      <c r="I557" t="s">
        <v>4935</v>
      </c>
      <c r="J557" s="4" t="s">
        <v>4936</v>
      </c>
      <c r="K557" s="4" t="s">
        <v>4957</v>
      </c>
      <c r="L557" s="4" t="s">
        <v>4974</v>
      </c>
      <c r="M557" s="4" t="s">
        <v>5035</v>
      </c>
      <c r="N557" t="s">
        <v>15</v>
      </c>
      <c r="O557" t="s">
        <v>2143</v>
      </c>
      <c r="P557" t="s">
        <v>23</v>
      </c>
      <c r="Q557" t="s">
        <v>24</v>
      </c>
      <c r="R557" t="s">
        <v>25</v>
      </c>
      <c r="S557" t="s">
        <v>26</v>
      </c>
      <c r="T557" s="6">
        <v>46307</v>
      </c>
      <c r="U557">
        <v>60</v>
      </c>
      <c r="V557">
        <v>60</v>
      </c>
      <c r="W557">
        <v>60</v>
      </c>
      <c r="X557">
        <v>60</v>
      </c>
      <c r="Y557">
        <f t="shared" si="81"/>
        <v>0</v>
      </c>
      <c r="Z557">
        <f t="shared" si="82"/>
        <v>0</v>
      </c>
      <c r="AC557" s="1">
        <v>0</v>
      </c>
      <c r="AF557">
        <f>V557</f>
        <v>60</v>
      </c>
      <c r="AG557" s="7">
        <v>12</v>
      </c>
      <c r="AH557">
        <f t="shared" si="83"/>
        <v>60</v>
      </c>
      <c r="AI557">
        <f t="shared" si="80"/>
        <v>0</v>
      </c>
      <c r="AK557">
        <f t="shared" si="84"/>
        <v>5</v>
      </c>
      <c r="AL557">
        <v>11.27</v>
      </c>
      <c r="AM557" t="s">
        <v>27</v>
      </c>
      <c r="AN557">
        <v>11.27</v>
      </c>
      <c r="AO557" t="b">
        <f t="shared" si="85"/>
        <v>1</v>
      </c>
      <c r="AR557" t="s">
        <v>5061</v>
      </c>
      <c r="AS557" s="21">
        <v>46276</v>
      </c>
      <c r="AT557" t="s">
        <v>5062</v>
      </c>
      <c r="AU557" t="s">
        <v>5071</v>
      </c>
      <c r="AV557" t="s">
        <v>5062</v>
      </c>
      <c r="AW557" t="s">
        <v>5086</v>
      </c>
    </row>
    <row r="558" spans="1:49" x14ac:dyDescent="0.35">
      <c r="A558" t="s">
        <v>871</v>
      </c>
      <c r="B558" t="s">
        <v>872</v>
      </c>
      <c r="C558" t="s">
        <v>4818</v>
      </c>
      <c r="D558" t="s">
        <v>18</v>
      </c>
      <c r="E558" t="s">
        <v>2144</v>
      </c>
      <c r="F558" t="s">
        <v>2145</v>
      </c>
      <c r="G558" t="s">
        <v>21</v>
      </c>
      <c r="H558" t="s">
        <v>4826</v>
      </c>
      <c r="I558" t="s">
        <v>4935</v>
      </c>
      <c r="J558" s="4" t="s">
        <v>4936</v>
      </c>
      <c r="K558" s="4" t="s">
        <v>4937</v>
      </c>
      <c r="L558" s="4" t="s">
        <v>4972</v>
      </c>
      <c r="M558" s="4" t="s">
        <v>5035</v>
      </c>
      <c r="N558" t="s">
        <v>15</v>
      </c>
      <c r="O558" t="s">
        <v>2146</v>
      </c>
      <c r="P558" t="s">
        <v>23</v>
      </c>
      <c r="Q558" t="s">
        <v>24</v>
      </c>
      <c r="R558" t="s">
        <v>25</v>
      </c>
      <c r="S558" t="s">
        <v>26</v>
      </c>
      <c r="T558" s="6">
        <v>46307</v>
      </c>
      <c r="U558">
        <v>48</v>
      </c>
      <c r="V558">
        <v>48</v>
      </c>
      <c r="W558">
        <v>48</v>
      </c>
      <c r="X558">
        <v>48</v>
      </c>
      <c r="Y558">
        <f t="shared" si="81"/>
        <v>0</v>
      </c>
      <c r="Z558">
        <f t="shared" si="82"/>
        <v>0</v>
      </c>
      <c r="AC558" s="1">
        <v>0</v>
      </c>
      <c r="AF558">
        <f>V558</f>
        <v>48</v>
      </c>
      <c r="AG558" s="7">
        <v>12</v>
      </c>
      <c r="AH558">
        <f t="shared" si="83"/>
        <v>48</v>
      </c>
      <c r="AI558">
        <f t="shared" si="80"/>
        <v>0</v>
      </c>
      <c r="AK558">
        <f t="shared" si="84"/>
        <v>4</v>
      </c>
      <c r="AL558">
        <v>11.16</v>
      </c>
      <c r="AM558" t="s">
        <v>27</v>
      </c>
      <c r="AN558">
        <v>11.16</v>
      </c>
      <c r="AO558" t="b">
        <f t="shared" si="85"/>
        <v>1</v>
      </c>
      <c r="AR558" t="s">
        <v>5061</v>
      </c>
      <c r="AS558" s="21">
        <v>46276</v>
      </c>
      <c r="AT558" t="s">
        <v>5062</v>
      </c>
      <c r="AU558" t="s">
        <v>5071</v>
      </c>
      <c r="AV558" t="s">
        <v>5062</v>
      </c>
      <c r="AW558" t="s">
        <v>5086</v>
      </c>
    </row>
    <row r="559" spans="1:49" x14ac:dyDescent="0.35">
      <c r="A559" t="s">
        <v>871</v>
      </c>
      <c r="B559" t="s">
        <v>872</v>
      </c>
      <c r="C559" t="s">
        <v>4818</v>
      </c>
      <c r="D559" t="s">
        <v>18</v>
      </c>
      <c r="E559" t="s">
        <v>2147</v>
      </c>
      <c r="F559" t="s">
        <v>2148</v>
      </c>
      <c r="G559" t="s">
        <v>21</v>
      </c>
      <c r="H559" t="s">
        <v>4826</v>
      </c>
      <c r="I559" t="s">
        <v>4935</v>
      </c>
      <c r="J559" s="4" t="s">
        <v>4936</v>
      </c>
      <c r="K559" s="4" t="s">
        <v>4957</v>
      </c>
      <c r="L559" s="4" t="s">
        <v>4972</v>
      </c>
      <c r="M559" s="4" t="s">
        <v>5035</v>
      </c>
      <c r="N559" t="s">
        <v>15</v>
      </c>
      <c r="O559" t="s">
        <v>2149</v>
      </c>
      <c r="P559" t="s">
        <v>23</v>
      </c>
      <c r="Q559" t="s">
        <v>24</v>
      </c>
      <c r="R559" t="s">
        <v>25</v>
      </c>
      <c r="S559" t="s">
        <v>26</v>
      </c>
      <c r="T559" s="6">
        <v>46307</v>
      </c>
      <c r="U559">
        <v>120</v>
      </c>
      <c r="V559">
        <v>120</v>
      </c>
      <c r="W559">
        <v>96</v>
      </c>
      <c r="X559">
        <v>96</v>
      </c>
      <c r="Y559">
        <f t="shared" si="81"/>
        <v>0</v>
      </c>
      <c r="Z559">
        <f t="shared" si="82"/>
        <v>24</v>
      </c>
      <c r="AA559">
        <f>Z559</f>
        <v>24</v>
      </c>
      <c r="AC559" s="1">
        <v>0</v>
      </c>
      <c r="AF559">
        <f>X559</f>
        <v>96</v>
      </c>
      <c r="AG559" s="7">
        <v>12</v>
      </c>
      <c r="AH559">
        <f t="shared" si="83"/>
        <v>96</v>
      </c>
      <c r="AI559">
        <f t="shared" si="80"/>
        <v>24</v>
      </c>
      <c r="AK559">
        <f t="shared" si="84"/>
        <v>8</v>
      </c>
      <c r="AL559">
        <v>11.27</v>
      </c>
      <c r="AM559" t="s">
        <v>27</v>
      </c>
      <c r="AN559">
        <v>11.27</v>
      </c>
      <c r="AO559" t="b">
        <f t="shared" si="85"/>
        <v>1</v>
      </c>
      <c r="AR559" t="s">
        <v>5061</v>
      </c>
      <c r="AS559" s="21">
        <v>46276</v>
      </c>
      <c r="AT559" t="s">
        <v>5062</v>
      </c>
      <c r="AU559" t="s">
        <v>5071</v>
      </c>
      <c r="AV559" t="s">
        <v>5062</v>
      </c>
      <c r="AW559" t="s">
        <v>5086</v>
      </c>
    </row>
    <row r="560" spans="1:49" x14ac:dyDescent="0.35">
      <c r="A560" t="s">
        <v>871</v>
      </c>
      <c r="B560" t="s">
        <v>872</v>
      </c>
      <c r="C560" t="s">
        <v>4818</v>
      </c>
      <c r="D560" t="s">
        <v>18</v>
      </c>
      <c r="E560" t="s">
        <v>2150</v>
      </c>
      <c r="F560" t="s">
        <v>2151</v>
      </c>
      <c r="G560" t="s">
        <v>21</v>
      </c>
      <c r="H560" t="s">
        <v>4826</v>
      </c>
      <c r="I560" t="s">
        <v>4935</v>
      </c>
      <c r="J560" s="4" t="s">
        <v>4936</v>
      </c>
      <c r="K560" s="4" t="s">
        <v>4945</v>
      </c>
      <c r="L560" s="4" t="s">
        <v>4948</v>
      </c>
      <c r="M560" s="4" t="s">
        <v>5035</v>
      </c>
      <c r="N560" t="s">
        <v>15</v>
      </c>
      <c r="O560" t="s">
        <v>2152</v>
      </c>
      <c r="P560" t="s">
        <v>23</v>
      </c>
      <c r="Q560" t="s">
        <v>24</v>
      </c>
      <c r="R560" t="s">
        <v>25</v>
      </c>
      <c r="S560" t="s">
        <v>26</v>
      </c>
      <c r="T560" s="6">
        <v>46307</v>
      </c>
      <c r="U560">
        <v>12</v>
      </c>
      <c r="V560">
        <v>12</v>
      </c>
      <c r="W560">
        <v>12</v>
      </c>
      <c r="X560">
        <v>12</v>
      </c>
      <c r="Y560">
        <f t="shared" si="81"/>
        <v>0</v>
      </c>
      <c r="Z560">
        <f t="shared" si="82"/>
        <v>0</v>
      </c>
      <c r="AC560" s="1">
        <v>0</v>
      </c>
      <c r="AF560">
        <f t="shared" ref="AF560:AF565" si="90">V560</f>
        <v>12</v>
      </c>
      <c r="AG560" s="7">
        <v>12</v>
      </c>
      <c r="AH560">
        <f t="shared" si="83"/>
        <v>12</v>
      </c>
      <c r="AI560">
        <f t="shared" si="80"/>
        <v>0</v>
      </c>
      <c r="AK560">
        <f t="shared" si="84"/>
        <v>1</v>
      </c>
      <c r="AL560">
        <v>11.16</v>
      </c>
      <c r="AM560" t="s">
        <v>27</v>
      </c>
      <c r="AN560">
        <v>11.16</v>
      </c>
      <c r="AO560" t="b">
        <f t="shared" si="85"/>
        <v>1</v>
      </c>
      <c r="AR560" t="s">
        <v>5061</v>
      </c>
      <c r="AS560" s="21">
        <v>46276</v>
      </c>
      <c r="AT560" t="s">
        <v>5062</v>
      </c>
      <c r="AU560" t="s">
        <v>5071</v>
      </c>
      <c r="AV560" t="s">
        <v>5062</v>
      </c>
      <c r="AW560" t="s">
        <v>5086</v>
      </c>
    </row>
    <row r="561" spans="1:49" x14ac:dyDescent="0.35">
      <c r="A561" t="s">
        <v>871</v>
      </c>
      <c r="B561" t="s">
        <v>872</v>
      </c>
      <c r="C561" t="s">
        <v>4818</v>
      </c>
      <c r="D561" t="s">
        <v>18</v>
      </c>
      <c r="E561" t="s">
        <v>2153</v>
      </c>
      <c r="F561" t="s">
        <v>2154</v>
      </c>
      <c r="G561" t="s">
        <v>21</v>
      </c>
      <c r="H561" t="s">
        <v>4826</v>
      </c>
      <c r="I561" t="s">
        <v>4935</v>
      </c>
      <c r="J561" s="4" t="s">
        <v>4936</v>
      </c>
      <c r="K561" s="4" t="s">
        <v>4957</v>
      </c>
      <c r="L561" s="4" t="s">
        <v>4941</v>
      </c>
      <c r="M561" s="4" t="s">
        <v>5035</v>
      </c>
      <c r="N561" t="s">
        <v>15</v>
      </c>
      <c r="O561" t="s">
        <v>2155</v>
      </c>
      <c r="P561" t="s">
        <v>23</v>
      </c>
      <c r="Q561" t="s">
        <v>24</v>
      </c>
      <c r="R561" t="s">
        <v>25</v>
      </c>
      <c r="S561" t="s">
        <v>26</v>
      </c>
      <c r="T561" s="6">
        <v>46307</v>
      </c>
      <c r="U561">
        <v>24</v>
      </c>
      <c r="V561">
        <v>24</v>
      </c>
      <c r="W561">
        <v>24</v>
      </c>
      <c r="X561">
        <v>24</v>
      </c>
      <c r="Y561">
        <f t="shared" si="81"/>
        <v>0</v>
      </c>
      <c r="Z561">
        <f t="shared" si="82"/>
        <v>0</v>
      </c>
      <c r="AC561" s="1">
        <v>0</v>
      </c>
      <c r="AF561">
        <f t="shared" si="90"/>
        <v>24</v>
      </c>
      <c r="AG561" s="7">
        <v>12</v>
      </c>
      <c r="AH561">
        <f t="shared" si="83"/>
        <v>24</v>
      </c>
      <c r="AI561">
        <f t="shared" si="80"/>
        <v>0</v>
      </c>
      <c r="AK561">
        <f t="shared" si="84"/>
        <v>2</v>
      </c>
      <c r="AL561">
        <v>11.27</v>
      </c>
      <c r="AM561" t="s">
        <v>27</v>
      </c>
      <c r="AN561">
        <v>11.27</v>
      </c>
      <c r="AO561" t="b">
        <f t="shared" si="85"/>
        <v>1</v>
      </c>
      <c r="AR561" t="s">
        <v>5061</v>
      </c>
      <c r="AS561" s="21">
        <v>46276</v>
      </c>
      <c r="AT561" t="s">
        <v>5062</v>
      </c>
      <c r="AU561" t="s">
        <v>5071</v>
      </c>
      <c r="AV561" t="s">
        <v>5062</v>
      </c>
      <c r="AW561" t="s">
        <v>5086</v>
      </c>
    </row>
    <row r="562" spans="1:49" x14ac:dyDescent="0.35">
      <c r="A562" t="s">
        <v>871</v>
      </c>
      <c r="B562" t="s">
        <v>872</v>
      </c>
      <c r="C562" t="s">
        <v>4818</v>
      </c>
      <c r="D562" t="s">
        <v>18</v>
      </c>
      <c r="E562" t="s">
        <v>2156</v>
      </c>
      <c r="F562" t="s">
        <v>2157</v>
      </c>
      <c r="G562" t="s">
        <v>21</v>
      </c>
      <c r="H562" t="s">
        <v>4826</v>
      </c>
      <c r="I562" t="s">
        <v>4935</v>
      </c>
      <c r="J562" s="4" t="s">
        <v>4936</v>
      </c>
      <c r="K562" s="4" t="s">
        <v>4832</v>
      </c>
      <c r="L562" s="4" t="s">
        <v>4971</v>
      </c>
      <c r="M562" s="4" t="s">
        <v>5035</v>
      </c>
      <c r="N562" t="s">
        <v>15</v>
      </c>
      <c r="O562" t="s">
        <v>2158</v>
      </c>
      <c r="P562" t="s">
        <v>23</v>
      </c>
      <c r="Q562" t="s">
        <v>24</v>
      </c>
      <c r="R562" t="s">
        <v>25</v>
      </c>
      <c r="S562" t="s">
        <v>26</v>
      </c>
      <c r="T562" s="6">
        <v>46307</v>
      </c>
      <c r="U562">
        <v>48</v>
      </c>
      <c r="V562">
        <v>48</v>
      </c>
      <c r="W562">
        <v>48</v>
      </c>
      <c r="X562">
        <v>48</v>
      </c>
      <c r="Y562">
        <f t="shared" si="81"/>
        <v>0</v>
      </c>
      <c r="Z562">
        <f t="shared" si="82"/>
        <v>0</v>
      </c>
      <c r="AC562" s="1">
        <v>0</v>
      </c>
      <c r="AF562">
        <f t="shared" si="90"/>
        <v>48</v>
      </c>
      <c r="AG562" s="7">
        <v>12</v>
      </c>
      <c r="AH562">
        <f t="shared" si="83"/>
        <v>48</v>
      </c>
      <c r="AI562">
        <f t="shared" si="80"/>
        <v>0</v>
      </c>
      <c r="AK562">
        <f t="shared" si="84"/>
        <v>4</v>
      </c>
      <c r="AL562">
        <v>11.16</v>
      </c>
      <c r="AM562" t="s">
        <v>27</v>
      </c>
      <c r="AN562">
        <v>11.16</v>
      </c>
      <c r="AO562" t="b">
        <f t="shared" si="85"/>
        <v>1</v>
      </c>
      <c r="AR562" t="s">
        <v>5061</v>
      </c>
      <c r="AS562" s="21">
        <v>46276</v>
      </c>
      <c r="AT562" t="s">
        <v>5062</v>
      </c>
      <c r="AU562" t="s">
        <v>5071</v>
      </c>
      <c r="AV562" t="s">
        <v>5062</v>
      </c>
      <c r="AW562" t="s">
        <v>5086</v>
      </c>
    </row>
    <row r="563" spans="1:49" x14ac:dyDescent="0.35">
      <c r="A563" t="s">
        <v>871</v>
      </c>
      <c r="B563" t="s">
        <v>872</v>
      </c>
      <c r="C563" t="s">
        <v>4818</v>
      </c>
      <c r="D563" t="s">
        <v>18</v>
      </c>
      <c r="E563" t="s">
        <v>2159</v>
      </c>
      <c r="F563" t="s">
        <v>2160</v>
      </c>
      <c r="G563" t="s">
        <v>21</v>
      </c>
      <c r="H563" t="s">
        <v>4826</v>
      </c>
      <c r="I563" t="s">
        <v>4935</v>
      </c>
      <c r="J563" s="4" t="s">
        <v>4936</v>
      </c>
      <c r="K563" s="4" t="s">
        <v>4937</v>
      </c>
      <c r="L563" s="4" t="s">
        <v>4949</v>
      </c>
      <c r="M563" s="4" t="s">
        <v>5035</v>
      </c>
      <c r="N563" t="s">
        <v>15</v>
      </c>
      <c r="O563" t="s">
        <v>2161</v>
      </c>
      <c r="P563" t="s">
        <v>23</v>
      </c>
      <c r="Q563" t="s">
        <v>24</v>
      </c>
      <c r="R563" t="s">
        <v>25</v>
      </c>
      <c r="S563" t="s">
        <v>26</v>
      </c>
      <c r="T563" s="6">
        <v>46307</v>
      </c>
      <c r="U563">
        <v>48</v>
      </c>
      <c r="V563">
        <v>48</v>
      </c>
      <c r="W563">
        <v>48</v>
      </c>
      <c r="X563">
        <v>48</v>
      </c>
      <c r="Y563">
        <f t="shared" si="81"/>
        <v>0</v>
      </c>
      <c r="Z563">
        <f t="shared" si="82"/>
        <v>0</v>
      </c>
      <c r="AC563" s="1">
        <v>0</v>
      </c>
      <c r="AF563">
        <f t="shared" si="90"/>
        <v>48</v>
      </c>
      <c r="AG563" s="7">
        <v>12</v>
      </c>
      <c r="AH563">
        <f t="shared" si="83"/>
        <v>48</v>
      </c>
      <c r="AI563">
        <f t="shared" si="80"/>
        <v>0</v>
      </c>
      <c r="AK563">
        <f t="shared" si="84"/>
        <v>4</v>
      </c>
      <c r="AL563">
        <v>11.16</v>
      </c>
      <c r="AM563" t="s">
        <v>27</v>
      </c>
      <c r="AN563">
        <v>11.16</v>
      </c>
      <c r="AO563" t="b">
        <f t="shared" si="85"/>
        <v>1</v>
      </c>
      <c r="AR563" t="s">
        <v>5061</v>
      </c>
      <c r="AS563" s="21">
        <v>46276</v>
      </c>
      <c r="AT563" t="s">
        <v>5062</v>
      </c>
      <c r="AU563" t="s">
        <v>5071</v>
      </c>
      <c r="AV563" t="s">
        <v>5062</v>
      </c>
      <c r="AW563" t="s">
        <v>5086</v>
      </c>
    </row>
    <row r="564" spans="1:49" x14ac:dyDescent="0.35">
      <c r="A564" t="s">
        <v>871</v>
      </c>
      <c r="B564" t="s">
        <v>872</v>
      </c>
      <c r="C564" t="s">
        <v>4818</v>
      </c>
      <c r="D564" t="s">
        <v>18</v>
      </c>
      <c r="E564" t="s">
        <v>2162</v>
      </c>
      <c r="F564" t="s">
        <v>2163</v>
      </c>
      <c r="G564" t="s">
        <v>21</v>
      </c>
      <c r="H564" t="s">
        <v>4826</v>
      </c>
      <c r="I564" t="s">
        <v>4935</v>
      </c>
      <c r="J564" s="4" t="s">
        <v>4936</v>
      </c>
      <c r="K564" s="4" t="s">
        <v>4937</v>
      </c>
      <c r="L564" s="4" t="s">
        <v>4964</v>
      </c>
      <c r="M564" s="4" t="s">
        <v>5035</v>
      </c>
      <c r="N564" t="s">
        <v>15</v>
      </c>
      <c r="O564" t="s">
        <v>2164</v>
      </c>
      <c r="P564" t="s">
        <v>23</v>
      </c>
      <c r="Q564" t="s">
        <v>24</v>
      </c>
      <c r="R564" t="s">
        <v>25</v>
      </c>
      <c r="S564" t="s">
        <v>26</v>
      </c>
      <c r="T564" s="6">
        <v>46307</v>
      </c>
      <c r="U564">
        <v>12</v>
      </c>
      <c r="V564">
        <v>12</v>
      </c>
      <c r="W564">
        <v>12</v>
      </c>
      <c r="X564">
        <v>12</v>
      </c>
      <c r="Y564">
        <f t="shared" si="81"/>
        <v>0</v>
      </c>
      <c r="Z564">
        <f t="shared" si="82"/>
        <v>0</v>
      </c>
      <c r="AC564" s="1">
        <v>0</v>
      </c>
      <c r="AF564">
        <f t="shared" si="90"/>
        <v>12</v>
      </c>
      <c r="AG564" s="7">
        <v>12</v>
      </c>
      <c r="AH564">
        <f t="shared" si="83"/>
        <v>12</v>
      </c>
      <c r="AI564">
        <f t="shared" si="80"/>
        <v>0</v>
      </c>
      <c r="AK564">
        <f t="shared" si="84"/>
        <v>1</v>
      </c>
      <c r="AL564">
        <v>11.16</v>
      </c>
      <c r="AM564" t="s">
        <v>27</v>
      </c>
      <c r="AN564">
        <v>11.16</v>
      </c>
      <c r="AO564" t="b">
        <f t="shared" si="85"/>
        <v>1</v>
      </c>
      <c r="AR564" t="s">
        <v>5061</v>
      </c>
      <c r="AS564" s="21">
        <v>46276</v>
      </c>
      <c r="AT564" t="s">
        <v>5062</v>
      </c>
      <c r="AU564" t="s">
        <v>5071</v>
      </c>
      <c r="AV564" t="s">
        <v>5062</v>
      </c>
      <c r="AW564" t="s">
        <v>5086</v>
      </c>
    </row>
    <row r="565" spans="1:49" x14ac:dyDescent="0.35">
      <c r="A565" t="s">
        <v>871</v>
      </c>
      <c r="B565" t="s">
        <v>872</v>
      </c>
      <c r="C565" t="s">
        <v>4818</v>
      </c>
      <c r="D565" t="s">
        <v>18</v>
      </c>
      <c r="E565" t="s">
        <v>2165</v>
      </c>
      <c r="F565" t="s">
        <v>2166</v>
      </c>
      <c r="G565" t="s">
        <v>21</v>
      </c>
      <c r="H565" t="s">
        <v>4826</v>
      </c>
      <c r="I565" t="s">
        <v>4935</v>
      </c>
      <c r="J565" s="4" t="s">
        <v>4936</v>
      </c>
      <c r="K565" s="4" t="s">
        <v>4837</v>
      </c>
      <c r="L565" s="4" t="s">
        <v>4950</v>
      </c>
      <c r="M565" s="4" t="s">
        <v>5035</v>
      </c>
      <c r="N565" t="s">
        <v>15</v>
      </c>
      <c r="O565" t="s">
        <v>2167</v>
      </c>
      <c r="P565" t="s">
        <v>23</v>
      </c>
      <c r="Q565" t="s">
        <v>24</v>
      </c>
      <c r="R565" t="s">
        <v>25</v>
      </c>
      <c r="S565" t="s">
        <v>26</v>
      </c>
      <c r="T565" s="6">
        <v>46307</v>
      </c>
      <c r="U565">
        <v>144</v>
      </c>
      <c r="V565">
        <v>144</v>
      </c>
      <c r="W565">
        <v>156</v>
      </c>
      <c r="X565">
        <v>156</v>
      </c>
      <c r="Y565">
        <f t="shared" si="81"/>
        <v>0</v>
      </c>
      <c r="Z565">
        <f t="shared" si="82"/>
        <v>-12</v>
      </c>
      <c r="AC565" s="1">
        <v>0</v>
      </c>
      <c r="AF565">
        <f t="shared" si="90"/>
        <v>144</v>
      </c>
      <c r="AG565" s="7">
        <v>12</v>
      </c>
      <c r="AH565">
        <f t="shared" si="83"/>
        <v>144</v>
      </c>
      <c r="AI565">
        <f t="shared" si="80"/>
        <v>0</v>
      </c>
      <c r="AK565">
        <f t="shared" si="84"/>
        <v>12</v>
      </c>
      <c r="AL565">
        <v>11.16</v>
      </c>
      <c r="AM565" t="s">
        <v>27</v>
      </c>
      <c r="AN565">
        <v>11.16</v>
      </c>
      <c r="AO565" t="b">
        <f t="shared" si="85"/>
        <v>1</v>
      </c>
      <c r="AR565" t="s">
        <v>5061</v>
      </c>
      <c r="AS565" s="21">
        <v>46276</v>
      </c>
      <c r="AT565" t="s">
        <v>5062</v>
      </c>
      <c r="AU565" t="s">
        <v>5071</v>
      </c>
      <c r="AV565" t="s">
        <v>5062</v>
      </c>
      <c r="AW565" t="s">
        <v>5086</v>
      </c>
    </row>
    <row r="566" spans="1:49" x14ac:dyDescent="0.35">
      <c r="A566" t="s">
        <v>871</v>
      </c>
      <c r="B566" t="s">
        <v>872</v>
      </c>
      <c r="C566" t="s">
        <v>4818</v>
      </c>
      <c r="D566" t="s">
        <v>18</v>
      </c>
      <c r="E566" t="s">
        <v>2168</v>
      </c>
      <c r="F566" t="s">
        <v>2169</v>
      </c>
      <c r="G566" t="s">
        <v>21</v>
      </c>
      <c r="H566" t="s">
        <v>4826</v>
      </c>
      <c r="I566" t="s">
        <v>4935</v>
      </c>
      <c r="J566" s="4" t="s">
        <v>4936</v>
      </c>
      <c r="K566" s="4" t="s">
        <v>4945</v>
      </c>
      <c r="L566" s="4" t="s">
        <v>4958</v>
      </c>
      <c r="M566" s="4" t="s">
        <v>5035</v>
      </c>
      <c r="N566" t="s">
        <v>15</v>
      </c>
      <c r="O566" t="s">
        <v>2170</v>
      </c>
      <c r="P566" t="s">
        <v>23</v>
      </c>
      <c r="Q566" t="s">
        <v>24</v>
      </c>
      <c r="R566" t="s">
        <v>25</v>
      </c>
      <c r="S566" t="s">
        <v>26</v>
      </c>
      <c r="T566" s="6">
        <v>46307</v>
      </c>
      <c r="U566">
        <v>144</v>
      </c>
      <c r="V566">
        <v>144</v>
      </c>
      <c r="W566">
        <v>132</v>
      </c>
      <c r="X566">
        <v>132</v>
      </c>
      <c r="Y566">
        <f t="shared" si="81"/>
        <v>0</v>
      </c>
      <c r="Z566">
        <f t="shared" si="82"/>
        <v>12</v>
      </c>
      <c r="AA566">
        <f>Z566</f>
        <v>12</v>
      </c>
      <c r="AC566" s="1">
        <v>0</v>
      </c>
      <c r="AF566">
        <f>X566</f>
        <v>132</v>
      </c>
      <c r="AG566" s="7">
        <v>12</v>
      </c>
      <c r="AH566">
        <f t="shared" si="83"/>
        <v>132</v>
      </c>
      <c r="AI566">
        <f t="shared" si="80"/>
        <v>12</v>
      </c>
      <c r="AK566">
        <f t="shared" si="84"/>
        <v>11</v>
      </c>
      <c r="AL566">
        <v>11.16</v>
      </c>
      <c r="AM566" t="s">
        <v>27</v>
      </c>
      <c r="AN566">
        <v>11.16</v>
      </c>
      <c r="AO566" t="b">
        <f t="shared" si="85"/>
        <v>1</v>
      </c>
      <c r="AR566" t="s">
        <v>5061</v>
      </c>
      <c r="AS566" s="21">
        <v>46276</v>
      </c>
      <c r="AT566" t="s">
        <v>5062</v>
      </c>
      <c r="AU566" t="s">
        <v>5071</v>
      </c>
      <c r="AV566" t="s">
        <v>5062</v>
      </c>
      <c r="AW566" t="s">
        <v>5086</v>
      </c>
    </row>
    <row r="567" spans="1:49" x14ac:dyDescent="0.35">
      <c r="A567" t="s">
        <v>871</v>
      </c>
      <c r="B567" t="s">
        <v>872</v>
      </c>
      <c r="C567" t="s">
        <v>4818</v>
      </c>
      <c r="D567" t="s">
        <v>18</v>
      </c>
      <c r="E567" t="s">
        <v>2171</v>
      </c>
      <c r="F567" t="s">
        <v>2172</v>
      </c>
      <c r="G567" t="s">
        <v>21</v>
      </c>
      <c r="H567" t="s">
        <v>4826</v>
      </c>
      <c r="I567" t="s">
        <v>4935</v>
      </c>
      <c r="J567" s="4" t="s">
        <v>4936</v>
      </c>
      <c r="K567" s="4" t="s">
        <v>4945</v>
      </c>
      <c r="L567" s="4" t="s">
        <v>4941</v>
      </c>
      <c r="M567" s="4" t="s">
        <v>5035</v>
      </c>
      <c r="N567" t="s">
        <v>15</v>
      </c>
      <c r="O567" t="s">
        <v>2173</v>
      </c>
      <c r="P567" t="s">
        <v>23</v>
      </c>
      <c r="Q567" t="s">
        <v>24</v>
      </c>
      <c r="R567" t="s">
        <v>25</v>
      </c>
      <c r="S567" t="s">
        <v>26</v>
      </c>
      <c r="T567" s="6">
        <v>46307</v>
      </c>
      <c r="U567">
        <v>48</v>
      </c>
      <c r="V567">
        <v>48</v>
      </c>
      <c r="W567">
        <v>48</v>
      </c>
      <c r="X567">
        <v>48</v>
      </c>
      <c r="Y567">
        <f t="shared" si="81"/>
        <v>0</v>
      </c>
      <c r="Z567">
        <f t="shared" si="82"/>
        <v>0</v>
      </c>
      <c r="AC567" s="1">
        <v>0</v>
      </c>
      <c r="AF567">
        <f>V567</f>
        <v>48</v>
      </c>
      <c r="AG567" s="7">
        <v>12</v>
      </c>
      <c r="AH567">
        <f t="shared" si="83"/>
        <v>48</v>
      </c>
      <c r="AI567">
        <f t="shared" si="80"/>
        <v>0</v>
      </c>
      <c r="AK567">
        <f t="shared" si="84"/>
        <v>4</v>
      </c>
      <c r="AL567">
        <v>11.16</v>
      </c>
      <c r="AM567" t="s">
        <v>27</v>
      </c>
      <c r="AN567">
        <v>11.16</v>
      </c>
      <c r="AO567" t="b">
        <f t="shared" si="85"/>
        <v>1</v>
      </c>
      <c r="AR567" t="s">
        <v>5061</v>
      </c>
      <c r="AS567" s="21">
        <v>46276</v>
      </c>
      <c r="AT567" t="s">
        <v>5062</v>
      </c>
      <c r="AU567" t="s">
        <v>5071</v>
      </c>
      <c r="AV567" t="s">
        <v>5062</v>
      </c>
      <c r="AW567" t="s">
        <v>5086</v>
      </c>
    </row>
    <row r="568" spans="1:49" x14ac:dyDescent="0.35">
      <c r="A568" t="s">
        <v>871</v>
      </c>
      <c r="B568" t="s">
        <v>872</v>
      </c>
      <c r="C568" t="s">
        <v>4818</v>
      </c>
      <c r="D568" t="s">
        <v>18</v>
      </c>
      <c r="E568" t="s">
        <v>2174</v>
      </c>
      <c r="F568" t="s">
        <v>2175</v>
      </c>
      <c r="G568" t="s">
        <v>21</v>
      </c>
      <c r="H568" t="s">
        <v>4826</v>
      </c>
      <c r="I568" t="s">
        <v>4935</v>
      </c>
      <c r="J568" s="4" t="s">
        <v>4936</v>
      </c>
      <c r="K568" s="4" t="s">
        <v>4945</v>
      </c>
      <c r="L568" s="4" t="s">
        <v>4967</v>
      </c>
      <c r="M568" s="4" t="s">
        <v>5035</v>
      </c>
      <c r="N568" t="s">
        <v>15</v>
      </c>
      <c r="O568" t="s">
        <v>2176</v>
      </c>
      <c r="P568" t="s">
        <v>23</v>
      </c>
      <c r="Q568" t="s">
        <v>24</v>
      </c>
      <c r="R568" t="s">
        <v>25</v>
      </c>
      <c r="S568" t="s">
        <v>26</v>
      </c>
      <c r="T568" s="6">
        <v>46307</v>
      </c>
      <c r="U568">
        <v>36</v>
      </c>
      <c r="V568">
        <v>36</v>
      </c>
      <c r="W568">
        <v>36</v>
      </c>
      <c r="X568">
        <v>36</v>
      </c>
      <c r="Y568">
        <f t="shared" si="81"/>
        <v>0</v>
      </c>
      <c r="Z568">
        <f t="shared" si="82"/>
        <v>0</v>
      </c>
      <c r="AC568" s="1">
        <v>0</v>
      </c>
      <c r="AF568">
        <f>V568</f>
        <v>36</v>
      </c>
      <c r="AG568" s="7">
        <v>12</v>
      </c>
      <c r="AH568">
        <f t="shared" si="83"/>
        <v>36</v>
      </c>
      <c r="AI568">
        <f t="shared" si="80"/>
        <v>0</v>
      </c>
      <c r="AK568">
        <f t="shared" si="84"/>
        <v>3</v>
      </c>
      <c r="AL568">
        <v>11.16</v>
      </c>
      <c r="AM568" t="s">
        <v>27</v>
      </c>
      <c r="AN568">
        <v>11.16</v>
      </c>
      <c r="AO568" t="b">
        <f t="shared" si="85"/>
        <v>1</v>
      </c>
      <c r="AR568" t="s">
        <v>5061</v>
      </c>
      <c r="AS568" s="21">
        <v>46276</v>
      </c>
      <c r="AT568" t="s">
        <v>5062</v>
      </c>
      <c r="AU568" t="s">
        <v>5071</v>
      </c>
      <c r="AV568" t="s">
        <v>5062</v>
      </c>
      <c r="AW568" t="s">
        <v>5086</v>
      </c>
    </row>
    <row r="569" spans="1:49" x14ac:dyDescent="0.35">
      <c r="A569" t="s">
        <v>871</v>
      </c>
      <c r="B569" t="s">
        <v>872</v>
      </c>
      <c r="C569" t="s">
        <v>4818</v>
      </c>
      <c r="D569" t="s">
        <v>18</v>
      </c>
      <c r="E569" t="s">
        <v>2177</v>
      </c>
      <c r="F569" t="s">
        <v>2178</v>
      </c>
      <c r="G569" t="s">
        <v>21</v>
      </c>
      <c r="H569" t="s">
        <v>4826</v>
      </c>
      <c r="I569" t="s">
        <v>4935</v>
      </c>
      <c r="J569" s="4" t="s">
        <v>4936</v>
      </c>
      <c r="K569" s="4" t="s">
        <v>4957</v>
      </c>
      <c r="L569" s="4" t="s">
        <v>4951</v>
      </c>
      <c r="M569" s="4" t="s">
        <v>5035</v>
      </c>
      <c r="N569" t="s">
        <v>15</v>
      </c>
      <c r="O569" t="s">
        <v>2179</v>
      </c>
      <c r="P569" t="s">
        <v>23</v>
      </c>
      <c r="Q569" t="s">
        <v>24</v>
      </c>
      <c r="R569" t="s">
        <v>25</v>
      </c>
      <c r="S569" t="s">
        <v>26</v>
      </c>
      <c r="T569" s="6">
        <v>46307</v>
      </c>
      <c r="U569">
        <v>108</v>
      </c>
      <c r="V569">
        <v>108</v>
      </c>
      <c r="W569">
        <v>96</v>
      </c>
      <c r="X569">
        <v>96</v>
      </c>
      <c r="Y569">
        <f t="shared" si="81"/>
        <v>0</v>
      </c>
      <c r="Z569">
        <f t="shared" si="82"/>
        <v>12</v>
      </c>
      <c r="AA569">
        <f>Z569</f>
        <v>12</v>
      </c>
      <c r="AC569" s="1">
        <v>0</v>
      </c>
      <c r="AF569">
        <f>X569</f>
        <v>96</v>
      </c>
      <c r="AG569" s="7">
        <v>12</v>
      </c>
      <c r="AH569">
        <f t="shared" si="83"/>
        <v>96</v>
      </c>
      <c r="AI569">
        <f t="shared" si="80"/>
        <v>12</v>
      </c>
      <c r="AK569">
        <f t="shared" si="84"/>
        <v>8</v>
      </c>
      <c r="AL569">
        <v>11.27</v>
      </c>
      <c r="AM569" t="s">
        <v>27</v>
      </c>
      <c r="AN569">
        <v>11.27</v>
      </c>
      <c r="AO569" t="b">
        <f t="shared" si="85"/>
        <v>1</v>
      </c>
      <c r="AR569" t="s">
        <v>5061</v>
      </c>
      <c r="AS569" s="21">
        <v>46276</v>
      </c>
      <c r="AT569" t="s">
        <v>5062</v>
      </c>
      <c r="AU569" t="s">
        <v>5071</v>
      </c>
      <c r="AV569" t="s">
        <v>5062</v>
      </c>
      <c r="AW569" t="s">
        <v>5086</v>
      </c>
    </row>
    <row r="570" spans="1:49" x14ac:dyDescent="0.35">
      <c r="A570" t="s">
        <v>871</v>
      </c>
      <c r="B570" t="s">
        <v>872</v>
      </c>
      <c r="C570" t="s">
        <v>4818</v>
      </c>
      <c r="D570" t="s">
        <v>18</v>
      </c>
      <c r="E570" t="s">
        <v>2180</v>
      </c>
      <c r="F570" t="s">
        <v>2181</v>
      </c>
      <c r="G570" t="s">
        <v>21</v>
      </c>
      <c r="H570" t="s">
        <v>4826</v>
      </c>
      <c r="I570" t="s">
        <v>4935</v>
      </c>
      <c r="J570" s="4" t="s">
        <v>4936</v>
      </c>
      <c r="K570" s="4" t="s">
        <v>4957</v>
      </c>
      <c r="L570" s="4" t="s">
        <v>4970</v>
      </c>
      <c r="M570" s="4" t="s">
        <v>5035</v>
      </c>
      <c r="N570" t="s">
        <v>15</v>
      </c>
      <c r="O570" t="s">
        <v>2182</v>
      </c>
      <c r="P570" t="s">
        <v>23</v>
      </c>
      <c r="Q570" t="s">
        <v>24</v>
      </c>
      <c r="R570" t="s">
        <v>25</v>
      </c>
      <c r="S570" t="s">
        <v>26</v>
      </c>
      <c r="T570" s="6">
        <v>46307</v>
      </c>
      <c r="U570">
        <v>240</v>
      </c>
      <c r="V570">
        <v>240</v>
      </c>
      <c r="W570">
        <v>264</v>
      </c>
      <c r="X570">
        <v>264</v>
      </c>
      <c r="Y570">
        <f t="shared" si="81"/>
        <v>0</v>
      </c>
      <c r="Z570">
        <f t="shared" si="82"/>
        <v>-24</v>
      </c>
      <c r="AC570" s="1">
        <v>0</v>
      </c>
      <c r="AF570">
        <f>V570</f>
        <v>240</v>
      </c>
      <c r="AG570" s="7">
        <v>12</v>
      </c>
      <c r="AH570">
        <f t="shared" si="83"/>
        <v>240</v>
      </c>
      <c r="AI570">
        <f t="shared" si="80"/>
        <v>0</v>
      </c>
      <c r="AK570">
        <f t="shared" si="84"/>
        <v>20</v>
      </c>
      <c r="AL570">
        <v>11.27</v>
      </c>
      <c r="AM570" t="s">
        <v>27</v>
      </c>
      <c r="AN570">
        <v>11.27</v>
      </c>
      <c r="AO570" t="b">
        <f t="shared" si="85"/>
        <v>1</v>
      </c>
      <c r="AR570" t="s">
        <v>5061</v>
      </c>
      <c r="AS570" s="21">
        <v>46276</v>
      </c>
      <c r="AT570" t="s">
        <v>5062</v>
      </c>
      <c r="AU570" t="s">
        <v>5071</v>
      </c>
      <c r="AV570" t="s">
        <v>5062</v>
      </c>
      <c r="AW570" t="s">
        <v>5086</v>
      </c>
    </row>
    <row r="571" spans="1:49" x14ac:dyDescent="0.35">
      <c r="A571" t="s">
        <v>871</v>
      </c>
      <c r="B571" t="s">
        <v>872</v>
      </c>
      <c r="C571" t="s">
        <v>4818</v>
      </c>
      <c r="D571" t="s">
        <v>18</v>
      </c>
      <c r="E571" t="s">
        <v>2183</v>
      </c>
      <c r="F571" t="s">
        <v>2184</v>
      </c>
      <c r="G571" t="s">
        <v>21</v>
      </c>
      <c r="H571" t="s">
        <v>4826</v>
      </c>
      <c r="I571" t="s">
        <v>4935</v>
      </c>
      <c r="J571" s="4" t="s">
        <v>4936</v>
      </c>
      <c r="K571" s="4" t="s">
        <v>4837</v>
      </c>
      <c r="L571" s="4" t="s">
        <v>4941</v>
      </c>
      <c r="M571" s="4" t="s">
        <v>5035</v>
      </c>
      <c r="N571" t="s">
        <v>15</v>
      </c>
      <c r="O571" t="s">
        <v>2185</v>
      </c>
      <c r="P571" t="s">
        <v>23</v>
      </c>
      <c r="Q571" t="s">
        <v>24</v>
      </c>
      <c r="R571" t="s">
        <v>25</v>
      </c>
      <c r="S571" t="s">
        <v>26</v>
      </c>
      <c r="T571" s="6">
        <v>46307</v>
      </c>
      <c r="U571">
        <v>120</v>
      </c>
      <c r="V571">
        <v>120</v>
      </c>
      <c r="W571">
        <v>132</v>
      </c>
      <c r="X571">
        <v>132</v>
      </c>
      <c r="Y571">
        <f t="shared" si="81"/>
        <v>0</v>
      </c>
      <c r="Z571">
        <f t="shared" si="82"/>
        <v>-12</v>
      </c>
      <c r="AC571" s="1">
        <v>0</v>
      </c>
      <c r="AF571">
        <f>V571</f>
        <v>120</v>
      </c>
      <c r="AG571" s="7">
        <v>12</v>
      </c>
      <c r="AH571">
        <f t="shared" si="83"/>
        <v>120</v>
      </c>
      <c r="AI571">
        <f t="shared" si="80"/>
        <v>0</v>
      </c>
      <c r="AK571">
        <f t="shared" si="84"/>
        <v>10</v>
      </c>
      <c r="AL571">
        <v>11.16</v>
      </c>
      <c r="AM571" t="s">
        <v>27</v>
      </c>
      <c r="AN571">
        <v>11.16</v>
      </c>
      <c r="AO571" t="b">
        <f t="shared" si="85"/>
        <v>1</v>
      </c>
      <c r="AR571" t="s">
        <v>5061</v>
      </c>
      <c r="AS571" s="21">
        <v>46276</v>
      </c>
      <c r="AT571" t="s">
        <v>5062</v>
      </c>
      <c r="AU571" t="s">
        <v>5071</v>
      </c>
      <c r="AV571" t="s">
        <v>5062</v>
      </c>
      <c r="AW571" t="s">
        <v>5086</v>
      </c>
    </row>
    <row r="572" spans="1:49" x14ac:dyDescent="0.35">
      <c r="A572" t="s">
        <v>871</v>
      </c>
      <c r="B572" t="s">
        <v>872</v>
      </c>
      <c r="C572" t="s">
        <v>4818</v>
      </c>
      <c r="D572" t="s">
        <v>18</v>
      </c>
      <c r="E572" t="s">
        <v>2186</v>
      </c>
      <c r="F572" t="s">
        <v>2187</v>
      </c>
      <c r="G572" t="s">
        <v>21</v>
      </c>
      <c r="H572" t="s">
        <v>4826</v>
      </c>
      <c r="I572" t="s">
        <v>4935</v>
      </c>
      <c r="J572" s="4" t="s">
        <v>4936</v>
      </c>
      <c r="K572" s="4" t="s">
        <v>4957</v>
      </c>
      <c r="L572" s="4" t="s">
        <v>4940</v>
      </c>
      <c r="M572" s="4" t="s">
        <v>5035</v>
      </c>
      <c r="N572" t="s">
        <v>15</v>
      </c>
      <c r="O572" t="s">
        <v>2188</v>
      </c>
      <c r="P572" t="s">
        <v>23</v>
      </c>
      <c r="Q572" t="s">
        <v>24</v>
      </c>
      <c r="R572" t="s">
        <v>25</v>
      </c>
      <c r="S572" t="s">
        <v>26</v>
      </c>
      <c r="T572" s="6">
        <v>46307</v>
      </c>
      <c r="U572">
        <v>96</v>
      </c>
      <c r="V572">
        <v>96</v>
      </c>
      <c r="W572">
        <v>96</v>
      </c>
      <c r="X572">
        <v>96</v>
      </c>
      <c r="Y572">
        <f t="shared" si="81"/>
        <v>0</v>
      </c>
      <c r="Z572">
        <f t="shared" si="82"/>
        <v>0</v>
      </c>
      <c r="AC572" s="1">
        <v>0</v>
      </c>
      <c r="AF572">
        <f>V572</f>
        <v>96</v>
      </c>
      <c r="AG572" s="7">
        <v>12</v>
      </c>
      <c r="AH572">
        <f t="shared" si="83"/>
        <v>96</v>
      </c>
      <c r="AI572">
        <f t="shared" si="80"/>
        <v>0</v>
      </c>
      <c r="AK572">
        <f t="shared" si="84"/>
        <v>8</v>
      </c>
      <c r="AL572">
        <v>11.27</v>
      </c>
      <c r="AM572" t="s">
        <v>27</v>
      </c>
      <c r="AN572">
        <v>11.27</v>
      </c>
      <c r="AO572" t="b">
        <f t="shared" si="85"/>
        <v>1</v>
      </c>
      <c r="AR572" t="s">
        <v>5061</v>
      </c>
      <c r="AS572" s="21">
        <v>46276</v>
      </c>
      <c r="AT572" t="s">
        <v>5062</v>
      </c>
      <c r="AU572" t="s">
        <v>5071</v>
      </c>
      <c r="AV572" t="s">
        <v>5062</v>
      </c>
      <c r="AW572" t="s">
        <v>5086</v>
      </c>
    </row>
    <row r="573" spans="1:49" x14ac:dyDescent="0.35">
      <c r="A573" t="s">
        <v>871</v>
      </c>
      <c r="B573" t="s">
        <v>872</v>
      </c>
      <c r="C573" t="s">
        <v>4818</v>
      </c>
      <c r="D573" t="s">
        <v>18</v>
      </c>
      <c r="E573" t="s">
        <v>2189</v>
      </c>
      <c r="F573" t="s">
        <v>2190</v>
      </c>
      <c r="G573" t="s">
        <v>21</v>
      </c>
      <c r="H573" t="s">
        <v>4826</v>
      </c>
      <c r="I573" t="s">
        <v>4935</v>
      </c>
      <c r="J573" s="4" t="s">
        <v>4936</v>
      </c>
      <c r="K573" s="4" t="s">
        <v>4937</v>
      </c>
      <c r="L573" s="4" t="s">
        <v>4941</v>
      </c>
      <c r="M573" s="4" t="s">
        <v>5035</v>
      </c>
      <c r="N573" t="s">
        <v>15</v>
      </c>
      <c r="O573" t="s">
        <v>2191</v>
      </c>
      <c r="P573" t="s">
        <v>23</v>
      </c>
      <c r="Q573" t="s">
        <v>24</v>
      </c>
      <c r="R573" t="s">
        <v>25</v>
      </c>
      <c r="S573" t="s">
        <v>26</v>
      </c>
      <c r="T573" s="6">
        <v>46307</v>
      </c>
      <c r="U573">
        <v>72</v>
      </c>
      <c r="V573">
        <v>72</v>
      </c>
      <c r="W573">
        <v>84</v>
      </c>
      <c r="X573">
        <v>84</v>
      </c>
      <c r="Y573">
        <f t="shared" si="81"/>
        <v>0</v>
      </c>
      <c r="Z573">
        <f t="shared" si="82"/>
        <v>-12</v>
      </c>
      <c r="AC573" s="1">
        <v>0</v>
      </c>
      <c r="AF573">
        <f>V573</f>
        <v>72</v>
      </c>
      <c r="AG573" s="7">
        <v>12</v>
      </c>
      <c r="AH573">
        <f t="shared" si="83"/>
        <v>72</v>
      </c>
      <c r="AI573">
        <f t="shared" si="80"/>
        <v>0</v>
      </c>
      <c r="AK573">
        <f t="shared" si="84"/>
        <v>6</v>
      </c>
      <c r="AL573">
        <v>11.16</v>
      </c>
      <c r="AM573" t="s">
        <v>27</v>
      </c>
      <c r="AN573">
        <v>11.16</v>
      </c>
      <c r="AO573" t="b">
        <f t="shared" si="85"/>
        <v>1</v>
      </c>
      <c r="AR573" t="s">
        <v>5061</v>
      </c>
      <c r="AS573" s="21">
        <v>46276</v>
      </c>
      <c r="AT573" t="s">
        <v>5062</v>
      </c>
      <c r="AU573" t="s">
        <v>5071</v>
      </c>
      <c r="AV573" t="s">
        <v>5062</v>
      </c>
      <c r="AW573" t="s">
        <v>5086</v>
      </c>
    </row>
    <row r="574" spans="1:49" x14ac:dyDescent="0.35">
      <c r="A574" t="s">
        <v>871</v>
      </c>
      <c r="B574" t="s">
        <v>872</v>
      </c>
      <c r="C574" t="s">
        <v>4818</v>
      </c>
      <c r="D574" t="s">
        <v>18</v>
      </c>
      <c r="E574" t="s">
        <v>2192</v>
      </c>
      <c r="F574" t="s">
        <v>2193</v>
      </c>
      <c r="G574" t="s">
        <v>21</v>
      </c>
      <c r="H574" t="s">
        <v>4826</v>
      </c>
      <c r="I574" t="s">
        <v>4935</v>
      </c>
      <c r="J574" s="4" t="s">
        <v>4936</v>
      </c>
      <c r="K574" s="4" t="s">
        <v>4832</v>
      </c>
      <c r="L574" s="4" t="s">
        <v>4960</v>
      </c>
      <c r="M574" s="4" t="s">
        <v>5035</v>
      </c>
      <c r="N574" t="s">
        <v>15</v>
      </c>
      <c r="O574" t="s">
        <v>2194</v>
      </c>
      <c r="P574" t="s">
        <v>23</v>
      </c>
      <c r="Q574" t="s">
        <v>24</v>
      </c>
      <c r="R574" t="s">
        <v>25</v>
      </c>
      <c r="S574" t="s">
        <v>26</v>
      </c>
      <c r="T574" s="6">
        <v>46307</v>
      </c>
      <c r="U574">
        <v>204</v>
      </c>
      <c r="V574">
        <v>204</v>
      </c>
      <c r="W574">
        <v>192</v>
      </c>
      <c r="X574">
        <v>192</v>
      </c>
      <c r="Y574">
        <f t="shared" si="81"/>
        <v>0</v>
      </c>
      <c r="Z574">
        <f t="shared" si="82"/>
        <v>12</v>
      </c>
      <c r="AA574">
        <f>Z574</f>
        <v>12</v>
      </c>
      <c r="AC574" s="1">
        <v>0</v>
      </c>
      <c r="AF574">
        <f>X574</f>
        <v>192</v>
      </c>
      <c r="AG574" s="7">
        <v>12</v>
      </c>
      <c r="AH574">
        <f t="shared" si="83"/>
        <v>192</v>
      </c>
      <c r="AI574">
        <f t="shared" si="80"/>
        <v>12</v>
      </c>
      <c r="AK574">
        <f t="shared" si="84"/>
        <v>16</v>
      </c>
      <c r="AL574">
        <v>11.16</v>
      </c>
      <c r="AM574" t="s">
        <v>27</v>
      </c>
      <c r="AN574">
        <v>11.16</v>
      </c>
      <c r="AO574" t="b">
        <f t="shared" si="85"/>
        <v>1</v>
      </c>
      <c r="AR574" t="s">
        <v>5061</v>
      </c>
      <c r="AS574" s="21">
        <v>46276</v>
      </c>
      <c r="AT574" t="s">
        <v>5062</v>
      </c>
      <c r="AU574" t="s">
        <v>5071</v>
      </c>
      <c r="AV574" t="s">
        <v>5062</v>
      </c>
      <c r="AW574" t="s">
        <v>5086</v>
      </c>
    </row>
    <row r="575" spans="1:49" x14ac:dyDescent="0.35">
      <c r="A575" t="s">
        <v>871</v>
      </c>
      <c r="B575" t="s">
        <v>872</v>
      </c>
      <c r="C575" t="s">
        <v>4818</v>
      </c>
      <c r="D575" t="s">
        <v>18</v>
      </c>
      <c r="E575" t="s">
        <v>2195</v>
      </c>
      <c r="F575" t="s">
        <v>2196</v>
      </c>
      <c r="G575" t="s">
        <v>21</v>
      </c>
      <c r="H575" t="s">
        <v>4826</v>
      </c>
      <c r="I575" t="s">
        <v>4935</v>
      </c>
      <c r="J575" s="4" t="s">
        <v>4936</v>
      </c>
      <c r="K575" s="4" t="s">
        <v>4957</v>
      </c>
      <c r="L575" s="4" t="s">
        <v>4949</v>
      </c>
      <c r="M575" s="4" t="s">
        <v>5035</v>
      </c>
      <c r="N575" t="s">
        <v>15</v>
      </c>
      <c r="O575" t="s">
        <v>2197</v>
      </c>
      <c r="P575" t="s">
        <v>23</v>
      </c>
      <c r="Q575" t="s">
        <v>24</v>
      </c>
      <c r="R575" t="s">
        <v>25</v>
      </c>
      <c r="S575" t="s">
        <v>26</v>
      </c>
      <c r="T575" s="6">
        <v>46307</v>
      </c>
      <c r="U575">
        <v>24</v>
      </c>
      <c r="V575">
        <v>24</v>
      </c>
      <c r="W575">
        <v>24</v>
      </c>
      <c r="X575">
        <v>24</v>
      </c>
      <c r="Y575">
        <f t="shared" si="81"/>
        <v>0</v>
      </c>
      <c r="Z575">
        <f t="shared" si="82"/>
        <v>0</v>
      </c>
      <c r="AC575" s="1">
        <v>0</v>
      </c>
      <c r="AF575">
        <f>V575</f>
        <v>24</v>
      </c>
      <c r="AG575" s="7">
        <v>12</v>
      </c>
      <c r="AH575">
        <f t="shared" si="83"/>
        <v>24</v>
      </c>
      <c r="AI575">
        <f t="shared" si="80"/>
        <v>0</v>
      </c>
      <c r="AK575">
        <f t="shared" si="84"/>
        <v>2</v>
      </c>
      <c r="AL575">
        <v>11.27</v>
      </c>
      <c r="AM575" t="s">
        <v>27</v>
      </c>
      <c r="AN575">
        <v>11.27</v>
      </c>
      <c r="AO575" t="b">
        <f t="shared" si="85"/>
        <v>1</v>
      </c>
      <c r="AR575" t="s">
        <v>5061</v>
      </c>
      <c r="AS575" s="21">
        <v>46276</v>
      </c>
      <c r="AT575" t="s">
        <v>5062</v>
      </c>
      <c r="AU575" t="s">
        <v>5071</v>
      </c>
      <c r="AV575" t="s">
        <v>5062</v>
      </c>
      <c r="AW575" t="s">
        <v>5086</v>
      </c>
    </row>
    <row r="576" spans="1:49" x14ac:dyDescent="0.35">
      <c r="A576" t="s">
        <v>871</v>
      </c>
      <c r="B576" t="s">
        <v>872</v>
      </c>
      <c r="C576" t="s">
        <v>4818</v>
      </c>
      <c r="D576" t="s">
        <v>18</v>
      </c>
      <c r="E576" t="s">
        <v>2198</v>
      </c>
      <c r="F576" t="s">
        <v>2199</v>
      </c>
      <c r="G576" t="s">
        <v>21</v>
      </c>
      <c r="H576" t="s">
        <v>4826</v>
      </c>
      <c r="I576" t="s">
        <v>4935</v>
      </c>
      <c r="J576" s="4" t="s">
        <v>4936</v>
      </c>
      <c r="K576" s="4" t="s">
        <v>4945</v>
      </c>
      <c r="L576" s="4" t="s">
        <v>4966</v>
      </c>
      <c r="M576" s="4" t="s">
        <v>5035</v>
      </c>
      <c r="N576" t="s">
        <v>15</v>
      </c>
      <c r="O576" t="s">
        <v>2200</v>
      </c>
      <c r="P576" t="s">
        <v>23</v>
      </c>
      <c r="Q576" t="s">
        <v>24</v>
      </c>
      <c r="R576" t="s">
        <v>25</v>
      </c>
      <c r="S576" t="s">
        <v>26</v>
      </c>
      <c r="T576" s="6">
        <v>46307</v>
      </c>
      <c r="U576">
        <v>48</v>
      </c>
      <c r="V576">
        <v>48</v>
      </c>
      <c r="W576">
        <v>48</v>
      </c>
      <c r="X576">
        <v>48</v>
      </c>
      <c r="Y576">
        <f t="shared" si="81"/>
        <v>0</v>
      </c>
      <c r="Z576">
        <f t="shared" si="82"/>
        <v>0</v>
      </c>
      <c r="AC576" s="1">
        <v>0</v>
      </c>
      <c r="AF576">
        <f>V576</f>
        <v>48</v>
      </c>
      <c r="AG576" s="7">
        <v>12</v>
      </c>
      <c r="AH576">
        <f t="shared" si="83"/>
        <v>48</v>
      </c>
      <c r="AI576">
        <f t="shared" si="80"/>
        <v>0</v>
      </c>
      <c r="AK576">
        <f t="shared" si="84"/>
        <v>4</v>
      </c>
      <c r="AL576">
        <v>11.16</v>
      </c>
      <c r="AM576" t="s">
        <v>27</v>
      </c>
      <c r="AN576">
        <v>11.16</v>
      </c>
      <c r="AO576" t="b">
        <f t="shared" si="85"/>
        <v>1</v>
      </c>
      <c r="AR576" t="s">
        <v>5061</v>
      </c>
      <c r="AS576" s="21">
        <v>46276</v>
      </c>
      <c r="AT576" t="s">
        <v>5062</v>
      </c>
      <c r="AU576" t="s">
        <v>5071</v>
      </c>
      <c r="AV576" t="s">
        <v>5062</v>
      </c>
      <c r="AW576" t="s">
        <v>5086</v>
      </c>
    </row>
    <row r="577" spans="1:49" x14ac:dyDescent="0.35">
      <c r="A577" t="s">
        <v>871</v>
      </c>
      <c r="B577" t="s">
        <v>872</v>
      </c>
      <c r="C577" t="s">
        <v>4818</v>
      </c>
      <c r="D577" t="s">
        <v>18</v>
      </c>
      <c r="E577" t="s">
        <v>2201</v>
      </c>
      <c r="F577" t="s">
        <v>2202</v>
      </c>
      <c r="G577" t="s">
        <v>21</v>
      </c>
      <c r="H577" t="s">
        <v>4826</v>
      </c>
      <c r="I577" t="s">
        <v>4935</v>
      </c>
      <c r="J577" s="4" t="s">
        <v>4936</v>
      </c>
      <c r="K577" s="4" t="s">
        <v>4945</v>
      </c>
      <c r="L577" s="4" t="s">
        <v>4944</v>
      </c>
      <c r="M577" s="4" t="s">
        <v>5035</v>
      </c>
      <c r="N577" t="s">
        <v>15</v>
      </c>
      <c r="O577" t="s">
        <v>2203</v>
      </c>
      <c r="P577" t="s">
        <v>23</v>
      </c>
      <c r="Q577" t="s">
        <v>24</v>
      </c>
      <c r="R577" t="s">
        <v>25</v>
      </c>
      <c r="S577" t="s">
        <v>26</v>
      </c>
      <c r="T577" s="6">
        <v>46307</v>
      </c>
      <c r="U577">
        <v>72</v>
      </c>
      <c r="V577">
        <v>72</v>
      </c>
      <c r="W577">
        <v>60</v>
      </c>
      <c r="X577">
        <v>60</v>
      </c>
      <c r="Y577">
        <f t="shared" si="81"/>
        <v>0</v>
      </c>
      <c r="Z577">
        <f t="shared" si="82"/>
        <v>12</v>
      </c>
      <c r="AA577">
        <f>Z577</f>
        <v>12</v>
      </c>
      <c r="AC577" s="1">
        <v>0</v>
      </c>
      <c r="AF577">
        <f>X577</f>
        <v>60</v>
      </c>
      <c r="AG577" s="7">
        <v>12</v>
      </c>
      <c r="AH577">
        <f t="shared" si="83"/>
        <v>60</v>
      </c>
      <c r="AI577">
        <f t="shared" si="80"/>
        <v>12</v>
      </c>
      <c r="AK577">
        <f t="shared" si="84"/>
        <v>5</v>
      </c>
      <c r="AL577">
        <v>11.16</v>
      </c>
      <c r="AM577" t="s">
        <v>27</v>
      </c>
      <c r="AN577">
        <v>11.16</v>
      </c>
      <c r="AO577" t="b">
        <f t="shared" si="85"/>
        <v>1</v>
      </c>
      <c r="AR577" t="s">
        <v>5061</v>
      </c>
      <c r="AS577" s="21">
        <v>46276</v>
      </c>
      <c r="AT577" t="s">
        <v>5062</v>
      </c>
      <c r="AU577" t="s">
        <v>5071</v>
      </c>
      <c r="AV577" t="s">
        <v>5062</v>
      </c>
      <c r="AW577" t="s">
        <v>5086</v>
      </c>
    </row>
    <row r="578" spans="1:49" x14ac:dyDescent="0.35">
      <c r="A578" t="s">
        <v>871</v>
      </c>
      <c r="B578" t="s">
        <v>872</v>
      </c>
      <c r="C578" t="s">
        <v>4818</v>
      </c>
      <c r="D578" t="s">
        <v>18</v>
      </c>
      <c r="E578" t="s">
        <v>2204</v>
      </c>
      <c r="F578" t="s">
        <v>2205</v>
      </c>
      <c r="G578" t="s">
        <v>21</v>
      </c>
      <c r="H578" t="s">
        <v>4826</v>
      </c>
      <c r="I578" t="s">
        <v>4935</v>
      </c>
      <c r="J578" s="4" t="s">
        <v>4936</v>
      </c>
      <c r="K578" s="4" t="s">
        <v>4945</v>
      </c>
      <c r="L578" s="4" t="s">
        <v>4961</v>
      </c>
      <c r="M578" s="4" t="s">
        <v>5035</v>
      </c>
      <c r="N578" t="s">
        <v>15</v>
      </c>
      <c r="O578" t="s">
        <v>2206</v>
      </c>
      <c r="P578" t="s">
        <v>23</v>
      </c>
      <c r="Q578" t="s">
        <v>24</v>
      </c>
      <c r="R578" t="s">
        <v>25</v>
      </c>
      <c r="S578" t="s">
        <v>26</v>
      </c>
      <c r="T578" s="6">
        <v>46307</v>
      </c>
      <c r="U578">
        <v>48</v>
      </c>
      <c r="V578">
        <v>48</v>
      </c>
      <c r="W578">
        <v>48</v>
      </c>
      <c r="X578">
        <v>48</v>
      </c>
      <c r="Y578">
        <f t="shared" si="81"/>
        <v>0</v>
      </c>
      <c r="Z578">
        <f t="shared" si="82"/>
        <v>0</v>
      </c>
      <c r="AC578" s="1">
        <v>0</v>
      </c>
      <c r="AF578">
        <f>V578</f>
        <v>48</v>
      </c>
      <c r="AG578" s="7">
        <v>12</v>
      </c>
      <c r="AH578">
        <f t="shared" si="83"/>
        <v>48</v>
      </c>
      <c r="AI578">
        <f t="shared" si="80"/>
        <v>0</v>
      </c>
      <c r="AK578">
        <f t="shared" si="84"/>
        <v>4</v>
      </c>
      <c r="AL578">
        <v>11.16</v>
      </c>
      <c r="AM578" t="s">
        <v>27</v>
      </c>
      <c r="AN578">
        <v>11.16</v>
      </c>
      <c r="AO578" t="b">
        <f t="shared" si="85"/>
        <v>1</v>
      </c>
      <c r="AR578" t="s">
        <v>5061</v>
      </c>
      <c r="AS578" s="21">
        <v>46276</v>
      </c>
      <c r="AT578" t="s">
        <v>5062</v>
      </c>
      <c r="AU578" t="s">
        <v>5071</v>
      </c>
      <c r="AV578" t="s">
        <v>5062</v>
      </c>
      <c r="AW578" t="s">
        <v>5086</v>
      </c>
    </row>
    <row r="579" spans="1:49" x14ac:dyDescent="0.35">
      <c r="A579" t="s">
        <v>871</v>
      </c>
      <c r="B579" t="s">
        <v>872</v>
      </c>
      <c r="C579" t="s">
        <v>4818</v>
      </c>
      <c r="D579" t="s">
        <v>18</v>
      </c>
      <c r="E579" t="s">
        <v>2207</v>
      </c>
      <c r="F579" t="s">
        <v>2208</v>
      </c>
      <c r="G579" t="s">
        <v>21</v>
      </c>
      <c r="H579" t="s">
        <v>4826</v>
      </c>
      <c r="I579" t="s">
        <v>4935</v>
      </c>
      <c r="J579" s="4" t="s">
        <v>4936</v>
      </c>
      <c r="K579" s="4" t="s">
        <v>4837</v>
      </c>
      <c r="L579" s="4" t="s">
        <v>4963</v>
      </c>
      <c r="M579" s="4" t="s">
        <v>5035</v>
      </c>
      <c r="N579" t="s">
        <v>15</v>
      </c>
      <c r="O579" t="s">
        <v>2209</v>
      </c>
      <c r="P579" t="s">
        <v>23</v>
      </c>
      <c r="Q579" t="s">
        <v>24</v>
      </c>
      <c r="R579" t="s">
        <v>25</v>
      </c>
      <c r="S579" t="s">
        <v>26</v>
      </c>
      <c r="T579" s="6">
        <v>46307</v>
      </c>
      <c r="U579">
        <v>84</v>
      </c>
      <c r="V579">
        <v>84</v>
      </c>
      <c r="W579">
        <v>96</v>
      </c>
      <c r="X579">
        <v>96</v>
      </c>
      <c r="Y579">
        <f t="shared" si="81"/>
        <v>0</v>
      </c>
      <c r="Z579">
        <f t="shared" si="82"/>
        <v>-12</v>
      </c>
      <c r="AC579" s="1">
        <v>0</v>
      </c>
      <c r="AF579">
        <f>V579</f>
        <v>84</v>
      </c>
      <c r="AG579" s="7">
        <v>12</v>
      </c>
      <c r="AH579">
        <f t="shared" si="83"/>
        <v>84</v>
      </c>
      <c r="AI579">
        <f t="shared" ref="AI579:AI642" si="91">V579-AH579</f>
        <v>0</v>
      </c>
      <c r="AK579">
        <f t="shared" si="84"/>
        <v>7</v>
      </c>
      <c r="AL579">
        <v>11.16</v>
      </c>
      <c r="AM579" t="s">
        <v>27</v>
      </c>
      <c r="AN579">
        <v>11.16</v>
      </c>
      <c r="AO579" t="b">
        <f t="shared" si="85"/>
        <v>1</v>
      </c>
      <c r="AR579" t="s">
        <v>5061</v>
      </c>
      <c r="AS579" s="21">
        <v>46276</v>
      </c>
      <c r="AT579" t="s">
        <v>5062</v>
      </c>
      <c r="AU579" t="s">
        <v>5071</v>
      </c>
      <c r="AV579" t="s">
        <v>5062</v>
      </c>
      <c r="AW579" t="s">
        <v>5086</v>
      </c>
    </row>
    <row r="580" spans="1:49" x14ac:dyDescent="0.35">
      <c r="A580" t="s">
        <v>871</v>
      </c>
      <c r="B580" t="s">
        <v>872</v>
      </c>
      <c r="C580" t="s">
        <v>4818</v>
      </c>
      <c r="D580" t="s">
        <v>18</v>
      </c>
      <c r="E580" t="s">
        <v>2210</v>
      </c>
      <c r="F580" t="s">
        <v>2211</v>
      </c>
      <c r="G580" t="s">
        <v>21</v>
      </c>
      <c r="H580" t="s">
        <v>4826</v>
      </c>
      <c r="I580" t="s">
        <v>4935</v>
      </c>
      <c r="J580" s="4" t="s">
        <v>4936</v>
      </c>
      <c r="K580" s="4" t="s">
        <v>4837</v>
      </c>
      <c r="L580" s="4" t="s">
        <v>4975</v>
      </c>
      <c r="M580" s="4" t="s">
        <v>5035</v>
      </c>
      <c r="N580" t="s">
        <v>15</v>
      </c>
      <c r="O580" t="s">
        <v>2212</v>
      </c>
      <c r="P580" t="s">
        <v>23</v>
      </c>
      <c r="Q580" t="s">
        <v>24</v>
      </c>
      <c r="R580" t="s">
        <v>25</v>
      </c>
      <c r="S580" t="s">
        <v>26</v>
      </c>
      <c r="T580" s="6">
        <v>46307</v>
      </c>
      <c r="U580">
        <v>96</v>
      </c>
      <c r="V580">
        <v>96</v>
      </c>
      <c r="W580">
        <v>84</v>
      </c>
      <c r="X580">
        <v>84</v>
      </c>
      <c r="Y580">
        <f t="shared" ref="Y580:Y643" si="92">W580-X580</f>
        <v>0</v>
      </c>
      <c r="Z580">
        <f t="shared" ref="Z580:Z643" si="93">V580-X580</f>
        <v>12</v>
      </c>
      <c r="AA580">
        <f t="shared" ref="AA580:AA582" si="94">Z580</f>
        <v>12</v>
      </c>
      <c r="AC580" s="1">
        <v>0</v>
      </c>
      <c r="AF580">
        <f>X580</f>
        <v>84</v>
      </c>
      <c r="AG580" s="7">
        <v>12</v>
      </c>
      <c r="AH580">
        <f t="shared" ref="AH580:AH643" si="95">ROUNDUP(AF580/AG580,0)*AG580</f>
        <v>84</v>
      </c>
      <c r="AI580">
        <f t="shared" si="91"/>
        <v>12</v>
      </c>
      <c r="AK580">
        <f t="shared" ref="AK580:AK643" si="96">AH580/AG580</f>
        <v>7</v>
      </c>
      <c r="AL580">
        <v>11.16</v>
      </c>
      <c r="AM580" t="s">
        <v>27</v>
      </c>
      <c r="AN580">
        <v>11.16</v>
      </c>
      <c r="AO580" t="b">
        <f t="shared" ref="AO580:AO643" si="97">AL580=AN580</f>
        <v>1</v>
      </c>
      <c r="AR580" t="s">
        <v>5061</v>
      </c>
      <c r="AS580" s="21">
        <v>46276</v>
      </c>
      <c r="AT580" t="s">
        <v>5062</v>
      </c>
      <c r="AU580" t="s">
        <v>5071</v>
      </c>
      <c r="AV580" t="s">
        <v>5062</v>
      </c>
      <c r="AW580" t="s">
        <v>5086</v>
      </c>
    </row>
    <row r="581" spans="1:49" x14ac:dyDescent="0.35">
      <c r="A581" t="s">
        <v>871</v>
      </c>
      <c r="B581" t="s">
        <v>872</v>
      </c>
      <c r="C581" t="s">
        <v>4818</v>
      </c>
      <c r="D581" t="s">
        <v>18</v>
      </c>
      <c r="E581" t="s">
        <v>2213</v>
      </c>
      <c r="F581" t="s">
        <v>2214</v>
      </c>
      <c r="G581" t="s">
        <v>21</v>
      </c>
      <c r="H581" t="s">
        <v>4826</v>
      </c>
      <c r="I581" t="s">
        <v>4935</v>
      </c>
      <c r="J581" s="4" t="s">
        <v>4936</v>
      </c>
      <c r="K581" s="4" t="s">
        <v>4832</v>
      </c>
      <c r="L581" s="4" t="s">
        <v>4963</v>
      </c>
      <c r="M581" s="4" t="s">
        <v>5035</v>
      </c>
      <c r="N581" t="s">
        <v>15</v>
      </c>
      <c r="O581" t="s">
        <v>2215</v>
      </c>
      <c r="P581" t="s">
        <v>23</v>
      </c>
      <c r="Q581" t="s">
        <v>24</v>
      </c>
      <c r="R581" t="s">
        <v>25</v>
      </c>
      <c r="S581" t="s">
        <v>26</v>
      </c>
      <c r="T581" s="6">
        <v>46307</v>
      </c>
      <c r="U581">
        <v>72</v>
      </c>
      <c r="V581">
        <v>72</v>
      </c>
      <c r="W581">
        <v>60</v>
      </c>
      <c r="X581">
        <v>60</v>
      </c>
      <c r="Y581">
        <f t="shared" si="92"/>
        <v>0</v>
      </c>
      <c r="Z581">
        <f t="shared" si="93"/>
        <v>12</v>
      </c>
      <c r="AA581">
        <f t="shared" si="94"/>
        <v>12</v>
      </c>
      <c r="AC581" s="1">
        <v>0</v>
      </c>
      <c r="AF581">
        <f>X581</f>
        <v>60</v>
      </c>
      <c r="AG581" s="7">
        <v>12</v>
      </c>
      <c r="AH581">
        <f t="shared" si="95"/>
        <v>60</v>
      </c>
      <c r="AI581">
        <f t="shared" si="91"/>
        <v>12</v>
      </c>
      <c r="AK581">
        <f t="shared" si="96"/>
        <v>5</v>
      </c>
      <c r="AL581">
        <v>11.16</v>
      </c>
      <c r="AM581" t="s">
        <v>27</v>
      </c>
      <c r="AN581">
        <v>11.16</v>
      </c>
      <c r="AO581" t="b">
        <f t="shared" si="97"/>
        <v>1</v>
      </c>
      <c r="AR581" t="s">
        <v>5061</v>
      </c>
      <c r="AS581" s="21">
        <v>46276</v>
      </c>
      <c r="AT581" t="s">
        <v>5062</v>
      </c>
      <c r="AU581" t="s">
        <v>5071</v>
      </c>
      <c r="AV581" t="s">
        <v>5062</v>
      </c>
      <c r="AW581" t="s">
        <v>5086</v>
      </c>
    </row>
    <row r="582" spans="1:49" x14ac:dyDescent="0.35">
      <c r="A582" t="s">
        <v>871</v>
      </c>
      <c r="B582" t="s">
        <v>872</v>
      </c>
      <c r="C582" t="s">
        <v>4818</v>
      </c>
      <c r="D582" t="s">
        <v>18</v>
      </c>
      <c r="E582" t="s">
        <v>2216</v>
      </c>
      <c r="F582" t="s">
        <v>2217</v>
      </c>
      <c r="G582" t="s">
        <v>21</v>
      </c>
      <c r="H582" t="s">
        <v>4826</v>
      </c>
      <c r="I582" t="s">
        <v>4935</v>
      </c>
      <c r="J582" s="4" t="s">
        <v>4936</v>
      </c>
      <c r="K582" s="4" t="s">
        <v>4837</v>
      </c>
      <c r="L582" s="4" t="s">
        <v>4946</v>
      </c>
      <c r="M582" s="4" t="s">
        <v>5035</v>
      </c>
      <c r="N582" t="s">
        <v>15</v>
      </c>
      <c r="O582" t="s">
        <v>2218</v>
      </c>
      <c r="P582" t="s">
        <v>23</v>
      </c>
      <c r="Q582" t="s">
        <v>24</v>
      </c>
      <c r="R582" t="s">
        <v>25</v>
      </c>
      <c r="S582" t="s">
        <v>26</v>
      </c>
      <c r="T582" s="6">
        <v>46307</v>
      </c>
      <c r="U582">
        <v>216</v>
      </c>
      <c r="V582">
        <v>216</v>
      </c>
      <c r="W582">
        <v>204</v>
      </c>
      <c r="X582">
        <v>204</v>
      </c>
      <c r="Y582">
        <f t="shared" si="92"/>
        <v>0</v>
      </c>
      <c r="Z582">
        <f t="shared" si="93"/>
        <v>12</v>
      </c>
      <c r="AA582">
        <f t="shared" si="94"/>
        <v>12</v>
      </c>
      <c r="AC582" s="1">
        <v>0</v>
      </c>
      <c r="AF582">
        <f>X582</f>
        <v>204</v>
      </c>
      <c r="AG582" s="7">
        <v>12</v>
      </c>
      <c r="AH582">
        <f t="shared" si="95"/>
        <v>204</v>
      </c>
      <c r="AI582">
        <f t="shared" si="91"/>
        <v>12</v>
      </c>
      <c r="AK582">
        <f t="shared" si="96"/>
        <v>17</v>
      </c>
      <c r="AL582">
        <v>11.16</v>
      </c>
      <c r="AM582" t="s">
        <v>27</v>
      </c>
      <c r="AN582">
        <v>11.16</v>
      </c>
      <c r="AO582" t="b">
        <f t="shared" si="97"/>
        <v>1</v>
      </c>
      <c r="AR582" t="s">
        <v>5061</v>
      </c>
      <c r="AS582" s="21">
        <v>46276</v>
      </c>
      <c r="AT582" t="s">
        <v>5062</v>
      </c>
      <c r="AU582" t="s">
        <v>5071</v>
      </c>
      <c r="AV582" t="s">
        <v>5062</v>
      </c>
      <c r="AW582" t="s">
        <v>5086</v>
      </c>
    </row>
    <row r="583" spans="1:49" x14ac:dyDescent="0.35">
      <c r="A583" t="s">
        <v>871</v>
      </c>
      <c r="B583" t="s">
        <v>872</v>
      </c>
      <c r="C583" t="s">
        <v>4818</v>
      </c>
      <c r="D583" t="s">
        <v>18</v>
      </c>
      <c r="E583" t="s">
        <v>2219</v>
      </c>
      <c r="F583" t="s">
        <v>2220</v>
      </c>
      <c r="G583" t="s">
        <v>21</v>
      </c>
      <c r="H583" t="s">
        <v>4826</v>
      </c>
      <c r="I583" t="s">
        <v>4935</v>
      </c>
      <c r="J583" s="4" t="s">
        <v>4936</v>
      </c>
      <c r="K583" s="4" t="s">
        <v>4837</v>
      </c>
      <c r="L583" s="4" t="s">
        <v>4951</v>
      </c>
      <c r="M583" s="4" t="s">
        <v>5035</v>
      </c>
      <c r="N583" t="s">
        <v>15</v>
      </c>
      <c r="O583" t="s">
        <v>2221</v>
      </c>
      <c r="P583" t="s">
        <v>23</v>
      </c>
      <c r="Q583" t="s">
        <v>24</v>
      </c>
      <c r="R583" t="s">
        <v>25</v>
      </c>
      <c r="S583" t="s">
        <v>26</v>
      </c>
      <c r="T583" s="6">
        <v>46307</v>
      </c>
      <c r="U583">
        <v>228</v>
      </c>
      <c r="V583">
        <v>228</v>
      </c>
      <c r="W583">
        <v>240</v>
      </c>
      <c r="X583">
        <v>240</v>
      </c>
      <c r="Y583">
        <f t="shared" si="92"/>
        <v>0</v>
      </c>
      <c r="Z583">
        <f t="shared" si="93"/>
        <v>-12</v>
      </c>
      <c r="AC583" s="1">
        <v>0</v>
      </c>
      <c r="AF583">
        <f t="shared" ref="AF583:AF588" si="98">V583</f>
        <v>228</v>
      </c>
      <c r="AG583" s="7">
        <v>12</v>
      </c>
      <c r="AH583">
        <f t="shared" si="95"/>
        <v>228</v>
      </c>
      <c r="AI583">
        <f t="shared" si="91"/>
        <v>0</v>
      </c>
      <c r="AK583">
        <f t="shared" si="96"/>
        <v>19</v>
      </c>
      <c r="AL583">
        <v>11.16</v>
      </c>
      <c r="AM583" t="s">
        <v>27</v>
      </c>
      <c r="AN583">
        <v>11.16</v>
      </c>
      <c r="AO583" t="b">
        <f t="shared" si="97"/>
        <v>1</v>
      </c>
      <c r="AR583" t="s">
        <v>5061</v>
      </c>
      <c r="AS583" s="21">
        <v>46276</v>
      </c>
      <c r="AT583" t="s">
        <v>5062</v>
      </c>
      <c r="AU583" t="s">
        <v>5071</v>
      </c>
      <c r="AV583" t="s">
        <v>5062</v>
      </c>
      <c r="AW583" t="s">
        <v>5086</v>
      </c>
    </row>
    <row r="584" spans="1:49" x14ac:dyDescent="0.35">
      <c r="A584" t="s">
        <v>871</v>
      </c>
      <c r="B584" t="s">
        <v>872</v>
      </c>
      <c r="C584" t="s">
        <v>4818</v>
      </c>
      <c r="D584" t="s">
        <v>18</v>
      </c>
      <c r="E584" t="s">
        <v>2222</v>
      </c>
      <c r="F584" t="s">
        <v>2223</v>
      </c>
      <c r="G584" t="s">
        <v>21</v>
      </c>
      <c r="H584" t="s">
        <v>4826</v>
      </c>
      <c r="I584" t="s">
        <v>4935</v>
      </c>
      <c r="J584" s="4" t="s">
        <v>4936</v>
      </c>
      <c r="K584" s="4" t="s">
        <v>4937</v>
      </c>
      <c r="L584" s="4" t="s">
        <v>4970</v>
      </c>
      <c r="M584" s="4" t="s">
        <v>5035</v>
      </c>
      <c r="N584" t="s">
        <v>15</v>
      </c>
      <c r="O584" t="s">
        <v>2224</v>
      </c>
      <c r="P584" t="s">
        <v>23</v>
      </c>
      <c r="Q584" t="s">
        <v>24</v>
      </c>
      <c r="R584" t="s">
        <v>25</v>
      </c>
      <c r="S584" t="s">
        <v>26</v>
      </c>
      <c r="T584" s="6">
        <v>46307</v>
      </c>
      <c r="U584">
        <v>144</v>
      </c>
      <c r="V584">
        <v>144</v>
      </c>
      <c r="W584">
        <v>156</v>
      </c>
      <c r="X584">
        <v>156</v>
      </c>
      <c r="Y584">
        <f t="shared" si="92"/>
        <v>0</v>
      </c>
      <c r="Z584">
        <f t="shared" si="93"/>
        <v>-12</v>
      </c>
      <c r="AC584" s="1">
        <v>0</v>
      </c>
      <c r="AF584">
        <f t="shared" si="98"/>
        <v>144</v>
      </c>
      <c r="AG584" s="7">
        <v>12</v>
      </c>
      <c r="AH584">
        <f t="shared" si="95"/>
        <v>144</v>
      </c>
      <c r="AI584">
        <f t="shared" si="91"/>
        <v>0</v>
      </c>
      <c r="AK584">
        <f t="shared" si="96"/>
        <v>12</v>
      </c>
      <c r="AL584">
        <v>11.16</v>
      </c>
      <c r="AM584" t="s">
        <v>27</v>
      </c>
      <c r="AN584">
        <v>11.16</v>
      </c>
      <c r="AO584" t="b">
        <f t="shared" si="97"/>
        <v>1</v>
      </c>
      <c r="AR584" t="s">
        <v>5061</v>
      </c>
      <c r="AS584" s="21">
        <v>46276</v>
      </c>
      <c r="AT584" t="s">
        <v>5062</v>
      </c>
      <c r="AU584" t="s">
        <v>5071</v>
      </c>
      <c r="AV584" t="s">
        <v>5062</v>
      </c>
      <c r="AW584" t="s">
        <v>5086</v>
      </c>
    </row>
    <row r="585" spans="1:49" x14ac:dyDescent="0.35">
      <c r="A585" t="s">
        <v>871</v>
      </c>
      <c r="B585" t="s">
        <v>872</v>
      </c>
      <c r="C585" t="s">
        <v>4818</v>
      </c>
      <c r="D585" t="s">
        <v>18</v>
      </c>
      <c r="E585" t="s">
        <v>2225</v>
      </c>
      <c r="F585" t="s">
        <v>2226</v>
      </c>
      <c r="G585" t="s">
        <v>21</v>
      </c>
      <c r="H585" t="s">
        <v>4826</v>
      </c>
      <c r="I585" t="s">
        <v>4935</v>
      </c>
      <c r="J585" s="4" t="s">
        <v>4936</v>
      </c>
      <c r="K585" s="4" t="s">
        <v>4957</v>
      </c>
      <c r="L585" s="4" t="s">
        <v>4958</v>
      </c>
      <c r="M585" s="4" t="s">
        <v>5035</v>
      </c>
      <c r="N585" t="s">
        <v>15</v>
      </c>
      <c r="O585" t="s">
        <v>2227</v>
      </c>
      <c r="P585" t="s">
        <v>23</v>
      </c>
      <c r="Q585" t="s">
        <v>24</v>
      </c>
      <c r="R585" t="s">
        <v>25</v>
      </c>
      <c r="S585" t="s">
        <v>26</v>
      </c>
      <c r="T585" s="6">
        <v>46307</v>
      </c>
      <c r="U585">
        <v>12</v>
      </c>
      <c r="V585">
        <v>12</v>
      </c>
      <c r="W585">
        <v>12</v>
      </c>
      <c r="X585">
        <v>12</v>
      </c>
      <c r="Y585">
        <f t="shared" si="92"/>
        <v>0</v>
      </c>
      <c r="Z585">
        <f t="shared" si="93"/>
        <v>0</v>
      </c>
      <c r="AC585" s="1">
        <v>0</v>
      </c>
      <c r="AF585">
        <f t="shared" si="98"/>
        <v>12</v>
      </c>
      <c r="AG585" s="7">
        <v>12</v>
      </c>
      <c r="AH585">
        <f t="shared" si="95"/>
        <v>12</v>
      </c>
      <c r="AI585">
        <f t="shared" si="91"/>
        <v>0</v>
      </c>
      <c r="AK585">
        <f t="shared" si="96"/>
        <v>1</v>
      </c>
      <c r="AL585">
        <v>11.27</v>
      </c>
      <c r="AM585" t="s">
        <v>27</v>
      </c>
      <c r="AN585">
        <v>11.27</v>
      </c>
      <c r="AO585" t="b">
        <f t="shared" si="97"/>
        <v>1</v>
      </c>
      <c r="AR585" t="s">
        <v>5061</v>
      </c>
      <c r="AS585" s="21">
        <v>46276</v>
      </c>
      <c r="AT585" t="s">
        <v>5062</v>
      </c>
      <c r="AU585" t="s">
        <v>5071</v>
      </c>
      <c r="AV585" t="s">
        <v>5062</v>
      </c>
      <c r="AW585" t="s">
        <v>5086</v>
      </c>
    </row>
    <row r="586" spans="1:49" x14ac:dyDescent="0.35">
      <c r="A586" t="s">
        <v>871</v>
      </c>
      <c r="B586" t="s">
        <v>872</v>
      </c>
      <c r="C586" t="s">
        <v>4818</v>
      </c>
      <c r="D586" t="s">
        <v>18</v>
      </c>
      <c r="E586" t="s">
        <v>2228</v>
      </c>
      <c r="F586" t="s">
        <v>2229</v>
      </c>
      <c r="G586" t="s">
        <v>21</v>
      </c>
      <c r="H586" t="s">
        <v>4826</v>
      </c>
      <c r="I586" t="s">
        <v>4935</v>
      </c>
      <c r="J586" s="4" t="s">
        <v>4936</v>
      </c>
      <c r="K586" s="4" t="s">
        <v>4957</v>
      </c>
      <c r="L586" s="4" t="s">
        <v>4961</v>
      </c>
      <c r="M586" s="4" t="s">
        <v>5035</v>
      </c>
      <c r="N586" t="s">
        <v>15</v>
      </c>
      <c r="O586" t="s">
        <v>2230</v>
      </c>
      <c r="P586" t="s">
        <v>23</v>
      </c>
      <c r="Q586" t="s">
        <v>24</v>
      </c>
      <c r="R586" t="s">
        <v>25</v>
      </c>
      <c r="S586" t="s">
        <v>26</v>
      </c>
      <c r="T586" s="6">
        <v>46307</v>
      </c>
      <c r="U586">
        <v>60</v>
      </c>
      <c r="V586">
        <v>60</v>
      </c>
      <c r="W586">
        <v>60</v>
      </c>
      <c r="X586">
        <v>60</v>
      </c>
      <c r="Y586">
        <f t="shared" si="92"/>
        <v>0</v>
      </c>
      <c r="Z586">
        <f t="shared" si="93"/>
        <v>0</v>
      </c>
      <c r="AC586" s="1">
        <v>0</v>
      </c>
      <c r="AF586">
        <f t="shared" si="98"/>
        <v>60</v>
      </c>
      <c r="AG586" s="7">
        <v>12</v>
      </c>
      <c r="AH586">
        <f t="shared" si="95"/>
        <v>60</v>
      </c>
      <c r="AI586">
        <f t="shared" si="91"/>
        <v>0</v>
      </c>
      <c r="AK586">
        <f t="shared" si="96"/>
        <v>5</v>
      </c>
      <c r="AL586">
        <v>11.27</v>
      </c>
      <c r="AM586" t="s">
        <v>27</v>
      </c>
      <c r="AN586">
        <v>11.27</v>
      </c>
      <c r="AO586" t="b">
        <f t="shared" si="97"/>
        <v>1</v>
      </c>
      <c r="AR586" t="s">
        <v>5061</v>
      </c>
      <c r="AS586" s="21">
        <v>46276</v>
      </c>
      <c r="AT586" t="s">
        <v>5062</v>
      </c>
      <c r="AU586" t="s">
        <v>5071</v>
      </c>
      <c r="AV586" t="s">
        <v>5062</v>
      </c>
      <c r="AW586" t="s">
        <v>5086</v>
      </c>
    </row>
    <row r="587" spans="1:49" x14ac:dyDescent="0.35">
      <c r="A587" t="s">
        <v>871</v>
      </c>
      <c r="B587" t="s">
        <v>872</v>
      </c>
      <c r="C587" t="s">
        <v>4818</v>
      </c>
      <c r="D587" t="s">
        <v>18</v>
      </c>
      <c r="E587" t="s">
        <v>2231</v>
      </c>
      <c r="F587" t="s">
        <v>2232</v>
      </c>
      <c r="G587" t="s">
        <v>21</v>
      </c>
      <c r="H587" t="s">
        <v>4826</v>
      </c>
      <c r="I587" t="s">
        <v>4935</v>
      </c>
      <c r="J587" s="4" t="s">
        <v>4936</v>
      </c>
      <c r="K587" s="4" t="s">
        <v>4937</v>
      </c>
      <c r="L587" s="4" t="s">
        <v>4942</v>
      </c>
      <c r="M587" s="4" t="s">
        <v>5035</v>
      </c>
      <c r="N587" t="s">
        <v>15</v>
      </c>
      <c r="O587" t="s">
        <v>2233</v>
      </c>
      <c r="P587" t="s">
        <v>23</v>
      </c>
      <c r="Q587" t="s">
        <v>24</v>
      </c>
      <c r="R587" t="s">
        <v>25</v>
      </c>
      <c r="S587" t="s">
        <v>26</v>
      </c>
      <c r="T587" s="6">
        <v>46307</v>
      </c>
      <c r="U587">
        <v>12</v>
      </c>
      <c r="V587">
        <v>12</v>
      </c>
      <c r="W587">
        <v>12</v>
      </c>
      <c r="X587">
        <v>12</v>
      </c>
      <c r="Y587">
        <f t="shared" si="92"/>
        <v>0</v>
      </c>
      <c r="Z587">
        <f t="shared" si="93"/>
        <v>0</v>
      </c>
      <c r="AC587" s="1">
        <v>0</v>
      </c>
      <c r="AF587">
        <f t="shared" si="98"/>
        <v>12</v>
      </c>
      <c r="AG587" s="7">
        <v>12</v>
      </c>
      <c r="AH587">
        <f t="shared" si="95"/>
        <v>12</v>
      </c>
      <c r="AI587">
        <f t="shared" si="91"/>
        <v>0</v>
      </c>
      <c r="AK587">
        <f t="shared" si="96"/>
        <v>1</v>
      </c>
      <c r="AL587">
        <v>11.16</v>
      </c>
      <c r="AM587" t="s">
        <v>27</v>
      </c>
      <c r="AN587">
        <v>11.16</v>
      </c>
      <c r="AO587" t="b">
        <f t="shared" si="97"/>
        <v>1</v>
      </c>
      <c r="AR587" t="s">
        <v>5061</v>
      </c>
      <c r="AS587" s="21">
        <v>46276</v>
      </c>
      <c r="AT587" t="s">
        <v>5062</v>
      </c>
      <c r="AU587" t="s">
        <v>5071</v>
      </c>
      <c r="AV587" t="s">
        <v>5062</v>
      </c>
      <c r="AW587" t="s">
        <v>5086</v>
      </c>
    </row>
    <row r="588" spans="1:49" x14ac:dyDescent="0.35">
      <c r="A588" t="s">
        <v>871</v>
      </c>
      <c r="B588" t="s">
        <v>872</v>
      </c>
      <c r="C588" t="s">
        <v>4818</v>
      </c>
      <c r="D588" t="s">
        <v>18</v>
      </c>
      <c r="E588" t="s">
        <v>2234</v>
      </c>
      <c r="F588" t="s">
        <v>2235</v>
      </c>
      <c r="G588" t="s">
        <v>21</v>
      </c>
      <c r="H588" t="s">
        <v>4826</v>
      </c>
      <c r="I588" t="s">
        <v>4935</v>
      </c>
      <c r="J588" s="4" t="s">
        <v>4936</v>
      </c>
      <c r="K588" s="4" t="s">
        <v>4837</v>
      </c>
      <c r="L588" s="4" t="s">
        <v>4955</v>
      </c>
      <c r="M588" s="4" t="s">
        <v>5035</v>
      </c>
      <c r="N588" t="s">
        <v>15</v>
      </c>
      <c r="O588" t="s">
        <v>2236</v>
      </c>
      <c r="P588" t="s">
        <v>23</v>
      </c>
      <c r="Q588" t="s">
        <v>24</v>
      </c>
      <c r="R588" t="s">
        <v>25</v>
      </c>
      <c r="S588" t="s">
        <v>26</v>
      </c>
      <c r="T588" s="6">
        <v>46307</v>
      </c>
      <c r="U588">
        <v>48</v>
      </c>
      <c r="V588">
        <v>48</v>
      </c>
      <c r="W588">
        <v>48</v>
      </c>
      <c r="X588">
        <v>48</v>
      </c>
      <c r="Y588">
        <f t="shared" si="92"/>
        <v>0</v>
      </c>
      <c r="Z588">
        <f t="shared" si="93"/>
        <v>0</v>
      </c>
      <c r="AC588" s="1">
        <v>0</v>
      </c>
      <c r="AF588">
        <f t="shared" si="98"/>
        <v>48</v>
      </c>
      <c r="AG588" s="7">
        <v>12</v>
      </c>
      <c r="AH588">
        <f t="shared" si="95"/>
        <v>48</v>
      </c>
      <c r="AI588">
        <f t="shared" si="91"/>
        <v>0</v>
      </c>
      <c r="AK588">
        <f t="shared" si="96"/>
        <v>4</v>
      </c>
      <c r="AL588">
        <v>11.16</v>
      </c>
      <c r="AM588" t="s">
        <v>27</v>
      </c>
      <c r="AN588">
        <v>11.16</v>
      </c>
      <c r="AO588" t="b">
        <f t="shared" si="97"/>
        <v>1</v>
      </c>
      <c r="AR588" t="s">
        <v>5061</v>
      </c>
      <c r="AS588" s="21">
        <v>46276</v>
      </c>
      <c r="AT588" t="s">
        <v>5062</v>
      </c>
      <c r="AU588" t="s">
        <v>5071</v>
      </c>
      <c r="AV588" t="s">
        <v>5062</v>
      </c>
      <c r="AW588" t="s">
        <v>5086</v>
      </c>
    </row>
    <row r="589" spans="1:49" x14ac:dyDescent="0.35">
      <c r="A589" t="s">
        <v>871</v>
      </c>
      <c r="B589" t="s">
        <v>872</v>
      </c>
      <c r="C589" t="s">
        <v>4818</v>
      </c>
      <c r="D589" t="s">
        <v>18</v>
      </c>
      <c r="E589" t="s">
        <v>2237</v>
      </c>
      <c r="F589" t="s">
        <v>2238</v>
      </c>
      <c r="G589" t="s">
        <v>21</v>
      </c>
      <c r="H589" t="s">
        <v>4826</v>
      </c>
      <c r="I589" t="s">
        <v>4935</v>
      </c>
      <c r="J589" s="4" t="s">
        <v>4936</v>
      </c>
      <c r="K589" s="4" t="s">
        <v>4832</v>
      </c>
      <c r="L589" s="4" t="s">
        <v>4944</v>
      </c>
      <c r="M589" s="4" t="s">
        <v>5035</v>
      </c>
      <c r="N589" t="s">
        <v>15</v>
      </c>
      <c r="O589" t="s">
        <v>2239</v>
      </c>
      <c r="P589" t="s">
        <v>23</v>
      </c>
      <c r="Q589" t="s">
        <v>24</v>
      </c>
      <c r="R589" t="s">
        <v>25</v>
      </c>
      <c r="S589" t="s">
        <v>26</v>
      </c>
      <c r="T589" s="6">
        <v>46307</v>
      </c>
      <c r="U589">
        <v>132</v>
      </c>
      <c r="V589">
        <v>132</v>
      </c>
      <c r="W589">
        <v>120</v>
      </c>
      <c r="X589">
        <v>120</v>
      </c>
      <c r="Y589">
        <f t="shared" si="92"/>
        <v>0</v>
      </c>
      <c r="Z589">
        <f t="shared" si="93"/>
        <v>12</v>
      </c>
      <c r="AA589">
        <f>Z589</f>
        <v>12</v>
      </c>
      <c r="AC589" s="1">
        <v>0</v>
      </c>
      <c r="AF589">
        <f>X589</f>
        <v>120</v>
      </c>
      <c r="AG589" s="7">
        <v>12</v>
      </c>
      <c r="AH589">
        <f t="shared" si="95"/>
        <v>120</v>
      </c>
      <c r="AI589">
        <f t="shared" si="91"/>
        <v>12</v>
      </c>
      <c r="AK589">
        <f t="shared" si="96"/>
        <v>10</v>
      </c>
      <c r="AL589">
        <v>11.16</v>
      </c>
      <c r="AM589" t="s">
        <v>27</v>
      </c>
      <c r="AN589">
        <v>11.16</v>
      </c>
      <c r="AO589" t="b">
        <f t="shared" si="97"/>
        <v>1</v>
      </c>
      <c r="AR589" t="s">
        <v>5061</v>
      </c>
      <c r="AS589" s="21">
        <v>46276</v>
      </c>
      <c r="AT589" t="s">
        <v>5062</v>
      </c>
      <c r="AU589" t="s">
        <v>5071</v>
      </c>
      <c r="AV589" t="s">
        <v>5062</v>
      </c>
      <c r="AW589" t="s">
        <v>5086</v>
      </c>
    </row>
    <row r="590" spans="1:49" x14ac:dyDescent="0.35">
      <c r="A590" t="s">
        <v>871</v>
      </c>
      <c r="B590" t="s">
        <v>872</v>
      </c>
      <c r="C590" t="s">
        <v>4818</v>
      </c>
      <c r="D590" t="s">
        <v>18</v>
      </c>
      <c r="E590" t="s">
        <v>2240</v>
      </c>
      <c r="F590" t="s">
        <v>2241</v>
      </c>
      <c r="G590" t="s">
        <v>21</v>
      </c>
      <c r="H590" t="s">
        <v>4826</v>
      </c>
      <c r="I590" t="s">
        <v>4935</v>
      </c>
      <c r="J590" s="4" t="s">
        <v>4936</v>
      </c>
      <c r="K590" s="4" t="s">
        <v>4837</v>
      </c>
      <c r="L590" s="4" t="s">
        <v>4956</v>
      </c>
      <c r="M590" s="4" t="s">
        <v>5035</v>
      </c>
      <c r="N590" t="s">
        <v>15</v>
      </c>
      <c r="O590" t="s">
        <v>2242</v>
      </c>
      <c r="P590" t="s">
        <v>23</v>
      </c>
      <c r="Q590" t="s">
        <v>24</v>
      </c>
      <c r="R590" t="s">
        <v>25</v>
      </c>
      <c r="S590" t="s">
        <v>26</v>
      </c>
      <c r="T590" s="6">
        <v>46307</v>
      </c>
      <c r="U590">
        <v>24</v>
      </c>
      <c r="V590">
        <v>24</v>
      </c>
      <c r="W590">
        <v>24</v>
      </c>
      <c r="X590">
        <v>24</v>
      </c>
      <c r="Y590">
        <f t="shared" si="92"/>
        <v>0</v>
      </c>
      <c r="Z590">
        <f t="shared" si="93"/>
        <v>0</v>
      </c>
      <c r="AC590" s="1">
        <v>0</v>
      </c>
      <c r="AF590">
        <f>V590</f>
        <v>24</v>
      </c>
      <c r="AG590" s="7">
        <v>12</v>
      </c>
      <c r="AH590">
        <f t="shared" si="95"/>
        <v>24</v>
      </c>
      <c r="AI590">
        <f t="shared" si="91"/>
        <v>0</v>
      </c>
      <c r="AK590">
        <f t="shared" si="96"/>
        <v>2</v>
      </c>
      <c r="AL590">
        <v>11.16</v>
      </c>
      <c r="AM590" t="s">
        <v>27</v>
      </c>
      <c r="AN590">
        <v>11.16</v>
      </c>
      <c r="AO590" t="b">
        <f t="shared" si="97"/>
        <v>1</v>
      </c>
      <c r="AR590" t="s">
        <v>5061</v>
      </c>
      <c r="AS590" s="21">
        <v>46276</v>
      </c>
      <c r="AT590" t="s">
        <v>5062</v>
      </c>
      <c r="AU590" t="s">
        <v>5071</v>
      </c>
      <c r="AV590" t="s">
        <v>5062</v>
      </c>
      <c r="AW590" t="s">
        <v>5086</v>
      </c>
    </row>
    <row r="591" spans="1:49" x14ac:dyDescent="0.35">
      <c r="A591" t="s">
        <v>871</v>
      </c>
      <c r="B591" t="s">
        <v>872</v>
      </c>
      <c r="C591" t="s">
        <v>4818</v>
      </c>
      <c r="D591" t="s">
        <v>18</v>
      </c>
      <c r="E591" t="s">
        <v>2243</v>
      </c>
      <c r="F591" t="s">
        <v>2244</v>
      </c>
      <c r="G591" t="s">
        <v>21</v>
      </c>
      <c r="H591" t="s">
        <v>4826</v>
      </c>
      <c r="I591" t="s">
        <v>4935</v>
      </c>
      <c r="J591" s="4" t="s">
        <v>4936</v>
      </c>
      <c r="K591" s="4" t="s">
        <v>4837</v>
      </c>
      <c r="L591" s="4" t="s">
        <v>4966</v>
      </c>
      <c r="M591" s="4" t="s">
        <v>5035</v>
      </c>
      <c r="N591" t="s">
        <v>15</v>
      </c>
      <c r="O591" t="s">
        <v>2245</v>
      </c>
      <c r="P591" t="s">
        <v>23</v>
      </c>
      <c r="Q591" t="s">
        <v>24</v>
      </c>
      <c r="R591" t="s">
        <v>25</v>
      </c>
      <c r="S591" t="s">
        <v>26</v>
      </c>
      <c r="T591" s="6">
        <v>46307</v>
      </c>
      <c r="U591">
        <v>96</v>
      </c>
      <c r="V591">
        <v>96</v>
      </c>
      <c r="W591">
        <v>84</v>
      </c>
      <c r="X591">
        <v>84</v>
      </c>
      <c r="Y591">
        <f t="shared" si="92"/>
        <v>0</v>
      </c>
      <c r="Z591">
        <f t="shared" si="93"/>
        <v>12</v>
      </c>
      <c r="AA591">
        <f>Z591</f>
        <v>12</v>
      </c>
      <c r="AC591" s="1">
        <v>0</v>
      </c>
      <c r="AF591">
        <f>X591</f>
        <v>84</v>
      </c>
      <c r="AG591" s="7">
        <v>12</v>
      </c>
      <c r="AH591">
        <f t="shared" si="95"/>
        <v>84</v>
      </c>
      <c r="AI591">
        <f t="shared" si="91"/>
        <v>12</v>
      </c>
      <c r="AK591">
        <f t="shared" si="96"/>
        <v>7</v>
      </c>
      <c r="AL591">
        <v>11.16</v>
      </c>
      <c r="AM591" t="s">
        <v>27</v>
      </c>
      <c r="AN591">
        <v>11.16</v>
      </c>
      <c r="AO591" t="b">
        <f t="shared" si="97"/>
        <v>1</v>
      </c>
      <c r="AR591" t="s">
        <v>5061</v>
      </c>
      <c r="AS591" s="21">
        <v>46276</v>
      </c>
      <c r="AT591" t="s">
        <v>5062</v>
      </c>
      <c r="AU591" t="s">
        <v>5071</v>
      </c>
      <c r="AV591" t="s">
        <v>5062</v>
      </c>
      <c r="AW591" t="s">
        <v>5086</v>
      </c>
    </row>
    <row r="592" spans="1:49" x14ac:dyDescent="0.35">
      <c r="A592" t="s">
        <v>871</v>
      </c>
      <c r="B592" t="s">
        <v>872</v>
      </c>
      <c r="C592" t="s">
        <v>4818</v>
      </c>
      <c r="D592" t="s">
        <v>18</v>
      </c>
      <c r="E592" t="s">
        <v>2246</v>
      </c>
      <c r="F592" t="s">
        <v>2247</v>
      </c>
      <c r="G592" t="s">
        <v>21</v>
      </c>
      <c r="H592" t="s">
        <v>4826</v>
      </c>
      <c r="I592" t="s">
        <v>4935</v>
      </c>
      <c r="J592" s="4" t="s">
        <v>4936</v>
      </c>
      <c r="K592" s="4" t="s">
        <v>4837</v>
      </c>
      <c r="L592" s="4" t="s">
        <v>4971</v>
      </c>
      <c r="M592" s="4" t="s">
        <v>5035</v>
      </c>
      <c r="N592" t="s">
        <v>15</v>
      </c>
      <c r="O592" t="s">
        <v>2248</v>
      </c>
      <c r="P592" t="s">
        <v>23</v>
      </c>
      <c r="Q592" t="s">
        <v>24</v>
      </c>
      <c r="R592" t="s">
        <v>25</v>
      </c>
      <c r="S592" t="s">
        <v>26</v>
      </c>
      <c r="T592" s="6">
        <v>46307</v>
      </c>
      <c r="U592">
        <v>60</v>
      </c>
      <c r="V592">
        <v>60</v>
      </c>
      <c r="W592">
        <v>60</v>
      </c>
      <c r="X592">
        <v>60</v>
      </c>
      <c r="Y592">
        <f t="shared" si="92"/>
        <v>0</v>
      </c>
      <c r="Z592">
        <f t="shared" si="93"/>
        <v>0</v>
      </c>
      <c r="AC592" s="1">
        <v>0</v>
      </c>
      <c r="AF592">
        <f>V592</f>
        <v>60</v>
      </c>
      <c r="AG592" s="7">
        <v>12</v>
      </c>
      <c r="AH592">
        <f t="shared" si="95"/>
        <v>60</v>
      </c>
      <c r="AI592">
        <f t="shared" si="91"/>
        <v>0</v>
      </c>
      <c r="AK592">
        <f t="shared" si="96"/>
        <v>5</v>
      </c>
      <c r="AL592">
        <v>11.16</v>
      </c>
      <c r="AM592" t="s">
        <v>27</v>
      </c>
      <c r="AN592">
        <v>11.16</v>
      </c>
      <c r="AO592" t="b">
        <f t="shared" si="97"/>
        <v>1</v>
      </c>
      <c r="AR592" t="s">
        <v>5061</v>
      </c>
      <c r="AS592" s="21">
        <v>46276</v>
      </c>
      <c r="AT592" t="s">
        <v>5062</v>
      </c>
      <c r="AU592" t="s">
        <v>5071</v>
      </c>
      <c r="AV592" t="s">
        <v>5062</v>
      </c>
      <c r="AW592" t="s">
        <v>5086</v>
      </c>
    </row>
    <row r="593" spans="1:49" x14ac:dyDescent="0.35">
      <c r="A593" t="s">
        <v>871</v>
      </c>
      <c r="B593" t="s">
        <v>872</v>
      </c>
      <c r="C593" t="s">
        <v>4818</v>
      </c>
      <c r="D593" t="s">
        <v>18</v>
      </c>
      <c r="E593" t="s">
        <v>2249</v>
      </c>
      <c r="F593" t="s">
        <v>2250</v>
      </c>
      <c r="G593" t="s">
        <v>21</v>
      </c>
      <c r="H593" t="s">
        <v>4826</v>
      </c>
      <c r="I593" t="s">
        <v>4935</v>
      </c>
      <c r="J593" s="4" t="s">
        <v>4936</v>
      </c>
      <c r="K593" s="4" t="s">
        <v>4957</v>
      </c>
      <c r="L593" s="4" t="s">
        <v>4963</v>
      </c>
      <c r="M593" s="4" t="s">
        <v>5035</v>
      </c>
      <c r="N593" t="s">
        <v>15</v>
      </c>
      <c r="O593" t="s">
        <v>2251</v>
      </c>
      <c r="P593" t="s">
        <v>23</v>
      </c>
      <c r="Q593" t="s">
        <v>24</v>
      </c>
      <c r="R593" t="s">
        <v>25</v>
      </c>
      <c r="S593" t="s">
        <v>26</v>
      </c>
      <c r="T593" s="6">
        <v>46307</v>
      </c>
      <c r="U593">
        <v>36</v>
      </c>
      <c r="V593">
        <v>36</v>
      </c>
      <c r="W593">
        <v>36</v>
      </c>
      <c r="X593">
        <v>36</v>
      </c>
      <c r="Y593">
        <f t="shared" si="92"/>
        <v>0</v>
      </c>
      <c r="Z593">
        <f t="shared" si="93"/>
        <v>0</v>
      </c>
      <c r="AC593" s="1">
        <v>0</v>
      </c>
      <c r="AF593">
        <f>V593</f>
        <v>36</v>
      </c>
      <c r="AG593" s="7">
        <v>12</v>
      </c>
      <c r="AH593">
        <f t="shared" si="95"/>
        <v>36</v>
      </c>
      <c r="AI593">
        <f t="shared" si="91"/>
        <v>0</v>
      </c>
      <c r="AK593">
        <f t="shared" si="96"/>
        <v>3</v>
      </c>
      <c r="AL593">
        <v>11.27</v>
      </c>
      <c r="AM593" t="s">
        <v>27</v>
      </c>
      <c r="AN593">
        <v>11.27</v>
      </c>
      <c r="AO593" t="b">
        <f t="shared" si="97"/>
        <v>1</v>
      </c>
      <c r="AR593" t="s">
        <v>5061</v>
      </c>
      <c r="AS593" s="21">
        <v>46276</v>
      </c>
      <c r="AT593" t="s">
        <v>5062</v>
      </c>
      <c r="AU593" t="s">
        <v>5071</v>
      </c>
      <c r="AV593" t="s">
        <v>5062</v>
      </c>
      <c r="AW593" t="s">
        <v>5086</v>
      </c>
    </row>
    <row r="594" spans="1:49" x14ac:dyDescent="0.35">
      <c r="A594" t="s">
        <v>871</v>
      </c>
      <c r="B594" t="s">
        <v>872</v>
      </c>
      <c r="C594" t="s">
        <v>4818</v>
      </c>
      <c r="D594" t="s">
        <v>18</v>
      </c>
      <c r="E594" t="s">
        <v>2252</v>
      </c>
      <c r="F594" t="s">
        <v>2253</v>
      </c>
      <c r="G594" t="s">
        <v>21</v>
      </c>
      <c r="H594" t="s">
        <v>4826</v>
      </c>
      <c r="I594" t="s">
        <v>4935</v>
      </c>
      <c r="J594" s="4" t="s">
        <v>4936</v>
      </c>
      <c r="K594" s="4" t="s">
        <v>4945</v>
      </c>
      <c r="L594" s="4" t="s">
        <v>4959</v>
      </c>
      <c r="M594" s="4" t="s">
        <v>5035</v>
      </c>
      <c r="N594" t="s">
        <v>15</v>
      </c>
      <c r="O594" t="s">
        <v>2254</v>
      </c>
      <c r="P594" t="s">
        <v>23</v>
      </c>
      <c r="Q594" t="s">
        <v>24</v>
      </c>
      <c r="R594" t="s">
        <v>25</v>
      </c>
      <c r="S594" t="s">
        <v>26</v>
      </c>
      <c r="T594" s="6">
        <v>46307</v>
      </c>
      <c r="U594">
        <v>24</v>
      </c>
      <c r="V594">
        <v>24</v>
      </c>
      <c r="W594">
        <v>24</v>
      </c>
      <c r="X594">
        <v>24</v>
      </c>
      <c r="Y594">
        <f t="shared" si="92"/>
        <v>0</v>
      </c>
      <c r="Z594">
        <f t="shared" si="93"/>
        <v>0</v>
      </c>
      <c r="AC594" s="1">
        <v>0</v>
      </c>
      <c r="AF594">
        <f>V594</f>
        <v>24</v>
      </c>
      <c r="AG594" s="7">
        <v>12</v>
      </c>
      <c r="AH594">
        <f t="shared" si="95"/>
        <v>24</v>
      </c>
      <c r="AI594">
        <f t="shared" si="91"/>
        <v>0</v>
      </c>
      <c r="AK594">
        <f t="shared" si="96"/>
        <v>2</v>
      </c>
      <c r="AL594">
        <v>11.16</v>
      </c>
      <c r="AM594" t="s">
        <v>27</v>
      </c>
      <c r="AN594">
        <v>11.16</v>
      </c>
      <c r="AO594" t="b">
        <f t="shared" si="97"/>
        <v>1</v>
      </c>
      <c r="AR594" t="s">
        <v>5061</v>
      </c>
      <c r="AS594" s="21">
        <v>46276</v>
      </c>
      <c r="AT594" t="s">
        <v>5062</v>
      </c>
      <c r="AU594" t="s">
        <v>5071</v>
      </c>
      <c r="AV594" t="s">
        <v>5062</v>
      </c>
      <c r="AW594" t="s">
        <v>5086</v>
      </c>
    </row>
    <row r="595" spans="1:49" x14ac:dyDescent="0.35">
      <c r="A595" t="s">
        <v>871</v>
      </c>
      <c r="B595" t="s">
        <v>872</v>
      </c>
      <c r="C595" t="s">
        <v>4818</v>
      </c>
      <c r="D595" t="s">
        <v>18</v>
      </c>
      <c r="E595" t="s">
        <v>2255</v>
      </c>
      <c r="F595" t="s">
        <v>2256</v>
      </c>
      <c r="G595" t="s">
        <v>21</v>
      </c>
      <c r="H595" t="s">
        <v>4826</v>
      </c>
      <c r="I595" t="s">
        <v>4935</v>
      </c>
      <c r="J595" s="4" t="s">
        <v>4936</v>
      </c>
      <c r="K595" s="4" t="s">
        <v>4837</v>
      </c>
      <c r="L595" s="4" t="s">
        <v>4973</v>
      </c>
      <c r="M595" s="4" t="s">
        <v>5035</v>
      </c>
      <c r="N595" t="s">
        <v>15</v>
      </c>
      <c r="O595" t="s">
        <v>2257</v>
      </c>
      <c r="P595" t="s">
        <v>23</v>
      </c>
      <c r="Q595" t="s">
        <v>24</v>
      </c>
      <c r="R595" t="s">
        <v>25</v>
      </c>
      <c r="S595" t="s">
        <v>26</v>
      </c>
      <c r="T595" s="6">
        <v>46307</v>
      </c>
      <c r="U595">
        <v>36</v>
      </c>
      <c r="V595">
        <v>36</v>
      </c>
      <c r="W595">
        <v>36</v>
      </c>
      <c r="X595">
        <v>36</v>
      </c>
      <c r="Y595">
        <f t="shared" si="92"/>
        <v>0</v>
      </c>
      <c r="Z595">
        <f t="shared" si="93"/>
        <v>0</v>
      </c>
      <c r="AC595" s="1">
        <v>0</v>
      </c>
      <c r="AF595">
        <f>V595</f>
        <v>36</v>
      </c>
      <c r="AG595" s="7">
        <v>12</v>
      </c>
      <c r="AH595">
        <f t="shared" si="95"/>
        <v>36</v>
      </c>
      <c r="AI595">
        <f t="shared" si="91"/>
        <v>0</v>
      </c>
      <c r="AK595">
        <f t="shared" si="96"/>
        <v>3</v>
      </c>
      <c r="AL595">
        <v>11.16</v>
      </c>
      <c r="AM595" t="s">
        <v>27</v>
      </c>
      <c r="AN595">
        <v>11.16</v>
      </c>
      <c r="AO595" t="b">
        <f t="shared" si="97"/>
        <v>1</v>
      </c>
      <c r="AR595" t="s">
        <v>5061</v>
      </c>
      <c r="AS595" s="21">
        <v>46276</v>
      </c>
      <c r="AT595" t="s">
        <v>5062</v>
      </c>
      <c r="AU595" t="s">
        <v>5071</v>
      </c>
      <c r="AV595" t="s">
        <v>5062</v>
      </c>
      <c r="AW595" t="s">
        <v>5086</v>
      </c>
    </row>
    <row r="596" spans="1:49" x14ac:dyDescent="0.35">
      <c r="A596" t="s">
        <v>871</v>
      </c>
      <c r="B596" t="s">
        <v>872</v>
      </c>
      <c r="C596" t="s">
        <v>4818</v>
      </c>
      <c r="D596" t="s">
        <v>18</v>
      </c>
      <c r="E596" t="s">
        <v>2258</v>
      </c>
      <c r="F596" t="s">
        <v>2259</v>
      </c>
      <c r="G596" t="s">
        <v>21</v>
      </c>
      <c r="H596" t="s">
        <v>4826</v>
      </c>
      <c r="I596" t="s">
        <v>4935</v>
      </c>
      <c r="J596" s="4" t="s">
        <v>4936</v>
      </c>
      <c r="K596" s="4" t="s">
        <v>4837</v>
      </c>
      <c r="L596" s="4" t="s">
        <v>4938</v>
      </c>
      <c r="M596" s="4" t="s">
        <v>5035</v>
      </c>
      <c r="N596" t="s">
        <v>15</v>
      </c>
      <c r="O596" t="s">
        <v>2260</v>
      </c>
      <c r="P596" t="s">
        <v>23</v>
      </c>
      <c r="Q596" t="s">
        <v>24</v>
      </c>
      <c r="R596" t="s">
        <v>25</v>
      </c>
      <c r="S596" t="s">
        <v>26</v>
      </c>
      <c r="T596" s="6">
        <v>46307</v>
      </c>
      <c r="U596">
        <v>264</v>
      </c>
      <c r="V596">
        <v>264</v>
      </c>
      <c r="W596">
        <v>288</v>
      </c>
      <c r="X596">
        <v>288</v>
      </c>
      <c r="Y596">
        <f t="shared" si="92"/>
        <v>0</v>
      </c>
      <c r="Z596">
        <f t="shared" si="93"/>
        <v>-24</v>
      </c>
      <c r="AC596" s="1">
        <v>0</v>
      </c>
      <c r="AF596">
        <f>V596</f>
        <v>264</v>
      </c>
      <c r="AG596" s="7">
        <v>12</v>
      </c>
      <c r="AH596">
        <f t="shared" si="95"/>
        <v>264</v>
      </c>
      <c r="AI596">
        <f t="shared" si="91"/>
        <v>0</v>
      </c>
      <c r="AK596">
        <f t="shared" si="96"/>
        <v>22</v>
      </c>
      <c r="AL596">
        <v>11.16</v>
      </c>
      <c r="AM596" t="s">
        <v>27</v>
      </c>
      <c r="AN596">
        <v>11.16</v>
      </c>
      <c r="AO596" t="b">
        <f t="shared" si="97"/>
        <v>1</v>
      </c>
      <c r="AR596" t="s">
        <v>5061</v>
      </c>
      <c r="AS596" s="21">
        <v>46276</v>
      </c>
      <c r="AT596" t="s">
        <v>5062</v>
      </c>
      <c r="AU596" t="s">
        <v>5071</v>
      </c>
      <c r="AV596" t="s">
        <v>5062</v>
      </c>
      <c r="AW596" t="s">
        <v>5086</v>
      </c>
    </row>
    <row r="597" spans="1:49" x14ac:dyDescent="0.35">
      <c r="A597" t="s">
        <v>871</v>
      </c>
      <c r="B597" t="s">
        <v>872</v>
      </c>
      <c r="C597" t="s">
        <v>4818</v>
      </c>
      <c r="D597" t="s">
        <v>18</v>
      </c>
      <c r="E597" t="s">
        <v>2261</v>
      </c>
      <c r="F597" t="s">
        <v>2262</v>
      </c>
      <c r="G597" t="s">
        <v>21</v>
      </c>
      <c r="H597" t="s">
        <v>4826</v>
      </c>
      <c r="I597" t="s">
        <v>4935</v>
      </c>
      <c r="J597" s="4" t="s">
        <v>4936</v>
      </c>
      <c r="K597" s="4" t="s">
        <v>4837</v>
      </c>
      <c r="L597" s="4" t="s">
        <v>4960</v>
      </c>
      <c r="M597" s="4" t="s">
        <v>5035</v>
      </c>
      <c r="N597" t="s">
        <v>15</v>
      </c>
      <c r="O597" t="s">
        <v>2263</v>
      </c>
      <c r="P597" t="s">
        <v>23</v>
      </c>
      <c r="Q597" t="s">
        <v>24</v>
      </c>
      <c r="R597" t="s">
        <v>25</v>
      </c>
      <c r="S597" t="s">
        <v>26</v>
      </c>
      <c r="T597" s="6">
        <v>46307</v>
      </c>
      <c r="U597">
        <v>324</v>
      </c>
      <c r="V597">
        <v>324</v>
      </c>
      <c r="W597">
        <v>288</v>
      </c>
      <c r="X597">
        <v>288</v>
      </c>
      <c r="Y597">
        <f t="shared" si="92"/>
        <v>0</v>
      </c>
      <c r="Z597">
        <f t="shared" si="93"/>
        <v>36</v>
      </c>
      <c r="AA597">
        <f>Z597</f>
        <v>36</v>
      </c>
      <c r="AC597" s="1">
        <v>0</v>
      </c>
      <c r="AF597">
        <f>X597</f>
        <v>288</v>
      </c>
      <c r="AG597" s="7">
        <v>12</v>
      </c>
      <c r="AH597">
        <f t="shared" si="95"/>
        <v>288</v>
      </c>
      <c r="AI597">
        <f t="shared" si="91"/>
        <v>36</v>
      </c>
      <c r="AK597">
        <f t="shared" si="96"/>
        <v>24</v>
      </c>
      <c r="AL597">
        <v>11.16</v>
      </c>
      <c r="AM597" t="s">
        <v>27</v>
      </c>
      <c r="AN597">
        <v>11.16</v>
      </c>
      <c r="AO597" t="b">
        <f t="shared" si="97"/>
        <v>1</v>
      </c>
      <c r="AR597" t="s">
        <v>5061</v>
      </c>
      <c r="AS597" s="21">
        <v>46276</v>
      </c>
      <c r="AT597" t="s">
        <v>5062</v>
      </c>
      <c r="AU597" t="s">
        <v>5071</v>
      </c>
      <c r="AV597" t="s">
        <v>5062</v>
      </c>
      <c r="AW597" t="s">
        <v>5086</v>
      </c>
    </row>
    <row r="598" spans="1:49" x14ac:dyDescent="0.35">
      <c r="A598" t="s">
        <v>871</v>
      </c>
      <c r="B598" t="s">
        <v>872</v>
      </c>
      <c r="C598" t="s">
        <v>4818</v>
      </c>
      <c r="D598" t="s">
        <v>18</v>
      </c>
      <c r="E598" t="s">
        <v>2264</v>
      </c>
      <c r="F598" t="s">
        <v>2265</v>
      </c>
      <c r="G598" t="s">
        <v>21</v>
      </c>
      <c r="H598" t="s">
        <v>4826</v>
      </c>
      <c r="I598" t="s">
        <v>4976</v>
      </c>
      <c r="J598" s="4" t="s">
        <v>4977</v>
      </c>
      <c r="K598" s="4" t="s">
        <v>4957</v>
      </c>
      <c r="L598" s="4" t="s">
        <v>4951</v>
      </c>
      <c r="M598" s="4" t="s">
        <v>5035</v>
      </c>
      <c r="N598" t="s">
        <v>15</v>
      </c>
      <c r="O598" t="s">
        <v>2266</v>
      </c>
      <c r="P598" t="s">
        <v>23</v>
      </c>
      <c r="Q598" t="s">
        <v>24</v>
      </c>
      <c r="R598" t="s">
        <v>25</v>
      </c>
      <c r="S598" t="s">
        <v>26</v>
      </c>
      <c r="T598" s="6">
        <v>46307</v>
      </c>
      <c r="U598">
        <v>168</v>
      </c>
      <c r="V598">
        <v>168</v>
      </c>
      <c r="W598">
        <v>180</v>
      </c>
      <c r="X598">
        <v>180</v>
      </c>
      <c r="Y598">
        <f t="shared" si="92"/>
        <v>0</v>
      </c>
      <c r="Z598">
        <f t="shared" si="93"/>
        <v>-12</v>
      </c>
      <c r="AC598" s="1">
        <v>0</v>
      </c>
      <c r="AF598">
        <f t="shared" ref="AF598:AF629" si="99">V598</f>
        <v>168</v>
      </c>
      <c r="AG598" s="7">
        <v>12</v>
      </c>
      <c r="AH598">
        <f t="shared" si="95"/>
        <v>168</v>
      </c>
      <c r="AI598">
        <f t="shared" si="91"/>
        <v>0</v>
      </c>
      <c r="AK598">
        <f t="shared" si="96"/>
        <v>14</v>
      </c>
      <c r="AL598">
        <v>13.85</v>
      </c>
      <c r="AM598" t="s">
        <v>27</v>
      </c>
      <c r="AN598">
        <v>13.85</v>
      </c>
      <c r="AO598" t="b">
        <f t="shared" si="97"/>
        <v>1</v>
      </c>
      <c r="AR598" t="s">
        <v>5061</v>
      </c>
      <c r="AS598" s="21">
        <v>46276</v>
      </c>
      <c r="AT598" t="s">
        <v>5062</v>
      </c>
      <c r="AU598" t="s">
        <v>5072</v>
      </c>
      <c r="AV598" t="s">
        <v>5062</v>
      </c>
      <c r="AW598" t="s">
        <v>5086</v>
      </c>
    </row>
    <row r="599" spans="1:49" x14ac:dyDescent="0.35">
      <c r="A599" t="s">
        <v>871</v>
      </c>
      <c r="B599" t="s">
        <v>872</v>
      </c>
      <c r="C599" t="s">
        <v>4818</v>
      </c>
      <c r="D599" t="s">
        <v>18</v>
      </c>
      <c r="E599" t="s">
        <v>2267</v>
      </c>
      <c r="F599" t="s">
        <v>2268</v>
      </c>
      <c r="G599" t="s">
        <v>21</v>
      </c>
      <c r="H599" t="s">
        <v>4826</v>
      </c>
      <c r="I599" t="s">
        <v>4976</v>
      </c>
      <c r="J599" s="4" t="s">
        <v>4977</v>
      </c>
      <c r="K599" s="4" t="s">
        <v>4837</v>
      </c>
      <c r="L599" s="4" t="s">
        <v>4946</v>
      </c>
      <c r="M599" s="4" t="s">
        <v>5035</v>
      </c>
      <c r="N599" t="s">
        <v>15</v>
      </c>
      <c r="O599" t="s">
        <v>2269</v>
      </c>
      <c r="P599" t="s">
        <v>23</v>
      </c>
      <c r="Q599" t="s">
        <v>24</v>
      </c>
      <c r="R599" t="s">
        <v>25</v>
      </c>
      <c r="S599" t="s">
        <v>26</v>
      </c>
      <c r="T599" s="6">
        <v>46307</v>
      </c>
      <c r="U599">
        <v>72</v>
      </c>
      <c r="V599">
        <v>72</v>
      </c>
      <c r="W599">
        <v>84</v>
      </c>
      <c r="X599">
        <v>84</v>
      </c>
      <c r="Y599">
        <f t="shared" si="92"/>
        <v>0</v>
      </c>
      <c r="Z599">
        <f t="shared" si="93"/>
        <v>-12</v>
      </c>
      <c r="AC599" s="1">
        <v>0</v>
      </c>
      <c r="AF599">
        <f t="shared" si="99"/>
        <v>72</v>
      </c>
      <c r="AG599" s="7">
        <v>12</v>
      </c>
      <c r="AH599">
        <f t="shared" si="95"/>
        <v>72</v>
      </c>
      <c r="AI599">
        <f t="shared" si="91"/>
        <v>0</v>
      </c>
      <c r="AK599">
        <f t="shared" si="96"/>
        <v>6</v>
      </c>
      <c r="AL599">
        <v>13.85</v>
      </c>
      <c r="AM599" t="s">
        <v>27</v>
      </c>
      <c r="AN599">
        <v>13.85</v>
      </c>
      <c r="AO599" t="b">
        <f t="shared" si="97"/>
        <v>1</v>
      </c>
      <c r="AR599" t="s">
        <v>5061</v>
      </c>
      <c r="AS599" s="21">
        <v>46276</v>
      </c>
      <c r="AT599" t="s">
        <v>5062</v>
      </c>
      <c r="AU599" t="s">
        <v>5072</v>
      </c>
      <c r="AV599" t="s">
        <v>5062</v>
      </c>
      <c r="AW599" t="s">
        <v>5086</v>
      </c>
    </row>
    <row r="600" spans="1:49" x14ac:dyDescent="0.35">
      <c r="A600" t="s">
        <v>871</v>
      </c>
      <c r="B600" t="s">
        <v>872</v>
      </c>
      <c r="C600" t="s">
        <v>4818</v>
      </c>
      <c r="D600" t="s">
        <v>18</v>
      </c>
      <c r="E600" t="s">
        <v>2270</v>
      </c>
      <c r="F600" t="s">
        <v>2271</v>
      </c>
      <c r="G600" t="s">
        <v>21</v>
      </c>
      <c r="H600" t="s">
        <v>4826</v>
      </c>
      <c r="I600" t="s">
        <v>4976</v>
      </c>
      <c r="J600" s="4" t="s">
        <v>4977</v>
      </c>
      <c r="K600" s="4" t="s">
        <v>4837</v>
      </c>
      <c r="L600" s="4" t="s">
        <v>4972</v>
      </c>
      <c r="M600" s="4" t="s">
        <v>5035</v>
      </c>
      <c r="N600" t="s">
        <v>15</v>
      </c>
      <c r="O600" t="s">
        <v>2272</v>
      </c>
      <c r="P600" t="s">
        <v>23</v>
      </c>
      <c r="Q600" t="s">
        <v>24</v>
      </c>
      <c r="R600" t="s">
        <v>25</v>
      </c>
      <c r="S600" t="s">
        <v>26</v>
      </c>
      <c r="T600" s="6">
        <v>46307</v>
      </c>
      <c r="U600">
        <v>252</v>
      </c>
      <c r="V600">
        <v>252</v>
      </c>
      <c r="W600">
        <v>276</v>
      </c>
      <c r="X600">
        <v>276</v>
      </c>
      <c r="Y600">
        <f t="shared" si="92"/>
        <v>0</v>
      </c>
      <c r="Z600">
        <f t="shared" si="93"/>
        <v>-24</v>
      </c>
      <c r="AC600" s="1">
        <v>0</v>
      </c>
      <c r="AF600">
        <f t="shared" si="99"/>
        <v>252</v>
      </c>
      <c r="AG600" s="7">
        <v>12</v>
      </c>
      <c r="AH600">
        <f t="shared" si="95"/>
        <v>252</v>
      </c>
      <c r="AI600">
        <f t="shared" si="91"/>
        <v>0</v>
      </c>
      <c r="AK600">
        <f t="shared" si="96"/>
        <v>21</v>
      </c>
      <c r="AL600">
        <v>13.85</v>
      </c>
      <c r="AM600" t="s">
        <v>27</v>
      </c>
      <c r="AN600">
        <v>13.85</v>
      </c>
      <c r="AO600" t="b">
        <f t="shared" si="97"/>
        <v>1</v>
      </c>
      <c r="AR600" t="s">
        <v>5061</v>
      </c>
      <c r="AS600" s="21">
        <v>46276</v>
      </c>
      <c r="AT600" t="s">
        <v>5062</v>
      </c>
      <c r="AU600" t="s">
        <v>5072</v>
      </c>
      <c r="AV600" t="s">
        <v>5062</v>
      </c>
      <c r="AW600" t="s">
        <v>5086</v>
      </c>
    </row>
    <row r="601" spans="1:49" x14ac:dyDescent="0.35">
      <c r="A601" t="s">
        <v>871</v>
      </c>
      <c r="B601" t="s">
        <v>872</v>
      </c>
      <c r="C601" t="s">
        <v>4818</v>
      </c>
      <c r="D601" t="s">
        <v>18</v>
      </c>
      <c r="E601" t="s">
        <v>2273</v>
      </c>
      <c r="F601" t="s">
        <v>2274</v>
      </c>
      <c r="G601" t="s">
        <v>21</v>
      </c>
      <c r="H601" t="s">
        <v>4826</v>
      </c>
      <c r="I601" t="s">
        <v>4976</v>
      </c>
      <c r="J601" s="4" t="s">
        <v>4977</v>
      </c>
      <c r="K601" s="4" t="s">
        <v>4957</v>
      </c>
      <c r="L601" s="4" t="s">
        <v>4966</v>
      </c>
      <c r="M601" s="4" t="s">
        <v>5035</v>
      </c>
      <c r="N601" t="s">
        <v>15</v>
      </c>
      <c r="O601" t="s">
        <v>2275</v>
      </c>
      <c r="P601" t="s">
        <v>23</v>
      </c>
      <c r="Q601" t="s">
        <v>24</v>
      </c>
      <c r="R601" t="s">
        <v>25</v>
      </c>
      <c r="S601" t="s">
        <v>26</v>
      </c>
      <c r="T601" s="6">
        <v>46307</v>
      </c>
      <c r="U601">
        <v>96</v>
      </c>
      <c r="V601">
        <v>96</v>
      </c>
      <c r="W601">
        <v>108</v>
      </c>
      <c r="X601">
        <v>108</v>
      </c>
      <c r="Y601">
        <f t="shared" si="92"/>
        <v>0</v>
      </c>
      <c r="Z601">
        <f t="shared" si="93"/>
        <v>-12</v>
      </c>
      <c r="AC601" s="1">
        <v>0</v>
      </c>
      <c r="AF601">
        <f t="shared" si="99"/>
        <v>96</v>
      </c>
      <c r="AG601" s="7">
        <v>12</v>
      </c>
      <c r="AH601">
        <f t="shared" si="95"/>
        <v>96</v>
      </c>
      <c r="AI601">
        <f t="shared" si="91"/>
        <v>0</v>
      </c>
      <c r="AK601">
        <f t="shared" si="96"/>
        <v>8</v>
      </c>
      <c r="AL601">
        <v>13.85</v>
      </c>
      <c r="AM601" t="s">
        <v>27</v>
      </c>
      <c r="AN601">
        <v>13.85</v>
      </c>
      <c r="AO601" t="b">
        <f t="shared" si="97"/>
        <v>1</v>
      </c>
      <c r="AR601" t="s">
        <v>5061</v>
      </c>
      <c r="AS601" s="21">
        <v>46276</v>
      </c>
      <c r="AT601" t="s">
        <v>5062</v>
      </c>
      <c r="AU601" t="s">
        <v>5072</v>
      </c>
      <c r="AV601" t="s">
        <v>5062</v>
      </c>
      <c r="AW601" t="s">
        <v>5086</v>
      </c>
    </row>
    <row r="602" spans="1:49" x14ac:dyDescent="0.35">
      <c r="A602" t="s">
        <v>871</v>
      </c>
      <c r="B602" t="s">
        <v>872</v>
      </c>
      <c r="C602" t="s">
        <v>4818</v>
      </c>
      <c r="D602" t="s">
        <v>18</v>
      </c>
      <c r="E602" t="s">
        <v>2276</v>
      </c>
      <c r="F602" t="s">
        <v>2277</v>
      </c>
      <c r="G602" t="s">
        <v>21</v>
      </c>
      <c r="H602" t="s">
        <v>4826</v>
      </c>
      <c r="I602" t="s">
        <v>4976</v>
      </c>
      <c r="J602" s="4" t="s">
        <v>4977</v>
      </c>
      <c r="K602" s="4" t="s">
        <v>4957</v>
      </c>
      <c r="L602" s="4" t="s">
        <v>4944</v>
      </c>
      <c r="M602" s="4" t="s">
        <v>5035</v>
      </c>
      <c r="N602" t="s">
        <v>15</v>
      </c>
      <c r="O602" t="s">
        <v>2278</v>
      </c>
      <c r="P602" t="s">
        <v>23</v>
      </c>
      <c r="Q602" t="s">
        <v>24</v>
      </c>
      <c r="R602" t="s">
        <v>25</v>
      </c>
      <c r="S602" t="s">
        <v>26</v>
      </c>
      <c r="T602" s="6">
        <v>46307</v>
      </c>
      <c r="U602">
        <v>144</v>
      </c>
      <c r="V602">
        <v>144</v>
      </c>
      <c r="W602">
        <v>156</v>
      </c>
      <c r="X602">
        <v>156</v>
      </c>
      <c r="Y602">
        <f t="shared" si="92"/>
        <v>0</v>
      </c>
      <c r="Z602">
        <f t="shared" si="93"/>
        <v>-12</v>
      </c>
      <c r="AC602" s="1">
        <v>0</v>
      </c>
      <c r="AF602">
        <f t="shared" si="99"/>
        <v>144</v>
      </c>
      <c r="AG602" s="7">
        <v>12</v>
      </c>
      <c r="AH602">
        <f t="shared" si="95"/>
        <v>144</v>
      </c>
      <c r="AI602">
        <f t="shared" si="91"/>
        <v>0</v>
      </c>
      <c r="AK602">
        <f t="shared" si="96"/>
        <v>12</v>
      </c>
      <c r="AL602">
        <v>13.85</v>
      </c>
      <c r="AM602" t="s">
        <v>27</v>
      </c>
      <c r="AN602">
        <v>13.85</v>
      </c>
      <c r="AO602" t="b">
        <f t="shared" si="97"/>
        <v>1</v>
      </c>
      <c r="AR602" t="s">
        <v>5061</v>
      </c>
      <c r="AS602" s="21">
        <v>46276</v>
      </c>
      <c r="AT602" t="s">
        <v>5062</v>
      </c>
      <c r="AU602" t="s">
        <v>5072</v>
      </c>
      <c r="AV602" t="s">
        <v>5062</v>
      </c>
      <c r="AW602" t="s">
        <v>5086</v>
      </c>
    </row>
    <row r="603" spans="1:49" x14ac:dyDescent="0.35">
      <c r="A603" t="s">
        <v>871</v>
      </c>
      <c r="B603" t="s">
        <v>872</v>
      </c>
      <c r="C603" t="s">
        <v>4818</v>
      </c>
      <c r="D603" t="s">
        <v>18</v>
      </c>
      <c r="E603" t="s">
        <v>2279</v>
      </c>
      <c r="F603" t="s">
        <v>2280</v>
      </c>
      <c r="G603" t="s">
        <v>21</v>
      </c>
      <c r="H603" t="s">
        <v>4826</v>
      </c>
      <c r="I603" t="s">
        <v>4976</v>
      </c>
      <c r="J603" s="4" t="s">
        <v>4977</v>
      </c>
      <c r="K603" s="4" t="s">
        <v>4832</v>
      </c>
      <c r="L603" s="4" t="s">
        <v>4940</v>
      </c>
      <c r="M603" s="4" t="s">
        <v>5035</v>
      </c>
      <c r="N603" t="s">
        <v>15</v>
      </c>
      <c r="O603" t="s">
        <v>2281</v>
      </c>
      <c r="P603" t="s">
        <v>23</v>
      </c>
      <c r="Q603" t="s">
        <v>24</v>
      </c>
      <c r="R603" t="s">
        <v>25</v>
      </c>
      <c r="S603" t="s">
        <v>26</v>
      </c>
      <c r="T603" s="6">
        <v>46307</v>
      </c>
      <c r="U603">
        <v>156</v>
      </c>
      <c r="V603">
        <v>156</v>
      </c>
      <c r="W603">
        <v>168</v>
      </c>
      <c r="X603">
        <v>168</v>
      </c>
      <c r="Y603">
        <f t="shared" si="92"/>
        <v>0</v>
      </c>
      <c r="Z603">
        <f t="shared" si="93"/>
        <v>-12</v>
      </c>
      <c r="AC603" s="1">
        <v>0</v>
      </c>
      <c r="AF603">
        <f t="shared" si="99"/>
        <v>156</v>
      </c>
      <c r="AG603" s="7">
        <v>12</v>
      </c>
      <c r="AH603">
        <f t="shared" si="95"/>
        <v>156</v>
      </c>
      <c r="AI603">
        <f t="shared" si="91"/>
        <v>0</v>
      </c>
      <c r="AK603">
        <f t="shared" si="96"/>
        <v>13</v>
      </c>
      <c r="AL603">
        <v>13.85</v>
      </c>
      <c r="AM603" t="s">
        <v>27</v>
      </c>
      <c r="AN603">
        <v>13.85</v>
      </c>
      <c r="AO603" t="b">
        <f t="shared" si="97"/>
        <v>1</v>
      </c>
      <c r="AR603" t="s">
        <v>5061</v>
      </c>
      <c r="AS603" s="21">
        <v>46276</v>
      </c>
      <c r="AT603" t="s">
        <v>5062</v>
      </c>
      <c r="AU603" t="s">
        <v>5072</v>
      </c>
      <c r="AV603" t="s">
        <v>5062</v>
      </c>
      <c r="AW603" t="s">
        <v>5086</v>
      </c>
    </row>
    <row r="604" spans="1:49" x14ac:dyDescent="0.35">
      <c r="A604" t="s">
        <v>871</v>
      </c>
      <c r="B604" t="s">
        <v>872</v>
      </c>
      <c r="C604" t="s">
        <v>4818</v>
      </c>
      <c r="D604" t="s">
        <v>18</v>
      </c>
      <c r="E604" t="s">
        <v>2282</v>
      </c>
      <c r="F604" t="s">
        <v>2283</v>
      </c>
      <c r="G604" t="s">
        <v>21</v>
      </c>
      <c r="H604" t="s">
        <v>4826</v>
      </c>
      <c r="I604" t="s">
        <v>4976</v>
      </c>
      <c r="J604" s="4" t="s">
        <v>4977</v>
      </c>
      <c r="K604" s="4" t="s">
        <v>4957</v>
      </c>
      <c r="L604" s="4" t="s">
        <v>4972</v>
      </c>
      <c r="M604" s="4" t="s">
        <v>5035</v>
      </c>
      <c r="N604" t="s">
        <v>15</v>
      </c>
      <c r="O604" t="s">
        <v>2284</v>
      </c>
      <c r="P604" t="s">
        <v>23</v>
      </c>
      <c r="Q604" t="s">
        <v>24</v>
      </c>
      <c r="R604" t="s">
        <v>25</v>
      </c>
      <c r="S604" t="s">
        <v>26</v>
      </c>
      <c r="T604" s="6">
        <v>46307</v>
      </c>
      <c r="U604">
        <v>84</v>
      </c>
      <c r="V604">
        <v>84</v>
      </c>
      <c r="W604">
        <v>96</v>
      </c>
      <c r="X604">
        <v>96</v>
      </c>
      <c r="Y604">
        <f t="shared" si="92"/>
        <v>0</v>
      </c>
      <c r="Z604">
        <f t="shared" si="93"/>
        <v>-12</v>
      </c>
      <c r="AC604" s="1">
        <v>0</v>
      </c>
      <c r="AF604">
        <f t="shared" si="99"/>
        <v>84</v>
      </c>
      <c r="AG604" s="7">
        <v>12</v>
      </c>
      <c r="AH604">
        <f t="shared" si="95"/>
        <v>84</v>
      </c>
      <c r="AI604">
        <f t="shared" si="91"/>
        <v>0</v>
      </c>
      <c r="AK604">
        <f t="shared" si="96"/>
        <v>7</v>
      </c>
      <c r="AL604">
        <v>13.85</v>
      </c>
      <c r="AM604" t="s">
        <v>27</v>
      </c>
      <c r="AN604">
        <v>13.85</v>
      </c>
      <c r="AO604" t="b">
        <f t="shared" si="97"/>
        <v>1</v>
      </c>
      <c r="AR604" t="s">
        <v>5061</v>
      </c>
      <c r="AS604" s="21">
        <v>46276</v>
      </c>
      <c r="AT604" t="s">
        <v>5062</v>
      </c>
      <c r="AU604" t="s">
        <v>5072</v>
      </c>
      <c r="AV604" t="s">
        <v>5062</v>
      </c>
      <c r="AW604" t="s">
        <v>5086</v>
      </c>
    </row>
    <row r="605" spans="1:49" x14ac:dyDescent="0.35">
      <c r="A605" t="s">
        <v>871</v>
      </c>
      <c r="B605" t="s">
        <v>872</v>
      </c>
      <c r="C605" t="s">
        <v>4818</v>
      </c>
      <c r="D605" t="s">
        <v>18</v>
      </c>
      <c r="E605" t="s">
        <v>2285</v>
      </c>
      <c r="F605" t="s">
        <v>2286</v>
      </c>
      <c r="G605" t="s">
        <v>21</v>
      </c>
      <c r="H605" t="s">
        <v>4826</v>
      </c>
      <c r="I605" t="s">
        <v>4976</v>
      </c>
      <c r="J605" s="4" t="s">
        <v>4977</v>
      </c>
      <c r="K605" s="4" t="s">
        <v>4832</v>
      </c>
      <c r="L605" s="4" t="s">
        <v>4966</v>
      </c>
      <c r="M605" s="4" t="s">
        <v>5035</v>
      </c>
      <c r="N605" t="s">
        <v>15</v>
      </c>
      <c r="O605" t="s">
        <v>2287</v>
      </c>
      <c r="P605" t="s">
        <v>23</v>
      </c>
      <c r="Q605" t="s">
        <v>24</v>
      </c>
      <c r="R605" t="s">
        <v>25</v>
      </c>
      <c r="S605" t="s">
        <v>26</v>
      </c>
      <c r="T605" s="6">
        <v>46307</v>
      </c>
      <c r="U605">
        <v>180</v>
      </c>
      <c r="V605">
        <v>180</v>
      </c>
      <c r="W605">
        <v>192</v>
      </c>
      <c r="X605">
        <v>192</v>
      </c>
      <c r="Y605">
        <f t="shared" si="92"/>
        <v>0</v>
      </c>
      <c r="Z605">
        <f t="shared" si="93"/>
        <v>-12</v>
      </c>
      <c r="AC605" s="1"/>
      <c r="AF605">
        <f t="shared" si="99"/>
        <v>180</v>
      </c>
      <c r="AG605" s="7">
        <v>12</v>
      </c>
      <c r="AH605">
        <f t="shared" si="95"/>
        <v>180</v>
      </c>
      <c r="AI605">
        <f t="shared" si="91"/>
        <v>0</v>
      </c>
      <c r="AK605">
        <f t="shared" si="96"/>
        <v>15</v>
      </c>
      <c r="AL605">
        <v>13.85</v>
      </c>
      <c r="AM605" t="s">
        <v>27</v>
      </c>
      <c r="AN605">
        <v>13.85</v>
      </c>
      <c r="AO605" t="b">
        <f t="shared" si="97"/>
        <v>1</v>
      </c>
      <c r="AR605" t="s">
        <v>5061</v>
      </c>
      <c r="AS605" s="21">
        <v>46276</v>
      </c>
      <c r="AT605" t="s">
        <v>5062</v>
      </c>
      <c r="AU605" t="s">
        <v>5072</v>
      </c>
      <c r="AV605" t="s">
        <v>5062</v>
      </c>
      <c r="AW605" t="s">
        <v>5086</v>
      </c>
    </row>
    <row r="606" spans="1:49" x14ac:dyDescent="0.35">
      <c r="A606" t="s">
        <v>871</v>
      </c>
      <c r="B606" t="s">
        <v>872</v>
      </c>
      <c r="C606" t="s">
        <v>4818</v>
      </c>
      <c r="D606" t="s">
        <v>18</v>
      </c>
      <c r="E606" t="s">
        <v>2288</v>
      </c>
      <c r="F606" t="s">
        <v>2289</v>
      </c>
      <c r="G606" t="s">
        <v>21</v>
      </c>
      <c r="H606" t="s">
        <v>4826</v>
      </c>
      <c r="I606" t="s">
        <v>4976</v>
      </c>
      <c r="J606" s="4" t="s">
        <v>4977</v>
      </c>
      <c r="K606" s="4" t="s">
        <v>4837</v>
      </c>
      <c r="L606" s="4" t="s">
        <v>4964</v>
      </c>
      <c r="M606" s="4" t="s">
        <v>5035</v>
      </c>
      <c r="N606" t="s">
        <v>15</v>
      </c>
      <c r="O606" t="s">
        <v>2290</v>
      </c>
      <c r="P606" t="s">
        <v>23</v>
      </c>
      <c r="Q606" t="s">
        <v>24</v>
      </c>
      <c r="R606" t="s">
        <v>25</v>
      </c>
      <c r="S606" t="s">
        <v>26</v>
      </c>
      <c r="T606" s="6">
        <v>46307</v>
      </c>
      <c r="U606">
        <v>36</v>
      </c>
      <c r="V606">
        <v>36</v>
      </c>
      <c r="W606">
        <v>36</v>
      </c>
      <c r="X606">
        <v>36</v>
      </c>
      <c r="Y606">
        <f t="shared" si="92"/>
        <v>0</v>
      </c>
      <c r="Z606">
        <f t="shared" si="93"/>
        <v>0</v>
      </c>
      <c r="AC606" s="1">
        <v>0</v>
      </c>
      <c r="AF606">
        <f t="shared" si="99"/>
        <v>36</v>
      </c>
      <c r="AG606" s="7">
        <v>12</v>
      </c>
      <c r="AH606">
        <f t="shared" si="95"/>
        <v>36</v>
      </c>
      <c r="AI606">
        <f t="shared" si="91"/>
        <v>0</v>
      </c>
      <c r="AK606">
        <f t="shared" si="96"/>
        <v>3</v>
      </c>
      <c r="AL606">
        <v>13.85</v>
      </c>
      <c r="AM606" t="s">
        <v>27</v>
      </c>
      <c r="AN606">
        <v>13.85</v>
      </c>
      <c r="AO606" t="b">
        <f t="shared" si="97"/>
        <v>1</v>
      </c>
      <c r="AR606" t="s">
        <v>5061</v>
      </c>
      <c r="AS606" s="21">
        <v>46276</v>
      </c>
      <c r="AT606" t="s">
        <v>5062</v>
      </c>
      <c r="AU606" t="s">
        <v>5072</v>
      </c>
      <c r="AV606" t="s">
        <v>5062</v>
      </c>
      <c r="AW606" t="s">
        <v>5086</v>
      </c>
    </row>
    <row r="607" spans="1:49" x14ac:dyDescent="0.35">
      <c r="A607" t="s">
        <v>871</v>
      </c>
      <c r="B607" t="s">
        <v>872</v>
      </c>
      <c r="C607" t="s">
        <v>4818</v>
      </c>
      <c r="D607" t="s">
        <v>18</v>
      </c>
      <c r="E607" t="s">
        <v>2291</v>
      </c>
      <c r="F607" t="s">
        <v>2292</v>
      </c>
      <c r="G607" t="s">
        <v>21</v>
      </c>
      <c r="H607" t="s">
        <v>4826</v>
      </c>
      <c r="I607" t="s">
        <v>4976</v>
      </c>
      <c r="J607" s="4" t="s">
        <v>4977</v>
      </c>
      <c r="K607" s="4" t="s">
        <v>4837</v>
      </c>
      <c r="L607" s="4" t="s">
        <v>4950</v>
      </c>
      <c r="M607" s="4" t="s">
        <v>5035</v>
      </c>
      <c r="N607" t="s">
        <v>15</v>
      </c>
      <c r="O607" t="s">
        <v>2293</v>
      </c>
      <c r="P607" t="s">
        <v>23</v>
      </c>
      <c r="Q607" t="s">
        <v>24</v>
      </c>
      <c r="R607" t="s">
        <v>25</v>
      </c>
      <c r="S607" t="s">
        <v>26</v>
      </c>
      <c r="T607" s="6">
        <v>46307</v>
      </c>
      <c r="U607">
        <v>276</v>
      </c>
      <c r="V607">
        <v>276</v>
      </c>
      <c r="W607">
        <v>300</v>
      </c>
      <c r="X607">
        <v>300</v>
      </c>
      <c r="Y607">
        <f t="shared" si="92"/>
        <v>0</v>
      </c>
      <c r="Z607">
        <f t="shared" si="93"/>
        <v>-24</v>
      </c>
      <c r="AC607" s="1">
        <v>0</v>
      </c>
      <c r="AF607">
        <f t="shared" si="99"/>
        <v>276</v>
      </c>
      <c r="AG607" s="7">
        <v>12</v>
      </c>
      <c r="AH607">
        <f t="shared" si="95"/>
        <v>276</v>
      </c>
      <c r="AI607">
        <f t="shared" si="91"/>
        <v>0</v>
      </c>
      <c r="AK607">
        <f t="shared" si="96"/>
        <v>23</v>
      </c>
      <c r="AL607">
        <v>13.85</v>
      </c>
      <c r="AM607" t="s">
        <v>27</v>
      </c>
      <c r="AN607">
        <v>13.85</v>
      </c>
      <c r="AO607" t="b">
        <f t="shared" si="97"/>
        <v>1</v>
      </c>
      <c r="AR607" t="s">
        <v>5061</v>
      </c>
      <c r="AS607" s="21">
        <v>46276</v>
      </c>
      <c r="AT607" t="s">
        <v>5062</v>
      </c>
      <c r="AU607" t="s">
        <v>5072</v>
      </c>
      <c r="AV607" t="s">
        <v>5062</v>
      </c>
      <c r="AW607" t="s">
        <v>5086</v>
      </c>
    </row>
    <row r="608" spans="1:49" x14ac:dyDescent="0.35">
      <c r="A608" t="s">
        <v>871</v>
      </c>
      <c r="B608" t="s">
        <v>872</v>
      </c>
      <c r="C608" t="s">
        <v>4818</v>
      </c>
      <c r="D608" t="s">
        <v>18</v>
      </c>
      <c r="E608" t="s">
        <v>2294</v>
      </c>
      <c r="F608" t="s">
        <v>2295</v>
      </c>
      <c r="G608" t="s">
        <v>21</v>
      </c>
      <c r="H608" t="s">
        <v>4826</v>
      </c>
      <c r="I608" t="s">
        <v>4976</v>
      </c>
      <c r="J608" s="4" t="s">
        <v>4977</v>
      </c>
      <c r="K608" s="4" t="s">
        <v>4832</v>
      </c>
      <c r="L608" s="4" t="s">
        <v>4955</v>
      </c>
      <c r="M608" s="4" t="s">
        <v>5035</v>
      </c>
      <c r="N608" t="s">
        <v>15</v>
      </c>
      <c r="O608" t="s">
        <v>2296</v>
      </c>
      <c r="P608" t="s">
        <v>23</v>
      </c>
      <c r="Q608" t="s">
        <v>24</v>
      </c>
      <c r="R608" t="s">
        <v>25</v>
      </c>
      <c r="S608" t="s">
        <v>26</v>
      </c>
      <c r="T608" s="6">
        <v>46307</v>
      </c>
      <c r="U608">
        <v>60</v>
      </c>
      <c r="V608">
        <v>60</v>
      </c>
      <c r="W608">
        <v>60</v>
      </c>
      <c r="X608">
        <v>60</v>
      </c>
      <c r="Y608">
        <f t="shared" si="92"/>
        <v>0</v>
      </c>
      <c r="Z608">
        <f t="shared" si="93"/>
        <v>0</v>
      </c>
      <c r="AC608" s="1">
        <v>0</v>
      </c>
      <c r="AF608">
        <f t="shared" si="99"/>
        <v>60</v>
      </c>
      <c r="AG608" s="7">
        <v>12</v>
      </c>
      <c r="AH608">
        <f t="shared" si="95"/>
        <v>60</v>
      </c>
      <c r="AI608">
        <f t="shared" si="91"/>
        <v>0</v>
      </c>
      <c r="AK608">
        <f t="shared" si="96"/>
        <v>5</v>
      </c>
      <c r="AL608">
        <v>13.85</v>
      </c>
      <c r="AM608" t="s">
        <v>27</v>
      </c>
      <c r="AN608">
        <v>13.85</v>
      </c>
      <c r="AO608" t="b">
        <f t="shared" si="97"/>
        <v>1</v>
      </c>
      <c r="AR608" t="s">
        <v>5061</v>
      </c>
      <c r="AS608" s="21">
        <v>46276</v>
      </c>
      <c r="AT608" t="s">
        <v>5062</v>
      </c>
      <c r="AU608" t="s">
        <v>5072</v>
      </c>
      <c r="AV608" t="s">
        <v>5062</v>
      </c>
      <c r="AW608" t="s">
        <v>5086</v>
      </c>
    </row>
    <row r="609" spans="1:49" x14ac:dyDescent="0.35">
      <c r="A609" t="s">
        <v>871</v>
      </c>
      <c r="B609" t="s">
        <v>872</v>
      </c>
      <c r="C609" t="s">
        <v>4818</v>
      </c>
      <c r="D609" t="s">
        <v>18</v>
      </c>
      <c r="E609" t="s">
        <v>2297</v>
      </c>
      <c r="F609" t="s">
        <v>2298</v>
      </c>
      <c r="G609" t="s">
        <v>21</v>
      </c>
      <c r="H609" t="s">
        <v>4826</v>
      </c>
      <c r="I609" t="s">
        <v>4976</v>
      </c>
      <c r="J609" s="4" t="s">
        <v>4977</v>
      </c>
      <c r="K609" s="4" t="s">
        <v>4832</v>
      </c>
      <c r="L609" s="4" t="s">
        <v>4956</v>
      </c>
      <c r="M609" s="4" t="s">
        <v>5035</v>
      </c>
      <c r="N609" t="s">
        <v>15</v>
      </c>
      <c r="O609" t="s">
        <v>2299</v>
      </c>
      <c r="P609" t="s">
        <v>23</v>
      </c>
      <c r="Q609" t="s">
        <v>24</v>
      </c>
      <c r="R609" t="s">
        <v>25</v>
      </c>
      <c r="S609" t="s">
        <v>26</v>
      </c>
      <c r="T609" s="6">
        <v>46307</v>
      </c>
      <c r="U609">
        <v>24</v>
      </c>
      <c r="V609">
        <v>24</v>
      </c>
      <c r="W609">
        <v>24</v>
      </c>
      <c r="X609">
        <v>24</v>
      </c>
      <c r="Y609">
        <f t="shared" si="92"/>
        <v>0</v>
      </c>
      <c r="Z609">
        <f t="shared" si="93"/>
        <v>0</v>
      </c>
      <c r="AC609" s="1">
        <v>0</v>
      </c>
      <c r="AF609">
        <f t="shared" si="99"/>
        <v>24</v>
      </c>
      <c r="AG609" s="7">
        <v>12</v>
      </c>
      <c r="AH609">
        <f t="shared" si="95"/>
        <v>24</v>
      </c>
      <c r="AI609">
        <f t="shared" si="91"/>
        <v>0</v>
      </c>
      <c r="AK609">
        <f t="shared" si="96"/>
        <v>2</v>
      </c>
      <c r="AL609">
        <v>13.85</v>
      </c>
      <c r="AM609" t="s">
        <v>27</v>
      </c>
      <c r="AN609">
        <v>13.85</v>
      </c>
      <c r="AO609" t="b">
        <f t="shared" si="97"/>
        <v>1</v>
      </c>
      <c r="AR609" t="s">
        <v>5061</v>
      </c>
      <c r="AS609" s="21">
        <v>46276</v>
      </c>
      <c r="AT609" t="s">
        <v>5062</v>
      </c>
      <c r="AU609" t="s">
        <v>5072</v>
      </c>
      <c r="AV609" t="s">
        <v>5062</v>
      </c>
      <c r="AW609" t="s">
        <v>5086</v>
      </c>
    </row>
    <row r="610" spans="1:49" x14ac:dyDescent="0.35">
      <c r="A610" t="s">
        <v>871</v>
      </c>
      <c r="B610" t="s">
        <v>872</v>
      </c>
      <c r="C610" t="s">
        <v>4818</v>
      </c>
      <c r="D610" t="s">
        <v>18</v>
      </c>
      <c r="E610" t="s">
        <v>2300</v>
      </c>
      <c r="F610" t="s">
        <v>2301</v>
      </c>
      <c r="G610" t="s">
        <v>21</v>
      </c>
      <c r="H610" t="s">
        <v>4826</v>
      </c>
      <c r="I610" t="s">
        <v>4976</v>
      </c>
      <c r="J610" s="4" t="s">
        <v>4977</v>
      </c>
      <c r="K610" s="4" t="s">
        <v>4837</v>
      </c>
      <c r="L610" s="4" t="s">
        <v>4975</v>
      </c>
      <c r="M610" s="4" t="s">
        <v>5035</v>
      </c>
      <c r="N610" t="s">
        <v>15</v>
      </c>
      <c r="O610" t="s">
        <v>2302</v>
      </c>
      <c r="P610" t="s">
        <v>23</v>
      </c>
      <c r="Q610" t="s">
        <v>24</v>
      </c>
      <c r="R610" t="s">
        <v>25</v>
      </c>
      <c r="S610" t="s">
        <v>26</v>
      </c>
      <c r="T610" s="6">
        <v>46307</v>
      </c>
      <c r="U610">
        <v>60</v>
      </c>
      <c r="V610">
        <v>60</v>
      </c>
      <c r="W610">
        <v>72</v>
      </c>
      <c r="X610">
        <v>72</v>
      </c>
      <c r="Y610">
        <f t="shared" si="92"/>
        <v>0</v>
      </c>
      <c r="Z610">
        <f t="shared" si="93"/>
        <v>-12</v>
      </c>
      <c r="AC610" s="1">
        <v>0</v>
      </c>
      <c r="AF610">
        <f t="shared" si="99"/>
        <v>60</v>
      </c>
      <c r="AG610" s="7">
        <v>12</v>
      </c>
      <c r="AH610">
        <f t="shared" si="95"/>
        <v>60</v>
      </c>
      <c r="AI610">
        <f t="shared" si="91"/>
        <v>0</v>
      </c>
      <c r="AK610">
        <f t="shared" si="96"/>
        <v>5</v>
      </c>
      <c r="AL610">
        <v>13.85</v>
      </c>
      <c r="AM610" t="s">
        <v>27</v>
      </c>
      <c r="AN610">
        <v>13.85</v>
      </c>
      <c r="AO610" t="b">
        <f t="shared" si="97"/>
        <v>1</v>
      </c>
      <c r="AR610" t="s">
        <v>5061</v>
      </c>
      <c r="AS610" s="21">
        <v>46276</v>
      </c>
      <c r="AT610" t="s">
        <v>5062</v>
      </c>
      <c r="AU610" t="s">
        <v>5072</v>
      </c>
      <c r="AV610" t="s">
        <v>5062</v>
      </c>
      <c r="AW610" t="s">
        <v>5086</v>
      </c>
    </row>
    <row r="611" spans="1:49" x14ac:dyDescent="0.35">
      <c r="A611" t="s">
        <v>871</v>
      </c>
      <c r="B611" t="s">
        <v>872</v>
      </c>
      <c r="C611" t="s">
        <v>4818</v>
      </c>
      <c r="D611" t="s">
        <v>18</v>
      </c>
      <c r="E611" t="s">
        <v>2303</v>
      </c>
      <c r="F611" t="s">
        <v>2304</v>
      </c>
      <c r="G611" t="s">
        <v>21</v>
      </c>
      <c r="H611" t="s">
        <v>4826</v>
      </c>
      <c r="I611" t="s">
        <v>4976</v>
      </c>
      <c r="J611" s="4" t="s">
        <v>4977</v>
      </c>
      <c r="K611" s="4" t="s">
        <v>4837</v>
      </c>
      <c r="L611" s="4" t="s">
        <v>4967</v>
      </c>
      <c r="M611" s="4" t="s">
        <v>5035</v>
      </c>
      <c r="N611" t="s">
        <v>15</v>
      </c>
      <c r="O611" t="s">
        <v>2305</v>
      </c>
      <c r="P611" t="s">
        <v>23</v>
      </c>
      <c r="Q611" t="s">
        <v>24</v>
      </c>
      <c r="R611" t="s">
        <v>25</v>
      </c>
      <c r="S611" t="s">
        <v>26</v>
      </c>
      <c r="T611" s="6">
        <v>46307</v>
      </c>
      <c r="U611">
        <v>24</v>
      </c>
      <c r="V611">
        <v>24</v>
      </c>
      <c r="W611">
        <v>24</v>
      </c>
      <c r="X611">
        <v>24</v>
      </c>
      <c r="Y611">
        <f t="shared" si="92"/>
        <v>0</v>
      </c>
      <c r="Z611">
        <f t="shared" si="93"/>
        <v>0</v>
      </c>
      <c r="AC611" s="1">
        <v>0</v>
      </c>
      <c r="AF611">
        <f t="shared" si="99"/>
        <v>24</v>
      </c>
      <c r="AG611" s="7">
        <v>12</v>
      </c>
      <c r="AH611">
        <f t="shared" si="95"/>
        <v>24</v>
      </c>
      <c r="AI611">
        <f t="shared" si="91"/>
        <v>0</v>
      </c>
      <c r="AK611">
        <f t="shared" si="96"/>
        <v>2</v>
      </c>
      <c r="AL611">
        <v>13.85</v>
      </c>
      <c r="AM611" t="s">
        <v>27</v>
      </c>
      <c r="AN611">
        <v>13.85</v>
      </c>
      <c r="AO611" t="b">
        <f t="shared" si="97"/>
        <v>1</v>
      </c>
      <c r="AR611" t="s">
        <v>5061</v>
      </c>
      <c r="AS611" s="21">
        <v>46276</v>
      </c>
      <c r="AT611" t="s">
        <v>5062</v>
      </c>
      <c r="AU611" t="s">
        <v>5072</v>
      </c>
      <c r="AV611" t="s">
        <v>5062</v>
      </c>
      <c r="AW611" t="s">
        <v>5086</v>
      </c>
    </row>
    <row r="612" spans="1:49" x14ac:dyDescent="0.35">
      <c r="A612" t="s">
        <v>871</v>
      </c>
      <c r="B612" t="s">
        <v>872</v>
      </c>
      <c r="C612" t="s">
        <v>4818</v>
      </c>
      <c r="D612" t="s">
        <v>18</v>
      </c>
      <c r="E612" t="s">
        <v>2306</v>
      </c>
      <c r="F612" t="s">
        <v>2307</v>
      </c>
      <c r="G612" t="s">
        <v>21</v>
      </c>
      <c r="H612" t="s">
        <v>4826</v>
      </c>
      <c r="I612" t="s">
        <v>4976</v>
      </c>
      <c r="J612" s="4" t="s">
        <v>4977</v>
      </c>
      <c r="K612" s="4" t="s">
        <v>4832</v>
      </c>
      <c r="L612" s="4" t="s">
        <v>4968</v>
      </c>
      <c r="M612" s="4" t="s">
        <v>5035</v>
      </c>
      <c r="N612" t="s">
        <v>15</v>
      </c>
      <c r="O612" t="s">
        <v>2308</v>
      </c>
      <c r="P612" t="s">
        <v>23</v>
      </c>
      <c r="Q612" t="s">
        <v>24</v>
      </c>
      <c r="R612" t="s">
        <v>25</v>
      </c>
      <c r="S612" t="s">
        <v>26</v>
      </c>
      <c r="T612" s="6">
        <v>46307</v>
      </c>
      <c r="U612">
        <v>108</v>
      </c>
      <c r="V612">
        <v>108</v>
      </c>
      <c r="W612">
        <v>120</v>
      </c>
      <c r="X612">
        <v>120</v>
      </c>
      <c r="Y612">
        <f t="shared" si="92"/>
        <v>0</v>
      </c>
      <c r="Z612">
        <f t="shared" si="93"/>
        <v>-12</v>
      </c>
      <c r="AC612" s="1">
        <v>0</v>
      </c>
      <c r="AF612">
        <f t="shared" si="99"/>
        <v>108</v>
      </c>
      <c r="AG612" s="7">
        <v>12</v>
      </c>
      <c r="AH612">
        <f t="shared" si="95"/>
        <v>108</v>
      </c>
      <c r="AI612">
        <f t="shared" si="91"/>
        <v>0</v>
      </c>
      <c r="AK612">
        <f t="shared" si="96"/>
        <v>9</v>
      </c>
      <c r="AL612">
        <v>13.85</v>
      </c>
      <c r="AM612" t="s">
        <v>27</v>
      </c>
      <c r="AN612">
        <v>13.85</v>
      </c>
      <c r="AO612" t="b">
        <f t="shared" si="97"/>
        <v>1</v>
      </c>
      <c r="AR612" t="s">
        <v>5061</v>
      </c>
      <c r="AS612" s="21">
        <v>46276</v>
      </c>
      <c r="AT612" t="s">
        <v>5062</v>
      </c>
      <c r="AU612" t="s">
        <v>5072</v>
      </c>
      <c r="AV612" t="s">
        <v>5062</v>
      </c>
      <c r="AW612" t="s">
        <v>5086</v>
      </c>
    </row>
    <row r="613" spans="1:49" x14ac:dyDescent="0.35">
      <c r="A613" t="s">
        <v>871</v>
      </c>
      <c r="B613" t="s">
        <v>872</v>
      </c>
      <c r="C613" t="s">
        <v>4818</v>
      </c>
      <c r="D613" t="s">
        <v>18</v>
      </c>
      <c r="E613" t="s">
        <v>2309</v>
      </c>
      <c r="F613" t="s">
        <v>2310</v>
      </c>
      <c r="G613" t="s">
        <v>21</v>
      </c>
      <c r="H613" t="s">
        <v>4826</v>
      </c>
      <c r="I613" t="s">
        <v>4976</v>
      </c>
      <c r="J613" s="4" t="s">
        <v>4977</v>
      </c>
      <c r="K613" s="4" t="s">
        <v>4957</v>
      </c>
      <c r="L613" s="4" t="s">
        <v>4940</v>
      </c>
      <c r="M613" s="4" t="s">
        <v>5035</v>
      </c>
      <c r="N613" t="s">
        <v>15</v>
      </c>
      <c r="O613" t="s">
        <v>2311</v>
      </c>
      <c r="P613" t="s">
        <v>23</v>
      </c>
      <c r="Q613" t="s">
        <v>24</v>
      </c>
      <c r="R613" t="s">
        <v>25</v>
      </c>
      <c r="S613" t="s">
        <v>26</v>
      </c>
      <c r="T613" s="6">
        <v>46307</v>
      </c>
      <c r="U613">
        <v>96</v>
      </c>
      <c r="V613">
        <v>96</v>
      </c>
      <c r="W613">
        <v>108</v>
      </c>
      <c r="X613">
        <v>108</v>
      </c>
      <c r="Y613">
        <f t="shared" si="92"/>
        <v>0</v>
      </c>
      <c r="Z613">
        <f t="shared" si="93"/>
        <v>-12</v>
      </c>
      <c r="AC613" s="1">
        <v>0</v>
      </c>
      <c r="AF613">
        <f t="shared" si="99"/>
        <v>96</v>
      </c>
      <c r="AG613" s="7">
        <v>12</v>
      </c>
      <c r="AH613">
        <f t="shared" si="95"/>
        <v>96</v>
      </c>
      <c r="AI613">
        <f t="shared" si="91"/>
        <v>0</v>
      </c>
      <c r="AK613">
        <f t="shared" si="96"/>
        <v>8</v>
      </c>
      <c r="AL613">
        <v>13.85</v>
      </c>
      <c r="AM613" t="s">
        <v>27</v>
      </c>
      <c r="AN613">
        <v>13.85</v>
      </c>
      <c r="AO613" t="b">
        <f t="shared" si="97"/>
        <v>1</v>
      </c>
      <c r="AR613" t="s">
        <v>5061</v>
      </c>
      <c r="AS613" s="21">
        <v>46276</v>
      </c>
      <c r="AT613" t="s">
        <v>5062</v>
      </c>
      <c r="AU613" t="s">
        <v>5072</v>
      </c>
      <c r="AV613" t="s">
        <v>5062</v>
      </c>
      <c r="AW613" t="s">
        <v>5086</v>
      </c>
    </row>
    <row r="614" spans="1:49" x14ac:dyDescent="0.35">
      <c r="A614" t="s">
        <v>871</v>
      </c>
      <c r="B614" t="s">
        <v>872</v>
      </c>
      <c r="C614" t="s">
        <v>4818</v>
      </c>
      <c r="D614" t="s">
        <v>18</v>
      </c>
      <c r="E614" t="s">
        <v>2312</v>
      </c>
      <c r="F614" t="s">
        <v>2313</v>
      </c>
      <c r="G614" t="s">
        <v>21</v>
      </c>
      <c r="H614" t="s">
        <v>4826</v>
      </c>
      <c r="I614" t="s">
        <v>4976</v>
      </c>
      <c r="J614" s="4" t="s">
        <v>4977</v>
      </c>
      <c r="K614" s="4" t="s">
        <v>4832</v>
      </c>
      <c r="L614" s="4" t="s">
        <v>4938</v>
      </c>
      <c r="M614" s="4" t="s">
        <v>5035</v>
      </c>
      <c r="N614" t="s">
        <v>15</v>
      </c>
      <c r="O614" t="s">
        <v>2314</v>
      </c>
      <c r="P614" t="s">
        <v>23</v>
      </c>
      <c r="Q614" t="s">
        <v>24</v>
      </c>
      <c r="R614" t="s">
        <v>25</v>
      </c>
      <c r="S614" t="s">
        <v>26</v>
      </c>
      <c r="T614" s="6">
        <v>46307</v>
      </c>
      <c r="U614">
        <v>36</v>
      </c>
      <c r="V614">
        <v>36</v>
      </c>
      <c r="W614">
        <v>36</v>
      </c>
      <c r="X614">
        <v>36</v>
      </c>
      <c r="Y614">
        <f t="shared" si="92"/>
        <v>0</v>
      </c>
      <c r="Z614">
        <f t="shared" si="93"/>
        <v>0</v>
      </c>
      <c r="AC614" s="1"/>
      <c r="AF614">
        <f t="shared" si="99"/>
        <v>36</v>
      </c>
      <c r="AG614" s="7">
        <v>12</v>
      </c>
      <c r="AH614">
        <f t="shared" si="95"/>
        <v>36</v>
      </c>
      <c r="AI614">
        <f t="shared" si="91"/>
        <v>0</v>
      </c>
      <c r="AK614">
        <f t="shared" si="96"/>
        <v>3</v>
      </c>
      <c r="AL614">
        <v>13.85</v>
      </c>
      <c r="AM614" t="s">
        <v>27</v>
      </c>
      <c r="AN614">
        <v>13.85</v>
      </c>
      <c r="AO614" t="b">
        <f t="shared" si="97"/>
        <v>1</v>
      </c>
      <c r="AR614" t="s">
        <v>5061</v>
      </c>
      <c r="AS614" s="21">
        <v>46276</v>
      </c>
      <c r="AT614" t="s">
        <v>5062</v>
      </c>
      <c r="AU614" t="s">
        <v>5072</v>
      </c>
      <c r="AV614" t="s">
        <v>5062</v>
      </c>
      <c r="AW614" t="s">
        <v>5086</v>
      </c>
    </row>
    <row r="615" spans="1:49" x14ac:dyDescent="0.35">
      <c r="A615" t="s">
        <v>871</v>
      </c>
      <c r="B615" t="s">
        <v>872</v>
      </c>
      <c r="C615" t="s">
        <v>4818</v>
      </c>
      <c r="D615" t="s">
        <v>18</v>
      </c>
      <c r="E615" t="s">
        <v>2315</v>
      </c>
      <c r="F615" t="s">
        <v>2316</v>
      </c>
      <c r="G615" t="s">
        <v>21</v>
      </c>
      <c r="H615" t="s">
        <v>4826</v>
      </c>
      <c r="I615" t="s">
        <v>4976</v>
      </c>
      <c r="J615" s="4" t="s">
        <v>4977</v>
      </c>
      <c r="K615" s="4" t="s">
        <v>4957</v>
      </c>
      <c r="L615" s="4" t="s">
        <v>4962</v>
      </c>
      <c r="M615" s="4" t="s">
        <v>5035</v>
      </c>
      <c r="N615" t="s">
        <v>15</v>
      </c>
      <c r="O615" t="s">
        <v>2317</v>
      </c>
      <c r="P615" t="s">
        <v>23</v>
      </c>
      <c r="Q615" t="s">
        <v>24</v>
      </c>
      <c r="R615" t="s">
        <v>25</v>
      </c>
      <c r="S615" t="s">
        <v>26</v>
      </c>
      <c r="T615" s="6">
        <v>46307</v>
      </c>
      <c r="U615">
        <v>60</v>
      </c>
      <c r="V615">
        <v>60</v>
      </c>
      <c r="W615">
        <v>72</v>
      </c>
      <c r="X615">
        <v>72</v>
      </c>
      <c r="Y615">
        <f t="shared" si="92"/>
        <v>0</v>
      </c>
      <c r="Z615">
        <f t="shared" si="93"/>
        <v>-12</v>
      </c>
      <c r="AC615" s="1">
        <v>0</v>
      </c>
      <c r="AF615">
        <f t="shared" si="99"/>
        <v>60</v>
      </c>
      <c r="AG615" s="7">
        <v>12</v>
      </c>
      <c r="AH615">
        <f t="shared" si="95"/>
        <v>60</v>
      </c>
      <c r="AI615">
        <f t="shared" si="91"/>
        <v>0</v>
      </c>
      <c r="AK615">
        <f t="shared" si="96"/>
        <v>5</v>
      </c>
      <c r="AL615">
        <v>13.85</v>
      </c>
      <c r="AM615" t="s">
        <v>27</v>
      </c>
      <c r="AN615">
        <v>13.85</v>
      </c>
      <c r="AO615" t="b">
        <f t="shared" si="97"/>
        <v>1</v>
      </c>
      <c r="AR615" t="s">
        <v>5061</v>
      </c>
      <c r="AS615" s="21">
        <v>46276</v>
      </c>
      <c r="AT615" t="s">
        <v>5062</v>
      </c>
      <c r="AU615" t="s">
        <v>5072</v>
      </c>
      <c r="AV615" t="s">
        <v>5062</v>
      </c>
      <c r="AW615" t="s">
        <v>5086</v>
      </c>
    </row>
    <row r="616" spans="1:49" x14ac:dyDescent="0.35">
      <c r="A616" t="s">
        <v>871</v>
      </c>
      <c r="B616" t="s">
        <v>872</v>
      </c>
      <c r="C616" t="s">
        <v>4818</v>
      </c>
      <c r="D616" t="s">
        <v>18</v>
      </c>
      <c r="E616" t="s">
        <v>2318</v>
      </c>
      <c r="F616" t="s">
        <v>2319</v>
      </c>
      <c r="G616" t="s">
        <v>21</v>
      </c>
      <c r="H616" t="s">
        <v>4826</v>
      </c>
      <c r="I616" t="s">
        <v>4976</v>
      </c>
      <c r="J616" s="4" t="s">
        <v>4977</v>
      </c>
      <c r="K616" s="4" t="s">
        <v>4831</v>
      </c>
      <c r="L616" s="4" t="s">
        <v>4970</v>
      </c>
      <c r="M616" s="4" t="s">
        <v>5035</v>
      </c>
      <c r="N616" t="s">
        <v>15</v>
      </c>
      <c r="O616" t="s">
        <v>2320</v>
      </c>
      <c r="P616" t="s">
        <v>23</v>
      </c>
      <c r="Q616" t="s">
        <v>24</v>
      </c>
      <c r="R616" t="s">
        <v>25</v>
      </c>
      <c r="S616" t="s">
        <v>26</v>
      </c>
      <c r="T616" s="6">
        <v>46307</v>
      </c>
      <c r="U616">
        <v>60</v>
      </c>
      <c r="V616">
        <v>60</v>
      </c>
      <c r="W616">
        <v>60</v>
      </c>
      <c r="X616">
        <v>60</v>
      </c>
      <c r="Y616">
        <f t="shared" si="92"/>
        <v>0</v>
      </c>
      <c r="Z616">
        <f t="shared" si="93"/>
        <v>0</v>
      </c>
      <c r="AC616" s="1">
        <v>0</v>
      </c>
      <c r="AF616">
        <f t="shared" si="99"/>
        <v>60</v>
      </c>
      <c r="AG616" s="7">
        <v>12</v>
      </c>
      <c r="AH616">
        <f t="shared" si="95"/>
        <v>60</v>
      </c>
      <c r="AI616">
        <f t="shared" si="91"/>
        <v>0</v>
      </c>
      <c r="AK616">
        <f t="shared" si="96"/>
        <v>5</v>
      </c>
      <c r="AL616">
        <v>13.85</v>
      </c>
      <c r="AM616" t="s">
        <v>27</v>
      </c>
      <c r="AN616">
        <v>13.85</v>
      </c>
      <c r="AO616" t="b">
        <f t="shared" si="97"/>
        <v>1</v>
      </c>
      <c r="AR616" t="s">
        <v>5061</v>
      </c>
      <c r="AS616" s="21">
        <v>46276</v>
      </c>
      <c r="AT616" t="s">
        <v>5062</v>
      </c>
      <c r="AU616" t="s">
        <v>5072</v>
      </c>
      <c r="AV616" t="s">
        <v>5062</v>
      </c>
      <c r="AW616" t="s">
        <v>5086</v>
      </c>
    </row>
    <row r="617" spans="1:49" x14ac:dyDescent="0.35">
      <c r="A617" t="s">
        <v>871</v>
      </c>
      <c r="B617" t="s">
        <v>872</v>
      </c>
      <c r="C617" t="s">
        <v>4818</v>
      </c>
      <c r="D617" t="s">
        <v>18</v>
      </c>
      <c r="E617" t="s">
        <v>2321</v>
      </c>
      <c r="F617" t="s">
        <v>2322</v>
      </c>
      <c r="G617" t="s">
        <v>21</v>
      </c>
      <c r="H617" t="s">
        <v>4826</v>
      </c>
      <c r="I617" t="s">
        <v>4976</v>
      </c>
      <c r="J617" s="4" t="s">
        <v>4977</v>
      </c>
      <c r="K617" s="4" t="s">
        <v>4832</v>
      </c>
      <c r="L617" s="4" t="s">
        <v>4953</v>
      </c>
      <c r="M617" s="4" t="s">
        <v>5035</v>
      </c>
      <c r="N617" t="s">
        <v>15</v>
      </c>
      <c r="O617" t="s">
        <v>2323</v>
      </c>
      <c r="P617" t="s">
        <v>23</v>
      </c>
      <c r="Q617" t="s">
        <v>24</v>
      </c>
      <c r="R617" t="s">
        <v>25</v>
      </c>
      <c r="S617" t="s">
        <v>26</v>
      </c>
      <c r="T617" s="6">
        <v>46307</v>
      </c>
      <c r="U617">
        <v>132</v>
      </c>
      <c r="V617">
        <v>132</v>
      </c>
      <c r="W617">
        <v>144</v>
      </c>
      <c r="X617">
        <v>144</v>
      </c>
      <c r="Y617">
        <f t="shared" si="92"/>
        <v>0</v>
      </c>
      <c r="Z617">
        <f t="shared" si="93"/>
        <v>-12</v>
      </c>
      <c r="AC617" s="1">
        <v>0</v>
      </c>
      <c r="AF617">
        <f t="shared" si="99"/>
        <v>132</v>
      </c>
      <c r="AG617" s="7">
        <v>12</v>
      </c>
      <c r="AH617">
        <f t="shared" si="95"/>
        <v>132</v>
      </c>
      <c r="AI617">
        <f t="shared" si="91"/>
        <v>0</v>
      </c>
      <c r="AK617">
        <f t="shared" si="96"/>
        <v>11</v>
      </c>
      <c r="AL617">
        <v>13.85</v>
      </c>
      <c r="AM617" t="s">
        <v>27</v>
      </c>
      <c r="AN617">
        <v>13.85</v>
      </c>
      <c r="AO617" t="b">
        <f t="shared" si="97"/>
        <v>1</v>
      </c>
      <c r="AR617" t="s">
        <v>5061</v>
      </c>
      <c r="AS617" s="21">
        <v>46276</v>
      </c>
      <c r="AT617" t="s">
        <v>5062</v>
      </c>
      <c r="AU617" t="s">
        <v>5072</v>
      </c>
      <c r="AV617" t="s">
        <v>5062</v>
      </c>
      <c r="AW617" t="s">
        <v>5086</v>
      </c>
    </row>
    <row r="618" spans="1:49" x14ac:dyDescent="0.35">
      <c r="A618" t="s">
        <v>871</v>
      </c>
      <c r="B618" t="s">
        <v>872</v>
      </c>
      <c r="C618" t="s">
        <v>4818</v>
      </c>
      <c r="D618" t="s">
        <v>18</v>
      </c>
      <c r="E618" t="s">
        <v>2324</v>
      </c>
      <c r="F618" t="s">
        <v>2325</v>
      </c>
      <c r="G618" t="s">
        <v>21</v>
      </c>
      <c r="H618" t="s">
        <v>4826</v>
      </c>
      <c r="I618" t="s">
        <v>4976</v>
      </c>
      <c r="J618" s="4" t="s">
        <v>4977</v>
      </c>
      <c r="K618" s="4" t="s">
        <v>4837</v>
      </c>
      <c r="L618" s="4" t="s">
        <v>4941</v>
      </c>
      <c r="M618" s="4" t="s">
        <v>5035</v>
      </c>
      <c r="N618" t="s">
        <v>15</v>
      </c>
      <c r="O618" t="s">
        <v>2326</v>
      </c>
      <c r="P618" t="s">
        <v>23</v>
      </c>
      <c r="Q618" t="s">
        <v>24</v>
      </c>
      <c r="R618" t="s">
        <v>25</v>
      </c>
      <c r="S618" t="s">
        <v>26</v>
      </c>
      <c r="T618" s="6">
        <v>46307</v>
      </c>
      <c r="U618">
        <v>180</v>
      </c>
      <c r="V618">
        <v>180</v>
      </c>
      <c r="W618">
        <v>192</v>
      </c>
      <c r="X618">
        <v>192</v>
      </c>
      <c r="Y618">
        <f t="shared" si="92"/>
        <v>0</v>
      </c>
      <c r="Z618">
        <f t="shared" si="93"/>
        <v>-12</v>
      </c>
      <c r="AC618" s="1">
        <v>0</v>
      </c>
      <c r="AF618">
        <f t="shared" si="99"/>
        <v>180</v>
      </c>
      <c r="AG618" s="7">
        <v>12</v>
      </c>
      <c r="AH618">
        <f t="shared" si="95"/>
        <v>180</v>
      </c>
      <c r="AI618">
        <f t="shared" si="91"/>
        <v>0</v>
      </c>
      <c r="AK618">
        <f t="shared" si="96"/>
        <v>15</v>
      </c>
      <c r="AL618">
        <v>13.85</v>
      </c>
      <c r="AM618" t="s">
        <v>27</v>
      </c>
      <c r="AN618">
        <v>13.85</v>
      </c>
      <c r="AO618" t="b">
        <f t="shared" si="97"/>
        <v>1</v>
      </c>
      <c r="AR618" t="s">
        <v>5061</v>
      </c>
      <c r="AS618" s="21">
        <v>46276</v>
      </c>
      <c r="AT618" t="s">
        <v>5062</v>
      </c>
      <c r="AU618" t="s">
        <v>5072</v>
      </c>
      <c r="AV618" t="s">
        <v>5062</v>
      </c>
      <c r="AW618" t="s">
        <v>5086</v>
      </c>
    </row>
    <row r="619" spans="1:49" x14ac:dyDescent="0.35">
      <c r="A619" t="s">
        <v>871</v>
      </c>
      <c r="B619" t="s">
        <v>872</v>
      </c>
      <c r="C619" t="s">
        <v>4818</v>
      </c>
      <c r="D619" t="s">
        <v>18</v>
      </c>
      <c r="E619" t="s">
        <v>2327</v>
      </c>
      <c r="F619" t="s">
        <v>2328</v>
      </c>
      <c r="G619" t="s">
        <v>21</v>
      </c>
      <c r="H619" t="s">
        <v>4826</v>
      </c>
      <c r="I619" t="s">
        <v>4976</v>
      </c>
      <c r="J619" s="4" t="s">
        <v>4977</v>
      </c>
      <c r="K619" s="4" t="s">
        <v>4978</v>
      </c>
      <c r="L619" s="4" t="s">
        <v>4962</v>
      </c>
      <c r="M619" s="4" t="s">
        <v>5035</v>
      </c>
      <c r="N619" t="s">
        <v>15</v>
      </c>
      <c r="O619" t="s">
        <v>2329</v>
      </c>
      <c r="P619" t="s">
        <v>23</v>
      </c>
      <c r="Q619" t="s">
        <v>24</v>
      </c>
      <c r="R619" t="s">
        <v>25</v>
      </c>
      <c r="S619" t="s">
        <v>26</v>
      </c>
      <c r="T619" s="6">
        <v>46307</v>
      </c>
      <c r="U619">
        <v>36</v>
      </c>
      <c r="V619">
        <v>36</v>
      </c>
      <c r="W619">
        <v>36</v>
      </c>
      <c r="X619">
        <v>36</v>
      </c>
      <c r="Y619">
        <f t="shared" si="92"/>
        <v>0</v>
      </c>
      <c r="Z619">
        <f t="shared" si="93"/>
        <v>0</v>
      </c>
      <c r="AC619" s="1">
        <v>0</v>
      </c>
      <c r="AF619">
        <f t="shared" si="99"/>
        <v>36</v>
      </c>
      <c r="AG619" s="7">
        <v>12</v>
      </c>
      <c r="AH619">
        <f t="shared" si="95"/>
        <v>36</v>
      </c>
      <c r="AI619">
        <f t="shared" si="91"/>
        <v>0</v>
      </c>
      <c r="AK619">
        <f t="shared" si="96"/>
        <v>3</v>
      </c>
      <c r="AL619">
        <v>13.85</v>
      </c>
      <c r="AM619" t="s">
        <v>27</v>
      </c>
      <c r="AN619">
        <v>13.85</v>
      </c>
      <c r="AO619" t="b">
        <f t="shared" si="97"/>
        <v>1</v>
      </c>
      <c r="AR619" t="s">
        <v>5061</v>
      </c>
      <c r="AS619" s="21">
        <v>46276</v>
      </c>
      <c r="AT619" t="s">
        <v>5062</v>
      </c>
      <c r="AU619" t="s">
        <v>5072</v>
      </c>
      <c r="AV619" t="s">
        <v>5062</v>
      </c>
      <c r="AW619" t="s">
        <v>5086</v>
      </c>
    </row>
    <row r="620" spans="1:49" x14ac:dyDescent="0.35">
      <c r="A620" t="s">
        <v>871</v>
      </c>
      <c r="B620" t="s">
        <v>872</v>
      </c>
      <c r="C620" t="s">
        <v>4818</v>
      </c>
      <c r="D620" t="s">
        <v>18</v>
      </c>
      <c r="E620" t="s">
        <v>2330</v>
      </c>
      <c r="F620" t="s">
        <v>2331</v>
      </c>
      <c r="G620" t="s">
        <v>21</v>
      </c>
      <c r="H620" t="s">
        <v>4826</v>
      </c>
      <c r="I620" t="s">
        <v>4976</v>
      </c>
      <c r="J620" s="4" t="s">
        <v>4977</v>
      </c>
      <c r="K620" s="4" t="s">
        <v>4957</v>
      </c>
      <c r="L620" s="4" t="s">
        <v>4953</v>
      </c>
      <c r="M620" s="4" t="s">
        <v>5035</v>
      </c>
      <c r="N620" t="s">
        <v>15</v>
      </c>
      <c r="O620" t="s">
        <v>2332</v>
      </c>
      <c r="P620" t="s">
        <v>23</v>
      </c>
      <c r="Q620" t="s">
        <v>24</v>
      </c>
      <c r="R620" t="s">
        <v>25</v>
      </c>
      <c r="S620" t="s">
        <v>26</v>
      </c>
      <c r="T620" s="6">
        <v>46307</v>
      </c>
      <c r="U620">
        <v>60</v>
      </c>
      <c r="V620">
        <v>60</v>
      </c>
      <c r="W620">
        <v>60</v>
      </c>
      <c r="X620">
        <v>60</v>
      </c>
      <c r="Y620">
        <f t="shared" si="92"/>
        <v>0</v>
      </c>
      <c r="Z620">
        <f t="shared" si="93"/>
        <v>0</v>
      </c>
      <c r="AC620" s="1">
        <v>0</v>
      </c>
      <c r="AF620">
        <f t="shared" si="99"/>
        <v>60</v>
      </c>
      <c r="AG620" s="7">
        <v>12</v>
      </c>
      <c r="AH620">
        <f t="shared" si="95"/>
        <v>60</v>
      </c>
      <c r="AI620">
        <f t="shared" si="91"/>
        <v>0</v>
      </c>
      <c r="AK620">
        <f t="shared" si="96"/>
        <v>5</v>
      </c>
      <c r="AL620">
        <v>13.85</v>
      </c>
      <c r="AM620" t="s">
        <v>27</v>
      </c>
      <c r="AN620">
        <v>13.85</v>
      </c>
      <c r="AO620" t="b">
        <f t="shared" si="97"/>
        <v>1</v>
      </c>
      <c r="AR620" t="s">
        <v>5061</v>
      </c>
      <c r="AS620" s="21">
        <v>46276</v>
      </c>
      <c r="AT620" t="s">
        <v>5062</v>
      </c>
      <c r="AU620" t="s">
        <v>5072</v>
      </c>
      <c r="AV620" t="s">
        <v>5062</v>
      </c>
      <c r="AW620" t="s">
        <v>5086</v>
      </c>
    </row>
    <row r="621" spans="1:49" x14ac:dyDescent="0.35">
      <c r="A621" t="s">
        <v>871</v>
      </c>
      <c r="B621" t="s">
        <v>872</v>
      </c>
      <c r="C621" t="s">
        <v>4818</v>
      </c>
      <c r="D621" t="s">
        <v>18</v>
      </c>
      <c r="E621" t="s">
        <v>2333</v>
      </c>
      <c r="F621" t="s">
        <v>2334</v>
      </c>
      <c r="G621" t="s">
        <v>21</v>
      </c>
      <c r="H621" t="s">
        <v>4826</v>
      </c>
      <c r="I621" t="s">
        <v>4976</v>
      </c>
      <c r="J621" s="4" t="s">
        <v>4977</v>
      </c>
      <c r="K621" s="4" t="s">
        <v>4978</v>
      </c>
      <c r="L621" s="4" t="s">
        <v>4973</v>
      </c>
      <c r="M621" s="4" t="s">
        <v>5035</v>
      </c>
      <c r="N621" t="s">
        <v>15</v>
      </c>
      <c r="O621" t="s">
        <v>2335</v>
      </c>
      <c r="P621" t="s">
        <v>23</v>
      </c>
      <c r="Q621" t="s">
        <v>24</v>
      </c>
      <c r="R621" t="s">
        <v>25</v>
      </c>
      <c r="S621" t="s">
        <v>26</v>
      </c>
      <c r="T621" s="6">
        <v>46307</v>
      </c>
      <c r="U621">
        <v>48</v>
      </c>
      <c r="V621">
        <v>48</v>
      </c>
      <c r="W621">
        <v>48</v>
      </c>
      <c r="X621">
        <v>48</v>
      </c>
      <c r="Y621">
        <f t="shared" si="92"/>
        <v>0</v>
      </c>
      <c r="Z621">
        <f t="shared" si="93"/>
        <v>0</v>
      </c>
      <c r="AC621" s="1">
        <v>0</v>
      </c>
      <c r="AF621">
        <f t="shared" si="99"/>
        <v>48</v>
      </c>
      <c r="AG621" s="7">
        <v>12</v>
      </c>
      <c r="AH621">
        <f t="shared" si="95"/>
        <v>48</v>
      </c>
      <c r="AI621">
        <f t="shared" si="91"/>
        <v>0</v>
      </c>
      <c r="AK621">
        <f t="shared" si="96"/>
        <v>4</v>
      </c>
      <c r="AL621">
        <v>13.85</v>
      </c>
      <c r="AM621" t="s">
        <v>27</v>
      </c>
      <c r="AN621">
        <v>13.85</v>
      </c>
      <c r="AO621" t="b">
        <f t="shared" si="97"/>
        <v>1</v>
      </c>
      <c r="AR621" t="s">
        <v>5061</v>
      </c>
      <c r="AS621" s="21">
        <v>46276</v>
      </c>
      <c r="AT621" t="s">
        <v>5062</v>
      </c>
      <c r="AU621" t="s">
        <v>5072</v>
      </c>
      <c r="AV621" t="s">
        <v>5062</v>
      </c>
      <c r="AW621" t="s">
        <v>5086</v>
      </c>
    </row>
    <row r="622" spans="1:49" x14ac:dyDescent="0.35">
      <c r="A622" t="s">
        <v>871</v>
      </c>
      <c r="B622" t="s">
        <v>872</v>
      </c>
      <c r="C622" t="s">
        <v>4818</v>
      </c>
      <c r="D622" t="s">
        <v>18</v>
      </c>
      <c r="E622" t="s">
        <v>2336</v>
      </c>
      <c r="F622" t="s">
        <v>2337</v>
      </c>
      <c r="G622" t="s">
        <v>21</v>
      </c>
      <c r="H622" t="s">
        <v>4826</v>
      </c>
      <c r="I622" t="s">
        <v>4976</v>
      </c>
      <c r="J622" s="4" t="s">
        <v>4977</v>
      </c>
      <c r="K622" s="4" t="s">
        <v>4837</v>
      </c>
      <c r="L622" s="4" t="s">
        <v>4952</v>
      </c>
      <c r="M622" s="4" t="s">
        <v>5035</v>
      </c>
      <c r="N622" t="s">
        <v>15</v>
      </c>
      <c r="O622" t="s">
        <v>2338</v>
      </c>
      <c r="P622" t="s">
        <v>23</v>
      </c>
      <c r="Q622" t="s">
        <v>24</v>
      </c>
      <c r="R622" t="s">
        <v>25</v>
      </c>
      <c r="S622" t="s">
        <v>26</v>
      </c>
      <c r="T622" s="6">
        <v>46307</v>
      </c>
      <c r="U622">
        <v>24</v>
      </c>
      <c r="V622">
        <v>24</v>
      </c>
      <c r="W622">
        <v>24</v>
      </c>
      <c r="X622">
        <v>24</v>
      </c>
      <c r="Y622">
        <f t="shared" si="92"/>
        <v>0</v>
      </c>
      <c r="Z622">
        <f t="shared" si="93"/>
        <v>0</v>
      </c>
      <c r="AC622" s="1">
        <v>0</v>
      </c>
      <c r="AF622">
        <f t="shared" si="99"/>
        <v>24</v>
      </c>
      <c r="AG622" s="7">
        <v>12</v>
      </c>
      <c r="AH622">
        <f t="shared" si="95"/>
        <v>24</v>
      </c>
      <c r="AI622">
        <f t="shared" si="91"/>
        <v>0</v>
      </c>
      <c r="AK622">
        <f t="shared" si="96"/>
        <v>2</v>
      </c>
      <c r="AL622">
        <v>13.85</v>
      </c>
      <c r="AM622" t="s">
        <v>27</v>
      </c>
      <c r="AN622">
        <v>13.85</v>
      </c>
      <c r="AO622" t="b">
        <f t="shared" si="97"/>
        <v>1</v>
      </c>
      <c r="AR622" t="s">
        <v>5061</v>
      </c>
      <c r="AS622" s="21">
        <v>46276</v>
      </c>
      <c r="AT622" t="s">
        <v>5062</v>
      </c>
      <c r="AU622" t="s">
        <v>5072</v>
      </c>
      <c r="AV622" t="s">
        <v>5062</v>
      </c>
      <c r="AW622" t="s">
        <v>5086</v>
      </c>
    </row>
    <row r="623" spans="1:49" x14ac:dyDescent="0.35">
      <c r="A623" t="s">
        <v>871</v>
      </c>
      <c r="B623" t="s">
        <v>872</v>
      </c>
      <c r="C623" t="s">
        <v>4818</v>
      </c>
      <c r="D623" t="s">
        <v>18</v>
      </c>
      <c r="E623" t="s">
        <v>2339</v>
      </c>
      <c r="F623" t="s">
        <v>2340</v>
      </c>
      <c r="G623" t="s">
        <v>21</v>
      </c>
      <c r="H623" t="s">
        <v>4826</v>
      </c>
      <c r="I623" t="s">
        <v>4976</v>
      </c>
      <c r="J623" s="4" t="s">
        <v>4977</v>
      </c>
      <c r="K623" s="4" t="s">
        <v>4837</v>
      </c>
      <c r="L623" s="4" t="s">
        <v>4969</v>
      </c>
      <c r="M623" s="4" t="s">
        <v>5035</v>
      </c>
      <c r="N623" t="s">
        <v>15</v>
      </c>
      <c r="O623" t="s">
        <v>2341</v>
      </c>
      <c r="P623" t="s">
        <v>23</v>
      </c>
      <c r="Q623" t="s">
        <v>24</v>
      </c>
      <c r="R623" t="s">
        <v>25</v>
      </c>
      <c r="S623" t="s">
        <v>26</v>
      </c>
      <c r="T623" s="6">
        <v>46307</v>
      </c>
      <c r="U623">
        <v>60</v>
      </c>
      <c r="V623">
        <v>60</v>
      </c>
      <c r="W623">
        <v>60</v>
      </c>
      <c r="X623">
        <v>60</v>
      </c>
      <c r="Y623">
        <f t="shared" si="92"/>
        <v>0</v>
      </c>
      <c r="Z623">
        <f t="shared" si="93"/>
        <v>0</v>
      </c>
      <c r="AC623" s="1">
        <v>0</v>
      </c>
      <c r="AF623">
        <f t="shared" si="99"/>
        <v>60</v>
      </c>
      <c r="AG623" s="7">
        <v>12</v>
      </c>
      <c r="AH623">
        <f t="shared" si="95"/>
        <v>60</v>
      </c>
      <c r="AI623">
        <f t="shared" si="91"/>
        <v>0</v>
      </c>
      <c r="AK623">
        <f t="shared" si="96"/>
        <v>5</v>
      </c>
      <c r="AL623">
        <v>13.85</v>
      </c>
      <c r="AM623" t="s">
        <v>27</v>
      </c>
      <c r="AN623">
        <v>13.85</v>
      </c>
      <c r="AO623" t="b">
        <f t="shared" si="97"/>
        <v>1</v>
      </c>
      <c r="AR623" t="s">
        <v>5061</v>
      </c>
      <c r="AS623" s="21">
        <v>46276</v>
      </c>
      <c r="AT623" t="s">
        <v>5062</v>
      </c>
      <c r="AU623" t="s">
        <v>5072</v>
      </c>
      <c r="AV623" t="s">
        <v>5062</v>
      </c>
      <c r="AW623" t="s">
        <v>5086</v>
      </c>
    </row>
    <row r="624" spans="1:49" x14ac:dyDescent="0.35">
      <c r="A624" t="s">
        <v>871</v>
      </c>
      <c r="B624" t="s">
        <v>872</v>
      </c>
      <c r="C624" t="s">
        <v>4818</v>
      </c>
      <c r="D624" t="s">
        <v>18</v>
      </c>
      <c r="E624" t="s">
        <v>2342</v>
      </c>
      <c r="F624" t="s">
        <v>2343</v>
      </c>
      <c r="G624" t="s">
        <v>21</v>
      </c>
      <c r="H624" t="s">
        <v>4826</v>
      </c>
      <c r="I624" t="s">
        <v>4976</v>
      </c>
      <c r="J624" s="4" t="s">
        <v>4977</v>
      </c>
      <c r="K624" s="4" t="s">
        <v>4832</v>
      </c>
      <c r="L624" s="4" t="s">
        <v>4942</v>
      </c>
      <c r="M624" s="4" t="s">
        <v>5035</v>
      </c>
      <c r="N624" t="s">
        <v>15</v>
      </c>
      <c r="O624" t="s">
        <v>2344</v>
      </c>
      <c r="P624" t="s">
        <v>23</v>
      </c>
      <c r="Q624" t="s">
        <v>24</v>
      </c>
      <c r="R624" t="s">
        <v>25</v>
      </c>
      <c r="S624" t="s">
        <v>26</v>
      </c>
      <c r="T624" s="6">
        <v>46307</v>
      </c>
      <c r="U624">
        <v>12</v>
      </c>
      <c r="V624">
        <v>12</v>
      </c>
      <c r="W624">
        <v>12</v>
      </c>
      <c r="X624">
        <v>12</v>
      </c>
      <c r="Y624">
        <f t="shared" si="92"/>
        <v>0</v>
      </c>
      <c r="Z624">
        <f t="shared" si="93"/>
        <v>0</v>
      </c>
      <c r="AC624" s="1">
        <v>0</v>
      </c>
      <c r="AF624">
        <f t="shared" si="99"/>
        <v>12</v>
      </c>
      <c r="AG624" s="7">
        <v>12</v>
      </c>
      <c r="AH624">
        <f t="shared" si="95"/>
        <v>12</v>
      </c>
      <c r="AI624">
        <f t="shared" si="91"/>
        <v>0</v>
      </c>
      <c r="AK624">
        <f t="shared" si="96"/>
        <v>1</v>
      </c>
      <c r="AL624">
        <v>13.85</v>
      </c>
      <c r="AM624" t="s">
        <v>27</v>
      </c>
      <c r="AN624">
        <v>13.85</v>
      </c>
      <c r="AO624" t="b">
        <f t="shared" si="97"/>
        <v>1</v>
      </c>
      <c r="AR624" t="s">
        <v>5061</v>
      </c>
      <c r="AS624" s="21">
        <v>46276</v>
      </c>
      <c r="AT624" t="s">
        <v>5062</v>
      </c>
      <c r="AU624" t="s">
        <v>5072</v>
      </c>
      <c r="AV624" t="s">
        <v>5062</v>
      </c>
      <c r="AW624" t="s">
        <v>5086</v>
      </c>
    </row>
    <row r="625" spans="1:49" x14ac:dyDescent="0.35">
      <c r="A625" t="s">
        <v>871</v>
      </c>
      <c r="B625" t="s">
        <v>872</v>
      </c>
      <c r="C625" t="s">
        <v>4818</v>
      </c>
      <c r="D625" t="s">
        <v>18</v>
      </c>
      <c r="E625" t="s">
        <v>2345</v>
      </c>
      <c r="F625" t="s">
        <v>2346</v>
      </c>
      <c r="G625" t="s">
        <v>21</v>
      </c>
      <c r="H625" t="s">
        <v>4826</v>
      </c>
      <c r="I625" t="s">
        <v>4976</v>
      </c>
      <c r="J625" s="4" t="s">
        <v>4977</v>
      </c>
      <c r="K625" s="4" t="s">
        <v>4837</v>
      </c>
      <c r="L625" s="4" t="s">
        <v>4953</v>
      </c>
      <c r="M625" s="4" t="s">
        <v>5035</v>
      </c>
      <c r="N625" t="s">
        <v>15</v>
      </c>
      <c r="O625" t="s">
        <v>2347</v>
      </c>
      <c r="P625" t="s">
        <v>23</v>
      </c>
      <c r="Q625" t="s">
        <v>24</v>
      </c>
      <c r="R625" t="s">
        <v>25</v>
      </c>
      <c r="S625" t="s">
        <v>26</v>
      </c>
      <c r="T625" s="6">
        <v>46307</v>
      </c>
      <c r="U625">
        <v>60</v>
      </c>
      <c r="V625">
        <v>60</v>
      </c>
      <c r="W625">
        <v>60</v>
      </c>
      <c r="X625">
        <v>60</v>
      </c>
      <c r="Y625">
        <f t="shared" si="92"/>
        <v>0</v>
      </c>
      <c r="Z625">
        <f t="shared" si="93"/>
        <v>0</v>
      </c>
      <c r="AC625" s="1">
        <v>0</v>
      </c>
      <c r="AF625">
        <f t="shared" si="99"/>
        <v>60</v>
      </c>
      <c r="AG625" s="7">
        <v>12</v>
      </c>
      <c r="AH625">
        <f t="shared" si="95"/>
        <v>60</v>
      </c>
      <c r="AI625">
        <f t="shared" si="91"/>
        <v>0</v>
      </c>
      <c r="AK625">
        <f t="shared" si="96"/>
        <v>5</v>
      </c>
      <c r="AL625">
        <v>13.85</v>
      </c>
      <c r="AM625" t="s">
        <v>27</v>
      </c>
      <c r="AN625">
        <v>13.85</v>
      </c>
      <c r="AO625" t="b">
        <f t="shared" si="97"/>
        <v>1</v>
      </c>
      <c r="AR625" t="s">
        <v>5061</v>
      </c>
      <c r="AS625" s="21">
        <v>46276</v>
      </c>
      <c r="AT625" t="s">
        <v>5062</v>
      </c>
      <c r="AU625" t="s">
        <v>5072</v>
      </c>
      <c r="AV625" t="s">
        <v>5062</v>
      </c>
      <c r="AW625" t="s">
        <v>5086</v>
      </c>
    </row>
    <row r="626" spans="1:49" x14ac:dyDescent="0.35">
      <c r="A626" t="s">
        <v>871</v>
      </c>
      <c r="B626" t="s">
        <v>872</v>
      </c>
      <c r="C626" t="s">
        <v>4818</v>
      </c>
      <c r="D626" t="s">
        <v>18</v>
      </c>
      <c r="E626" t="s">
        <v>2348</v>
      </c>
      <c r="F626" t="s">
        <v>2349</v>
      </c>
      <c r="G626" t="s">
        <v>21</v>
      </c>
      <c r="H626" t="s">
        <v>4826</v>
      </c>
      <c r="I626" t="s">
        <v>4976</v>
      </c>
      <c r="J626" s="4" t="s">
        <v>4977</v>
      </c>
      <c r="K626" s="4" t="s">
        <v>4978</v>
      </c>
      <c r="L626" s="4" t="s">
        <v>4969</v>
      </c>
      <c r="M626" s="4" t="s">
        <v>5035</v>
      </c>
      <c r="N626" t="s">
        <v>15</v>
      </c>
      <c r="O626" t="s">
        <v>2350</v>
      </c>
      <c r="P626" t="s">
        <v>23</v>
      </c>
      <c r="Q626" t="s">
        <v>24</v>
      </c>
      <c r="R626" t="s">
        <v>25</v>
      </c>
      <c r="S626" t="s">
        <v>26</v>
      </c>
      <c r="T626" s="6">
        <v>46307</v>
      </c>
      <c r="U626">
        <v>12</v>
      </c>
      <c r="V626">
        <v>12</v>
      </c>
      <c r="W626">
        <v>12</v>
      </c>
      <c r="X626">
        <v>12</v>
      </c>
      <c r="Y626">
        <f t="shared" si="92"/>
        <v>0</v>
      </c>
      <c r="Z626">
        <f t="shared" si="93"/>
        <v>0</v>
      </c>
      <c r="AC626" s="1">
        <v>0</v>
      </c>
      <c r="AF626">
        <f t="shared" si="99"/>
        <v>12</v>
      </c>
      <c r="AG626" s="7">
        <v>12</v>
      </c>
      <c r="AH626">
        <f t="shared" si="95"/>
        <v>12</v>
      </c>
      <c r="AI626">
        <f t="shared" si="91"/>
        <v>0</v>
      </c>
      <c r="AK626">
        <f t="shared" si="96"/>
        <v>1</v>
      </c>
      <c r="AL626">
        <v>13.85</v>
      </c>
      <c r="AM626" t="s">
        <v>27</v>
      </c>
      <c r="AN626">
        <v>13.85</v>
      </c>
      <c r="AO626" t="b">
        <f t="shared" si="97"/>
        <v>1</v>
      </c>
      <c r="AR626" t="s">
        <v>5061</v>
      </c>
      <c r="AS626" s="21">
        <v>46276</v>
      </c>
      <c r="AT626" t="s">
        <v>5062</v>
      </c>
      <c r="AU626" t="s">
        <v>5072</v>
      </c>
      <c r="AV626" t="s">
        <v>5062</v>
      </c>
      <c r="AW626" t="s">
        <v>5086</v>
      </c>
    </row>
    <row r="627" spans="1:49" x14ac:dyDescent="0.35">
      <c r="A627" t="s">
        <v>871</v>
      </c>
      <c r="B627" t="s">
        <v>872</v>
      </c>
      <c r="C627" t="s">
        <v>4818</v>
      </c>
      <c r="D627" t="s">
        <v>18</v>
      </c>
      <c r="E627" t="s">
        <v>2351</v>
      </c>
      <c r="F627" t="s">
        <v>2352</v>
      </c>
      <c r="G627" t="s">
        <v>21</v>
      </c>
      <c r="H627" t="s">
        <v>4826</v>
      </c>
      <c r="I627" t="s">
        <v>4976</v>
      </c>
      <c r="J627" s="4" t="s">
        <v>4977</v>
      </c>
      <c r="K627" s="4" t="s">
        <v>4957</v>
      </c>
      <c r="L627" s="4" t="s">
        <v>4946</v>
      </c>
      <c r="M627" s="4" t="s">
        <v>5035</v>
      </c>
      <c r="N627" t="s">
        <v>15</v>
      </c>
      <c r="O627" t="s">
        <v>2353</v>
      </c>
      <c r="P627" t="s">
        <v>23</v>
      </c>
      <c r="Q627" t="s">
        <v>24</v>
      </c>
      <c r="R627" t="s">
        <v>25</v>
      </c>
      <c r="S627" t="s">
        <v>26</v>
      </c>
      <c r="T627" s="6">
        <v>46307</v>
      </c>
      <c r="U627">
        <v>48</v>
      </c>
      <c r="V627">
        <v>48</v>
      </c>
      <c r="W627">
        <v>48</v>
      </c>
      <c r="X627">
        <v>48</v>
      </c>
      <c r="Y627">
        <f t="shared" si="92"/>
        <v>0</v>
      </c>
      <c r="Z627">
        <f t="shared" si="93"/>
        <v>0</v>
      </c>
      <c r="AC627" s="1">
        <v>0</v>
      </c>
      <c r="AF627">
        <f t="shared" si="99"/>
        <v>48</v>
      </c>
      <c r="AG627" s="7">
        <v>12</v>
      </c>
      <c r="AH627">
        <f t="shared" si="95"/>
        <v>48</v>
      </c>
      <c r="AI627">
        <f t="shared" si="91"/>
        <v>0</v>
      </c>
      <c r="AK627">
        <f t="shared" si="96"/>
        <v>4</v>
      </c>
      <c r="AL627">
        <v>13.85</v>
      </c>
      <c r="AM627" t="s">
        <v>27</v>
      </c>
      <c r="AN627">
        <v>13.85</v>
      </c>
      <c r="AO627" t="b">
        <f t="shared" si="97"/>
        <v>1</v>
      </c>
      <c r="AR627" t="s">
        <v>5061</v>
      </c>
      <c r="AS627" s="21">
        <v>46276</v>
      </c>
      <c r="AT627" t="s">
        <v>5062</v>
      </c>
      <c r="AU627" t="s">
        <v>5072</v>
      </c>
      <c r="AV627" t="s">
        <v>5062</v>
      </c>
      <c r="AW627" t="s">
        <v>5086</v>
      </c>
    </row>
    <row r="628" spans="1:49" x14ac:dyDescent="0.35">
      <c r="A628" t="s">
        <v>871</v>
      </c>
      <c r="B628" t="s">
        <v>872</v>
      </c>
      <c r="C628" t="s">
        <v>4818</v>
      </c>
      <c r="D628" t="s">
        <v>18</v>
      </c>
      <c r="E628" t="s">
        <v>2354</v>
      </c>
      <c r="F628" t="s">
        <v>2355</v>
      </c>
      <c r="G628" t="s">
        <v>21</v>
      </c>
      <c r="H628" t="s">
        <v>4826</v>
      </c>
      <c r="I628" t="s">
        <v>4976</v>
      </c>
      <c r="J628" s="4" t="s">
        <v>4977</v>
      </c>
      <c r="K628" s="4" t="s">
        <v>4832</v>
      </c>
      <c r="L628" s="4" t="s">
        <v>4962</v>
      </c>
      <c r="M628" s="4" t="s">
        <v>5035</v>
      </c>
      <c r="N628" t="s">
        <v>15</v>
      </c>
      <c r="O628" t="s">
        <v>2356</v>
      </c>
      <c r="P628" t="s">
        <v>23</v>
      </c>
      <c r="Q628" t="s">
        <v>24</v>
      </c>
      <c r="R628" t="s">
        <v>25</v>
      </c>
      <c r="S628" t="s">
        <v>26</v>
      </c>
      <c r="T628" s="6">
        <v>46307</v>
      </c>
      <c r="U628">
        <v>12</v>
      </c>
      <c r="V628">
        <v>12</v>
      </c>
      <c r="W628">
        <v>12</v>
      </c>
      <c r="X628">
        <v>12</v>
      </c>
      <c r="Y628">
        <f t="shared" si="92"/>
        <v>0</v>
      </c>
      <c r="Z628">
        <f t="shared" si="93"/>
        <v>0</v>
      </c>
      <c r="AC628" s="1">
        <v>0</v>
      </c>
      <c r="AF628">
        <f t="shared" si="99"/>
        <v>12</v>
      </c>
      <c r="AG628" s="7">
        <v>12</v>
      </c>
      <c r="AH628">
        <f t="shared" si="95"/>
        <v>12</v>
      </c>
      <c r="AI628">
        <f t="shared" si="91"/>
        <v>0</v>
      </c>
      <c r="AK628">
        <f t="shared" si="96"/>
        <v>1</v>
      </c>
      <c r="AL628">
        <v>13.85</v>
      </c>
      <c r="AM628" t="s">
        <v>27</v>
      </c>
      <c r="AN628">
        <v>13.85</v>
      </c>
      <c r="AO628" t="b">
        <f t="shared" si="97"/>
        <v>1</v>
      </c>
      <c r="AR628" t="s">
        <v>5061</v>
      </c>
      <c r="AS628" s="21">
        <v>46276</v>
      </c>
      <c r="AT628" t="s">
        <v>5062</v>
      </c>
      <c r="AU628" t="s">
        <v>5072</v>
      </c>
      <c r="AV628" t="s">
        <v>5062</v>
      </c>
      <c r="AW628" t="s">
        <v>5086</v>
      </c>
    </row>
    <row r="629" spans="1:49" x14ac:dyDescent="0.35">
      <c r="A629" t="s">
        <v>871</v>
      </c>
      <c r="B629" t="s">
        <v>872</v>
      </c>
      <c r="C629" t="s">
        <v>4818</v>
      </c>
      <c r="D629" t="s">
        <v>18</v>
      </c>
      <c r="E629" t="s">
        <v>2357</v>
      </c>
      <c r="F629" t="s">
        <v>2358</v>
      </c>
      <c r="G629" t="s">
        <v>21</v>
      </c>
      <c r="H629" t="s">
        <v>4826</v>
      </c>
      <c r="I629" t="s">
        <v>4976</v>
      </c>
      <c r="J629" s="4" t="s">
        <v>4977</v>
      </c>
      <c r="K629" s="4" t="s">
        <v>4837</v>
      </c>
      <c r="L629" s="4" t="s">
        <v>4938</v>
      </c>
      <c r="M629" s="4" t="s">
        <v>5035</v>
      </c>
      <c r="N629" t="s">
        <v>15</v>
      </c>
      <c r="O629" t="s">
        <v>2359</v>
      </c>
      <c r="P629" t="s">
        <v>23</v>
      </c>
      <c r="Q629" t="s">
        <v>24</v>
      </c>
      <c r="R629" t="s">
        <v>25</v>
      </c>
      <c r="S629" t="s">
        <v>26</v>
      </c>
      <c r="T629" s="6">
        <v>46307</v>
      </c>
      <c r="U629">
        <v>324</v>
      </c>
      <c r="V629">
        <v>324</v>
      </c>
      <c r="W629">
        <v>348</v>
      </c>
      <c r="X629">
        <v>348</v>
      </c>
      <c r="Y629">
        <f t="shared" si="92"/>
        <v>0</v>
      </c>
      <c r="Z629">
        <f t="shared" si="93"/>
        <v>-24</v>
      </c>
      <c r="AC629" s="1"/>
      <c r="AF629">
        <f t="shared" si="99"/>
        <v>324</v>
      </c>
      <c r="AG629" s="7">
        <v>12</v>
      </c>
      <c r="AH629">
        <f t="shared" si="95"/>
        <v>324</v>
      </c>
      <c r="AI629">
        <f t="shared" si="91"/>
        <v>0</v>
      </c>
      <c r="AK629">
        <f t="shared" si="96"/>
        <v>27</v>
      </c>
      <c r="AL629">
        <v>13.85</v>
      </c>
      <c r="AM629" t="s">
        <v>27</v>
      </c>
      <c r="AN629">
        <v>13.85</v>
      </c>
      <c r="AO629" t="b">
        <f t="shared" si="97"/>
        <v>1</v>
      </c>
      <c r="AR629" t="s">
        <v>5061</v>
      </c>
      <c r="AS629" s="21">
        <v>46276</v>
      </c>
      <c r="AT629" t="s">
        <v>5062</v>
      </c>
      <c r="AU629" t="s">
        <v>5072</v>
      </c>
      <c r="AV629" t="s">
        <v>5062</v>
      </c>
      <c r="AW629" t="s">
        <v>5086</v>
      </c>
    </row>
    <row r="630" spans="1:49" x14ac:dyDescent="0.35">
      <c r="A630" t="s">
        <v>871</v>
      </c>
      <c r="B630" t="s">
        <v>872</v>
      </c>
      <c r="C630" t="s">
        <v>4818</v>
      </c>
      <c r="D630" t="s">
        <v>18</v>
      </c>
      <c r="E630" t="s">
        <v>2360</v>
      </c>
      <c r="F630" t="s">
        <v>2361</v>
      </c>
      <c r="G630" t="s">
        <v>21</v>
      </c>
      <c r="H630" t="s">
        <v>4826</v>
      </c>
      <c r="I630" t="s">
        <v>4976</v>
      </c>
      <c r="J630" s="4" t="s">
        <v>4977</v>
      </c>
      <c r="K630" s="4" t="s">
        <v>4832</v>
      </c>
      <c r="L630" s="4" t="s">
        <v>4973</v>
      </c>
      <c r="M630" s="4" t="s">
        <v>5035</v>
      </c>
      <c r="N630" t="s">
        <v>15</v>
      </c>
      <c r="O630" t="s">
        <v>2362</v>
      </c>
      <c r="P630" t="s">
        <v>23</v>
      </c>
      <c r="Q630" t="s">
        <v>24</v>
      </c>
      <c r="R630" t="s">
        <v>25</v>
      </c>
      <c r="S630" t="s">
        <v>26</v>
      </c>
      <c r="T630" s="6">
        <v>46307</v>
      </c>
      <c r="U630">
        <v>156</v>
      </c>
      <c r="V630">
        <v>156</v>
      </c>
      <c r="W630">
        <v>168</v>
      </c>
      <c r="X630">
        <v>168</v>
      </c>
      <c r="Y630">
        <f t="shared" si="92"/>
        <v>0</v>
      </c>
      <c r="Z630">
        <f t="shared" si="93"/>
        <v>-12</v>
      </c>
      <c r="AC630" s="1">
        <v>0</v>
      </c>
      <c r="AF630">
        <f t="shared" ref="AF630:AF651" si="100">V630</f>
        <v>156</v>
      </c>
      <c r="AG630" s="7">
        <v>12</v>
      </c>
      <c r="AH630">
        <f t="shared" si="95"/>
        <v>156</v>
      </c>
      <c r="AI630">
        <f t="shared" si="91"/>
        <v>0</v>
      </c>
      <c r="AK630">
        <f t="shared" si="96"/>
        <v>13</v>
      </c>
      <c r="AL630">
        <v>13.85</v>
      </c>
      <c r="AM630" t="s">
        <v>27</v>
      </c>
      <c r="AN630">
        <v>13.85</v>
      </c>
      <c r="AO630" t="b">
        <f t="shared" si="97"/>
        <v>1</v>
      </c>
      <c r="AR630" t="s">
        <v>5061</v>
      </c>
      <c r="AS630" s="21">
        <v>46276</v>
      </c>
      <c r="AT630" t="s">
        <v>5062</v>
      </c>
      <c r="AU630" t="s">
        <v>5072</v>
      </c>
      <c r="AV630" t="s">
        <v>5062</v>
      </c>
      <c r="AW630" t="s">
        <v>5086</v>
      </c>
    </row>
    <row r="631" spans="1:49" x14ac:dyDescent="0.35">
      <c r="A631" t="s">
        <v>871</v>
      </c>
      <c r="B631" t="s">
        <v>872</v>
      </c>
      <c r="C631" t="s">
        <v>4818</v>
      </c>
      <c r="D631" t="s">
        <v>18</v>
      </c>
      <c r="E631" t="s">
        <v>2363</v>
      </c>
      <c r="F631" t="s">
        <v>2364</v>
      </c>
      <c r="G631" t="s">
        <v>21</v>
      </c>
      <c r="H631" t="s">
        <v>4826</v>
      </c>
      <c r="I631" t="s">
        <v>4976</v>
      </c>
      <c r="J631" s="4" t="s">
        <v>4977</v>
      </c>
      <c r="K631" s="4" t="s">
        <v>4957</v>
      </c>
      <c r="L631" s="4" t="s">
        <v>4974</v>
      </c>
      <c r="M631" s="4" t="s">
        <v>5035</v>
      </c>
      <c r="N631" t="s">
        <v>15</v>
      </c>
      <c r="O631" t="s">
        <v>2365</v>
      </c>
      <c r="P631" t="s">
        <v>23</v>
      </c>
      <c r="Q631" t="s">
        <v>24</v>
      </c>
      <c r="R631" t="s">
        <v>25</v>
      </c>
      <c r="S631" t="s">
        <v>26</v>
      </c>
      <c r="T631" s="6">
        <v>46307</v>
      </c>
      <c r="U631">
        <v>156</v>
      </c>
      <c r="V631">
        <v>156</v>
      </c>
      <c r="W631">
        <v>168</v>
      </c>
      <c r="X631">
        <v>168</v>
      </c>
      <c r="Y631">
        <f t="shared" si="92"/>
        <v>0</v>
      </c>
      <c r="Z631">
        <f t="shared" si="93"/>
        <v>-12</v>
      </c>
      <c r="AC631" s="1">
        <v>0</v>
      </c>
      <c r="AF631">
        <f t="shared" si="100"/>
        <v>156</v>
      </c>
      <c r="AG631" s="7">
        <v>12</v>
      </c>
      <c r="AH631">
        <f t="shared" si="95"/>
        <v>156</v>
      </c>
      <c r="AI631">
        <f t="shared" si="91"/>
        <v>0</v>
      </c>
      <c r="AK631">
        <f t="shared" si="96"/>
        <v>13</v>
      </c>
      <c r="AL631">
        <v>13.85</v>
      </c>
      <c r="AM631" t="s">
        <v>27</v>
      </c>
      <c r="AN631">
        <v>13.85</v>
      </c>
      <c r="AO631" t="b">
        <f t="shared" si="97"/>
        <v>1</v>
      </c>
      <c r="AR631" t="s">
        <v>5061</v>
      </c>
      <c r="AS631" s="21">
        <v>46276</v>
      </c>
      <c r="AT631" t="s">
        <v>5062</v>
      </c>
      <c r="AU631" t="s">
        <v>5072</v>
      </c>
      <c r="AV631" t="s">
        <v>5062</v>
      </c>
      <c r="AW631" t="s">
        <v>5086</v>
      </c>
    </row>
    <row r="632" spans="1:49" x14ac:dyDescent="0.35">
      <c r="A632" t="s">
        <v>871</v>
      </c>
      <c r="B632" t="s">
        <v>872</v>
      </c>
      <c r="C632" t="s">
        <v>4818</v>
      </c>
      <c r="D632" t="s">
        <v>18</v>
      </c>
      <c r="E632" t="s">
        <v>2366</v>
      </c>
      <c r="F632" t="s">
        <v>2367</v>
      </c>
      <c r="G632" t="s">
        <v>21</v>
      </c>
      <c r="H632" t="s">
        <v>4826</v>
      </c>
      <c r="I632" t="s">
        <v>4976</v>
      </c>
      <c r="J632" s="4" t="s">
        <v>4977</v>
      </c>
      <c r="K632" s="4" t="s">
        <v>4957</v>
      </c>
      <c r="L632" s="4" t="s">
        <v>4968</v>
      </c>
      <c r="M632" s="4" t="s">
        <v>5035</v>
      </c>
      <c r="N632" t="s">
        <v>15</v>
      </c>
      <c r="O632" t="s">
        <v>2368</v>
      </c>
      <c r="P632" t="s">
        <v>23</v>
      </c>
      <c r="Q632" t="s">
        <v>24</v>
      </c>
      <c r="R632" t="s">
        <v>25</v>
      </c>
      <c r="S632" t="s">
        <v>26</v>
      </c>
      <c r="T632" s="6">
        <v>46307</v>
      </c>
      <c r="U632">
        <v>60</v>
      </c>
      <c r="V632">
        <v>60</v>
      </c>
      <c r="W632">
        <v>72</v>
      </c>
      <c r="X632">
        <v>72</v>
      </c>
      <c r="Y632">
        <f t="shared" si="92"/>
        <v>0</v>
      </c>
      <c r="Z632">
        <f t="shared" si="93"/>
        <v>-12</v>
      </c>
      <c r="AC632" s="1">
        <v>0</v>
      </c>
      <c r="AF632">
        <f t="shared" si="100"/>
        <v>60</v>
      </c>
      <c r="AG632" s="7">
        <v>12</v>
      </c>
      <c r="AH632">
        <f t="shared" si="95"/>
        <v>60</v>
      </c>
      <c r="AI632">
        <f t="shared" si="91"/>
        <v>0</v>
      </c>
      <c r="AK632">
        <f t="shared" si="96"/>
        <v>5</v>
      </c>
      <c r="AL632">
        <v>13.85</v>
      </c>
      <c r="AM632" t="s">
        <v>27</v>
      </c>
      <c r="AN632">
        <v>13.85</v>
      </c>
      <c r="AO632" t="b">
        <f t="shared" si="97"/>
        <v>1</v>
      </c>
      <c r="AR632" t="s">
        <v>5061</v>
      </c>
      <c r="AS632" s="21">
        <v>46276</v>
      </c>
      <c r="AT632" t="s">
        <v>5062</v>
      </c>
      <c r="AU632" t="s">
        <v>5072</v>
      </c>
      <c r="AV632" t="s">
        <v>5062</v>
      </c>
      <c r="AW632" t="s">
        <v>5086</v>
      </c>
    </row>
    <row r="633" spans="1:49" x14ac:dyDescent="0.35">
      <c r="A633" t="s">
        <v>871</v>
      </c>
      <c r="B633" t="s">
        <v>872</v>
      </c>
      <c r="C633" t="s">
        <v>4818</v>
      </c>
      <c r="D633" t="s">
        <v>18</v>
      </c>
      <c r="E633" t="s">
        <v>2369</v>
      </c>
      <c r="F633" t="s">
        <v>2370</v>
      </c>
      <c r="G633" t="s">
        <v>21</v>
      </c>
      <c r="H633" t="s">
        <v>4826</v>
      </c>
      <c r="I633" t="s">
        <v>4976</v>
      </c>
      <c r="J633" s="4" t="s">
        <v>4977</v>
      </c>
      <c r="K633" s="4" t="s">
        <v>4957</v>
      </c>
      <c r="L633" s="4" t="s">
        <v>4960</v>
      </c>
      <c r="M633" s="4" t="s">
        <v>5035</v>
      </c>
      <c r="N633" t="s">
        <v>15</v>
      </c>
      <c r="O633" t="s">
        <v>2371</v>
      </c>
      <c r="P633" t="s">
        <v>23</v>
      </c>
      <c r="Q633" t="s">
        <v>24</v>
      </c>
      <c r="R633" t="s">
        <v>25</v>
      </c>
      <c r="S633" t="s">
        <v>26</v>
      </c>
      <c r="T633" s="6">
        <v>46307</v>
      </c>
      <c r="U633">
        <v>108</v>
      </c>
      <c r="V633">
        <v>108</v>
      </c>
      <c r="W633">
        <v>120</v>
      </c>
      <c r="X633">
        <v>120</v>
      </c>
      <c r="Y633">
        <f t="shared" si="92"/>
        <v>0</v>
      </c>
      <c r="Z633">
        <f t="shared" si="93"/>
        <v>-12</v>
      </c>
      <c r="AC633" s="1">
        <v>0</v>
      </c>
      <c r="AF633">
        <f t="shared" si="100"/>
        <v>108</v>
      </c>
      <c r="AG633" s="7">
        <v>12</v>
      </c>
      <c r="AH633">
        <f t="shared" si="95"/>
        <v>108</v>
      </c>
      <c r="AI633">
        <f t="shared" si="91"/>
        <v>0</v>
      </c>
      <c r="AK633">
        <f t="shared" si="96"/>
        <v>9</v>
      </c>
      <c r="AL633">
        <v>13.85</v>
      </c>
      <c r="AM633" t="s">
        <v>27</v>
      </c>
      <c r="AN633">
        <v>13.85</v>
      </c>
      <c r="AO633" t="b">
        <f t="shared" si="97"/>
        <v>1</v>
      </c>
      <c r="AR633" t="s">
        <v>5061</v>
      </c>
      <c r="AS633" s="21">
        <v>46276</v>
      </c>
      <c r="AT633" t="s">
        <v>5062</v>
      </c>
      <c r="AU633" t="s">
        <v>5072</v>
      </c>
      <c r="AV633" t="s">
        <v>5062</v>
      </c>
      <c r="AW633" t="s">
        <v>5086</v>
      </c>
    </row>
    <row r="634" spans="1:49" x14ac:dyDescent="0.35">
      <c r="A634" t="s">
        <v>871</v>
      </c>
      <c r="B634" t="s">
        <v>872</v>
      </c>
      <c r="C634" t="s">
        <v>4818</v>
      </c>
      <c r="D634" t="s">
        <v>18</v>
      </c>
      <c r="E634" t="s">
        <v>2372</v>
      </c>
      <c r="F634" t="s">
        <v>2373</v>
      </c>
      <c r="G634" t="s">
        <v>21</v>
      </c>
      <c r="H634" t="s">
        <v>4826</v>
      </c>
      <c r="I634" t="s">
        <v>4976</v>
      </c>
      <c r="J634" s="4" t="s">
        <v>4977</v>
      </c>
      <c r="K634" s="4" t="s">
        <v>4831</v>
      </c>
      <c r="L634" s="4" t="s">
        <v>4958</v>
      </c>
      <c r="M634" s="4" t="s">
        <v>5035</v>
      </c>
      <c r="N634" t="s">
        <v>15</v>
      </c>
      <c r="O634" t="s">
        <v>2374</v>
      </c>
      <c r="P634" t="s">
        <v>23</v>
      </c>
      <c r="Q634" t="s">
        <v>24</v>
      </c>
      <c r="R634" t="s">
        <v>25</v>
      </c>
      <c r="S634" t="s">
        <v>26</v>
      </c>
      <c r="T634" s="6">
        <v>46307</v>
      </c>
      <c r="U634">
        <v>84</v>
      </c>
      <c r="V634">
        <v>84</v>
      </c>
      <c r="W634">
        <v>84</v>
      </c>
      <c r="X634">
        <v>84</v>
      </c>
      <c r="Y634">
        <f t="shared" si="92"/>
        <v>0</v>
      </c>
      <c r="Z634">
        <f t="shared" si="93"/>
        <v>0</v>
      </c>
      <c r="AC634" s="1">
        <v>0</v>
      </c>
      <c r="AF634">
        <f t="shared" si="100"/>
        <v>84</v>
      </c>
      <c r="AG634" s="7">
        <v>12</v>
      </c>
      <c r="AH634">
        <f t="shared" si="95"/>
        <v>84</v>
      </c>
      <c r="AI634">
        <f t="shared" si="91"/>
        <v>0</v>
      </c>
      <c r="AK634">
        <f t="shared" si="96"/>
        <v>7</v>
      </c>
      <c r="AL634">
        <v>13.85</v>
      </c>
      <c r="AM634" t="s">
        <v>27</v>
      </c>
      <c r="AN634">
        <v>13.85</v>
      </c>
      <c r="AO634" t="b">
        <f t="shared" si="97"/>
        <v>1</v>
      </c>
      <c r="AR634" t="s">
        <v>5061</v>
      </c>
      <c r="AS634" s="21">
        <v>46276</v>
      </c>
      <c r="AT634" t="s">
        <v>5062</v>
      </c>
      <c r="AU634" t="s">
        <v>5072</v>
      </c>
      <c r="AV634" t="s">
        <v>5062</v>
      </c>
      <c r="AW634" t="s">
        <v>5086</v>
      </c>
    </row>
    <row r="635" spans="1:49" x14ac:dyDescent="0.35">
      <c r="A635" t="s">
        <v>871</v>
      </c>
      <c r="B635" t="s">
        <v>872</v>
      </c>
      <c r="C635" t="s">
        <v>4818</v>
      </c>
      <c r="D635" t="s">
        <v>18</v>
      </c>
      <c r="E635" t="s">
        <v>2375</v>
      </c>
      <c r="F635" t="s">
        <v>2376</v>
      </c>
      <c r="G635" t="s">
        <v>21</v>
      </c>
      <c r="H635" t="s">
        <v>4826</v>
      </c>
      <c r="I635" t="s">
        <v>4976</v>
      </c>
      <c r="J635" s="4" t="s">
        <v>4977</v>
      </c>
      <c r="K635" s="4" t="s">
        <v>4957</v>
      </c>
      <c r="L635" s="4" t="s">
        <v>4956</v>
      </c>
      <c r="M635" s="4" t="s">
        <v>5035</v>
      </c>
      <c r="N635" t="s">
        <v>15</v>
      </c>
      <c r="O635" t="s">
        <v>2377</v>
      </c>
      <c r="P635" t="s">
        <v>23</v>
      </c>
      <c r="Q635" t="s">
        <v>24</v>
      </c>
      <c r="R635" t="s">
        <v>25</v>
      </c>
      <c r="S635" t="s">
        <v>26</v>
      </c>
      <c r="T635" s="6">
        <v>46307</v>
      </c>
      <c r="U635">
        <v>12</v>
      </c>
      <c r="V635">
        <v>12</v>
      </c>
      <c r="W635">
        <v>12</v>
      </c>
      <c r="X635">
        <v>12</v>
      </c>
      <c r="Y635">
        <f t="shared" si="92"/>
        <v>0</v>
      </c>
      <c r="Z635">
        <f t="shared" si="93"/>
        <v>0</v>
      </c>
      <c r="AC635" s="1">
        <v>0</v>
      </c>
      <c r="AF635">
        <f t="shared" si="100"/>
        <v>12</v>
      </c>
      <c r="AG635" s="7">
        <v>12</v>
      </c>
      <c r="AH635">
        <f t="shared" si="95"/>
        <v>12</v>
      </c>
      <c r="AI635">
        <f t="shared" si="91"/>
        <v>0</v>
      </c>
      <c r="AK635">
        <f t="shared" si="96"/>
        <v>1</v>
      </c>
      <c r="AL635">
        <v>13.85</v>
      </c>
      <c r="AM635" t="s">
        <v>27</v>
      </c>
      <c r="AN635">
        <v>13.85</v>
      </c>
      <c r="AO635" t="b">
        <f t="shared" si="97"/>
        <v>1</v>
      </c>
      <c r="AR635" t="s">
        <v>5061</v>
      </c>
      <c r="AS635" s="21">
        <v>46276</v>
      </c>
      <c r="AT635" t="s">
        <v>5062</v>
      </c>
      <c r="AU635" t="s">
        <v>5072</v>
      </c>
      <c r="AV635" t="s">
        <v>5062</v>
      </c>
      <c r="AW635" t="s">
        <v>5086</v>
      </c>
    </row>
    <row r="636" spans="1:49" x14ac:dyDescent="0.35">
      <c r="A636" t="s">
        <v>871</v>
      </c>
      <c r="B636" t="s">
        <v>872</v>
      </c>
      <c r="C636" t="s">
        <v>4818</v>
      </c>
      <c r="D636" t="s">
        <v>18</v>
      </c>
      <c r="E636" t="s">
        <v>2378</v>
      </c>
      <c r="F636" t="s">
        <v>2379</v>
      </c>
      <c r="G636" t="s">
        <v>21</v>
      </c>
      <c r="H636" t="s">
        <v>4826</v>
      </c>
      <c r="I636" t="s">
        <v>4976</v>
      </c>
      <c r="J636" s="4" t="s">
        <v>4977</v>
      </c>
      <c r="K636" s="4" t="s">
        <v>4837</v>
      </c>
      <c r="L636" s="4" t="s">
        <v>4973</v>
      </c>
      <c r="M636" s="4" t="s">
        <v>5035</v>
      </c>
      <c r="N636" t="s">
        <v>15</v>
      </c>
      <c r="O636" t="s">
        <v>2380</v>
      </c>
      <c r="P636" t="s">
        <v>23</v>
      </c>
      <c r="Q636" t="s">
        <v>24</v>
      </c>
      <c r="R636" t="s">
        <v>25</v>
      </c>
      <c r="S636" t="s">
        <v>26</v>
      </c>
      <c r="T636" s="6">
        <v>46307</v>
      </c>
      <c r="U636">
        <v>228</v>
      </c>
      <c r="V636">
        <v>228</v>
      </c>
      <c r="W636">
        <v>240</v>
      </c>
      <c r="X636">
        <v>240</v>
      </c>
      <c r="Y636">
        <f t="shared" si="92"/>
        <v>0</v>
      </c>
      <c r="Z636">
        <f t="shared" si="93"/>
        <v>-12</v>
      </c>
      <c r="AC636" s="1">
        <v>0</v>
      </c>
      <c r="AF636">
        <f t="shared" si="100"/>
        <v>228</v>
      </c>
      <c r="AG636" s="7">
        <v>12</v>
      </c>
      <c r="AH636">
        <f t="shared" si="95"/>
        <v>228</v>
      </c>
      <c r="AI636">
        <f t="shared" si="91"/>
        <v>0</v>
      </c>
      <c r="AK636">
        <f t="shared" si="96"/>
        <v>19</v>
      </c>
      <c r="AL636">
        <v>13.85</v>
      </c>
      <c r="AM636" t="s">
        <v>27</v>
      </c>
      <c r="AN636">
        <v>13.85</v>
      </c>
      <c r="AO636" t="b">
        <f t="shared" si="97"/>
        <v>1</v>
      </c>
      <c r="AR636" t="s">
        <v>5061</v>
      </c>
      <c r="AS636" s="21">
        <v>46276</v>
      </c>
      <c r="AT636" t="s">
        <v>5062</v>
      </c>
      <c r="AU636" t="s">
        <v>5072</v>
      </c>
      <c r="AV636" t="s">
        <v>5062</v>
      </c>
      <c r="AW636" t="s">
        <v>5086</v>
      </c>
    </row>
    <row r="637" spans="1:49" x14ac:dyDescent="0.35">
      <c r="A637" t="s">
        <v>871</v>
      </c>
      <c r="B637" t="s">
        <v>872</v>
      </c>
      <c r="C637" t="s">
        <v>4818</v>
      </c>
      <c r="D637" t="s">
        <v>18</v>
      </c>
      <c r="E637" t="s">
        <v>2381</v>
      </c>
      <c r="F637" t="s">
        <v>2382</v>
      </c>
      <c r="G637" t="s">
        <v>21</v>
      </c>
      <c r="H637" t="s">
        <v>4826</v>
      </c>
      <c r="I637" t="s">
        <v>4976</v>
      </c>
      <c r="J637" s="4" t="s">
        <v>4977</v>
      </c>
      <c r="K637" s="4" t="s">
        <v>4978</v>
      </c>
      <c r="L637" s="4" t="s">
        <v>4974</v>
      </c>
      <c r="M637" s="4" t="s">
        <v>5035</v>
      </c>
      <c r="N637" t="s">
        <v>15</v>
      </c>
      <c r="O637" t="s">
        <v>2383</v>
      </c>
      <c r="P637" t="s">
        <v>23</v>
      </c>
      <c r="Q637" t="s">
        <v>24</v>
      </c>
      <c r="R637" t="s">
        <v>25</v>
      </c>
      <c r="S637" t="s">
        <v>26</v>
      </c>
      <c r="T637" s="6">
        <v>46307</v>
      </c>
      <c r="U637">
        <v>60</v>
      </c>
      <c r="V637">
        <v>60</v>
      </c>
      <c r="W637">
        <v>60</v>
      </c>
      <c r="X637">
        <v>60</v>
      </c>
      <c r="Y637">
        <f t="shared" si="92"/>
        <v>0</v>
      </c>
      <c r="Z637">
        <f t="shared" si="93"/>
        <v>0</v>
      </c>
      <c r="AC637" s="1">
        <v>0</v>
      </c>
      <c r="AF637">
        <f t="shared" si="100"/>
        <v>60</v>
      </c>
      <c r="AG637" s="7">
        <v>12</v>
      </c>
      <c r="AH637">
        <f t="shared" si="95"/>
        <v>60</v>
      </c>
      <c r="AI637">
        <f t="shared" si="91"/>
        <v>0</v>
      </c>
      <c r="AK637">
        <f t="shared" si="96"/>
        <v>5</v>
      </c>
      <c r="AL637">
        <v>13.85</v>
      </c>
      <c r="AM637" t="s">
        <v>27</v>
      </c>
      <c r="AN637">
        <v>13.85</v>
      </c>
      <c r="AO637" t="b">
        <f t="shared" si="97"/>
        <v>1</v>
      </c>
      <c r="AR637" t="s">
        <v>5061</v>
      </c>
      <c r="AS637" s="21">
        <v>46276</v>
      </c>
      <c r="AT637" t="s">
        <v>5062</v>
      </c>
      <c r="AU637" t="s">
        <v>5072</v>
      </c>
      <c r="AV637" t="s">
        <v>5062</v>
      </c>
      <c r="AW637" t="s">
        <v>5086</v>
      </c>
    </row>
    <row r="638" spans="1:49" x14ac:dyDescent="0.35">
      <c r="A638" t="s">
        <v>871</v>
      </c>
      <c r="B638" t="s">
        <v>872</v>
      </c>
      <c r="C638" t="s">
        <v>4818</v>
      </c>
      <c r="D638" t="s">
        <v>18</v>
      </c>
      <c r="E638" t="s">
        <v>2384</v>
      </c>
      <c r="F638" t="s">
        <v>2385</v>
      </c>
      <c r="G638" t="s">
        <v>21</v>
      </c>
      <c r="H638" t="s">
        <v>4826</v>
      </c>
      <c r="I638" t="s">
        <v>4976</v>
      </c>
      <c r="J638" s="4" t="s">
        <v>4977</v>
      </c>
      <c r="K638" s="4" t="s">
        <v>4832</v>
      </c>
      <c r="L638" s="4" t="s">
        <v>4939</v>
      </c>
      <c r="M638" s="4" t="s">
        <v>5035</v>
      </c>
      <c r="N638" t="s">
        <v>15</v>
      </c>
      <c r="O638" t="s">
        <v>2386</v>
      </c>
      <c r="P638" t="s">
        <v>23</v>
      </c>
      <c r="Q638" t="s">
        <v>24</v>
      </c>
      <c r="R638" t="s">
        <v>25</v>
      </c>
      <c r="S638" t="s">
        <v>26</v>
      </c>
      <c r="T638" s="6">
        <v>46307</v>
      </c>
      <c r="U638">
        <v>60</v>
      </c>
      <c r="V638">
        <v>60</v>
      </c>
      <c r="W638">
        <v>60</v>
      </c>
      <c r="X638">
        <v>60</v>
      </c>
      <c r="Y638">
        <f t="shared" si="92"/>
        <v>0</v>
      </c>
      <c r="Z638">
        <f t="shared" si="93"/>
        <v>0</v>
      </c>
      <c r="AC638" s="1">
        <v>0</v>
      </c>
      <c r="AF638">
        <f t="shared" si="100"/>
        <v>60</v>
      </c>
      <c r="AG638" s="7">
        <v>12</v>
      </c>
      <c r="AH638">
        <f t="shared" si="95"/>
        <v>60</v>
      </c>
      <c r="AI638">
        <f t="shared" si="91"/>
        <v>0</v>
      </c>
      <c r="AK638">
        <f t="shared" si="96"/>
        <v>5</v>
      </c>
      <c r="AL638">
        <v>13.85</v>
      </c>
      <c r="AM638" t="s">
        <v>27</v>
      </c>
      <c r="AN638">
        <v>13.85</v>
      </c>
      <c r="AO638" t="b">
        <f t="shared" si="97"/>
        <v>1</v>
      </c>
      <c r="AR638" t="s">
        <v>5061</v>
      </c>
      <c r="AS638" s="21">
        <v>46276</v>
      </c>
      <c r="AT638" t="s">
        <v>5062</v>
      </c>
      <c r="AU638" t="s">
        <v>5072</v>
      </c>
      <c r="AV638" t="s">
        <v>5062</v>
      </c>
      <c r="AW638" t="s">
        <v>5086</v>
      </c>
    </row>
    <row r="639" spans="1:49" x14ac:dyDescent="0.35">
      <c r="A639" t="s">
        <v>871</v>
      </c>
      <c r="B639" t="s">
        <v>872</v>
      </c>
      <c r="C639" t="s">
        <v>4818</v>
      </c>
      <c r="D639" t="s">
        <v>18</v>
      </c>
      <c r="E639" t="s">
        <v>2387</v>
      </c>
      <c r="F639" t="s">
        <v>2388</v>
      </c>
      <c r="G639" t="s">
        <v>21</v>
      </c>
      <c r="H639" t="s">
        <v>4826</v>
      </c>
      <c r="I639" t="s">
        <v>4976</v>
      </c>
      <c r="J639" s="4" t="s">
        <v>4977</v>
      </c>
      <c r="K639" s="4" t="s">
        <v>4831</v>
      </c>
      <c r="L639" s="4" t="s">
        <v>4956</v>
      </c>
      <c r="M639" s="4" t="s">
        <v>5035</v>
      </c>
      <c r="N639" t="s">
        <v>15</v>
      </c>
      <c r="O639" t="s">
        <v>2389</v>
      </c>
      <c r="P639" t="s">
        <v>23</v>
      </c>
      <c r="Q639" t="s">
        <v>24</v>
      </c>
      <c r="R639" t="s">
        <v>25</v>
      </c>
      <c r="S639" t="s">
        <v>26</v>
      </c>
      <c r="T639" s="6">
        <v>46307</v>
      </c>
      <c r="U639">
        <v>12</v>
      </c>
      <c r="V639">
        <v>12</v>
      </c>
      <c r="W639">
        <v>12</v>
      </c>
      <c r="X639">
        <v>12</v>
      </c>
      <c r="Y639">
        <f t="shared" si="92"/>
        <v>0</v>
      </c>
      <c r="Z639">
        <f t="shared" si="93"/>
        <v>0</v>
      </c>
      <c r="AC639" s="1">
        <v>0</v>
      </c>
      <c r="AF639">
        <f t="shared" si="100"/>
        <v>12</v>
      </c>
      <c r="AG639" s="7">
        <v>12</v>
      </c>
      <c r="AH639">
        <f t="shared" si="95"/>
        <v>12</v>
      </c>
      <c r="AI639">
        <f t="shared" si="91"/>
        <v>0</v>
      </c>
      <c r="AK639">
        <f t="shared" si="96"/>
        <v>1</v>
      </c>
      <c r="AL639">
        <v>13.85</v>
      </c>
      <c r="AM639" t="s">
        <v>27</v>
      </c>
      <c r="AN639">
        <v>13.85</v>
      </c>
      <c r="AO639" t="b">
        <f t="shared" si="97"/>
        <v>1</v>
      </c>
      <c r="AR639" t="s">
        <v>5061</v>
      </c>
      <c r="AS639" s="21">
        <v>46276</v>
      </c>
      <c r="AT639" t="s">
        <v>5062</v>
      </c>
      <c r="AU639" t="s">
        <v>5072</v>
      </c>
      <c r="AV639" t="s">
        <v>5062</v>
      </c>
      <c r="AW639" t="s">
        <v>5086</v>
      </c>
    </row>
    <row r="640" spans="1:49" x14ac:dyDescent="0.35">
      <c r="A640" t="s">
        <v>871</v>
      </c>
      <c r="B640" t="s">
        <v>872</v>
      </c>
      <c r="C640" t="s">
        <v>4818</v>
      </c>
      <c r="D640" t="s">
        <v>18</v>
      </c>
      <c r="E640" t="s">
        <v>2390</v>
      </c>
      <c r="F640" t="s">
        <v>2391</v>
      </c>
      <c r="G640" t="s">
        <v>21</v>
      </c>
      <c r="H640" t="s">
        <v>4826</v>
      </c>
      <c r="I640" t="s">
        <v>4976</v>
      </c>
      <c r="J640" s="4" t="s">
        <v>4977</v>
      </c>
      <c r="K640" s="4" t="s">
        <v>4832</v>
      </c>
      <c r="L640" s="4" t="s">
        <v>4970</v>
      </c>
      <c r="M640" s="4" t="s">
        <v>5035</v>
      </c>
      <c r="N640" t="s">
        <v>15</v>
      </c>
      <c r="O640" t="s">
        <v>2392</v>
      </c>
      <c r="P640" t="s">
        <v>23</v>
      </c>
      <c r="Q640" t="s">
        <v>24</v>
      </c>
      <c r="R640" t="s">
        <v>25</v>
      </c>
      <c r="S640" t="s">
        <v>26</v>
      </c>
      <c r="T640" s="6">
        <v>46307</v>
      </c>
      <c r="U640">
        <v>36</v>
      </c>
      <c r="V640">
        <v>36</v>
      </c>
      <c r="W640">
        <v>36</v>
      </c>
      <c r="X640">
        <v>36</v>
      </c>
      <c r="Y640">
        <f t="shared" si="92"/>
        <v>0</v>
      </c>
      <c r="Z640">
        <f t="shared" si="93"/>
        <v>0</v>
      </c>
      <c r="AC640" s="1"/>
      <c r="AF640">
        <f t="shared" si="100"/>
        <v>36</v>
      </c>
      <c r="AG640" s="7">
        <v>12</v>
      </c>
      <c r="AH640">
        <f t="shared" si="95"/>
        <v>36</v>
      </c>
      <c r="AI640">
        <f t="shared" si="91"/>
        <v>0</v>
      </c>
      <c r="AK640">
        <f t="shared" si="96"/>
        <v>3</v>
      </c>
      <c r="AL640">
        <v>13.85</v>
      </c>
      <c r="AM640" t="s">
        <v>27</v>
      </c>
      <c r="AN640">
        <v>13.85</v>
      </c>
      <c r="AO640" t="b">
        <f t="shared" si="97"/>
        <v>1</v>
      </c>
      <c r="AR640" t="s">
        <v>5061</v>
      </c>
      <c r="AS640" s="21">
        <v>46276</v>
      </c>
      <c r="AT640" t="s">
        <v>5062</v>
      </c>
      <c r="AU640" t="s">
        <v>5072</v>
      </c>
      <c r="AV640" t="s">
        <v>5062</v>
      </c>
      <c r="AW640" t="s">
        <v>5086</v>
      </c>
    </row>
    <row r="641" spans="1:49" x14ac:dyDescent="0.35">
      <c r="A641" t="s">
        <v>871</v>
      </c>
      <c r="B641" t="s">
        <v>872</v>
      </c>
      <c r="C641" t="s">
        <v>4818</v>
      </c>
      <c r="D641" t="s">
        <v>18</v>
      </c>
      <c r="E641" t="s">
        <v>2393</v>
      </c>
      <c r="F641" t="s">
        <v>2394</v>
      </c>
      <c r="G641" t="s">
        <v>21</v>
      </c>
      <c r="H641" t="s">
        <v>4826</v>
      </c>
      <c r="I641" t="s">
        <v>4976</v>
      </c>
      <c r="J641" s="4" t="s">
        <v>4977</v>
      </c>
      <c r="K641" s="4" t="s">
        <v>4957</v>
      </c>
      <c r="L641" s="4" t="s">
        <v>4973</v>
      </c>
      <c r="M641" s="4" t="s">
        <v>5035</v>
      </c>
      <c r="N641" t="s">
        <v>15</v>
      </c>
      <c r="O641" t="s">
        <v>2395</v>
      </c>
      <c r="P641" t="s">
        <v>23</v>
      </c>
      <c r="Q641" t="s">
        <v>24</v>
      </c>
      <c r="R641" t="s">
        <v>25</v>
      </c>
      <c r="S641" t="s">
        <v>26</v>
      </c>
      <c r="T641" s="6">
        <v>46307</v>
      </c>
      <c r="U641">
        <v>24</v>
      </c>
      <c r="V641">
        <v>24</v>
      </c>
      <c r="W641">
        <v>24</v>
      </c>
      <c r="X641">
        <v>24</v>
      </c>
      <c r="Y641">
        <f t="shared" si="92"/>
        <v>0</v>
      </c>
      <c r="Z641">
        <f t="shared" si="93"/>
        <v>0</v>
      </c>
      <c r="AC641" s="1">
        <v>0</v>
      </c>
      <c r="AF641">
        <f t="shared" si="100"/>
        <v>24</v>
      </c>
      <c r="AG641" s="7">
        <v>12</v>
      </c>
      <c r="AH641">
        <f t="shared" si="95"/>
        <v>24</v>
      </c>
      <c r="AI641">
        <f t="shared" si="91"/>
        <v>0</v>
      </c>
      <c r="AK641">
        <f t="shared" si="96"/>
        <v>2</v>
      </c>
      <c r="AL641">
        <v>13.85</v>
      </c>
      <c r="AM641" t="s">
        <v>27</v>
      </c>
      <c r="AN641">
        <v>13.85</v>
      </c>
      <c r="AO641" t="b">
        <f t="shared" si="97"/>
        <v>1</v>
      </c>
      <c r="AR641" t="s">
        <v>5061</v>
      </c>
      <c r="AS641" s="21">
        <v>46276</v>
      </c>
      <c r="AT641" t="s">
        <v>5062</v>
      </c>
      <c r="AU641" t="s">
        <v>5072</v>
      </c>
      <c r="AV641" t="s">
        <v>5062</v>
      </c>
      <c r="AW641" t="s">
        <v>5086</v>
      </c>
    </row>
    <row r="642" spans="1:49" x14ac:dyDescent="0.35">
      <c r="A642" t="s">
        <v>871</v>
      </c>
      <c r="B642" t="s">
        <v>872</v>
      </c>
      <c r="C642" t="s">
        <v>4818</v>
      </c>
      <c r="D642" t="s">
        <v>18</v>
      </c>
      <c r="E642" t="s">
        <v>2396</v>
      </c>
      <c r="F642" t="s">
        <v>2397</v>
      </c>
      <c r="G642" t="s">
        <v>21</v>
      </c>
      <c r="H642" t="s">
        <v>4826</v>
      </c>
      <c r="I642" t="s">
        <v>4976</v>
      </c>
      <c r="J642" s="4" t="s">
        <v>4977</v>
      </c>
      <c r="K642" s="4" t="s">
        <v>4832</v>
      </c>
      <c r="L642" s="4" t="s">
        <v>4954</v>
      </c>
      <c r="M642" s="4" t="s">
        <v>5035</v>
      </c>
      <c r="N642" t="s">
        <v>15</v>
      </c>
      <c r="O642" t="s">
        <v>2398</v>
      </c>
      <c r="P642" t="s">
        <v>23</v>
      </c>
      <c r="Q642" t="s">
        <v>24</v>
      </c>
      <c r="R642" t="s">
        <v>25</v>
      </c>
      <c r="S642" t="s">
        <v>26</v>
      </c>
      <c r="T642" s="6">
        <v>46307</v>
      </c>
      <c r="U642">
        <v>60</v>
      </c>
      <c r="V642">
        <v>60</v>
      </c>
      <c r="W642">
        <v>72</v>
      </c>
      <c r="X642">
        <v>72</v>
      </c>
      <c r="Y642">
        <f t="shared" si="92"/>
        <v>0</v>
      </c>
      <c r="Z642">
        <f t="shared" si="93"/>
        <v>-12</v>
      </c>
      <c r="AC642" s="1">
        <v>0</v>
      </c>
      <c r="AF642">
        <f t="shared" si="100"/>
        <v>60</v>
      </c>
      <c r="AG642" s="7">
        <v>12</v>
      </c>
      <c r="AH642">
        <f t="shared" si="95"/>
        <v>60</v>
      </c>
      <c r="AI642">
        <f t="shared" si="91"/>
        <v>0</v>
      </c>
      <c r="AK642">
        <f t="shared" si="96"/>
        <v>5</v>
      </c>
      <c r="AL642">
        <v>13.85</v>
      </c>
      <c r="AM642" t="s">
        <v>27</v>
      </c>
      <c r="AN642">
        <v>13.85</v>
      </c>
      <c r="AO642" t="b">
        <f t="shared" si="97"/>
        <v>1</v>
      </c>
      <c r="AR642" t="s">
        <v>5061</v>
      </c>
      <c r="AS642" s="21">
        <v>46276</v>
      </c>
      <c r="AT642" t="s">
        <v>5062</v>
      </c>
      <c r="AU642" t="s">
        <v>5072</v>
      </c>
      <c r="AV642" t="s">
        <v>5062</v>
      </c>
      <c r="AW642" t="s">
        <v>5086</v>
      </c>
    </row>
    <row r="643" spans="1:49" x14ac:dyDescent="0.35">
      <c r="A643" t="s">
        <v>871</v>
      </c>
      <c r="B643" t="s">
        <v>872</v>
      </c>
      <c r="C643" t="s">
        <v>4818</v>
      </c>
      <c r="D643" t="s">
        <v>18</v>
      </c>
      <c r="E643" t="s">
        <v>2399</v>
      </c>
      <c r="F643" t="s">
        <v>2400</v>
      </c>
      <c r="G643" t="s">
        <v>21</v>
      </c>
      <c r="H643" t="s">
        <v>4826</v>
      </c>
      <c r="I643" t="s">
        <v>4976</v>
      </c>
      <c r="J643" s="4" t="s">
        <v>4977</v>
      </c>
      <c r="K643" s="4" t="s">
        <v>4832</v>
      </c>
      <c r="L643" s="4" t="s">
        <v>4943</v>
      </c>
      <c r="M643" s="4" t="s">
        <v>5035</v>
      </c>
      <c r="N643" t="s">
        <v>15</v>
      </c>
      <c r="O643" t="s">
        <v>2401</v>
      </c>
      <c r="P643" t="s">
        <v>23</v>
      </c>
      <c r="Q643" t="s">
        <v>24</v>
      </c>
      <c r="R643" t="s">
        <v>25</v>
      </c>
      <c r="S643" t="s">
        <v>26</v>
      </c>
      <c r="T643" s="6">
        <v>46307</v>
      </c>
      <c r="U643">
        <v>36</v>
      </c>
      <c r="V643">
        <v>36</v>
      </c>
      <c r="W643">
        <v>36</v>
      </c>
      <c r="X643">
        <v>36</v>
      </c>
      <c r="Y643">
        <f t="shared" si="92"/>
        <v>0</v>
      </c>
      <c r="Z643">
        <f t="shared" si="93"/>
        <v>0</v>
      </c>
      <c r="AC643" s="1">
        <v>0</v>
      </c>
      <c r="AF643">
        <f t="shared" si="100"/>
        <v>36</v>
      </c>
      <c r="AG643" s="7">
        <v>12</v>
      </c>
      <c r="AH643">
        <f t="shared" si="95"/>
        <v>36</v>
      </c>
      <c r="AI643">
        <f t="shared" ref="AI643:AI706" si="101">V643-AH643</f>
        <v>0</v>
      </c>
      <c r="AK643">
        <f t="shared" si="96"/>
        <v>3</v>
      </c>
      <c r="AL643">
        <v>13.85</v>
      </c>
      <c r="AM643" t="s">
        <v>27</v>
      </c>
      <c r="AN643">
        <v>13.85</v>
      </c>
      <c r="AO643" t="b">
        <f t="shared" si="97"/>
        <v>1</v>
      </c>
      <c r="AR643" t="s">
        <v>5061</v>
      </c>
      <c r="AS643" s="21">
        <v>46276</v>
      </c>
      <c r="AT643" t="s">
        <v>5062</v>
      </c>
      <c r="AU643" t="s">
        <v>5072</v>
      </c>
      <c r="AV643" t="s">
        <v>5062</v>
      </c>
      <c r="AW643" t="s">
        <v>5086</v>
      </c>
    </row>
    <row r="644" spans="1:49" x14ac:dyDescent="0.35">
      <c r="A644" t="s">
        <v>871</v>
      </c>
      <c r="B644" t="s">
        <v>872</v>
      </c>
      <c r="C644" t="s">
        <v>4818</v>
      </c>
      <c r="D644" t="s">
        <v>18</v>
      </c>
      <c r="E644" t="s">
        <v>2402</v>
      </c>
      <c r="F644" t="s">
        <v>2403</v>
      </c>
      <c r="G644" t="s">
        <v>21</v>
      </c>
      <c r="H644" t="s">
        <v>4826</v>
      </c>
      <c r="I644" t="s">
        <v>4976</v>
      </c>
      <c r="J644" s="4" t="s">
        <v>4977</v>
      </c>
      <c r="K644" s="4" t="s">
        <v>4957</v>
      </c>
      <c r="L644" s="4" t="s">
        <v>4958</v>
      </c>
      <c r="M644" s="4" t="s">
        <v>5035</v>
      </c>
      <c r="N644" t="s">
        <v>15</v>
      </c>
      <c r="O644" t="s">
        <v>2404</v>
      </c>
      <c r="P644" t="s">
        <v>23</v>
      </c>
      <c r="Q644" t="s">
        <v>24</v>
      </c>
      <c r="R644" t="s">
        <v>25</v>
      </c>
      <c r="S644" t="s">
        <v>26</v>
      </c>
      <c r="T644" s="6">
        <v>46307</v>
      </c>
      <c r="U644">
        <v>156</v>
      </c>
      <c r="V644">
        <v>156</v>
      </c>
      <c r="W644">
        <v>168</v>
      </c>
      <c r="X644">
        <v>168</v>
      </c>
      <c r="Y644">
        <f t="shared" ref="Y644:Y707" si="102">W644-X644</f>
        <v>0</v>
      </c>
      <c r="Z644">
        <f t="shared" ref="Z644:Z707" si="103">V644-X644</f>
        <v>-12</v>
      </c>
      <c r="AC644" s="1">
        <v>0</v>
      </c>
      <c r="AF644">
        <f t="shared" si="100"/>
        <v>156</v>
      </c>
      <c r="AG644" s="7">
        <v>12</v>
      </c>
      <c r="AH644">
        <f t="shared" ref="AH644:AH707" si="104">ROUNDUP(AF644/AG644,0)*AG644</f>
        <v>156</v>
      </c>
      <c r="AI644">
        <f t="shared" si="101"/>
        <v>0</v>
      </c>
      <c r="AK644">
        <f t="shared" ref="AK644:AK707" si="105">AH644/AG644</f>
        <v>13</v>
      </c>
      <c r="AL644">
        <v>13.85</v>
      </c>
      <c r="AM644" t="s">
        <v>27</v>
      </c>
      <c r="AN644">
        <v>13.85</v>
      </c>
      <c r="AO644" t="b">
        <f t="shared" ref="AO644:AO707" si="106">AL644=AN644</f>
        <v>1</v>
      </c>
      <c r="AR644" t="s">
        <v>5061</v>
      </c>
      <c r="AS644" s="21">
        <v>46276</v>
      </c>
      <c r="AT644" t="s">
        <v>5062</v>
      </c>
      <c r="AU644" t="s">
        <v>5072</v>
      </c>
      <c r="AV644" t="s">
        <v>5062</v>
      </c>
      <c r="AW644" t="s">
        <v>5086</v>
      </c>
    </row>
    <row r="645" spans="1:49" x14ac:dyDescent="0.35">
      <c r="A645" t="s">
        <v>871</v>
      </c>
      <c r="B645" t="s">
        <v>872</v>
      </c>
      <c r="C645" t="s">
        <v>4818</v>
      </c>
      <c r="D645" t="s">
        <v>18</v>
      </c>
      <c r="E645" t="s">
        <v>2405</v>
      </c>
      <c r="F645" t="s">
        <v>2406</v>
      </c>
      <c r="G645" t="s">
        <v>21</v>
      </c>
      <c r="H645" t="s">
        <v>4826</v>
      </c>
      <c r="I645" t="s">
        <v>4976</v>
      </c>
      <c r="J645" s="4" t="s">
        <v>4977</v>
      </c>
      <c r="K645" s="4" t="s">
        <v>4957</v>
      </c>
      <c r="L645" s="4" t="s">
        <v>4938</v>
      </c>
      <c r="M645" s="4" t="s">
        <v>5035</v>
      </c>
      <c r="N645" t="s">
        <v>15</v>
      </c>
      <c r="O645" t="s">
        <v>2407</v>
      </c>
      <c r="P645" t="s">
        <v>23</v>
      </c>
      <c r="Q645" t="s">
        <v>24</v>
      </c>
      <c r="R645" t="s">
        <v>25</v>
      </c>
      <c r="S645" t="s">
        <v>26</v>
      </c>
      <c r="T645" s="6">
        <v>46307</v>
      </c>
      <c r="U645">
        <v>120</v>
      </c>
      <c r="V645">
        <v>120</v>
      </c>
      <c r="W645">
        <v>132</v>
      </c>
      <c r="X645">
        <v>132</v>
      </c>
      <c r="Y645">
        <f t="shared" si="102"/>
        <v>0</v>
      </c>
      <c r="Z645">
        <f t="shared" si="103"/>
        <v>-12</v>
      </c>
      <c r="AC645" s="1">
        <v>0</v>
      </c>
      <c r="AF645">
        <f t="shared" si="100"/>
        <v>120</v>
      </c>
      <c r="AG645" s="7">
        <v>12</v>
      </c>
      <c r="AH645">
        <f t="shared" si="104"/>
        <v>120</v>
      </c>
      <c r="AI645">
        <f t="shared" si="101"/>
        <v>0</v>
      </c>
      <c r="AK645">
        <f t="shared" si="105"/>
        <v>10</v>
      </c>
      <c r="AL645">
        <v>13.85</v>
      </c>
      <c r="AM645" t="s">
        <v>27</v>
      </c>
      <c r="AN645">
        <v>13.85</v>
      </c>
      <c r="AO645" t="b">
        <f t="shared" si="106"/>
        <v>1</v>
      </c>
      <c r="AR645" t="s">
        <v>5061</v>
      </c>
      <c r="AS645" s="21">
        <v>46276</v>
      </c>
      <c r="AT645" t="s">
        <v>5062</v>
      </c>
      <c r="AU645" t="s">
        <v>5072</v>
      </c>
      <c r="AV645" t="s">
        <v>5062</v>
      </c>
      <c r="AW645" t="s">
        <v>5086</v>
      </c>
    </row>
    <row r="646" spans="1:49" x14ac:dyDescent="0.35">
      <c r="A646" t="s">
        <v>871</v>
      </c>
      <c r="B646" t="s">
        <v>872</v>
      </c>
      <c r="C646" t="s">
        <v>4818</v>
      </c>
      <c r="D646" t="s">
        <v>18</v>
      </c>
      <c r="E646" t="s">
        <v>2408</v>
      </c>
      <c r="F646" t="s">
        <v>2409</v>
      </c>
      <c r="G646" t="s">
        <v>21</v>
      </c>
      <c r="H646" t="s">
        <v>4826</v>
      </c>
      <c r="I646" t="s">
        <v>4976</v>
      </c>
      <c r="J646" s="4" t="s">
        <v>4977</v>
      </c>
      <c r="K646" s="4" t="s">
        <v>4837</v>
      </c>
      <c r="L646" s="4" t="s">
        <v>4960</v>
      </c>
      <c r="M646" s="4" t="s">
        <v>5035</v>
      </c>
      <c r="N646" t="s">
        <v>15</v>
      </c>
      <c r="O646" t="s">
        <v>2410</v>
      </c>
      <c r="P646" t="s">
        <v>23</v>
      </c>
      <c r="Q646" t="s">
        <v>24</v>
      </c>
      <c r="R646" t="s">
        <v>25</v>
      </c>
      <c r="S646" t="s">
        <v>26</v>
      </c>
      <c r="T646" s="6">
        <v>46307</v>
      </c>
      <c r="U646">
        <v>288</v>
      </c>
      <c r="V646">
        <v>288</v>
      </c>
      <c r="W646">
        <v>312</v>
      </c>
      <c r="X646">
        <v>312</v>
      </c>
      <c r="Y646">
        <f t="shared" si="102"/>
        <v>0</v>
      </c>
      <c r="Z646">
        <f t="shared" si="103"/>
        <v>-24</v>
      </c>
      <c r="AC646" s="1"/>
      <c r="AF646">
        <f t="shared" si="100"/>
        <v>288</v>
      </c>
      <c r="AG646" s="7">
        <v>12</v>
      </c>
      <c r="AH646">
        <f t="shared" si="104"/>
        <v>288</v>
      </c>
      <c r="AI646">
        <f t="shared" si="101"/>
        <v>0</v>
      </c>
      <c r="AK646">
        <f t="shared" si="105"/>
        <v>24</v>
      </c>
      <c r="AL646">
        <v>13.85</v>
      </c>
      <c r="AM646" t="s">
        <v>27</v>
      </c>
      <c r="AN646">
        <v>13.85</v>
      </c>
      <c r="AO646" t="b">
        <f t="shared" si="106"/>
        <v>1</v>
      </c>
      <c r="AR646" t="s">
        <v>5061</v>
      </c>
      <c r="AS646" s="21">
        <v>46276</v>
      </c>
      <c r="AT646" t="s">
        <v>5062</v>
      </c>
      <c r="AU646" t="s">
        <v>5072</v>
      </c>
      <c r="AV646" t="s">
        <v>5062</v>
      </c>
      <c r="AW646" t="s">
        <v>5086</v>
      </c>
    </row>
    <row r="647" spans="1:49" x14ac:dyDescent="0.35">
      <c r="A647" t="s">
        <v>871</v>
      </c>
      <c r="B647" t="s">
        <v>872</v>
      </c>
      <c r="C647" t="s">
        <v>4818</v>
      </c>
      <c r="D647" t="s">
        <v>18</v>
      </c>
      <c r="E647" t="s">
        <v>2411</v>
      </c>
      <c r="F647" t="s">
        <v>2412</v>
      </c>
      <c r="G647" t="s">
        <v>21</v>
      </c>
      <c r="H647" t="s">
        <v>4826</v>
      </c>
      <c r="I647" t="s">
        <v>4976</v>
      </c>
      <c r="J647" s="4" t="s">
        <v>4977</v>
      </c>
      <c r="K647" s="4" t="s">
        <v>4837</v>
      </c>
      <c r="L647" s="4" t="s">
        <v>4968</v>
      </c>
      <c r="M647" s="4" t="s">
        <v>5035</v>
      </c>
      <c r="N647" t="s">
        <v>15</v>
      </c>
      <c r="O647" t="s">
        <v>2413</v>
      </c>
      <c r="P647" t="s">
        <v>23</v>
      </c>
      <c r="Q647" t="s">
        <v>24</v>
      </c>
      <c r="R647" t="s">
        <v>25</v>
      </c>
      <c r="S647" t="s">
        <v>26</v>
      </c>
      <c r="T647" s="6">
        <v>46307</v>
      </c>
      <c r="U647">
        <v>192</v>
      </c>
      <c r="V647">
        <v>192</v>
      </c>
      <c r="W647">
        <v>204</v>
      </c>
      <c r="X647">
        <v>204</v>
      </c>
      <c r="Y647">
        <f t="shared" si="102"/>
        <v>0</v>
      </c>
      <c r="Z647">
        <f t="shared" si="103"/>
        <v>-12</v>
      </c>
      <c r="AC647" s="1">
        <v>0</v>
      </c>
      <c r="AF647">
        <f t="shared" si="100"/>
        <v>192</v>
      </c>
      <c r="AG647" s="7">
        <v>12</v>
      </c>
      <c r="AH647">
        <f t="shared" si="104"/>
        <v>192</v>
      </c>
      <c r="AI647">
        <f t="shared" si="101"/>
        <v>0</v>
      </c>
      <c r="AK647">
        <f t="shared" si="105"/>
        <v>16</v>
      </c>
      <c r="AL647">
        <v>13.85</v>
      </c>
      <c r="AM647" t="s">
        <v>27</v>
      </c>
      <c r="AN647">
        <v>13.85</v>
      </c>
      <c r="AO647" t="b">
        <f t="shared" si="106"/>
        <v>1</v>
      </c>
      <c r="AR647" t="s">
        <v>5061</v>
      </c>
      <c r="AS647" s="21">
        <v>46276</v>
      </c>
      <c r="AT647" t="s">
        <v>5062</v>
      </c>
      <c r="AU647" t="s">
        <v>5072</v>
      </c>
      <c r="AV647" t="s">
        <v>5062</v>
      </c>
      <c r="AW647" t="s">
        <v>5086</v>
      </c>
    </row>
    <row r="648" spans="1:49" x14ac:dyDescent="0.35">
      <c r="A648" t="s">
        <v>871</v>
      </c>
      <c r="B648" t="s">
        <v>872</v>
      </c>
      <c r="C648" t="s">
        <v>4818</v>
      </c>
      <c r="D648" t="s">
        <v>18</v>
      </c>
      <c r="E648" t="s">
        <v>2414</v>
      </c>
      <c r="F648" t="s">
        <v>2415</v>
      </c>
      <c r="G648" t="s">
        <v>21</v>
      </c>
      <c r="H648" t="s">
        <v>4826</v>
      </c>
      <c r="I648" t="s">
        <v>4976</v>
      </c>
      <c r="J648" s="4" t="s">
        <v>4977</v>
      </c>
      <c r="K648" s="4" t="s">
        <v>4978</v>
      </c>
      <c r="L648" s="4" t="s">
        <v>4948</v>
      </c>
      <c r="M648" s="4" t="s">
        <v>5035</v>
      </c>
      <c r="N648" t="s">
        <v>15</v>
      </c>
      <c r="O648" t="s">
        <v>2416</v>
      </c>
      <c r="P648" t="s">
        <v>23</v>
      </c>
      <c r="Q648" t="s">
        <v>24</v>
      </c>
      <c r="R648" t="s">
        <v>25</v>
      </c>
      <c r="S648" t="s">
        <v>26</v>
      </c>
      <c r="T648" s="6">
        <v>46307</v>
      </c>
      <c r="U648">
        <v>24</v>
      </c>
      <c r="V648">
        <v>24</v>
      </c>
      <c r="W648">
        <v>24</v>
      </c>
      <c r="X648">
        <v>24</v>
      </c>
      <c r="Y648">
        <f t="shared" si="102"/>
        <v>0</v>
      </c>
      <c r="Z648">
        <f t="shared" si="103"/>
        <v>0</v>
      </c>
      <c r="AC648" s="1">
        <v>0</v>
      </c>
      <c r="AF648">
        <f t="shared" si="100"/>
        <v>24</v>
      </c>
      <c r="AG648" s="7">
        <v>12</v>
      </c>
      <c r="AH648">
        <f t="shared" si="104"/>
        <v>24</v>
      </c>
      <c r="AI648">
        <f t="shared" si="101"/>
        <v>0</v>
      </c>
      <c r="AK648">
        <f t="shared" si="105"/>
        <v>2</v>
      </c>
      <c r="AL648">
        <v>13.85</v>
      </c>
      <c r="AM648" t="s">
        <v>27</v>
      </c>
      <c r="AN648">
        <v>13.85</v>
      </c>
      <c r="AO648" t="b">
        <f t="shared" si="106"/>
        <v>1</v>
      </c>
      <c r="AR648" t="s">
        <v>5061</v>
      </c>
      <c r="AS648" s="21">
        <v>46276</v>
      </c>
      <c r="AT648" t="s">
        <v>5062</v>
      </c>
      <c r="AU648" t="s">
        <v>5072</v>
      </c>
      <c r="AV648" t="s">
        <v>5062</v>
      </c>
      <c r="AW648" t="s">
        <v>5086</v>
      </c>
    </row>
    <row r="649" spans="1:49" x14ac:dyDescent="0.35">
      <c r="A649" t="s">
        <v>871</v>
      </c>
      <c r="B649" t="s">
        <v>872</v>
      </c>
      <c r="C649" t="s">
        <v>4818</v>
      </c>
      <c r="D649" t="s">
        <v>18</v>
      </c>
      <c r="E649" t="s">
        <v>2417</v>
      </c>
      <c r="F649" t="s">
        <v>2418</v>
      </c>
      <c r="G649" t="s">
        <v>21</v>
      </c>
      <c r="H649" t="s">
        <v>4826</v>
      </c>
      <c r="I649" t="s">
        <v>4976</v>
      </c>
      <c r="J649" s="4" t="s">
        <v>4977</v>
      </c>
      <c r="K649" s="4" t="s">
        <v>4837</v>
      </c>
      <c r="L649" s="4" t="s">
        <v>4943</v>
      </c>
      <c r="M649" s="4" t="s">
        <v>5035</v>
      </c>
      <c r="N649" t="s">
        <v>15</v>
      </c>
      <c r="O649" t="s">
        <v>2419</v>
      </c>
      <c r="P649" t="s">
        <v>23</v>
      </c>
      <c r="Q649" t="s">
        <v>24</v>
      </c>
      <c r="R649" t="s">
        <v>25</v>
      </c>
      <c r="S649" t="s">
        <v>26</v>
      </c>
      <c r="T649" s="6">
        <v>46307</v>
      </c>
      <c r="U649">
        <v>288</v>
      </c>
      <c r="V649">
        <v>288</v>
      </c>
      <c r="W649">
        <v>300</v>
      </c>
      <c r="X649">
        <v>300</v>
      </c>
      <c r="Y649">
        <f t="shared" si="102"/>
        <v>0</v>
      </c>
      <c r="Z649">
        <f t="shared" si="103"/>
        <v>-12</v>
      </c>
      <c r="AC649" s="1">
        <v>0</v>
      </c>
      <c r="AF649">
        <f t="shared" si="100"/>
        <v>288</v>
      </c>
      <c r="AG649" s="7">
        <v>12</v>
      </c>
      <c r="AH649">
        <f t="shared" si="104"/>
        <v>288</v>
      </c>
      <c r="AI649">
        <f t="shared" si="101"/>
        <v>0</v>
      </c>
      <c r="AK649">
        <f t="shared" si="105"/>
        <v>24</v>
      </c>
      <c r="AL649">
        <v>13.85</v>
      </c>
      <c r="AM649" t="s">
        <v>27</v>
      </c>
      <c r="AN649">
        <v>13.85</v>
      </c>
      <c r="AO649" t="b">
        <f t="shared" si="106"/>
        <v>1</v>
      </c>
      <c r="AR649" t="s">
        <v>5061</v>
      </c>
      <c r="AS649" s="21">
        <v>46276</v>
      </c>
      <c r="AT649" t="s">
        <v>5062</v>
      </c>
      <c r="AU649" t="s">
        <v>5072</v>
      </c>
      <c r="AV649" t="s">
        <v>5062</v>
      </c>
      <c r="AW649" t="s">
        <v>5086</v>
      </c>
    </row>
    <row r="650" spans="1:49" x14ac:dyDescent="0.35">
      <c r="A650" t="s">
        <v>871</v>
      </c>
      <c r="B650" t="s">
        <v>872</v>
      </c>
      <c r="C650" t="s">
        <v>4818</v>
      </c>
      <c r="D650" t="s">
        <v>18</v>
      </c>
      <c r="E650" t="s">
        <v>2420</v>
      </c>
      <c r="F650" t="s">
        <v>2421</v>
      </c>
      <c r="G650" t="s">
        <v>21</v>
      </c>
      <c r="H650" t="s">
        <v>4826</v>
      </c>
      <c r="I650" t="s">
        <v>4976</v>
      </c>
      <c r="J650" s="4" t="s">
        <v>4977</v>
      </c>
      <c r="K650" s="4" t="s">
        <v>4837</v>
      </c>
      <c r="L650" s="4" t="s">
        <v>4944</v>
      </c>
      <c r="M650" s="4" t="s">
        <v>5035</v>
      </c>
      <c r="N650" t="s">
        <v>15</v>
      </c>
      <c r="O650" t="s">
        <v>2422</v>
      </c>
      <c r="P650" t="s">
        <v>23</v>
      </c>
      <c r="Q650" t="s">
        <v>24</v>
      </c>
      <c r="R650" t="s">
        <v>25</v>
      </c>
      <c r="S650" t="s">
        <v>26</v>
      </c>
      <c r="T650" s="6">
        <v>46307</v>
      </c>
      <c r="U650">
        <v>48</v>
      </c>
      <c r="V650">
        <v>48</v>
      </c>
      <c r="W650">
        <v>60</v>
      </c>
      <c r="X650">
        <v>60</v>
      </c>
      <c r="Y650">
        <f t="shared" si="102"/>
        <v>0</v>
      </c>
      <c r="Z650">
        <f t="shared" si="103"/>
        <v>-12</v>
      </c>
      <c r="AC650" s="1">
        <v>0</v>
      </c>
      <c r="AF650">
        <f t="shared" si="100"/>
        <v>48</v>
      </c>
      <c r="AG650" s="7">
        <v>12</v>
      </c>
      <c r="AH650">
        <f t="shared" si="104"/>
        <v>48</v>
      </c>
      <c r="AI650">
        <f t="shared" si="101"/>
        <v>0</v>
      </c>
      <c r="AK650">
        <f t="shared" si="105"/>
        <v>4</v>
      </c>
      <c r="AL650">
        <v>13.85</v>
      </c>
      <c r="AM650" t="s">
        <v>27</v>
      </c>
      <c r="AN650">
        <v>13.85</v>
      </c>
      <c r="AO650" t="b">
        <f t="shared" si="106"/>
        <v>1</v>
      </c>
      <c r="AR650" t="s">
        <v>5061</v>
      </c>
      <c r="AS650" s="21">
        <v>46276</v>
      </c>
      <c r="AT650" t="s">
        <v>5062</v>
      </c>
      <c r="AU650" t="s">
        <v>5072</v>
      </c>
      <c r="AV650" t="s">
        <v>5062</v>
      </c>
      <c r="AW650" t="s">
        <v>5086</v>
      </c>
    </row>
    <row r="651" spans="1:49" x14ac:dyDescent="0.35">
      <c r="A651" t="s">
        <v>871</v>
      </c>
      <c r="B651" t="s">
        <v>872</v>
      </c>
      <c r="C651" t="s">
        <v>4818</v>
      </c>
      <c r="D651" t="s">
        <v>18</v>
      </c>
      <c r="E651" t="s">
        <v>2423</v>
      </c>
      <c r="F651" t="s">
        <v>2424</v>
      </c>
      <c r="G651" t="s">
        <v>21</v>
      </c>
      <c r="H651" t="s">
        <v>4826</v>
      </c>
      <c r="I651" t="s">
        <v>4976</v>
      </c>
      <c r="J651" s="4" t="s">
        <v>4977</v>
      </c>
      <c r="K651" s="4" t="s">
        <v>4831</v>
      </c>
      <c r="L651" s="4" t="s">
        <v>4943</v>
      </c>
      <c r="M651" s="4" t="s">
        <v>5035</v>
      </c>
      <c r="N651" t="s">
        <v>15</v>
      </c>
      <c r="O651" t="s">
        <v>2425</v>
      </c>
      <c r="P651" t="s">
        <v>23</v>
      </c>
      <c r="Q651" t="s">
        <v>24</v>
      </c>
      <c r="R651" t="s">
        <v>25</v>
      </c>
      <c r="S651" t="s">
        <v>26</v>
      </c>
      <c r="T651" s="6">
        <v>46307</v>
      </c>
      <c r="U651">
        <v>12</v>
      </c>
      <c r="V651">
        <v>12</v>
      </c>
      <c r="W651">
        <v>12</v>
      </c>
      <c r="X651">
        <v>12</v>
      </c>
      <c r="Y651">
        <f t="shared" si="102"/>
        <v>0</v>
      </c>
      <c r="Z651">
        <f t="shared" si="103"/>
        <v>0</v>
      </c>
      <c r="AC651" s="1">
        <v>0</v>
      </c>
      <c r="AF651">
        <f t="shared" si="100"/>
        <v>12</v>
      </c>
      <c r="AG651" s="7">
        <v>12</v>
      </c>
      <c r="AH651">
        <f t="shared" si="104"/>
        <v>12</v>
      </c>
      <c r="AI651">
        <f t="shared" si="101"/>
        <v>0</v>
      </c>
      <c r="AK651">
        <f t="shared" si="105"/>
        <v>1</v>
      </c>
      <c r="AL651">
        <v>13.85</v>
      </c>
      <c r="AM651" t="s">
        <v>27</v>
      </c>
      <c r="AN651">
        <v>13.85</v>
      </c>
      <c r="AO651" t="b">
        <f t="shared" si="106"/>
        <v>1</v>
      </c>
      <c r="AR651" t="s">
        <v>5061</v>
      </c>
      <c r="AS651" s="21">
        <v>46276</v>
      </c>
      <c r="AT651" t="s">
        <v>5062</v>
      </c>
      <c r="AU651" t="s">
        <v>5072</v>
      </c>
      <c r="AV651" t="s">
        <v>5062</v>
      </c>
      <c r="AW651" t="s">
        <v>5086</v>
      </c>
    </row>
    <row r="652" spans="1:49" x14ac:dyDescent="0.35">
      <c r="A652" t="s">
        <v>871</v>
      </c>
      <c r="B652" t="s">
        <v>872</v>
      </c>
      <c r="C652" t="s">
        <v>4818</v>
      </c>
      <c r="D652" t="s">
        <v>18</v>
      </c>
      <c r="E652" t="s">
        <v>2426</v>
      </c>
      <c r="F652" t="s">
        <v>2427</v>
      </c>
      <c r="G652" t="s">
        <v>21</v>
      </c>
      <c r="H652" t="s">
        <v>4826</v>
      </c>
      <c r="I652" t="s">
        <v>4976</v>
      </c>
      <c r="J652" s="4" t="s">
        <v>4977</v>
      </c>
      <c r="K652" s="4" t="s">
        <v>4831</v>
      </c>
      <c r="L652" s="4" t="s">
        <v>4940</v>
      </c>
      <c r="M652" s="4" t="s">
        <v>5035</v>
      </c>
      <c r="N652" t="s">
        <v>15</v>
      </c>
      <c r="O652" t="s">
        <v>2428</v>
      </c>
      <c r="P652" t="s">
        <v>23</v>
      </c>
      <c r="Q652" t="s">
        <v>24</v>
      </c>
      <c r="R652" t="s">
        <v>25</v>
      </c>
      <c r="S652" t="s">
        <v>26</v>
      </c>
      <c r="T652" s="6">
        <v>46307</v>
      </c>
      <c r="U652">
        <v>72</v>
      </c>
      <c r="V652">
        <v>72</v>
      </c>
      <c r="W652">
        <v>60</v>
      </c>
      <c r="X652">
        <v>60</v>
      </c>
      <c r="Y652">
        <f t="shared" si="102"/>
        <v>0</v>
      </c>
      <c r="Z652">
        <f t="shared" si="103"/>
        <v>12</v>
      </c>
      <c r="AA652">
        <f>Z652</f>
        <v>12</v>
      </c>
      <c r="AC652" s="1">
        <v>0</v>
      </c>
      <c r="AF652">
        <f>X652</f>
        <v>60</v>
      </c>
      <c r="AG652" s="7">
        <v>12</v>
      </c>
      <c r="AH652">
        <f t="shared" si="104"/>
        <v>60</v>
      </c>
      <c r="AI652">
        <f t="shared" si="101"/>
        <v>12</v>
      </c>
      <c r="AK652">
        <f t="shared" si="105"/>
        <v>5</v>
      </c>
      <c r="AL652">
        <v>13.85</v>
      </c>
      <c r="AM652" t="s">
        <v>27</v>
      </c>
      <c r="AN652">
        <v>13.85</v>
      </c>
      <c r="AO652" t="b">
        <f t="shared" si="106"/>
        <v>1</v>
      </c>
      <c r="AR652" t="s">
        <v>5061</v>
      </c>
      <c r="AS652" s="21">
        <v>46276</v>
      </c>
      <c r="AT652" t="s">
        <v>5062</v>
      </c>
      <c r="AU652" t="s">
        <v>5072</v>
      </c>
      <c r="AV652" t="s">
        <v>5062</v>
      </c>
      <c r="AW652" t="s">
        <v>5086</v>
      </c>
    </row>
    <row r="653" spans="1:49" x14ac:dyDescent="0.35">
      <c r="A653" t="s">
        <v>871</v>
      </c>
      <c r="B653" t="s">
        <v>872</v>
      </c>
      <c r="C653" t="s">
        <v>4818</v>
      </c>
      <c r="D653" t="s">
        <v>18</v>
      </c>
      <c r="E653" t="s">
        <v>2429</v>
      </c>
      <c r="F653" t="s">
        <v>2430</v>
      </c>
      <c r="G653" t="s">
        <v>21</v>
      </c>
      <c r="H653" t="s">
        <v>4826</v>
      </c>
      <c r="I653" t="s">
        <v>4976</v>
      </c>
      <c r="J653" s="4" t="s">
        <v>4977</v>
      </c>
      <c r="K653" s="4" t="s">
        <v>4837</v>
      </c>
      <c r="L653" s="4" t="s">
        <v>4974</v>
      </c>
      <c r="M653" s="4" t="s">
        <v>5035</v>
      </c>
      <c r="N653" t="s">
        <v>15</v>
      </c>
      <c r="O653" t="s">
        <v>2431</v>
      </c>
      <c r="P653" t="s">
        <v>23</v>
      </c>
      <c r="Q653" t="s">
        <v>24</v>
      </c>
      <c r="R653" t="s">
        <v>25</v>
      </c>
      <c r="S653" t="s">
        <v>26</v>
      </c>
      <c r="T653" s="6">
        <v>46307</v>
      </c>
      <c r="U653">
        <v>48</v>
      </c>
      <c r="V653">
        <v>48</v>
      </c>
      <c r="W653">
        <v>60</v>
      </c>
      <c r="X653">
        <v>60</v>
      </c>
      <c r="Y653">
        <f t="shared" si="102"/>
        <v>0</v>
      </c>
      <c r="Z653">
        <f t="shared" si="103"/>
        <v>-12</v>
      </c>
      <c r="AC653" s="1">
        <v>0</v>
      </c>
      <c r="AF653">
        <f t="shared" ref="AF653:AF697" si="107">V653</f>
        <v>48</v>
      </c>
      <c r="AG653" s="7">
        <v>12</v>
      </c>
      <c r="AH653">
        <f t="shared" si="104"/>
        <v>48</v>
      </c>
      <c r="AI653">
        <f t="shared" si="101"/>
        <v>0</v>
      </c>
      <c r="AK653">
        <f t="shared" si="105"/>
        <v>4</v>
      </c>
      <c r="AL653">
        <v>13.85</v>
      </c>
      <c r="AM653" t="s">
        <v>27</v>
      </c>
      <c r="AN653">
        <v>13.85</v>
      </c>
      <c r="AO653" t="b">
        <f t="shared" si="106"/>
        <v>1</v>
      </c>
      <c r="AR653" t="s">
        <v>5061</v>
      </c>
      <c r="AS653" s="21">
        <v>46276</v>
      </c>
      <c r="AT653" t="s">
        <v>5062</v>
      </c>
      <c r="AU653" t="s">
        <v>5072</v>
      </c>
      <c r="AV653" t="s">
        <v>5062</v>
      </c>
      <c r="AW653" t="s">
        <v>5086</v>
      </c>
    </row>
    <row r="654" spans="1:49" x14ac:dyDescent="0.35">
      <c r="A654" t="s">
        <v>871</v>
      </c>
      <c r="B654" t="s">
        <v>872</v>
      </c>
      <c r="C654" t="s">
        <v>4818</v>
      </c>
      <c r="D654" t="s">
        <v>18</v>
      </c>
      <c r="E654" t="s">
        <v>2432</v>
      </c>
      <c r="F654" t="s">
        <v>2433</v>
      </c>
      <c r="G654" t="s">
        <v>21</v>
      </c>
      <c r="H654" t="s">
        <v>4826</v>
      </c>
      <c r="I654" t="s">
        <v>4976</v>
      </c>
      <c r="J654" s="4" t="s">
        <v>4977</v>
      </c>
      <c r="K654" s="4" t="s">
        <v>4978</v>
      </c>
      <c r="L654" s="4" t="s">
        <v>4970</v>
      </c>
      <c r="M654" s="4" t="s">
        <v>5035</v>
      </c>
      <c r="N654" t="s">
        <v>15</v>
      </c>
      <c r="O654" t="s">
        <v>2434</v>
      </c>
      <c r="P654" t="s">
        <v>23</v>
      </c>
      <c r="Q654" t="s">
        <v>24</v>
      </c>
      <c r="R654" t="s">
        <v>25</v>
      </c>
      <c r="S654" t="s">
        <v>26</v>
      </c>
      <c r="T654" s="6">
        <v>46307</v>
      </c>
      <c r="U654">
        <v>144</v>
      </c>
      <c r="V654">
        <v>144</v>
      </c>
      <c r="W654">
        <v>156</v>
      </c>
      <c r="X654">
        <v>156</v>
      </c>
      <c r="Y654">
        <f t="shared" si="102"/>
        <v>0</v>
      </c>
      <c r="Z654">
        <f t="shared" si="103"/>
        <v>-12</v>
      </c>
      <c r="AC654" s="1"/>
      <c r="AF654">
        <f t="shared" si="107"/>
        <v>144</v>
      </c>
      <c r="AG654" s="7">
        <v>12</v>
      </c>
      <c r="AH654">
        <f t="shared" si="104"/>
        <v>144</v>
      </c>
      <c r="AI654">
        <f t="shared" si="101"/>
        <v>0</v>
      </c>
      <c r="AK654">
        <f t="shared" si="105"/>
        <v>12</v>
      </c>
      <c r="AL654">
        <v>13.85</v>
      </c>
      <c r="AM654" t="s">
        <v>27</v>
      </c>
      <c r="AN654">
        <v>13.85</v>
      </c>
      <c r="AO654" t="b">
        <f t="shared" si="106"/>
        <v>1</v>
      </c>
      <c r="AR654" t="s">
        <v>5061</v>
      </c>
      <c r="AS654" s="21">
        <v>46276</v>
      </c>
      <c r="AT654" t="s">
        <v>5062</v>
      </c>
      <c r="AU654" t="s">
        <v>5072</v>
      </c>
      <c r="AV654" t="s">
        <v>5062</v>
      </c>
      <c r="AW654" t="s">
        <v>5086</v>
      </c>
    </row>
    <row r="655" spans="1:49" x14ac:dyDescent="0.35">
      <c r="A655" t="s">
        <v>871</v>
      </c>
      <c r="B655" t="s">
        <v>872</v>
      </c>
      <c r="C655" t="s">
        <v>4818</v>
      </c>
      <c r="D655" t="s">
        <v>18</v>
      </c>
      <c r="E655" t="s">
        <v>2435</v>
      </c>
      <c r="F655" t="s">
        <v>2436</v>
      </c>
      <c r="G655" t="s">
        <v>21</v>
      </c>
      <c r="H655" t="s">
        <v>4826</v>
      </c>
      <c r="I655" t="s">
        <v>4976</v>
      </c>
      <c r="J655" s="4" t="s">
        <v>4977</v>
      </c>
      <c r="K655" s="4" t="s">
        <v>4831</v>
      </c>
      <c r="L655" s="4" t="s">
        <v>4971</v>
      </c>
      <c r="M655" s="4" t="s">
        <v>5035</v>
      </c>
      <c r="N655" t="s">
        <v>15</v>
      </c>
      <c r="O655" t="s">
        <v>2437</v>
      </c>
      <c r="P655" t="s">
        <v>23</v>
      </c>
      <c r="Q655" t="s">
        <v>24</v>
      </c>
      <c r="R655" t="s">
        <v>25</v>
      </c>
      <c r="S655" t="s">
        <v>26</v>
      </c>
      <c r="T655" s="6">
        <v>46307</v>
      </c>
      <c r="U655">
        <v>24</v>
      </c>
      <c r="V655">
        <v>24</v>
      </c>
      <c r="W655">
        <v>24</v>
      </c>
      <c r="X655">
        <v>24</v>
      </c>
      <c r="Y655">
        <f t="shared" si="102"/>
        <v>0</v>
      </c>
      <c r="Z655">
        <f t="shared" si="103"/>
        <v>0</v>
      </c>
      <c r="AC655" s="1">
        <v>0</v>
      </c>
      <c r="AF655">
        <f t="shared" si="107"/>
        <v>24</v>
      </c>
      <c r="AG655" s="7">
        <v>12</v>
      </c>
      <c r="AH655">
        <f t="shared" si="104"/>
        <v>24</v>
      </c>
      <c r="AI655">
        <f t="shared" si="101"/>
        <v>0</v>
      </c>
      <c r="AK655">
        <f t="shared" si="105"/>
        <v>2</v>
      </c>
      <c r="AL655">
        <v>13.85</v>
      </c>
      <c r="AM655" t="s">
        <v>27</v>
      </c>
      <c r="AN655">
        <v>13.85</v>
      </c>
      <c r="AO655" t="b">
        <f t="shared" si="106"/>
        <v>1</v>
      </c>
      <c r="AR655" t="s">
        <v>5061</v>
      </c>
      <c r="AS655" s="21">
        <v>46276</v>
      </c>
      <c r="AT655" t="s">
        <v>5062</v>
      </c>
      <c r="AU655" t="s">
        <v>5072</v>
      </c>
      <c r="AV655" t="s">
        <v>5062</v>
      </c>
      <c r="AW655" t="s">
        <v>5086</v>
      </c>
    </row>
    <row r="656" spans="1:49" x14ac:dyDescent="0.35">
      <c r="A656" t="s">
        <v>871</v>
      </c>
      <c r="B656" t="s">
        <v>872</v>
      </c>
      <c r="C656" t="s">
        <v>4818</v>
      </c>
      <c r="D656" t="s">
        <v>18</v>
      </c>
      <c r="E656" t="s">
        <v>2438</v>
      </c>
      <c r="F656" t="s">
        <v>2439</v>
      </c>
      <c r="G656" t="s">
        <v>21</v>
      </c>
      <c r="H656" t="s">
        <v>4826</v>
      </c>
      <c r="I656" t="s">
        <v>4976</v>
      </c>
      <c r="J656" s="4" t="s">
        <v>4977</v>
      </c>
      <c r="K656" s="4" t="s">
        <v>4978</v>
      </c>
      <c r="L656" s="4" t="s">
        <v>4939</v>
      </c>
      <c r="M656" s="4" t="s">
        <v>5035</v>
      </c>
      <c r="N656" t="s">
        <v>15</v>
      </c>
      <c r="O656" t="s">
        <v>2440</v>
      </c>
      <c r="P656" t="s">
        <v>23</v>
      </c>
      <c r="Q656" t="s">
        <v>24</v>
      </c>
      <c r="R656" t="s">
        <v>25</v>
      </c>
      <c r="S656" t="s">
        <v>26</v>
      </c>
      <c r="T656" s="6">
        <v>46307</v>
      </c>
      <c r="U656">
        <v>72</v>
      </c>
      <c r="V656">
        <v>72</v>
      </c>
      <c r="W656">
        <v>84</v>
      </c>
      <c r="X656">
        <v>84</v>
      </c>
      <c r="Y656">
        <f t="shared" si="102"/>
        <v>0</v>
      </c>
      <c r="Z656">
        <f t="shared" si="103"/>
        <v>-12</v>
      </c>
      <c r="AC656" s="1">
        <v>0</v>
      </c>
      <c r="AF656">
        <f t="shared" si="107"/>
        <v>72</v>
      </c>
      <c r="AG656" s="7">
        <v>12</v>
      </c>
      <c r="AH656">
        <f t="shared" si="104"/>
        <v>72</v>
      </c>
      <c r="AI656">
        <f t="shared" si="101"/>
        <v>0</v>
      </c>
      <c r="AK656">
        <f t="shared" si="105"/>
        <v>6</v>
      </c>
      <c r="AL656">
        <v>13.85</v>
      </c>
      <c r="AM656" t="s">
        <v>27</v>
      </c>
      <c r="AN656">
        <v>13.85</v>
      </c>
      <c r="AO656" t="b">
        <f t="shared" si="106"/>
        <v>1</v>
      </c>
      <c r="AR656" t="s">
        <v>5061</v>
      </c>
      <c r="AS656" s="21">
        <v>46276</v>
      </c>
      <c r="AT656" t="s">
        <v>5062</v>
      </c>
      <c r="AU656" t="s">
        <v>5072</v>
      </c>
      <c r="AV656" t="s">
        <v>5062</v>
      </c>
      <c r="AW656" t="s">
        <v>5086</v>
      </c>
    </row>
    <row r="657" spans="1:49" x14ac:dyDescent="0.35">
      <c r="A657" t="s">
        <v>871</v>
      </c>
      <c r="B657" t="s">
        <v>872</v>
      </c>
      <c r="C657" t="s">
        <v>4818</v>
      </c>
      <c r="D657" t="s">
        <v>18</v>
      </c>
      <c r="E657" t="s">
        <v>2441</v>
      </c>
      <c r="F657" t="s">
        <v>2442</v>
      </c>
      <c r="G657" t="s">
        <v>21</v>
      </c>
      <c r="H657" t="s">
        <v>4826</v>
      </c>
      <c r="I657" t="s">
        <v>4976</v>
      </c>
      <c r="J657" s="4" t="s">
        <v>4977</v>
      </c>
      <c r="K657" s="4" t="s">
        <v>4978</v>
      </c>
      <c r="L657" s="4" t="s">
        <v>4968</v>
      </c>
      <c r="M657" s="4" t="s">
        <v>5035</v>
      </c>
      <c r="N657" t="s">
        <v>15</v>
      </c>
      <c r="O657" t="s">
        <v>2443</v>
      </c>
      <c r="P657" t="s">
        <v>23</v>
      </c>
      <c r="Q657" t="s">
        <v>24</v>
      </c>
      <c r="R657" t="s">
        <v>25</v>
      </c>
      <c r="S657" t="s">
        <v>26</v>
      </c>
      <c r="T657" s="6">
        <v>46307</v>
      </c>
      <c r="U657">
        <v>24</v>
      </c>
      <c r="V657">
        <v>24</v>
      </c>
      <c r="W657">
        <v>24</v>
      </c>
      <c r="X657">
        <v>24</v>
      </c>
      <c r="Y657">
        <f t="shared" si="102"/>
        <v>0</v>
      </c>
      <c r="Z657">
        <f t="shared" si="103"/>
        <v>0</v>
      </c>
      <c r="AC657" s="1">
        <v>0</v>
      </c>
      <c r="AF657">
        <f t="shared" si="107"/>
        <v>24</v>
      </c>
      <c r="AG657" s="7">
        <v>12</v>
      </c>
      <c r="AH657">
        <f t="shared" si="104"/>
        <v>24</v>
      </c>
      <c r="AI657">
        <f t="shared" si="101"/>
        <v>0</v>
      </c>
      <c r="AK657">
        <f t="shared" si="105"/>
        <v>2</v>
      </c>
      <c r="AL657">
        <v>13.85</v>
      </c>
      <c r="AM657" t="s">
        <v>27</v>
      </c>
      <c r="AN657">
        <v>13.85</v>
      </c>
      <c r="AO657" t="b">
        <f t="shared" si="106"/>
        <v>1</v>
      </c>
      <c r="AR657" t="s">
        <v>5061</v>
      </c>
      <c r="AS657" s="21">
        <v>46276</v>
      </c>
      <c r="AT657" t="s">
        <v>5062</v>
      </c>
      <c r="AU657" t="s">
        <v>5072</v>
      </c>
      <c r="AV657" t="s">
        <v>5062</v>
      </c>
      <c r="AW657" t="s">
        <v>5086</v>
      </c>
    </row>
    <row r="658" spans="1:49" x14ac:dyDescent="0.35">
      <c r="A658" t="s">
        <v>871</v>
      </c>
      <c r="B658" t="s">
        <v>872</v>
      </c>
      <c r="C658" t="s">
        <v>4818</v>
      </c>
      <c r="D658" t="s">
        <v>18</v>
      </c>
      <c r="E658" t="s">
        <v>2444</v>
      </c>
      <c r="F658" t="s">
        <v>2445</v>
      </c>
      <c r="G658" t="s">
        <v>21</v>
      </c>
      <c r="H658" t="s">
        <v>4826</v>
      </c>
      <c r="I658" t="s">
        <v>4976</v>
      </c>
      <c r="J658" s="4" t="s">
        <v>4977</v>
      </c>
      <c r="K658" s="4" t="s">
        <v>4831</v>
      </c>
      <c r="L658" s="4" t="s">
        <v>4951</v>
      </c>
      <c r="M658" s="4" t="s">
        <v>5035</v>
      </c>
      <c r="N658" t="s">
        <v>15</v>
      </c>
      <c r="O658" t="s">
        <v>2446</v>
      </c>
      <c r="P658" t="s">
        <v>23</v>
      </c>
      <c r="Q658" t="s">
        <v>24</v>
      </c>
      <c r="R658" t="s">
        <v>25</v>
      </c>
      <c r="S658" t="s">
        <v>26</v>
      </c>
      <c r="T658" s="6">
        <v>46307</v>
      </c>
      <c r="U658">
        <v>84</v>
      </c>
      <c r="V658">
        <v>84</v>
      </c>
      <c r="W658">
        <v>84</v>
      </c>
      <c r="X658">
        <v>84</v>
      </c>
      <c r="Y658">
        <f t="shared" si="102"/>
        <v>0</v>
      </c>
      <c r="Z658">
        <f t="shared" si="103"/>
        <v>0</v>
      </c>
      <c r="AC658" s="1">
        <v>0</v>
      </c>
      <c r="AF658">
        <f t="shared" si="107"/>
        <v>84</v>
      </c>
      <c r="AG658" s="7">
        <v>12</v>
      </c>
      <c r="AH658">
        <f t="shared" si="104"/>
        <v>84</v>
      </c>
      <c r="AI658">
        <f t="shared" si="101"/>
        <v>0</v>
      </c>
      <c r="AK658">
        <f t="shared" si="105"/>
        <v>7</v>
      </c>
      <c r="AL658">
        <v>13.85</v>
      </c>
      <c r="AM658" t="s">
        <v>27</v>
      </c>
      <c r="AN658">
        <v>13.85</v>
      </c>
      <c r="AO658" t="b">
        <f t="shared" si="106"/>
        <v>1</v>
      </c>
      <c r="AR658" t="s">
        <v>5061</v>
      </c>
      <c r="AS658" s="21">
        <v>46276</v>
      </c>
      <c r="AT658" t="s">
        <v>5062</v>
      </c>
      <c r="AU658" t="s">
        <v>5072</v>
      </c>
      <c r="AV658" t="s">
        <v>5062</v>
      </c>
      <c r="AW658" t="s">
        <v>5086</v>
      </c>
    </row>
    <row r="659" spans="1:49" x14ac:dyDescent="0.35">
      <c r="A659" t="s">
        <v>871</v>
      </c>
      <c r="B659" t="s">
        <v>872</v>
      </c>
      <c r="C659" t="s">
        <v>4818</v>
      </c>
      <c r="D659" t="s">
        <v>18</v>
      </c>
      <c r="E659" t="s">
        <v>2447</v>
      </c>
      <c r="F659" t="s">
        <v>2448</v>
      </c>
      <c r="G659" t="s">
        <v>21</v>
      </c>
      <c r="H659" t="s">
        <v>4826</v>
      </c>
      <c r="I659" t="s">
        <v>4976</v>
      </c>
      <c r="J659" s="4" t="s">
        <v>4977</v>
      </c>
      <c r="K659" s="4" t="s">
        <v>4978</v>
      </c>
      <c r="L659" s="4" t="s">
        <v>4971</v>
      </c>
      <c r="M659" s="4" t="s">
        <v>5035</v>
      </c>
      <c r="N659" t="s">
        <v>15</v>
      </c>
      <c r="O659" t="s">
        <v>2449</v>
      </c>
      <c r="P659" t="s">
        <v>23</v>
      </c>
      <c r="Q659" t="s">
        <v>24</v>
      </c>
      <c r="R659" t="s">
        <v>25</v>
      </c>
      <c r="S659" t="s">
        <v>26</v>
      </c>
      <c r="T659" s="6">
        <v>46307</v>
      </c>
      <c r="U659">
        <v>24</v>
      </c>
      <c r="V659">
        <v>24</v>
      </c>
      <c r="W659">
        <v>24</v>
      </c>
      <c r="X659">
        <v>24</v>
      </c>
      <c r="Y659">
        <f t="shared" si="102"/>
        <v>0</v>
      </c>
      <c r="Z659">
        <f t="shared" si="103"/>
        <v>0</v>
      </c>
      <c r="AC659" s="1">
        <v>0</v>
      </c>
      <c r="AF659">
        <f t="shared" si="107"/>
        <v>24</v>
      </c>
      <c r="AG659" s="7">
        <v>12</v>
      </c>
      <c r="AH659">
        <f t="shared" si="104"/>
        <v>24</v>
      </c>
      <c r="AI659">
        <f t="shared" si="101"/>
        <v>0</v>
      </c>
      <c r="AK659">
        <f t="shared" si="105"/>
        <v>2</v>
      </c>
      <c r="AL659">
        <v>13.85</v>
      </c>
      <c r="AM659" t="s">
        <v>27</v>
      </c>
      <c r="AN659">
        <v>13.85</v>
      </c>
      <c r="AO659" t="b">
        <f t="shared" si="106"/>
        <v>1</v>
      </c>
      <c r="AR659" t="s">
        <v>5061</v>
      </c>
      <c r="AS659" s="21">
        <v>46276</v>
      </c>
      <c r="AT659" t="s">
        <v>5062</v>
      </c>
      <c r="AU659" t="s">
        <v>5072</v>
      </c>
      <c r="AV659" t="s">
        <v>5062</v>
      </c>
      <c r="AW659" t="s">
        <v>5086</v>
      </c>
    </row>
    <row r="660" spans="1:49" x14ac:dyDescent="0.35">
      <c r="A660" t="s">
        <v>871</v>
      </c>
      <c r="B660" t="s">
        <v>872</v>
      </c>
      <c r="C660" t="s">
        <v>4818</v>
      </c>
      <c r="D660" t="s">
        <v>18</v>
      </c>
      <c r="E660" t="s">
        <v>2450</v>
      </c>
      <c r="F660" t="s">
        <v>2451</v>
      </c>
      <c r="G660" t="s">
        <v>21</v>
      </c>
      <c r="H660" t="s">
        <v>4826</v>
      </c>
      <c r="I660" t="s">
        <v>4976</v>
      </c>
      <c r="J660" s="4" t="s">
        <v>4977</v>
      </c>
      <c r="K660" s="4" t="s">
        <v>4837</v>
      </c>
      <c r="L660" s="4" t="s">
        <v>4949</v>
      </c>
      <c r="M660" s="4" t="s">
        <v>5035</v>
      </c>
      <c r="N660" t="s">
        <v>15</v>
      </c>
      <c r="O660" t="s">
        <v>2452</v>
      </c>
      <c r="P660" t="s">
        <v>23</v>
      </c>
      <c r="Q660" t="s">
        <v>24</v>
      </c>
      <c r="R660" t="s">
        <v>25</v>
      </c>
      <c r="S660" t="s">
        <v>26</v>
      </c>
      <c r="T660" s="6">
        <v>46307</v>
      </c>
      <c r="U660">
        <v>60</v>
      </c>
      <c r="V660">
        <v>60</v>
      </c>
      <c r="W660">
        <v>60</v>
      </c>
      <c r="X660">
        <v>60</v>
      </c>
      <c r="Y660">
        <f t="shared" si="102"/>
        <v>0</v>
      </c>
      <c r="Z660">
        <f t="shared" si="103"/>
        <v>0</v>
      </c>
      <c r="AC660" s="1">
        <v>0</v>
      </c>
      <c r="AF660">
        <f t="shared" si="107"/>
        <v>60</v>
      </c>
      <c r="AG660" s="7">
        <v>12</v>
      </c>
      <c r="AH660">
        <f t="shared" si="104"/>
        <v>60</v>
      </c>
      <c r="AI660">
        <f t="shared" si="101"/>
        <v>0</v>
      </c>
      <c r="AK660">
        <f t="shared" si="105"/>
        <v>5</v>
      </c>
      <c r="AL660">
        <v>13.85</v>
      </c>
      <c r="AM660" t="s">
        <v>27</v>
      </c>
      <c r="AN660">
        <v>13.85</v>
      </c>
      <c r="AO660" t="b">
        <f t="shared" si="106"/>
        <v>1</v>
      </c>
      <c r="AR660" t="s">
        <v>5061</v>
      </c>
      <c r="AS660" s="21">
        <v>46276</v>
      </c>
      <c r="AT660" t="s">
        <v>5062</v>
      </c>
      <c r="AU660" t="s">
        <v>5072</v>
      </c>
      <c r="AV660" t="s">
        <v>5062</v>
      </c>
      <c r="AW660" t="s">
        <v>5086</v>
      </c>
    </row>
    <row r="661" spans="1:49" x14ac:dyDescent="0.35">
      <c r="A661" t="s">
        <v>871</v>
      </c>
      <c r="B661" t="s">
        <v>872</v>
      </c>
      <c r="C661" t="s">
        <v>4818</v>
      </c>
      <c r="D661" t="s">
        <v>18</v>
      </c>
      <c r="E661" t="s">
        <v>2453</v>
      </c>
      <c r="F661" t="s">
        <v>2454</v>
      </c>
      <c r="G661" t="s">
        <v>21</v>
      </c>
      <c r="H661" t="s">
        <v>4826</v>
      </c>
      <c r="I661" t="s">
        <v>4976</v>
      </c>
      <c r="J661" s="4" t="s">
        <v>4977</v>
      </c>
      <c r="K661" s="4" t="s">
        <v>4831</v>
      </c>
      <c r="L661" s="4" t="s">
        <v>4955</v>
      </c>
      <c r="M661" s="4" t="s">
        <v>5035</v>
      </c>
      <c r="N661" t="s">
        <v>15</v>
      </c>
      <c r="O661" t="s">
        <v>2455</v>
      </c>
      <c r="P661" t="s">
        <v>23</v>
      </c>
      <c r="Q661" t="s">
        <v>24</v>
      </c>
      <c r="R661" t="s">
        <v>25</v>
      </c>
      <c r="S661" t="s">
        <v>26</v>
      </c>
      <c r="T661" s="6">
        <v>46307</v>
      </c>
      <c r="U661">
        <v>24</v>
      </c>
      <c r="V661">
        <v>24</v>
      </c>
      <c r="W661">
        <v>24</v>
      </c>
      <c r="X661">
        <v>24</v>
      </c>
      <c r="Y661">
        <f t="shared" si="102"/>
        <v>0</v>
      </c>
      <c r="Z661">
        <f t="shared" si="103"/>
        <v>0</v>
      </c>
      <c r="AC661" s="1">
        <v>0</v>
      </c>
      <c r="AF661">
        <f t="shared" si="107"/>
        <v>24</v>
      </c>
      <c r="AG661" s="7">
        <v>12</v>
      </c>
      <c r="AH661">
        <f t="shared" si="104"/>
        <v>24</v>
      </c>
      <c r="AI661">
        <f t="shared" si="101"/>
        <v>0</v>
      </c>
      <c r="AK661">
        <f t="shared" si="105"/>
        <v>2</v>
      </c>
      <c r="AL661">
        <v>13.85</v>
      </c>
      <c r="AM661" t="s">
        <v>27</v>
      </c>
      <c r="AN661">
        <v>13.85</v>
      </c>
      <c r="AO661" t="b">
        <f t="shared" si="106"/>
        <v>1</v>
      </c>
      <c r="AR661" t="s">
        <v>5061</v>
      </c>
      <c r="AS661" s="21">
        <v>46276</v>
      </c>
      <c r="AT661" t="s">
        <v>5062</v>
      </c>
      <c r="AU661" t="s">
        <v>5072</v>
      </c>
      <c r="AV661" t="s">
        <v>5062</v>
      </c>
      <c r="AW661" t="s">
        <v>5086</v>
      </c>
    </row>
    <row r="662" spans="1:49" x14ac:dyDescent="0.35">
      <c r="A662" t="s">
        <v>871</v>
      </c>
      <c r="B662" t="s">
        <v>872</v>
      </c>
      <c r="C662" t="s">
        <v>4818</v>
      </c>
      <c r="D662" t="s">
        <v>18</v>
      </c>
      <c r="E662" t="s">
        <v>2456</v>
      </c>
      <c r="F662" t="s">
        <v>2457</v>
      </c>
      <c r="G662" t="s">
        <v>21</v>
      </c>
      <c r="H662" t="s">
        <v>4826</v>
      </c>
      <c r="I662" t="s">
        <v>4976</v>
      </c>
      <c r="J662" s="4" t="s">
        <v>4977</v>
      </c>
      <c r="K662" s="4" t="s">
        <v>4832</v>
      </c>
      <c r="L662" s="4" t="s">
        <v>4948</v>
      </c>
      <c r="M662" s="4" t="s">
        <v>5035</v>
      </c>
      <c r="N662" t="s">
        <v>15</v>
      </c>
      <c r="O662" t="s">
        <v>2458</v>
      </c>
      <c r="P662" t="s">
        <v>23</v>
      </c>
      <c r="Q662" t="s">
        <v>24</v>
      </c>
      <c r="R662" t="s">
        <v>25</v>
      </c>
      <c r="S662" t="s">
        <v>26</v>
      </c>
      <c r="T662" s="6">
        <v>46307</v>
      </c>
      <c r="U662">
        <v>24</v>
      </c>
      <c r="V662">
        <v>24</v>
      </c>
      <c r="W662">
        <v>24</v>
      </c>
      <c r="X662">
        <v>24</v>
      </c>
      <c r="Y662">
        <f t="shared" si="102"/>
        <v>0</v>
      </c>
      <c r="Z662">
        <f t="shared" si="103"/>
        <v>0</v>
      </c>
      <c r="AC662" s="1">
        <v>0</v>
      </c>
      <c r="AF662">
        <f t="shared" si="107"/>
        <v>24</v>
      </c>
      <c r="AG662" s="7">
        <v>12</v>
      </c>
      <c r="AH662">
        <f t="shared" si="104"/>
        <v>24</v>
      </c>
      <c r="AI662">
        <f t="shared" si="101"/>
        <v>0</v>
      </c>
      <c r="AK662">
        <f t="shared" si="105"/>
        <v>2</v>
      </c>
      <c r="AL662">
        <v>13.85</v>
      </c>
      <c r="AM662" t="s">
        <v>27</v>
      </c>
      <c r="AN662">
        <v>13.85</v>
      </c>
      <c r="AO662" t="b">
        <f t="shared" si="106"/>
        <v>1</v>
      </c>
      <c r="AR662" t="s">
        <v>5061</v>
      </c>
      <c r="AS662" s="21">
        <v>46276</v>
      </c>
      <c r="AT662" t="s">
        <v>5062</v>
      </c>
      <c r="AU662" t="s">
        <v>5072</v>
      </c>
      <c r="AV662" t="s">
        <v>5062</v>
      </c>
      <c r="AW662" t="s">
        <v>5086</v>
      </c>
    </row>
    <row r="663" spans="1:49" x14ac:dyDescent="0.35">
      <c r="A663" t="s">
        <v>871</v>
      </c>
      <c r="B663" t="s">
        <v>872</v>
      </c>
      <c r="C663" t="s">
        <v>4818</v>
      </c>
      <c r="D663" t="s">
        <v>18</v>
      </c>
      <c r="E663" t="s">
        <v>2459</v>
      </c>
      <c r="F663" t="s">
        <v>2460</v>
      </c>
      <c r="G663" t="s">
        <v>21</v>
      </c>
      <c r="H663" t="s">
        <v>4826</v>
      </c>
      <c r="I663" t="s">
        <v>4976</v>
      </c>
      <c r="J663" s="4" t="s">
        <v>4977</v>
      </c>
      <c r="K663" s="4" t="s">
        <v>4978</v>
      </c>
      <c r="L663" s="4" t="s">
        <v>4954</v>
      </c>
      <c r="M663" s="4" t="s">
        <v>5035</v>
      </c>
      <c r="N663" t="s">
        <v>15</v>
      </c>
      <c r="O663" t="s">
        <v>2461</v>
      </c>
      <c r="P663" t="s">
        <v>23</v>
      </c>
      <c r="Q663" t="s">
        <v>24</v>
      </c>
      <c r="R663" t="s">
        <v>25</v>
      </c>
      <c r="S663" t="s">
        <v>26</v>
      </c>
      <c r="T663" s="6">
        <v>46307</v>
      </c>
      <c r="U663">
        <v>12</v>
      </c>
      <c r="V663">
        <v>12</v>
      </c>
      <c r="W663">
        <v>12</v>
      </c>
      <c r="X663">
        <v>12</v>
      </c>
      <c r="Y663">
        <f t="shared" si="102"/>
        <v>0</v>
      </c>
      <c r="Z663">
        <f t="shared" si="103"/>
        <v>0</v>
      </c>
      <c r="AC663" s="1">
        <v>0</v>
      </c>
      <c r="AF663">
        <f t="shared" si="107"/>
        <v>12</v>
      </c>
      <c r="AG663" s="7">
        <v>12</v>
      </c>
      <c r="AH663">
        <f t="shared" si="104"/>
        <v>12</v>
      </c>
      <c r="AI663">
        <f t="shared" si="101"/>
        <v>0</v>
      </c>
      <c r="AK663">
        <f t="shared" si="105"/>
        <v>1</v>
      </c>
      <c r="AL663">
        <v>13.85</v>
      </c>
      <c r="AM663" t="s">
        <v>27</v>
      </c>
      <c r="AN663">
        <v>13.85</v>
      </c>
      <c r="AO663" t="b">
        <f t="shared" si="106"/>
        <v>1</v>
      </c>
      <c r="AR663" t="s">
        <v>5061</v>
      </c>
      <c r="AS663" s="21">
        <v>46276</v>
      </c>
      <c r="AT663" t="s">
        <v>5062</v>
      </c>
      <c r="AU663" t="s">
        <v>5072</v>
      </c>
      <c r="AV663" t="s">
        <v>5062</v>
      </c>
      <c r="AW663" t="s">
        <v>5086</v>
      </c>
    </row>
    <row r="664" spans="1:49" x14ac:dyDescent="0.35">
      <c r="A664" t="s">
        <v>871</v>
      </c>
      <c r="B664" t="s">
        <v>872</v>
      </c>
      <c r="C664" t="s">
        <v>4818</v>
      </c>
      <c r="D664" t="s">
        <v>18</v>
      </c>
      <c r="E664" t="s">
        <v>2462</v>
      </c>
      <c r="F664" t="s">
        <v>2463</v>
      </c>
      <c r="G664" t="s">
        <v>21</v>
      </c>
      <c r="H664" t="s">
        <v>4826</v>
      </c>
      <c r="I664" t="s">
        <v>4976</v>
      </c>
      <c r="J664" s="4" t="s">
        <v>4977</v>
      </c>
      <c r="K664" s="4" t="s">
        <v>4837</v>
      </c>
      <c r="L664" s="4" t="s">
        <v>4963</v>
      </c>
      <c r="M664" s="4" t="s">
        <v>5035</v>
      </c>
      <c r="N664" t="s">
        <v>15</v>
      </c>
      <c r="O664" t="s">
        <v>2464</v>
      </c>
      <c r="P664" t="s">
        <v>23</v>
      </c>
      <c r="Q664" t="s">
        <v>24</v>
      </c>
      <c r="R664" t="s">
        <v>25</v>
      </c>
      <c r="S664" t="s">
        <v>26</v>
      </c>
      <c r="T664" s="6">
        <v>46307</v>
      </c>
      <c r="U664">
        <v>108</v>
      </c>
      <c r="V664">
        <v>108</v>
      </c>
      <c r="W664">
        <v>120</v>
      </c>
      <c r="X664">
        <v>120</v>
      </c>
      <c r="Y664">
        <f t="shared" si="102"/>
        <v>0</v>
      </c>
      <c r="Z664">
        <f t="shared" si="103"/>
        <v>-12</v>
      </c>
      <c r="AC664" s="1">
        <v>0</v>
      </c>
      <c r="AF664">
        <f t="shared" si="107"/>
        <v>108</v>
      </c>
      <c r="AG664" s="7">
        <v>12</v>
      </c>
      <c r="AH664">
        <f t="shared" si="104"/>
        <v>108</v>
      </c>
      <c r="AI664">
        <f t="shared" si="101"/>
        <v>0</v>
      </c>
      <c r="AK664">
        <f t="shared" si="105"/>
        <v>9</v>
      </c>
      <c r="AL664">
        <v>13.85</v>
      </c>
      <c r="AM664" t="s">
        <v>27</v>
      </c>
      <c r="AN664">
        <v>13.85</v>
      </c>
      <c r="AO664" t="b">
        <f t="shared" si="106"/>
        <v>1</v>
      </c>
      <c r="AR664" t="s">
        <v>5061</v>
      </c>
      <c r="AS664" s="21">
        <v>46276</v>
      </c>
      <c r="AT664" t="s">
        <v>5062</v>
      </c>
      <c r="AU664" t="s">
        <v>5072</v>
      </c>
      <c r="AV664" t="s">
        <v>5062</v>
      </c>
      <c r="AW664" t="s">
        <v>5086</v>
      </c>
    </row>
    <row r="665" spans="1:49" x14ac:dyDescent="0.35">
      <c r="A665" t="s">
        <v>871</v>
      </c>
      <c r="B665" t="s">
        <v>872</v>
      </c>
      <c r="C665" t="s">
        <v>4818</v>
      </c>
      <c r="D665" t="s">
        <v>18</v>
      </c>
      <c r="E665" t="s">
        <v>2465</v>
      </c>
      <c r="F665" t="s">
        <v>2466</v>
      </c>
      <c r="G665" t="s">
        <v>21</v>
      </c>
      <c r="H665" t="s">
        <v>4826</v>
      </c>
      <c r="I665" t="s">
        <v>4976</v>
      </c>
      <c r="J665" s="4" t="s">
        <v>4977</v>
      </c>
      <c r="K665" s="4" t="s">
        <v>4978</v>
      </c>
      <c r="L665" s="4" t="s">
        <v>4972</v>
      </c>
      <c r="M665" s="4" t="s">
        <v>5035</v>
      </c>
      <c r="N665" t="s">
        <v>15</v>
      </c>
      <c r="O665" t="s">
        <v>2467</v>
      </c>
      <c r="P665" t="s">
        <v>23</v>
      </c>
      <c r="Q665" t="s">
        <v>24</v>
      </c>
      <c r="R665" t="s">
        <v>25</v>
      </c>
      <c r="S665" t="s">
        <v>26</v>
      </c>
      <c r="T665" s="6">
        <v>46307</v>
      </c>
      <c r="U665">
        <v>72</v>
      </c>
      <c r="V665">
        <v>72</v>
      </c>
      <c r="W665">
        <v>84</v>
      </c>
      <c r="X665">
        <v>84</v>
      </c>
      <c r="Y665">
        <f t="shared" si="102"/>
        <v>0</v>
      </c>
      <c r="Z665">
        <f t="shared" si="103"/>
        <v>-12</v>
      </c>
      <c r="AC665" s="1">
        <v>0</v>
      </c>
      <c r="AF665">
        <f t="shared" si="107"/>
        <v>72</v>
      </c>
      <c r="AG665" s="7">
        <v>12</v>
      </c>
      <c r="AH665">
        <f t="shared" si="104"/>
        <v>72</v>
      </c>
      <c r="AI665">
        <f t="shared" si="101"/>
        <v>0</v>
      </c>
      <c r="AK665">
        <f t="shared" si="105"/>
        <v>6</v>
      </c>
      <c r="AL665">
        <v>13.85</v>
      </c>
      <c r="AM665" t="s">
        <v>27</v>
      </c>
      <c r="AN665">
        <v>13.85</v>
      </c>
      <c r="AO665" t="b">
        <f t="shared" si="106"/>
        <v>1</v>
      </c>
      <c r="AR665" t="s">
        <v>5061</v>
      </c>
      <c r="AS665" s="21">
        <v>46276</v>
      </c>
      <c r="AT665" t="s">
        <v>5062</v>
      </c>
      <c r="AU665" t="s">
        <v>5072</v>
      </c>
      <c r="AV665" t="s">
        <v>5062</v>
      </c>
      <c r="AW665" t="s">
        <v>5086</v>
      </c>
    </row>
    <row r="666" spans="1:49" x14ac:dyDescent="0.35">
      <c r="A666" t="s">
        <v>871</v>
      </c>
      <c r="B666" t="s">
        <v>872</v>
      </c>
      <c r="C666" t="s">
        <v>4818</v>
      </c>
      <c r="D666" t="s">
        <v>18</v>
      </c>
      <c r="E666" t="s">
        <v>2468</v>
      </c>
      <c r="F666" t="s">
        <v>2469</v>
      </c>
      <c r="G666" t="s">
        <v>21</v>
      </c>
      <c r="H666" t="s">
        <v>4826</v>
      </c>
      <c r="I666" t="s">
        <v>4976</v>
      </c>
      <c r="J666" s="4" t="s">
        <v>4977</v>
      </c>
      <c r="K666" s="4" t="s">
        <v>4978</v>
      </c>
      <c r="L666" s="4" t="s">
        <v>4951</v>
      </c>
      <c r="M666" s="4" t="s">
        <v>5035</v>
      </c>
      <c r="N666" t="s">
        <v>15</v>
      </c>
      <c r="O666" t="s">
        <v>2470</v>
      </c>
      <c r="P666" t="s">
        <v>23</v>
      </c>
      <c r="Q666" t="s">
        <v>24</v>
      </c>
      <c r="R666" t="s">
        <v>25</v>
      </c>
      <c r="S666" t="s">
        <v>26</v>
      </c>
      <c r="T666" s="6">
        <v>46307</v>
      </c>
      <c r="U666">
        <v>144</v>
      </c>
      <c r="V666">
        <v>144</v>
      </c>
      <c r="W666">
        <v>156</v>
      </c>
      <c r="X666">
        <v>156</v>
      </c>
      <c r="Y666">
        <f t="shared" si="102"/>
        <v>0</v>
      </c>
      <c r="Z666">
        <f t="shared" si="103"/>
        <v>-12</v>
      </c>
      <c r="AC666" s="1"/>
      <c r="AF666">
        <f t="shared" si="107"/>
        <v>144</v>
      </c>
      <c r="AG666" s="7">
        <v>12</v>
      </c>
      <c r="AH666">
        <f t="shared" si="104"/>
        <v>144</v>
      </c>
      <c r="AI666">
        <f t="shared" si="101"/>
        <v>0</v>
      </c>
      <c r="AK666">
        <f t="shared" si="105"/>
        <v>12</v>
      </c>
      <c r="AL666">
        <v>13.85</v>
      </c>
      <c r="AM666" t="s">
        <v>27</v>
      </c>
      <c r="AN666">
        <v>13.85</v>
      </c>
      <c r="AO666" t="b">
        <f t="shared" si="106"/>
        <v>1</v>
      </c>
      <c r="AR666" t="s">
        <v>5061</v>
      </c>
      <c r="AS666" s="21">
        <v>46276</v>
      </c>
      <c r="AT666" t="s">
        <v>5062</v>
      </c>
      <c r="AU666" t="s">
        <v>5072</v>
      </c>
      <c r="AV666" t="s">
        <v>5062</v>
      </c>
      <c r="AW666" t="s">
        <v>5086</v>
      </c>
    </row>
    <row r="667" spans="1:49" x14ac:dyDescent="0.35">
      <c r="A667" t="s">
        <v>871</v>
      </c>
      <c r="B667" t="s">
        <v>872</v>
      </c>
      <c r="C667" t="s">
        <v>4818</v>
      </c>
      <c r="D667" t="s">
        <v>18</v>
      </c>
      <c r="E667" t="s">
        <v>2471</v>
      </c>
      <c r="F667" t="s">
        <v>2472</v>
      </c>
      <c r="G667" t="s">
        <v>21</v>
      </c>
      <c r="H667" t="s">
        <v>4826</v>
      </c>
      <c r="I667" t="s">
        <v>4976</v>
      </c>
      <c r="J667" s="4" t="s">
        <v>4977</v>
      </c>
      <c r="K667" s="4" t="s">
        <v>4837</v>
      </c>
      <c r="L667" s="4" t="s">
        <v>4962</v>
      </c>
      <c r="M667" s="4" t="s">
        <v>5035</v>
      </c>
      <c r="N667" t="s">
        <v>15</v>
      </c>
      <c r="O667" t="s">
        <v>2473</v>
      </c>
      <c r="P667" t="s">
        <v>23</v>
      </c>
      <c r="Q667" t="s">
        <v>24</v>
      </c>
      <c r="R667" t="s">
        <v>25</v>
      </c>
      <c r="S667" t="s">
        <v>26</v>
      </c>
      <c r="T667" s="6">
        <v>46307</v>
      </c>
      <c r="U667">
        <v>396</v>
      </c>
      <c r="V667">
        <v>396</v>
      </c>
      <c r="W667">
        <v>420</v>
      </c>
      <c r="X667">
        <v>420</v>
      </c>
      <c r="Y667">
        <f t="shared" si="102"/>
        <v>0</v>
      </c>
      <c r="Z667">
        <f t="shared" si="103"/>
        <v>-24</v>
      </c>
      <c r="AC667" s="1"/>
      <c r="AF667">
        <f t="shared" si="107"/>
        <v>396</v>
      </c>
      <c r="AG667" s="7">
        <v>12</v>
      </c>
      <c r="AH667">
        <f t="shared" si="104"/>
        <v>396</v>
      </c>
      <c r="AI667">
        <f t="shared" si="101"/>
        <v>0</v>
      </c>
      <c r="AK667">
        <f t="shared" si="105"/>
        <v>33</v>
      </c>
      <c r="AL667">
        <v>13.85</v>
      </c>
      <c r="AM667" t="s">
        <v>27</v>
      </c>
      <c r="AN667">
        <v>13.85</v>
      </c>
      <c r="AO667" t="b">
        <f t="shared" si="106"/>
        <v>1</v>
      </c>
      <c r="AR667" t="s">
        <v>5061</v>
      </c>
      <c r="AS667" s="21">
        <v>46276</v>
      </c>
      <c r="AT667" t="s">
        <v>5062</v>
      </c>
      <c r="AU667" t="s">
        <v>5072</v>
      </c>
      <c r="AV667" t="s">
        <v>5062</v>
      </c>
      <c r="AW667" t="s">
        <v>5086</v>
      </c>
    </row>
    <row r="668" spans="1:49" x14ac:dyDescent="0.35">
      <c r="A668" t="s">
        <v>871</v>
      </c>
      <c r="B668" t="s">
        <v>872</v>
      </c>
      <c r="C668" t="s">
        <v>4818</v>
      </c>
      <c r="D668" t="s">
        <v>18</v>
      </c>
      <c r="E668" t="s">
        <v>2474</v>
      </c>
      <c r="F668" t="s">
        <v>2475</v>
      </c>
      <c r="G668" t="s">
        <v>21</v>
      </c>
      <c r="H668" t="s">
        <v>4826</v>
      </c>
      <c r="I668" t="s">
        <v>4976</v>
      </c>
      <c r="J668" s="4" t="s">
        <v>4977</v>
      </c>
      <c r="K668" s="4" t="s">
        <v>4831</v>
      </c>
      <c r="L668" s="4" t="s">
        <v>4938</v>
      </c>
      <c r="M668" s="4" t="s">
        <v>5035</v>
      </c>
      <c r="N668" t="s">
        <v>15</v>
      </c>
      <c r="O668" t="s">
        <v>2476</v>
      </c>
      <c r="P668" t="s">
        <v>23</v>
      </c>
      <c r="Q668" t="s">
        <v>24</v>
      </c>
      <c r="R668" t="s">
        <v>25</v>
      </c>
      <c r="S668" t="s">
        <v>26</v>
      </c>
      <c r="T668" s="6">
        <v>46307</v>
      </c>
      <c r="U668">
        <v>48</v>
      </c>
      <c r="V668">
        <v>48</v>
      </c>
      <c r="W668">
        <v>48</v>
      </c>
      <c r="X668">
        <v>48</v>
      </c>
      <c r="Y668">
        <f t="shared" si="102"/>
        <v>0</v>
      </c>
      <c r="Z668">
        <f t="shared" si="103"/>
        <v>0</v>
      </c>
      <c r="AC668" s="1">
        <v>0</v>
      </c>
      <c r="AF668">
        <f t="shared" si="107"/>
        <v>48</v>
      </c>
      <c r="AG668" s="7">
        <v>12</v>
      </c>
      <c r="AH668">
        <f t="shared" si="104"/>
        <v>48</v>
      </c>
      <c r="AI668">
        <f t="shared" si="101"/>
        <v>0</v>
      </c>
      <c r="AK668">
        <f t="shared" si="105"/>
        <v>4</v>
      </c>
      <c r="AL668">
        <v>13.85</v>
      </c>
      <c r="AM668" t="s">
        <v>27</v>
      </c>
      <c r="AN668">
        <v>13.85</v>
      </c>
      <c r="AO668" t="b">
        <f t="shared" si="106"/>
        <v>1</v>
      </c>
      <c r="AR668" t="s">
        <v>5061</v>
      </c>
      <c r="AS668" s="21">
        <v>46276</v>
      </c>
      <c r="AT668" t="s">
        <v>5062</v>
      </c>
      <c r="AU668" t="s">
        <v>5072</v>
      </c>
      <c r="AV668" t="s">
        <v>5062</v>
      </c>
      <c r="AW668" t="s">
        <v>5086</v>
      </c>
    </row>
    <row r="669" spans="1:49" x14ac:dyDescent="0.35">
      <c r="A669" t="s">
        <v>871</v>
      </c>
      <c r="B669" t="s">
        <v>872</v>
      </c>
      <c r="C669" t="s">
        <v>4818</v>
      </c>
      <c r="D669" t="s">
        <v>18</v>
      </c>
      <c r="E669" t="s">
        <v>2477</v>
      </c>
      <c r="F669" t="s">
        <v>2478</v>
      </c>
      <c r="G669" t="s">
        <v>21</v>
      </c>
      <c r="H669" t="s">
        <v>4826</v>
      </c>
      <c r="I669" t="s">
        <v>4976</v>
      </c>
      <c r="J669" s="4" t="s">
        <v>4977</v>
      </c>
      <c r="K669" s="4" t="s">
        <v>4831</v>
      </c>
      <c r="L669" s="4" t="s">
        <v>4953</v>
      </c>
      <c r="M669" s="4" t="s">
        <v>5035</v>
      </c>
      <c r="N669" t="s">
        <v>15</v>
      </c>
      <c r="O669" t="s">
        <v>2479</v>
      </c>
      <c r="P669" t="s">
        <v>23</v>
      </c>
      <c r="Q669" t="s">
        <v>24</v>
      </c>
      <c r="R669" t="s">
        <v>25</v>
      </c>
      <c r="S669" t="s">
        <v>26</v>
      </c>
      <c r="T669" s="6">
        <v>46307</v>
      </c>
      <c r="U669">
        <v>60</v>
      </c>
      <c r="V669">
        <v>60</v>
      </c>
      <c r="W669">
        <v>60</v>
      </c>
      <c r="X669">
        <v>60</v>
      </c>
      <c r="Y669">
        <f t="shared" si="102"/>
        <v>0</v>
      </c>
      <c r="Z669">
        <f t="shared" si="103"/>
        <v>0</v>
      </c>
      <c r="AC669" s="1">
        <v>0</v>
      </c>
      <c r="AF669">
        <f t="shared" si="107"/>
        <v>60</v>
      </c>
      <c r="AG669" s="7">
        <v>12</v>
      </c>
      <c r="AH669">
        <f t="shared" si="104"/>
        <v>60</v>
      </c>
      <c r="AI669">
        <f t="shared" si="101"/>
        <v>0</v>
      </c>
      <c r="AK669">
        <f t="shared" si="105"/>
        <v>5</v>
      </c>
      <c r="AL669">
        <v>13.85</v>
      </c>
      <c r="AM669" t="s">
        <v>27</v>
      </c>
      <c r="AN669">
        <v>13.85</v>
      </c>
      <c r="AO669" t="b">
        <f t="shared" si="106"/>
        <v>1</v>
      </c>
      <c r="AR669" t="s">
        <v>5061</v>
      </c>
      <c r="AS669" s="21">
        <v>46276</v>
      </c>
      <c r="AT669" t="s">
        <v>5062</v>
      </c>
      <c r="AU669" t="s">
        <v>5072</v>
      </c>
      <c r="AV669" t="s">
        <v>5062</v>
      </c>
      <c r="AW669" t="s">
        <v>5086</v>
      </c>
    </row>
    <row r="670" spans="1:49" x14ac:dyDescent="0.35">
      <c r="A670" t="s">
        <v>871</v>
      </c>
      <c r="B670" t="s">
        <v>872</v>
      </c>
      <c r="C670" t="s">
        <v>4818</v>
      </c>
      <c r="D670" t="s">
        <v>18</v>
      </c>
      <c r="E670" t="s">
        <v>2480</v>
      </c>
      <c r="F670" t="s">
        <v>2481</v>
      </c>
      <c r="G670" t="s">
        <v>21</v>
      </c>
      <c r="H670" t="s">
        <v>4826</v>
      </c>
      <c r="I670" t="s">
        <v>4976</v>
      </c>
      <c r="J670" s="4" t="s">
        <v>4977</v>
      </c>
      <c r="K670" s="4" t="s">
        <v>4978</v>
      </c>
      <c r="L670" s="4" t="s">
        <v>4946</v>
      </c>
      <c r="M670" s="4" t="s">
        <v>5035</v>
      </c>
      <c r="N670" t="s">
        <v>15</v>
      </c>
      <c r="O670" t="s">
        <v>2482</v>
      </c>
      <c r="P670" t="s">
        <v>23</v>
      </c>
      <c r="Q670" t="s">
        <v>24</v>
      </c>
      <c r="R670" t="s">
        <v>25</v>
      </c>
      <c r="S670" t="s">
        <v>26</v>
      </c>
      <c r="T670" s="6">
        <v>46307</v>
      </c>
      <c r="U670">
        <v>168</v>
      </c>
      <c r="V670">
        <v>168</v>
      </c>
      <c r="W670">
        <v>180</v>
      </c>
      <c r="X670">
        <v>180</v>
      </c>
      <c r="Y670">
        <f t="shared" si="102"/>
        <v>0</v>
      </c>
      <c r="Z670">
        <f t="shared" si="103"/>
        <v>-12</v>
      </c>
      <c r="AC670" s="1"/>
      <c r="AF670">
        <f t="shared" si="107"/>
        <v>168</v>
      </c>
      <c r="AG670" s="7">
        <v>12</v>
      </c>
      <c r="AH670">
        <f t="shared" si="104"/>
        <v>168</v>
      </c>
      <c r="AI670">
        <f t="shared" si="101"/>
        <v>0</v>
      </c>
      <c r="AK670">
        <f t="shared" si="105"/>
        <v>14</v>
      </c>
      <c r="AL670">
        <v>13.85</v>
      </c>
      <c r="AM670" t="s">
        <v>27</v>
      </c>
      <c r="AN670">
        <v>13.85</v>
      </c>
      <c r="AO670" t="b">
        <f t="shared" si="106"/>
        <v>1</v>
      </c>
      <c r="AR670" t="s">
        <v>5061</v>
      </c>
      <c r="AS670" s="21">
        <v>46276</v>
      </c>
      <c r="AT670" t="s">
        <v>5062</v>
      </c>
      <c r="AU670" t="s">
        <v>5072</v>
      </c>
      <c r="AV670" t="s">
        <v>5062</v>
      </c>
      <c r="AW670" t="s">
        <v>5086</v>
      </c>
    </row>
    <row r="671" spans="1:49" x14ac:dyDescent="0.35">
      <c r="A671" t="s">
        <v>871</v>
      </c>
      <c r="B671" t="s">
        <v>872</v>
      </c>
      <c r="C671" t="s">
        <v>4818</v>
      </c>
      <c r="D671" t="s">
        <v>18</v>
      </c>
      <c r="E671" t="s">
        <v>2483</v>
      </c>
      <c r="F671" t="s">
        <v>2484</v>
      </c>
      <c r="G671" t="s">
        <v>21</v>
      </c>
      <c r="H671" t="s">
        <v>4826</v>
      </c>
      <c r="I671" t="s">
        <v>4976</v>
      </c>
      <c r="J671" s="4" t="s">
        <v>4977</v>
      </c>
      <c r="K671" s="4" t="s">
        <v>4957</v>
      </c>
      <c r="L671" s="4" t="s">
        <v>4970</v>
      </c>
      <c r="M671" s="4" t="s">
        <v>5035</v>
      </c>
      <c r="N671" t="s">
        <v>15</v>
      </c>
      <c r="O671" t="s">
        <v>2485</v>
      </c>
      <c r="P671" t="s">
        <v>23</v>
      </c>
      <c r="Q671" t="s">
        <v>24</v>
      </c>
      <c r="R671" t="s">
        <v>25</v>
      </c>
      <c r="S671" t="s">
        <v>26</v>
      </c>
      <c r="T671" s="6">
        <v>46307</v>
      </c>
      <c r="U671">
        <v>84</v>
      </c>
      <c r="V671">
        <v>84</v>
      </c>
      <c r="W671">
        <v>96</v>
      </c>
      <c r="X671">
        <v>96</v>
      </c>
      <c r="Y671">
        <f t="shared" si="102"/>
        <v>0</v>
      </c>
      <c r="Z671">
        <f t="shared" si="103"/>
        <v>-12</v>
      </c>
      <c r="AC671" s="1">
        <v>0</v>
      </c>
      <c r="AF671">
        <f t="shared" si="107"/>
        <v>84</v>
      </c>
      <c r="AG671" s="7">
        <v>12</v>
      </c>
      <c r="AH671">
        <f t="shared" si="104"/>
        <v>84</v>
      </c>
      <c r="AI671">
        <f t="shared" si="101"/>
        <v>0</v>
      </c>
      <c r="AK671">
        <f t="shared" si="105"/>
        <v>7</v>
      </c>
      <c r="AL671">
        <v>13.85</v>
      </c>
      <c r="AM671" t="s">
        <v>27</v>
      </c>
      <c r="AN671">
        <v>13.85</v>
      </c>
      <c r="AO671" t="b">
        <f t="shared" si="106"/>
        <v>1</v>
      </c>
      <c r="AR671" t="s">
        <v>5061</v>
      </c>
      <c r="AS671" s="21">
        <v>46276</v>
      </c>
      <c r="AT671" t="s">
        <v>5062</v>
      </c>
      <c r="AU671" t="s">
        <v>5072</v>
      </c>
      <c r="AV671" t="s">
        <v>5062</v>
      </c>
      <c r="AW671" t="s">
        <v>5086</v>
      </c>
    </row>
    <row r="672" spans="1:49" x14ac:dyDescent="0.35">
      <c r="A672" t="s">
        <v>871</v>
      </c>
      <c r="B672" t="s">
        <v>872</v>
      </c>
      <c r="C672" t="s">
        <v>4818</v>
      </c>
      <c r="D672" t="s">
        <v>18</v>
      </c>
      <c r="E672" t="s">
        <v>2486</v>
      </c>
      <c r="F672" t="s">
        <v>2487</v>
      </c>
      <c r="G672" t="s">
        <v>21</v>
      </c>
      <c r="H672" t="s">
        <v>4826</v>
      </c>
      <c r="I672" t="s">
        <v>4976</v>
      </c>
      <c r="J672" s="4" t="s">
        <v>4977</v>
      </c>
      <c r="K672" s="4" t="s">
        <v>4831</v>
      </c>
      <c r="L672" s="4" t="s">
        <v>4965</v>
      </c>
      <c r="M672" s="4" t="s">
        <v>5035</v>
      </c>
      <c r="N672" t="s">
        <v>15</v>
      </c>
      <c r="O672" t="s">
        <v>2488</v>
      </c>
      <c r="P672" t="s">
        <v>23</v>
      </c>
      <c r="Q672" t="s">
        <v>24</v>
      </c>
      <c r="R672" t="s">
        <v>25</v>
      </c>
      <c r="S672" t="s">
        <v>26</v>
      </c>
      <c r="T672" s="6">
        <v>46307</v>
      </c>
      <c r="U672">
        <v>12</v>
      </c>
      <c r="V672">
        <v>12</v>
      </c>
      <c r="W672">
        <v>12</v>
      </c>
      <c r="X672">
        <v>12</v>
      </c>
      <c r="Y672">
        <f t="shared" si="102"/>
        <v>0</v>
      </c>
      <c r="Z672">
        <f t="shared" si="103"/>
        <v>0</v>
      </c>
      <c r="AC672" s="1">
        <v>0</v>
      </c>
      <c r="AF672">
        <f t="shared" si="107"/>
        <v>12</v>
      </c>
      <c r="AG672" s="7">
        <v>12</v>
      </c>
      <c r="AH672">
        <f t="shared" si="104"/>
        <v>12</v>
      </c>
      <c r="AI672">
        <f t="shared" si="101"/>
        <v>0</v>
      </c>
      <c r="AK672">
        <f t="shared" si="105"/>
        <v>1</v>
      </c>
      <c r="AL672">
        <v>13.85</v>
      </c>
      <c r="AM672" t="s">
        <v>27</v>
      </c>
      <c r="AN672">
        <v>13.85</v>
      </c>
      <c r="AO672" t="b">
        <f t="shared" si="106"/>
        <v>1</v>
      </c>
      <c r="AR672" t="s">
        <v>5061</v>
      </c>
      <c r="AS672" s="21">
        <v>46276</v>
      </c>
      <c r="AT672" t="s">
        <v>5062</v>
      </c>
      <c r="AU672" t="s">
        <v>5072</v>
      </c>
      <c r="AV672" t="s">
        <v>5062</v>
      </c>
      <c r="AW672" t="s">
        <v>5086</v>
      </c>
    </row>
    <row r="673" spans="1:49" x14ac:dyDescent="0.35">
      <c r="A673" t="s">
        <v>871</v>
      </c>
      <c r="B673" t="s">
        <v>872</v>
      </c>
      <c r="C673" t="s">
        <v>4818</v>
      </c>
      <c r="D673" t="s">
        <v>18</v>
      </c>
      <c r="E673" t="s">
        <v>2489</v>
      </c>
      <c r="F673" t="s">
        <v>2490</v>
      </c>
      <c r="G673" t="s">
        <v>21</v>
      </c>
      <c r="H673" t="s">
        <v>4826</v>
      </c>
      <c r="I673" t="s">
        <v>4976</v>
      </c>
      <c r="J673" s="4" t="s">
        <v>4977</v>
      </c>
      <c r="K673" s="4" t="s">
        <v>4978</v>
      </c>
      <c r="L673" s="4" t="s">
        <v>4958</v>
      </c>
      <c r="M673" s="4" t="s">
        <v>5035</v>
      </c>
      <c r="N673" t="s">
        <v>15</v>
      </c>
      <c r="O673" t="s">
        <v>2491</v>
      </c>
      <c r="P673" t="s">
        <v>23</v>
      </c>
      <c r="Q673" t="s">
        <v>24</v>
      </c>
      <c r="R673" t="s">
        <v>25</v>
      </c>
      <c r="S673" t="s">
        <v>26</v>
      </c>
      <c r="T673" s="6">
        <v>46307</v>
      </c>
      <c r="U673">
        <v>96</v>
      </c>
      <c r="V673">
        <v>96</v>
      </c>
      <c r="W673">
        <v>108</v>
      </c>
      <c r="X673">
        <v>108</v>
      </c>
      <c r="Y673">
        <f t="shared" si="102"/>
        <v>0</v>
      </c>
      <c r="Z673">
        <f t="shared" si="103"/>
        <v>-12</v>
      </c>
      <c r="AC673" s="1">
        <v>0</v>
      </c>
      <c r="AF673">
        <f t="shared" si="107"/>
        <v>96</v>
      </c>
      <c r="AG673" s="7">
        <v>12</v>
      </c>
      <c r="AH673">
        <f t="shared" si="104"/>
        <v>96</v>
      </c>
      <c r="AI673">
        <f t="shared" si="101"/>
        <v>0</v>
      </c>
      <c r="AK673">
        <f t="shared" si="105"/>
        <v>8</v>
      </c>
      <c r="AL673">
        <v>13.85</v>
      </c>
      <c r="AM673" t="s">
        <v>27</v>
      </c>
      <c r="AN673">
        <v>13.85</v>
      </c>
      <c r="AO673" t="b">
        <f t="shared" si="106"/>
        <v>1</v>
      </c>
      <c r="AR673" t="s">
        <v>5061</v>
      </c>
      <c r="AS673" s="21">
        <v>46276</v>
      </c>
      <c r="AT673" t="s">
        <v>5062</v>
      </c>
      <c r="AU673" t="s">
        <v>5072</v>
      </c>
      <c r="AV673" t="s">
        <v>5062</v>
      </c>
      <c r="AW673" t="s">
        <v>5086</v>
      </c>
    </row>
    <row r="674" spans="1:49" x14ac:dyDescent="0.35">
      <c r="A674" t="s">
        <v>871</v>
      </c>
      <c r="B674" t="s">
        <v>872</v>
      </c>
      <c r="C674" t="s">
        <v>4818</v>
      </c>
      <c r="D674" t="s">
        <v>18</v>
      </c>
      <c r="E674" t="s">
        <v>2492</v>
      </c>
      <c r="F674" t="s">
        <v>2493</v>
      </c>
      <c r="G674" t="s">
        <v>21</v>
      </c>
      <c r="H674" t="s">
        <v>4826</v>
      </c>
      <c r="I674" t="s">
        <v>4976</v>
      </c>
      <c r="J674" s="4" t="s">
        <v>4977</v>
      </c>
      <c r="K674" s="4" t="s">
        <v>4978</v>
      </c>
      <c r="L674" s="4" t="s">
        <v>4966</v>
      </c>
      <c r="M674" s="4" t="s">
        <v>5035</v>
      </c>
      <c r="N674" t="s">
        <v>15</v>
      </c>
      <c r="O674" t="s">
        <v>2494</v>
      </c>
      <c r="P674" t="s">
        <v>23</v>
      </c>
      <c r="Q674" t="s">
        <v>24</v>
      </c>
      <c r="R674" t="s">
        <v>25</v>
      </c>
      <c r="S674" t="s">
        <v>26</v>
      </c>
      <c r="T674" s="6">
        <v>46307</v>
      </c>
      <c r="U674">
        <v>96</v>
      </c>
      <c r="V674">
        <v>96</v>
      </c>
      <c r="W674">
        <v>108</v>
      </c>
      <c r="X674">
        <v>108</v>
      </c>
      <c r="Y674">
        <f t="shared" si="102"/>
        <v>0</v>
      </c>
      <c r="Z674">
        <f t="shared" si="103"/>
        <v>-12</v>
      </c>
      <c r="AC674" s="1">
        <v>0</v>
      </c>
      <c r="AF674">
        <f t="shared" si="107"/>
        <v>96</v>
      </c>
      <c r="AG674" s="7">
        <v>12</v>
      </c>
      <c r="AH674">
        <f t="shared" si="104"/>
        <v>96</v>
      </c>
      <c r="AI674">
        <f t="shared" si="101"/>
        <v>0</v>
      </c>
      <c r="AK674">
        <f t="shared" si="105"/>
        <v>8</v>
      </c>
      <c r="AL674">
        <v>13.85</v>
      </c>
      <c r="AM674" t="s">
        <v>27</v>
      </c>
      <c r="AN674">
        <v>13.85</v>
      </c>
      <c r="AO674" t="b">
        <f t="shared" si="106"/>
        <v>1</v>
      </c>
      <c r="AR674" t="s">
        <v>5061</v>
      </c>
      <c r="AS674" s="21">
        <v>46276</v>
      </c>
      <c r="AT674" t="s">
        <v>5062</v>
      </c>
      <c r="AU674" t="s">
        <v>5072</v>
      </c>
      <c r="AV674" t="s">
        <v>5062</v>
      </c>
      <c r="AW674" t="s">
        <v>5086</v>
      </c>
    </row>
    <row r="675" spans="1:49" x14ac:dyDescent="0.35">
      <c r="A675" t="s">
        <v>871</v>
      </c>
      <c r="B675" t="s">
        <v>872</v>
      </c>
      <c r="C675" t="s">
        <v>4818</v>
      </c>
      <c r="D675" t="s">
        <v>18</v>
      </c>
      <c r="E675" t="s">
        <v>2495</v>
      </c>
      <c r="F675" t="s">
        <v>2496</v>
      </c>
      <c r="G675" t="s">
        <v>21</v>
      </c>
      <c r="H675" t="s">
        <v>4826</v>
      </c>
      <c r="I675" t="s">
        <v>4976</v>
      </c>
      <c r="J675" s="4" t="s">
        <v>4977</v>
      </c>
      <c r="K675" s="4" t="s">
        <v>4831</v>
      </c>
      <c r="L675" s="4" t="s">
        <v>4941</v>
      </c>
      <c r="M675" s="4" t="s">
        <v>5035</v>
      </c>
      <c r="N675" t="s">
        <v>15</v>
      </c>
      <c r="O675" t="s">
        <v>2497</v>
      </c>
      <c r="P675" t="s">
        <v>23</v>
      </c>
      <c r="Q675" t="s">
        <v>24</v>
      </c>
      <c r="R675" t="s">
        <v>25</v>
      </c>
      <c r="S675" t="s">
        <v>26</v>
      </c>
      <c r="T675" s="6">
        <v>46307</v>
      </c>
      <c r="U675">
        <v>24</v>
      </c>
      <c r="V675">
        <v>24</v>
      </c>
      <c r="W675">
        <v>24</v>
      </c>
      <c r="X675">
        <v>24</v>
      </c>
      <c r="Y675">
        <f t="shared" si="102"/>
        <v>0</v>
      </c>
      <c r="Z675">
        <f t="shared" si="103"/>
        <v>0</v>
      </c>
      <c r="AC675" s="1">
        <v>0</v>
      </c>
      <c r="AF675">
        <f t="shared" si="107"/>
        <v>24</v>
      </c>
      <c r="AG675" s="7">
        <v>12</v>
      </c>
      <c r="AH675">
        <f t="shared" si="104"/>
        <v>24</v>
      </c>
      <c r="AI675">
        <f t="shared" si="101"/>
        <v>0</v>
      </c>
      <c r="AK675">
        <f t="shared" si="105"/>
        <v>2</v>
      </c>
      <c r="AL675">
        <v>13.85</v>
      </c>
      <c r="AM675" t="s">
        <v>27</v>
      </c>
      <c r="AN675">
        <v>13.85</v>
      </c>
      <c r="AO675" t="b">
        <f t="shared" si="106"/>
        <v>1</v>
      </c>
      <c r="AR675" t="s">
        <v>5061</v>
      </c>
      <c r="AS675" s="21">
        <v>46276</v>
      </c>
      <c r="AT675" t="s">
        <v>5062</v>
      </c>
      <c r="AU675" t="s">
        <v>5072</v>
      </c>
      <c r="AV675" t="s">
        <v>5062</v>
      </c>
      <c r="AW675" t="s">
        <v>5086</v>
      </c>
    </row>
    <row r="676" spans="1:49" x14ac:dyDescent="0.35">
      <c r="A676" t="s">
        <v>871</v>
      </c>
      <c r="B676" t="s">
        <v>872</v>
      </c>
      <c r="C676" t="s">
        <v>4818</v>
      </c>
      <c r="D676" t="s">
        <v>18</v>
      </c>
      <c r="E676" t="s">
        <v>2498</v>
      </c>
      <c r="F676" t="s">
        <v>2499</v>
      </c>
      <c r="G676" t="s">
        <v>21</v>
      </c>
      <c r="H676" t="s">
        <v>4826</v>
      </c>
      <c r="I676" t="s">
        <v>4976</v>
      </c>
      <c r="J676" s="4" t="s">
        <v>4977</v>
      </c>
      <c r="K676" s="4" t="s">
        <v>4831</v>
      </c>
      <c r="L676" s="4" t="s">
        <v>4939</v>
      </c>
      <c r="M676" s="4" t="s">
        <v>5035</v>
      </c>
      <c r="N676" t="s">
        <v>15</v>
      </c>
      <c r="O676" t="s">
        <v>2500</v>
      </c>
      <c r="P676" t="s">
        <v>23</v>
      </c>
      <c r="Q676" t="s">
        <v>24</v>
      </c>
      <c r="R676" t="s">
        <v>25</v>
      </c>
      <c r="S676" t="s">
        <v>26</v>
      </c>
      <c r="T676" s="6">
        <v>46307</v>
      </c>
      <c r="U676">
        <v>60</v>
      </c>
      <c r="V676">
        <v>60</v>
      </c>
      <c r="W676">
        <v>60</v>
      </c>
      <c r="X676">
        <v>60</v>
      </c>
      <c r="Y676">
        <f t="shared" si="102"/>
        <v>0</v>
      </c>
      <c r="Z676">
        <f t="shared" si="103"/>
        <v>0</v>
      </c>
      <c r="AC676" s="1">
        <v>0</v>
      </c>
      <c r="AF676">
        <f t="shared" si="107"/>
        <v>60</v>
      </c>
      <c r="AG676" s="7">
        <v>12</v>
      </c>
      <c r="AH676">
        <f t="shared" si="104"/>
        <v>60</v>
      </c>
      <c r="AI676">
        <f t="shared" si="101"/>
        <v>0</v>
      </c>
      <c r="AK676">
        <f t="shared" si="105"/>
        <v>5</v>
      </c>
      <c r="AL676">
        <v>13.85</v>
      </c>
      <c r="AM676" t="s">
        <v>27</v>
      </c>
      <c r="AN676">
        <v>13.85</v>
      </c>
      <c r="AO676" t="b">
        <f t="shared" si="106"/>
        <v>1</v>
      </c>
      <c r="AR676" t="s">
        <v>5061</v>
      </c>
      <c r="AS676" s="21">
        <v>46276</v>
      </c>
      <c r="AT676" t="s">
        <v>5062</v>
      </c>
      <c r="AU676" t="s">
        <v>5072</v>
      </c>
      <c r="AV676" t="s">
        <v>5062</v>
      </c>
      <c r="AW676" t="s">
        <v>5086</v>
      </c>
    </row>
    <row r="677" spans="1:49" x14ac:dyDescent="0.35">
      <c r="A677" t="s">
        <v>871</v>
      </c>
      <c r="B677" t="s">
        <v>872</v>
      </c>
      <c r="C677" t="s">
        <v>4818</v>
      </c>
      <c r="D677" t="s">
        <v>18</v>
      </c>
      <c r="E677" t="s">
        <v>2501</v>
      </c>
      <c r="F677" t="s">
        <v>2502</v>
      </c>
      <c r="G677" t="s">
        <v>21</v>
      </c>
      <c r="H677" t="s">
        <v>4826</v>
      </c>
      <c r="I677" t="s">
        <v>4976</v>
      </c>
      <c r="J677" s="4" t="s">
        <v>4977</v>
      </c>
      <c r="K677" s="4" t="s">
        <v>4832</v>
      </c>
      <c r="L677" s="4" t="s">
        <v>4969</v>
      </c>
      <c r="M677" s="4" t="s">
        <v>5035</v>
      </c>
      <c r="N677" t="s">
        <v>15</v>
      </c>
      <c r="O677" t="s">
        <v>2503</v>
      </c>
      <c r="P677" t="s">
        <v>23</v>
      </c>
      <c r="Q677" t="s">
        <v>24</v>
      </c>
      <c r="R677" t="s">
        <v>25</v>
      </c>
      <c r="S677" t="s">
        <v>26</v>
      </c>
      <c r="T677" s="6">
        <v>46307</v>
      </c>
      <c r="U677">
        <v>12</v>
      </c>
      <c r="V677">
        <v>12</v>
      </c>
      <c r="W677">
        <v>12</v>
      </c>
      <c r="X677">
        <v>12</v>
      </c>
      <c r="Y677">
        <f t="shared" si="102"/>
        <v>0</v>
      </c>
      <c r="Z677">
        <f t="shared" si="103"/>
        <v>0</v>
      </c>
      <c r="AC677" s="1">
        <v>0</v>
      </c>
      <c r="AF677">
        <f t="shared" si="107"/>
        <v>12</v>
      </c>
      <c r="AG677" s="7">
        <v>12</v>
      </c>
      <c r="AH677">
        <f t="shared" si="104"/>
        <v>12</v>
      </c>
      <c r="AI677">
        <f t="shared" si="101"/>
        <v>0</v>
      </c>
      <c r="AK677">
        <f t="shared" si="105"/>
        <v>1</v>
      </c>
      <c r="AL677">
        <v>13.85</v>
      </c>
      <c r="AM677" t="s">
        <v>27</v>
      </c>
      <c r="AN677">
        <v>13.85</v>
      </c>
      <c r="AO677" t="b">
        <f t="shared" si="106"/>
        <v>1</v>
      </c>
      <c r="AR677" t="s">
        <v>5061</v>
      </c>
      <c r="AS677" s="21">
        <v>46276</v>
      </c>
      <c r="AT677" t="s">
        <v>5062</v>
      </c>
      <c r="AU677" t="s">
        <v>5072</v>
      </c>
      <c r="AV677" t="s">
        <v>5062</v>
      </c>
      <c r="AW677" t="s">
        <v>5086</v>
      </c>
    </row>
    <row r="678" spans="1:49" x14ac:dyDescent="0.35">
      <c r="A678" t="s">
        <v>871</v>
      </c>
      <c r="B678" t="s">
        <v>872</v>
      </c>
      <c r="C678" t="s">
        <v>4818</v>
      </c>
      <c r="D678" t="s">
        <v>18</v>
      </c>
      <c r="E678" t="s">
        <v>2504</v>
      </c>
      <c r="F678" t="s">
        <v>2505</v>
      </c>
      <c r="G678" t="s">
        <v>21</v>
      </c>
      <c r="H678" t="s">
        <v>4826</v>
      </c>
      <c r="I678" t="s">
        <v>4976</v>
      </c>
      <c r="J678" s="4" t="s">
        <v>4977</v>
      </c>
      <c r="K678" s="4" t="s">
        <v>4837</v>
      </c>
      <c r="L678" s="4" t="s">
        <v>4971</v>
      </c>
      <c r="M678" s="4" t="s">
        <v>5035</v>
      </c>
      <c r="N678" t="s">
        <v>15</v>
      </c>
      <c r="O678" t="s">
        <v>2506</v>
      </c>
      <c r="P678" t="s">
        <v>23</v>
      </c>
      <c r="Q678" t="s">
        <v>24</v>
      </c>
      <c r="R678" t="s">
        <v>25</v>
      </c>
      <c r="S678" t="s">
        <v>26</v>
      </c>
      <c r="T678" s="6">
        <v>46307</v>
      </c>
      <c r="U678">
        <v>48</v>
      </c>
      <c r="V678">
        <v>48</v>
      </c>
      <c r="W678">
        <v>48</v>
      </c>
      <c r="X678">
        <v>48</v>
      </c>
      <c r="Y678">
        <f t="shared" si="102"/>
        <v>0</v>
      </c>
      <c r="Z678">
        <f t="shared" si="103"/>
        <v>0</v>
      </c>
      <c r="AC678" s="1">
        <v>0</v>
      </c>
      <c r="AF678">
        <f t="shared" si="107"/>
        <v>48</v>
      </c>
      <c r="AG678" s="7">
        <v>12</v>
      </c>
      <c r="AH678">
        <f t="shared" si="104"/>
        <v>48</v>
      </c>
      <c r="AI678">
        <f t="shared" si="101"/>
        <v>0</v>
      </c>
      <c r="AK678">
        <f t="shared" si="105"/>
        <v>4</v>
      </c>
      <c r="AL678">
        <v>13.85</v>
      </c>
      <c r="AM678" t="s">
        <v>27</v>
      </c>
      <c r="AN678">
        <v>13.85</v>
      </c>
      <c r="AO678" t="b">
        <f t="shared" si="106"/>
        <v>1</v>
      </c>
      <c r="AR678" t="s">
        <v>5061</v>
      </c>
      <c r="AS678" s="21">
        <v>46276</v>
      </c>
      <c r="AT678" t="s">
        <v>5062</v>
      </c>
      <c r="AU678" t="s">
        <v>5072</v>
      </c>
      <c r="AV678" t="s">
        <v>5062</v>
      </c>
      <c r="AW678" t="s">
        <v>5086</v>
      </c>
    </row>
    <row r="679" spans="1:49" x14ac:dyDescent="0.35">
      <c r="A679" t="s">
        <v>871</v>
      </c>
      <c r="B679" t="s">
        <v>872</v>
      </c>
      <c r="C679" t="s">
        <v>4818</v>
      </c>
      <c r="D679" t="s">
        <v>18</v>
      </c>
      <c r="E679" t="s">
        <v>2507</v>
      </c>
      <c r="F679" t="s">
        <v>2508</v>
      </c>
      <c r="G679" t="s">
        <v>21</v>
      </c>
      <c r="H679" t="s">
        <v>4826</v>
      </c>
      <c r="I679" t="s">
        <v>4976</v>
      </c>
      <c r="J679" s="4" t="s">
        <v>4977</v>
      </c>
      <c r="K679" s="4" t="s">
        <v>4978</v>
      </c>
      <c r="L679" s="4" t="s">
        <v>4944</v>
      </c>
      <c r="M679" s="4" t="s">
        <v>5035</v>
      </c>
      <c r="N679" t="s">
        <v>15</v>
      </c>
      <c r="O679" t="s">
        <v>2509</v>
      </c>
      <c r="P679" t="s">
        <v>23</v>
      </c>
      <c r="Q679" t="s">
        <v>24</v>
      </c>
      <c r="R679" t="s">
        <v>25</v>
      </c>
      <c r="S679" t="s">
        <v>26</v>
      </c>
      <c r="T679" s="6">
        <v>46307</v>
      </c>
      <c r="U679">
        <v>156</v>
      </c>
      <c r="V679">
        <v>156</v>
      </c>
      <c r="W679">
        <v>168</v>
      </c>
      <c r="X679">
        <v>168</v>
      </c>
      <c r="Y679">
        <f t="shared" si="102"/>
        <v>0</v>
      </c>
      <c r="Z679">
        <f t="shared" si="103"/>
        <v>-12</v>
      </c>
      <c r="AC679" s="1"/>
      <c r="AF679">
        <f t="shared" si="107"/>
        <v>156</v>
      </c>
      <c r="AG679" s="7">
        <v>12</v>
      </c>
      <c r="AH679">
        <f t="shared" si="104"/>
        <v>156</v>
      </c>
      <c r="AI679">
        <f t="shared" si="101"/>
        <v>0</v>
      </c>
      <c r="AK679">
        <f t="shared" si="105"/>
        <v>13</v>
      </c>
      <c r="AL679">
        <v>13.85</v>
      </c>
      <c r="AM679" t="s">
        <v>27</v>
      </c>
      <c r="AN679">
        <v>13.85</v>
      </c>
      <c r="AO679" t="b">
        <f t="shared" si="106"/>
        <v>1</v>
      </c>
      <c r="AR679" t="s">
        <v>5061</v>
      </c>
      <c r="AS679" s="21">
        <v>46276</v>
      </c>
      <c r="AT679" t="s">
        <v>5062</v>
      </c>
      <c r="AU679" t="s">
        <v>5072</v>
      </c>
      <c r="AV679" t="s">
        <v>5062</v>
      </c>
      <c r="AW679" t="s">
        <v>5086</v>
      </c>
    </row>
    <row r="680" spans="1:49" x14ac:dyDescent="0.35">
      <c r="A680" t="s">
        <v>871</v>
      </c>
      <c r="B680" t="s">
        <v>872</v>
      </c>
      <c r="C680" t="s">
        <v>4818</v>
      </c>
      <c r="D680" t="s">
        <v>18</v>
      </c>
      <c r="E680" t="s">
        <v>2510</v>
      </c>
      <c r="F680" t="s">
        <v>2511</v>
      </c>
      <c r="G680" t="s">
        <v>21</v>
      </c>
      <c r="H680" t="s">
        <v>4826</v>
      </c>
      <c r="I680" t="s">
        <v>4976</v>
      </c>
      <c r="J680" s="4" t="s">
        <v>4977</v>
      </c>
      <c r="K680" s="4" t="s">
        <v>4837</v>
      </c>
      <c r="L680" s="4" t="s">
        <v>4965</v>
      </c>
      <c r="M680" s="4" t="s">
        <v>5035</v>
      </c>
      <c r="N680" t="s">
        <v>15</v>
      </c>
      <c r="O680" t="s">
        <v>2512</v>
      </c>
      <c r="P680" t="s">
        <v>23</v>
      </c>
      <c r="Q680" t="s">
        <v>24</v>
      </c>
      <c r="R680" t="s">
        <v>25</v>
      </c>
      <c r="S680" t="s">
        <v>26</v>
      </c>
      <c r="T680" s="6">
        <v>46307</v>
      </c>
      <c r="U680">
        <v>108</v>
      </c>
      <c r="V680">
        <v>108</v>
      </c>
      <c r="W680">
        <v>120</v>
      </c>
      <c r="X680">
        <v>120</v>
      </c>
      <c r="Y680">
        <f t="shared" si="102"/>
        <v>0</v>
      </c>
      <c r="Z680">
        <f t="shared" si="103"/>
        <v>-12</v>
      </c>
      <c r="AC680" s="1">
        <v>0</v>
      </c>
      <c r="AF680">
        <f t="shared" si="107"/>
        <v>108</v>
      </c>
      <c r="AG680" s="7">
        <v>12</v>
      </c>
      <c r="AH680">
        <f t="shared" si="104"/>
        <v>108</v>
      </c>
      <c r="AI680">
        <f t="shared" si="101"/>
        <v>0</v>
      </c>
      <c r="AK680">
        <f t="shared" si="105"/>
        <v>9</v>
      </c>
      <c r="AL680">
        <v>13.85</v>
      </c>
      <c r="AM680" t="s">
        <v>27</v>
      </c>
      <c r="AN680">
        <v>13.85</v>
      </c>
      <c r="AO680" t="b">
        <f t="shared" si="106"/>
        <v>1</v>
      </c>
      <c r="AR680" t="s">
        <v>5061</v>
      </c>
      <c r="AS680" s="21">
        <v>46276</v>
      </c>
      <c r="AT680" t="s">
        <v>5062</v>
      </c>
      <c r="AU680" t="s">
        <v>5072</v>
      </c>
      <c r="AV680" t="s">
        <v>5062</v>
      </c>
      <c r="AW680" t="s">
        <v>5086</v>
      </c>
    </row>
    <row r="681" spans="1:49" x14ac:dyDescent="0.35">
      <c r="A681" t="s">
        <v>871</v>
      </c>
      <c r="B681" t="s">
        <v>872</v>
      </c>
      <c r="C681" t="s">
        <v>4818</v>
      </c>
      <c r="D681" t="s">
        <v>18</v>
      </c>
      <c r="E681" t="s">
        <v>2513</v>
      </c>
      <c r="F681" t="s">
        <v>2514</v>
      </c>
      <c r="G681" t="s">
        <v>21</v>
      </c>
      <c r="H681" t="s">
        <v>4826</v>
      </c>
      <c r="I681" t="s">
        <v>4976</v>
      </c>
      <c r="J681" s="4" t="s">
        <v>4977</v>
      </c>
      <c r="K681" s="4" t="s">
        <v>4978</v>
      </c>
      <c r="L681" s="4" t="s">
        <v>4943</v>
      </c>
      <c r="M681" s="4" t="s">
        <v>5035</v>
      </c>
      <c r="N681" t="s">
        <v>15</v>
      </c>
      <c r="O681" t="s">
        <v>2515</v>
      </c>
      <c r="P681" t="s">
        <v>23</v>
      </c>
      <c r="Q681" t="s">
        <v>24</v>
      </c>
      <c r="R681" t="s">
        <v>25</v>
      </c>
      <c r="S681" t="s">
        <v>26</v>
      </c>
      <c r="T681" s="6">
        <v>46307</v>
      </c>
      <c r="U681">
        <v>24</v>
      </c>
      <c r="V681">
        <v>24</v>
      </c>
      <c r="W681">
        <v>24</v>
      </c>
      <c r="X681">
        <v>24</v>
      </c>
      <c r="Y681">
        <f t="shared" si="102"/>
        <v>0</v>
      </c>
      <c r="Z681">
        <f t="shared" si="103"/>
        <v>0</v>
      </c>
      <c r="AC681" s="1">
        <v>0</v>
      </c>
      <c r="AF681">
        <f t="shared" si="107"/>
        <v>24</v>
      </c>
      <c r="AG681" s="7">
        <v>12</v>
      </c>
      <c r="AH681">
        <f t="shared" si="104"/>
        <v>24</v>
      </c>
      <c r="AI681">
        <f t="shared" si="101"/>
        <v>0</v>
      </c>
      <c r="AK681">
        <f t="shared" si="105"/>
        <v>2</v>
      </c>
      <c r="AL681">
        <v>13.85</v>
      </c>
      <c r="AM681" t="s">
        <v>27</v>
      </c>
      <c r="AN681">
        <v>13.85</v>
      </c>
      <c r="AO681" t="b">
        <f t="shared" si="106"/>
        <v>1</v>
      </c>
      <c r="AR681" t="s">
        <v>5061</v>
      </c>
      <c r="AS681" s="21">
        <v>46276</v>
      </c>
      <c r="AT681" t="s">
        <v>5062</v>
      </c>
      <c r="AU681" t="s">
        <v>5072</v>
      </c>
      <c r="AV681" t="s">
        <v>5062</v>
      </c>
      <c r="AW681" t="s">
        <v>5086</v>
      </c>
    </row>
    <row r="682" spans="1:49" x14ac:dyDescent="0.35">
      <c r="A682" t="s">
        <v>871</v>
      </c>
      <c r="B682" t="s">
        <v>872</v>
      </c>
      <c r="C682" t="s">
        <v>4818</v>
      </c>
      <c r="D682" t="s">
        <v>18</v>
      </c>
      <c r="E682" t="s">
        <v>2516</v>
      </c>
      <c r="F682" t="s">
        <v>2517</v>
      </c>
      <c r="G682" t="s">
        <v>21</v>
      </c>
      <c r="H682" t="s">
        <v>4826</v>
      </c>
      <c r="I682" t="s">
        <v>4976</v>
      </c>
      <c r="J682" s="4" t="s">
        <v>4977</v>
      </c>
      <c r="K682" s="4" t="s">
        <v>4837</v>
      </c>
      <c r="L682" s="4" t="s">
        <v>4959</v>
      </c>
      <c r="M682" s="4" t="s">
        <v>5035</v>
      </c>
      <c r="N682" t="s">
        <v>15</v>
      </c>
      <c r="O682" t="s">
        <v>2518</v>
      </c>
      <c r="P682" t="s">
        <v>23</v>
      </c>
      <c r="Q682" t="s">
        <v>24</v>
      </c>
      <c r="R682" t="s">
        <v>25</v>
      </c>
      <c r="S682" t="s">
        <v>26</v>
      </c>
      <c r="T682" s="6">
        <v>46307</v>
      </c>
      <c r="U682">
        <v>24</v>
      </c>
      <c r="V682">
        <v>24</v>
      </c>
      <c r="W682">
        <v>24</v>
      </c>
      <c r="X682">
        <v>24</v>
      </c>
      <c r="Y682">
        <f t="shared" si="102"/>
        <v>0</v>
      </c>
      <c r="Z682">
        <f t="shared" si="103"/>
        <v>0</v>
      </c>
      <c r="AC682" s="1">
        <v>0</v>
      </c>
      <c r="AF682">
        <f t="shared" si="107"/>
        <v>24</v>
      </c>
      <c r="AG682" s="7">
        <v>12</v>
      </c>
      <c r="AH682">
        <f t="shared" si="104"/>
        <v>24</v>
      </c>
      <c r="AI682">
        <f t="shared" si="101"/>
        <v>0</v>
      </c>
      <c r="AK682">
        <f t="shared" si="105"/>
        <v>2</v>
      </c>
      <c r="AL682">
        <v>13.85</v>
      </c>
      <c r="AM682" t="s">
        <v>27</v>
      </c>
      <c r="AN682">
        <v>13.85</v>
      </c>
      <c r="AO682" t="b">
        <f t="shared" si="106"/>
        <v>1</v>
      </c>
      <c r="AR682" t="s">
        <v>5061</v>
      </c>
      <c r="AS682" s="21">
        <v>46276</v>
      </c>
      <c r="AT682" t="s">
        <v>5062</v>
      </c>
      <c r="AU682" t="s">
        <v>5072</v>
      </c>
      <c r="AV682" t="s">
        <v>5062</v>
      </c>
      <c r="AW682" t="s">
        <v>5086</v>
      </c>
    </row>
    <row r="683" spans="1:49" x14ac:dyDescent="0.35">
      <c r="A683" t="s">
        <v>871</v>
      </c>
      <c r="B683" t="s">
        <v>872</v>
      </c>
      <c r="C683" t="s">
        <v>4818</v>
      </c>
      <c r="D683" t="s">
        <v>18</v>
      </c>
      <c r="E683" t="s">
        <v>2519</v>
      </c>
      <c r="F683" t="s">
        <v>2520</v>
      </c>
      <c r="G683" t="s">
        <v>21</v>
      </c>
      <c r="H683" t="s">
        <v>4826</v>
      </c>
      <c r="I683" t="s">
        <v>4976</v>
      </c>
      <c r="J683" s="4" t="s">
        <v>4977</v>
      </c>
      <c r="K683" s="4" t="s">
        <v>4978</v>
      </c>
      <c r="L683" s="4" t="s">
        <v>4941</v>
      </c>
      <c r="M683" s="4" t="s">
        <v>5035</v>
      </c>
      <c r="N683" t="s">
        <v>15</v>
      </c>
      <c r="O683" t="s">
        <v>2521</v>
      </c>
      <c r="P683" t="s">
        <v>23</v>
      </c>
      <c r="Q683" t="s">
        <v>24</v>
      </c>
      <c r="R683" t="s">
        <v>25</v>
      </c>
      <c r="S683" t="s">
        <v>26</v>
      </c>
      <c r="T683" s="6">
        <v>46307</v>
      </c>
      <c r="U683">
        <v>60</v>
      </c>
      <c r="V683">
        <v>60</v>
      </c>
      <c r="W683">
        <v>60</v>
      </c>
      <c r="X683">
        <v>60</v>
      </c>
      <c r="Y683">
        <f t="shared" si="102"/>
        <v>0</v>
      </c>
      <c r="Z683">
        <f t="shared" si="103"/>
        <v>0</v>
      </c>
      <c r="AC683" s="1">
        <v>0</v>
      </c>
      <c r="AF683">
        <f t="shared" si="107"/>
        <v>60</v>
      </c>
      <c r="AG683" s="7">
        <v>12</v>
      </c>
      <c r="AH683">
        <f t="shared" si="104"/>
        <v>60</v>
      </c>
      <c r="AI683">
        <f t="shared" si="101"/>
        <v>0</v>
      </c>
      <c r="AK683">
        <f t="shared" si="105"/>
        <v>5</v>
      </c>
      <c r="AL683">
        <v>13.85</v>
      </c>
      <c r="AM683" t="s">
        <v>27</v>
      </c>
      <c r="AN683">
        <v>13.85</v>
      </c>
      <c r="AO683" t="b">
        <f t="shared" si="106"/>
        <v>1</v>
      </c>
      <c r="AR683" t="s">
        <v>5061</v>
      </c>
      <c r="AS683" s="21">
        <v>46276</v>
      </c>
      <c r="AT683" t="s">
        <v>5062</v>
      </c>
      <c r="AU683" t="s">
        <v>5072</v>
      </c>
      <c r="AV683" t="s">
        <v>5062</v>
      </c>
      <c r="AW683" t="s">
        <v>5086</v>
      </c>
    </row>
    <row r="684" spans="1:49" x14ac:dyDescent="0.35">
      <c r="A684" t="s">
        <v>871</v>
      </c>
      <c r="B684" t="s">
        <v>872</v>
      </c>
      <c r="C684" t="s">
        <v>4818</v>
      </c>
      <c r="D684" t="s">
        <v>18</v>
      </c>
      <c r="E684" t="s">
        <v>2522</v>
      </c>
      <c r="F684" t="s">
        <v>2523</v>
      </c>
      <c r="G684" t="s">
        <v>21</v>
      </c>
      <c r="H684" t="s">
        <v>4826</v>
      </c>
      <c r="I684" t="s">
        <v>4976</v>
      </c>
      <c r="J684" s="4" t="s">
        <v>4977</v>
      </c>
      <c r="K684" s="4" t="s">
        <v>4978</v>
      </c>
      <c r="L684" s="4" t="s">
        <v>4959</v>
      </c>
      <c r="M684" s="4" t="s">
        <v>5035</v>
      </c>
      <c r="N684" t="s">
        <v>15</v>
      </c>
      <c r="O684" t="s">
        <v>2524</v>
      </c>
      <c r="P684" t="s">
        <v>23</v>
      </c>
      <c r="Q684" t="s">
        <v>24</v>
      </c>
      <c r="R684" t="s">
        <v>25</v>
      </c>
      <c r="S684" t="s">
        <v>26</v>
      </c>
      <c r="T684" s="6">
        <v>46307</v>
      </c>
      <c r="U684">
        <v>24</v>
      </c>
      <c r="V684">
        <v>24</v>
      </c>
      <c r="W684">
        <v>24</v>
      </c>
      <c r="X684">
        <v>24</v>
      </c>
      <c r="Y684">
        <f t="shared" si="102"/>
        <v>0</v>
      </c>
      <c r="Z684">
        <f t="shared" si="103"/>
        <v>0</v>
      </c>
      <c r="AC684" s="1">
        <v>0</v>
      </c>
      <c r="AF684">
        <f t="shared" si="107"/>
        <v>24</v>
      </c>
      <c r="AG684" s="7">
        <v>12</v>
      </c>
      <c r="AH684">
        <f t="shared" si="104"/>
        <v>24</v>
      </c>
      <c r="AI684">
        <f t="shared" si="101"/>
        <v>0</v>
      </c>
      <c r="AK684">
        <f t="shared" si="105"/>
        <v>2</v>
      </c>
      <c r="AL684">
        <v>13.85</v>
      </c>
      <c r="AM684" t="s">
        <v>27</v>
      </c>
      <c r="AN684">
        <v>13.85</v>
      </c>
      <c r="AO684" t="b">
        <f t="shared" si="106"/>
        <v>1</v>
      </c>
      <c r="AR684" t="s">
        <v>5061</v>
      </c>
      <c r="AS684" s="21">
        <v>46276</v>
      </c>
      <c r="AT684" t="s">
        <v>5062</v>
      </c>
      <c r="AU684" t="s">
        <v>5072</v>
      </c>
      <c r="AV684" t="s">
        <v>5062</v>
      </c>
      <c r="AW684" t="s">
        <v>5086</v>
      </c>
    </row>
    <row r="685" spans="1:49" x14ac:dyDescent="0.35">
      <c r="A685" t="s">
        <v>871</v>
      </c>
      <c r="B685" t="s">
        <v>872</v>
      </c>
      <c r="C685" t="s">
        <v>4818</v>
      </c>
      <c r="D685" t="s">
        <v>18</v>
      </c>
      <c r="E685" t="s">
        <v>2525</v>
      </c>
      <c r="F685" t="s">
        <v>2526</v>
      </c>
      <c r="G685" t="s">
        <v>21</v>
      </c>
      <c r="H685" t="s">
        <v>4826</v>
      </c>
      <c r="I685" t="s">
        <v>4976</v>
      </c>
      <c r="J685" s="4" t="s">
        <v>4977</v>
      </c>
      <c r="K685" s="4" t="s">
        <v>4831</v>
      </c>
      <c r="L685" s="4" t="s">
        <v>4972</v>
      </c>
      <c r="M685" s="4" t="s">
        <v>5035</v>
      </c>
      <c r="N685" t="s">
        <v>15</v>
      </c>
      <c r="O685" t="s">
        <v>2527</v>
      </c>
      <c r="P685" t="s">
        <v>23</v>
      </c>
      <c r="Q685" t="s">
        <v>24</v>
      </c>
      <c r="R685" t="s">
        <v>25</v>
      </c>
      <c r="S685" t="s">
        <v>26</v>
      </c>
      <c r="T685" s="6">
        <v>46307</v>
      </c>
      <c r="U685">
        <v>132</v>
      </c>
      <c r="V685">
        <v>132</v>
      </c>
      <c r="W685">
        <v>132</v>
      </c>
      <c r="X685">
        <v>132</v>
      </c>
      <c r="Y685">
        <f t="shared" si="102"/>
        <v>0</v>
      </c>
      <c r="Z685">
        <f t="shared" si="103"/>
        <v>0</v>
      </c>
      <c r="AC685" s="1">
        <v>0</v>
      </c>
      <c r="AF685">
        <f t="shared" si="107"/>
        <v>132</v>
      </c>
      <c r="AG685" s="7">
        <v>12</v>
      </c>
      <c r="AH685">
        <f t="shared" si="104"/>
        <v>132</v>
      </c>
      <c r="AI685">
        <f t="shared" si="101"/>
        <v>0</v>
      </c>
      <c r="AK685">
        <f t="shared" si="105"/>
        <v>11</v>
      </c>
      <c r="AL685">
        <v>13.85</v>
      </c>
      <c r="AM685" t="s">
        <v>27</v>
      </c>
      <c r="AN685">
        <v>13.85</v>
      </c>
      <c r="AO685" t="b">
        <f t="shared" si="106"/>
        <v>1</v>
      </c>
      <c r="AR685" t="s">
        <v>5061</v>
      </c>
      <c r="AS685" s="21">
        <v>46276</v>
      </c>
      <c r="AT685" t="s">
        <v>5062</v>
      </c>
      <c r="AU685" t="s">
        <v>5072</v>
      </c>
      <c r="AV685" t="s">
        <v>5062</v>
      </c>
      <c r="AW685" t="s">
        <v>5086</v>
      </c>
    </row>
    <row r="686" spans="1:49" x14ac:dyDescent="0.35">
      <c r="A686" t="s">
        <v>871</v>
      </c>
      <c r="B686" t="s">
        <v>872</v>
      </c>
      <c r="C686" t="s">
        <v>4818</v>
      </c>
      <c r="D686" t="s">
        <v>18</v>
      </c>
      <c r="E686" t="s">
        <v>2528</v>
      </c>
      <c r="F686" t="s">
        <v>2529</v>
      </c>
      <c r="G686" t="s">
        <v>21</v>
      </c>
      <c r="H686" t="s">
        <v>4826</v>
      </c>
      <c r="I686" t="s">
        <v>4976</v>
      </c>
      <c r="J686" s="4" t="s">
        <v>4977</v>
      </c>
      <c r="K686" s="4" t="s">
        <v>4831</v>
      </c>
      <c r="L686" s="4" t="s">
        <v>4949</v>
      </c>
      <c r="M686" s="4" t="s">
        <v>5035</v>
      </c>
      <c r="N686" t="s">
        <v>15</v>
      </c>
      <c r="O686" t="s">
        <v>2530</v>
      </c>
      <c r="P686" t="s">
        <v>23</v>
      </c>
      <c r="Q686" t="s">
        <v>24</v>
      </c>
      <c r="R686" t="s">
        <v>25</v>
      </c>
      <c r="S686" t="s">
        <v>26</v>
      </c>
      <c r="T686" s="6">
        <v>46307</v>
      </c>
      <c r="U686">
        <v>60</v>
      </c>
      <c r="V686">
        <v>60</v>
      </c>
      <c r="W686">
        <v>60</v>
      </c>
      <c r="X686">
        <v>60</v>
      </c>
      <c r="Y686">
        <f t="shared" si="102"/>
        <v>0</v>
      </c>
      <c r="Z686">
        <f t="shared" si="103"/>
        <v>0</v>
      </c>
      <c r="AC686" s="1">
        <v>0</v>
      </c>
      <c r="AF686">
        <f t="shared" si="107"/>
        <v>60</v>
      </c>
      <c r="AG686" s="7">
        <v>12</v>
      </c>
      <c r="AH686">
        <f t="shared" si="104"/>
        <v>60</v>
      </c>
      <c r="AI686">
        <f t="shared" si="101"/>
        <v>0</v>
      </c>
      <c r="AK686">
        <f t="shared" si="105"/>
        <v>5</v>
      </c>
      <c r="AL686">
        <v>13.85</v>
      </c>
      <c r="AM686" t="s">
        <v>27</v>
      </c>
      <c r="AN686">
        <v>13.85</v>
      </c>
      <c r="AO686" t="b">
        <f t="shared" si="106"/>
        <v>1</v>
      </c>
      <c r="AR686" t="s">
        <v>5061</v>
      </c>
      <c r="AS686" s="21">
        <v>46276</v>
      </c>
      <c r="AT686" t="s">
        <v>5062</v>
      </c>
      <c r="AU686" t="s">
        <v>5072</v>
      </c>
      <c r="AV686" t="s">
        <v>5062</v>
      </c>
      <c r="AW686" t="s">
        <v>5086</v>
      </c>
    </row>
    <row r="687" spans="1:49" x14ac:dyDescent="0.35">
      <c r="A687" t="s">
        <v>871</v>
      </c>
      <c r="B687" t="s">
        <v>872</v>
      </c>
      <c r="C687" t="s">
        <v>4818</v>
      </c>
      <c r="D687" t="s">
        <v>18</v>
      </c>
      <c r="E687" t="s">
        <v>2531</v>
      </c>
      <c r="F687" t="s">
        <v>2532</v>
      </c>
      <c r="G687" t="s">
        <v>21</v>
      </c>
      <c r="H687" t="s">
        <v>4826</v>
      </c>
      <c r="I687" t="s">
        <v>4976</v>
      </c>
      <c r="J687" s="4" t="s">
        <v>4977</v>
      </c>
      <c r="K687" s="4" t="s">
        <v>4837</v>
      </c>
      <c r="L687" s="4" t="s">
        <v>4961</v>
      </c>
      <c r="M687" s="4" t="s">
        <v>5035</v>
      </c>
      <c r="N687" t="s">
        <v>15</v>
      </c>
      <c r="O687" t="s">
        <v>2533</v>
      </c>
      <c r="P687" t="s">
        <v>23</v>
      </c>
      <c r="Q687" t="s">
        <v>24</v>
      </c>
      <c r="R687" t="s">
        <v>25</v>
      </c>
      <c r="S687" t="s">
        <v>26</v>
      </c>
      <c r="T687" s="6">
        <v>46307</v>
      </c>
      <c r="U687">
        <v>60</v>
      </c>
      <c r="V687">
        <v>60</v>
      </c>
      <c r="W687">
        <v>60</v>
      </c>
      <c r="X687">
        <v>60</v>
      </c>
      <c r="Y687">
        <f t="shared" si="102"/>
        <v>0</v>
      </c>
      <c r="Z687">
        <f t="shared" si="103"/>
        <v>0</v>
      </c>
      <c r="AC687" s="1">
        <v>0</v>
      </c>
      <c r="AF687">
        <f t="shared" si="107"/>
        <v>60</v>
      </c>
      <c r="AG687" s="7">
        <v>12</v>
      </c>
      <c r="AH687">
        <f t="shared" si="104"/>
        <v>60</v>
      </c>
      <c r="AI687">
        <f t="shared" si="101"/>
        <v>0</v>
      </c>
      <c r="AK687">
        <f t="shared" si="105"/>
        <v>5</v>
      </c>
      <c r="AL687">
        <v>13.85</v>
      </c>
      <c r="AM687" t="s">
        <v>27</v>
      </c>
      <c r="AN687">
        <v>13.85</v>
      </c>
      <c r="AO687" t="b">
        <f t="shared" si="106"/>
        <v>1</v>
      </c>
      <c r="AR687" t="s">
        <v>5061</v>
      </c>
      <c r="AS687" s="21">
        <v>46276</v>
      </c>
      <c r="AT687" t="s">
        <v>5062</v>
      </c>
      <c r="AU687" t="s">
        <v>5072</v>
      </c>
      <c r="AV687" t="s">
        <v>5062</v>
      </c>
      <c r="AW687" t="s">
        <v>5086</v>
      </c>
    </row>
    <row r="688" spans="1:49" x14ac:dyDescent="0.35">
      <c r="A688" t="s">
        <v>871</v>
      </c>
      <c r="B688" t="s">
        <v>872</v>
      </c>
      <c r="C688" t="s">
        <v>4818</v>
      </c>
      <c r="D688" t="s">
        <v>18</v>
      </c>
      <c r="E688" t="s">
        <v>2534</v>
      </c>
      <c r="F688" t="s">
        <v>2535</v>
      </c>
      <c r="G688" t="s">
        <v>21</v>
      </c>
      <c r="H688" t="s">
        <v>4826</v>
      </c>
      <c r="I688" t="s">
        <v>4976</v>
      </c>
      <c r="J688" s="4" t="s">
        <v>4977</v>
      </c>
      <c r="K688" s="4" t="s">
        <v>4832</v>
      </c>
      <c r="L688" s="4" t="s">
        <v>4963</v>
      </c>
      <c r="M688" s="4" t="s">
        <v>5035</v>
      </c>
      <c r="N688" t="s">
        <v>15</v>
      </c>
      <c r="O688" t="s">
        <v>2536</v>
      </c>
      <c r="P688" t="s">
        <v>23</v>
      </c>
      <c r="Q688" t="s">
        <v>24</v>
      </c>
      <c r="R688" t="s">
        <v>25</v>
      </c>
      <c r="S688" t="s">
        <v>26</v>
      </c>
      <c r="T688" s="6">
        <v>46307</v>
      </c>
      <c r="U688">
        <v>24</v>
      </c>
      <c r="V688">
        <v>24</v>
      </c>
      <c r="W688">
        <v>24</v>
      </c>
      <c r="X688">
        <v>24</v>
      </c>
      <c r="Y688">
        <f t="shared" si="102"/>
        <v>0</v>
      </c>
      <c r="Z688">
        <f t="shared" si="103"/>
        <v>0</v>
      </c>
      <c r="AC688" s="1">
        <v>0</v>
      </c>
      <c r="AF688">
        <f t="shared" si="107"/>
        <v>24</v>
      </c>
      <c r="AG688" s="7">
        <v>12</v>
      </c>
      <c r="AH688">
        <f t="shared" si="104"/>
        <v>24</v>
      </c>
      <c r="AI688">
        <f t="shared" si="101"/>
        <v>0</v>
      </c>
      <c r="AK688">
        <f t="shared" si="105"/>
        <v>2</v>
      </c>
      <c r="AL688">
        <v>13.85</v>
      </c>
      <c r="AM688" t="s">
        <v>27</v>
      </c>
      <c r="AN688">
        <v>13.85</v>
      </c>
      <c r="AO688" t="b">
        <f t="shared" si="106"/>
        <v>1</v>
      </c>
      <c r="AR688" t="s">
        <v>5061</v>
      </c>
      <c r="AS688" s="21">
        <v>46276</v>
      </c>
      <c r="AT688" t="s">
        <v>5062</v>
      </c>
      <c r="AU688" t="s">
        <v>5072</v>
      </c>
      <c r="AV688" t="s">
        <v>5062</v>
      </c>
      <c r="AW688" t="s">
        <v>5086</v>
      </c>
    </row>
    <row r="689" spans="1:49" x14ac:dyDescent="0.35">
      <c r="A689" t="s">
        <v>871</v>
      </c>
      <c r="B689" t="s">
        <v>872</v>
      </c>
      <c r="C689" t="s">
        <v>4818</v>
      </c>
      <c r="D689" t="s">
        <v>18</v>
      </c>
      <c r="E689" t="s">
        <v>2537</v>
      </c>
      <c r="F689" t="s">
        <v>2538</v>
      </c>
      <c r="G689" t="s">
        <v>21</v>
      </c>
      <c r="H689" t="s">
        <v>4826</v>
      </c>
      <c r="I689" t="s">
        <v>4976</v>
      </c>
      <c r="J689" s="4" t="s">
        <v>4977</v>
      </c>
      <c r="K689" s="4" t="s">
        <v>4837</v>
      </c>
      <c r="L689" s="4" t="s">
        <v>4956</v>
      </c>
      <c r="M689" s="4" t="s">
        <v>5035</v>
      </c>
      <c r="N689" t="s">
        <v>15</v>
      </c>
      <c r="O689" t="s">
        <v>2539</v>
      </c>
      <c r="P689" t="s">
        <v>23</v>
      </c>
      <c r="Q689" t="s">
        <v>24</v>
      </c>
      <c r="R689" t="s">
        <v>25</v>
      </c>
      <c r="S689" t="s">
        <v>26</v>
      </c>
      <c r="T689" s="6">
        <v>46307</v>
      </c>
      <c r="U689">
        <v>252</v>
      </c>
      <c r="V689">
        <v>252</v>
      </c>
      <c r="W689">
        <v>276</v>
      </c>
      <c r="X689">
        <v>276</v>
      </c>
      <c r="Y689">
        <f t="shared" si="102"/>
        <v>0</v>
      </c>
      <c r="Z689">
        <f t="shared" si="103"/>
        <v>-24</v>
      </c>
      <c r="AC689" s="1">
        <v>0</v>
      </c>
      <c r="AF689">
        <f t="shared" si="107"/>
        <v>252</v>
      </c>
      <c r="AG689" s="7">
        <v>12</v>
      </c>
      <c r="AH689">
        <f t="shared" si="104"/>
        <v>252</v>
      </c>
      <c r="AI689">
        <f t="shared" si="101"/>
        <v>0</v>
      </c>
      <c r="AK689">
        <f t="shared" si="105"/>
        <v>21</v>
      </c>
      <c r="AL689">
        <v>13.85</v>
      </c>
      <c r="AM689" t="s">
        <v>27</v>
      </c>
      <c r="AN689">
        <v>13.85</v>
      </c>
      <c r="AO689" t="b">
        <f t="shared" si="106"/>
        <v>1</v>
      </c>
      <c r="AR689" t="s">
        <v>5061</v>
      </c>
      <c r="AS689" s="21">
        <v>46276</v>
      </c>
      <c r="AT689" t="s">
        <v>5062</v>
      </c>
      <c r="AU689" t="s">
        <v>5072</v>
      </c>
      <c r="AV689" t="s">
        <v>5062</v>
      </c>
      <c r="AW689" t="s">
        <v>5086</v>
      </c>
    </row>
    <row r="690" spans="1:49" x14ac:dyDescent="0.35">
      <c r="A690" t="s">
        <v>871</v>
      </c>
      <c r="B690" t="s">
        <v>872</v>
      </c>
      <c r="C690" t="s">
        <v>4818</v>
      </c>
      <c r="D690" t="s">
        <v>18</v>
      </c>
      <c r="E690" t="s">
        <v>2540</v>
      </c>
      <c r="F690" t="s">
        <v>2541</v>
      </c>
      <c r="G690" t="s">
        <v>21</v>
      </c>
      <c r="H690" t="s">
        <v>4826</v>
      </c>
      <c r="I690" t="s">
        <v>4976</v>
      </c>
      <c r="J690" s="4" t="s">
        <v>4977</v>
      </c>
      <c r="K690" s="4" t="s">
        <v>4978</v>
      </c>
      <c r="L690" s="4" t="s">
        <v>4961</v>
      </c>
      <c r="M690" s="4" t="s">
        <v>5035</v>
      </c>
      <c r="N690" t="s">
        <v>15</v>
      </c>
      <c r="O690" t="s">
        <v>2542</v>
      </c>
      <c r="P690" t="s">
        <v>23</v>
      </c>
      <c r="Q690" t="s">
        <v>24</v>
      </c>
      <c r="R690" t="s">
        <v>25</v>
      </c>
      <c r="S690" t="s">
        <v>26</v>
      </c>
      <c r="T690" s="6">
        <v>46307</v>
      </c>
      <c r="U690">
        <v>24</v>
      </c>
      <c r="V690">
        <v>24</v>
      </c>
      <c r="W690">
        <v>24</v>
      </c>
      <c r="X690">
        <v>24</v>
      </c>
      <c r="Y690">
        <f t="shared" si="102"/>
        <v>0</v>
      </c>
      <c r="Z690">
        <f t="shared" si="103"/>
        <v>0</v>
      </c>
      <c r="AC690" s="1">
        <v>0</v>
      </c>
      <c r="AF690">
        <f t="shared" si="107"/>
        <v>24</v>
      </c>
      <c r="AG690" s="7">
        <v>12</v>
      </c>
      <c r="AH690">
        <f t="shared" si="104"/>
        <v>24</v>
      </c>
      <c r="AI690">
        <f t="shared" si="101"/>
        <v>0</v>
      </c>
      <c r="AK690">
        <f t="shared" si="105"/>
        <v>2</v>
      </c>
      <c r="AL690">
        <v>13.85</v>
      </c>
      <c r="AM690" t="s">
        <v>27</v>
      </c>
      <c r="AN690">
        <v>13.85</v>
      </c>
      <c r="AO690" t="b">
        <f t="shared" si="106"/>
        <v>1</v>
      </c>
      <c r="AR690" t="s">
        <v>5061</v>
      </c>
      <c r="AS690" s="21">
        <v>46276</v>
      </c>
      <c r="AT690" t="s">
        <v>5062</v>
      </c>
      <c r="AU690" t="s">
        <v>5072</v>
      </c>
      <c r="AV690" t="s">
        <v>5062</v>
      </c>
      <c r="AW690" t="s">
        <v>5086</v>
      </c>
    </row>
    <row r="691" spans="1:49" x14ac:dyDescent="0.35">
      <c r="A691" t="s">
        <v>871</v>
      </c>
      <c r="B691" t="s">
        <v>872</v>
      </c>
      <c r="C691" t="s">
        <v>4818</v>
      </c>
      <c r="D691" t="s">
        <v>18</v>
      </c>
      <c r="E691" t="s">
        <v>2543</v>
      </c>
      <c r="F691" t="s">
        <v>2544</v>
      </c>
      <c r="G691" t="s">
        <v>21</v>
      </c>
      <c r="H691" t="s">
        <v>4826</v>
      </c>
      <c r="I691" t="s">
        <v>4976</v>
      </c>
      <c r="J691" s="4" t="s">
        <v>4977</v>
      </c>
      <c r="K691" s="4" t="s">
        <v>4832</v>
      </c>
      <c r="L691" s="4" t="s">
        <v>4974</v>
      </c>
      <c r="M691" s="4" t="s">
        <v>5035</v>
      </c>
      <c r="N691" t="s">
        <v>15</v>
      </c>
      <c r="O691" t="s">
        <v>2545</v>
      </c>
      <c r="P691" t="s">
        <v>23</v>
      </c>
      <c r="Q691" t="s">
        <v>24</v>
      </c>
      <c r="R691" t="s">
        <v>25</v>
      </c>
      <c r="S691" t="s">
        <v>26</v>
      </c>
      <c r="T691" s="6">
        <v>46307</v>
      </c>
      <c r="U691">
        <v>192</v>
      </c>
      <c r="V691">
        <v>192</v>
      </c>
      <c r="W691">
        <v>204</v>
      </c>
      <c r="X691">
        <v>204</v>
      </c>
      <c r="Y691">
        <f t="shared" si="102"/>
        <v>0</v>
      </c>
      <c r="Z691">
        <f t="shared" si="103"/>
        <v>-12</v>
      </c>
      <c r="AC691" s="1">
        <v>0</v>
      </c>
      <c r="AF691">
        <f t="shared" si="107"/>
        <v>192</v>
      </c>
      <c r="AG691" s="7">
        <v>12</v>
      </c>
      <c r="AH691">
        <f t="shared" si="104"/>
        <v>192</v>
      </c>
      <c r="AI691">
        <f t="shared" si="101"/>
        <v>0</v>
      </c>
      <c r="AK691">
        <f t="shared" si="105"/>
        <v>16</v>
      </c>
      <c r="AL691">
        <v>13.85</v>
      </c>
      <c r="AM691" t="s">
        <v>27</v>
      </c>
      <c r="AN691">
        <v>13.85</v>
      </c>
      <c r="AO691" t="b">
        <f t="shared" si="106"/>
        <v>1</v>
      </c>
      <c r="AR691" t="s">
        <v>5061</v>
      </c>
      <c r="AS691" s="21">
        <v>46276</v>
      </c>
      <c r="AT691" t="s">
        <v>5062</v>
      </c>
      <c r="AU691" t="s">
        <v>5072</v>
      </c>
      <c r="AV691" t="s">
        <v>5062</v>
      </c>
      <c r="AW691" t="s">
        <v>5086</v>
      </c>
    </row>
    <row r="692" spans="1:49" x14ac:dyDescent="0.35">
      <c r="A692" t="s">
        <v>871</v>
      </c>
      <c r="B692" t="s">
        <v>872</v>
      </c>
      <c r="C692" t="s">
        <v>4818</v>
      </c>
      <c r="D692" t="s">
        <v>18</v>
      </c>
      <c r="E692" t="s">
        <v>2546</v>
      </c>
      <c r="F692" t="s">
        <v>2547</v>
      </c>
      <c r="G692" t="s">
        <v>21</v>
      </c>
      <c r="H692" t="s">
        <v>4826</v>
      </c>
      <c r="I692" t="s">
        <v>4976</v>
      </c>
      <c r="J692" s="4" t="s">
        <v>4977</v>
      </c>
      <c r="K692" s="4" t="s">
        <v>4832</v>
      </c>
      <c r="L692" s="4" t="s">
        <v>4971</v>
      </c>
      <c r="M692" s="4" t="s">
        <v>5035</v>
      </c>
      <c r="N692" t="s">
        <v>15</v>
      </c>
      <c r="O692" t="s">
        <v>2548</v>
      </c>
      <c r="P692" t="s">
        <v>23</v>
      </c>
      <c r="Q692" t="s">
        <v>24</v>
      </c>
      <c r="R692" t="s">
        <v>25</v>
      </c>
      <c r="S692" t="s">
        <v>26</v>
      </c>
      <c r="T692" s="6">
        <v>46307</v>
      </c>
      <c r="U692">
        <v>24</v>
      </c>
      <c r="V692">
        <v>24</v>
      </c>
      <c r="W692">
        <v>24</v>
      </c>
      <c r="X692">
        <v>24</v>
      </c>
      <c r="Y692">
        <f t="shared" si="102"/>
        <v>0</v>
      </c>
      <c r="Z692">
        <f t="shared" si="103"/>
        <v>0</v>
      </c>
      <c r="AC692" s="1">
        <v>0</v>
      </c>
      <c r="AF692">
        <f t="shared" si="107"/>
        <v>24</v>
      </c>
      <c r="AG692" s="7">
        <v>12</v>
      </c>
      <c r="AH692">
        <f t="shared" si="104"/>
        <v>24</v>
      </c>
      <c r="AI692">
        <f t="shared" si="101"/>
        <v>0</v>
      </c>
      <c r="AK692">
        <f t="shared" si="105"/>
        <v>2</v>
      </c>
      <c r="AL692">
        <v>13.85</v>
      </c>
      <c r="AM692" t="s">
        <v>27</v>
      </c>
      <c r="AN692">
        <v>13.85</v>
      </c>
      <c r="AO692" t="b">
        <f t="shared" si="106"/>
        <v>1</v>
      </c>
      <c r="AR692" t="s">
        <v>5061</v>
      </c>
      <c r="AS692" s="21">
        <v>46276</v>
      </c>
      <c r="AT692" t="s">
        <v>5062</v>
      </c>
      <c r="AU692" t="s">
        <v>5072</v>
      </c>
      <c r="AV692" t="s">
        <v>5062</v>
      </c>
      <c r="AW692" t="s">
        <v>5086</v>
      </c>
    </row>
    <row r="693" spans="1:49" x14ac:dyDescent="0.35">
      <c r="A693" t="s">
        <v>871</v>
      </c>
      <c r="B693" t="s">
        <v>872</v>
      </c>
      <c r="C693" t="s">
        <v>4818</v>
      </c>
      <c r="D693" t="s">
        <v>18</v>
      </c>
      <c r="E693" t="s">
        <v>2549</v>
      </c>
      <c r="F693" t="s">
        <v>2550</v>
      </c>
      <c r="G693" t="s">
        <v>21</v>
      </c>
      <c r="H693" t="s">
        <v>4826</v>
      </c>
      <c r="I693" t="s">
        <v>4976</v>
      </c>
      <c r="J693" s="4" t="s">
        <v>4977</v>
      </c>
      <c r="K693" s="4" t="s">
        <v>4832</v>
      </c>
      <c r="L693" s="4" t="s">
        <v>4941</v>
      </c>
      <c r="M693" s="4" t="s">
        <v>5035</v>
      </c>
      <c r="N693" t="s">
        <v>15</v>
      </c>
      <c r="O693" t="s">
        <v>2551</v>
      </c>
      <c r="P693" t="s">
        <v>23</v>
      </c>
      <c r="Q693" t="s">
        <v>24</v>
      </c>
      <c r="R693" t="s">
        <v>25</v>
      </c>
      <c r="S693" t="s">
        <v>26</v>
      </c>
      <c r="T693" s="6">
        <v>46307</v>
      </c>
      <c r="U693">
        <v>36</v>
      </c>
      <c r="V693">
        <v>36</v>
      </c>
      <c r="W693">
        <v>36</v>
      </c>
      <c r="X693">
        <v>36</v>
      </c>
      <c r="Y693">
        <f t="shared" si="102"/>
        <v>0</v>
      </c>
      <c r="Z693">
        <f t="shared" si="103"/>
        <v>0</v>
      </c>
      <c r="AC693" s="1">
        <v>0</v>
      </c>
      <c r="AF693">
        <f t="shared" si="107"/>
        <v>36</v>
      </c>
      <c r="AG693" s="7">
        <v>12</v>
      </c>
      <c r="AH693">
        <f t="shared" si="104"/>
        <v>36</v>
      </c>
      <c r="AI693">
        <f t="shared" si="101"/>
        <v>0</v>
      </c>
      <c r="AK693">
        <f t="shared" si="105"/>
        <v>3</v>
      </c>
      <c r="AL693">
        <v>13.85</v>
      </c>
      <c r="AM693" t="s">
        <v>27</v>
      </c>
      <c r="AN693">
        <v>13.85</v>
      </c>
      <c r="AO693" t="b">
        <f t="shared" si="106"/>
        <v>1</v>
      </c>
      <c r="AR693" t="s">
        <v>5061</v>
      </c>
      <c r="AS693" s="21">
        <v>46276</v>
      </c>
      <c r="AT693" t="s">
        <v>5062</v>
      </c>
      <c r="AU693" t="s">
        <v>5072</v>
      </c>
      <c r="AV693" t="s">
        <v>5062</v>
      </c>
      <c r="AW693" t="s">
        <v>5086</v>
      </c>
    </row>
    <row r="694" spans="1:49" x14ac:dyDescent="0.35">
      <c r="A694" t="s">
        <v>871</v>
      </c>
      <c r="B694" t="s">
        <v>872</v>
      </c>
      <c r="C694" t="s">
        <v>4818</v>
      </c>
      <c r="D694" t="s">
        <v>18</v>
      </c>
      <c r="E694" t="s">
        <v>2552</v>
      </c>
      <c r="F694" t="s">
        <v>2553</v>
      </c>
      <c r="G694" t="s">
        <v>21</v>
      </c>
      <c r="H694" t="s">
        <v>4826</v>
      </c>
      <c r="I694" t="s">
        <v>4976</v>
      </c>
      <c r="J694" s="4" t="s">
        <v>4977</v>
      </c>
      <c r="K694" s="4" t="s">
        <v>4831</v>
      </c>
      <c r="L694" s="4" t="s">
        <v>4963</v>
      </c>
      <c r="M694" s="4" t="s">
        <v>5035</v>
      </c>
      <c r="N694" t="s">
        <v>15</v>
      </c>
      <c r="O694" t="s">
        <v>2554</v>
      </c>
      <c r="P694" t="s">
        <v>23</v>
      </c>
      <c r="Q694" t="s">
        <v>24</v>
      </c>
      <c r="R694" t="s">
        <v>25</v>
      </c>
      <c r="S694" t="s">
        <v>26</v>
      </c>
      <c r="T694" s="6">
        <v>46307</v>
      </c>
      <c r="U694">
        <v>36</v>
      </c>
      <c r="V694">
        <v>36</v>
      </c>
      <c r="W694">
        <v>36</v>
      </c>
      <c r="X694">
        <v>36</v>
      </c>
      <c r="Y694">
        <f t="shared" si="102"/>
        <v>0</v>
      </c>
      <c r="Z694">
        <f t="shared" si="103"/>
        <v>0</v>
      </c>
      <c r="AC694" s="1">
        <v>0</v>
      </c>
      <c r="AF694">
        <f t="shared" si="107"/>
        <v>36</v>
      </c>
      <c r="AG694" s="7">
        <v>12</v>
      </c>
      <c r="AH694">
        <f t="shared" si="104"/>
        <v>36</v>
      </c>
      <c r="AI694">
        <f t="shared" si="101"/>
        <v>0</v>
      </c>
      <c r="AK694">
        <f t="shared" si="105"/>
        <v>3</v>
      </c>
      <c r="AL694">
        <v>13.85</v>
      </c>
      <c r="AM694" t="s">
        <v>27</v>
      </c>
      <c r="AN694">
        <v>13.85</v>
      </c>
      <c r="AO694" t="b">
        <f t="shared" si="106"/>
        <v>1</v>
      </c>
      <c r="AR694" t="s">
        <v>5061</v>
      </c>
      <c r="AS694" s="21">
        <v>46276</v>
      </c>
      <c r="AT694" t="s">
        <v>5062</v>
      </c>
      <c r="AU694" t="s">
        <v>5072</v>
      </c>
      <c r="AV694" t="s">
        <v>5062</v>
      </c>
      <c r="AW694" t="s">
        <v>5086</v>
      </c>
    </row>
    <row r="695" spans="1:49" x14ac:dyDescent="0.35">
      <c r="A695" t="s">
        <v>871</v>
      </c>
      <c r="B695" t="s">
        <v>872</v>
      </c>
      <c r="C695" t="s">
        <v>4818</v>
      </c>
      <c r="D695" t="s">
        <v>18</v>
      </c>
      <c r="E695" t="s">
        <v>2555</v>
      </c>
      <c r="F695" t="s">
        <v>2556</v>
      </c>
      <c r="G695" t="s">
        <v>21</v>
      </c>
      <c r="H695" t="s">
        <v>4826</v>
      </c>
      <c r="I695" t="s">
        <v>4976</v>
      </c>
      <c r="J695" s="4" t="s">
        <v>4977</v>
      </c>
      <c r="K695" s="4" t="s">
        <v>4832</v>
      </c>
      <c r="L695" s="4" t="s">
        <v>4972</v>
      </c>
      <c r="M695" s="4" t="s">
        <v>5035</v>
      </c>
      <c r="N695" t="s">
        <v>15</v>
      </c>
      <c r="O695" t="s">
        <v>2557</v>
      </c>
      <c r="P695" t="s">
        <v>23</v>
      </c>
      <c r="Q695" t="s">
        <v>24</v>
      </c>
      <c r="R695" t="s">
        <v>25</v>
      </c>
      <c r="S695" t="s">
        <v>26</v>
      </c>
      <c r="T695" s="6">
        <v>46307</v>
      </c>
      <c r="U695">
        <v>132</v>
      </c>
      <c r="V695">
        <v>132</v>
      </c>
      <c r="W695">
        <v>144</v>
      </c>
      <c r="X695">
        <v>144</v>
      </c>
      <c r="Y695">
        <f t="shared" si="102"/>
        <v>0</v>
      </c>
      <c r="Z695">
        <f t="shared" si="103"/>
        <v>-12</v>
      </c>
      <c r="AC695" s="1">
        <v>0</v>
      </c>
      <c r="AF695">
        <f t="shared" si="107"/>
        <v>132</v>
      </c>
      <c r="AG695" s="7">
        <v>12</v>
      </c>
      <c r="AH695">
        <f t="shared" si="104"/>
        <v>132</v>
      </c>
      <c r="AI695">
        <f t="shared" si="101"/>
        <v>0</v>
      </c>
      <c r="AK695">
        <f t="shared" si="105"/>
        <v>11</v>
      </c>
      <c r="AL695">
        <v>13.85</v>
      </c>
      <c r="AM695" t="s">
        <v>27</v>
      </c>
      <c r="AN695">
        <v>13.85</v>
      </c>
      <c r="AO695" t="b">
        <f t="shared" si="106"/>
        <v>1</v>
      </c>
      <c r="AR695" t="s">
        <v>5061</v>
      </c>
      <c r="AS695" s="21">
        <v>46276</v>
      </c>
      <c r="AT695" t="s">
        <v>5062</v>
      </c>
      <c r="AU695" t="s">
        <v>5072</v>
      </c>
      <c r="AV695" t="s">
        <v>5062</v>
      </c>
      <c r="AW695" t="s">
        <v>5086</v>
      </c>
    </row>
    <row r="696" spans="1:49" x14ac:dyDescent="0.35">
      <c r="A696" t="s">
        <v>871</v>
      </c>
      <c r="B696" t="s">
        <v>872</v>
      </c>
      <c r="C696" t="s">
        <v>4818</v>
      </c>
      <c r="D696" t="s">
        <v>18</v>
      </c>
      <c r="E696" t="s">
        <v>2558</v>
      </c>
      <c r="F696" t="s">
        <v>2559</v>
      </c>
      <c r="G696" t="s">
        <v>21</v>
      </c>
      <c r="H696" t="s">
        <v>4826</v>
      </c>
      <c r="I696" t="s">
        <v>4976</v>
      </c>
      <c r="J696" s="4" t="s">
        <v>4977</v>
      </c>
      <c r="K696" s="4" t="s">
        <v>4831</v>
      </c>
      <c r="L696" s="4" t="s">
        <v>4960</v>
      </c>
      <c r="M696" s="4" t="s">
        <v>5035</v>
      </c>
      <c r="N696" t="s">
        <v>15</v>
      </c>
      <c r="O696" t="s">
        <v>2560</v>
      </c>
      <c r="P696" t="s">
        <v>23</v>
      </c>
      <c r="Q696" t="s">
        <v>24</v>
      </c>
      <c r="R696" t="s">
        <v>25</v>
      </c>
      <c r="S696" t="s">
        <v>26</v>
      </c>
      <c r="T696" s="6">
        <v>46307</v>
      </c>
      <c r="U696">
        <v>36</v>
      </c>
      <c r="V696">
        <v>36</v>
      </c>
      <c r="W696">
        <v>36</v>
      </c>
      <c r="X696">
        <v>36</v>
      </c>
      <c r="Y696">
        <f t="shared" si="102"/>
        <v>0</v>
      </c>
      <c r="Z696">
        <f t="shared" si="103"/>
        <v>0</v>
      </c>
      <c r="AC696" s="1">
        <v>0</v>
      </c>
      <c r="AF696">
        <f t="shared" si="107"/>
        <v>36</v>
      </c>
      <c r="AG696" s="7">
        <v>12</v>
      </c>
      <c r="AH696">
        <f t="shared" si="104"/>
        <v>36</v>
      </c>
      <c r="AI696">
        <f t="shared" si="101"/>
        <v>0</v>
      </c>
      <c r="AK696">
        <f t="shared" si="105"/>
        <v>3</v>
      </c>
      <c r="AL696">
        <v>13.85</v>
      </c>
      <c r="AM696" t="s">
        <v>27</v>
      </c>
      <c r="AN696">
        <v>13.85</v>
      </c>
      <c r="AO696" t="b">
        <f t="shared" si="106"/>
        <v>1</v>
      </c>
      <c r="AR696" t="s">
        <v>5061</v>
      </c>
      <c r="AS696" s="21">
        <v>46276</v>
      </c>
      <c r="AT696" t="s">
        <v>5062</v>
      </c>
      <c r="AU696" t="s">
        <v>5072</v>
      </c>
      <c r="AV696" t="s">
        <v>5062</v>
      </c>
      <c r="AW696" t="s">
        <v>5086</v>
      </c>
    </row>
    <row r="697" spans="1:49" x14ac:dyDescent="0.35">
      <c r="A697" t="s">
        <v>871</v>
      </c>
      <c r="B697" t="s">
        <v>872</v>
      </c>
      <c r="C697" t="s">
        <v>4818</v>
      </c>
      <c r="D697" t="s">
        <v>18</v>
      </c>
      <c r="E697" t="s">
        <v>2561</v>
      </c>
      <c r="F697" t="s">
        <v>2562</v>
      </c>
      <c r="G697" t="s">
        <v>21</v>
      </c>
      <c r="H697" t="s">
        <v>4826</v>
      </c>
      <c r="I697" t="s">
        <v>4976</v>
      </c>
      <c r="J697" s="4" t="s">
        <v>4977</v>
      </c>
      <c r="K697" s="4" t="s">
        <v>4832</v>
      </c>
      <c r="L697" s="4" t="s">
        <v>4946</v>
      </c>
      <c r="M697" s="4" t="s">
        <v>5035</v>
      </c>
      <c r="N697" t="s">
        <v>15</v>
      </c>
      <c r="O697" t="s">
        <v>2563</v>
      </c>
      <c r="P697" t="s">
        <v>23</v>
      </c>
      <c r="Q697" t="s">
        <v>24</v>
      </c>
      <c r="R697" t="s">
        <v>25</v>
      </c>
      <c r="S697" t="s">
        <v>26</v>
      </c>
      <c r="T697" s="6">
        <v>46307</v>
      </c>
      <c r="U697">
        <v>36</v>
      </c>
      <c r="V697">
        <v>36</v>
      </c>
      <c r="W697">
        <v>36</v>
      </c>
      <c r="X697">
        <v>36</v>
      </c>
      <c r="Y697">
        <f t="shared" si="102"/>
        <v>0</v>
      </c>
      <c r="Z697">
        <f t="shared" si="103"/>
        <v>0</v>
      </c>
      <c r="AC697" s="1">
        <v>0</v>
      </c>
      <c r="AF697">
        <f t="shared" si="107"/>
        <v>36</v>
      </c>
      <c r="AG697" s="7">
        <v>12</v>
      </c>
      <c r="AH697">
        <f t="shared" si="104"/>
        <v>36</v>
      </c>
      <c r="AI697">
        <f t="shared" si="101"/>
        <v>0</v>
      </c>
      <c r="AK697">
        <f t="shared" si="105"/>
        <v>3</v>
      </c>
      <c r="AL697">
        <v>13.85</v>
      </c>
      <c r="AM697" t="s">
        <v>27</v>
      </c>
      <c r="AN697">
        <v>13.85</v>
      </c>
      <c r="AO697" t="b">
        <f t="shared" si="106"/>
        <v>1</v>
      </c>
      <c r="AR697" t="s">
        <v>5061</v>
      </c>
      <c r="AS697" s="21">
        <v>46276</v>
      </c>
      <c r="AT697" t="s">
        <v>5062</v>
      </c>
      <c r="AU697" t="s">
        <v>5072</v>
      </c>
      <c r="AV697" t="s">
        <v>5062</v>
      </c>
      <c r="AW697" t="s">
        <v>5086</v>
      </c>
    </row>
    <row r="698" spans="1:49" x14ac:dyDescent="0.35">
      <c r="A698" t="s">
        <v>871</v>
      </c>
      <c r="B698" t="s">
        <v>872</v>
      </c>
      <c r="C698" t="s">
        <v>4818</v>
      </c>
      <c r="D698" t="s">
        <v>18</v>
      </c>
      <c r="E698" t="s">
        <v>2564</v>
      </c>
      <c r="F698" t="s">
        <v>2565</v>
      </c>
      <c r="G698" t="s">
        <v>21</v>
      </c>
      <c r="H698" t="s">
        <v>4826</v>
      </c>
      <c r="I698" t="s">
        <v>4976</v>
      </c>
      <c r="J698" s="4" t="s">
        <v>4977</v>
      </c>
      <c r="K698" s="4" t="s">
        <v>4831</v>
      </c>
      <c r="L698" s="4" t="s">
        <v>4974</v>
      </c>
      <c r="M698" s="4" t="s">
        <v>5035</v>
      </c>
      <c r="N698" t="s">
        <v>15</v>
      </c>
      <c r="O698" t="s">
        <v>2566</v>
      </c>
      <c r="P698" t="s">
        <v>23</v>
      </c>
      <c r="Q698" t="s">
        <v>24</v>
      </c>
      <c r="R698" t="s">
        <v>25</v>
      </c>
      <c r="S698" t="s">
        <v>26</v>
      </c>
      <c r="T698" s="6">
        <v>46307</v>
      </c>
      <c r="U698">
        <v>72</v>
      </c>
      <c r="V698">
        <v>72</v>
      </c>
      <c r="W698">
        <v>60</v>
      </c>
      <c r="X698">
        <v>60</v>
      </c>
      <c r="Y698">
        <f t="shared" si="102"/>
        <v>0</v>
      </c>
      <c r="Z698">
        <f t="shared" si="103"/>
        <v>12</v>
      </c>
      <c r="AA698">
        <f>Z698</f>
        <v>12</v>
      </c>
      <c r="AC698" s="1">
        <v>0</v>
      </c>
      <c r="AF698">
        <f>X698</f>
        <v>60</v>
      </c>
      <c r="AG698" s="7">
        <v>12</v>
      </c>
      <c r="AH698">
        <f t="shared" si="104"/>
        <v>60</v>
      </c>
      <c r="AI698">
        <f t="shared" si="101"/>
        <v>12</v>
      </c>
      <c r="AK698">
        <f t="shared" si="105"/>
        <v>5</v>
      </c>
      <c r="AL698">
        <v>13.85</v>
      </c>
      <c r="AM698" t="s">
        <v>27</v>
      </c>
      <c r="AN698">
        <v>13.85</v>
      </c>
      <c r="AO698" t="b">
        <f t="shared" si="106"/>
        <v>1</v>
      </c>
      <c r="AR698" t="s">
        <v>5061</v>
      </c>
      <c r="AS698" s="21">
        <v>46276</v>
      </c>
      <c r="AT698" t="s">
        <v>5062</v>
      </c>
      <c r="AU698" t="s">
        <v>5072</v>
      </c>
      <c r="AV698" t="s">
        <v>5062</v>
      </c>
      <c r="AW698" t="s">
        <v>5086</v>
      </c>
    </row>
    <row r="699" spans="1:49" x14ac:dyDescent="0.35">
      <c r="A699" t="s">
        <v>871</v>
      </c>
      <c r="B699" t="s">
        <v>872</v>
      </c>
      <c r="C699" t="s">
        <v>4818</v>
      </c>
      <c r="D699" t="s">
        <v>18</v>
      </c>
      <c r="E699" t="s">
        <v>2567</v>
      </c>
      <c r="F699" t="s">
        <v>2568</v>
      </c>
      <c r="G699" t="s">
        <v>21</v>
      </c>
      <c r="H699" t="s">
        <v>4826</v>
      </c>
      <c r="I699" t="s">
        <v>4976</v>
      </c>
      <c r="J699" s="4" t="s">
        <v>4977</v>
      </c>
      <c r="K699" s="4" t="s">
        <v>4832</v>
      </c>
      <c r="L699" s="4" t="s">
        <v>4959</v>
      </c>
      <c r="M699" s="4" t="s">
        <v>5035</v>
      </c>
      <c r="N699" t="s">
        <v>15</v>
      </c>
      <c r="O699" t="s">
        <v>2569</v>
      </c>
      <c r="P699" t="s">
        <v>23</v>
      </c>
      <c r="Q699" t="s">
        <v>24</v>
      </c>
      <c r="R699" t="s">
        <v>25</v>
      </c>
      <c r="S699" t="s">
        <v>26</v>
      </c>
      <c r="T699" s="6">
        <v>46307</v>
      </c>
      <c r="U699">
        <v>24</v>
      </c>
      <c r="V699">
        <v>24</v>
      </c>
      <c r="W699">
        <v>24</v>
      </c>
      <c r="X699">
        <v>24</v>
      </c>
      <c r="Y699">
        <f t="shared" si="102"/>
        <v>0</v>
      </c>
      <c r="Z699">
        <f t="shared" si="103"/>
        <v>0</v>
      </c>
      <c r="AC699" s="1">
        <v>0</v>
      </c>
      <c r="AF699">
        <f>V699</f>
        <v>24</v>
      </c>
      <c r="AG699" s="7">
        <v>12</v>
      </c>
      <c r="AH699">
        <f t="shared" si="104"/>
        <v>24</v>
      </c>
      <c r="AI699">
        <f t="shared" si="101"/>
        <v>0</v>
      </c>
      <c r="AK699">
        <f t="shared" si="105"/>
        <v>2</v>
      </c>
      <c r="AL699">
        <v>13.85</v>
      </c>
      <c r="AM699" t="s">
        <v>27</v>
      </c>
      <c r="AN699">
        <v>13.85</v>
      </c>
      <c r="AO699" t="b">
        <f t="shared" si="106"/>
        <v>1</v>
      </c>
      <c r="AR699" t="s">
        <v>5061</v>
      </c>
      <c r="AS699" s="21">
        <v>46276</v>
      </c>
      <c r="AT699" t="s">
        <v>5062</v>
      </c>
      <c r="AU699" t="s">
        <v>5072</v>
      </c>
      <c r="AV699" t="s">
        <v>5062</v>
      </c>
      <c r="AW699" t="s">
        <v>5086</v>
      </c>
    </row>
    <row r="700" spans="1:49" x14ac:dyDescent="0.35">
      <c r="A700" t="s">
        <v>871</v>
      </c>
      <c r="B700" t="s">
        <v>872</v>
      </c>
      <c r="C700" t="s">
        <v>4818</v>
      </c>
      <c r="D700" t="s">
        <v>18</v>
      </c>
      <c r="E700" t="s">
        <v>2570</v>
      </c>
      <c r="F700" t="s">
        <v>2571</v>
      </c>
      <c r="G700" t="s">
        <v>21</v>
      </c>
      <c r="H700" t="s">
        <v>4826</v>
      </c>
      <c r="I700" t="s">
        <v>4976</v>
      </c>
      <c r="J700" s="4" t="s">
        <v>4977</v>
      </c>
      <c r="K700" s="4" t="s">
        <v>4837</v>
      </c>
      <c r="L700" s="4" t="s">
        <v>4954</v>
      </c>
      <c r="M700" s="4" t="s">
        <v>5035</v>
      </c>
      <c r="N700" t="s">
        <v>15</v>
      </c>
      <c r="O700" t="s">
        <v>2572</v>
      </c>
      <c r="P700" t="s">
        <v>23</v>
      </c>
      <c r="Q700" t="s">
        <v>24</v>
      </c>
      <c r="R700" t="s">
        <v>25</v>
      </c>
      <c r="S700" t="s">
        <v>26</v>
      </c>
      <c r="T700" s="6">
        <v>46307</v>
      </c>
      <c r="U700">
        <v>168</v>
      </c>
      <c r="V700">
        <v>168</v>
      </c>
      <c r="W700">
        <v>180</v>
      </c>
      <c r="X700">
        <v>180</v>
      </c>
      <c r="Y700">
        <f t="shared" si="102"/>
        <v>0</v>
      </c>
      <c r="Z700">
        <f t="shared" si="103"/>
        <v>-12</v>
      </c>
      <c r="AC700" s="1">
        <v>0</v>
      </c>
      <c r="AF700">
        <f>V700</f>
        <v>168</v>
      </c>
      <c r="AG700" s="7">
        <v>12</v>
      </c>
      <c r="AH700">
        <f t="shared" si="104"/>
        <v>168</v>
      </c>
      <c r="AI700">
        <f t="shared" si="101"/>
        <v>0</v>
      </c>
      <c r="AK700">
        <f t="shared" si="105"/>
        <v>14</v>
      </c>
      <c r="AL700">
        <v>13.85</v>
      </c>
      <c r="AM700" t="s">
        <v>27</v>
      </c>
      <c r="AN700">
        <v>13.85</v>
      </c>
      <c r="AO700" t="b">
        <f t="shared" si="106"/>
        <v>1</v>
      </c>
      <c r="AR700" t="s">
        <v>5061</v>
      </c>
      <c r="AS700" s="21">
        <v>46276</v>
      </c>
      <c r="AT700" t="s">
        <v>5062</v>
      </c>
      <c r="AU700" t="s">
        <v>5072</v>
      </c>
      <c r="AV700" t="s">
        <v>5062</v>
      </c>
      <c r="AW700" t="s">
        <v>5086</v>
      </c>
    </row>
    <row r="701" spans="1:49" x14ac:dyDescent="0.35">
      <c r="A701" t="s">
        <v>871</v>
      </c>
      <c r="B701" t="s">
        <v>872</v>
      </c>
      <c r="C701" t="s">
        <v>4818</v>
      </c>
      <c r="D701" t="s">
        <v>18</v>
      </c>
      <c r="E701" t="s">
        <v>2573</v>
      </c>
      <c r="F701" t="s">
        <v>2574</v>
      </c>
      <c r="G701" t="s">
        <v>21</v>
      </c>
      <c r="H701" t="s">
        <v>4826</v>
      </c>
      <c r="I701" t="s">
        <v>4976</v>
      </c>
      <c r="J701" s="4" t="s">
        <v>4977</v>
      </c>
      <c r="K701" s="4" t="s">
        <v>4832</v>
      </c>
      <c r="L701" s="4" t="s">
        <v>4949</v>
      </c>
      <c r="M701" s="4" t="s">
        <v>5035</v>
      </c>
      <c r="N701" t="s">
        <v>15</v>
      </c>
      <c r="O701" t="s">
        <v>2575</v>
      </c>
      <c r="P701" t="s">
        <v>23</v>
      </c>
      <c r="Q701" t="s">
        <v>24</v>
      </c>
      <c r="R701" t="s">
        <v>25</v>
      </c>
      <c r="S701" t="s">
        <v>26</v>
      </c>
      <c r="T701" s="6">
        <v>46307</v>
      </c>
      <c r="U701">
        <v>144</v>
      </c>
      <c r="V701">
        <v>144</v>
      </c>
      <c r="W701">
        <v>132</v>
      </c>
      <c r="X701">
        <v>132</v>
      </c>
      <c r="Y701">
        <f t="shared" si="102"/>
        <v>0</v>
      </c>
      <c r="Z701">
        <f t="shared" si="103"/>
        <v>12</v>
      </c>
      <c r="AA701">
        <f>Z701</f>
        <v>12</v>
      </c>
      <c r="AC701" s="1">
        <v>0</v>
      </c>
      <c r="AF701">
        <f>X701</f>
        <v>132</v>
      </c>
      <c r="AG701" s="7">
        <v>12</v>
      </c>
      <c r="AH701">
        <f t="shared" si="104"/>
        <v>132</v>
      </c>
      <c r="AI701">
        <f t="shared" si="101"/>
        <v>12</v>
      </c>
      <c r="AK701">
        <f t="shared" si="105"/>
        <v>11</v>
      </c>
      <c r="AL701">
        <v>13.85</v>
      </c>
      <c r="AM701" t="s">
        <v>27</v>
      </c>
      <c r="AN701">
        <v>13.85</v>
      </c>
      <c r="AO701" t="b">
        <f t="shared" si="106"/>
        <v>1</v>
      </c>
      <c r="AR701" t="s">
        <v>5061</v>
      </c>
      <c r="AS701" s="21">
        <v>46276</v>
      </c>
      <c r="AT701" t="s">
        <v>5062</v>
      </c>
      <c r="AU701" t="s">
        <v>5072</v>
      </c>
      <c r="AV701" t="s">
        <v>5062</v>
      </c>
      <c r="AW701" t="s">
        <v>5086</v>
      </c>
    </row>
    <row r="702" spans="1:49" x14ac:dyDescent="0.35">
      <c r="A702" t="s">
        <v>871</v>
      </c>
      <c r="B702" t="s">
        <v>872</v>
      </c>
      <c r="C702" t="s">
        <v>4818</v>
      </c>
      <c r="D702" t="s">
        <v>18</v>
      </c>
      <c r="E702" t="s">
        <v>2576</v>
      </c>
      <c r="F702" t="s">
        <v>2577</v>
      </c>
      <c r="G702" t="s">
        <v>21</v>
      </c>
      <c r="H702" t="s">
        <v>4826</v>
      </c>
      <c r="I702" t="s">
        <v>4976</v>
      </c>
      <c r="J702" s="4" t="s">
        <v>4977</v>
      </c>
      <c r="K702" s="4" t="s">
        <v>4832</v>
      </c>
      <c r="L702" s="4" t="s">
        <v>4951</v>
      </c>
      <c r="M702" s="4" t="s">
        <v>5035</v>
      </c>
      <c r="N702" t="s">
        <v>15</v>
      </c>
      <c r="O702" t="s">
        <v>2578</v>
      </c>
      <c r="P702" t="s">
        <v>23</v>
      </c>
      <c r="Q702" t="s">
        <v>24</v>
      </c>
      <c r="R702" t="s">
        <v>25</v>
      </c>
      <c r="S702" t="s">
        <v>26</v>
      </c>
      <c r="T702" s="6">
        <v>46307</v>
      </c>
      <c r="U702">
        <v>96</v>
      </c>
      <c r="V702">
        <v>96</v>
      </c>
      <c r="W702">
        <v>108</v>
      </c>
      <c r="X702">
        <v>108</v>
      </c>
      <c r="Y702">
        <f t="shared" si="102"/>
        <v>0</v>
      </c>
      <c r="Z702">
        <f t="shared" si="103"/>
        <v>-12</v>
      </c>
      <c r="AC702" s="1">
        <v>0</v>
      </c>
      <c r="AF702">
        <f t="shared" ref="AF702:AF723" si="108">V702</f>
        <v>96</v>
      </c>
      <c r="AG702" s="7">
        <v>12</v>
      </c>
      <c r="AH702">
        <f t="shared" si="104"/>
        <v>96</v>
      </c>
      <c r="AI702">
        <f t="shared" si="101"/>
        <v>0</v>
      </c>
      <c r="AK702">
        <f t="shared" si="105"/>
        <v>8</v>
      </c>
      <c r="AL702">
        <v>13.85</v>
      </c>
      <c r="AM702" t="s">
        <v>27</v>
      </c>
      <c r="AN702">
        <v>13.85</v>
      </c>
      <c r="AO702" t="b">
        <f t="shared" si="106"/>
        <v>1</v>
      </c>
      <c r="AR702" t="s">
        <v>5061</v>
      </c>
      <c r="AS702" s="21">
        <v>46276</v>
      </c>
      <c r="AT702" t="s">
        <v>5062</v>
      </c>
      <c r="AU702" t="s">
        <v>5072</v>
      </c>
      <c r="AV702" t="s">
        <v>5062</v>
      </c>
      <c r="AW702" t="s">
        <v>5086</v>
      </c>
    </row>
    <row r="703" spans="1:49" x14ac:dyDescent="0.35">
      <c r="A703" t="s">
        <v>871</v>
      </c>
      <c r="B703" t="s">
        <v>872</v>
      </c>
      <c r="C703" t="s">
        <v>4818</v>
      </c>
      <c r="D703" t="s">
        <v>18</v>
      </c>
      <c r="E703" t="s">
        <v>2579</v>
      </c>
      <c r="F703" t="s">
        <v>2580</v>
      </c>
      <c r="G703" t="s">
        <v>21</v>
      </c>
      <c r="H703" t="s">
        <v>4826</v>
      </c>
      <c r="I703" t="s">
        <v>4976</v>
      </c>
      <c r="J703" s="4" t="s">
        <v>4977</v>
      </c>
      <c r="K703" s="4" t="s">
        <v>4832</v>
      </c>
      <c r="L703" s="4" t="s">
        <v>4950</v>
      </c>
      <c r="M703" s="4" t="s">
        <v>5035</v>
      </c>
      <c r="N703" t="s">
        <v>15</v>
      </c>
      <c r="O703" t="s">
        <v>2581</v>
      </c>
      <c r="P703" t="s">
        <v>23</v>
      </c>
      <c r="Q703" t="s">
        <v>24</v>
      </c>
      <c r="R703" t="s">
        <v>25</v>
      </c>
      <c r="S703" t="s">
        <v>26</v>
      </c>
      <c r="T703" s="6">
        <v>46307</v>
      </c>
      <c r="U703">
        <v>96</v>
      </c>
      <c r="V703">
        <v>96</v>
      </c>
      <c r="W703">
        <v>108</v>
      </c>
      <c r="X703">
        <v>108</v>
      </c>
      <c r="Y703">
        <f t="shared" si="102"/>
        <v>0</v>
      </c>
      <c r="Z703">
        <f t="shared" si="103"/>
        <v>-12</v>
      </c>
      <c r="AC703" s="1">
        <v>0</v>
      </c>
      <c r="AF703">
        <f t="shared" si="108"/>
        <v>96</v>
      </c>
      <c r="AG703" s="7">
        <v>12</v>
      </c>
      <c r="AH703">
        <f t="shared" si="104"/>
        <v>96</v>
      </c>
      <c r="AI703">
        <f t="shared" si="101"/>
        <v>0</v>
      </c>
      <c r="AK703">
        <f t="shared" si="105"/>
        <v>8</v>
      </c>
      <c r="AL703">
        <v>13.85</v>
      </c>
      <c r="AM703" t="s">
        <v>27</v>
      </c>
      <c r="AN703">
        <v>13.85</v>
      </c>
      <c r="AO703" t="b">
        <f t="shared" si="106"/>
        <v>1</v>
      </c>
      <c r="AR703" t="s">
        <v>5061</v>
      </c>
      <c r="AS703" s="21">
        <v>46276</v>
      </c>
      <c r="AT703" t="s">
        <v>5062</v>
      </c>
      <c r="AU703" t="s">
        <v>5072</v>
      </c>
      <c r="AV703" t="s">
        <v>5062</v>
      </c>
      <c r="AW703" t="s">
        <v>5086</v>
      </c>
    </row>
    <row r="704" spans="1:49" x14ac:dyDescent="0.35">
      <c r="A704" t="s">
        <v>871</v>
      </c>
      <c r="B704" t="s">
        <v>872</v>
      </c>
      <c r="C704" t="s">
        <v>4818</v>
      </c>
      <c r="D704" t="s">
        <v>18</v>
      </c>
      <c r="E704" t="s">
        <v>2582</v>
      </c>
      <c r="F704" t="s">
        <v>2583</v>
      </c>
      <c r="G704" t="s">
        <v>21</v>
      </c>
      <c r="H704" t="s">
        <v>4826</v>
      </c>
      <c r="I704" t="s">
        <v>4976</v>
      </c>
      <c r="J704" s="4" t="s">
        <v>4977</v>
      </c>
      <c r="K704" s="4" t="s">
        <v>4957</v>
      </c>
      <c r="L704" s="4" t="s">
        <v>4954</v>
      </c>
      <c r="M704" s="4" t="s">
        <v>5035</v>
      </c>
      <c r="N704" t="s">
        <v>15</v>
      </c>
      <c r="O704" t="s">
        <v>2584</v>
      </c>
      <c r="P704" t="s">
        <v>23</v>
      </c>
      <c r="Q704" t="s">
        <v>24</v>
      </c>
      <c r="R704" t="s">
        <v>25</v>
      </c>
      <c r="S704" t="s">
        <v>26</v>
      </c>
      <c r="T704" s="6">
        <v>46307</v>
      </c>
      <c r="U704">
        <v>12</v>
      </c>
      <c r="V704">
        <v>12</v>
      </c>
      <c r="W704">
        <v>12</v>
      </c>
      <c r="X704">
        <v>12</v>
      </c>
      <c r="Y704">
        <f t="shared" si="102"/>
        <v>0</v>
      </c>
      <c r="Z704">
        <f t="shared" si="103"/>
        <v>0</v>
      </c>
      <c r="AC704" s="1">
        <v>0</v>
      </c>
      <c r="AF704">
        <f t="shared" si="108"/>
        <v>12</v>
      </c>
      <c r="AG704" s="7">
        <v>12</v>
      </c>
      <c r="AH704">
        <f t="shared" si="104"/>
        <v>12</v>
      </c>
      <c r="AI704">
        <f t="shared" si="101"/>
        <v>0</v>
      </c>
      <c r="AK704">
        <f t="shared" si="105"/>
        <v>1</v>
      </c>
      <c r="AL704">
        <v>13.85</v>
      </c>
      <c r="AM704" t="s">
        <v>27</v>
      </c>
      <c r="AN704">
        <v>13.85</v>
      </c>
      <c r="AO704" t="b">
        <f t="shared" si="106"/>
        <v>1</v>
      </c>
      <c r="AR704" t="s">
        <v>5061</v>
      </c>
      <c r="AS704" s="21">
        <v>46276</v>
      </c>
      <c r="AT704" t="s">
        <v>5062</v>
      </c>
      <c r="AU704" t="s">
        <v>5072</v>
      </c>
      <c r="AV704" t="s">
        <v>5062</v>
      </c>
      <c r="AW704" t="s">
        <v>5086</v>
      </c>
    </row>
    <row r="705" spans="1:49" x14ac:dyDescent="0.35">
      <c r="A705" t="s">
        <v>871</v>
      </c>
      <c r="B705" t="s">
        <v>872</v>
      </c>
      <c r="C705" t="s">
        <v>4818</v>
      </c>
      <c r="D705" t="s">
        <v>18</v>
      </c>
      <c r="E705" t="s">
        <v>2585</v>
      </c>
      <c r="F705" t="s">
        <v>2586</v>
      </c>
      <c r="G705" t="s">
        <v>21</v>
      </c>
      <c r="H705" t="s">
        <v>4826</v>
      </c>
      <c r="I705" t="s">
        <v>4976</v>
      </c>
      <c r="J705" s="4" t="s">
        <v>4977</v>
      </c>
      <c r="K705" s="4" t="s">
        <v>4978</v>
      </c>
      <c r="L705" s="4" t="s">
        <v>4940</v>
      </c>
      <c r="M705" s="4" t="s">
        <v>5035</v>
      </c>
      <c r="N705" t="s">
        <v>15</v>
      </c>
      <c r="O705" t="s">
        <v>2587</v>
      </c>
      <c r="P705" t="s">
        <v>23</v>
      </c>
      <c r="Q705" t="s">
        <v>24</v>
      </c>
      <c r="R705" t="s">
        <v>25</v>
      </c>
      <c r="S705" t="s">
        <v>26</v>
      </c>
      <c r="T705" s="6">
        <v>46307</v>
      </c>
      <c r="U705">
        <v>24</v>
      </c>
      <c r="V705">
        <v>24</v>
      </c>
      <c r="W705">
        <v>24</v>
      </c>
      <c r="X705">
        <v>24</v>
      </c>
      <c r="Y705">
        <f t="shared" si="102"/>
        <v>0</v>
      </c>
      <c r="Z705">
        <f t="shared" si="103"/>
        <v>0</v>
      </c>
      <c r="AC705" s="1">
        <v>0</v>
      </c>
      <c r="AF705">
        <f t="shared" si="108"/>
        <v>24</v>
      </c>
      <c r="AG705" s="7">
        <v>12</v>
      </c>
      <c r="AH705">
        <f t="shared" si="104"/>
        <v>24</v>
      </c>
      <c r="AI705">
        <f t="shared" si="101"/>
        <v>0</v>
      </c>
      <c r="AK705">
        <f t="shared" si="105"/>
        <v>2</v>
      </c>
      <c r="AL705">
        <v>13.85</v>
      </c>
      <c r="AM705" t="s">
        <v>27</v>
      </c>
      <c r="AN705">
        <v>13.85</v>
      </c>
      <c r="AO705" t="b">
        <f t="shared" si="106"/>
        <v>1</v>
      </c>
      <c r="AR705" t="s">
        <v>5061</v>
      </c>
      <c r="AS705" s="21">
        <v>46276</v>
      </c>
      <c r="AT705" t="s">
        <v>5062</v>
      </c>
      <c r="AU705" t="s">
        <v>5072</v>
      </c>
      <c r="AV705" t="s">
        <v>5062</v>
      </c>
      <c r="AW705" t="s">
        <v>5086</v>
      </c>
    </row>
    <row r="706" spans="1:49" x14ac:dyDescent="0.35">
      <c r="A706" t="s">
        <v>871</v>
      </c>
      <c r="B706" t="s">
        <v>872</v>
      </c>
      <c r="C706" t="s">
        <v>4818</v>
      </c>
      <c r="D706" t="s">
        <v>18</v>
      </c>
      <c r="E706" t="s">
        <v>2588</v>
      </c>
      <c r="F706" t="s">
        <v>2589</v>
      </c>
      <c r="G706" t="s">
        <v>21</v>
      </c>
      <c r="H706" t="s">
        <v>4826</v>
      </c>
      <c r="I706" t="s">
        <v>4976</v>
      </c>
      <c r="J706" s="4" t="s">
        <v>4977</v>
      </c>
      <c r="K706" s="4" t="s">
        <v>4957</v>
      </c>
      <c r="L706" s="4" t="s">
        <v>4950</v>
      </c>
      <c r="M706" s="4" t="s">
        <v>5035</v>
      </c>
      <c r="N706" t="s">
        <v>15</v>
      </c>
      <c r="O706" t="s">
        <v>2590</v>
      </c>
      <c r="P706" t="s">
        <v>23</v>
      </c>
      <c r="Q706" t="s">
        <v>24</v>
      </c>
      <c r="R706" t="s">
        <v>25</v>
      </c>
      <c r="S706" t="s">
        <v>26</v>
      </c>
      <c r="T706" s="6">
        <v>46307</v>
      </c>
      <c r="U706">
        <v>12</v>
      </c>
      <c r="V706">
        <v>12</v>
      </c>
      <c r="W706">
        <v>12</v>
      </c>
      <c r="X706">
        <v>12</v>
      </c>
      <c r="Y706">
        <f t="shared" si="102"/>
        <v>0</v>
      </c>
      <c r="Z706">
        <f t="shared" si="103"/>
        <v>0</v>
      </c>
      <c r="AC706" s="1">
        <v>0</v>
      </c>
      <c r="AF706">
        <f t="shared" si="108"/>
        <v>12</v>
      </c>
      <c r="AG706" s="7">
        <v>12</v>
      </c>
      <c r="AH706">
        <f t="shared" si="104"/>
        <v>12</v>
      </c>
      <c r="AI706">
        <f t="shared" si="101"/>
        <v>0</v>
      </c>
      <c r="AK706">
        <f t="shared" si="105"/>
        <v>1</v>
      </c>
      <c r="AL706">
        <v>13.85</v>
      </c>
      <c r="AM706" t="s">
        <v>27</v>
      </c>
      <c r="AN706">
        <v>13.85</v>
      </c>
      <c r="AO706" t="b">
        <f t="shared" si="106"/>
        <v>1</v>
      </c>
      <c r="AR706" t="s">
        <v>5061</v>
      </c>
      <c r="AS706" s="21">
        <v>46276</v>
      </c>
      <c r="AT706" t="s">
        <v>5062</v>
      </c>
      <c r="AU706" t="s">
        <v>5072</v>
      </c>
      <c r="AV706" t="s">
        <v>5062</v>
      </c>
      <c r="AW706" t="s">
        <v>5086</v>
      </c>
    </row>
    <row r="707" spans="1:49" x14ac:dyDescent="0.35">
      <c r="A707" t="s">
        <v>871</v>
      </c>
      <c r="B707" t="s">
        <v>872</v>
      </c>
      <c r="C707" t="s">
        <v>4818</v>
      </c>
      <c r="D707" t="s">
        <v>18</v>
      </c>
      <c r="E707" t="s">
        <v>2591</v>
      </c>
      <c r="F707" t="s">
        <v>2592</v>
      </c>
      <c r="G707" t="s">
        <v>21</v>
      </c>
      <c r="H707" t="s">
        <v>4826</v>
      </c>
      <c r="I707" t="s">
        <v>4976</v>
      </c>
      <c r="J707" s="4" t="s">
        <v>4977</v>
      </c>
      <c r="K707" s="4" t="s">
        <v>4831</v>
      </c>
      <c r="L707" s="4" t="s">
        <v>4973</v>
      </c>
      <c r="M707" s="4" t="s">
        <v>5035</v>
      </c>
      <c r="N707" t="s">
        <v>15</v>
      </c>
      <c r="O707" t="s">
        <v>2593</v>
      </c>
      <c r="P707" t="s">
        <v>23</v>
      </c>
      <c r="Q707" t="s">
        <v>24</v>
      </c>
      <c r="R707" t="s">
        <v>25</v>
      </c>
      <c r="S707" t="s">
        <v>26</v>
      </c>
      <c r="T707" s="6">
        <v>46307</v>
      </c>
      <c r="U707">
        <v>48</v>
      </c>
      <c r="V707">
        <v>48</v>
      </c>
      <c r="W707">
        <v>48</v>
      </c>
      <c r="X707">
        <v>48</v>
      </c>
      <c r="Y707">
        <f t="shared" si="102"/>
        <v>0</v>
      </c>
      <c r="Z707">
        <f t="shared" si="103"/>
        <v>0</v>
      </c>
      <c r="AC707" s="1">
        <v>0</v>
      </c>
      <c r="AF707">
        <f t="shared" si="108"/>
        <v>48</v>
      </c>
      <c r="AG707" s="7">
        <v>12</v>
      </c>
      <c r="AH707">
        <f t="shared" si="104"/>
        <v>48</v>
      </c>
      <c r="AI707">
        <f t="shared" ref="AI707:AI770" si="109">V707-AH707</f>
        <v>0</v>
      </c>
      <c r="AK707">
        <f t="shared" si="105"/>
        <v>4</v>
      </c>
      <c r="AL707">
        <v>13.85</v>
      </c>
      <c r="AM707" t="s">
        <v>27</v>
      </c>
      <c r="AN707">
        <v>13.85</v>
      </c>
      <c r="AO707" t="b">
        <f t="shared" si="106"/>
        <v>1</v>
      </c>
      <c r="AR707" t="s">
        <v>5061</v>
      </c>
      <c r="AS707" s="21">
        <v>46276</v>
      </c>
      <c r="AT707" t="s">
        <v>5062</v>
      </c>
      <c r="AU707" t="s">
        <v>5072</v>
      </c>
      <c r="AV707" t="s">
        <v>5062</v>
      </c>
      <c r="AW707" t="s">
        <v>5086</v>
      </c>
    </row>
    <row r="708" spans="1:49" x14ac:dyDescent="0.35">
      <c r="A708" t="s">
        <v>871</v>
      </c>
      <c r="B708" t="s">
        <v>872</v>
      </c>
      <c r="C708" t="s">
        <v>4818</v>
      </c>
      <c r="D708" t="s">
        <v>18</v>
      </c>
      <c r="E708" t="s">
        <v>2594</v>
      </c>
      <c r="F708" t="s">
        <v>2595</v>
      </c>
      <c r="G708" t="s">
        <v>21</v>
      </c>
      <c r="H708" t="s">
        <v>4826</v>
      </c>
      <c r="I708" t="s">
        <v>4976</v>
      </c>
      <c r="J708" s="4" t="s">
        <v>4977</v>
      </c>
      <c r="K708" s="4" t="s">
        <v>4837</v>
      </c>
      <c r="L708" s="4" t="s">
        <v>4939</v>
      </c>
      <c r="M708" s="4" t="s">
        <v>5035</v>
      </c>
      <c r="N708" t="s">
        <v>15</v>
      </c>
      <c r="O708" t="s">
        <v>2596</v>
      </c>
      <c r="P708" t="s">
        <v>23</v>
      </c>
      <c r="Q708" t="s">
        <v>24</v>
      </c>
      <c r="R708" t="s">
        <v>25</v>
      </c>
      <c r="S708" t="s">
        <v>26</v>
      </c>
      <c r="T708" s="6">
        <v>46307</v>
      </c>
      <c r="U708">
        <v>96</v>
      </c>
      <c r="V708">
        <v>96</v>
      </c>
      <c r="W708">
        <v>108</v>
      </c>
      <c r="X708">
        <v>108</v>
      </c>
      <c r="Y708">
        <f t="shared" ref="Y708:Y771" si="110">W708-X708</f>
        <v>0</v>
      </c>
      <c r="Z708">
        <f t="shared" ref="Z708:Z771" si="111">V708-X708</f>
        <v>-12</v>
      </c>
      <c r="AC708" s="1">
        <v>0</v>
      </c>
      <c r="AF708">
        <f t="shared" si="108"/>
        <v>96</v>
      </c>
      <c r="AG708" s="7">
        <v>12</v>
      </c>
      <c r="AH708">
        <f t="shared" ref="AH708:AH771" si="112">ROUNDUP(AF708/AG708,0)*AG708</f>
        <v>96</v>
      </c>
      <c r="AI708">
        <f t="shared" si="109"/>
        <v>0</v>
      </c>
      <c r="AK708">
        <f t="shared" ref="AK708:AK771" si="113">AH708/AG708</f>
        <v>8</v>
      </c>
      <c r="AL708">
        <v>13.85</v>
      </c>
      <c r="AM708" t="s">
        <v>27</v>
      </c>
      <c r="AN708">
        <v>13.85</v>
      </c>
      <c r="AO708" t="b">
        <f t="shared" ref="AO708:AO771" si="114">AL708=AN708</f>
        <v>1</v>
      </c>
      <c r="AR708" t="s">
        <v>5061</v>
      </c>
      <c r="AS708" s="21">
        <v>46276</v>
      </c>
      <c r="AT708" t="s">
        <v>5062</v>
      </c>
      <c r="AU708" t="s">
        <v>5072</v>
      </c>
      <c r="AV708" t="s">
        <v>5062</v>
      </c>
      <c r="AW708" t="s">
        <v>5086</v>
      </c>
    </row>
    <row r="709" spans="1:49" x14ac:dyDescent="0.35">
      <c r="A709" t="s">
        <v>871</v>
      </c>
      <c r="B709" t="s">
        <v>872</v>
      </c>
      <c r="C709" t="s">
        <v>4818</v>
      </c>
      <c r="D709" t="s">
        <v>18</v>
      </c>
      <c r="E709" t="s">
        <v>2597</v>
      </c>
      <c r="F709" t="s">
        <v>2598</v>
      </c>
      <c r="G709" t="s">
        <v>21</v>
      </c>
      <c r="H709" t="s">
        <v>4826</v>
      </c>
      <c r="I709" t="s">
        <v>4976</v>
      </c>
      <c r="J709" s="4" t="s">
        <v>4977</v>
      </c>
      <c r="K709" s="4" t="s">
        <v>4978</v>
      </c>
      <c r="L709" s="4" t="s">
        <v>4947</v>
      </c>
      <c r="M709" s="4" t="s">
        <v>5035</v>
      </c>
      <c r="N709" t="s">
        <v>15</v>
      </c>
      <c r="O709" t="s">
        <v>2599</v>
      </c>
      <c r="P709" t="s">
        <v>23</v>
      </c>
      <c r="Q709" t="s">
        <v>24</v>
      </c>
      <c r="R709" t="s">
        <v>25</v>
      </c>
      <c r="S709" t="s">
        <v>26</v>
      </c>
      <c r="T709" s="6">
        <v>46307</v>
      </c>
      <c r="U709">
        <v>12</v>
      </c>
      <c r="V709">
        <v>12</v>
      </c>
      <c r="W709">
        <v>12</v>
      </c>
      <c r="X709">
        <v>12</v>
      </c>
      <c r="Y709">
        <f t="shared" si="110"/>
        <v>0</v>
      </c>
      <c r="Z709">
        <f t="shared" si="111"/>
        <v>0</v>
      </c>
      <c r="AC709" s="1">
        <v>0</v>
      </c>
      <c r="AF709">
        <f t="shared" si="108"/>
        <v>12</v>
      </c>
      <c r="AG709" s="7">
        <v>12</v>
      </c>
      <c r="AH709">
        <f t="shared" si="112"/>
        <v>12</v>
      </c>
      <c r="AI709">
        <f t="shared" si="109"/>
        <v>0</v>
      </c>
      <c r="AK709">
        <f t="shared" si="113"/>
        <v>1</v>
      </c>
      <c r="AL709">
        <v>13.85</v>
      </c>
      <c r="AM709" t="s">
        <v>27</v>
      </c>
      <c r="AN709">
        <v>13.85</v>
      </c>
      <c r="AO709" t="b">
        <f t="shared" si="114"/>
        <v>1</v>
      </c>
      <c r="AR709" t="s">
        <v>5061</v>
      </c>
      <c r="AS709" s="21">
        <v>46276</v>
      </c>
      <c r="AT709" t="s">
        <v>5062</v>
      </c>
      <c r="AU709" t="s">
        <v>5072</v>
      </c>
      <c r="AV709" t="s">
        <v>5062</v>
      </c>
      <c r="AW709" t="s">
        <v>5086</v>
      </c>
    </row>
    <row r="710" spans="1:49" x14ac:dyDescent="0.35">
      <c r="A710" t="s">
        <v>871</v>
      </c>
      <c r="B710" t="s">
        <v>872</v>
      </c>
      <c r="C710" t="s">
        <v>4818</v>
      </c>
      <c r="D710" t="s">
        <v>18</v>
      </c>
      <c r="E710" t="s">
        <v>2600</v>
      </c>
      <c r="F710" t="s">
        <v>2601</v>
      </c>
      <c r="G710" t="s">
        <v>21</v>
      </c>
      <c r="H710" t="s">
        <v>4826</v>
      </c>
      <c r="I710" t="s">
        <v>4976</v>
      </c>
      <c r="J710" s="4" t="s">
        <v>4977</v>
      </c>
      <c r="K710" s="4" t="s">
        <v>4957</v>
      </c>
      <c r="L710" s="4" t="s">
        <v>4941</v>
      </c>
      <c r="M710" s="4" t="s">
        <v>5035</v>
      </c>
      <c r="N710" t="s">
        <v>15</v>
      </c>
      <c r="O710" t="s">
        <v>2602</v>
      </c>
      <c r="P710" t="s">
        <v>23</v>
      </c>
      <c r="Q710" t="s">
        <v>24</v>
      </c>
      <c r="R710" t="s">
        <v>25</v>
      </c>
      <c r="S710" t="s">
        <v>26</v>
      </c>
      <c r="T710" s="6">
        <v>46307</v>
      </c>
      <c r="U710">
        <v>24</v>
      </c>
      <c r="V710">
        <v>24</v>
      </c>
      <c r="W710">
        <v>24</v>
      </c>
      <c r="X710">
        <v>24</v>
      </c>
      <c r="Y710">
        <f t="shared" si="110"/>
        <v>0</v>
      </c>
      <c r="Z710">
        <f t="shared" si="111"/>
        <v>0</v>
      </c>
      <c r="AC710" s="1">
        <v>0</v>
      </c>
      <c r="AF710">
        <f t="shared" si="108"/>
        <v>24</v>
      </c>
      <c r="AG710" s="7">
        <v>12</v>
      </c>
      <c r="AH710">
        <f t="shared" si="112"/>
        <v>24</v>
      </c>
      <c r="AI710">
        <f t="shared" si="109"/>
        <v>0</v>
      </c>
      <c r="AK710">
        <f t="shared" si="113"/>
        <v>2</v>
      </c>
      <c r="AL710">
        <v>13.85</v>
      </c>
      <c r="AM710" t="s">
        <v>27</v>
      </c>
      <c r="AN710">
        <v>13.85</v>
      </c>
      <c r="AO710" t="b">
        <f t="shared" si="114"/>
        <v>1</v>
      </c>
      <c r="AR710" t="s">
        <v>5061</v>
      </c>
      <c r="AS710" s="21">
        <v>46276</v>
      </c>
      <c r="AT710" t="s">
        <v>5062</v>
      </c>
      <c r="AU710" t="s">
        <v>5072</v>
      </c>
      <c r="AV710" t="s">
        <v>5062</v>
      </c>
      <c r="AW710" t="s">
        <v>5086</v>
      </c>
    </row>
    <row r="711" spans="1:49" x14ac:dyDescent="0.35">
      <c r="A711" t="s">
        <v>871</v>
      </c>
      <c r="B711" t="s">
        <v>872</v>
      </c>
      <c r="C711" t="s">
        <v>4818</v>
      </c>
      <c r="D711" t="s">
        <v>18</v>
      </c>
      <c r="E711" t="s">
        <v>2603</v>
      </c>
      <c r="F711" t="s">
        <v>2604</v>
      </c>
      <c r="G711" t="s">
        <v>21</v>
      </c>
      <c r="H711" t="s">
        <v>4826</v>
      </c>
      <c r="I711" t="s">
        <v>4976</v>
      </c>
      <c r="J711" s="4" t="s">
        <v>4977</v>
      </c>
      <c r="K711" s="4" t="s">
        <v>4837</v>
      </c>
      <c r="L711" s="4" t="s">
        <v>4947</v>
      </c>
      <c r="M711" s="4" t="s">
        <v>5035</v>
      </c>
      <c r="N711" t="s">
        <v>15</v>
      </c>
      <c r="O711" t="s">
        <v>2605</v>
      </c>
      <c r="P711" t="s">
        <v>23</v>
      </c>
      <c r="Q711" t="s">
        <v>24</v>
      </c>
      <c r="R711" t="s">
        <v>25</v>
      </c>
      <c r="S711" t="s">
        <v>26</v>
      </c>
      <c r="T711" s="6">
        <v>46307</v>
      </c>
      <c r="U711">
        <v>12</v>
      </c>
      <c r="V711">
        <v>12</v>
      </c>
      <c r="W711">
        <v>12</v>
      </c>
      <c r="X711">
        <v>12</v>
      </c>
      <c r="Y711">
        <f t="shared" si="110"/>
        <v>0</v>
      </c>
      <c r="Z711">
        <f t="shared" si="111"/>
        <v>0</v>
      </c>
      <c r="AC711" s="1">
        <v>0</v>
      </c>
      <c r="AF711">
        <f t="shared" si="108"/>
        <v>12</v>
      </c>
      <c r="AG711" s="7">
        <v>12</v>
      </c>
      <c r="AH711">
        <f t="shared" si="112"/>
        <v>12</v>
      </c>
      <c r="AI711">
        <f t="shared" si="109"/>
        <v>0</v>
      </c>
      <c r="AK711">
        <f t="shared" si="113"/>
        <v>1</v>
      </c>
      <c r="AL711">
        <v>13.85</v>
      </c>
      <c r="AM711" t="s">
        <v>27</v>
      </c>
      <c r="AN711">
        <v>13.85</v>
      </c>
      <c r="AO711" t="b">
        <f t="shared" si="114"/>
        <v>1</v>
      </c>
      <c r="AR711" t="s">
        <v>5061</v>
      </c>
      <c r="AS711" s="21">
        <v>46276</v>
      </c>
      <c r="AT711" t="s">
        <v>5062</v>
      </c>
      <c r="AU711" t="s">
        <v>5072</v>
      </c>
      <c r="AV711" t="s">
        <v>5062</v>
      </c>
      <c r="AW711" t="s">
        <v>5086</v>
      </c>
    </row>
    <row r="712" spans="1:49" x14ac:dyDescent="0.35">
      <c r="A712" t="s">
        <v>871</v>
      </c>
      <c r="B712" t="s">
        <v>872</v>
      </c>
      <c r="C712" t="s">
        <v>4818</v>
      </c>
      <c r="D712" t="s">
        <v>18</v>
      </c>
      <c r="E712" t="s">
        <v>2606</v>
      </c>
      <c r="F712" t="s">
        <v>2607</v>
      </c>
      <c r="G712" t="s">
        <v>21</v>
      </c>
      <c r="H712" t="s">
        <v>4826</v>
      </c>
      <c r="I712" t="s">
        <v>4976</v>
      </c>
      <c r="J712" s="4" t="s">
        <v>4977</v>
      </c>
      <c r="K712" s="4" t="s">
        <v>4837</v>
      </c>
      <c r="L712" s="4" t="s">
        <v>4942</v>
      </c>
      <c r="M712" s="4" t="s">
        <v>5035</v>
      </c>
      <c r="N712" t="s">
        <v>15</v>
      </c>
      <c r="O712" t="s">
        <v>2608</v>
      </c>
      <c r="P712" t="s">
        <v>23</v>
      </c>
      <c r="Q712" t="s">
        <v>24</v>
      </c>
      <c r="R712" t="s">
        <v>25</v>
      </c>
      <c r="S712" t="s">
        <v>26</v>
      </c>
      <c r="T712" s="6">
        <v>46307</v>
      </c>
      <c r="U712">
        <v>36</v>
      </c>
      <c r="V712">
        <v>36</v>
      </c>
      <c r="W712">
        <v>36</v>
      </c>
      <c r="X712">
        <v>36</v>
      </c>
      <c r="Y712">
        <f t="shared" si="110"/>
        <v>0</v>
      </c>
      <c r="Z712">
        <f t="shared" si="111"/>
        <v>0</v>
      </c>
      <c r="AC712" s="1">
        <v>0</v>
      </c>
      <c r="AF712">
        <f t="shared" si="108"/>
        <v>36</v>
      </c>
      <c r="AG712" s="7">
        <v>12</v>
      </c>
      <c r="AH712">
        <f t="shared" si="112"/>
        <v>36</v>
      </c>
      <c r="AI712">
        <f t="shared" si="109"/>
        <v>0</v>
      </c>
      <c r="AK712">
        <f t="shared" si="113"/>
        <v>3</v>
      </c>
      <c r="AL712">
        <v>13.85</v>
      </c>
      <c r="AM712" t="s">
        <v>27</v>
      </c>
      <c r="AN712">
        <v>13.85</v>
      </c>
      <c r="AO712" t="b">
        <f t="shared" si="114"/>
        <v>1</v>
      </c>
      <c r="AR712" t="s">
        <v>5061</v>
      </c>
      <c r="AS712" s="21">
        <v>46276</v>
      </c>
      <c r="AT712" t="s">
        <v>5062</v>
      </c>
      <c r="AU712" t="s">
        <v>5072</v>
      </c>
      <c r="AV712" t="s">
        <v>5062</v>
      </c>
      <c r="AW712" t="s">
        <v>5086</v>
      </c>
    </row>
    <row r="713" spans="1:49" x14ac:dyDescent="0.35">
      <c r="A713" t="s">
        <v>871</v>
      </c>
      <c r="B713" t="s">
        <v>872</v>
      </c>
      <c r="C713" t="s">
        <v>4818</v>
      </c>
      <c r="D713" t="s">
        <v>18</v>
      </c>
      <c r="E713" t="s">
        <v>2609</v>
      </c>
      <c r="F713" t="s">
        <v>2610</v>
      </c>
      <c r="G713" t="s">
        <v>21</v>
      </c>
      <c r="H713" t="s">
        <v>4826</v>
      </c>
      <c r="I713" t="s">
        <v>4976</v>
      </c>
      <c r="J713" s="4" t="s">
        <v>4977</v>
      </c>
      <c r="K713" s="4" t="s">
        <v>4978</v>
      </c>
      <c r="L713" s="4" t="s">
        <v>4938</v>
      </c>
      <c r="M713" s="4" t="s">
        <v>5035</v>
      </c>
      <c r="N713" t="s">
        <v>15</v>
      </c>
      <c r="O713" t="s">
        <v>2611</v>
      </c>
      <c r="P713" t="s">
        <v>23</v>
      </c>
      <c r="Q713" t="s">
        <v>24</v>
      </c>
      <c r="R713" t="s">
        <v>25</v>
      </c>
      <c r="S713" t="s">
        <v>26</v>
      </c>
      <c r="T713" s="6">
        <v>46307</v>
      </c>
      <c r="U713">
        <v>108</v>
      </c>
      <c r="V713">
        <v>108</v>
      </c>
      <c r="W713">
        <v>120</v>
      </c>
      <c r="X713">
        <v>120</v>
      </c>
      <c r="Y713">
        <f t="shared" si="110"/>
        <v>0</v>
      </c>
      <c r="Z713">
        <f t="shared" si="111"/>
        <v>-12</v>
      </c>
      <c r="AC713" s="1">
        <v>0</v>
      </c>
      <c r="AF713">
        <f t="shared" si="108"/>
        <v>108</v>
      </c>
      <c r="AG713" s="7">
        <v>12</v>
      </c>
      <c r="AH713">
        <f t="shared" si="112"/>
        <v>108</v>
      </c>
      <c r="AI713">
        <f t="shared" si="109"/>
        <v>0</v>
      </c>
      <c r="AK713">
        <f t="shared" si="113"/>
        <v>9</v>
      </c>
      <c r="AL713">
        <v>13.85</v>
      </c>
      <c r="AM713" t="s">
        <v>27</v>
      </c>
      <c r="AN713">
        <v>13.85</v>
      </c>
      <c r="AO713" t="b">
        <f t="shared" si="114"/>
        <v>1</v>
      </c>
      <c r="AR713" t="s">
        <v>5061</v>
      </c>
      <c r="AS713" s="21">
        <v>46276</v>
      </c>
      <c r="AT713" t="s">
        <v>5062</v>
      </c>
      <c r="AU713" t="s">
        <v>5072</v>
      </c>
      <c r="AV713" t="s">
        <v>5062</v>
      </c>
      <c r="AW713" t="s">
        <v>5086</v>
      </c>
    </row>
    <row r="714" spans="1:49" x14ac:dyDescent="0.35">
      <c r="A714" t="s">
        <v>871</v>
      </c>
      <c r="B714" t="s">
        <v>872</v>
      </c>
      <c r="C714" t="s">
        <v>4818</v>
      </c>
      <c r="D714" t="s">
        <v>18</v>
      </c>
      <c r="E714" t="s">
        <v>2612</v>
      </c>
      <c r="F714" t="s">
        <v>2613</v>
      </c>
      <c r="G714" t="s">
        <v>21</v>
      </c>
      <c r="H714" t="s">
        <v>4826</v>
      </c>
      <c r="I714" t="s">
        <v>4976</v>
      </c>
      <c r="J714" s="4" t="s">
        <v>4977</v>
      </c>
      <c r="K714" s="4" t="s">
        <v>4832</v>
      </c>
      <c r="L714" s="4" t="s">
        <v>4944</v>
      </c>
      <c r="M714" s="4" t="s">
        <v>5035</v>
      </c>
      <c r="N714" t="s">
        <v>15</v>
      </c>
      <c r="O714" t="s">
        <v>2614</v>
      </c>
      <c r="P714" t="s">
        <v>23</v>
      </c>
      <c r="Q714" t="s">
        <v>24</v>
      </c>
      <c r="R714" t="s">
        <v>25</v>
      </c>
      <c r="S714" t="s">
        <v>26</v>
      </c>
      <c r="T714" s="6">
        <v>46307</v>
      </c>
      <c r="U714">
        <v>24</v>
      </c>
      <c r="V714">
        <v>24</v>
      </c>
      <c r="W714">
        <v>24</v>
      </c>
      <c r="X714">
        <v>24</v>
      </c>
      <c r="Y714">
        <f t="shared" si="110"/>
        <v>0</v>
      </c>
      <c r="Z714">
        <f t="shared" si="111"/>
        <v>0</v>
      </c>
      <c r="AC714" s="1">
        <v>0</v>
      </c>
      <c r="AF714">
        <f t="shared" si="108"/>
        <v>24</v>
      </c>
      <c r="AG714" s="7">
        <v>12</v>
      </c>
      <c r="AH714">
        <f t="shared" si="112"/>
        <v>24</v>
      </c>
      <c r="AI714">
        <f t="shared" si="109"/>
        <v>0</v>
      </c>
      <c r="AK714">
        <f t="shared" si="113"/>
        <v>2</v>
      </c>
      <c r="AL714">
        <v>13.85</v>
      </c>
      <c r="AM714" t="s">
        <v>27</v>
      </c>
      <c r="AN714">
        <v>13.85</v>
      </c>
      <c r="AO714" t="b">
        <f t="shared" si="114"/>
        <v>1</v>
      </c>
      <c r="AR714" t="s">
        <v>5061</v>
      </c>
      <c r="AS714" s="21">
        <v>46276</v>
      </c>
      <c r="AT714" t="s">
        <v>5062</v>
      </c>
      <c r="AU714" t="s">
        <v>5072</v>
      </c>
      <c r="AV714" t="s">
        <v>5062</v>
      </c>
      <c r="AW714" t="s">
        <v>5086</v>
      </c>
    </row>
    <row r="715" spans="1:49" x14ac:dyDescent="0.35">
      <c r="A715" t="s">
        <v>871</v>
      </c>
      <c r="B715" t="s">
        <v>872</v>
      </c>
      <c r="C715" t="s">
        <v>4818</v>
      </c>
      <c r="D715" t="s">
        <v>18</v>
      </c>
      <c r="E715" t="s">
        <v>2615</v>
      </c>
      <c r="F715" t="s">
        <v>2616</v>
      </c>
      <c r="G715" t="s">
        <v>21</v>
      </c>
      <c r="H715" t="s">
        <v>4826</v>
      </c>
      <c r="I715" t="s">
        <v>4976</v>
      </c>
      <c r="J715" s="4" t="s">
        <v>4977</v>
      </c>
      <c r="K715" s="4" t="s">
        <v>4957</v>
      </c>
      <c r="L715" s="4" t="s">
        <v>4939</v>
      </c>
      <c r="M715" s="4" t="s">
        <v>5035</v>
      </c>
      <c r="N715" t="s">
        <v>15</v>
      </c>
      <c r="O715" t="s">
        <v>2617</v>
      </c>
      <c r="P715" t="s">
        <v>23</v>
      </c>
      <c r="Q715" t="s">
        <v>24</v>
      </c>
      <c r="R715" t="s">
        <v>25</v>
      </c>
      <c r="S715" t="s">
        <v>26</v>
      </c>
      <c r="T715" s="6">
        <v>46307</v>
      </c>
      <c r="U715">
        <v>12</v>
      </c>
      <c r="V715">
        <v>12</v>
      </c>
      <c r="W715">
        <v>12</v>
      </c>
      <c r="X715">
        <v>12</v>
      </c>
      <c r="Y715">
        <f t="shared" si="110"/>
        <v>0</v>
      </c>
      <c r="Z715">
        <f t="shared" si="111"/>
        <v>0</v>
      </c>
      <c r="AC715" s="1">
        <v>0</v>
      </c>
      <c r="AF715">
        <f t="shared" si="108"/>
        <v>12</v>
      </c>
      <c r="AG715" s="7">
        <v>12</v>
      </c>
      <c r="AH715">
        <f t="shared" si="112"/>
        <v>12</v>
      </c>
      <c r="AI715">
        <f t="shared" si="109"/>
        <v>0</v>
      </c>
      <c r="AK715">
        <f t="shared" si="113"/>
        <v>1</v>
      </c>
      <c r="AL715">
        <v>13.85</v>
      </c>
      <c r="AM715" t="s">
        <v>27</v>
      </c>
      <c r="AN715">
        <v>13.85</v>
      </c>
      <c r="AO715" t="b">
        <f t="shared" si="114"/>
        <v>1</v>
      </c>
      <c r="AR715" t="s">
        <v>5061</v>
      </c>
      <c r="AS715" s="21">
        <v>46276</v>
      </c>
      <c r="AT715" t="s">
        <v>5062</v>
      </c>
      <c r="AU715" t="s">
        <v>5072</v>
      </c>
      <c r="AV715" t="s">
        <v>5062</v>
      </c>
      <c r="AW715" t="s">
        <v>5086</v>
      </c>
    </row>
    <row r="716" spans="1:49" x14ac:dyDescent="0.35">
      <c r="A716" t="s">
        <v>871</v>
      </c>
      <c r="B716" t="s">
        <v>872</v>
      </c>
      <c r="C716" t="s">
        <v>4818</v>
      </c>
      <c r="D716" t="s">
        <v>18</v>
      </c>
      <c r="E716" t="s">
        <v>2618</v>
      </c>
      <c r="F716" t="s">
        <v>2619</v>
      </c>
      <c r="G716" t="s">
        <v>21</v>
      </c>
      <c r="H716" t="s">
        <v>4826</v>
      </c>
      <c r="I716" t="s">
        <v>4976</v>
      </c>
      <c r="J716" s="4" t="s">
        <v>4977</v>
      </c>
      <c r="K716" s="4" t="s">
        <v>4978</v>
      </c>
      <c r="L716" s="4" t="s">
        <v>4949</v>
      </c>
      <c r="M716" s="4" t="s">
        <v>5035</v>
      </c>
      <c r="N716" t="s">
        <v>15</v>
      </c>
      <c r="O716" t="s">
        <v>2620</v>
      </c>
      <c r="P716" t="s">
        <v>23</v>
      </c>
      <c r="Q716" t="s">
        <v>24</v>
      </c>
      <c r="R716" t="s">
        <v>25</v>
      </c>
      <c r="S716" t="s">
        <v>26</v>
      </c>
      <c r="T716" s="6">
        <v>46307</v>
      </c>
      <c r="U716">
        <v>108</v>
      </c>
      <c r="V716">
        <v>108</v>
      </c>
      <c r="W716">
        <v>120</v>
      </c>
      <c r="X716">
        <v>120</v>
      </c>
      <c r="Y716">
        <f t="shared" si="110"/>
        <v>0</v>
      </c>
      <c r="Z716">
        <f t="shared" si="111"/>
        <v>-12</v>
      </c>
      <c r="AC716" s="1">
        <v>0</v>
      </c>
      <c r="AF716">
        <f t="shared" si="108"/>
        <v>108</v>
      </c>
      <c r="AG716" s="7">
        <v>12</v>
      </c>
      <c r="AH716">
        <f t="shared" si="112"/>
        <v>108</v>
      </c>
      <c r="AI716">
        <f t="shared" si="109"/>
        <v>0</v>
      </c>
      <c r="AK716">
        <f t="shared" si="113"/>
        <v>9</v>
      </c>
      <c r="AL716">
        <v>13.85</v>
      </c>
      <c r="AM716" t="s">
        <v>27</v>
      </c>
      <c r="AN716">
        <v>13.85</v>
      </c>
      <c r="AO716" t="b">
        <f t="shared" si="114"/>
        <v>1</v>
      </c>
      <c r="AR716" t="s">
        <v>5061</v>
      </c>
      <c r="AS716" s="21">
        <v>46276</v>
      </c>
      <c r="AT716" t="s">
        <v>5062</v>
      </c>
      <c r="AU716" t="s">
        <v>5072</v>
      </c>
      <c r="AV716" t="s">
        <v>5062</v>
      </c>
      <c r="AW716" t="s">
        <v>5086</v>
      </c>
    </row>
    <row r="717" spans="1:49" x14ac:dyDescent="0.35">
      <c r="A717" t="s">
        <v>871</v>
      </c>
      <c r="B717" t="s">
        <v>872</v>
      </c>
      <c r="C717" t="s">
        <v>4818</v>
      </c>
      <c r="D717" t="s">
        <v>18</v>
      </c>
      <c r="E717" t="s">
        <v>2621</v>
      </c>
      <c r="F717" t="s">
        <v>2622</v>
      </c>
      <c r="G717" t="s">
        <v>21</v>
      </c>
      <c r="H717" t="s">
        <v>4826</v>
      </c>
      <c r="I717" t="s">
        <v>4976</v>
      </c>
      <c r="J717" s="4" t="s">
        <v>4977</v>
      </c>
      <c r="K717" s="4" t="s">
        <v>4978</v>
      </c>
      <c r="L717" s="4" t="s">
        <v>4950</v>
      </c>
      <c r="M717" s="4" t="s">
        <v>5035</v>
      </c>
      <c r="N717" t="s">
        <v>15</v>
      </c>
      <c r="O717" t="s">
        <v>2623</v>
      </c>
      <c r="P717" t="s">
        <v>23</v>
      </c>
      <c r="Q717" t="s">
        <v>24</v>
      </c>
      <c r="R717" t="s">
        <v>25</v>
      </c>
      <c r="S717" t="s">
        <v>26</v>
      </c>
      <c r="T717" s="6">
        <v>46307</v>
      </c>
      <c r="U717">
        <v>12</v>
      </c>
      <c r="V717">
        <v>12</v>
      </c>
      <c r="W717">
        <v>12</v>
      </c>
      <c r="X717">
        <v>12</v>
      </c>
      <c r="Y717">
        <f t="shared" si="110"/>
        <v>0</v>
      </c>
      <c r="Z717">
        <f t="shared" si="111"/>
        <v>0</v>
      </c>
      <c r="AC717" s="1">
        <v>0</v>
      </c>
      <c r="AF717">
        <f t="shared" si="108"/>
        <v>12</v>
      </c>
      <c r="AG717" s="7">
        <v>12</v>
      </c>
      <c r="AH717">
        <f t="shared" si="112"/>
        <v>12</v>
      </c>
      <c r="AI717">
        <f t="shared" si="109"/>
        <v>0</v>
      </c>
      <c r="AK717">
        <f t="shared" si="113"/>
        <v>1</v>
      </c>
      <c r="AL717">
        <v>13.85</v>
      </c>
      <c r="AM717" t="s">
        <v>27</v>
      </c>
      <c r="AN717">
        <v>13.85</v>
      </c>
      <c r="AO717" t="b">
        <f t="shared" si="114"/>
        <v>1</v>
      </c>
      <c r="AR717" t="s">
        <v>5061</v>
      </c>
      <c r="AS717" s="21">
        <v>46276</v>
      </c>
      <c r="AT717" t="s">
        <v>5062</v>
      </c>
      <c r="AU717" t="s">
        <v>5072</v>
      </c>
      <c r="AV717" t="s">
        <v>5062</v>
      </c>
      <c r="AW717" t="s">
        <v>5086</v>
      </c>
    </row>
    <row r="718" spans="1:49" x14ac:dyDescent="0.35">
      <c r="A718" t="s">
        <v>871</v>
      </c>
      <c r="B718" t="s">
        <v>872</v>
      </c>
      <c r="C718" t="s">
        <v>4818</v>
      </c>
      <c r="D718" t="s">
        <v>18</v>
      </c>
      <c r="E718" t="s">
        <v>2624</v>
      </c>
      <c r="F718" t="s">
        <v>2625</v>
      </c>
      <c r="G718" t="s">
        <v>21</v>
      </c>
      <c r="H718" t="s">
        <v>4826</v>
      </c>
      <c r="I718" t="s">
        <v>4976</v>
      </c>
      <c r="J718" s="4" t="s">
        <v>4977</v>
      </c>
      <c r="K718" s="4" t="s">
        <v>4832</v>
      </c>
      <c r="L718" s="4" t="s">
        <v>4961</v>
      </c>
      <c r="M718" s="4" t="s">
        <v>5035</v>
      </c>
      <c r="N718" t="s">
        <v>15</v>
      </c>
      <c r="O718" t="s">
        <v>2626</v>
      </c>
      <c r="P718" t="s">
        <v>23</v>
      </c>
      <c r="Q718" t="s">
        <v>24</v>
      </c>
      <c r="R718" t="s">
        <v>25</v>
      </c>
      <c r="S718" t="s">
        <v>26</v>
      </c>
      <c r="T718" s="6">
        <v>46307</v>
      </c>
      <c r="U718">
        <v>36</v>
      </c>
      <c r="V718">
        <v>36</v>
      </c>
      <c r="W718">
        <v>36</v>
      </c>
      <c r="X718">
        <v>36</v>
      </c>
      <c r="Y718">
        <f t="shared" si="110"/>
        <v>0</v>
      </c>
      <c r="Z718">
        <f t="shared" si="111"/>
        <v>0</v>
      </c>
      <c r="AC718" s="1">
        <v>0</v>
      </c>
      <c r="AF718">
        <f t="shared" si="108"/>
        <v>36</v>
      </c>
      <c r="AG718" s="7">
        <v>12</v>
      </c>
      <c r="AH718">
        <f t="shared" si="112"/>
        <v>36</v>
      </c>
      <c r="AI718">
        <f t="shared" si="109"/>
        <v>0</v>
      </c>
      <c r="AK718">
        <f t="shared" si="113"/>
        <v>3</v>
      </c>
      <c r="AL718">
        <v>13.85</v>
      </c>
      <c r="AM718" t="s">
        <v>27</v>
      </c>
      <c r="AN718">
        <v>13.85</v>
      </c>
      <c r="AO718" t="b">
        <f t="shared" si="114"/>
        <v>1</v>
      </c>
      <c r="AR718" t="s">
        <v>5061</v>
      </c>
      <c r="AS718" s="21">
        <v>46276</v>
      </c>
      <c r="AT718" t="s">
        <v>5062</v>
      </c>
      <c r="AU718" t="s">
        <v>5072</v>
      </c>
      <c r="AV718" t="s">
        <v>5062</v>
      </c>
      <c r="AW718" t="s">
        <v>5086</v>
      </c>
    </row>
    <row r="719" spans="1:49" x14ac:dyDescent="0.35">
      <c r="A719" t="s">
        <v>871</v>
      </c>
      <c r="B719" t="s">
        <v>872</v>
      </c>
      <c r="C719" t="s">
        <v>4818</v>
      </c>
      <c r="D719" t="s">
        <v>18</v>
      </c>
      <c r="E719" t="s">
        <v>2627</v>
      </c>
      <c r="F719" t="s">
        <v>2628</v>
      </c>
      <c r="G719" t="s">
        <v>21</v>
      </c>
      <c r="H719" t="s">
        <v>4826</v>
      </c>
      <c r="I719" t="s">
        <v>4976</v>
      </c>
      <c r="J719" s="4" t="s">
        <v>4977</v>
      </c>
      <c r="K719" s="4" t="s">
        <v>4837</v>
      </c>
      <c r="L719" s="4" t="s">
        <v>4940</v>
      </c>
      <c r="M719" s="4" t="s">
        <v>5035</v>
      </c>
      <c r="N719" t="s">
        <v>15</v>
      </c>
      <c r="O719" t="s">
        <v>2629</v>
      </c>
      <c r="P719" t="s">
        <v>23</v>
      </c>
      <c r="Q719" t="s">
        <v>24</v>
      </c>
      <c r="R719" t="s">
        <v>25</v>
      </c>
      <c r="S719" t="s">
        <v>26</v>
      </c>
      <c r="T719" s="6">
        <v>46307</v>
      </c>
      <c r="U719">
        <v>276</v>
      </c>
      <c r="V719">
        <v>276</v>
      </c>
      <c r="W719">
        <v>300</v>
      </c>
      <c r="X719">
        <v>300</v>
      </c>
      <c r="Y719">
        <f t="shared" si="110"/>
        <v>0</v>
      </c>
      <c r="Z719">
        <f t="shared" si="111"/>
        <v>-24</v>
      </c>
      <c r="AC719" s="1"/>
      <c r="AF719">
        <f t="shared" si="108"/>
        <v>276</v>
      </c>
      <c r="AG719" s="7">
        <v>12</v>
      </c>
      <c r="AH719">
        <f t="shared" si="112"/>
        <v>276</v>
      </c>
      <c r="AI719">
        <f t="shared" si="109"/>
        <v>0</v>
      </c>
      <c r="AK719">
        <f t="shared" si="113"/>
        <v>23</v>
      </c>
      <c r="AL719">
        <v>13.85</v>
      </c>
      <c r="AM719" t="s">
        <v>27</v>
      </c>
      <c r="AN719">
        <v>13.85</v>
      </c>
      <c r="AO719" t="b">
        <f t="shared" si="114"/>
        <v>1</v>
      </c>
      <c r="AR719" t="s">
        <v>5061</v>
      </c>
      <c r="AS719" s="21">
        <v>46276</v>
      </c>
      <c r="AT719" t="s">
        <v>5062</v>
      </c>
      <c r="AU719" t="s">
        <v>5072</v>
      </c>
      <c r="AV719" t="s">
        <v>5062</v>
      </c>
      <c r="AW719" t="s">
        <v>5086</v>
      </c>
    </row>
    <row r="720" spans="1:49" x14ac:dyDescent="0.35">
      <c r="A720" t="s">
        <v>871</v>
      </c>
      <c r="B720" t="s">
        <v>872</v>
      </c>
      <c r="C720" t="s">
        <v>4818</v>
      </c>
      <c r="D720" t="s">
        <v>18</v>
      </c>
      <c r="E720" t="s">
        <v>2630</v>
      </c>
      <c r="F720" t="s">
        <v>2631</v>
      </c>
      <c r="G720" t="s">
        <v>21</v>
      </c>
      <c r="H720" t="s">
        <v>4826</v>
      </c>
      <c r="I720" t="s">
        <v>4976</v>
      </c>
      <c r="J720" s="4" t="s">
        <v>4977</v>
      </c>
      <c r="K720" s="4" t="s">
        <v>4837</v>
      </c>
      <c r="L720" s="4" t="s">
        <v>4966</v>
      </c>
      <c r="M720" s="4" t="s">
        <v>5035</v>
      </c>
      <c r="N720" t="s">
        <v>15</v>
      </c>
      <c r="O720" t="s">
        <v>2632</v>
      </c>
      <c r="P720" t="s">
        <v>23</v>
      </c>
      <c r="Q720" t="s">
        <v>24</v>
      </c>
      <c r="R720" t="s">
        <v>25</v>
      </c>
      <c r="S720" t="s">
        <v>26</v>
      </c>
      <c r="T720" s="6">
        <v>46307</v>
      </c>
      <c r="U720">
        <v>84</v>
      </c>
      <c r="V720">
        <v>84</v>
      </c>
      <c r="W720">
        <v>96</v>
      </c>
      <c r="X720">
        <v>96</v>
      </c>
      <c r="Y720">
        <f t="shared" si="110"/>
        <v>0</v>
      </c>
      <c r="Z720">
        <f t="shared" si="111"/>
        <v>-12</v>
      </c>
      <c r="AC720" s="1">
        <v>0</v>
      </c>
      <c r="AF720">
        <f t="shared" si="108"/>
        <v>84</v>
      </c>
      <c r="AG720" s="7">
        <v>12</v>
      </c>
      <c r="AH720">
        <f t="shared" si="112"/>
        <v>84</v>
      </c>
      <c r="AI720">
        <f t="shared" si="109"/>
        <v>0</v>
      </c>
      <c r="AK720">
        <f t="shared" si="113"/>
        <v>7</v>
      </c>
      <c r="AL720">
        <v>13.85</v>
      </c>
      <c r="AM720" t="s">
        <v>27</v>
      </c>
      <c r="AN720">
        <v>13.85</v>
      </c>
      <c r="AO720" t="b">
        <f t="shared" si="114"/>
        <v>1</v>
      </c>
      <c r="AR720" t="s">
        <v>5061</v>
      </c>
      <c r="AS720" s="21">
        <v>46276</v>
      </c>
      <c r="AT720" t="s">
        <v>5062</v>
      </c>
      <c r="AU720" t="s">
        <v>5072</v>
      </c>
      <c r="AV720" t="s">
        <v>5062</v>
      </c>
      <c r="AW720" t="s">
        <v>5086</v>
      </c>
    </row>
    <row r="721" spans="1:49" x14ac:dyDescent="0.35">
      <c r="A721" t="s">
        <v>871</v>
      </c>
      <c r="B721" t="s">
        <v>872</v>
      </c>
      <c r="C721" t="s">
        <v>4818</v>
      </c>
      <c r="D721" t="s">
        <v>18</v>
      </c>
      <c r="E721" t="s">
        <v>2633</v>
      </c>
      <c r="F721" t="s">
        <v>2634</v>
      </c>
      <c r="G721" t="s">
        <v>21</v>
      </c>
      <c r="H721" t="s">
        <v>4826</v>
      </c>
      <c r="I721" t="s">
        <v>4976</v>
      </c>
      <c r="J721" s="4" t="s">
        <v>4977</v>
      </c>
      <c r="K721" s="4" t="s">
        <v>4978</v>
      </c>
      <c r="L721" s="4" t="s">
        <v>4956</v>
      </c>
      <c r="M721" s="4" t="s">
        <v>5035</v>
      </c>
      <c r="N721" t="s">
        <v>15</v>
      </c>
      <c r="O721" t="s">
        <v>2635</v>
      </c>
      <c r="P721" t="s">
        <v>23</v>
      </c>
      <c r="Q721" t="s">
        <v>24</v>
      </c>
      <c r="R721" t="s">
        <v>25</v>
      </c>
      <c r="S721" t="s">
        <v>26</v>
      </c>
      <c r="T721" s="6">
        <v>46307</v>
      </c>
      <c r="U721">
        <v>12</v>
      </c>
      <c r="V721">
        <v>12</v>
      </c>
      <c r="W721">
        <v>12</v>
      </c>
      <c r="X721">
        <v>12</v>
      </c>
      <c r="Y721">
        <f t="shared" si="110"/>
        <v>0</v>
      </c>
      <c r="Z721">
        <f t="shared" si="111"/>
        <v>0</v>
      </c>
      <c r="AC721" s="1">
        <v>0</v>
      </c>
      <c r="AF721">
        <f t="shared" si="108"/>
        <v>12</v>
      </c>
      <c r="AG721" s="7">
        <v>12</v>
      </c>
      <c r="AH721">
        <f t="shared" si="112"/>
        <v>12</v>
      </c>
      <c r="AI721">
        <f t="shared" si="109"/>
        <v>0</v>
      </c>
      <c r="AK721">
        <f t="shared" si="113"/>
        <v>1</v>
      </c>
      <c r="AL721">
        <v>13.85</v>
      </c>
      <c r="AM721" t="s">
        <v>27</v>
      </c>
      <c r="AN721">
        <v>13.85</v>
      </c>
      <c r="AO721" t="b">
        <f t="shared" si="114"/>
        <v>1</v>
      </c>
      <c r="AR721" t="s">
        <v>5061</v>
      </c>
      <c r="AS721" s="21">
        <v>46276</v>
      </c>
      <c r="AT721" t="s">
        <v>5062</v>
      </c>
      <c r="AU721" t="s">
        <v>5072</v>
      </c>
      <c r="AV721" t="s">
        <v>5062</v>
      </c>
      <c r="AW721" t="s">
        <v>5086</v>
      </c>
    </row>
    <row r="722" spans="1:49" x14ac:dyDescent="0.35">
      <c r="A722" t="s">
        <v>871</v>
      </c>
      <c r="B722" t="s">
        <v>872</v>
      </c>
      <c r="C722" t="s">
        <v>4818</v>
      </c>
      <c r="D722" t="s">
        <v>18</v>
      </c>
      <c r="E722" t="s">
        <v>2636</v>
      </c>
      <c r="F722" t="s">
        <v>2637</v>
      </c>
      <c r="G722" t="s">
        <v>21</v>
      </c>
      <c r="H722" t="s">
        <v>4826</v>
      </c>
      <c r="I722" t="s">
        <v>4976</v>
      </c>
      <c r="J722" s="4" t="s">
        <v>4977</v>
      </c>
      <c r="K722" s="4" t="s">
        <v>4831</v>
      </c>
      <c r="L722" s="4" t="s">
        <v>4967</v>
      </c>
      <c r="M722" s="4" t="s">
        <v>5035</v>
      </c>
      <c r="N722" t="s">
        <v>15</v>
      </c>
      <c r="O722" t="s">
        <v>2638</v>
      </c>
      <c r="P722" t="s">
        <v>23</v>
      </c>
      <c r="Q722" t="s">
        <v>24</v>
      </c>
      <c r="R722" t="s">
        <v>25</v>
      </c>
      <c r="S722" t="s">
        <v>26</v>
      </c>
      <c r="T722" s="6">
        <v>46307</v>
      </c>
      <c r="U722">
        <v>12</v>
      </c>
      <c r="V722">
        <v>12</v>
      </c>
      <c r="W722">
        <v>12</v>
      </c>
      <c r="X722">
        <v>12</v>
      </c>
      <c r="Y722">
        <f t="shared" si="110"/>
        <v>0</v>
      </c>
      <c r="Z722">
        <f t="shared" si="111"/>
        <v>0</v>
      </c>
      <c r="AC722" s="1">
        <v>0</v>
      </c>
      <c r="AF722">
        <f t="shared" si="108"/>
        <v>12</v>
      </c>
      <c r="AG722" s="7">
        <v>12</v>
      </c>
      <c r="AH722">
        <f t="shared" si="112"/>
        <v>12</v>
      </c>
      <c r="AI722">
        <f t="shared" si="109"/>
        <v>0</v>
      </c>
      <c r="AK722">
        <f t="shared" si="113"/>
        <v>1</v>
      </c>
      <c r="AL722">
        <v>13.85</v>
      </c>
      <c r="AM722" t="s">
        <v>27</v>
      </c>
      <c r="AN722">
        <v>13.85</v>
      </c>
      <c r="AO722" t="b">
        <f t="shared" si="114"/>
        <v>1</v>
      </c>
      <c r="AR722" t="s">
        <v>5061</v>
      </c>
      <c r="AS722" s="21">
        <v>46276</v>
      </c>
      <c r="AT722" t="s">
        <v>5062</v>
      </c>
      <c r="AU722" t="s">
        <v>5072</v>
      </c>
      <c r="AV722" t="s">
        <v>5062</v>
      </c>
      <c r="AW722" t="s">
        <v>5086</v>
      </c>
    </row>
    <row r="723" spans="1:49" x14ac:dyDescent="0.35">
      <c r="A723" t="s">
        <v>871</v>
      </c>
      <c r="B723" t="s">
        <v>872</v>
      </c>
      <c r="C723" t="s">
        <v>4818</v>
      </c>
      <c r="D723" t="s">
        <v>18</v>
      </c>
      <c r="E723" t="s">
        <v>2639</v>
      </c>
      <c r="F723" t="s">
        <v>2640</v>
      </c>
      <c r="G723" t="s">
        <v>21</v>
      </c>
      <c r="H723" t="s">
        <v>4826</v>
      </c>
      <c r="I723" t="s">
        <v>4976</v>
      </c>
      <c r="J723" s="4" t="s">
        <v>4977</v>
      </c>
      <c r="K723" s="4" t="s">
        <v>4837</v>
      </c>
      <c r="L723" s="4" t="s">
        <v>4955</v>
      </c>
      <c r="M723" s="4" t="s">
        <v>5035</v>
      </c>
      <c r="N723" t="s">
        <v>15</v>
      </c>
      <c r="O723" t="s">
        <v>2641</v>
      </c>
      <c r="P723" t="s">
        <v>23</v>
      </c>
      <c r="Q723" t="s">
        <v>24</v>
      </c>
      <c r="R723" t="s">
        <v>25</v>
      </c>
      <c r="S723" t="s">
        <v>26</v>
      </c>
      <c r="T723" s="6">
        <v>46307</v>
      </c>
      <c r="U723">
        <v>276</v>
      </c>
      <c r="V723">
        <v>276</v>
      </c>
      <c r="W723">
        <v>300</v>
      </c>
      <c r="X723">
        <v>300</v>
      </c>
      <c r="Y723">
        <f t="shared" si="110"/>
        <v>0</v>
      </c>
      <c r="Z723">
        <f t="shared" si="111"/>
        <v>-24</v>
      </c>
      <c r="AC723" s="1"/>
      <c r="AF723">
        <f t="shared" si="108"/>
        <v>276</v>
      </c>
      <c r="AG723" s="7">
        <v>12</v>
      </c>
      <c r="AH723">
        <f t="shared" si="112"/>
        <v>276</v>
      </c>
      <c r="AI723">
        <f t="shared" si="109"/>
        <v>0</v>
      </c>
      <c r="AK723">
        <f t="shared" si="113"/>
        <v>23</v>
      </c>
      <c r="AL723">
        <v>13.85</v>
      </c>
      <c r="AM723" t="s">
        <v>27</v>
      </c>
      <c r="AN723">
        <v>13.85</v>
      </c>
      <c r="AO723" t="b">
        <f t="shared" si="114"/>
        <v>1</v>
      </c>
      <c r="AR723" t="s">
        <v>5061</v>
      </c>
      <c r="AS723" s="21">
        <v>46276</v>
      </c>
      <c r="AT723" t="s">
        <v>5062</v>
      </c>
      <c r="AU723" t="s">
        <v>5072</v>
      </c>
      <c r="AV723" t="s">
        <v>5062</v>
      </c>
      <c r="AW723" t="s">
        <v>5086</v>
      </c>
    </row>
    <row r="724" spans="1:49" x14ac:dyDescent="0.35">
      <c r="A724" t="s">
        <v>871</v>
      </c>
      <c r="B724" t="s">
        <v>872</v>
      </c>
      <c r="C724" t="s">
        <v>4818</v>
      </c>
      <c r="D724" t="s">
        <v>18</v>
      </c>
      <c r="E724" t="s">
        <v>2642</v>
      </c>
      <c r="F724" t="s">
        <v>2643</v>
      </c>
      <c r="G724" t="s">
        <v>21</v>
      </c>
      <c r="H724" t="s">
        <v>4826</v>
      </c>
      <c r="I724" t="s">
        <v>4979</v>
      </c>
      <c r="J724" s="4" t="s">
        <v>4980</v>
      </c>
      <c r="K724" s="4" t="s">
        <v>4832</v>
      </c>
      <c r="L724" s="4">
        <v>36</v>
      </c>
      <c r="M724" s="4" t="s">
        <v>5035</v>
      </c>
      <c r="N724" t="s">
        <v>15</v>
      </c>
      <c r="O724" t="s">
        <v>2644</v>
      </c>
      <c r="P724" t="s">
        <v>23</v>
      </c>
      <c r="Q724" t="s">
        <v>24</v>
      </c>
      <c r="R724" t="s">
        <v>25</v>
      </c>
      <c r="S724" t="s">
        <v>26</v>
      </c>
      <c r="T724" s="6">
        <v>46307</v>
      </c>
      <c r="U724">
        <v>624</v>
      </c>
      <c r="V724">
        <v>624</v>
      </c>
      <c r="W724">
        <v>564</v>
      </c>
      <c r="X724">
        <v>564</v>
      </c>
      <c r="Y724">
        <f t="shared" si="110"/>
        <v>0</v>
      </c>
      <c r="Z724">
        <f t="shared" si="111"/>
        <v>60</v>
      </c>
      <c r="AA724">
        <f>Z724</f>
        <v>60</v>
      </c>
      <c r="AC724" s="1">
        <v>0</v>
      </c>
      <c r="AF724">
        <f>X724</f>
        <v>564</v>
      </c>
      <c r="AG724" s="7">
        <v>12</v>
      </c>
      <c r="AH724">
        <f t="shared" si="112"/>
        <v>564</v>
      </c>
      <c r="AI724">
        <f t="shared" si="109"/>
        <v>60</v>
      </c>
      <c r="AK724">
        <f t="shared" si="113"/>
        <v>47</v>
      </c>
      <c r="AL724">
        <v>7.12</v>
      </c>
      <c r="AM724" t="s">
        <v>27</v>
      </c>
      <c r="AN724">
        <v>7.12</v>
      </c>
      <c r="AO724" t="b">
        <f t="shared" si="114"/>
        <v>1</v>
      </c>
      <c r="AR724" t="s">
        <v>5061</v>
      </c>
      <c r="AS724" s="21">
        <v>46276</v>
      </c>
      <c r="AT724" t="s">
        <v>5062</v>
      </c>
      <c r="AU724" t="s">
        <v>5073</v>
      </c>
      <c r="AV724" t="s">
        <v>5062</v>
      </c>
      <c r="AW724" t="s">
        <v>5086</v>
      </c>
    </row>
    <row r="725" spans="1:49" x14ac:dyDescent="0.35">
      <c r="A725" t="s">
        <v>871</v>
      </c>
      <c r="B725" t="s">
        <v>872</v>
      </c>
      <c r="C725" t="s">
        <v>4818</v>
      </c>
      <c r="D725" t="s">
        <v>18</v>
      </c>
      <c r="E725" t="s">
        <v>2645</v>
      </c>
      <c r="F725" t="s">
        <v>2646</v>
      </c>
      <c r="G725" t="s">
        <v>21</v>
      </c>
      <c r="H725" t="s">
        <v>4826</v>
      </c>
      <c r="I725" t="s">
        <v>4979</v>
      </c>
      <c r="J725" s="4" t="s">
        <v>4980</v>
      </c>
      <c r="K725" s="4" t="s">
        <v>4832</v>
      </c>
      <c r="L725" s="4">
        <v>38</v>
      </c>
      <c r="M725" s="4" t="s">
        <v>5035</v>
      </c>
      <c r="N725" t="s">
        <v>15</v>
      </c>
      <c r="O725" t="s">
        <v>2647</v>
      </c>
      <c r="P725" t="s">
        <v>23</v>
      </c>
      <c r="Q725" t="s">
        <v>24</v>
      </c>
      <c r="R725" t="s">
        <v>25</v>
      </c>
      <c r="S725" t="s">
        <v>26</v>
      </c>
      <c r="T725" s="6">
        <v>46307</v>
      </c>
      <c r="U725">
        <v>24</v>
      </c>
      <c r="V725">
        <v>24</v>
      </c>
      <c r="W725">
        <v>24</v>
      </c>
      <c r="X725">
        <v>24</v>
      </c>
      <c r="Y725">
        <f t="shared" si="110"/>
        <v>0</v>
      </c>
      <c r="Z725">
        <f t="shared" si="111"/>
        <v>0</v>
      </c>
      <c r="AC725" s="1"/>
      <c r="AF725">
        <f>V725</f>
        <v>24</v>
      </c>
      <c r="AG725" s="7">
        <v>12</v>
      </c>
      <c r="AH725">
        <f t="shared" si="112"/>
        <v>24</v>
      </c>
      <c r="AI725">
        <f t="shared" si="109"/>
        <v>0</v>
      </c>
      <c r="AK725">
        <f t="shared" si="113"/>
        <v>2</v>
      </c>
      <c r="AL725">
        <v>7.12</v>
      </c>
      <c r="AM725" t="s">
        <v>27</v>
      </c>
      <c r="AN725">
        <v>7.12</v>
      </c>
      <c r="AO725" t="b">
        <f t="shared" si="114"/>
        <v>1</v>
      </c>
      <c r="AR725" t="s">
        <v>5061</v>
      </c>
      <c r="AS725" s="21">
        <v>46276</v>
      </c>
      <c r="AT725" t="s">
        <v>5062</v>
      </c>
      <c r="AU725" t="s">
        <v>5073</v>
      </c>
      <c r="AV725" t="s">
        <v>5062</v>
      </c>
      <c r="AW725" t="s">
        <v>5086</v>
      </c>
    </row>
    <row r="726" spans="1:49" x14ac:dyDescent="0.35">
      <c r="A726" t="s">
        <v>871</v>
      </c>
      <c r="B726" t="s">
        <v>872</v>
      </c>
      <c r="C726" t="s">
        <v>4818</v>
      </c>
      <c r="D726" t="s">
        <v>18</v>
      </c>
      <c r="E726" t="s">
        <v>2648</v>
      </c>
      <c r="F726" t="s">
        <v>2649</v>
      </c>
      <c r="G726" t="s">
        <v>21</v>
      </c>
      <c r="H726" t="s">
        <v>4826</v>
      </c>
      <c r="I726" t="s">
        <v>4979</v>
      </c>
      <c r="J726" s="4" t="s">
        <v>4980</v>
      </c>
      <c r="K726" s="4" t="s">
        <v>4832</v>
      </c>
      <c r="L726" s="4">
        <v>34</v>
      </c>
      <c r="M726" s="4" t="s">
        <v>5035</v>
      </c>
      <c r="N726" t="s">
        <v>15</v>
      </c>
      <c r="O726" t="s">
        <v>2650</v>
      </c>
      <c r="P726" t="s">
        <v>23</v>
      </c>
      <c r="Q726" t="s">
        <v>24</v>
      </c>
      <c r="R726" t="s">
        <v>25</v>
      </c>
      <c r="S726" t="s">
        <v>26</v>
      </c>
      <c r="T726" s="6">
        <v>46307</v>
      </c>
      <c r="U726">
        <v>564</v>
      </c>
      <c r="V726">
        <v>564</v>
      </c>
      <c r="W726">
        <v>504</v>
      </c>
      <c r="X726">
        <v>504</v>
      </c>
      <c r="Y726">
        <f t="shared" si="110"/>
        <v>0</v>
      </c>
      <c r="Z726">
        <f t="shared" si="111"/>
        <v>60</v>
      </c>
      <c r="AA726">
        <f t="shared" ref="AA726:AA732" si="115">Z726</f>
        <v>60</v>
      </c>
      <c r="AC726" s="1">
        <v>0</v>
      </c>
      <c r="AF726">
        <f t="shared" ref="AF726:AF732" si="116">X726</f>
        <v>504</v>
      </c>
      <c r="AG726" s="7">
        <v>12</v>
      </c>
      <c r="AH726">
        <f t="shared" si="112"/>
        <v>504</v>
      </c>
      <c r="AI726">
        <f t="shared" si="109"/>
        <v>60</v>
      </c>
      <c r="AK726">
        <f t="shared" si="113"/>
        <v>42</v>
      </c>
      <c r="AL726">
        <v>7.12</v>
      </c>
      <c r="AM726" t="s">
        <v>27</v>
      </c>
      <c r="AN726">
        <v>7.12</v>
      </c>
      <c r="AO726" t="b">
        <f t="shared" si="114"/>
        <v>1</v>
      </c>
      <c r="AR726" t="s">
        <v>5061</v>
      </c>
      <c r="AS726" s="21">
        <v>46276</v>
      </c>
      <c r="AT726" t="s">
        <v>5062</v>
      </c>
      <c r="AU726" t="s">
        <v>5073</v>
      </c>
      <c r="AV726" t="s">
        <v>5062</v>
      </c>
      <c r="AW726" t="s">
        <v>5086</v>
      </c>
    </row>
    <row r="727" spans="1:49" x14ac:dyDescent="0.35">
      <c r="A727" t="s">
        <v>871</v>
      </c>
      <c r="B727" t="s">
        <v>872</v>
      </c>
      <c r="C727" t="s">
        <v>4818</v>
      </c>
      <c r="D727" t="s">
        <v>18</v>
      </c>
      <c r="E727" t="s">
        <v>2651</v>
      </c>
      <c r="F727" t="s">
        <v>2652</v>
      </c>
      <c r="G727" t="s">
        <v>21</v>
      </c>
      <c r="H727" t="s">
        <v>4826</v>
      </c>
      <c r="I727" t="s">
        <v>4979</v>
      </c>
      <c r="J727" s="4" t="s">
        <v>4980</v>
      </c>
      <c r="K727" s="4" t="s">
        <v>4832</v>
      </c>
      <c r="L727" s="4">
        <v>32</v>
      </c>
      <c r="M727" s="4" t="s">
        <v>5035</v>
      </c>
      <c r="N727" t="s">
        <v>15</v>
      </c>
      <c r="O727" t="s">
        <v>2653</v>
      </c>
      <c r="P727" t="s">
        <v>23</v>
      </c>
      <c r="Q727" t="s">
        <v>24</v>
      </c>
      <c r="R727" t="s">
        <v>25</v>
      </c>
      <c r="S727" t="s">
        <v>26</v>
      </c>
      <c r="T727" s="6">
        <v>46307</v>
      </c>
      <c r="U727">
        <v>444</v>
      </c>
      <c r="V727">
        <v>444</v>
      </c>
      <c r="W727">
        <v>396</v>
      </c>
      <c r="X727">
        <v>396</v>
      </c>
      <c r="Y727">
        <f t="shared" si="110"/>
        <v>0</v>
      </c>
      <c r="Z727">
        <f t="shared" si="111"/>
        <v>48</v>
      </c>
      <c r="AA727">
        <f t="shared" si="115"/>
        <v>48</v>
      </c>
      <c r="AC727" s="1">
        <v>0</v>
      </c>
      <c r="AF727">
        <f t="shared" si="116"/>
        <v>396</v>
      </c>
      <c r="AG727" s="7">
        <v>12</v>
      </c>
      <c r="AH727">
        <f t="shared" si="112"/>
        <v>396</v>
      </c>
      <c r="AI727">
        <f t="shared" si="109"/>
        <v>48</v>
      </c>
      <c r="AK727">
        <f t="shared" si="113"/>
        <v>33</v>
      </c>
      <c r="AL727">
        <v>7.12</v>
      </c>
      <c r="AM727" t="s">
        <v>27</v>
      </c>
      <c r="AN727">
        <v>7.12</v>
      </c>
      <c r="AO727" t="b">
        <f t="shared" si="114"/>
        <v>1</v>
      </c>
      <c r="AR727" t="s">
        <v>5061</v>
      </c>
      <c r="AS727" s="21">
        <v>46276</v>
      </c>
      <c r="AT727" t="s">
        <v>5062</v>
      </c>
      <c r="AU727" t="s">
        <v>5073</v>
      </c>
      <c r="AV727" t="s">
        <v>5062</v>
      </c>
      <c r="AW727" t="s">
        <v>5086</v>
      </c>
    </row>
    <row r="728" spans="1:49" x14ac:dyDescent="0.35">
      <c r="A728" t="s">
        <v>871</v>
      </c>
      <c r="B728" t="s">
        <v>872</v>
      </c>
      <c r="C728" t="s">
        <v>4818</v>
      </c>
      <c r="D728" t="s">
        <v>18</v>
      </c>
      <c r="E728" t="s">
        <v>2654</v>
      </c>
      <c r="F728" t="s">
        <v>2655</v>
      </c>
      <c r="G728" t="s">
        <v>21</v>
      </c>
      <c r="H728" t="s">
        <v>4826</v>
      </c>
      <c r="I728" t="s">
        <v>4979</v>
      </c>
      <c r="J728" s="4" t="s">
        <v>4980</v>
      </c>
      <c r="K728" s="4" t="s">
        <v>4832</v>
      </c>
      <c r="L728" s="4">
        <v>40</v>
      </c>
      <c r="M728" s="4" t="s">
        <v>5035</v>
      </c>
      <c r="N728" t="s">
        <v>15</v>
      </c>
      <c r="O728" t="s">
        <v>2656</v>
      </c>
      <c r="P728" t="s">
        <v>23</v>
      </c>
      <c r="Q728" t="s">
        <v>24</v>
      </c>
      <c r="R728" t="s">
        <v>25</v>
      </c>
      <c r="S728" t="s">
        <v>26</v>
      </c>
      <c r="T728" s="6">
        <v>46307</v>
      </c>
      <c r="U728">
        <v>228</v>
      </c>
      <c r="V728">
        <v>228</v>
      </c>
      <c r="W728">
        <v>204</v>
      </c>
      <c r="X728">
        <v>204</v>
      </c>
      <c r="Y728">
        <f t="shared" si="110"/>
        <v>0</v>
      </c>
      <c r="Z728">
        <f t="shared" si="111"/>
        <v>24</v>
      </c>
      <c r="AA728">
        <f t="shared" si="115"/>
        <v>24</v>
      </c>
      <c r="AC728" s="1">
        <v>0</v>
      </c>
      <c r="AF728">
        <f t="shared" si="116"/>
        <v>204</v>
      </c>
      <c r="AG728" s="7">
        <v>12</v>
      </c>
      <c r="AH728">
        <f t="shared" si="112"/>
        <v>204</v>
      </c>
      <c r="AI728">
        <f t="shared" si="109"/>
        <v>24</v>
      </c>
      <c r="AK728">
        <f t="shared" si="113"/>
        <v>17</v>
      </c>
      <c r="AL728">
        <v>7.12</v>
      </c>
      <c r="AM728" t="s">
        <v>27</v>
      </c>
      <c r="AN728">
        <v>7.12</v>
      </c>
      <c r="AO728" t="b">
        <f t="shared" si="114"/>
        <v>1</v>
      </c>
      <c r="AR728" t="s">
        <v>5061</v>
      </c>
      <c r="AS728" s="21">
        <v>46276</v>
      </c>
      <c r="AT728" t="s">
        <v>5062</v>
      </c>
      <c r="AU728" t="s">
        <v>5073</v>
      </c>
      <c r="AV728" t="s">
        <v>5062</v>
      </c>
      <c r="AW728" t="s">
        <v>5086</v>
      </c>
    </row>
    <row r="729" spans="1:49" x14ac:dyDescent="0.35">
      <c r="A729" t="s">
        <v>871</v>
      </c>
      <c r="B729" t="s">
        <v>872</v>
      </c>
      <c r="C729" t="s">
        <v>4818</v>
      </c>
      <c r="D729" t="s">
        <v>18</v>
      </c>
      <c r="E729" t="s">
        <v>2657</v>
      </c>
      <c r="F729" t="s">
        <v>2658</v>
      </c>
      <c r="G729" t="s">
        <v>21</v>
      </c>
      <c r="H729" t="s">
        <v>4826</v>
      </c>
      <c r="I729" t="s">
        <v>4979</v>
      </c>
      <c r="J729" s="4" t="s">
        <v>4980</v>
      </c>
      <c r="K729" s="4" t="s">
        <v>4832</v>
      </c>
      <c r="L729" s="4">
        <v>33</v>
      </c>
      <c r="M729" s="4" t="s">
        <v>5035</v>
      </c>
      <c r="N729" t="s">
        <v>15</v>
      </c>
      <c r="O729" t="s">
        <v>2659</v>
      </c>
      <c r="P729" t="s">
        <v>23</v>
      </c>
      <c r="Q729" t="s">
        <v>24</v>
      </c>
      <c r="R729" t="s">
        <v>25</v>
      </c>
      <c r="S729" t="s">
        <v>26</v>
      </c>
      <c r="T729" s="6">
        <v>46307</v>
      </c>
      <c r="U729">
        <v>264</v>
      </c>
      <c r="V729">
        <v>264</v>
      </c>
      <c r="W729">
        <v>240</v>
      </c>
      <c r="X729">
        <v>240</v>
      </c>
      <c r="Y729">
        <f t="shared" si="110"/>
        <v>0</v>
      </c>
      <c r="Z729">
        <f t="shared" si="111"/>
        <v>24</v>
      </c>
      <c r="AA729">
        <f t="shared" si="115"/>
        <v>24</v>
      </c>
      <c r="AC729" s="1">
        <v>0</v>
      </c>
      <c r="AF729">
        <f t="shared" si="116"/>
        <v>240</v>
      </c>
      <c r="AG729" s="7">
        <v>12</v>
      </c>
      <c r="AH729">
        <f t="shared" si="112"/>
        <v>240</v>
      </c>
      <c r="AI729">
        <f t="shared" si="109"/>
        <v>24</v>
      </c>
      <c r="AK729">
        <f t="shared" si="113"/>
        <v>20</v>
      </c>
      <c r="AL729">
        <v>7.12</v>
      </c>
      <c r="AM729" t="s">
        <v>27</v>
      </c>
      <c r="AN729">
        <v>7.12</v>
      </c>
      <c r="AO729" t="b">
        <f t="shared" si="114"/>
        <v>1</v>
      </c>
      <c r="AR729" t="s">
        <v>5061</v>
      </c>
      <c r="AS729" s="21">
        <v>46276</v>
      </c>
      <c r="AT729" t="s">
        <v>5062</v>
      </c>
      <c r="AU729" t="s">
        <v>5073</v>
      </c>
      <c r="AV729" t="s">
        <v>5062</v>
      </c>
      <c r="AW729" t="s">
        <v>5086</v>
      </c>
    </row>
    <row r="730" spans="1:49" x14ac:dyDescent="0.35">
      <c r="A730" t="s">
        <v>871</v>
      </c>
      <c r="B730" t="s">
        <v>872</v>
      </c>
      <c r="C730" t="s">
        <v>4818</v>
      </c>
      <c r="D730" t="s">
        <v>18</v>
      </c>
      <c r="E730" t="s">
        <v>2660</v>
      </c>
      <c r="F730" t="s">
        <v>2661</v>
      </c>
      <c r="G730" t="s">
        <v>21</v>
      </c>
      <c r="H730" t="s">
        <v>4826</v>
      </c>
      <c r="I730" t="s">
        <v>4979</v>
      </c>
      <c r="J730" s="4" t="s">
        <v>4980</v>
      </c>
      <c r="K730" s="4" t="s">
        <v>4832</v>
      </c>
      <c r="L730" s="4">
        <v>30</v>
      </c>
      <c r="M730" s="4" t="s">
        <v>5035</v>
      </c>
      <c r="N730" t="s">
        <v>15</v>
      </c>
      <c r="O730" t="s">
        <v>2662</v>
      </c>
      <c r="P730" t="s">
        <v>23</v>
      </c>
      <c r="Q730" t="s">
        <v>24</v>
      </c>
      <c r="R730" t="s">
        <v>25</v>
      </c>
      <c r="S730" t="s">
        <v>26</v>
      </c>
      <c r="T730" s="6">
        <v>46307</v>
      </c>
      <c r="U730">
        <v>72</v>
      </c>
      <c r="V730">
        <v>72</v>
      </c>
      <c r="W730">
        <v>60</v>
      </c>
      <c r="X730">
        <v>60</v>
      </c>
      <c r="Y730">
        <f t="shared" si="110"/>
        <v>0</v>
      </c>
      <c r="Z730">
        <f t="shared" si="111"/>
        <v>12</v>
      </c>
      <c r="AA730">
        <f t="shared" si="115"/>
        <v>12</v>
      </c>
      <c r="AC730" s="1">
        <v>0</v>
      </c>
      <c r="AF730">
        <f t="shared" si="116"/>
        <v>60</v>
      </c>
      <c r="AG730" s="7">
        <v>12</v>
      </c>
      <c r="AH730">
        <f t="shared" si="112"/>
        <v>60</v>
      </c>
      <c r="AI730">
        <f t="shared" si="109"/>
        <v>12</v>
      </c>
      <c r="AK730">
        <f t="shared" si="113"/>
        <v>5</v>
      </c>
      <c r="AL730">
        <v>7.12</v>
      </c>
      <c r="AM730" t="s">
        <v>27</v>
      </c>
      <c r="AN730">
        <v>7.12</v>
      </c>
      <c r="AO730" t="b">
        <f t="shared" si="114"/>
        <v>1</v>
      </c>
      <c r="AR730" t="s">
        <v>5061</v>
      </c>
      <c r="AS730" s="21">
        <v>46276</v>
      </c>
      <c r="AT730" t="s">
        <v>5062</v>
      </c>
      <c r="AU730" t="s">
        <v>5073</v>
      </c>
      <c r="AV730" t="s">
        <v>5062</v>
      </c>
      <c r="AW730" t="s">
        <v>5086</v>
      </c>
    </row>
    <row r="731" spans="1:49" x14ac:dyDescent="0.35">
      <c r="A731" t="s">
        <v>871</v>
      </c>
      <c r="B731" t="s">
        <v>872</v>
      </c>
      <c r="C731" t="s">
        <v>4818</v>
      </c>
      <c r="D731" t="s">
        <v>18</v>
      </c>
      <c r="E731" t="s">
        <v>2663</v>
      </c>
      <c r="F731" t="s">
        <v>2664</v>
      </c>
      <c r="G731" t="s">
        <v>21</v>
      </c>
      <c r="H731" t="s">
        <v>4826</v>
      </c>
      <c r="I731" t="s">
        <v>4979</v>
      </c>
      <c r="J731" s="4" t="s">
        <v>4980</v>
      </c>
      <c r="K731" s="4" t="s">
        <v>4832</v>
      </c>
      <c r="L731" s="4">
        <v>31</v>
      </c>
      <c r="M731" s="4" t="s">
        <v>5035</v>
      </c>
      <c r="N731" t="s">
        <v>15</v>
      </c>
      <c r="O731" t="s">
        <v>2665</v>
      </c>
      <c r="P731" t="s">
        <v>23</v>
      </c>
      <c r="Q731" t="s">
        <v>24</v>
      </c>
      <c r="R731" t="s">
        <v>25</v>
      </c>
      <c r="S731" t="s">
        <v>26</v>
      </c>
      <c r="T731" s="6">
        <v>46307</v>
      </c>
      <c r="U731">
        <v>108</v>
      </c>
      <c r="V731">
        <v>108</v>
      </c>
      <c r="W731">
        <v>96</v>
      </c>
      <c r="X731">
        <v>96</v>
      </c>
      <c r="Y731">
        <f t="shared" si="110"/>
        <v>0</v>
      </c>
      <c r="Z731">
        <f t="shared" si="111"/>
        <v>12</v>
      </c>
      <c r="AA731">
        <f t="shared" si="115"/>
        <v>12</v>
      </c>
      <c r="AC731" s="1">
        <v>0</v>
      </c>
      <c r="AF731">
        <f t="shared" si="116"/>
        <v>96</v>
      </c>
      <c r="AG731" s="7">
        <v>12</v>
      </c>
      <c r="AH731">
        <f t="shared" si="112"/>
        <v>96</v>
      </c>
      <c r="AI731">
        <f t="shared" si="109"/>
        <v>12</v>
      </c>
      <c r="AK731">
        <f t="shared" si="113"/>
        <v>8</v>
      </c>
      <c r="AL731">
        <v>7.12</v>
      </c>
      <c r="AM731" t="s">
        <v>27</v>
      </c>
      <c r="AN731">
        <v>7.12</v>
      </c>
      <c r="AO731" t="b">
        <f t="shared" si="114"/>
        <v>1</v>
      </c>
      <c r="AR731" t="s">
        <v>5061</v>
      </c>
      <c r="AS731" s="21">
        <v>46276</v>
      </c>
      <c r="AT731" t="s">
        <v>5062</v>
      </c>
      <c r="AU731" t="s">
        <v>5073</v>
      </c>
      <c r="AV731" t="s">
        <v>5062</v>
      </c>
      <c r="AW731" t="s">
        <v>5086</v>
      </c>
    </row>
    <row r="732" spans="1:49" x14ac:dyDescent="0.35">
      <c r="A732" t="s">
        <v>871</v>
      </c>
      <c r="B732" t="s">
        <v>872</v>
      </c>
      <c r="C732" t="s">
        <v>4818</v>
      </c>
      <c r="D732" t="s">
        <v>18</v>
      </c>
      <c r="E732" t="s">
        <v>2666</v>
      </c>
      <c r="F732" t="s">
        <v>2667</v>
      </c>
      <c r="G732" t="s">
        <v>21</v>
      </c>
      <c r="H732" t="s">
        <v>4826</v>
      </c>
      <c r="I732" t="s">
        <v>4979</v>
      </c>
      <c r="J732" s="4" t="s">
        <v>4980</v>
      </c>
      <c r="K732" s="4" t="s">
        <v>4937</v>
      </c>
      <c r="L732" s="4">
        <v>31</v>
      </c>
      <c r="M732" s="4" t="s">
        <v>5035</v>
      </c>
      <c r="N732" t="s">
        <v>15</v>
      </c>
      <c r="O732" t="s">
        <v>2668</v>
      </c>
      <c r="P732" t="s">
        <v>23</v>
      </c>
      <c r="Q732" t="s">
        <v>24</v>
      </c>
      <c r="R732" t="s">
        <v>25</v>
      </c>
      <c r="S732" t="s">
        <v>26</v>
      </c>
      <c r="T732" s="6">
        <v>46307</v>
      </c>
      <c r="U732">
        <v>204</v>
      </c>
      <c r="V732">
        <v>204</v>
      </c>
      <c r="W732">
        <v>180</v>
      </c>
      <c r="X732">
        <v>180</v>
      </c>
      <c r="Y732">
        <f t="shared" si="110"/>
        <v>0</v>
      </c>
      <c r="Z732">
        <f t="shared" si="111"/>
        <v>24</v>
      </c>
      <c r="AA732">
        <f t="shared" si="115"/>
        <v>24</v>
      </c>
      <c r="AC732" s="1">
        <v>0</v>
      </c>
      <c r="AF732">
        <f t="shared" si="116"/>
        <v>180</v>
      </c>
      <c r="AG732" s="7">
        <v>12</v>
      </c>
      <c r="AH732">
        <f t="shared" si="112"/>
        <v>180</v>
      </c>
      <c r="AI732">
        <f t="shared" si="109"/>
        <v>24</v>
      </c>
      <c r="AK732">
        <f t="shared" si="113"/>
        <v>15</v>
      </c>
      <c r="AL732">
        <v>7.12</v>
      </c>
      <c r="AM732" t="s">
        <v>27</v>
      </c>
      <c r="AN732">
        <v>7.12</v>
      </c>
      <c r="AO732" t="b">
        <f t="shared" si="114"/>
        <v>1</v>
      </c>
      <c r="AR732" t="s">
        <v>5061</v>
      </c>
      <c r="AS732" s="21">
        <v>46276</v>
      </c>
      <c r="AT732" t="s">
        <v>5062</v>
      </c>
      <c r="AU732" t="s">
        <v>5073</v>
      </c>
      <c r="AV732" t="s">
        <v>5062</v>
      </c>
      <c r="AW732" t="s">
        <v>5086</v>
      </c>
    </row>
    <row r="733" spans="1:49" x14ac:dyDescent="0.35">
      <c r="A733" t="s">
        <v>871</v>
      </c>
      <c r="B733" t="s">
        <v>872</v>
      </c>
      <c r="C733" t="s">
        <v>4818</v>
      </c>
      <c r="D733" t="s">
        <v>18</v>
      </c>
      <c r="E733" t="s">
        <v>2669</v>
      </c>
      <c r="F733" t="s">
        <v>2670</v>
      </c>
      <c r="G733" t="s">
        <v>21</v>
      </c>
      <c r="H733" t="s">
        <v>4826</v>
      </c>
      <c r="I733" t="s">
        <v>4979</v>
      </c>
      <c r="J733" s="4" t="s">
        <v>4980</v>
      </c>
      <c r="K733" s="4" t="s">
        <v>4832</v>
      </c>
      <c r="L733" s="4">
        <v>42</v>
      </c>
      <c r="M733" s="4" t="s">
        <v>5035</v>
      </c>
      <c r="N733" t="s">
        <v>15</v>
      </c>
      <c r="O733" t="s">
        <v>2671</v>
      </c>
      <c r="P733" t="s">
        <v>23</v>
      </c>
      <c r="Q733" t="s">
        <v>24</v>
      </c>
      <c r="R733" t="s">
        <v>25</v>
      </c>
      <c r="S733" t="s">
        <v>26</v>
      </c>
      <c r="T733" s="6">
        <v>46307</v>
      </c>
      <c r="U733">
        <v>276</v>
      </c>
      <c r="V733">
        <v>276</v>
      </c>
      <c r="W733">
        <v>300</v>
      </c>
      <c r="X733">
        <v>300</v>
      </c>
      <c r="Y733">
        <f t="shared" si="110"/>
        <v>0</v>
      </c>
      <c r="Z733">
        <f t="shared" si="111"/>
        <v>-24</v>
      </c>
      <c r="AC733" s="1">
        <v>0</v>
      </c>
      <c r="AF733">
        <f>V733</f>
        <v>276</v>
      </c>
      <c r="AG733" s="7">
        <v>12</v>
      </c>
      <c r="AH733">
        <f t="shared" si="112"/>
        <v>276</v>
      </c>
      <c r="AI733">
        <f t="shared" si="109"/>
        <v>0</v>
      </c>
      <c r="AK733">
        <f t="shared" si="113"/>
        <v>23</v>
      </c>
      <c r="AL733">
        <v>7.12</v>
      </c>
      <c r="AM733" t="s">
        <v>27</v>
      </c>
      <c r="AN733">
        <v>7.12</v>
      </c>
      <c r="AO733" t="b">
        <f t="shared" si="114"/>
        <v>1</v>
      </c>
      <c r="AR733" t="s">
        <v>5061</v>
      </c>
      <c r="AS733" s="21">
        <v>46276</v>
      </c>
      <c r="AT733" t="s">
        <v>5062</v>
      </c>
      <c r="AU733" t="s">
        <v>5073</v>
      </c>
      <c r="AV733" t="s">
        <v>5062</v>
      </c>
      <c r="AW733" t="s">
        <v>5086</v>
      </c>
    </row>
    <row r="734" spans="1:49" x14ac:dyDescent="0.35">
      <c r="A734" t="s">
        <v>871</v>
      </c>
      <c r="B734" t="s">
        <v>872</v>
      </c>
      <c r="C734" t="s">
        <v>4818</v>
      </c>
      <c r="D734" t="s">
        <v>18</v>
      </c>
      <c r="E734" t="s">
        <v>2672</v>
      </c>
      <c r="F734" t="s">
        <v>2673</v>
      </c>
      <c r="G734" t="s">
        <v>21</v>
      </c>
      <c r="H734" t="s">
        <v>4826</v>
      </c>
      <c r="I734" t="s">
        <v>4979</v>
      </c>
      <c r="J734" s="4" t="s">
        <v>4980</v>
      </c>
      <c r="K734" s="4" t="s">
        <v>4837</v>
      </c>
      <c r="L734" s="4">
        <v>31</v>
      </c>
      <c r="M734" s="4" t="s">
        <v>5035</v>
      </c>
      <c r="N734" t="s">
        <v>15</v>
      </c>
      <c r="O734" t="s">
        <v>2674</v>
      </c>
      <c r="P734" t="s">
        <v>23</v>
      </c>
      <c r="Q734" t="s">
        <v>24</v>
      </c>
      <c r="R734" t="s">
        <v>25</v>
      </c>
      <c r="S734" t="s">
        <v>26</v>
      </c>
      <c r="T734" s="6">
        <v>46307</v>
      </c>
      <c r="U734">
        <v>264</v>
      </c>
      <c r="V734">
        <v>264</v>
      </c>
      <c r="W734">
        <v>240</v>
      </c>
      <c r="X734">
        <v>240</v>
      </c>
      <c r="Y734">
        <f t="shared" si="110"/>
        <v>0</v>
      </c>
      <c r="Z734">
        <f t="shared" si="111"/>
        <v>24</v>
      </c>
      <c r="AA734">
        <f t="shared" ref="AA734:AA742" si="117">Z734</f>
        <v>24</v>
      </c>
      <c r="AC734" s="1">
        <v>0</v>
      </c>
      <c r="AF734">
        <f t="shared" ref="AF734:AF742" si="118">X734</f>
        <v>240</v>
      </c>
      <c r="AG734" s="7">
        <v>12</v>
      </c>
      <c r="AH734">
        <f t="shared" si="112"/>
        <v>240</v>
      </c>
      <c r="AI734">
        <f t="shared" si="109"/>
        <v>24</v>
      </c>
      <c r="AK734">
        <f t="shared" si="113"/>
        <v>20</v>
      </c>
      <c r="AL734">
        <v>7.12</v>
      </c>
      <c r="AM734" t="s">
        <v>27</v>
      </c>
      <c r="AN734">
        <v>7.12</v>
      </c>
      <c r="AO734" t="b">
        <f t="shared" si="114"/>
        <v>1</v>
      </c>
      <c r="AR734" t="s">
        <v>5061</v>
      </c>
      <c r="AS734" s="21">
        <v>46276</v>
      </c>
      <c r="AT734" t="s">
        <v>5062</v>
      </c>
      <c r="AU734" t="s">
        <v>5073</v>
      </c>
      <c r="AV734" t="s">
        <v>5062</v>
      </c>
      <c r="AW734" t="s">
        <v>5086</v>
      </c>
    </row>
    <row r="735" spans="1:49" x14ac:dyDescent="0.35">
      <c r="A735" t="s">
        <v>871</v>
      </c>
      <c r="B735" t="s">
        <v>872</v>
      </c>
      <c r="C735" t="s">
        <v>4818</v>
      </c>
      <c r="D735" t="s">
        <v>18</v>
      </c>
      <c r="E735" t="s">
        <v>2675</v>
      </c>
      <c r="F735" t="s">
        <v>2676</v>
      </c>
      <c r="G735" t="s">
        <v>21</v>
      </c>
      <c r="H735" t="s">
        <v>4826</v>
      </c>
      <c r="I735" t="s">
        <v>4979</v>
      </c>
      <c r="J735" s="4" t="s">
        <v>4980</v>
      </c>
      <c r="K735" s="4" t="s">
        <v>4837</v>
      </c>
      <c r="L735" s="4">
        <v>29</v>
      </c>
      <c r="M735" s="4" t="s">
        <v>5035</v>
      </c>
      <c r="N735" t="s">
        <v>15</v>
      </c>
      <c r="O735" t="s">
        <v>2677</v>
      </c>
      <c r="P735" t="s">
        <v>23</v>
      </c>
      <c r="Q735" t="s">
        <v>24</v>
      </c>
      <c r="R735" t="s">
        <v>25</v>
      </c>
      <c r="S735" t="s">
        <v>26</v>
      </c>
      <c r="T735" s="6">
        <v>46307</v>
      </c>
      <c r="U735">
        <v>132</v>
      </c>
      <c r="V735">
        <v>132</v>
      </c>
      <c r="W735">
        <v>108</v>
      </c>
      <c r="X735">
        <v>108</v>
      </c>
      <c r="Y735">
        <f t="shared" si="110"/>
        <v>0</v>
      </c>
      <c r="Z735">
        <f t="shared" si="111"/>
        <v>24</v>
      </c>
      <c r="AA735">
        <f t="shared" si="117"/>
        <v>24</v>
      </c>
      <c r="AC735" s="1">
        <v>0</v>
      </c>
      <c r="AF735">
        <f t="shared" si="118"/>
        <v>108</v>
      </c>
      <c r="AG735" s="7">
        <v>12</v>
      </c>
      <c r="AH735">
        <f t="shared" si="112"/>
        <v>108</v>
      </c>
      <c r="AI735">
        <f t="shared" si="109"/>
        <v>24</v>
      </c>
      <c r="AK735">
        <f t="shared" si="113"/>
        <v>9</v>
      </c>
      <c r="AL735">
        <v>7.12</v>
      </c>
      <c r="AM735" t="s">
        <v>27</v>
      </c>
      <c r="AN735">
        <v>7.12</v>
      </c>
      <c r="AO735" t="b">
        <f t="shared" si="114"/>
        <v>1</v>
      </c>
      <c r="AR735" t="s">
        <v>5061</v>
      </c>
      <c r="AS735" s="21">
        <v>46276</v>
      </c>
      <c r="AT735" t="s">
        <v>5062</v>
      </c>
      <c r="AU735" t="s">
        <v>5073</v>
      </c>
      <c r="AV735" t="s">
        <v>5062</v>
      </c>
      <c r="AW735" t="s">
        <v>5086</v>
      </c>
    </row>
    <row r="736" spans="1:49" x14ac:dyDescent="0.35">
      <c r="A736" t="s">
        <v>871</v>
      </c>
      <c r="B736" t="s">
        <v>872</v>
      </c>
      <c r="C736" t="s">
        <v>4818</v>
      </c>
      <c r="D736" t="s">
        <v>18</v>
      </c>
      <c r="E736" t="s">
        <v>2678</v>
      </c>
      <c r="F736" t="s">
        <v>2679</v>
      </c>
      <c r="G736" t="s">
        <v>2680</v>
      </c>
      <c r="H736" t="s">
        <v>4826</v>
      </c>
      <c r="I736" t="s">
        <v>4979</v>
      </c>
      <c r="J736" s="4" t="s">
        <v>4980</v>
      </c>
      <c r="K736" s="4" t="s">
        <v>4937</v>
      </c>
      <c r="L736" s="4">
        <v>38</v>
      </c>
      <c r="M736" s="4" t="s">
        <v>5035</v>
      </c>
      <c r="N736" t="s">
        <v>15</v>
      </c>
      <c r="O736" t="s">
        <v>2681</v>
      </c>
      <c r="P736" t="s">
        <v>23</v>
      </c>
      <c r="Q736" t="s">
        <v>24</v>
      </c>
      <c r="R736" t="s">
        <v>25</v>
      </c>
      <c r="S736" t="s">
        <v>26</v>
      </c>
      <c r="T736" s="6">
        <v>46307</v>
      </c>
      <c r="U736">
        <v>396</v>
      </c>
      <c r="V736">
        <v>396</v>
      </c>
      <c r="W736">
        <v>360</v>
      </c>
      <c r="X736">
        <v>360</v>
      </c>
      <c r="Y736">
        <f t="shared" si="110"/>
        <v>0</v>
      </c>
      <c r="Z736">
        <f t="shared" si="111"/>
        <v>36</v>
      </c>
      <c r="AA736">
        <f t="shared" si="117"/>
        <v>36</v>
      </c>
      <c r="AC736" s="1">
        <v>0</v>
      </c>
      <c r="AF736">
        <f t="shared" si="118"/>
        <v>360</v>
      </c>
      <c r="AG736" s="7">
        <v>12</v>
      </c>
      <c r="AH736">
        <f t="shared" si="112"/>
        <v>360</v>
      </c>
      <c r="AI736">
        <f t="shared" si="109"/>
        <v>36</v>
      </c>
      <c r="AK736">
        <f t="shared" si="113"/>
        <v>30</v>
      </c>
      <c r="AL736">
        <v>7.12</v>
      </c>
      <c r="AM736" t="s">
        <v>27</v>
      </c>
      <c r="AN736">
        <v>7.12</v>
      </c>
      <c r="AO736" t="b">
        <f t="shared" si="114"/>
        <v>1</v>
      </c>
      <c r="AR736" t="s">
        <v>5061</v>
      </c>
      <c r="AS736" s="21">
        <v>46276</v>
      </c>
      <c r="AT736" t="s">
        <v>5062</v>
      </c>
      <c r="AU736" t="s">
        <v>5073</v>
      </c>
      <c r="AV736" t="s">
        <v>5062</v>
      </c>
      <c r="AW736" t="s">
        <v>5086</v>
      </c>
    </row>
    <row r="737" spans="1:49" x14ac:dyDescent="0.35">
      <c r="A737" t="s">
        <v>871</v>
      </c>
      <c r="B737" t="s">
        <v>872</v>
      </c>
      <c r="C737" t="s">
        <v>4818</v>
      </c>
      <c r="D737" t="s">
        <v>18</v>
      </c>
      <c r="E737" t="s">
        <v>2682</v>
      </c>
      <c r="F737" t="s">
        <v>2683</v>
      </c>
      <c r="G737" t="s">
        <v>2680</v>
      </c>
      <c r="H737" t="s">
        <v>4826</v>
      </c>
      <c r="I737" t="s">
        <v>4979</v>
      </c>
      <c r="J737" s="4" t="s">
        <v>4980</v>
      </c>
      <c r="K737" s="4" t="s">
        <v>4937</v>
      </c>
      <c r="L737" s="4">
        <v>42</v>
      </c>
      <c r="M737" s="4" t="s">
        <v>5035</v>
      </c>
      <c r="N737" t="s">
        <v>15</v>
      </c>
      <c r="O737" t="s">
        <v>2684</v>
      </c>
      <c r="P737" t="s">
        <v>23</v>
      </c>
      <c r="Q737" t="s">
        <v>24</v>
      </c>
      <c r="R737" t="s">
        <v>25</v>
      </c>
      <c r="S737" t="s">
        <v>26</v>
      </c>
      <c r="T737" s="6">
        <v>46307</v>
      </c>
      <c r="U737">
        <v>372</v>
      </c>
      <c r="V737">
        <v>372</v>
      </c>
      <c r="W737">
        <v>336</v>
      </c>
      <c r="X737">
        <v>336</v>
      </c>
      <c r="Y737">
        <f t="shared" si="110"/>
        <v>0</v>
      </c>
      <c r="Z737">
        <f t="shared" si="111"/>
        <v>36</v>
      </c>
      <c r="AA737">
        <f t="shared" si="117"/>
        <v>36</v>
      </c>
      <c r="AC737" s="1">
        <v>0</v>
      </c>
      <c r="AF737">
        <f t="shared" si="118"/>
        <v>336</v>
      </c>
      <c r="AG737" s="7">
        <v>12</v>
      </c>
      <c r="AH737">
        <f t="shared" si="112"/>
        <v>336</v>
      </c>
      <c r="AI737">
        <f t="shared" si="109"/>
        <v>36</v>
      </c>
      <c r="AK737">
        <f t="shared" si="113"/>
        <v>28</v>
      </c>
      <c r="AL737">
        <v>7.12</v>
      </c>
      <c r="AM737" t="s">
        <v>27</v>
      </c>
      <c r="AN737">
        <v>7.12</v>
      </c>
      <c r="AO737" t="b">
        <f t="shared" si="114"/>
        <v>1</v>
      </c>
      <c r="AR737" t="s">
        <v>5061</v>
      </c>
      <c r="AS737" s="21">
        <v>46276</v>
      </c>
      <c r="AT737" t="s">
        <v>5062</v>
      </c>
      <c r="AU737" t="s">
        <v>5073</v>
      </c>
      <c r="AV737" t="s">
        <v>5062</v>
      </c>
      <c r="AW737" t="s">
        <v>5086</v>
      </c>
    </row>
    <row r="738" spans="1:49" x14ac:dyDescent="0.35">
      <c r="A738" t="s">
        <v>871</v>
      </c>
      <c r="B738" t="s">
        <v>872</v>
      </c>
      <c r="C738" t="s">
        <v>4818</v>
      </c>
      <c r="D738" t="s">
        <v>18</v>
      </c>
      <c r="E738" t="s">
        <v>2685</v>
      </c>
      <c r="F738" t="s">
        <v>2686</v>
      </c>
      <c r="G738" t="s">
        <v>2680</v>
      </c>
      <c r="H738" t="s">
        <v>4826</v>
      </c>
      <c r="I738" t="s">
        <v>4979</v>
      </c>
      <c r="J738" s="4" t="s">
        <v>4980</v>
      </c>
      <c r="K738" s="4" t="s">
        <v>4937</v>
      </c>
      <c r="L738" s="4">
        <v>36</v>
      </c>
      <c r="M738" s="4" t="s">
        <v>5035</v>
      </c>
      <c r="N738" t="s">
        <v>15</v>
      </c>
      <c r="O738" t="s">
        <v>2687</v>
      </c>
      <c r="P738" t="s">
        <v>23</v>
      </c>
      <c r="Q738" t="s">
        <v>24</v>
      </c>
      <c r="R738" t="s">
        <v>25</v>
      </c>
      <c r="S738" t="s">
        <v>26</v>
      </c>
      <c r="T738" s="6">
        <v>46307</v>
      </c>
      <c r="U738">
        <v>708</v>
      </c>
      <c r="V738">
        <v>708</v>
      </c>
      <c r="W738">
        <v>648</v>
      </c>
      <c r="X738">
        <v>648</v>
      </c>
      <c r="Y738">
        <f t="shared" si="110"/>
        <v>0</v>
      </c>
      <c r="Z738">
        <f t="shared" si="111"/>
        <v>60</v>
      </c>
      <c r="AA738">
        <f t="shared" si="117"/>
        <v>60</v>
      </c>
      <c r="AC738" s="1">
        <v>0</v>
      </c>
      <c r="AF738">
        <f t="shared" si="118"/>
        <v>648</v>
      </c>
      <c r="AG738" s="7">
        <v>12</v>
      </c>
      <c r="AH738">
        <f t="shared" si="112"/>
        <v>648</v>
      </c>
      <c r="AI738">
        <f t="shared" si="109"/>
        <v>60</v>
      </c>
      <c r="AK738">
        <f t="shared" si="113"/>
        <v>54</v>
      </c>
      <c r="AL738">
        <v>7.12</v>
      </c>
      <c r="AM738" t="s">
        <v>27</v>
      </c>
      <c r="AN738">
        <v>7.12</v>
      </c>
      <c r="AO738" t="b">
        <f t="shared" si="114"/>
        <v>1</v>
      </c>
      <c r="AR738" t="s">
        <v>5061</v>
      </c>
      <c r="AS738" s="21">
        <v>46276</v>
      </c>
      <c r="AT738" t="s">
        <v>5062</v>
      </c>
      <c r="AU738" t="s">
        <v>5073</v>
      </c>
      <c r="AV738" t="s">
        <v>5062</v>
      </c>
      <c r="AW738" t="s">
        <v>5086</v>
      </c>
    </row>
    <row r="739" spans="1:49" x14ac:dyDescent="0.35">
      <c r="A739" t="s">
        <v>871</v>
      </c>
      <c r="B739" t="s">
        <v>872</v>
      </c>
      <c r="C739" t="s">
        <v>4818</v>
      </c>
      <c r="D739" t="s">
        <v>18</v>
      </c>
      <c r="E739" t="s">
        <v>2688</v>
      </c>
      <c r="F739" t="s">
        <v>2689</v>
      </c>
      <c r="G739" t="s">
        <v>2680</v>
      </c>
      <c r="H739" t="s">
        <v>4826</v>
      </c>
      <c r="I739" t="s">
        <v>4979</v>
      </c>
      <c r="J739" s="4" t="s">
        <v>4980</v>
      </c>
      <c r="K739" s="4" t="s">
        <v>4937</v>
      </c>
      <c r="L739" s="4">
        <v>33</v>
      </c>
      <c r="M739" s="4" t="s">
        <v>5035</v>
      </c>
      <c r="N739" t="s">
        <v>15</v>
      </c>
      <c r="O739" t="s">
        <v>2690</v>
      </c>
      <c r="P739" t="s">
        <v>23</v>
      </c>
      <c r="Q739" t="s">
        <v>24</v>
      </c>
      <c r="R739" t="s">
        <v>25</v>
      </c>
      <c r="S739" t="s">
        <v>26</v>
      </c>
      <c r="T739" s="6">
        <v>46307</v>
      </c>
      <c r="U739">
        <v>420</v>
      </c>
      <c r="V739">
        <v>420</v>
      </c>
      <c r="W739">
        <v>372</v>
      </c>
      <c r="X739">
        <v>372</v>
      </c>
      <c r="Y739">
        <f t="shared" si="110"/>
        <v>0</v>
      </c>
      <c r="Z739">
        <f t="shared" si="111"/>
        <v>48</v>
      </c>
      <c r="AA739">
        <f t="shared" si="117"/>
        <v>48</v>
      </c>
      <c r="AC739" s="1">
        <v>0</v>
      </c>
      <c r="AF739">
        <f t="shared" si="118"/>
        <v>372</v>
      </c>
      <c r="AG739" s="7">
        <v>12</v>
      </c>
      <c r="AH739">
        <f t="shared" si="112"/>
        <v>372</v>
      </c>
      <c r="AI739">
        <f t="shared" si="109"/>
        <v>48</v>
      </c>
      <c r="AK739">
        <f t="shared" si="113"/>
        <v>31</v>
      </c>
      <c r="AL739">
        <v>7.12</v>
      </c>
      <c r="AM739" t="s">
        <v>27</v>
      </c>
      <c r="AN739">
        <v>7.12</v>
      </c>
      <c r="AO739" t="b">
        <f t="shared" si="114"/>
        <v>1</v>
      </c>
      <c r="AR739" t="s">
        <v>5061</v>
      </c>
      <c r="AS739" s="21">
        <v>46276</v>
      </c>
      <c r="AT739" t="s">
        <v>5062</v>
      </c>
      <c r="AU739" t="s">
        <v>5073</v>
      </c>
      <c r="AV739" t="s">
        <v>5062</v>
      </c>
      <c r="AW739" t="s">
        <v>5086</v>
      </c>
    </row>
    <row r="740" spans="1:49" x14ac:dyDescent="0.35">
      <c r="A740" t="s">
        <v>871</v>
      </c>
      <c r="B740" t="s">
        <v>872</v>
      </c>
      <c r="C740" t="s">
        <v>4818</v>
      </c>
      <c r="D740" t="s">
        <v>18</v>
      </c>
      <c r="E740" t="s">
        <v>2691</v>
      </c>
      <c r="F740" t="s">
        <v>2692</v>
      </c>
      <c r="G740" t="s">
        <v>2680</v>
      </c>
      <c r="H740" t="s">
        <v>4826</v>
      </c>
      <c r="I740" t="s">
        <v>4979</v>
      </c>
      <c r="J740" s="4" t="s">
        <v>4980</v>
      </c>
      <c r="K740" s="4" t="s">
        <v>4937</v>
      </c>
      <c r="L740" s="4">
        <v>40</v>
      </c>
      <c r="M740" s="4" t="s">
        <v>5035</v>
      </c>
      <c r="N740" t="s">
        <v>15</v>
      </c>
      <c r="O740" t="s">
        <v>2693</v>
      </c>
      <c r="P740" t="s">
        <v>23</v>
      </c>
      <c r="Q740" t="s">
        <v>24</v>
      </c>
      <c r="R740" t="s">
        <v>25</v>
      </c>
      <c r="S740" t="s">
        <v>26</v>
      </c>
      <c r="T740" s="6">
        <v>46307</v>
      </c>
      <c r="U740">
        <v>648</v>
      </c>
      <c r="V740">
        <v>648</v>
      </c>
      <c r="W740">
        <v>588</v>
      </c>
      <c r="X740">
        <v>588</v>
      </c>
      <c r="Y740">
        <f t="shared" si="110"/>
        <v>0</v>
      </c>
      <c r="Z740">
        <f t="shared" si="111"/>
        <v>60</v>
      </c>
      <c r="AA740">
        <f t="shared" si="117"/>
        <v>60</v>
      </c>
      <c r="AC740" s="1">
        <v>0</v>
      </c>
      <c r="AF740">
        <f t="shared" si="118"/>
        <v>588</v>
      </c>
      <c r="AG740" s="7">
        <v>12</v>
      </c>
      <c r="AH740">
        <f t="shared" si="112"/>
        <v>588</v>
      </c>
      <c r="AI740">
        <f t="shared" si="109"/>
        <v>60</v>
      </c>
      <c r="AK740">
        <f t="shared" si="113"/>
        <v>49</v>
      </c>
      <c r="AL740">
        <v>7.12</v>
      </c>
      <c r="AM740" t="s">
        <v>27</v>
      </c>
      <c r="AN740">
        <v>7.12</v>
      </c>
      <c r="AO740" t="b">
        <f t="shared" si="114"/>
        <v>1</v>
      </c>
      <c r="AR740" t="s">
        <v>5061</v>
      </c>
      <c r="AS740" s="21">
        <v>46276</v>
      </c>
      <c r="AT740" t="s">
        <v>5062</v>
      </c>
      <c r="AU740" t="s">
        <v>5073</v>
      </c>
      <c r="AV740" t="s">
        <v>5062</v>
      </c>
      <c r="AW740" t="s">
        <v>5086</v>
      </c>
    </row>
    <row r="741" spans="1:49" x14ac:dyDescent="0.35">
      <c r="A741" t="s">
        <v>871</v>
      </c>
      <c r="B741" t="s">
        <v>872</v>
      </c>
      <c r="C741" t="s">
        <v>4818</v>
      </c>
      <c r="D741" t="s">
        <v>18</v>
      </c>
      <c r="E741" t="s">
        <v>2694</v>
      </c>
      <c r="F741" t="s">
        <v>2695</v>
      </c>
      <c r="G741" t="s">
        <v>2680</v>
      </c>
      <c r="H741" t="s">
        <v>4826</v>
      </c>
      <c r="I741" t="s">
        <v>4979</v>
      </c>
      <c r="J741" s="4" t="s">
        <v>4980</v>
      </c>
      <c r="K741" s="4" t="s">
        <v>4937</v>
      </c>
      <c r="L741" s="4">
        <v>29</v>
      </c>
      <c r="M741" s="4" t="s">
        <v>5035</v>
      </c>
      <c r="N741" t="s">
        <v>15</v>
      </c>
      <c r="O741" t="s">
        <v>2696</v>
      </c>
      <c r="P741" t="s">
        <v>23</v>
      </c>
      <c r="Q741" t="s">
        <v>24</v>
      </c>
      <c r="R741" t="s">
        <v>25</v>
      </c>
      <c r="S741" t="s">
        <v>26</v>
      </c>
      <c r="T741" s="6">
        <v>46307</v>
      </c>
      <c r="U741">
        <v>60</v>
      </c>
      <c r="V741">
        <v>60</v>
      </c>
      <c r="W741">
        <v>48</v>
      </c>
      <c r="X741">
        <v>48</v>
      </c>
      <c r="Y741">
        <f t="shared" si="110"/>
        <v>0</v>
      </c>
      <c r="Z741">
        <f t="shared" si="111"/>
        <v>12</v>
      </c>
      <c r="AA741">
        <f t="shared" si="117"/>
        <v>12</v>
      </c>
      <c r="AC741" s="1">
        <v>0</v>
      </c>
      <c r="AF741">
        <f t="shared" si="118"/>
        <v>48</v>
      </c>
      <c r="AG741" s="7">
        <v>12</v>
      </c>
      <c r="AH741">
        <f t="shared" si="112"/>
        <v>48</v>
      </c>
      <c r="AI741">
        <f t="shared" si="109"/>
        <v>12</v>
      </c>
      <c r="AK741">
        <f t="shared" si="113"/>
        <v>4</v>
      </c>
      <c r="AL741">
        <v>7.12</v>
      </c>
      <c r="AM741" t="s">
        <v>27</v>
      </c>
      <c r="AN741">
        <v>7.12</v>
      </c>
      <c r="AO741" t="b">
        <f t="shared" si="114"/>
        <v>1</v>
      </c>
      <c r="AR741" t="s">
        <v>5061</v>
      </c>
      <c r="AS741" s="21">
        <v>46276</v>
      </c>
      <c r="AT741" t="s">
        <v>5062</v>
      </c>
      <c r="AU741" t="s">
        <v>5073</v>
      </c>
      <c r="AV741" t="s">
        <v>5062</v>
      </c>
      <c r="AW741" t="s">
        <v>5086</v>
      </c>
    </row>
    <row r="742" spans="1:49" x14ac:dyDescent="0.35">
      <c r="A742" t="s">
        <v>871</v>
      </c>
      <c r="B742" t="s">
        <v>872</v>
      </c>
      <c r="C742" t="s">
        <v>4818</v>
      </c>
      <c r="D742" t="s">
        <v>18</v>
      </c>
      <c r="E742" t="s">
        <v>2697</v>
      </c>
      <c r="F742" t="s">
        <v>2698</v>
      </c>
      <c r="G742" t="s">
        <v>2680</v>
      </c>
      <c r="H742" t="s">
        <v>4826</v>
      </c>
      <c r="I742" t="s">
        <v>4979</v>
      </c>
      <c r="J742" s="4" t="s">
        <v>4980</v>
      </c>
      <c r="K742" s="4" t="s">
        <v>4937</v>
      </c>
      <c r="L742" s="4">
        <v>32</v>
      </c>
      <c r="M742" s="4" t="s">
        <v>5035</v>
      </c>
      <c r="N742" t="s">
        <v>15</v>
      </c>
      <c r="O742" t="s">
        <v>2699</v>
      </c>
      <c r="P742" t="s">
        <v>23</v>
      </c>
      <c r="Q742" t="s">
        <v>24</v>
      </c>
      <c r="R742" t="s">
        <v>25</v>
      </c>
      <c r="S742" t="s">
        <v>26</v>
      </c>
      <c r="T742" s="6">
        <v>46307</v>
      </c>
      <c r="U742">
        <v>516</v>
      </c>
      <c r="V742">
        <v>516</v>
      </c>
      <c r="W742">
        <v>456</v>
      </c>
      <c r="X742">
        <v>456</v>
      </c>
      <c r="Y742">
        <f t="shared" si="110"/>
        <v>0</v>
      </c>
      <c r="Z742">
        <f t="shared" si="111"/>
        <v>60</v>
      </c>
      <c r="AA742">
        <f t="shared" si="117"/>
        <v>60</v>
      </c>
      <c r="AC742" s="1">
        <v>0</v>
      </c>
      <c r="AF742">
        <f t="shared" si="118"/>
        <v>456</v>
      </c>
      <c r="AG742" s="7">
        <v>12</v>
      </c>
      <c r="AH742">
        <f t="shared" si="112"/>
        <v>456</v>
      </c>
      <c r="AI742">
        <f t="shared" si="109"/>
        <v>60</v>
      </c>
      <c r="AK742">
        <f t="shared" si="113"/>
        <v>38</v>
      </c>
      <c r="AL742">
        <v>7.12</v>
      </c>
      <c r="AM742" t="s">
        <v>27</v>
      </c>
      <c r="AN742">
        <v>7.12</v>
      </c>
      <c r="AO742" t="b">
        <f t="shared" si="114"/>
        <v>1</v>
      </c>
      <c r="AR742" t="s">
        <v>5061</v>
      </c>
      <c r="AS742" s="21">
        <v>46276</v>
      </c>
      <c r="AT742" t="s">
        <v>5062</v>
      </c>
      <c r="AU742" t="s">
        <v>5073</v>
      </c>
      <c r="AV742" t="s">
        <v>5062</v>
      </c>
      <c r="AW742" t="s">
        <v>5086</v>
      </c>
    </row>
    <row r="743" spans="1:49" x14ac:dyDescent="0.35">
      <c r="A743" t="s">
        <v>871</v>
      </c>
      <c r="B743" t="s">
        <v>872</v>
      </c>
      <c r="C743" t="s">
        <v>4818</v>
      </c>
      <c r="D743" t="s">
        <v>18</v>
      </c>
      <c r="E743" t="s">
        <v>2700</v>
      </c>
      <c r="F743" t="s">
        <v>2701</v>
      </c>
      <c r="G743" t="s">
        <v>2680</v>
      </c>
      <c r="H743" t="s">
        <v>4826</v>
      </c>
      <c r="I743" t="s">
        <v>4979</v>
      </c>
      <c r="J743" s="4" t="s">
        <v>4980</v>
      </c>
      <c r="K743" s="4" t="s">
        <v>4837</v>
      </c>
      <c r="L743" s="4">
        <v>34</v>
      </c>
      <c r="M743" s="4" t="s">
        <v>5035</v>
      </c>
      <c r="N743" t="s">
        <v>15</v>
      </c>
      <c r="O743" t="s">
        <v>2702</v>
      </c>
      <c r="P743" t="s">
        <v>23</v>
      </c>
      <c r="Q743" t="s">
        <v>24</v>
      </c>
      <c r="R743" t="s">
        <v>25</v>
      </c>
      <c r="S743" t="s">
        <v>26</v>
      </c>
      <c r="T743" s="6">
        <v>46307</v>
      </c>
      <c r="U743">
        <v>936</v>
      </c>
      <c r="V743">
        <v>936</v>
      </c>
      <c r="W743">
        <v>996</v>
      </c>
      <c r="X743">
        <v>996</v>
      </c>
      <c r="Y743">
        <f t="shared" si="110"/>
        <v>0</v>
      </c>
      <c r="Z743">
        <f t="shared" si="111"/>
        <v>-60</v>
      </c>
      <c r="AC743" s="1"/>
      <c r="AF743">
        <f>V743</f>
        <v>936</v>
      </c>
      <c r="AG743" s="7">
        <v>12</v>
      </c>
      <c r="AH743">
        <f t="shared" si="112"/>
        <v>936</v>
      </c>
      <c r="AI743">
        <f t="shared" si="109"/>
        <v>0</v>
      </c>
      <c r="AK743">
        <f t="shared" si="113"/>
        <v>78</v>
      </c>
      <c r="AL743">
        <v>7.12</v>
      </c>
      <c r="AM743" t="s">
        <v>27</v>
      </c>
      <c r="AN743">
        <v>7.12</v>
      </c>
      <c r="AO743" t="b">
        <f t="shared" si="114"/>
        <v>1</v>
      </c>
      <c r="AR743" t="s">
        <v>5061</v>
      </c>
      <c r="AS743" s="21">
        <v>46276</v>
      </c>
      <c r="AT743" t="s">
        <v>5062</v>
      </c>
      <c r="AU743" t="s">
        <v>5073</v>
      </c>
      <c r="AV743" t="s">
        <v>5062</v>
      </c>
      <c r="AW743" t="s">
        <v>5086</v>
      </c>
    </row>
    <row r="744" spans="1:49" x14ac:dyDescent="0.35">
      <c r="A744" t="s">
        <v>871</v>
      </c>
      <c r="B744" t="s">
        <v>872</v>
      </c>
      <c r="C744" t="s">
        <v>4818</v>
      </c>
      <c r="D744" t="s">
        <v>18</v>
      </c>
      <c r="E744" t="s">
        <v>2703</v>
      </c>
      <c r="F744" t="s">
        <v>2704</v>
      </c>
      <c r="G744" t="s">
        <v>2680</v>
      </c>
      <c r="H744" t="s">
        <v>4826</v>
      </c>
      <c r="I744" t="s">
        <v>4979</v>
      </c>
      <c r="J744" s="4" t="s">
        <v>4980</v>
      </c>
      <c r="K744" s="4" t="s">
        <v>4837</v>
      </c>
      <c r="L744" s="4">
        <v>38</v>
      </c>
      <c r="M744" s="4" t="s">
        <v>5035</v>
      </c>
      <c r="N744" t="s">
        <v>15</v>
      </c>
      <c r="O744" t="s">
        <v>2705</v>
      </c>
      <c r="P744" t="s">
        <v>23</v>
      </c>
      <c r="Q744" t="s">
        <v>24</v>
      </c>
      <c r="R744" t="s">
        <v>25</v>
      </c>
      <c r="S744" t="s">
        <v>26</v>
      </c>
      <c r="T744" s="6">
        <v>46307</v>
      </c>
      <c r="U744">
        <v>264</v>
      </c>
      <c r="V744">
        <v>264</v>
      </c>
      <c r="W744">
        <v>240</v>
      </c>
      <c r="X744">
        <v>240</v>
      </c>
      <c r="Y744">
        <f t="shared" si="110"/>
        <v>0</v>
      </c>
      <c r="Z744">
        <f t="shared" si="111"/>
        <v>24</v>
      </c>
      <c r="AA744">
        <f>Z744</f>
        <v>24</v>
      </c>
      <c r="AC744" s="1">
        <v>0</v>
      </c>
      <c r="AF744">
        <f>X744</f>
        <v>240</v>
      </c>
      <c r="AG744" s="7">
        <v>12</v>
      </c>
      <c r="AH744">
        <f t="shared" si="112"/>
        <v>240</v>
      </c>
      <c r="AI744">
        <f t="shared" si="109"/>
        <v>24</v>
      </c>
      <c r="AK744">
        <f t="shared" si="113"/>
        <v>20</v>
      </c>
      <c r="AL744">
        <v>7.12</v>
      </c>
      <c r="AM744" t="s">
        <v>27</v>
      </c>
      <c r="AN744">
        <v>7.12</v>
      </c>
      <c r="AO744" t="b">
        <f t="shared" si="114"/>
        <v>1</v>
      </c>
      <c r="AR744" t="s">
        <v>5061</v>
      </c>
      <c r="AS744" s="21">
        <v>46276</v>
      </c>
      <c r="AT744" t="s">
        <v>5062</v>
      </c>
      <c r="AU744" t="s">
        <v>5073</v>
      </c>
      <c r="AV744" t="s">
        <v>5062</v>
      </c>
      <c r="AW744" t="s">
        <v>5086</v>
      </c>
    </row>
    <row r="745" spans="1:49" x14ac:dyDescent="0.35">
      <c r="A745" t="s">
        <v>871</v>
      </c>
      <c r="B745" t="s">
        <v>872</v>
      </c>
      <c r="C745" t="s">
        <v>4818</v>
      </c>
      <c r="D745" t="s">
        <v>18</v>
      </c>
      <c r="E745" t="s">
        <v>2706</v>
      </c>
      <c r="F745" t="s">
        <v>2707</v>
      </c>
      <c r="G745" t="s">
        <v>2680</v>
      </c>
      <c r="H745" t="s">
        <v>4826</v>
      </c>
      <c r="I745" t="s">
        <v>4979</v>
      </c>
      <c r="J745" s="4" t="s">
        <v>4980</v>
      </c>
      <c r="K745" s="4" t="s">
        <v>4837</v>
      </c>
      <c r="L745" s="4">
        <v>32</v>
      </c>
      <c r="M745" s="4" t="s">
        <v>5035</v>
      </c>
      <c r="N745" t="s">
        <v>15</v>
      </c>
      <c r="O745" t="s">
        <v>2708</v>
      </c>
      <c r="P745" t="s">
        <v>23</v>
      </c>
      <c r="Q745" t="s">
        <v>24</v>
      </c>
      <c r="R745" t="s">
        <v>25</v>
      </c>
      <c r="S745" t="s">
        <v>26</v>
      </c>
      <c r="T745" s="6">
        <v>46307</v>
      </c>
      <c r="U745">
        <v>144</v>
      </c>
      <c r="V745">
        <v>144</v>
      </c>
      <c r="W745">
        <v>156</v>
      </c>
      <c r="X745">
        <v>156</v>
      </c>
      <c r="Y745">
        <f t="shared" si="110"/>
        <v>0</v>
      </c>
      <c r="Z745">
        <f t="shared" si="111"/>
        <v>-12</v>
      </c>
      <c r="AC745" s="1">
        <v>0</v>
      </c>
      <c r="AF745">
        <f>V745</f>
        <v>144</v>
      </c>
      <c r="AG745" s="7">
        <v>12</v>
      </c>
      <c r="AH745">
        <f t="shared" si="112"/>
        <v>144</v>
      </c>
      <c r="AI745">
        <f t="shared" si="109"/>
        <v>0</v>
      </c>
      <c r="AK745">
        <f t="shared" si="113"/>
        <v>12</v>
      </c>
      <c r="AL745">
        <v>7.12</v>
      </c>
      <c r="AM745" t="s">
        <v>27</v>
      </c>
      <c r="AN745">
        <v>7.12</v>
      </c>
      <c r="AO745" t="b">
        <f t="shared" si="114"/>
        <v>1</v>
      </c>
      <c r="AR745" t="s">
        <v>5061</v>
      </c>
      <c r="AS745" s="21">
        <v>46276</v>
      </c>
      <c r="AT745" t="s">
        <v>5062</v>
      </c>
      <c r="AU745" t="s">
        <v>5073</v>
      </c>
      <c r="AV745" t="s">
        <v>5062</v>
      </c>
      <c r="AW745" t="s">
        <v>5086</v>
      </c>
    </row>
    <row r="746" spans="1:49" x14ac:dyDescent="0.35">
      <c r="A746" t="s">
        <v>871</v>
      </c>
      <c r="B746" t="s">
        <v>872</v>
      </c>
      <c r="C746" t="s">
        <v>4818</v>
      </c>
      <c r="D746" t="s">
        <v>18</v>
      </c>
      <c r="E746" t="s">
        <v>2709</v>
      </c>
      <c r="F746" t="s">
        <v>2710</v>
      </c>
      <c r="G746" t="s">
        <v>2680</v>
      </c>
      <c r="H746" t="s">
        <v>4826</v>
      </c>
      <c r="I746" t="s">
        <v>4979</v>
      </c>
      <c r="J746" s="4" t="s">
        <v>4980</v>
      </c>
      <c r="K746" s="4" t="s">
        <v>4837</v>
      </c>
      <c r="L746" s="4">
        <v>42</v>
      </c>
      <c r="M746" s="4" t="s">
        <v>5035</v>
      </c>
      <c r="N746" t="s">
        <v>15</v>
      </c>
      <c r="O746" t="s">
        <v>2711</v>
      </c>
      <c r="P746" t="s">
        <v>23</v>
      </c>
      <c r="Q746" t="s">
        <v>24</v>
      </c>
      <c r="R746" t="s">
        <v>25</v>
      </c>
      <c r="S746" t="s">
        <v>26</v>
      </c>
      <c r="T746" s="6">
        <v>46307</v>
      </c>
      <c r="U746">
        <v>252</v>
      </c>
      <c r="V746">
        <v>252</v>
      </c>
      <c r="W746">
        <v>276</v>
      </c>
      <c r="X746">
        <v>276</v>
      </c>
      <c r="Y746">
        <f t="shared" si="110"/>
        <v>0</v>
      </c>
      <c r="Z746">
        <f t="shared" si="111"/>
        <v>-24</v>
      </c>
      <c r="AC746" s="1"/>
      <c r="AF746">
        <f>V746</f>
        <v>252</v>
      </c>
      <c r="AG746" s="7">
        <v>12</v>
      </c>
      <c r="AH746">
        <f t="shared" si="112"/>
        <v>252</v>
      </c>
      <c r="AI746">
        <f t="shared" si="109"/>
        <v>0</v>
      </c>
      <c r="AK746">
        <f t="shared" si="113"/>
        <v>21</v>
      </c>
      <c r="AL746">
        <v>7.12</v>
      </c>
      <c r="AM746" t="s">
        <v>27</v>
      </c>
      <c r="AN746">
        <v>7.12</v>
      </c>
      <c r="AO746" t="b">
        <f t="shared" si="114"/>
        <v>1</v>
      </c>
      <c r="AR746" t="s">
        <v>5061</v>
      </c>
      <c r="AS746" s="21">
        <v>46276</v>
      </c>
      <c r="AT746" t="s">
        <v>5062</v>
      </c>
      <c r="AU746" t="s">
        <v>5073</v>
      </c>
      <c r="AV746" t="s">
        <v>5062</v>
      </c>
      <c r="AW746" t="s">
        <v>5086</v>
      </c>
    </row>
    <row r="747" spans="1:49" x14ac:dyDescent="0.35">
      <c r="A747" t="s">
        <v>871</v>
      </c>
      <c r="B747" t="s">
        <v>872</v>
      </c>
      <c r="C747" t="s">
        <v>4818</v>
      </c>
      <c r="D747" t="s">
        <v>18</v>
      </c>
      <c r="E747" t="s">
        <v>2712</v>
      </c>
      <c r="F747" t="s">
        <v>2713</v>
      </c>
      <c r="G747" t="s">
        <v>2680</v>
      </c>
      <c r="H747" t="s">
        <v>4826</v>
      </c>
      <c r="I747" t="s">
        <v>4979</v>
      </c>
      <c r="J747" s="4" t="s">
        <v>4980</v>
      </c>
      <c r="K747" s="4" t="s">
        <v>4837</v>
      </c>
      <c r="L747" s="4">
        <v>36</v>
      </c>
      <c r="M747" s="4" t="s">
        <v>5035</v>
      </c>
      <c r="N747" t="s">
        <v>15</v>
      </c>
      <c r="O747" t="s">
        <v>2714</v>
      </c>
      <c r="P747" t="s">
        <v>23</v>
      </c>
      <c r="Q747" t="s">
        <v>24</v>
      </c>
      <c r="R747" t="s">
        <v>25</v>
      </c>
      <c r="S747" t="s">
        <v>26</v>
      </c>
      <c r="T747" s="6">
        <v>46307</v>
      </c>
      <c r="U747">
        <v>828</v>
      </c>
      <c r="V747">
        <v>828</v>
      </c>
      <c r="W747">
        <v>876</v>
      </c>
      <c r="X747">
        <v>876</v>
      </c>
      <c r="Y747">
        <f t="shared" si="110"/>
        <v>0</v>
      </c>
      <c r="Z747">
        <f t="shared" si="111"/>
        <v>-48</v>
      </c>
      <c r="AC747" s="1"/>
      <c r="AF747">
        <f>V747</f>
        <v>828</v>
      </c>
      <c r="AG747" s="7">
        <v>12</v>
      </c>
      <c r="AH747">
        <f t="shared" si="112"/>
        <v>828</v>
      </c>
      <c r="AI747">
        <f t="shared" si="109"/>
        <v>0</v>
      </c>
      <c r="AK747">
        <f t="shared" si="113"/>
        <v>69</v>
      </c>
      <c r="AL747">
        <v>7.12</v>
      </c>
      <c r="AM747" t="s">
        <v>27</v>
      </c>
      <c r="AN747">
        <v>7.12</v>
      </c>
      <c r="AO747" t="b">
        <f t="shared" si="114"/>
        <v>1</v>
      </c>
      <c r="AR747" t="s">
        <v>5061</v>
      </c>
      <c r="AS747" s="21">
        <v>46276</v>
      </c>
      <c r="AT747" t="s">
        <v>5062</v>
      </c>
      <c r="AU747" t="s">
        <v>5073</v>
      </c>
      <c r="AV747" t="s">
        <v>5062</v>
      </c>
      <c r="AW747" t="s">
        <v>5086</v>
      </c>
    </row>
    <row r="748" spans="1:49" x14ac:dyDescent="0.35">
      <c r="A748" t="s">
        <v>871</v>
      </c>
      <c r="B748" t="s">
        <v>872</v>
      </c>
      <c r="C748" t="s">
        <v>4818</v>
      </c>
      <c r="D748" t="s">
        <v>18</v>
      </c>
      <c r="E748" t="s">
        <v>2715</v>
      </c>
      <c r="F748" t="s">
        <v>2716</v>
      </c>
      <c r="G748" t="s">
        <v>2680</v>
      </c>
      <c r="H748" t="s">
        <v>4826</v>
      </c>
      <c r="I748" t="s">
        <v>4979</v>
      </c>
      <c r="J748" s="4" t="s">
        <v>4980</v>
      </c>
      <c r="K748" s="4" t="s">
        <v>4837</v>
      </c>
      <c r="L748" s="4">
        <v>30</v>
      </c>
      <c r="M748" s="4" t="s">
        <v>5035</v>
      </c>
      <c r="N748" t="s">
        <v>15</v>
      </c>
      <c r="O748" t="s">
        <v>2717</v>
      </c>
      <c r="P748" t="s">
        <v>23</v>
      </c>
      <c r="Q748" t="s">
        <v>24</v>
      </c>
      <c r="R748" t="s">
        <v>25</v>
      </c>
      <c r="S748" t="s">
        <v>26</v>
      </c>
      <c r="T748" s="6">
        <v>46307</v>
      </c>
      <c r="U748">
        <v>288</v>
      </c>
      <c r="V748">
        <v>288</v>
      </c>
      <c r="W748">
        <v>264</v>
      </c>
      <c r="X748">
        <v>264</v>
      </c>
      <c r="Y748">
        <f t="shared" si="110"/>
        <v>0</v>
      </c>
      <c r="Z748">
        <f t="shared" si="111"/>
        <v>24</v>
      </c>
      <c r="AA748">
        <f>Z748</f>
        <v>24</v>
      </c>
      <c r="AC748" s="1">
        <v>0</v>
      </c>
      <c r="AF748">
        <f>X748</f>
        <v>264</v>
      </c>
      <c r="AG748" s="7">
        <v>12</v>
      </c>
      <c r="AH748">
        <f t="shared" si="112"/>
        <v>264</v>
      </c>
      <c r="AI748">
        <f t="shared" si="109"/>
        <v>24</v>
      </c>
      <c r="AK748">
        <f t="shared" si="113"/>
        <v>22</v>
      </c>
      <c r="AL748">
        <v>7.12</v>
      </c>
      <c r="AM748" t="s">
        <v>27</v>
      </c>
      <c r="AN748">
        <v>7.12</v>
      </c>
      <c r="AO748" t="b">
        <f t="shared" si="114"/>
        <v>1</v>
      </c>
      <c r="AR748" t="s">
        <v>5061</v>
      </c>
      <c r="AS748" s="21">
        <v>46276</v>
      </c>
      <c r="AT748" t="s">
        <v>5062</v>
      </c>
      <c r="AU748" t="s">
        <v>5073</v>
      </c>
      <c r="AV748" t="s">
        <v>5062</v>
      </c>
      <c r="AW748" t="s">
        <v>5086</v>
      </c>
    </row>
    <row r="749" spans="1:49" x14ac:dyDescent="0.35">
      <c r="A749" t="s">
        <v>2718</v>
      </c>
      <c r="B749" t="s">
        <v>2719</v>
      </c>
      <c r="C749" t="s">
        <v>4818</v>
      </c>
      <c r="D749" t="s">
        <v>18</v>
      </c>
      <c r="E749" t="s">
        <v>2720</v>
      </c>
      <c r="F749" t="s">
        <v>2721</v>
      </c>
      <c r="G749" t="s">
        <v>21</v>
      </c>
      <c r="H749" t="s">
        <v>4888</v>
      </c>
      <c r="I749" t="s">
        <v>4981</v>
      </c>
      <c r="J749" s="4" t="s">
        <v>4982</v>
      </c>
      <c r="K749" s="4" t="s">
        <v>4904</v>
      </c>
      <c r="L749" s="4" t="s">
        <v>4983</v>
      </c>
      <c r="M749" s="4" t="s">
        <v>5035</v>
      </c>
      <c r="N749" t="s">
        <v>2722</v>
      </c>
      <c r="O749" t="s">
        <v>2723</v>
      </c>
      <c r="P749" t="s">
        <v>23</v>
      </c>
      <c r="Q749" t="s">
        <v>24</v>
      </c>
      <c r="R749" t="s">
        <v>25</v>
      </c>
      <c r="S749" t="s">
        <v>26</v>
      </c>
      <c r="T749" s="6">
        <v>46307</v>
      </c>
      <c r="U749">
        <v>264</v>
      </c>
      <c r="V749">
        <v>264</v>
      </c>
      <c r="W749">
        <v>288</v>
      </c>
      <c r="X749">
        <v>288</v>
      </c>
      <c r="Y749">
        <f t="shared" si="110"/>
        <v>0</v>
      </c>
      <c r="Z749">
        <f t="shared" si="111"/>
        <v>-24</v>
      </c>
      <c r="AC749" s="1"/>
      <c r="AF749">
        <f t="shared" ref="AF749:AF763" si="119">V749</f>
        <v>264</v>
      </c>
      <c r="AG749" s="7">
        <v>12</v>
      </c>
      <c r="AH749">
        <f t="shared" si="112"/>
        <v>264</v>
      </c>
      <c r="AI749">
        <f t="shared" si="109"/>
        <v>0</v>
      </c>
      <c r="AK749">
        <f t="shared" si="113"/>
        <v>22</v>
      </c>
      <c r="AL749">
        <v>14.2</v>
      </c>
      <c r="AM749" t="s">
        <v>27</v>
      </c>
      <c r="AN749">
        <v>14.2</v>
      </c>
      <c r="AO749" t="b">
        <f t="shared" si="114"/>
        <v>1</v>
      </c>
      <c r="AR749" t="s">
        <v>5061</v>
      </c>
      <c r="AS749" s="21">
        <v>46276</v>
      </c>
      <c r="AT749" t="s">
        <v>5074</v>
      </c>
      <c r="AU749" t="s">
        <v>5075</v>
      </c>
      <c r="AV749" t="s">
        <v>5074</v>
      </c>
      <c r="AW749" t="s">
        <v>5086</v>
      </c>
    </row>
    <row r="750" spans="1:49" x14ac:dyDescent="0.35">
      <c r="A750" t="s">
        <v>2718</v>
      </c>
      <c r="B750" t="s">
        <v>2719</v>
      </c>
      <c r="C750" t="s">
        <v>4818</v>
      </c>
      <c r="D750" t="s">
        <v>18</v>
      </c>
      <c r="E750" t="s">
        <v>2724</v>
      </c>
      <c r="F750" t="s">
        <v>2725</v>
      </c>
      <c r="G750" t="s">
        <v>21</v>
      </c>
      <c r="H750" t="s">
        <v>4888</v>
      </c>
      <c r="I750" t="s">
        <v>4981</v>
      </c>
      <c r="J750" s="4" t="s">
        <v>4982</v>
      </c>
      <c r="K750" s="4" t="s">
        <v>4984</v>
      </c>
      <c r="L750" s="4" t="s">
        <v>4985</v>
      </c>
      <c r="M750" s="4" t="s">
        <v>5035</v>
      </c>
      <c r="N750" t="s">
        <v>2726</v>
      </c>
      <c r="O750" t="s">
        <v>2727</v>
      </c>
      <c r="P750" t="s">
        <v>23</v>
      </c>
      <c r="Q750" t="s">
        <v>24</v>
      </c>
      <c r="R750" t="s">
        <v>25</v>
      </c>
      <c r="S750" t="s">
        <v>26</v>
      </c>
      <c r="T750" s="6">
        <v>46307</v>
      </c>
      <c r="U750">
        <v>288</v>
      </c>
      <c r="V750">
        <v>288</v>
      </c>
      <c r="W750">
        <v>312</v>
      </c>
      <c r="X750">
        <v>312</v>
      </c>
      <c r="Y750">
        <f t="shared" si="110"/>
        <v>0</v>
      </c>
      <c r="Z750">
        <f t="shared" si="111"/>
        <v>-24</v>
      </c>
      <c r="AC750" s="1"/>
      <c r="AF750">
        <f t="shared" si="119"/>
        <v>288</v>
      </c>
      <c r="AG750" s="7">
        <v>12</v>
      </c>
      <c r="AH750">
        <f t="shared" si="112"/>
        <v>288</v>
      </c>
      <c r="AI750">
        <f t="shared" si="109"/>
        <v>0</v>
      </c>
      <c r="AK750">
        <f t="shared" si="113"/>
        <v>24</v>
      </c>
      <c r="AL750">
        <v>13.96</v>
      </c>
      <c r="AM750" t="s">
        <v>27</v>
      </c>
      <c r="AN750">
        <v>13.96</v>
      </c>
      <c r="AO750" t="b">
        <f t="shared" si="114"/>
        <v>1</v>
      </c>
      <c r="AR750" t="s">
        <v>5061</v>
      </c>
      <c r="AS750" s="21">
        <v>46276</v>
      </c>
      <c r="AT750" t="s">
        <v>5074</v>
      </c>
      <c r="AU750" t="s">
        <v>5075</v>
      </c>
      <c r="AV750" t="s">
        <v>5074</v>
      </c>
      <c r="AW750" t="s">
        <v>5086</v>
      </c>
    </row>
    <row r="751" spans="1:49" x14ac:dyDescent="0.35">
      <c r="A751" t="s">
        <v>2718</v>
      </c>
      <c r="B751" t="s">
        <v>2719</v>
      </c>
      <c r="C751" t="s">
        <v>4818</v>
      </c>
      <c r="D751" t="s">
        <v>18</v>
      </c>
      <c r="E751" t="s">
        <v>2728</v>
      </c>
      <c r="F751" t="s">
        <v>2729</v>
      </c>
      <c r="G751" t="s">
        <v>21</v>
      </c>
      <c r="H751" t="s">
        <v>4888</v>
      </c>
      <c r="I751" t="s">
        <v>4981</v>
      </c>
      <c r="J751" s="4" t="s">
        <v>4982</v>
      </c>
      <c r="K751" s="4" t="s">
        <v>4904</v>
      </c>
      <c r="L751" s="4" t="s">
        <v>4986</v>
      </c>
      <c r="M751" s="4" t="s">
        <v>5035</v>
      </c>
      <c r="N751" t="s">
        <v>2730</v>
      </c>
      <c r="O751" t="s">
        <v>2731</v>
      </c>
      <c r="P751" t="s">
        <v>23</v>
      </c>
      <c r="Q751" t="s">
        <v>24</v>
      </c>
      <c r="R751" t="s">
        <v>25</v>
      </c>
      <c r="S751" t="s">
        <v>26</v>
      </c>
      <c r="T751" s="6">
        <v>46307</v>
      </c>
      <c r="U751">
        <v>264</v>
      </c>
      <c r="V751">
        <v>264</v>
      </c>
      <c r="W751">
        <v>288</v>
      </c>
      <c r="X751">
        <v>288</v>
      </c>
      <c r="Y751">
        <f t="shared" si="110"/>
        <v>0</v>
      </c>
      <c r="Z751">
        <f t="shared" si="111"/>
        <v>-24</v>
      </c>
      <c r="AC751" s="1">
        <v>0</v>
      </c>
      <c r="AF751">
        <f t="shared" si="119"/>
        <v>264</v>
      </c>
      <c r="AG751" s="7">
        <v>12</v>
      </c>
      <c r="AH751">
        <f t="shared" si="112"/>
        <v>264</v>
      </c>
      <c r="AI751">
        <f t="shared" si="109"/>
        <v>0</v>
      </c>
      <c r="AK751">
        <f t="shared" si="113"/>
        <v>22</v>
      </c>
      <c r="AL751">
        <v>14.2</v>
      </c>
      <c r="AM751" t="s">
        <v>27</v>
      </c>
      <c r="AN751">
        <v>14.2</v>
      </c>
      <c r="AO751" t="b">
        <f t="shared" si="114"/>
        <v>1</v>
      </c>
      <c r="AR751" t="s">
        <v>5061</v>
      </c>
      <c r="AS751" s="21">
        <v>46276</v>
      </c>
      <c r="AT751" t="s">
        <v>5074</v>
      </c>
      <c r="AU751" t="s">
        <v>5075</v>
      </c>
      <c r="AV751" t="s">
        <v>5074</v>
      </c>
      <c r="AW751" t="s">
        <v>5086</v>
      </c>
    </row>
    <row r="752" spans="1:49" x14ac:dyDescent="0.35">
      <c r="A752" t="s">
        <v>2718</v>
      </c>
      <c r="B752" t="s">
        <v>2719</v>
      </c>
      <c r="C752" t="s">
        <v>4818</v>
      </c>
      <c r="D752" t="s">
        <v>18</v>
      </c>
      <c r="E752" t="s">
        <v>2732</v>
      </c>
      <c r="F752" t="s">
        <v>2733</v>
      </c>
      <c r="G752" t="s">
        <v>21</v>
      </c>
      <c r="H752" t="s">
        <v>4888</v>
      </c>
      <c r="I752" t="s">
        <v>4981</v>
      </c>
      <c r="J752" s="4" t="s">
        <v>4982</v>
      </c>
      <c r="K752" s="4" t="s">
        <v>4904</v>
      </c>
      <c r="L752" s="4" t="s">
        <v>4985</v>
      </c>
      <c r="M752" s="4" t="s">
        <v>5035</v>
      </c>
      <c r="N752" t="s">
        <v>2734</v>
      </c>
      <c r="O752" t="s">
        <v>2735</v>
      </c>
      <c r="P752" t="s">
        <v>23</v>
      </c>
      <c r="Q752" t="s">
        <v>24</v>
      </c>
      <c r="R752" t="s">
        <v>25</v>
      </c>
      <c r="S752" t="s">
        <v>26</v>
      </c>
      <c r="T752" s="6">
        <v>46307</v>
      </c>
      <c r="U752">
        <v>216</v>
      </c>
      <c r="V752">
        <v>216</v>
      </c>
      <c r="W752">
        <v>240</v>
      </c>
      <c r="X752">
        <v>240</v>
      </c>
      <c r="Y752">
        <f t="shared" si="110"/>
        <v>0</v>
      </c>
      <c r="Z752">
        <f t="shared" si="111"/>
        <v>-24</v>
      </c>
      <c r="AC752" s="1">
        <v>0</v>
      </c>
      <c r="AF752">
        <f t="shared" si="119"/>
        <v>216</v>
      </c>
      <c r="AG752" s="7">
        <v>12</v>
      </c>
      <c r="AH752">
        <f t="shared" si="112"/>
        <v>216</v>
      </c>
      <c r="AI752">
        <f t="shared" si="109"/>
        <v>0</v>
      </c>
      <c r="AK752">
        <f t="shared" si="113"/>
        <v>18</v>
      </c>
      <c r="AL752">
        <v>14.2</v>
      </c>
      <c r="AM752" t="s">
        <v>27</v>
      </c>
      <c r="AN752">
        <v>14.2</v>
      </c>
      <c r="AO752" t="b">
        <f t="shared" si="114"/>
        <v>1</v>
      </c>
      <c r="AR752" t="s">
        <v>5061</v>
      </c>
      <c r="AS752" s="21">
        <v>46276</v>
      </c>
      <c r="AT752" t="s">
        <v>5074</v>
      </c>
      <c r="AU752" t="s">
        <v>5075</v>
      </c>
      <c r="AV752" t="s">
        <v>5074</v>
      </c>
      <c r="AW752" t="s">
        <v>5086</v>
      </c>
    </row>
    <row r="753" spans="1:49" x14ac:dyDescent="0.35">
      <c r="A753" t="s">
        <v>2718</v>
      </c>
      <c r="B753" t="s">
        <v>2719</v>
      </c>
      <c r="C753" t="s">
        <v>4818</v>
      </c>
      <c r="D753" t="s">
        <v>18</v>
      </c>
      <c r="E753" t="s">
        <v>2736</v>
      </c>
      <c r="F753" t="s">
        <v>2737</v>
      </c>
      <c r="G753" t="s">
        <v>21</v>
      </c>
      <c r="H753" t="s">
        <v>4888</v>
      </c>
      <c r="I753" t="s">
        <v>4981</v>
      </c>
      <c r="J753" s="4" t="s">
        <v>4982</v>
      </c>
      <c r="K753" s="4" t="s">
        <v>4904</v>
      </c>
      <c r="L753" s="4" t="s">
        <v>4987</v>
      </c>
      <c r="M753" s="4" t="s">
        <v>5035</v>
      </c>
      <c r="N753" t="s">
        <v>2738</v>
      </c>
      <c r="O753" t="s">
        <v>2739</v>
      </c>
      <c r="P753" t="s">
        <v>23</v>
      </c>
      <c r="Q753" t="s">
        <v>24</v>
      </c>
      <c r="R753" t="s">
        <v>25</v>
      </c>
      <c r="S753" t="s">
        <v>26</v>
      </c>
      <c r="T753" s="6">
        <v>46307</v>
      </c>
      <c r="U753">
        <v>156</v>
      </c>
      <c r="V753">
        <v>156</v>
      </c>
      <c r="W753">
        <v>168</v>
      </c>
      <c r="X753">
        <v>168</v>
      </c>
      <c r="Y753">
        <f t="shared" si="110"/>
        <v>0</v>
      </c>
      <c r="Z753">
        <f t="shared" si="111"/>
        <v>-12</v>
      </c>
      <c r="AC753" s="1">
        <v>0</v>
      </c>
      <c r="AF753">
        <f t="shared" si="119"/>
        <v>156</v>
      </c>
      <c r="AG753" s="7">
        <v>12</v>
      </c>
      <c r="AH753">
        <f t="shared" si="112"/>
        <v>156</v>
      </c>
      <c r="AI753">
        <f t="shared" si="109"/>
        <v>0</v>
      </c>
      <c r="AK753">
        <f t="shared" si="113"/>
        <v>13</v>
      </c>
      <c r="AL753">
        <v>14.2</v>
      </c>
      <c r="AM753" t="s">
        <v>27</v>
      </c>
      <c r="AN753">
        <v>14.2</v>
      </c>
      <c r="AO753" t="b">
        <f t="shared" si="114"/>
        <v>1</v>
      </c>
      <c r="AR753" t="s">
        <v>5061</v>
      </c>
      <c r="AS753" s="21">
        <v>46276</v>
      </c>
      <c r="AT753" t="s">
        <v>5074</v>
      </c>
      <c r="AU753" t="s">
        <v>5075</v>
      </c>
      <c r="AV753" t="s">
        <v>5074</v>
      </c>
      <c r="AW753" t="s">
        <v>5086</v>
      </c>
    </row>
    <row r="754" spans="1:49" x14ac:dyDescent="0.35">
      <c r="A754" t="s">
        <v>2718</v>
      </c>
      <c r="B754" t="s">
        <v>2719</v>
      </c>
      <c r="C754" t="s">
        <v>4818</v>
      </c>
      <c r="D754" t="s">
        <v>18</v>
      </c>
      <c r="E754" t="s">
        <v>2740</v>
      </c>
      <c r="F754" t="s">
        <v>2741</v>
      </c>
      <c r="G754" t="s">
        <v>21</v>
      </c>
      <c r="H754" t="s">
        <v>4888</v>
      </c>
      <c r="I754" t="s">
        <v>4981</v>
      </c>
      <c r="J754" s="4" t="s">
        <v>4982</v>
      </c>
      <c r="K754" s="4" t="s">
        <v>4984</v>
      </c>
      <c r="L754" s="4" t="s">
        <v>4988</v>
      </c>
      <c r="M754" s="4" t="s">
        <v>5035</v>
      </c>
      <c r="N754" t="s">
        <v>2742</v>
      </c>
      <c r="O754" t="s">
        <v>2743</v>
      </c>
      <c r="P754" t="s">
        <v>23</v>
      </c>
      <c r="Q754" t="s">
        <v>24</v>
      </c>
      <c r="R754" t="s">
        <v>25</v>
      </c>
      <c r="S754" t="s">
        <v>26</v>
      </c>
      <c r="T754" s="6">
        <v>46307</v>
      </c>
      <c r="U754">
        <v>108</v>
      </c>
      <c r="V754">
        <v>108</v>
      </c>
      <c r="W754">
        <v>120</v>
      </c>
      <c r="X754">
        <v>120</v>
      </c>
      <c r="Y754">
        <f t="shared" si="110"/>
        <v>0</v>
      </c>
      <c r="Z754">
        <f t="shared" si="111"/>
        <v>-12</v>
      </c>
      <c r="AC754" s="1">
        <v>0</v>
      </c>
      <c r="AF754">
        <f t="shared" si="119"/>
        <v>108</v>
      </c>
      <c r="AG754" s="7">
        <v>12</v>
      </c>
      <c r="AH754">
        <f t="shared" si="112"/>
        <v>108</v>
      </c>
      <c r="AI754">
        <f t="shared" si="109"/>
        <v>0</v>
      </c>
      <c r="AK754">
        <f t="shared" si="113"/>
        <v>9</v>
      </c>
      <c r="AL754">
        <v>13.96</v>
      </c>
      <c r="AM754" t="s">
        <v>27</v>
      </c>
      <c r="AN754">
        <v>13.96</v>
      </c>
      <c r="AO754" t="b">
        <f t="shared" si="114"/>
        <v>1</v>
      </c>
      <c r="AR754" t="s">
        <v>5061</v>
      </c>
      <c r="AS754" s="21">
        <v>46276</v>
      </c>
      <c r="AT754" t="s">
        <v>5074</v>
      </c>
      <c r="AU754" t="s">
        <v>5075</v>
      </c>
      <c r="AV754" t="s">
        <v>5074</v>
      </c>
      <c r="AW754" t="s">
        <v>5086</v>
      </c>
    </row>
    <row r="755" spans="1:49" x14ac:dyDescent="0.35">
      <c r="A755" t="s">
        <v>2718</v>
      </c>
      <c r="B755" t="s">
        <v>2719</v>
      </c>
      <c r="C755" t="s">
        <v>4818</v>
      </c>
      <c r="D755" t="s">
        <v>18</v>
      </c>
      <c r="E755" t="s">
        <v>2744</v>
      </c>
      <c r="F755" t="s">
        <v>2745</v>
      </c>
      <c r="G755" t="s">
        <v>21</v>
      </c>
      <c r="H755" t="s">
        <v>4888</v>
      </c>
      <c r="I755" t="s">
        <v>4981</v>
      </c>
      <c r="J755" s="4" t="s">
        <v>4982</v>
      </c>
      <c r="K755" s="4" t="s">
        <v>4904</v>
      </c>
      <c r="L755" s="4" t="s">
        <v>4988</v>
      </c>
      <c r="M755" s="4" t="s">
        <v>5035</v>
      </c>
      <c r="N755" t="s">
        <v>2746</v>
      </c>
      <c r="O755" t="s">
        <v>2747</v>
      </c>
      <c r="P755" t="s">
        <v>23</v>
      </c>
      <c r="Q755" t="s">
        <v>24</v>
      </c>
      <c r="R755" t="s">
        <v>25</v>
      </c>
      <c r="S755" t="s">
        <v>26</v>
      </c>
      <c r="T755" s="6">
        <v>46307</v>
      </c>
      <c r="U755">
        <v>72</v>
      </c>
      <c r="V755">
        <v>72</v>
      </c>
      <c r="W755">
        <v>84</v>
      </c>
      <c r="X755">
        <v>84</v>
      </c>
      <c r="Y755">
        <f t="shared" si="110"/>
        <v>0</v>
      </c>
      <c r="Z755">
        <f t="shared" si="111"/>
        <v>-12</v>
      </c>
      <c r="AC755" s="1">
        <v>0</v>
      </c>
      <c r="AF755">
        <f t="shared" si="119"/>
        <v>72</v>
      </c>
      <c r="AG755" s="7">
        <v>12</v>
      </c>
      <c r="AH755">
        <f t="shared" si="112"/>
        <v>72</v>
      </c>
      <c r="AI755">
        <f t="shared" si="109"/>
        <v>0</v>
      </c>
      <c r="AK755">
        <f t="shared" si="113"/>
        <v>6</v>
      </c>
      <c r="AL755">
        <v>14.2</v>
      </c>
      <c r="AM755" t="s">
        <v>27</v>
      </c>
      <c r="AN755">
        <v>14.2</v>
      </c>
      <c r="AO755" t="b">
        <f t="shared" si="114"/>
        <v>1</v>
      </c>
      <c r="AR755" t="s">
        <v>5061</v>
      </c>
      <c r="AS755" s="21">
        <v>46276</v>
      </c>
      <c r="AT755" t="s">
        <v>5074</v>
      </c>
      <c r="AU755" t="s">
        <v>5075</v>
      </c>
      <c r="AV755" t="s">
        <v>5074</v>
      </c>
      <c r="AW755" t="s">
        <v>5086</v>
      </c>
    </row>
    <row r="756" spans="1:49" x14ac:dyDescent="0.35">
      <c r="A756" t="s">
        <v>2718</v>
      </c>
      <c r="B756" t="s">
        <v>2719</v>
      </c>
      <c r="C756" t="s">
        <v>4818</v>
      </c>
      <c r="D756" t="s">
        <v>18</v>
      </c>
      <c r="E756" t="s">
        <v>2748</v>
      </c>
      <c r="F756" t="s">
        <v>2749</v>
      </c>
      <c r="G756" t="s">
        <v>21</v>
      </c>
      <c r="H756" t="s">
        <v>4888</v>
      </c>
      <c r="I756" t="s">
        <v>4981</v>
      </c>
      <c r="J756" s="4" t="s">
        <v>4982</v>
      </c>
      <c r="K756" s="4" t="s">
        <v>4984</v>
      </c>
      <c r="L756" s="4" t="s">
        <v>4983</v>
      </c>
      <c r="M756" s="4" t="s">
        <v>5035</v>
      </c>
      <c r="N756" t="s">
        <v>2750</v>
      </c>
      <c r="O756" t="s">
        <v>2751</v>
      </c>
      <c r="P756" t="s">
        <v>23</v>
      </c>
      <c r="Q756" t="s">
        <v>24</v>
      </c>
      <c r="R756" t="s">
        <v>25</v>
      </c>
      <c r="S756" t="s">
        <v>26</v>
      </c>
      <c r="T756" s="6">
        <v>46307</v>
      </c>
      <c r="U756">
        <v>276</v>
      </c>
      <c r="V756">
        <v>276</v>
      </c>
      <c r="W756">
        <v>300</v>
      </c>
      <c r="X756">
        <v>300</v>
      </c>
      <c r="Y756">
        <f t="shared" si="110"/>
        <v>0</v>
      </c>
      <c r="Z756">
        <f t="shared" si="111"/>
        <v>-24</v>
      </c>
      <c r="AC756" s="1">
        <v>0</v>
      </c>
      <c r="AF756">
        <f t="shared" si="119"/>
        <v>276</v>
      </c>
      <c r="AG756" s="7">
        <v>12</v>
      </c>
      <c r="AH756">
        <f t="shared" si="112"/>
        <v>276</v>
      </c>
      <c r="AI756">
        <f t="shared" si="109"/>
        <v>0</v>
      </c>
      <c r="AK756">
        <f t="shared" si="113"/>
        <v>23</v>
      </c>
      <c r="AL756">
        <v>13.96</v>
      </c>
      <c r="AM756" t="s">
        <v>27</v>
      </c>
      <c r="AN756">
        <v>13.96</v>
      </c>
      <c r="AO756" t="b">
        <f t="shared" si="114"/>
        <v>1</v>
      </c>
      <c r="AR756" t="s">
        <v>5061</v>
      </c>
      <c r="AS756" s="21">
        <v>46276</v>
      </c>
      <c r="AT756" t="s">
        <v>5074</v>
      </c>
      <c r="AU756" t="s">
        <v>5075</v>
      </c>
      <c r="AV756" t="s">
        <v>5074</v>
      </c>
      <c r="AW756" t="s">
        <v>5086</v>
      </c>
    </row>
    <row r="757" spans="1:49" x14ac:dyDescent="0.35">
      <c r="A757" t="s">
        <v>2718</v>
      </c>
      <c r="B757" t="s">
        <v>2719</v>
      </c>
      <c r="C757" t="s">
        <v>4818</v>
      </c>
      <c r="D757" t="s">
        <v>18</v>
      </c>
      <c r="E757" t="s">
        <v>2752</v>
      </c>
      <c r="F757" t="s">
        <v>2753</v>
      </c>
      <c r="G757" t="s">
        <v>21</v>
      </c>
      <c r="H757" t="s">
        <v>4888</v>
      </c>
      <c r="I757" t="s">
        <v>4981</v>
      </c>
      <c r="J757" s="4" t="s">
        <v>4982</v>
      </c>
      <c r="K757" s="4" t="s">
        <v>4984</v>
      </c>
      <c r="L757" s="4" t="s">
        <v>4986</v>
      </c>
      <c r="M757" s="4" t="s">
        <v>5035</v>
      </c>
      <c r="N757" t="s">
        <v>2754</v>
      </c>
      <c r="O757" t="s">
        <v>2755</v>
      </c>
      <c r="P757" t="s">
        <v>23</v>
      </c>
      <c r="Q757" t="s">
        <v>24</v>
      </c>
      <c r="R757" t="s">
        <v>25</v>
      </c>
      <c r="S757" t="s">
        <v>26</v>
      </c>
      <c r="T757" s="6">
        <v>46307</v>
      </c>
      <c r="U757">
        <v>300</v>
      </c>
      <c r="V757">
        <v>300</v>
      </c>
      <c r="W757">
        <v>324</v>
      </c>
      <c r="X757">
        <v>324</v>
      </c>
      <c r="Y757">
        <f t="shared" si="110"/>
        <v>0</v>
      </c>
      <c r="Z757">
        <f t="shared" si="111"/>
        <v>-24</v>
      </c>
      <c r="AC757" s="1">
        <v>0</v>
      </c>
      <c r="AF757">
        <f t="shared" si="119"/>
        <v>300</v>
      </c>
      <c r="AG757" s="7">
        <v>12</v>
      </c>
      <c r="AH757">
        <f t="shared" si="112"/>
        <v>300</v>
      </c>
      <c r="AI757">
        <f t="shared" si="109"/>
        <v>0</v>
      </c>
      <c r="AK757">
        <f t="shared" si="113"/>
        <v>25</v>
      </c>
      <c r="AL757">
        <v>13.96</v>
      </c>
      <c r="AM757" t="s">
        <v>27</v>
      </c>
      <c r="AN757">
        <v>13.96</v>
      </c>
      <c r="AO757" t="b">
        <f t="shared" si="114"/>
        <v>1</v>
      </c>
      <c r="AR757" t="s">
        <v>5061</v>
      </c>
      <c r="AS757" s="21">
        <v>46276</v>
      </c>
      <c r="AT757" t="s">
        <v>5074</v>
      </c>
      <c r="AU757" t="s">
        <v>5075</v>
      </c>
      <c r="AV757" t="s">
        <v>5074</v>
      </c>
      <c r="AW757" t="s">
        <v>5086</v>
      </c>
    </row>
    <row r="758" spans="1:49" x14ac:dyDescent="0.35">
      <c r="A758" t="s">
        <v>2718</v>
      </c>
      <c r="B758" t="s">
        <v>2719</v>
      </c>
      <c r="C758" t="s">
        <v>4818</v>
      </c>
      <c r="D758" t="s">
        <v>18</v>
      </c>
      <c r="E758" t="s">
        <v>2756</v>
      </c>
      <c r="F758" t="s">
        <v>2757</v>
      </c>
      <c r="G758" t="s">
        <v>21</v>
      </c>
      <c r="H758" t="s">
        <v>4888</v>
      </c>
      <c r="I758" t="s">
        <v>4981</v>
      </c>
      <c r="J758" s="4" t="s">
        <v>4982</v>
      </c>
      <c r="K758" s="4" t="s">
        <v>4904</v>
      </c>
      <c r="L758" s="4" t="s">
        <v>4989</v>
      </c>
      <c r="M758" s="4" t="s">
        <v>5035</v>
      </c>
      <c r="N758" t="s">
        <v>2758</v>
      </c>
      <c r="O758" t="s">
        <v>2759</v>
      </c>
      <c r="P758" t="s">
        <v>23</v>
      </c>
      <c r="Q758" t="s">
        <v>24</v>
      </c>
      <c r="R758" t="s">
        <v>25</v>
      </c>
      <c r="S758" t="s">
        <v>26</v>
      </c>
      <c r="T758" s="6">
        <v>46307</v>
      </c>
      <c r="U758">
        <v>156</v>
      </c>
      <c r="V758">
        <v>156</v>
      </c>
      <c r="W758">
        <v>168</v>
      </c>
      <c r="X758">
        <v>168</v>
      </c>
      <c r="Y758">
        <f t="shared" si="110"/>
        <v>0</v>
      </c>
      <c r="Z758">
        <f t="shared" si="111"/>
        <v>-12</v>
      </c>
      <c r="AC758" s="1">
        <v>0</v>
      </c>
      <c r="AF758">
        <f t="shared" si="119"/>
        <v>156</v>
      </c>
      <c r="AG758" s="7">
        <v>12</v>
      </c>
      <c r="AH758">
        <f t="shared" si="112"/>
        <v>156</v>
      </c>
      <c r="AI758">
        <f t="shared" si="109"/>
        <v>0</v>
      </c>
      <c r="AK758">
        <f t="shared" si="113"/>
        <v>13</v>
      </c>
      <c r="AL758">
        <v>14.2</v>
      </c>
      <c r="AM758" t="s">
        <v>27</v>
      </c>
      <c r="AN758">
        <v>14.2</v>
      </c>
      <c r="AO758" t="b">
        <f t="shared" si="114"/>
        <v>1</v>
      </c>
      <c r="AR758" t="s">
        <v>5061</v>
      </c>
      <c r="AS758" s="21">
        <v>46276</v>
      </c>
      <c r="AT758" t="s">
        <v>5074</v>
      </c>
      <c r="AU758" t="s">
        <v>5075</v>
      </c>
      <c r="AV758" t="s">
        <v>5074</v>
      </c>
      <c r="AW758" t="s">
        <v>5086</v>
      </c>
    </row>
    <row r="759" spans="1:49" x14ac:dyDescent="0.35">
      <c r="A759" t="s">
        <v>2718</v>
      </c>
      <c r="B759" t="s">
        <v>2719</v>
      </c>
      <c r="C759" t="s">
        <v>4818</v>
      </c>
      <c r="D759" t="s">
        <v>18</v>
      </c>
      <c r="E759" t="s">
        <v>2760</v>
      </c>
      <c r="F759" t="s">
        <v>2761</v>
      </c>
      <c r="G759" t="s">
        <v>21</v>
      </c>
      <c r="H759" t="s">
        <v>4888</v>
      </c>
      <c r="I759" t="s">
        <v>4981</v>
      </c>
      <c r="J759" s="4" t="s">
        <v>4982</v>
      </c>
      <c r="K759" s="4" t="s">
        <v>4984</v>
      </c>
      <c r="L759" s="4" t="s">
        <v>4989</v>
      </c>
      <c r="M759" s="4" t="s">
        <v>5035</v>
      </c>
      <c r="N759" t="s">
        <v>2762</v>
      </c>
      <c r="O759" t="s">
        <v>2763</v>
      </c>
      <c r="P759" t="s">
        <v>23</v>
      </c>
      <c r="Q759" t="s">
        <v>24</v>
      </c>
      <c r="R759" t="s">
        <v>25</v>
      </c>
      <c r="S759" t="s">
        <v>26</v>
      </c>
      <c r="T759" s="6">
        <v>46307</v>
      </c>
      <c r="U759">
        <v>204</v>
      </c>
      <c r="V759">
        <v>204</v>
      </c>
      <c r="W759">
        <v>216</v>
      </c>
      <c r="X759">
        <v>216</v>
      </c>
      <c r="Y759">
        <f t="shared" si="110"/>
        <v>0</v>
      </c>
      <c r="Z759">
        <f t="shared" si="111"/>
        <v>-12</v>
      </c>
      <c r="AC759" s="1"/>
      <c r="AF759">
        <f t="shared" si="119"/>
        <v>204</v>
      </c>
      <c r="AG759" s="7">
        <v>12</v>
      </c>
      <c r="AH759">
        <f t="shared" si="112"/>
        <v>204</v>
      </c>
      <c r="AI759">
        <f t="shared" si="109"/>
        <v>0</v>
      </c>
      <c r="AK759">
        <f t="shared" si="113"/>
        <v>17</v>
      </c>
      <c r="AL759">
        <v>13.96</v>
      </c>
      <c r="AM759" t="s">
        <v>27</v>
      </c>
      <c r="AN759">
        <v>13.96</v>
      </c>
      <c r="AO759" t="b">
        <f t="shared" si="114"/>
        <v>1</v>
      </c>
      <c r="AR759" t="s">
        <v>5061</v>
      </c>
      <c r="AS759" s="21">
        <v>46276</v>
      </c>
      <c r="AT759" t="s">
        <v>5074</v>
      </c>
      <c r="AU759" t="s">
        <v>5075</v>
      </c>
      <c r="AV759" t="s">
        <v>5074</v>
      </c>
      <c r="AW759" t="s">
        <v>5086</v>
      </c>
    </row>
    <row r="760" spans="1:49" x14ac:dyDescent="0.35">
      <c r="A760" t="s">
        <v>2718</v>
      </c>
      <c r="B760" t="s">
        <v>2719</v>
      </c>
      <c r="C760" t="s">
        <v>4818</v>
      </c>
      <c r="D760" t="s">
        <v>18</v>
      </c>
      <c r="E760" t="s">
        <v>2764</v>
      </c>
      <c r="F760" t="s">
        <v>2765</v>
      </c>
      <c r="G760" t="s">
        <v>21</v>
      </c>
      <c r="H760" t="s">
        <v>4888</v>
      </c>
      <c r="I760" t="s">
        <v>4981</v>
      </c>
      <c r="J760" s="4" t="s">
        <v>4982</v>
      </c>
      <c r="K760" s="4" t="s">
        <v>4904</v>
      </c>
      <c r="L760" s="4" t="s">
        <v>4990</v>
      </c>
      <c r="M760" s="4" t="s">
        <v>5035</v>
      </c>
      <c r="N760" t="s">
        <v>2766</v>
      </c>
      <c r="O760" t="s">
        <v>2767</v>
      </c>
      <c r="P760" t="s">
        <v>23</v>
      </c>
      <c r="Q760" t="s">
        <v>24</v>
      </c>
      <c r="R760" t="s">
        <v>25</v>
      </c>
      <c r="S760" t="s">
        <v>26</v>
      </c>
      <c r="T760" s="6">
        <v>46307</v>
      </c>
      <c r="U760">
        <v>120</v>
      </c>
      <c r="V760">
        <v>120</v>
      </c>
      <c r="W760">
        <v>132</v>
      </c>
      <c r="X760">
        <v>132</v>
      </c>
      <c r="Y760">
        <f t="shared" si="110"/>
        <v>0</v>
      </c>
      <c r="Z760">
        <f t="shared" si="111"/>
        <v>-12</v>
      </c>
      <c r="AC760" s="1">
        <v>0</v>
      </c>
      <c r="AF760">
        <f t="shared" si="119"/>
        <v>120</v>
      </c>
      <c r="AG760" s="7">
        <v>12</v>
      </c>
      <c r="AH760">
        <f t="shared" si="112"/>
        <v>120</v>
      </c>
      <c r="AI760">
        <f t="shared" si="109"/>
        <v>0</v>
      </c>
      <c r="AK760">
        <f t="shared" si="113"/>
        <v>10</v>
      </c>
      <c r="AL760">
        <v>14.2</v>
      </c>
      <c r="AM760" t="s">
        <v>27</v>
      </c>
      <c r="AN760">
        <v>14.2</v>
      </c>
      <c r="AO760" t="b">
        <f t="shared" si="114"/>
        <v>1</v>
      </c>
      <c r="AR760" t="s">
        <v>5061</v>
      </c>
      <c r="AS760" s="21">
        <v>46276</v>
      </c>
      <c r="AT760" t="s">
        <v>5074</v>
      </c>
      <c r="AU760" t="s">
        <v>5075</v>
      </c>
      <c r="AV760" t="s">
        <v>5074</v>
      </c>
      <c r="AW760" t="s">
        <v>5086</v>
      </c>
    </row>
    <row r="761" spans="1:49" x14ac:dyDescent="0.35">
      <c r="A761" t="s">
        <v>2718</v>
      </c>
      <c r="B761" t="s">
        <v>2719</v>
      </c>
      <c r="C761" t="s">
        <v>4818</v>
      </c>
      <c r="D761" t="s">
        <v>18</v>
      </c>
      <c r="E761" t="s">
        <v>2768</v>
      </c>
      <c r="F761" t="s">
        <v>2769</v>
      </c>
      <c r="G761" t="s">
        <v>21</v>
      </c>
      <c r="H761" t="s">
        <v>4888</v>
      </c>
      <c r="I761" t="s">
        <v>4981</v>
      </c>
      <c r="J761" s="4" t="s">
        <v>4982</v>
      </c>
      <c r="K761" s="4" t="s">
        <v>4984</v>
      </c>
      <c r="L761" s="4" t="s">
        <v>4990</v>
      </c>
      <c r="M761" s="4" t="s">
        <v>5035</v>
      </c>
      <c r="N761" t="s">
        <v>2770</v>
      </c>
      <c r="O761" t="s">
        <v>2771</v>
      </c>
      <c r="P761" t="s">
        <v>23</v>
      </c>
      <c r="Q761" t="s">
        <v>24</v>
      </c>
      <c r="R761" t="s">
        <v>25</v>
      </c>
      <c r="S761" t="s">
        <v>26</v>
      </c>
      <c r="T761" s="6">
        <v>46307</v>
      </c>
      <c r="U761">
        <v>180</v>
      </c>
      <c r="V761">
        <v>180</v>
      </c>
      <c r="W761">
        <v>192</v>
      </c>
      <c r="X761">
        <v>192</v>
      </c>
      <c r="Y761">
        <f t="shared" si="110"/>
        <v>0</v>
      </c>
      <c r="Z761">
        <f t="shared" si="111"/>
        <v>-12</v>
      </c>
      <c r="AC761" s="1"/>
      <c r="AF761">
        <f t="shared" si="119"/>
        <v>180</v>
      </c>
      <c r="AG761" s="7">
        <v>12</v>
      </c>
      <c r="AH761">
        <f t="shared" si="112"/>
        <v>180</v>
      </c>
      <c r="AI761">
        <f t="shared" si="109"/>
        <v>0</v>
      </c>
      <c r="AK761">
        <f t="shared" si="113"/>
        <v>15</v>
      </c>
      <c r="AL761">
        <v>13.96</v>
      </c>
      <c r="AM761" t="s">
        <v>27</v>
      </c>
      <c r="AN761">
        <v>13.96</v>
      </c>
      <c r="AO761" t="b">
        <f t="shared" si="114"/>
        <v>1</v>
      </c>
      <c r="AR761" t="s">
        <v>5061</v>
      </c>
      <c r="AS761" s="21">
        <v>46276</v>
      </c>
      <c r="AT761" t="s">
        <v>5074</v>
      </c>
      <c r="AU761" t="s">
        <v>5075</v>
      </c>
      <c r="AV761" t="s">
        <v>5074</v>
      </c>
      <c r="AW761" t="s">
        <v>5086</v>
      </c>
    </row>
    <row r="762" spans="1:49" x14ac:dyDescent="0.35">
      <c r="A762" t="s">
        <v>2718</v>
      </c>
      <c r="B762" t="s">
        <v>2719</v>
      </c>
      <c r="C762" t="s">
        <v>4818</v>
      </c>
      <c r="D762" t="s">
        <v>18</v>
      </c>
      <c r="E762" t="s">
        <v>2772</v>
      </c>
      <c r="F762" t="s">
        <v>2773</v>
      </c>
      <c r="G762" t="s">
        <v>21</v>
      </c>
      <c r="H762" t="s">
        <v>4888</v>
      </c>
      <c r="I762" t="s">
        <v>4991</v>
      </c>
      <c r="J762" s="4" t="s">
        <v>4992</v>
      </c>
      <c r="K762" s="4" t="s">
        <v>4993</v>
      </c>
      <c r="L762" s="4" t="s">
        <v>4994</v>
      </c>
      <c r="M762" s="4" t="s">
        <v>5035</v>
      </c>
      <c r="N762" t="s">
        <v>2774</v>
      </c>
      <c r="O762" t="s">
        <v>2775</v>
      </c>
      <c r="P762" t="s">
        <v>23</v>
      </c>
      <c r="Q762" t="s">
        <v>24</v>
      </c>
      <c r="R762" t="s">
        <v>25</v>
      </c>
      <c r="S762" t="s">
        <v>26</v>
      </c>
      <c r="T762" s="6">
        <v>46307</v>
      </c>
      <c r="U762">
        <v>804</v>
      </c>
      <c r="V762">
        <v>804</v>
      </c>
      <c r="W762">
        <v>804</v>
      </c>
      <c r="X762">
        <v>804</v>
      </c>
      <c r="Y762">
        <f t="shared" si="110"/>
        <v>0</v>
      </c>
      <c r="Z762">
        <f t="shared" si="111"/>
        <v>0</v>
      </c>
      <c r="AC762" s="1">
        <v>0</v>
      </c>
      <c r="AF762">
        <f t="shared" si="119"/>
        <v>804</v>
      </c>
      <c r="AG762" s="7">
        <v>12</v>
      </c>
      <c r="AH762">
        <f t="shared" si="112"/>
        <v>804</v>
      </c>
      <c r="AI762">
        <f t="shared" si="109"/>
        <v>0</v>
      </c>
      <c r="AK762">
        <f t="shared" si="113"/>
        <v>67</v>
      </c>
      <c r="AL762">
        <v>15.15</v>
      </c>
      <c r="AM762" t="s">
        <v>27</v>
      </c>
      <c r="AN762">
        <v>15.15</v>
      </c>
      <c r="AO762" t="b">
        <f t="shared" si="114"/>
        <v>1</v>
      </c>
      <c r="AR762" t="s">
        <v>5061</v>
      </c>
      <c r="AS762" s="21">
        <v>46276</v>
      </c>
      <c r="AT762" t="s">
        <v>5074</v>
      </c>
      <c r="AU762" t="s">
        <v>5076</v>
      </c>
      <c r="AV762" t="s">
        <v>5074</v>
      </c>
      <c r="AW762" t="s">
        <v>5086</v>
      </c>
    </row>
    <row r="763" spans="1:49" x14ac:dyDescent="0.35">
      <c r="A763" t="s">
        <v>2718</v>
      </c>
      <c r="B763" t="s">
        <v>2719</v>
      </c>
      <c r="C763" t="s">
        <v>4818</v>
      </c>
      <c r="D763" t="s">
        <v>18</v>
      </c>
      <c r="E763" t="s">
        <v>2776</v>
      </c>
      <c r="F763" t="s">
        <v>2777</v>
      </c>
      <c r="G763" t="s">
        <v>21</v>
      </c>
      <c r="H763" t="s">
        <v>4888</v>
      </c>
      <c r="I763" t="s">
        <v>4991</v>
      </c>
      <c r="J763" s="4" t="s">
        <v>4992</v>
      </c>
      <c r="K763" s="4" t="s">
        <v>4993</v>
      </c>
      <c r="L763" s="4" t="s">
        <v>4995</v>
      </c>
      <c r="M763" s="4" t="s">
        <v>5035</v>
      </c>
      <c r="N763" t="s">
        <v>2778</v>
      </c>
      <c r="O763" t="s">
        <v>2779</v>
      </c>
      <c r="P763" t="s">
        <v>23</v>
      </c>
      <c r="Q763" t="s">
        <v>24</v>
      </c>
      <c r="R763" t="s">
        <v>25</v>
      </c>
      <c r="S763" t="s">
        <v>26</v>
      </c>
      <c r="T763" s="6">
        <v>46307</v>
      </c>
      <c r="U763">
        <v>156</v>
      </c>
      <c r="V763">
        <v>156</v>
      </c>
      <c r="W763">
        <v>168</v>
      </c>
      <c r="X763">
        <v>168</v>
      </c>
      <c r="Y763">
        <f t="shared" si="110"/>
        <v>0</v>
      </c>
      <c r="Z763">
        <f t="shared" si="111"/>
        <v>-12</v>
      </c>
      <c r="AC763" s="1">
        <v>0</v>
      </c>
      <c r="AF763">
        <f t="shared" si="119"/>
        <v>156</v>
      </c>
      <c r="AG763" s="7">
        <v>12</v>
      </c>
      <c r="AH763">
        <f t="shared" si="112"/>
        <v>156</v>
      </c>
      <c r="AI763">
        <f t="shared" si="109"/>
        <v>0</v>
      </c>
      <c r="AK763">
        <f t="shared" si="113"/>
        <v>13</v>
      </c>
      <c r="AL763">
        <v>15.15</v>
      </c>
      <c r="AM763" t="s">
        <v>27</v>
      </c>
      <c r="AN763">
        <v>15.15</v>
      </c>
      <c r="AO763" t="b">
        <f t="shared" si="114"/>
        <v>1</v>
      </c>
      <c r="AR763" t="s">
        <v>5061</v>
      </c>
      <c r="AS763" s="21">
        <v>46276</v>
      </c>
      <c r="AT763" t="s">
        <v>5074</v>
      </c>
      <c r="AU763" t="s">
        <v>5076</v>
      </c>
      <c r="AV763" t="s">
        <v>5074</v>
      </c>
      <c r="AW763" t="s">
        <v>5086</v>
      </c>
    </row>
    <row r="764" spans="1:49" x14ac:dyDescent="0.35">
      <c r="A764" t="s">
        <v>2718</v>
      </c>
      <c r="B764" t="s">
        <v>2719</v>
      </c>
      <c r="C764" t="s">
        <v>4818</v>
      </c>
      <c r="D764" t="s">
        <v>18</v>
      </c>
      <c r="E764" t="s">
        <v>2780</v>
      </c>
      <c r="F764" t="s">
        <v>2781</v>
      </c>
      <c r="G764" t="s">
        <v>21</v>
      </c>
      <c r="H764" t="s">
        <v>4888</v>
      </c>
      <c r="I764" t="s">
        <v>4991</v>
      </c>
      <c r="J764" s="4" t="s">
        <v>4992</v>
      </c>
      <c r="K764" s="4" t="s">
        <v>4993</v>
      </c>
      <c r="L764" s="4" t="s">
        <v>4996</v>
      </c>
      <c r="M764" s="4" t="s">
        <v>5035</v>
      </c>
      <c r="N764" t="s">
        <v>2782</v>
      </c>
      <c r="O764" t="s">
        <v>2783</v>
      </c>
      <c r="P764" t="s">
        <v>23</v>
      </c>
      <c r="Q764" t="s">
        <v>24</v>
      </c>
      <c r="R764" t="s">
        <v>25</v>
      </c>
      <c r="S764" t="s">
        <v>26</v>
      </c>
      <c r="T764" s="6">
        <v>46307</v>
      </c>
      <c r="U764">
        <v>612</v>
      </c>
      <c r="V764">
        <v>612</v>
      </c>
      <c r="W764">
        <v>576</v>
      </c>
      <c r="X764">
        <v>576</v>
      </c>
      <c r="Y764">
        <f t="shared" si="110"/>
        <v>0</v>
      </c>
      <c r="Z764">
        <f t="shared" si="111"/>
        <v>36</v>
      </c>
      <c r="AA764">
        <f t="shared" ref="AA764:AA765" si="120">Z764</f>
        <v>36</v>
      </c>
      <c r="AC764" s="1">
        <v>0</v>
      </c>
      <c r="AF764">
        <f>X764</f>
        <v>576</v>
      </c>
      <c r="AG764" s="7">
        <v>12</v>
      </c>
      <c r="AH764">
        <f t="shared" si="112"/>
        <v>576</v>
      </c>
      <c r="AI764">
        <f t="shared" si="109"/>
        <v>36</v>
      </c>
      <c r="AK764">
        <f t="shared" si="113"/>
        <v>48</v>
      </c>
      <c r="AL764">
        <v>15.15</v>
      </c>
      <c r="AM764" t="s">
        <v>27</v>
      </c>
      <c r="AN764">
        <v>15.15</v>
      </c>
      <c r="AO764" t="b">
        <f t="shared" si="114"/>
        <v>1</v>
      </c>
      <c r="AR764" t="s">
        <v>5061</v>
      </c>
      <c r="AS764" s="21">
        <v>46276</v>
      </c>
      <c r="AT764" t="s">
        <v>5074</v>
      </c>
      <c r="AU764" t="s">
        <v>5076</v>
      </c>
      <c r="AV764" t="s">
        <v>5074</v>
      </c>
      <c r="AW764" t="s">
        <v>5086</v>
      </c>
    </row>
    <row r="765" spans="1:49" x14ac:dyDescent="0.35">
      <c r="A765" t="s">
        <v>2718</v>
      </c>
      <c r="B765" t="s">
        <v>2719</v>
      </c>
      <c r="C765" t="s">
        <v>4818</v>
      </c>
      <c r="D765" t="s">
        <v>18</v>
      </c>
      <c r="E765" t="s">
        <v>2784</v>
      </c>
      <c r="F765" t="s">
        <v>2785</v>
      </c>
      <c r="G765" t="s">
        <v>21</v>
      </c>
      <c r="H765" t="s">
        <v>4888</v>
      </c>
      <c r="I765" t="s">
        <v>4991</v>
      </c>
      <c r="J765" s="4" t="s">
        <v>4992</v>
      </c>
      <c r="K765" s="4" t="s">
        <v>4993</v>
      </c>
      <c r="L765" s="4" t="s">
        <v>4997</v>
      </c>
      <c r="M765" s="4" t="s">
        <v>5035</v>
      </c>
      <c r="N765" t="s">
        <v>2786</v>
      </c>
      <c r="O765" t="s">
        <v>2787</v>
      </c>
      <c r="P765" t="s">
        <v>23</v>
      </c>
      <c r="Q765" t="s">
        <v>24</v>
      </c>
      <c r="R765" t="s">
        <v>25</v>
      </c>
      <c r="S765" t="s">
        <v>26</v>
      </c>
      <c r="T765" s="6">
        <v>46307</v>
      </c>
      <c r="U765">
        <v>480</v>
      </c>
      <c r="V765">
        <v>480</v>
      </c>
      <c r="W765">
        <v>432</v>
      </c>
      <c r="X765">
        <v>432</v>
      </c>
      <c r="Y765">
        <f t="shared" si="110"/>
        <v>0</v>
      </c>
      <c r="Z765">
        <f t="shared" si="111"/>
        <v>48</v>
      </c>
      <c r="AA765">
        <f t="shared" si="120"/>
        <v>48</v>
      </c>
      <c r="AC765" s="1">
        <v>0</v>
      </c>
      <c r="AF765">
        <f>X765</f>
        <v>432</v>
      </c>
      <c r="AG765" s="7">
        <v>12</v>
      </c>
      <c r="AH765">
        <f t="shared" si="112"/>
        <v>432</v>
      </c>
      <c r="AI765">
        <f t="shared" si="109"/>
        <v>48</v>
      </c>
      <c r="AK765">
        <f t="shared" si="113"/>
        <v>36</v>
      </c>
      <c r="AL765">
        <v>15.15</v>
      </c>
      <c r="AM765" t="s">
        <v>27</v>
      </c>
      <c r="AN765">
        <v>15.15</v>
      </c>
      <c r="AO765" t="b">
        <f t="shared" si="114"/>
        <v>1</v>
      </c>
      <c r="AR765" t="s">
        <v>5061</v>
      </c>
      <c r="AS765" s="21">
        <v>46276</v>
      </c>
      <c r="AT765" t="s">
        <v>5074</v>
      </c>
      <c r="AU765" t="s">
        <v>5076</v>
      </c>
      <c r="AV765" t="s">
        <v>5074</v>
      </c>
      <c r="AW765" t="s">
        <v>5086</v>
      </c>
    </row>
    <row r="766" spans="1:49" x14ac:dyDescent="0.35">
      <c r="A766" t="s">
        <v>2718</v>
      </c>
      <c r="B766" t="s">
        <v>2719</v>
      </c>
      <c r="C766" t="s">
        <v>4818</v>
      </c>
      <c r="D766" t="s">
        <v>18</v>
      </c>
      <c r="E766" t="s">
        <v>2788</v>
      </c>
      <c r="F766" t="s">
        <v>2789</v>
      </c>
      <c r="G766" t="s">
        <v>21</v>
      </c>
      <c r="H766" t="s">
        <v>4888</v>
      </c>
      <c r="I766" t="s">
        <v>4991</v>
      </c>
      <c r="J766" s="4" t="s">
        <v>4992</v>
      </c>
      <c r="K766" s="4" t="s">
        <v>4993</v>
      </c>
      <c r="L766" s="4" t="s">
        <v>4998</v>
      </c>
      <c r="M766" s="4" t="s">
        <v>5035</v>
      </c>
      <c r="N766" t="s">
        <v>2790</v>
      </c>
      <c r="O766" t="s">
        <v>2791</v>
      </c>
      <c r="P766" t="s">
        <v>23</v>
      </c>
      <c r="Q766" t="s">
        <v>24</v>
      </c>
      <c r="R766" t="s">
        <v>25</v>
      </c>
      <c r="S766" t="s">
        <v>26</v>
      </c>
      <c r="T766" s="6">
        <v>46307</v>
      </c>
      <c r="U766">
        <v>384</v>
      </c>
      <c r="V766">
        <v>384</v>
      </c>
      <c r="W766">
        <v>408</v>
      </c>
      <c r="X766">
        <v>408</v>
      </c>
      <c r="Y766">
        <f t="shared" si="110"/>
        <v>0</v>
      </c>
      <c r="Z766">
        <f t="shared" si="111"/>
        <v>-24</v>
      </c>
      <c r="AC766" s="1">
        <v>0</v>
      </c>
      <c r="AF766">
        <f t="shared" ref="AF766:AF803" si="121">V766</f>
        <v>384</v>
      </c>
      <c r="AG766" s="7">
        <v>12</v>
      </c>
      <c r="AH766">
        <f t="shared" si="112"/>
        <v>384</v>
      </c>
      <c r="AI766">
        <f t="shared" si="109"/>
        <v>0</v>
      </c>
      <c r="AK766">
        <f t="shared" si="113"/>
        <v>32</v>
      </c>
      <c r="AL766">
        <v>15.15</v>
      </c>
      <c r="AM766" t="s">
        <v>27</v>
      </c>
      <c r="AN766">
        <v>15.15</v>
      </c>
      <c r="AO766" t="b">
        <f t="shared" si="114"/>
        <v>1</v>
      </c>
      <c r="AR766" t="s">
        <v>5061</v>
      </c>
      <c r="AS766" s="21">
        <v>46276</v>
      </c>
      <c r="AT766" t="s">
        <v>5074</v>
      </c>
      <c r="AU766" t="s">
        <v>5076</v>
      </c>
      <c r="AV766" t="s">
        <v>5074</v>
      </c>
      <c r="AW766" t="s">
        <v>5086</v>
      </c>
    </row>
    <row r="767" spans="1:49" x14ac:dyDescent="0.35">
      <c r="A767" t="s">
        <v>2718</v>
      </c>
      <c r="B767" t="s">
        <v>2719</v>
      </c>
      <c r="C767" t="s">
        <v>4818</v>
      </c>
      <c r="D767" t="s">
        <v>18</v>
      </c>
      <c r="E767" t="s">
        <v>2792</v>
      </c>
      <c r="F767" t="s">
        <v>2793</v>
      </c>
      <c r="G767" t="s">
        <v>21</v>
      </c>
      <c r="H767" t="s">
        <v>4888</v>
      </c>
      <c r="I767" t="s">
        <v>4991</v>
      </c>
      <c r="J767" s="4" t="s">
        <v>4992</v>
      </c>
      <c r="K767" s="4" t="s">
        <v>4993</v>
      </c>
      <c r="L767" s="4" t="s">
        <v>4999</v>
      </c>
      <c r="M767" s="4" t="s">
        <v>5035</v>
      </c>
      <c r="N767" t="s">
        <v>2794</v>
      </c>
      <c r="O767" t="s">
        <v>2795</v>
      </c>
      <c r="P767" t="s">
        <v>23</v>
      </c>
      <c r="Q767" t="s">
        <v>24</v>
      </c>
      <c r="R767" t="s">
        <v>25</v>
      </c>
      <c r="S767" t="s">
        <v>26</v>
      </c>
      <c r="T767" s="6">
        <v>46307</v>
      </c>
      <c r="U767">
        <v>588</v>
      </c>
      <c r="V767">
        <v>588</v>
      </c>
      <c r="W767">
        <v>612</v>
      </c>
      <c r="X767">
        <v>612</v>
      </c>
      <c r="Y767">
        <f t="shared" si="110"/>
        <v>0</v>
      </c>
      <c r="Z767">
        <f t="shared" si="111"/>
        <v>-24</v>
      </c>
      <c r="AC767" s="1">
        <v>0</v>
      </c>
      <c r="AF767">
        <f t="shared" si="121"/>
        <v>588</v>
      </c>
      <c r="AG767" s="7">
        <v>12</v>
      </c>
      <c r="AH767">
        <f t="shared" si="112"/>
        <v>588</v>
      </c>
      <c r="AI767">
        <f t="shared" si="109"/>
        <v>0</v>
      </c>
      <c r="AK767">
        <f t="shared" si="113"/>
        <v>49</v>
      </c>
      <c r="AL767">
        <v>15.15</v>
      </c>
      <c r="AM767" t="s">
        <v>27</v>
      </c>
      <c r="AN767">
        <v>15.15</v>
      </c>
      <c r="AO767" t="b">
        <f t="shared" si="114"/>
        <v>1</v>
      </c>
      <c r="AR767" t="s">
        <v>5061</v>
      </c>
      <c r="AS767" s="21">
        <v>46276</v>
      </c>
      <c r="AT767" t="s">
        <v>5074</v>
      </c>
      <c r="AU767" t="s">
        <v>5076</v>
      </c>
      <c r="AV767" t="s">
        <v>5074</v>
      </c>
      <c r="AW767" t="s">
        <v>5086</v>
      </c>
    </row>
    <row r="768" spans="1:49" x14ac:dyDescent="0.35">
      <c r="A768" t="s">
        <v>2796</v>
      </c>
      <c r="B768" t="s">
        <v>872</v>
      </c>
      <c r="C768" t="s">
        <v>4818</v>
      </c>
      <c r="D768" t="s">
        <v>18</v>
      </c>
      <c r="E768" t="s">
        <v>2797</v>
      </c>
      <c r="F768" t="s">
        <v>2798</v>
      </c>
      <c r="G768" t="s">
        <v>21</v>
      </c>
      <c r="H768" t="s">
        <v>5000</v>
      </c>
      <c r="I768" t="s">
        <v>5001</v>
      </c>
      <c r="J768" s="4" t="s">
        <v>5002</v>
      </c>
      <c r="K768" s="4" t="s">
        <v>4837</v>
      </c>
      <c r="L768" s="4">
        <v>20</v>
      </c>
      <c r="M768" s="4" t="s">
        <v>5035</v>
      </c>
      <c r="N768" t="s">
        <v>2799</v>
      </c>
      <c r="O768" t="s">
        <v>2800</v>
      </c>
      <c r="P768" t="s">
        <v>23</v>
      </c>
      <c r="Q768" t="s">
        <v>24</v>
      </c>
      <c r="R768" t="s">
        <v>25</v>
      </c>
      <c r="S768" t="s">
        <v>26</v>
      </c>
      <c r="T768" s="6">
        <v>46307</v>
      </c>
      <c r="U768">
        <v>200</v>
      </c>
      <c r="V768">
        <v>200</v>
      </c>
      <c r="W768">
        <v>200</v>
      </c>
      <c r="X768">
        <v>200</v>
      </c>
      <c r="Y768">
        <f t="shared" si="110"/>
        <v>0</v>
      </c>
      <c r="Z768">
        <f t="shared" si="111"/>
        <v>0</v>
      </c>
      <c r="AC768" s="1">
        <v>0</v>
      </c>
      <c r="AF768">
        <f t="shared" si="121"/>
        <v>200</v>
      </c>
      <c r="AG768" s="7">
        <v>20</v>
      </c>
      <c r="AH768">
        <f t="shared" si="112"/>
        <v>200</v>
      </c>
      <c r="AI768">
        <f t="shared" si="109"/>
        <v>0</v>
      </c>
      <c r="AK768">
        <f t="shared" si="113"/>
        <v>10</v>
      </c>
      <c r="AL768">
        <v>10.06</v>
      </c>
      <c r="AM768" t="s">
        <v>27</v>
      </c>
      <c r="AN768">
        <v>10.06</v>
      </c>
      <c r="AO768" t="b">
        <f t="shared" si="114"/>
        <v>1</v>
      </c>
      <c r="AR768" t="s">
        <v>5061</v>
      </c>
      <c r="AS768" s="21">
        <v>46276</v>
      </c>
      <c r="AT768" t="s">
        <v>5062</v>
      </c>
      <c r="AU768" t="s">
        <v>5077</v>
      </c>
      <c r="AV768" t="s">
        <v>5062</v>
      </c>
      <c r="AW768" t="s">
        <v>5086</v>
      </c>
    </row>
    <row r="769" spans="1:49" x14ac:dyDescent="0.35">
      <c r="A769" t="s">
        <v>2796</v>
      </c>
      <c r="B769" t="s">
        <v>872</v>
      </c>
      <c r="C769" t="s">
        <v>4818</v>
      </c>
      <c r="D769" t="s">
        <v>18</v>
      </c>
      <c r="E769" t="s">
        <v>2801</v>
      </c>
      <c r="F769" t="s">
        <v>2802</v>
      </c>
      <c r="G769" t="s">
        <v>21</v>
      </c>
      <c r="H769" t="s">
        <v>5000</v>
      </c>
      <c r="I769" t="s">
        <v>5001</v>
      </c>
      <c r="J769" s="4" t="s">
        <v>5002</v>
      </c>
      <c r="K769" s="4" t="s">
        <v>4837</v>
      </c>
      <c r="L769" s="4">
        <v>2</v>
      </c>
      <c r="M769" s="4" t="s">
        <v>5035</v>
      </c>
      <c r="N769" t="s">
        <v>2803</v>
      </c>
      <c r="O769" t="s">
        <v>2804</v>
      </c>
      <c r="P769" t="s">
        <v>23</v>
      </c>
      <c r="Q769" t="s">
        <v>24</v>
      </c>
      <c r="R769" t="s">
        <v>25</v>
      </c>
      <c r="S769" t="s">
        <v>26</v>
      </c>
      <c r="T769" s="6">
        <v>46307</v>
      </c>
      <c r="U769">
        <v>300</v>
      </c>
      <c r="V769">
        <v>300</v>
      </c>
      <c r="W769">
        <v>300</v>
      </c>
      <c r="X769">
        <v>300</v>
      </c>
      <c r="Y769">
        <f t="shared" si="110"/>
        <v>0</v>
      </c>
      <c r="Z769">
        <f t="shared" si="111"/>
        <v>0</v>
      </c>
      <c r="AC769" s="1">
        <v>0</v>
      </c>
      <c r="AF769">
        <f t="shared" si="121"/>
        <v>300</v>
      </c>
      <c r="AG769" s="7">
        <v>20</v>
      </c>
      <c r="AH769">
        <f t="shared" si="112"/>
        <v>300</v>
      </c>
      <c r="AI769">
        <f t="shared" si="109"/>
        <v>0</v>
      </c>
      <c r="AK769">
        <f t="shared" si="113"/>
        <v>15</v>
      </c>
      <c r="AL769">
        <v>10.06</v>
      </c>
      <c r="AM769" t="s">
        <v>27</v>
      </c>
      <c r="AN769">
        <v>10.06</v>
      </c>
      <c r="AO769" t="b">
        <f t="shared" si="114"/>
        <v>1</v>
      </c>
      <c r="AR769" t="s">
        <v>5061</v>
      </c>
      <c r="AS769" s="21">
        <v>46276</v>
      </c>
      <c r="AT769" t="s">
        <v>5062</v>
      </c>
      <c r="AU769" t="s">
        <v>5077</v>
      </c>
      <c r="AV769" t="s">
        <v>5062</v>
      </c>
      <c r="AW769" t="s">
        <v>5086</v>
      </c>
    </row>
    <row r="770" spans="1:49" x14ac:dyDescent="0.35">
      <c r="A770" t="s">
        <v>2796</v>
      </c>
      <c r="B770" t="s">
        <v>872</v>
      </c>
      <c r="C770" t="s">
        <v>4818</v>
      </c>
      <c r="D770" t="s">
        <v>18</v>
      </c>
      <c r="E770" t="s">
        <v>2805</v>
      </c>
      <c r="F770" t="s">
        <v>2806</v>
      </c>
      <c r="G770" t="s">
        <v>21</v>
      </c>
      <c r="H770" t="s">
        <v>5000</v>
      </c>
      <c r="I770" t="s">
        <v>5001</v>
      </c>
      <c r="J770" s="4" t="s">
        <v>5002</v>
      </c>
      <c r="K770" s="4" t="s">
        <v>4837</v>
      </c>
      <c r="L770" s="4">
        <v>10</v>
      </c>
      <c r="M770" s="4" t="s">
        <v>5035</v>
      </c>
      <c r="N770" t="s">
        <v>2807</v>
      </c>
      <c r="O770" t="s">
        <v>2808</v>
      </c>
      <c r="P770" t="s">
        <v>23</v>
      </c>
      <c r="Q770" t="s">
        <v>24</v>
      </c>
      <c r="R770" t="s">
        <v>25</v>
      </c>
      <c r="S770" t="s">
        <v>26</v>
      </c>
      <c r="T770" s="6">
        <v>46307</v>
      </c>
      <c r="U770">
        <v>80</v>
      </c>
      <c r="V770">
        <v>80</v>
      </c>
      <c r="W770">
        <v>80</v>
      </c>
      <c r="X770">
        <v>80</v>
      </c>
      <c r="Y770">
        <f t="shared" si="110"/>
        <v>0</v>
      </c>
      <c r="Z770">
        <f t="shared" si="111"/>
        <v>0</v>
      </c>
      <c r="AC770" s="1">
        <v>0</v>
      </c>
      <c r="AF770">
        <f t="shared" si="121"/>
        <v>80</v>
      </c>
      <c r="AG770" s="7">
        <v>20</v>
      </c>
      <c r="AH770">
        <f t="shared" si="112"/>
        <v>80</v>
      </c>
      <c r="AI770">
        <f t="shared" si="109"/>
        <v>0</v>
      </c>
      <c r="AK770">
        <f t="shared" si="113"/>
        <v>4</v>
      </c>
      <c r="AL770">
        <v>10.06</v>
      </c>
      <c r="AM770" t="s">
        <v>27</v>
      </c>
      <c r="AN770">
        <v>10.06</v>
      </c>
      <c r="AO770" t="b">
        <f t="shared" si="114"/>
        <v>1</v>
      </c>
      <c r="AR770" t="s">
        <v>5061</v>
      </c>
      <c r="AS770" s="21">
        <v>46276</v>
      </c>
      <c r="AT770" t="s">
        <v>5062</v>
      </c>
      <c r="AU770" t="s">
        <v>5077</v>
      </c>
      <c r="AV770" t="s">
        <v>5062</v>
      </c>
      <c r="AW770" t="s">
        <v>5086</v>
      </c>
    </row>
    <row r="771" spans="1:49" x14ac:dyDescent="0.35">
      <c r="A771" t="s">
        <v>2796</v>
      </c>
      <c r="B771" t="s">
        <v>872</v>
      </c>
      <c r="C771" t="s">
        <v>4818</v>
      </c>
      <c r="D771" t="s">
        <v>18</v>
      </c>
      <c r="E771" t="s">
        <v>2809</v>
      </c>
      <c r="F771" t="s">
        <v>2810</v>
      </c>
      <c r="G771" t="s">
        <v>21</v>
      </c>
      <c r="H771" t="s">
        <v>5000</v>
      </c>
      <c r="I771" t="s">
        <v>5001</v>
      </c>
      <c r="J771" s="4" t="s">
        <v>5002</v>
      </c>
      <c r="K771" s="4" t="s">
        <v>4837</v>
      </c>
      <c r="L771" s="4">
        <v>6</v>
      </c>
      <c r="M771" s="4" t="s">
        <v>5035</v>
      </c>
      <c r="N771" t="s">
        <v>2811</v>
      </c>
      <c r="O771" t="s">
        <v>2812</v>
      </c>
      <c r="P771" t="s">
        <v>23</v>
      </c>
      <c r="Q771" t="s">
        <v>24</v>
      </c>
      <c r="R771" t="s">
        <v>25</v>
      </c>
      <c r="S771" t="s">
        <v>26</v>
      </c>
      <c r="T771" s="6">
        <v>46307</v>
      </c>
      <c r="U771">
        <v>460</v>
      </c>
      <c r="V771">
        <v>460</v>
      </c>
      <c r="W771">
        <v>480</v>
      </c>
      <c r="X771">
        <v>480</v>
      </c>
      <c r="Y771">
        <f t="shared" si="110"/>
        <v>0</v>
      </c>
      <c r="Z771">
        <f t="shared" si="111"/>
        <v>-20</v>
      </c>
      <c r="AC771" s="1">
        <v>0</v>
      </c>
      <c r="AF771">
        <f t="shared" si="121"/>
        <v>460</v>
      </c>
      <c r="AG771" s="7">
        <v>20</v>
      </c>
      <c r="AH771">
        <f t="shared" si="112"/>
        <v>460</v>
      </c>
      <c r="AI771">
        <f t="shared" ref="AI771:AI834" si="122">V771-AH771</f>
        <v>0</v>
      </c>
      <c r="AK771">
        <f t="shared" si="113"/>
        <v>23</v>
      </c>
      <c r="AL771">
        <v>10.06</v>
      </c>
      <c r="AM771" t="s">
        <v>27</v>
      </c>
      <c r="AN771">
        <v>10.06</v>
      </c>
      <c r="AO771" t="b">
        <f t="shared" si="114"/>
        <v>1</v>
      </c>
      <c r="AR771" t="s">
        <v>5061</v>
      </c>
      <c r="AS771" s="21">
        <v>46276</v>
      </c>
      <c r="AT771" t="s">
        <v>5062</v>
      </c>
      <c r="AU771" t="s">
        <v>5077</v>
      </c>
      <c r="AV771" t="s">
        <v>5062</v>
      </c>
      <c r="AW771" t="s">
        <v>5086</v>
      </c>
    </row>
    <row r="772" spans="1:49" x14ac:dyDescent="0.35">
      <c r="A772" t="s">
        <v>2796</v>
      </c>
      <c r="B772" t="s">
        <v>872</v>
      </c>
      <c r="C772" t="s">
        <v>4818</v>
      </c>
      <c r="D772" t="s">
        <v>18</v>
      </c>
      <c r="E772" t="s">
        <v>2813</v>
      </c>
      <c r="F772" t="s">
        <v>2814</v>
      </c>
      <c r="G772" t="s">
        <v>21</v>
      </c>
      <c r="H772" t="s">
        <v>5000</v>
      </c>
      <c r="I772" t="s">
        <v>5001</v>
      </c>
      <c r="J772" s="4" t="s">
        <v>5002</v>
      </c>
      <c r="K772" s="4" t="s">
        <v>4837</v>
      </c>
      <c r="L772" s="4">
        <v>4</v>
      </c>
      <c r="M772" s="4" t="s">
        <v>5035</v>
      </c>
      <c r="N772" t="s">
        <v>2815</v>
      </c>
      <c r="O772" t="s">
        <v>2816</v>
      </c>
      <c r="P772" t="s">
        <v>23</v>
      </c>
      <c r="Q772" t="s">
        <v>24</v>
      </c>
      <c r="R772" t="s">
        <v>25</v>
      </c>
      <c r="S772" t="s">
        <v>26</v>
      </c>
      <c r="T772" s="6">
        <v>46307</v>
      </c>
      <c r="U772">
        <v>340</v>
      </c>
      <c r="V772">
        <v>340</v>
      </c>
      <c r="W772">
        <v>360</v>
      </c>
      <c r="X772">
        <v>360</v>
      </c>
      <c r="Y772">
        <f t="shared" ref="Y772:Y835" si="123">W772-X772</f>
        <v>0</v>
      </c>
      <c r="Z772">
        <f t="shared" ref="Z772:Z835" si="124">V772-X772</f>
        <v>-20</v>
      </c>
      <c r="AC772" s="1"/>
      <c r="AF772">
        <f t="shared" si="121"/>
        <v>340</v>
      </c>
      <c r="AG772" s="7">
        <v>20</v>
      </c>
      <c r="AH772">
        <f t="shared" ref="AH772:AH835" si="125">ROUNDUP(AF772/AG772,0)*AG772</f>
        <v>340</v>
      </c>
      <c r="AI772">
        <f t="shared" si="122"/>
        <v>0</v>
      </c>
      <c r="AK772">
        <f t="shared" ref="AK772:AK835" si="126">AH772/AG772</f>
        <v>17</v>
      </c>
      <c r="AL772">
        <v>10.06</v>
      </c>
      <c r="AM772" t="s">
        <v>27</v>
      </c>
      <c r="AN772">
        <v>10.06</v>
      </c>
      <c r="AO772" t="b">
        <f t="shared" ref="AO772:AO835" si="127">AL772=AN772</f>
        <v>1</v>
      </c>
      <c r="AR772" t="s">
        <v>5061</v>
      </c>
      <c r="AS772" s="21">
        <v>46276</v>
      </c>
      <c r="AT772" t="s">
        <v>5062</v>
      </c>
      <c r="AU772" t="s">
        <v>5077</v>
      </c>
      <c r="AV772" t="s">
        <v>5062</v>
      </c>
      <c r="AW772" t="s">
        <v>5086</v>
      </c>
    </row>
    <row r="773" spans="1:49" x14ac:dyDescent="0.35">
      <c r="A773" t="s">
        <v>2796</v>
      </c>
      <c r="B773" t="s">
        <v>872</v>
      </c>
      <c r="C773" t="s">
        <v>4818</v>
      </c>
      <c r="D773" t="s">
        <v>18</v>
      </c>
      <c r="E773" t="s">
        <v>2817</v>
      </c>
      <c r="F773" t="s">
        <v>2818</v>
      </c>
      <c r="G773" t="s">
        <v>21</v>
      </c>
      <c r="H773" t="s">
        <v>5000</v>
      </c>
      <c r="I773" t="s">
        <v>5001</v>
      </c>
      <c r="J773" s="4" t="s">
        <v>5002</v>
      </c>
      <c r="K773" s="4" t="s">
        <v>4837</v>
      </c>
      <c r="L773" s="4">
        <v>0</v>
      </c>
      <c r="M773" s="4" t="s">
        <v>5035</v>
      </c>
      <c r="N773" t="s">
        <v>2819</v>
      </c>
      <c r="O773" t="s">
        <v>2820</v>
      </c>
      <c r="P773" t="s">
        <v>23</v>
      </c>
      <c r="Q773" t="s">
        <v>24</v>
      </c>
      <c r="R773" t="s">
        <v>25</v>
      </c>
      <c r="S773" t="s">
        <v>26</v>
      </c>
      <c r="T773" s="6">
        <v>46307</v>
      </c>
      <c r="U773">
        <v>260</v>
      </c>
      <c r="V773">
        <v>260</v>
      </c>
      <c r="W773">
        <v>280</v>
      </c>
      <c r="X773">
        <v>280</v>
      </c>
      <c r="Y773">
        <f t="shared" si="123"/>
        <v>0</v>
      </c>
      <c r="Z773">
        <f t="shared" si="124"/>
        <v>-20</v>
      </c>
      <c r="AC773" s="1">
        <v>0</v>
      </c>
      <c r="AF773">
        <f t="shared" si="121"/>
        <v>260</v>
      </c>
      <c r="AG773" s="7">
        <v>20</v>
      </c>
      <c r="AH773">
        <f t="shared" si="125"/>
        <v>260</v>
      </c>
      <c r="AI773">
        <f t="shared" si="122"/>
        <v>0</v>
      </c>
      <c r="AK773">
        <f t="shared" si="126"/>
        <v>13</v>
      </c>
      <c r="AL773">
        <v>10.06</v>
      </c>
      <c r="AM773" t="s">
        <v>27</v>
      </c>
      <c r="AN773">
        <v>10.06</v>
      </c>
      <c r="AO773" t="b">
        <f t="shared" si="127"/>
        <v>1</v>
      </c>
      <c r="AR773" t="s">
        <v>5061</v>
      </c>
      <c r="AS773" s="21">
        <v>46276</v>
      </c>
      <c r="AT773" t="s">
        <v>5062</v>
      </c>
      <c r="AU773" t="s">
        <v>5077</v>
      </c>
      <c r="AV773" t="s">
        <v>5062</v>
      </c>
      <c r="AW773" t="s">
        <v>5086</v>
      </c>
    </row>
    <row r="774" spans="1:49" x14ac:dyDescent="0.35">
      <c r="A774" t="s">
        <v>2796</v>
      </c>
      <c r="B774" t="s">
        <v>872</v>
      </c>
      <c r="C774" t="s">
        <v>4818</v>
      </c>
      <c r="D774" t="s">
        <v>18</v>
      </c>
      <c r="E774" t="s">
        <v>2821</v>
      </c>
      <c r="F774" t="s">
        <v>2822</v>
      </c>
      <c r="G774" t="s">
        <v>21</v>
      </c>
      <c r="H774" t="s">
        <v>5000</v>
      </c>
      <c r="I774" t="s">
        <v>5001</v>
      </c>
      <c r="J774" s="4" t="s">
        <v>5002</v>
      </c>
      <c r="K774" s="4" t="s">
        <v>4837</v>
      </c>
      <c r="L774" s="4">
        <v>8</v>
      </c>
      <c r="M774" s="4" t="s">
        <v>5035</v>
      </c>
      <c r="N774" t="s">
        <v>2823</v>
      </c>
      <c r="O774" t="s">
        <v>2824</v>
      </c>
      <c r="P774" t="s">
        <v>23</v>
      </c>
      <c r="Q774" t="s">
        <v>24</v>
      </c>
      <c r="R774" t="s">
        <v>25</v>
      </c>
      <c r="S774" t="s">
        <v>26</v>
      </c>
      <c r="T774" s="6">
        <v>46307</v>
      </c>
      <c r="U774">
        <v>100</v>
      </c>
      <c r="V774">
        <v>100</v>
      </c>
      <c r="W774">
        <v>100</v>
      </c>
      <c r="X774">
        <v>100</v>
      </c>
      <c r="Y774">
        <f t="shared" si="123"/>
        <v>0</v>
      </c>
      <c r="Z774">
        <f t="shared" si="124"/>
        <v>0</v>
      </c>
      <c r="AC774" s="1">
        <v>0</v>
      </c>
      <c r="AF774">
        <f t="shared" si="121"/>
        <v>100</v>
      </c>
      <c r="AG774" s="7">
        <v>20</v>
      </c>
      <c r="AH774">
        <f t="shared" si="125"/>
        <v>100</v>
      </c>
      <c r="AI774">
        <f t="shared" si="122"/>
        <v>0</v>
      </c>
      <c r="AK774">
        <f t="shared" si="126"/>
        <v>5</v>
      </c>
      <c r="AL774">
        <v>10.06</v>
      </c>
      <c r="AM774" t="s">
        <v>27</v>
      </c>
      <c r="AN774">
        <v>10.06</v>
      </c>
      <c r="AO774" t="b">
        <f t="shared" si="127"/>
        <v>1</v>
      </c>
      <c r="AR774" t="s">
        <v>5061</v>
      </c>
      <c r="AS774" s="21">
        <v>46276</v>
      </c>
      <c r="AT774" t="s">
        <v>5062</v>
      </c>
      <c r="AU774" t="s">
        <v>5077</v>
      </c>
      <c r="AV774" t="s">
        <v>5062</v>
      </c>
      <c r="AW774" t="s">
        <v>5086</v>
      </c>
    </row>
    <row r="775" spans="1:49" x14ac:dyDescent="0.35">
      <c r="A775" t="s">
        <v>2796</v>
      </c>
      <c r="B775" t="s">
        <v>872</v>
      </c>
      <c r="C775" t="s">
        <v>4818</v>
      </c>
      <c r="D775" t="s">
        <v>18</v>
      </c>
      <c r="E775" t="s">
        <v>2825</v>
      </c>
      <c r="F775" t="s">
        <v>2826</v>
      </c>
      <c r="G775" t="s">
        <v>21</v>
      </c>
      <c r="H775" t="s">
        <v>5000</v>
      </c>
      <c r="I775" t="s">
        <v>5001</v>
      </c>
      <c r="J775" s="4" t="s">
        <v>5002</v>
      </c>
      <c r="K775" s="4" t="s">
        <v>4837</v>
      </c>
      <c r="L775" s="4">
        <v>16</v>
      </c>
      <c r="M775" s="4" t="s">
        <v>5035</v>
      </c>
      <c r="N775" t="s">
        <v>2827</v>
      </c>
      <c r="O775" t="s">
        <v>2828</v>
      </c>
      <c r="P775" t="s">
        <v>23</v>
      </c>
      <c r="Q775" t="s">
        <v>24</v>
      </c>
      <c r="R775" t="s">
        <v>25</v>
      </c>
      <c r="S775" t="s">
        <v>26</v>
      </c>
      <c r="T775" s="6">
        <v>46307</v>
      </c>
      <c r="U775">
        <v>80</v>
      </c>
      <c r="V775">
        <v>80</v>
      </c>
      <c r="W775">
        <v>80</v>
      </c>
      <c r="X775">
        <v>80</v>
      </c>
      <c r="Y775">
        <f t="shared" si="123"/>
        <v>0</v>
      </c>
      <c r="Z775">
        <f t="shared" si="124"/>
        <v>0</v>
      </c>
      <c r="AC775" s="1">
        <v>0</v>
      </c>
      <c r="AF775">
        <f t="shared" si="121"/>
        <v>80</v>
      </c>
      <c r="AG775" s="7">
        <v>20</v>
      </c>
      <c r="AH775">
        <f t="shared" si="125"/>
        <v>80</v>
      </c>
      <c r="AI775">
        <f t="shared" si="122"/>
        <v>0</v>
      </c>
      <c r="AK775">
        <f t="shared" si="126"/>
        <v>4</v>
      </c>
      <c r="AL775">
        <v>10.06</v>
      </c>
      <c r="AM775" t="s">
        <v>27</v>
      </c>
      <c r="AN775">
        <v>10.06</v>
      </c>
      <c r="AO775" t="b">
        <f t="shared" si="127"/>
        <v>1</v>
      </c>
      <c r="AR775" t="s">
        <v>5061</v>
      </c>
      <c r="AS775" s="21">
        <v>46276</v>
      </c>
      <c r="AT775" t="s">
        <v>5062</v>
      </c>
      <c r="AU775" t="s">
        <v>5077</v>
      </c>
      <c r="AV775" t="s">
        <v>5062</v>
      </c>
      <c r="AW775" t="s">
        <v>5086</v>
      </c>
    </row>
    <row r="776" spans="1:49" x14ac:dyDescent="0.35">
      <c r="A776" t="s">
        <v>2796</v>
      </c>
      <c r="B776" t="s">
        <v>872</v>
      </c>
      <c r="C776" t="s">
        <v>4818</v>
      </c>
      <c r="D776" t="s">
        <v>18</v>
      </c>
      <c r="E776" t="s">
        <v>2829</v>
      </c>
      <c r="F776" t="s">
        <v>2830</v>
      </c>
      <c r="G776" t="s">
        <v>21</v>
      </c>
      <c r="H776" t="s">
        <v>5000</v>
      </c>
      <c r="I776" t="s">
        <v>5001</v>
      </c>
      <c r="J776" s="4" t="s">
        <v>5002</v>
      </c>
      <c r="K776" s="4" t="s">
        <v>4837</v>
      </c>
      <c r="L776" s="4">
        <v>12</v>
      </c>
      <c r="M776" s="4" t="s">
        <v>5035</v>
      </c>
      <c r="N776" t="s">
        <v>2831</v>
      </c>
      <c r="O776" t="s">
        <v>2832</v>
      </c>
      <c r="P776" t="s">
        <v>23</v>
      </c>
      <c r="Q776" t="s">
        <v>24</v>
      </c>
      <c r="R776" t="s">
        <v>25</v>
      </c>
      <c r="S776" t="s">
        <v>26</v>
      </c>
      <c r="T776" s="6">
        <v>46307</v>
      </c>
      <c r="U776">
        <v>520</v>
      </c>
      <c r="V776">
        <v>520</v>
      </c>
      <c r="W776">
        <v>520</v>
      </c>
      <c r="X776">
        <v>520</v>
      </c>
      <c r="Y776">
        <f t="shared" si="123"/>
        <v>0</v>
      </c>
      <c r="Z776">
        <f t="shared" si="124"/>
        <v>0</v>
      </c>
      <c r="AC776" s="1">
        <v>0</v>
      </c>
      <c r="AF776">
        <f t="shared" si="121"/>
        <v>520</v>
      </c>
      <c r="AG776" s="7">
        <v>20</v>
      </c>
      <c r="AH776">
        <f t="shared" si="125"/>
        <v>520</v>
      </c>
      <c r="AI776">
        <f t="shared" si="122"/>
        <v>0</v>
      </c>
      <c r="AK776">
        <f t="shared" si="126"/>
        <v>26</v>
      </c>
      <c r="AL776">
        <v>10.06</v>
      </c>
      <c r="AM776" t="s">
        <v>27</v>
      </c>
      <c r="AN776">
        <v>10.06</v>
      </c>
      <c r="AO776" t="b">
        <f t="shared" si="127"/>
        <v>1</v>
      </c>
      <c r="AR776" t="s">
        <v>5061</v>
      </c>
      <c r="AS776" s="21">
        <v>46276</v>
      </c>
      <c r="AT776" t="s">
        <v>5062</v>
      </c>
      <c r="AU776" t="s">
        <v>5077</v>
      </c>
      <c r="AV776" t="s">
        <v>5062</v>
      </c>
      <c r="AW776" t="s">
        <v>5086</v>
      </c>
    </row>
    <row r="777" spans="1:49" x14ac:dyDescent="0.35">
      <c r="A777" t="s">
        <v>2796</v>
      </c>
      <c r="B777" t="s">
        <v>872</v>
      </c>
      <c r="C777" t="s">
        <v>4818</v>
      </c>
      <c r="D777" t="s">
        <v>18</v>
      </c>
      <c r="E777" t="s">
        <v>2833</v>
      </c>
      <c r="F777" t="s">
        <v>2834</v>
      </c>
      <c r="G777" t="s">
        <v>21</v>
      </c>
      <c r="H777" t="s">
        <v>5000</v>
      </c>
      <c r="I777" t="s">
        <v>5001</v>
      </c>
      <c r="J777" s="4" t="s">
        <v>5002</v>
      </c>
      <c r="K777" s="4" t="s">
        <v>4837</v>
      </c>
      <c r="L777" s="4">
        <v>14</v>
      </c>
      <c r="M777" s="4" t="s">
        <v>5035</v>
      </c>
      <c r="N777" t="s">
        <v>2835</v>
      </c>
      <c r="O777" t="s">
        <v>2836</v>
      </c>
      <c r="P777" t="s">
        <v>23</v>
      </c>
      <c r="Q777" t="s">
        <v>24</v>
      </c>
      <c r="R777" t="s">
        <v>25</v>
      </c>
      <c r="S777" t="s">
        <v>26</v>
      </c>
      <c r="T777" s="6">
        <v>46307</v>
      </c>
      <c r="U777">
        <v>420</v>
      </c>
      <c r="V777">
        <v>420</v>
      </c>
      <c r="W777">
        <v>440</v>
      </c>
      <c r="X777">
        <v>440</v>
      </c>
      <c r="Y777">
        <f t="shared" si="123"/>
        <v>0</v>
      </c>
      <c r="Z777">
        <f t="shared" si="124"/>
        <v>-20</v>
      </c>
      <c r="AC777" s="1">
        <v>0</v>
      </c>
      <c r="AF777">
        <f t="shared" si="121"/>
        <v>420</v>
      </c>
      <c r="AG777" s="7">
        <v>20</v>
      </c>
      <c r="AH777">
        <f t="shared" si="125"/>
        <v>420</v>
      </c>
      <c r="AI777">
        <f t="shared" si="122"/>
        <v>0</v>
      </c>
      <c r="AK777">
        <f t="shared" si="126"/>
        <v>21</v>
      </c>
      <c r="AL777">
        <v>10.06</v>
      </c>
      <c r="AM777" t="s">
        <v>27</v>
      </c>
      <c r="AN777">
        <v>10.06</v>
      </c>
      <c r="AO777" t="b">
        <f t="shared" si="127"/>
        <v>1</v>
      </c>
      <c r="AR777" t="s">
        <v>5061</v>
      </c>
      <c r="AS777" s="21">
        <v>46276</v>
      </c>
      <c r="AT777" t="s">
        <v>5062</v>
      </c>
      <c r="AU777" t="s">
        <v>5077</v>
      </c>
      <c r="AV777" t="s">
        <v>5062</v>
      </c>
      <c r="AW777" t="s">
        <v>5086</v>
      </c>
    </row>
    <row r="778" spans="1:49" x14ac:dyDescent="0.35">
      <c r="A778" t="s">
        <v>2796</v>
      </c>
      <c r="B778" t="s">
        <v>872</v>
      </c>
      <c r="C778" t="s">
        <v>4818</v>
      </c>
      <c r="D778" t="s">
        <v>18</v>
      </c>
      <c r="E778" t="s">
        <v>2837</v>
      </c>
      <c r="F778" t="s">
        <v>2838</v>
      </c>
      <c r="G778" t="s">
        <v>21</v>
      </c>
      <c r="H778" t="s">
        <v>4888</v>
      </c>
      <c r="I778" t="s">
        <v>5003</v>
      </c>
      <c r="J778" s="4" t="s">
        <v>5004</v>
      </c>
      <c r="K778" s="4" t="s">
        <v>4904</v>
      </c>
      <c r="L778" s="4" t="s">
        <v>4909</v>
      </c>
      <c r="M778" s="4" t="s">
        <v>5035</v>
      </c>
      <c r="N778" t="s">
        <v>2839</v>
      </c>
      <c r="O778" t="s">
        <v>2840</v>
      </c>
      <c r="P778" t="s">
        <v>23</v>
      </c>
      <c r="Q778" t="s">
        <v>24</v>
      </c>
      <c r="R778" t="s">
        <v>25</v>
      </c>
      <c r="S778" t="s">
        <v>26</v>
      </c>
      <c r="T778" s="6">
        <v>46307</v>
      </c>
      <c r="U778">
        <v>48</v>
      </c>
      <c r="V778">
        <v>48</v>
      </c>
      <c r="W778">
        <v>48</v>
      </c>
      <c r="X778">
        <v>48</v>
      </c>
      <c r="Y778">
        <f t="shared" si="123"/>
        <v>0</v>
      </c>
      <c r="Z778">
        <f t="shared" si="124"/>
        <v>0</v>
      </c>
      <c r="AC778" s="1">
        <v>0</v>
      </c>
      <c r="AF778">
        <f t="shared" si="121"/>
        <v>48</v>
      </c>
      <c r="AG778" s="7">
        <v>12</v>
      </c>
      <c r="AH778">
        <f t="shared" si="125"/>
        <v>48</v>
      </c>
      <c r="AI778">
        <f t="shared" si="122"/>
        <v>0</v>
      </c>
      <c r="AK778">
        <f t="shared" si="126"/>
        <v>4</v>
      </c>
      <c r="AL778">
        <v>12.89</v>
      </c>
      <c r="AM778" t="s">
        <v>27</v>
      </c>
      <c r="AN778">
        <v>12.89</v>
      </c>
      <c r="AO778" t="b">
        <f t="shared" si="127"/>
        <v>1</v>
      </c>
      <c r="AR778" t="s">
        <v>5061</v>
      </c>
      <c r="AS778" s="21">
        <v>46276</v>
      </c>
      <c r="AT778" t="s">
        <v>5062</v>
      </c>
      <c r="AU778" t="s">
        <v>5078</v>
      </c>
      <c r="AV778" t="s">
        <v>5062</v>
      </c>
      <c r="AW778" t="s">
        <v>5086</v>
      </c>
    </row>
    <row r="779" spans="1:49" x14ac:dyDescent="0.35">
      <c r="A779" t="s">
        <v>2796</v>
      </c>
      <c r="B779" t="s">
        <v>872</v>
      </c>
      <c r="C779" t="s">
        <v>4818</v>
      </c>
      <c r="D779" t="s">
        <v>18</v>
      </c>
      <c r="E779" t="s">
        <v>2841</v>
      </c>
      <c r="F779" t="s">
        <v>2842</v>
      </c>
      <c r="G779" t="s">
        <v>21</v>
      </c>
      <c r="H779" t="s">
        <v>4888</v>
      </c>
      <c r="I779" t="s">
        <v>5005</v>
      </c>
      <c r="J779" s="4" t="s">
        <v>5006</v>
      </c>
      <c r="K779" s="4" t="s">
        <v>5007</v>
      </c>
      <c r="L779" s="4">
        <v>36</v>
      </c>
      <c r="M779" s="4" t="s">
        <v>5035</v>
      </c>
      <c r="N779" t="s">
        <v>2843</v>
      </c>
      <c r="O779" t="s">
        <v>2844</v>
      </c>
      <c r="P779" t="s">
        <v>23</v>
      </c>
      <c r="Q779" t="s">
        <v>24</v>
      </c>
      <c r="R779" t="s">
        <v>25</v>
      </c>
      <c r="S779" t="s">
        <v>26</v>
      </c>
      <c r="T779" s="6">
        <v>46307</v>
      </c>
      <c r="U779">
        <v>792</v>
      </c>
      <c r="V779">
        <v>792</v>
      </c>
      <c r="W779">
        <v>792</v>
      </c>
      <c r="X779">
        <v>792</v>
      </c>
      <c r="Y779">
        <f t="shared" si="123"/>
        <v>0</v>
      </c>
      <c r="Z779">
        <f t="shared" si="124"/>
        <v>0</v>
      </c>
      <c r="AC779" s="1">
        <v>0</v>
      </c>
      <c r="AF779">
        <f t="shared" si="121"/>
        <v>792</v>
      </c>
      <c r="AG779" s="7">
        <v>24</v>
      </c>
      <c r="AH779">
        <f t="shared" si="125"/>
        <v>792</v>
      </c>
      <c r="AI779">
        <f t="shared" si="122"/>
        <v>0</v>
      </c>
      <c r="AK779">
        <f t="shared" si="126"/>
        <v>33</v>
      </c>
      <c r="AL779">
        <v>10.45</v>
      </c>
      <c r="AM779" t="s">
        <v>27</v>
      </c>
      <c r="AN779">
        <v>10.45</v>
      </c>
      <c r="AO779" t="b">
        <f t="shared" si="127"/>
        <v>1</v>
      </c>
      <c r="AR779" t="s">
        <v>5061</v>
      </c>
      <c r="AS779" s="21">
        <v>46276</v>
      </c>
      <c r="AT779" t="s">
        <v>5062</v>
      </c>
      <c r="AU779" t="s">
        <v>5079</v>
      </c>
      <c r="AV779" t="s">
        <v>5062</v>
      </c>
      <c r="AW779" t="s">
        <v>5086</v>
      </c>
    </row>
    <row r="780" spans="1:49" x14ac:dyDescent="0.35">
      <c r="A780" t="s">
        <v>2796</v>
      </c>
      <c r="B780" t="s">
        <v>872</v>
      </c>
      <c r="C780" t="s">
        <v>4818</v>
      </c>
      <c r="D780" t="s">
        <v>18</v>
      </c>
      <c r="E780" t="s">
        <v>2845</v>
      </c>
      <c r="F780" t="s">
        <v>2846</v>
      </c>
      <c r="G780" t="s">
        <v>21</v>
      </c>
      <c r="H780" t="s">
        <v>4888</v>
      </c>
      <c r="I780" t="s">
        <v>5003</v>
      </c>
      <c r="J780" s="4" t="s">
        <v>5004</v>
      </c>
      <c r="K780" s="4" t="s">
        <v>4904</v>
      </c>
      <c r="L780" s="4" t="s">
        <v>4905</v>
      </c>
      <c r="M780" s="4" t="s">
        <v>5035</v>
      </c>
      <c r="N780" t="s">
        <v>2847</v>
      </c>
      <c r="O780" t="s">
        <v>2848</v>
      </c>
      <c r="P780" t="s">
        <v>23</v>
      </c>
      <c r="Q780" t="s">
        <v>24</v>
      </c>
      <c r="R780" t="s">
        <v>25</v>
      </c>
      <c r="S780" t="s">
        <v>26</v>
      </c>
      <c r="T780" s="6">
        <v>46307</v>
      </c>
      <c r="U780">
        <v>48</v>
      </c>
      <c r="V780">
        <v>48</v>
      </c>
      <c r="W780">
        <v>48</v>
      </c>
      <c r="X780">
        <v>48</v>
      </c>
      <c r="Y780">
        <f t="shared" si="123"/>
        <v>0</v>
      </c>
      <c r="Z780">
        <f t="shared" si="124"/>
        <v>0</v>
      </c>
      <c r="AC780" s="1">
        <v>0</v>
      </c>
      <c r="AF780">
        <f t="shared" si="121"/>
        <v>48</v>
      </c>
      <c r="AG780" s="7">
        <v>12</v>
      </c>
      <c r="AH780">
        <f t="shared" si="125"/>
        <v>48</v>
      </c>
      <c r="AI780">
        <f t="shared" si="122"/>
        <v>0</v>
      </c>
      <c r="AK780">
        <f t="shared" si="126"/>
        <v>4</v>
      </c>
      <c r="AL780">
        <v>12.89</v>
      </c>
      <c r="AM780" t="s">
        <v>27</v>
      </c>
      <c r="AN780">
        <v>12.89</v>
      </c>
      <c r="AO780" t="b">
        <f t="shared" si="127"/>
        <v>1</v>
      </c>
      <c r="AR780" t="s">
        <v>5061</v>
      </c>
      <c r="AS780" s="21">
        <v>46276</v>
      </c>
      <c r="AT780" t="s">
        <v>5062</v>
      </c>
      <c r="AU780" t="s">
        <v>5078</v>
      </c>
      <c r="AV780" t="s">
        <v>5062</v>
      </c>
      <c r="AW780" t="s">
        <v>5086</v>
      </c>
    </row>
    <row r="781" spans="1:49" x14ac:dyDescent="0.35">
      <c r="A781" t="s">
        <v>2796</v>
      </c>
      <c r="B781" t="s">
        <v>872</v>
      </c>
      <c r="C781" t="s">
        <v>4818</v>
      </c>
      <c r="D781" t="s">
        <v>18</v>
      </c>
      <c r="E781" t="s">
        <v>2849</v>
      </c>
      <c r="F781" t="s">
        <v>2850</v>
      </c>
      <c r="G781" t="s">
        <v>21</v>
      </c>
      <c r="H781" t="s">
        <v>4888</v>
      </c>
      <c r="I781" t="s">
        <v>5003</v>
      </c>
      <c r="J781" s="4" t="s">
        <v>5004</v>
      </c>
      <c r="K781" s="4" t="s">
        <v>4904</v>
      </c>
      <c r="L781" s="4" t="s">
        <v>4914</v>
      </c>
      <c r="M781" s="4" t="s">
        <v>5035</v>
      </c>
      <c r="N781" t="s">
        <v>2851</v>
      </c>
      <c r="O781" t="s">
        <v>2852</v>
      </c>
      <c r="P781" t="s">
        <v>23</v>
      </c>
      <c r="Q781" t="s">
        <v>24</v>
      </c>
      <c r="R781" t="s">
        <v>25</v>
      </c>
      <c r="S781" t="s">
        <v>26</v>
      </c>
      <c r="T781" s="6">
        <v>46307</v>
      </c>
      <c r="U781">
        <v>36</v>
      </c>
      <c r="V781">
        <v>36</v>
      </c>
      <c r="W781">
        <v>36</v>
      </c>
      <c r="X781">
        <v>36</v>
      </c>
      <c r="Y781">
        <f t="shared" si="123"/>
        <v>0</v>
      </c>
      <c r="Z781">
        <f t="shared" si="124"/>
        <v>0</v>
      </c>
      <c r="AC781" s="1">
        <v>0</v>
      </c>
      <c r="AF781">
        <f t="shared" si="121"/>
        <v>36</v>
      </c>
      <c r="AG781" s="7">
        <v>12</v>
      </c>
      <c r="AH781">
        <f t="shared" si="125"/>
        <v>36</v>
      </c>
      <c r="AI781">
        <f t="shared" si="122"/>
        <v>0</v>
      </c>
      <c r="AK781">
        <f t="shared" si="126"/>
        <v>3</v>
      </c>
      <c r="AL781">
        <v>12.89</v>
      </c>
      <c r="AM781" t="s">
        <v>27</v>
      </c>
      <c r="AN781">
        <v>12.89</v>
      </c>
      <c r="AO781" t="b">
        <f t="shared" si="127"/>
        <v>1</v>
      </c>
      <c r="AR781" t="s">
        <v>5061</v>
      </c>
      <c r="AS781" s="21">
        <v>46276</v>
      </c>
      <c r="AT781" t="s">
        <v>5062</v>
      </c>
      <c r="AU781" t="s">
        <v>5078</v>
      </c>
      <c r="AV781" t="s">
        <v>5062</v>
      </c>
      <c r="AW781" t="s">
        <v>5086</v>
      </c>
    </row>
    <row r="782" spans="1:49" x14ac:dyDescent="0.35">
      <c r="A782" t="s">
        <v>2796</v>
      </c>
      <c r="B782" t="s">
        <v>872</v>
      </c>
      <c r="C782" t="s">
        <v>4818</v>
      </c>
      <c r="D782" t="s">
        <v>18</v>
      </c>
      <c r="E782" t="s">
        <v>2853</v>
      </c>
      <c r="F782" t="s">
        <v>2854</v>
      </c>
      <c r="G782" t="s">
        <v>21</v>
      </c>
      <c r="H782" t="s">
        <v>4888</v>
      </c>
      <c r="I782" t="s">
        <v>5003</v>
      </c>
      <c r="J782" s="4" t="s">
        <v>5004</v>
      </c>
      <c r="K782" s="4" t="s">
        <v>4837</v>
      </c>
      <c r="L782" s="4" t="s">
        <v>4916</v>
      </c>
      <c r="M782" s="4" t="s">
        <v>5035</v>
      </c>
      <c r="N782" t="s">
        <v>2855</v>
      </c>
      <c r="O782" t="s">
        <v>2856</v>
      </c>
      <c r="P782" t="s">
        <v>23</v>
      </c>
      <c r="Q782" t="s">
        <v>24</v>
      </c>
      <c r="R782" t="s">
        <v>25</v>
      </c>
      <c r="S782" t="s">
        <v>26</v>
      </c>
      <c r="T782" s="6">
        <v>46307</v>
      </c>
      <c r="U782">
        <v>60</v>
      </c>
      <c r="V782">
        <v>60</v>
      </c>
      <c r="W782">
        <v>60</v>
      </c>
      <c r="X782">
        <v>60</v>
      </c>
      <c r="Y782">
        <f t="shared" si="123"/>
        <v>0</v>
      </c>
      <c r="Z782">
        <f t="shared" si="124"/>
        <v>0</v>
      </c>
      <c r="AC782" s="1">
        <v>0</v>
      </c>
      <c r="AF782">
        <f t="shared" si="121"/>
        <v>60</v>
      </c>
      <c r="AG782" s="7">
        <v>12</v>
      </c>
      <c r="AH782">
        <f t="shared" si="125"/>
        <v>60</v>
      </c>
      <c r="AI782">
        <f t="shared" si="122"/>
        <v>0</v>
      </c>
      <c r="AK782">
        <f t="shared" si="126"/>
        <v>5</v>
      </c>
      <c r="AL782">
        <v>12.87</v>
      </c>
      <c r="AM782" t="s">
        <v>27</v>
      </c>
      <c r="AN782">
        <v>12.87</v>
      </c>
      <c r="AO782" t="b">
        <f t="shared" si="127"/>
        <v>1</v>
      </c>
      <c r="AR782" t="s">
        <v>5061</v>
      </c>
      <c r="AS782" s="21">
        <v>46276</v>
      </c>
      <c r="AT782" t="s">
        <v>5062</v>
      </c>
      <c r="AU782" t="s">
        <v>5078</v>
      </c>
      <c r="AV782" t="s">
        <v>5062</v>
      </c>
      <c r="AW782" t="s">
        <v>5086</v>
      </c>
    </row>
    <row r="783" spans="1:49" x14ac:dyDescent="0.35">
      <c r="A783" t="s">
        <v>2796</v>
      </c>
      <c r="B783" t="s">
        <v>872</v>
      </c>
      <c r="C783" t="s">
        <v>4818</v>
      </c>
      <c r="D783" t="s">
        <v>18</v>
      </c>
      <c r="E783" t="s">
        <v>2857</v>
      </c>
      <c r="F783" t="s">
        <v>2858</v>
      </c>
      <c r="G783" t="s">
        <v>21</v>
      </c>
      <c r="H783" t="s">
        <v>4888</v>
      </c>
      <c r="I783" t="s">
        <v>5003</v>
      </c>
      <c r="J783" s="4" t="s">
        <v>5004</v>
      </c>
      <c r="K783" s="4" t="s">
        <v>4904</v>
      </c>
      <c r="L783" s="4" t="s">
        <v>4867</v>
      </c>
      <c r="M783" s="4" t="s">
        <v>5035</v>
      </c>
      <c r="N783" t="s">
        <v>2859</v>
      </c>
      <c r="O783" t="s">
        <v>2860</v>
      </c>
      <c r="P783" t="s">
        <v>23</v>
      </c>
      <c r="Q783" t="s">
        <v>24</v>
      </c>
      <c r="R783" t="s">
        <v>25</v>
      </c>
      <c r="S783" t="s">
        <v>26</v>
      </c>
      <c r="T783" s="6">
        <v>46307</v>
      </c>
      <c r="U783">
        <v>36</v>
      </c>
      <c r="V783">
        <v>36</v>
      </c>
      <c r="W783">
        <v>36</v>
      </c>
      <c r="X783">
        <v>36</v>
      </c>
      <c r="Y783">
        <f t="shared" si="123"/>
        <v>0</v>
      </c>
      <c r="Z783">
        <f t="shared" si="124"/>
        <v>0</v>
      </c>
      <c r="AC783" s="1">
        <v>0</v>
      </c>
      <c r="AF783">
        <f t="shared" si="121"/>
        <v>36</v>
      </c>
      <c r="AG783" s="7">
        <v>12</v>
      </c>
      <c r="AH783">
        <f t="shared" si="125"/>
        <v>36</v>
      </c>
      <c r="AI783">
        <f t="shared" si="122"/>
        <v>0</v>
      </c>
      <c r="AK783">
        <f t="shared" si="126"/>
        <v>3</v>
      </c>
      <c r="AL783">
        <v>12.89</v>
      </c>
      <c r="AM783" t="s">
        <v>27</v>
      </c>
      <c r="AN783">
        <v>12.89</v>
      </c>
      <c r="AO783" t="b">
        <f t="shared" si="127"/>
        <v>1</v>
      </c>
      <c r="AR783" t="s">
        <v>5061</v>
      </c>
      <c r="AS783" s="21">
        <v>46276</v>
      </c>
      <c r="AT783" t="s">
        <v>5062</v>
      </c>
      <c r="AU783" t="s">
        <v>5078</v>
      </c>
      <c r="AV783" t="s">
        <v>5062</v>
      </c>
      <c r="AW783" t="s">
        <v>5086</v>
      </c>
    </row>
    <row r="784" spans="1:49" x14ac:dyDescent="0.35">
      <c r="A784" t="s">
        <v>2796</v>
      </c>
      <c r="B784" t="s">
        <v>872</v>
      </c>
      <c r="C784" t="s">
        <v>4818</v>
      </c>
      <c r="D784" t="s">
        <v>18</v>
      </c>
      <c r="E784" t="s">
        <v>2861</v>
      </c>
      <c r="F784" t="s">
        <v>2862</v>
      </c>
      <c r="G784" t="s">
        <v>21</v>
      </c>
      <c r="H784" t="s">
        <v>4888</v>
      </c>
      <c r="I784" t="s">
        <v>5008</v>
      </c>
      <c r="J784" s="4" t="s">
        <v>5009</v>
      </c>
      <c r="K784" s="4" t="s">
        <v>4904</v>
      </c>
      <c r="L784" s="4">
        <v>36</v>
      </c>
      <c r="M784" s="4" t="s">
        <v>5035</v>
      </c>
      <c r="N784" t="s">
        <v>2863</v>
      </c>
      <c r="O784" t="s">
        <v>2864</v>
      </c>
      <c r="P784" t="s">
        <v>23</v>
      </c>
      <c r="Q784" t="s">
        <v>24</v>
      </c>
      <c r="R784" t="s">
        <v>25</v>
      </c>
      <c r="S784" t="s">
        <v>26</v>
      </c>
      <c r="T784" s="6">
        <v>46307</v>
      </c>
      <c r="U784">
        <v>960</v>
      </c>
      <c r="V784">
        <v>960</v>
      </c>
      <c r="W784">
        <v>1032</v>
      </c>
      <c r="X784">
        <v>1032</v>
      </c>
      <c r="Y784">
        <f t="shared" si="123"/>
        <v>0</v>
      </c>
      <c r="Z784">
        <f t="shared" si="124"/>
        <v>-72</v>
      </c>
      <c r="AC784" s="1"/>
      <c r="AF784">
        <f t="shared" si="121"/>
        <v>960</v>
      </c>
      <c r="AG784" s="7">
        <v>24</v>
      </c>
      <c r="AH784">
        <f t="shared" si="125"/>
        <v>960</v>
      </c>
      <c r="AI784">
        <f t="shared" si="122"/>
        <v>0</v>
      </c>
      <c r="AK784">
        <f t="shared" si="126"/>
        <v>40</v>
      </c>
      <c r="AL784">
        <v>10.11</v>
      </c>
      <c r="AM784" t="s">
        <v>27</v>
      </c>
      <c r="AN784">
        <v>10.11</v>
      </c>
      <c r="AO784" t="b">
        <f t="shared" si="127"/>
        <v>1</v>
      </c>
      <c r="AR784" t="s">
        <v>5061</v>
      </c>
      <c r="AS784" s="21">
        <v>46276</v>
      </c>
      <c r="AT784" t="s">
        <v>5062</v>
      </c>
      <c r="AU784" t="s">
        <v>5080</v>
      </c>
      <c r="AV784" t="s">
        <v>5062</v>
      </c>
      <c r="AW784" t="s">
        <v>5086</v>
      </c>
    </row>
    <row r="785" spans="1:49" x14ac:dyDescent="0.35">
      <c r="A785" t="s">
        <v>2796</v>
      </c>
      <c r="B785" t="s">
        <v>872</v>
      </c>
      <c r="C785" t="s">
        <v>4818</v>
      </c>
      <c r="D785" t="s">
        <v>18</v>
      </c>
      <c r="E785" t="s">
        <v>2865</v>
      </c>
      <c r="F785" t="s">
        <v>2866</v>
      </c>
      <c r="G785" t="s">
        <v>21</v>
      </c>
      <c r="H785" t="s">
        <v>4888</v>
      </c>
      <c r="I785" t="s">
        <v>5005</v>
      </c>
      <c r="J785" s="4" t="s">
        <v>5006</v>
      </c>
      <c r="K785" s="4" t="s">
        <v>5007</v>
      </c>
      <c r="L785" s="4">
        <v>28</v>
      </c>
      <c r="M785" s="4" t="s">
        <v>5035</v>
      </c>
      <c r="N785" t="s">
        <v>2867</v>
      </c>
      <c r="O785" t="s">
        <v>2868</v>
      </c>
      <c r="P785" t="s">
        <v>23</v>
      </c>
      <c r="Q785" t="s">
        <v>24</v>
      </c>
      <c r="R785" t="s">
        <v>25</v>
      </c>
      <c r="S785" t="s">
        <v>26</v>
      </c>
      <c r="T785" s="6">
        <v>46307</v>
      </c>
      <c r="U785">
        <v>144</v>
      </c>
      <c r="V785">
        <v>144</v>
      </c>
      <c r="W785">
        <v>144</v>
      </c>
      <c r="X785">
        <v>144</v>
      </c>
      <c r="Y785">
        <f t="shared" si="123"/>
        <v>0</v>
      </c>
      <c r="Z785">
        <f t="shared" si="124"/>
        <v>0</v>
      </c>
      <c r="AC785" s="1">
        <v>0</v>
      </c>
      <c r="AF785">
        <f t="shared" si="121"/>
        <v>144</v>
      </c>
      <c r="AG785" s="7">
        <v>24</v>
      </c>
      <c r="AH785">
        <f t="shared" si="125"/>
        <v>144</v>
      </c>
      <c r="AI785">
        <f t="shared" si="122"/>
        <v>0</v>
      </c>
      <c r="AK785">
        <f t="shared" si="126"/>
        <v>6</v>
      </c>
      <c r="AL785">
        <v>10.45</v>
      </c>
      <c r="AM785" t="s">
        <v>27</v>
      </c>
      <c r="AN785">
        <v>10.45</v>
      </c>
      <c r="AO785" t="b">
        <f t="shared" si="127"/>
        <v>1</v>
      </c>
      <c r="AR785" t="s">
        <v>5061</v>
      </c>
      <c r="AS785" s="21">
        <v>46276</v>
      </c>
      <c r="AT785" t="s">
        <v>5062</v>
      </c>
      <c r="AU785" t="s">
        <v>5079</v>
      </c>
      <c r="AV785" t="s">
        <v>5062</v>
      </c>
      <c r="AW785" t="s">
        <v>5086</v>
      </c>
    </row>
    <row r="786" spans="1:49" x14ac:dyDescent="0.35">
      <c r="A786" t="s">
        <v>2796</v>
      </c>
      <c r="B786" t="s">
        <v>872</v>
      </c>
      <c r="C786" t="s">
        <v>4818</v>
      </c>
      <c r="D786" t="s">
        <v>18</v>
      </c>
      <c r="E786" t="s">
        <v>2869</v>
      </c>
      <c r="F786" t="s">
        <v>2870</v>
      </c>
      <c r="G786" t="s">
        <v>21</v>
      </c>
      <c r="H786" t="s">
        <v>4888</v>
      </c>
      <c r="I786" t="s">
        <v>5005</v>
      </c>
      <c r="J786" s="4" t="s">
        <v>5006</v>
      </c>
      <c r="K786" s="4" t="s">
        <v>4837</v>
      </c>
      <c r="L786" s="4">
        <v>32</v>
      </c>
      <c r="M786" s="4" t="s">
        <v>5035</v>
      </c>
      <c r="N786" t="s">
        <v>2871</v>
      </c>
      <c r="O786" t="s">
        <v>2872</v>
      </c>
      <c r="P786" t="s">
        <v>23</v>
      </c>
      <c r="Q786" t="s">
        <v>24</v>
      </c>
      <c r="R786" t="s">
        <v>25</v>
      </c>
      <c r="S786" t="s">
        <v>26</v>
      </c>
      <c r="T786" s="6">
        <v>46307</v>
      </c>
      <c r="U786">
        <v>528</v>
      </c>
      <c r="V786">
        <v>528</v>
      </c>
      <c r="W786">
        <v>576</v>
      </c>
      <c r="X786">
        <v>576</v>
      </c>
      <c r="Y786">
        <f t="shared" si="123"/>
        <v>0</v>
      </c>
      <c r="Z786">
        <f t="shared" si="124"/>
        <v>-48</v>
      </c>
      <c r="AC786" s="1"/>
      <c r="AF786">
        <f t="shared" si="121"/>
        <v>528</v>
      </c>
      <c r="AG786" s="7">
        <v>24</v>
      </c>
      <c r="AH786">
        <f t="shared" si="125"/>
        <v>528</v>
      </c>
      <c r="AI786">
        <f t="shared" si="122"/>
        <v>0</v>
      </c>
      <c r="AK786">
        <f t="shared" si="126"/>
        <v>22</v>
      </c>
      <c r="AL786">
        <v>9.58</v>
      </c>
      <c r="AM786" t="s">
        <v>27</v>
      </c>
      <c r="AN786">
        <v>9.58</v>
      </c>
      <c r="AO786" t="b">
        <f t="shared" si="127"/>
        <v>1</v>
      </c>
      <c r="AR786" t="s">
        <v>5061</v>
      </c>
      <c r="AS786" s="21">
        <v>46276</v>
      </c>
      <c r="AT786" t="s">
        <v>5062</v>
      </c>
      <c r="AU786" t="s">
        <v>5079</v>
      </c>
      <c r="AV786" t="s">
        <v>5062</v>
      </c>
      <c r="AW786" t="s">
        <v>5086</v>
      </c>
    </row>
    <row r="787" spans="1:49" x14ac:dyDescent="0.35">
      <c r="A787" t="s">
        <v>2796</v>
      </c>
      <c r="B787" t="s">
        <v>872</v>
      </c>
      <c r="C787" t="s">
        <v>4818</v>
      </c>
      <c r="D787" t="s">
        <v>18</v>
      </c>
      <c r="E787" t="s">
        <v>2873</v>
      </c>
      <c r="F787" t="s">
        <v>2874</v>
      </c>
      <c r="G787" t="s">
        <v>21</v>
      </c>
      <c r="H787" t="s">
        <v>4888</v>
      </c>
      <c r="I787" t="s">
        <v>5010</v>
      </c>
      <c r="J787" s="4" t="s">
        <v>5011</v>
      </c>
      <c r="K787" s="4" t="s">
        <v>4904</v>
      </c>
      <c r="L787" s="4" t="s">
        <v>4983</v>
      </c>
      <c r="M787" s="4" t="s">
        <v>5035</v>
      </c>
      <c r="N787" t="s">
        <v>2875</v>
      </c>
      <c r="O787" t="s">
        <v>2876</v>
      </c>
      <c r="P787" t="s">
        <v>23</v>
      </c>
      <c r="Q787" t="s">
        <v>24</v>
      </c>
      <c r="R787" t="s">
        <v>25</v>
      </c>
      <c r="S787" t="s">
        <v>26</v>
      </c>
      <c r="T787" s="6">
        <v>46307</v>
      </c>
      <c r="U787">
        <v>288</v>
      </c>
      <c r="V787">
        <v>288</v>
      </c>
      <c r="W787">
        <v>312</v>
      </c>
      <c r="X787">
        <v>312</v>
      </c>
      <c r="Y787">
        <f t="shared" si="123"/>
        <v>0</v>
      </c>
      <c r="Z787">
        <f t="shared" si="124"/>
        <v>-24</v>
      </c>
      <c r="AC787" s="1"/>
      <c r="AF787">
        <f t="shared" si="121"/>
        <v>288</v>
      </c>
      <c r="AG787" s="7">
        <v>24</v>
      </c>
      <c r="AH787">
        <f t="shared" si="125"/>
        <v>288</v>
      </c>
      <c r="AI787">
        <f t="shared" si="122"/>
        <v>0</v>
      </c>
      <c r="AK787">
        <f t="shared" si="126"/>
        <v>12</v>
      </c>
      <c r="AL787">
        <v>5.03</v>
      </c>
      <c r="AM787" t="s">
        <v>27</v>
      </c>
      <c r="AN787">
        <v>5.03</v>
      </c>
      <c r="AO787" t="b">
        <f t="shared" si="127"/>
        <v>1</v>
      </c>
      <c r="AR787" t="s">
        <v>5061</v>
      </c>
      <c r="AS787" s="21">
        <v>46276</v>
      </c>
      <c r="AT787" t="s">
        <v>5062</v>
      </c>
      <c r="AU787" t="s">
        <v>5081</v>
      </c>
      <c r="AV787" t="s">
        <v>5062</v>
      </c>
      <c r="AW787" t="s">
        <v>5086</v>
      </c>
    </row>
    <row r="788" spans="1:49" x14ac:dyDescent="0.35">
      <c r="A788" t="s">
        <v>2796</v>
      </c>
      <c r="B788" t="s">
        <v>872</v>
      </c>
      <c r="C788" t="s">
        <v>4818</v>
      </c>
      <c r="D788" t="s">
        <v>18</v>
      </c>
      <c r="E788" t="s">
        <v>2877</v>
      </c>
      <c r="F788" t="s">
        <v>2878</v>
      </c>
      <c r="G788" t="s">
        <v>21</v>
      </c>
      <c r="H788" t="s">
        <v>4888</v>
      </c>
      <c r="I788" t="s">
        <v>5010</v>
      </c>
      <c r="J788" s="4" t="s">
        <v>5011</v>
      </c>
      <c r="K788" s="4" t="s">
        <v>4904</v>
      </c>
      <c r="L788" s="4" t="s">
        <v>4994</v>
      </c>
      <c r="M788" s="4" t="s">
        <v>5035</v>
      </c>
      <c r="N788" t="s">
        <v>2879</v>
      </c>
      <c r="O788" t="s">
        <v>2880</v>
      </c>
      <c r="P788" t="s">
        <v>23</v>
      </c>
      <c r="Q788" t="s">
        <v>24</v>
      </c>
      <c r="R788" t="s">
        <v>25</v>
      </c>
      <c r="S788" t="s">
        <v>26</v>
      </c>
      <c r="T788" s="6">
        <v>46307</v>
      </c>
      <c r="U788">
        <v>24</v>
      </c>
      <c r="V788">
        <v>24</v>
      </c>
      <c r="W788">
        <v>24</v>
      </c>
      <c r="X788">
        <v>24</v>
      </c>
      <c r="Y788">
        <f t="shared" si="123"/>
        <v>0</v>
      </c>
      <c r="Z788">
        <f t="shared" si="124"/>
        <v>0</v>
      </c>
      <c r="AC788" s="1">
        <v>0</v>
      </c>
      <c r="AF788">
        <f t="shared" si="121"/>
        <v>24</v>
      </c>
      <c r="AG788" s="7">
        <v>24</v>
      </c>
      <c r="AH788">
        <f t="shared" si="125"/>
        <v>24</v>
      </c>
      <c r="AI788">
        <f t="shared" si="122"/>
        <v>0</v>
      </c>
      <c r="AK788">
        <f t="shared" si="126"/>
        <v>1</v>
      </c>
      <c r="AL788">
        <v>5.03</v>
      </c>
      <c r="AM788" t="s">
        <v>27</v>
      </c>
      <c r="AN788">
        <v>5.03</v>
      </c>
      <c r="AO788" t="b">
        <f t="shared" si="127"/>
        <v>1</v>
      </c>
      <c r="AR788" t="s">
        <v>5061</v>
      </c>
      <c r="AS788" s="21">
        <v>46276</v>
      </c>
      <c r="AT788" t="s">
        <v>5062</v>
      </c>
      <c r="AU788" t="s">
        <v>5081</v>
      </c>
      <c r="AV788" t="s">
        <v>5062</v>
      </c>
      <c r="AW788" t="s">
        <v>5086</v>
      </c>
    </row>
    <row r="789" spans="1:49" x14ac:dyDescent="0.35">
      <c r="A789" t="s">
        <v>2796</v>
      </c>
      <c r="B789" t="s">
        <v>872</v>
      </c>
      <c r="C789" t="s">
        <v>4818</v>
      </c>
      <c r="D789" t="s">
        <v>18</v>
      </c>
      <c r="E789" t="s">
        <v>2881</v>
      </c>
      <c r="F789" t="s">
        <v>2882</v>
      </c>
      <c r="G789" t="s">
        <v>21</v>
      </c>
      <c r="H789" t="s">
        <v>4888</v>
      </c>
      <c r="I789" t="s">
        <v>5012</v>
      </c>
      <c r="J789" s="4" t="s">
        <v>5013</v>
      </c>
      <c r="K789" s="4" t="s">
        <v>4984</v>
      </c>
      <c r="L789" s="4" t="s">
        <v>4985</v>
      </c>
      <c r="M789" s="4" t="s">
        <v>5035</v>
      </c>
      <c r="N789" t="s">
        <v>2883</v>
      </c>
      <c r="O789" t="s">
        <v>2884</v>
      </c>
      <c r="P789" t="s">
        <v>23</v>
      </c>
      <c r="Q789" t="s">
        <v>24</v>
      </c>
      <c r="R789" t="s">
        <v>25</v>
      </c>
      <c r="S789" t="s">
        <v>26</v>
      </c>
      <c r="T789" s="6">
        <v>46307</v>
      </c>
      <c r="U789">
        <v>624</v>
      </c>
      <c r="V789">
        <v>624</v>
      </c>
      <c r="W789">
        <v>672</v>
      </c>
      <c r="X789">
        <v>672</v>
      </c>
      <c r="Y789">
        <f t="shared" si="123"/>
        <v>0</v>
      </c>
      <c r="Z789">
        <f t="shared" si="124"/>
        <v>-48</v>
      </c>
      <c r="AC789" s="1"/>
      <c r="AF789">
        <f t="shared" si="121"/>
        <v>624</v>
      </c>
      <c r="AG789" s="7">
        <v>24</v>
      </c>
      <c r="AH789">
        <f t="shared" si="125"/>
        <v>624</v>
      </c>
      <c r="AI789">
        <f t="shared" si="122"/>
        <v>0</v>
      </c>
      <c r="AK789">
        <f t="shared" si="126"/>
        <v>26</v>
      </c>
      <c r="AL789">
        <v>6.05</v>
      </c>
      <c r="AM789" t="s">
        <v>27</v>
      </c>
      <c r="AN789">
        <v>6.05</v>
      </c>
      <c r="AO789" t="b">
        <f t="shared" si="127"/>
        <v>1</v>
      </c>
      <c r="AR789" t="s">
        <v>5061</v>
      </c>
      <c r="AS789" s="21">
        <v>46276</v>
      </c>
      <c r="AT789" t="s">
        <v>5062</v>
      </c>
      <c r="AU789" t="s">
        <v>5081</v>
      </c>
      <c r="AV789" t="s">
        <v>5062</v>
      </c>
      <c r="AW789" t="s">
        <v>5086</v>
      </c>
    </row>
    <row r="790" spans="1:49" x14ac:dyDescent="0.35">
      <c r="A790" t="s">
        <v>2796</v>
      </c>
      <c r="B790" t="s">
        <v>872</v>
      </c>
      <c r="C790" t="s">
        <v>4818</v>
      </c>
      <c r="D790" t="s">
        <v>18</v>
      </c>
      <c r="E790" t="s">
        <v>2885</v>
      </c>
      <c r="F790" t="s">
        <v>2886</v>
      </c>
      <c r="G790" t="s">
        <v>21</v>
      </c>
      <c r="H790" t="s">
        <v>4888</v>
      </c>
      <c r="I790" t="s">
        <v>5005</v>
      </c>
      <c r="J790" s="4" t="s">
        <v>5006</v>
      </c>
      <c r="K790" s="4" t="s">
        <v>4899</v>
      </c>
      <c r="L790" s="4">
        <v>31</v>
      </c>
      <c r="M790" s="4" t="s">
        <v>5035</v>
      </c>
      <c r="N790" t="s">
        <v>2887</v>
      </c>
      <c r="O790" t="s">
        <v>2888</v>
      </c>
      <c r="P790" t="s">
        <v>23</v>
      </c>
      <c r="Q790" t="s">
        <v>24</v>
      </c>
      <c r="R790" t="s">
        <v>25</v>
      </c>
      <c r="S790" t="s">
        <v>26</v>
      </c>
      <c r="T790" s="6">
        <v>46307</v>
      </c>
      <c r="U790">
        <v>240</v>
      </c>
      <c r="V790">
        <v>240</v>
      </c>
      <c r="W790">
        <v>264</v>
      </c>
      <c r="X790">
        <v>264</v>
      </c>
      <c r="Y790">
        <f t="shared" si="123"/>
        <v>0</v>
      </c>
      <c r="Z790">
        <f t="shared" si="124"/>
        <v>-24</v>
      </c>
      <c r="AC790" s="1">
        <v>0</v>
      </c>
      <c r="AF790">
        <f t="shared" si="121"/>
        <v>240</v>
      </c>
      <c r="AG790" s="7">
        <v>24</v>
      </c>
      <c r="AH790">
        <f t="shared" si="125"/>
        <v>240</v>
      </c>
      <c r="AI790">
        <f t="shared" si="122"/>
        <v>0</v>
      </c>
      <c r="AK790">
        <f t="shared" si="126"/>
        <v>10</v>
      </c>
      <c r="AL790">
        <v>10.14</v>
      </c>
      <c r="AM790" t="s">
        <v>27</v>
      </c>
      <c r="AN790">
        <v>10.14</v>
      </c>
      <c r="AO790" t="b">
        <f t="shared" si="127"/>
        <v>1</v>
      </c>
      <c r="AR790" t="s">
        <v>5061</v>
      </c>
      <c r="AS790" s="21">
        <v>46276</v>
      </c>
      <c r="AT790" t="s">
        <v>5062</v>
      </c>
      <c r="AU790" t="s">
        <v>5079</v>
      </c>
      <c r="AV790" t="s">
        <v>5062</v>
      </c>
      <c r="AW790" t="s">
        <v>5086</v>
      </c>
    </row>
    <row r="791" spans="1:49" x14ac:dyDescent="0.35">
      <c r="A791" t="s">
        <v>2796</v>
      </c>
      <c r="B791" t="s">
        <v>872</v>
      </c>
      <c r="C791" t="s">
        <v>4818</v>
      </c>
      <c r="D791" t="s">
        <v>18</v>
      </c>
      <c r="E791" t="s">
        <v>2889</v>
      </c>
      <c r="F791" t="s">
        <v>2890</v>
      </c>
      <c r="G791" t="s">
        <v>21</v>
      </c>
      <c r="H791" t="s">
        <v>4888</v>
      </c>
      <c r="I791" t="s">
        <v>5012</v>
      </c>
      <c r="J791" s="4" t="s">
        <v>5013</v>
      </c>
      <c r="K791" s="4" t="s">
        <v>4904</v>
      </c>
      <c r="L791" s="4" t="s">
        <v>5014</v>
      </c>
      <c r="M791" s="4" t="s">
        <v>5035</v>
      </c>
      <c r="N791" t="s">
        <v>2891</v>
      </c>
      <c r="O791" t="s">
        <v>2892</v>
      </c>
      <c r="P791" t="s">
        <v>23</v>
      </c>
      <c r="Q791" t="s">
        <v>24</v>
      </c>
      <c r="R791" t="s">
        <v>25</v>
      </c>
      <c r="S791" t="s">
        <v>26</v>
      </c>
      <c r="T791" s="6">
        <v>46307</v>
      </c>
      <c r="U791">
        <v>384</v>
      </c>
      <c r="V791">
        <v>384</v>
      </c>
      <c r="W791">
        <v>408</v>
      </c>
      <c r="X791">
        <v>408</v>
      </c>
      <c r="Y791">
        <f t="shared" si="123"/>
        <v>0</v>
      </c>
      <c r="Z791">
        <f t="shared" si="124"/>
        <v>-24</v>
      </c>
      <c r="AC791" s="1"/>
      <c r="AF791">
        <f t="shared" si="121"/>
        <v>384</v>
      </c>
      <c r="AG791" s="7">
        <v>24</v>
      </c>
      <c r="AH791">
        <f t="shared" si="125"/>
        <v>384</v>
      </c>
      <c r="AI791">
        <f t="shared" si="122"/>
        <v>0</v>
      </c>
      <c r="AK791">
        <f t="shared" si="126"/>
        <v>16</v>
      </c>
      <c r="AL791">
        <v>6.15</v>
      </c>
      <c r="AM791" t="s">
        <v>27</v>
      </c>
      <c r="AN791">
        <v>6.15</v>
      </c>
      <c r="AO791" t="b">
        <f t="shared" si="127"/>
        <v>1</v>
      </c>
      <c r="AR791" t="s">
        <v>5061</v>
      </c>
      <c r="AS791" s="21">
        <v>46276</v>
      </c>
      <c r="AT791" t="s">
        <v>5062</v>
      </c>
      <c r="AU791" t="s">
        <v>5081</v>
      </c>
      <c r="AV791" t="s">
        <v>5062</v>
      </c>
      <c r="AW791" t="s">
        <v>5086</v>
      </c>
    </row>
    <row r="792" spans="1:49" x14ac:dyDescent="0.35">
      <c r="A792" t="s">
        <v>2796</v>
      </c>
      <c r="B792" t="s">
        <v>872</v>
      </c>
      <c r="C792" t="s">
        <v>4818</v>
      </c>
      <c r="D792" t="s">
        <v>18</v>
      </c>
      <c r="E792" t="s">
        <v>2893</v>
      </c>
      <c r="F792" t="s">
        <v>2894</v>
      </c>
      <c r="G792" t="s">
        <v>21</v>
      </c>
      <c r="H792" t="s">
        <v>4888</v>
      </c>
      <c r="I792" t="s">
        <v>5003</v>
      </c>
      <c r="J792" s="4" t="s">
        <v>5004</v>
      </c>
      <c r="K792" s="4" t="s">
        <v>4837</v>
      </c>
      <c r="L792" s="4" t="s">
        <v>4877</v>
      </c>
      <c r="M792" s="4" t="s">
        <v>5035</v>
      </c>
      <c r="N792" t="s">
        <v>2895</v>
      </c>
      <c r="O792" t="s">
        <v>2896</v>
      </c>
      <c r="P792" t="s">
        <v>23</v>
      </c>
      <c r="Q792" t="s">
        <v>24</v>
      </c>
      <c r="R792" t="s">
        <v>25</v>
      </c>
      <c r="S792" t="s">
        <v>26</v>
      </c>
      <c r="T792" s="6">
        <v>46307</v>
      </c>
      <c r="U792">
        <v>84</v>
      </c>
      <c r="V792">
        <v>84</v>
      </c>
      <c r="W792">
        <v>96</v>
      </c>
      <c r="X792">
        <v>96</v>
      </c>
      <c r="Y792">
        <f t="shared" si="123"/>
        <v>0</v>
      </c>
      <c r="Z792">
        <f t="shared" si="124"/>
        <v>-12</v>
      </c>
      <c r="AC792" s="1">
        <v>0</v>
      </c>
      <c r="AF792">
        <f t="shared" si="121"/>
        <v>84</v>
      </c>
      <c r="AG792" s="7">
        <v>12</v>
      </c>
      <c r="AH792">
        <f t="shared" si="125"/>
        <v>84</v>
      </c>
      <c r="AI792">
        <f t="shared" si="122"/>
        <v>0</v>
      </c>
      <c r="AK792">
        <f t="shared" si="126"/>
        <v>7</v>
      </c>
      <c r="AL792">
        <v>12.87</v>
      </c>
      <c r="AM792" t="s">
        <v>27</v>
      </c>
      <c r="AN792">
        <v>12.87</v>
      </c>
      <c r="AO792" t="b">
        <f t="shared" si="127"/>
        <v>1</v>
      </c>
      <c r="AR792" t="s">
        <v>5061</v>
      </c>
      <c r="AS792" s="21">
        <v>46276</v>
      </c>
      <c r="AT792" t="s">
        <v>5062</v>
      </c>
      <c r="AU792" t="s">
        <v>5078</v>
      </c>
      <c r="AV792" t="s">
        <v>5062</v>
      </c>
      <c r="AW792" t="s">
        <v>5086</v>
      </c>
    </row>
    <row r="793" spans="1:49" x14ac:dyDescent="0.35">
      <c r="A793" t="s">
        <v>2796</v>
      </c>
      <c r="B793" t="s">
        <v>872</v>
      </c>
      <c r="C793" t="s">
        <v>4818</v>
      </c>
      <c r="D793" t="s">
        <v>18</v>
      </c>
      <c r="E793" t="s">
        <v>2897</v>
      </c>
      <c r="F793" t="s">
        <v>2898</v>
      </c>
      <c r="G793" t="s">
        <v>21</v>
      </c>
      <c r="H793" t="s">
        <v>4888</v>
      </c>
      <c r="I793" t="s">
        <v>5003</v>
      </c>
      <c r="J793" s="4" t="s">
        <v>5004</v>
      </c>
      <c r="K793" s="4" t="s">
        <v>4837</v>
      </c>
      <c r="L793" s="4" t="s">
        <v>4855</v>
      </c>
      <c r="M793" s="4" t="s">
        <v>5035</v>
      </c>
      <c r="N793" t="s">
        <v>2899</v>
      </c>
      <c r="O793" t="s">
        <v>2900</v>
      </c>
      <c r="P793" t="s">
        <v>23</v>
      </c>
      <c r="Q793" t="s">
        <v>24</v>
      </c>
      <c r="R793" t="s">
        <v>25</v>
      </c>
      <c r="S793" t="s">
        <v>26</v>
      </c>
      <c r="T793" s="6">
        <v>46307</v>
      </c>
      <c r="U793">
        <v>84</v>
      </c>
      <c r="V793">
        <v>84</v>
      </c>
      <c r="W793">
        <v>96</v>
      </c>
      <c r="X793">
        <v>96</v>
      </c>
      <c r="Y793">
        <f t="shared" si="123"/>
        <v>0</v>
      </c>
      <c r="Z793">
        <f t="shared" si="124"/>
        <v>-12</v>
      </c>
      <c r="AC793" s="1">
        <v>0</v>
      </c>
      <c r="AF793">
        <f t="shared" si="121"/>
        <v>84</v>
      </c>
      <c r="AG793" s="7">
        <v>12</v>
      </c>
      <c r="AH793">
        <f t="shared" si="125"/>
        <v>84</v>
      </c>
      <c r="AI793">
        <f t="shared" si="122"/>
        <v>0</v>
      </c>
      <c r="AK793">
        <f t="shared" si="126"/>
        <v>7</v>
      </c>
      <c r="AL793">
        <v>12.87</v>
      </c>
      <c r="AM793" t="s">
        <v>27</v>
      </c>
      <c r="AN793">
        <v>12.87</v>
      </c>
      <c r="AO793" t="b">
        <f t="shared" si="127"/>
        <v>1</v>
      </c>
      <c r="AR793" t="s">
        <v>5061</v>
      </c>
      <c r="AS793" s="21">
        <v>46276</v>
      </c>
      <c r="AT793" t="s">
        <v>5062</v>
      </c>
      <c r="AU793" t="s">
        <v>5078</v>
      </c>
      <c r="AV793" t="s">
        <v>5062</v>
      </c>
      <c r="AW793" t="s">
        <v>5086</v>
      </c>
    </row>
    <row r="794" spans="1:49" x14ac:dyDescent="0.35">
      <c r="A794" t="s">
        <v>2796</v>
      </c>
      <c r="B794" t="s">
        <v>872</v>
      </c>
      <c r="C794" t="s">
        <v>4818</v>
      </c>
      <c r="D794" t="s">
        <v>18</v>
      </c>
      <c r="E794" t="s">
        <v>2901</v>
      </c>
      <c r="F794" t="s">
        <v>2902</v>
      </c>
      <c r="G794" t="s">
        <v>21</v>
      </c>
      <c r="H794" t="s">
        <v>4888</v>
      </c>
      <c r="I794" t="s">
        <v>5003</v>
      </c>
      <c r="J794" s="4" t="s">
        <v>5004</v>
      </c>
      <c r="K794" s="4" t="s">
        <v>4837</v>
      </c>
      <c r="L794" s="4" t="s">
        <v>4931</v>
      </c>
      <c r="M794" s="4" t="s">
        <v>5035</v>
      </c>
      <c r="N794" t="s">
        <v>2903</v>
      </c>
      <c r="O794" t="s">
        <v>2904</v>
      </c>
      <c r="P794" t="s">
        <v>23</v>
      </c>
      <c r="Q794" t="s">
        <v>24</v>
      </c>
      <c r="R794" t="s">
        <v>25</v>
      </c>
      <c r="S794" t="s">
        <v>26</v>
      </c>
      <c r="T794" s="6">
        <v>46307</v>
      </c>
      <c r="U794">
        <v>156</v>
      </c>
      <c r="V794">
        <v>156</v>
      </c>
      <c r="W794">
        <v>168</v>
      </c>
      <c r="X794">
        <v>168</v>
      </c>
      <c r="Y794">
        <f t="shared" si="123"/>
        <v>0</v>
      </c>
      <c r="Z794">
        <f t="shared" si="124"/>
        <v>-12</v>
      </c>
      <c r="AC794" s="1">
        <v>0</v>
      </c>
      <c r="AF794">
        <f t="shared" si="121"/>
        <v>156</v>
      </c>
      <c r="AG794" s="7">
        <v>12</v>
      </c>
      <c r="AH794">
        <f t="shared" si="125"/>
        <v>156</v>
      </c>
      <c r="AI794">
        <f t="shared" si="122"/>
        <v>0</v>
      </c>
      <c r="AK794">
        <f t="shared" si="126"/>
        <v>13</v>
      </c>
      <c r="AL794">
        <v>12.87</v>
      </c>
      <c r="AM794" t="s">
        <v>27</v>
      </c>
      <c r="AN794">
        <v>12.87</v>
      </c>
      <c r="AO794" t="b">
        <f t="shared" si="127"/>
        <v>1</v>
      </c>
      <c r="AR794" t="s">
        <v>5061</v>
      </c>
      <c r="AS794" s="21">
        <v>46276</v>
      </c>
      <c r="AT794" t="s">
        <v>5062</v>
      </c>
      <c r="AU794" t="s">
        <v>5078</v>
      </c>
      <c r="AV794" t="s">
        <v>5062</v>
      </c>
      <c r="AW794" t="s">
        <v>5086</v>
      </c>
    </row>
    <row r="795" spans="1:49" x14ac:dyDescent="0.35">
      <c r="A795" t="s">
        <v>2796</v>
      </c>
      <c r="B795" t="s">
        <v>872</v>
      </c>
      <c r="C795" t="s">
        <v>4818</v>
      </c>
      <c r="D795" t="s">
        <v>18</v>
      </c>
      <c r="E795" t="s">
        <v>2905</v>
      </c>
      <c r="F795" t="s">
        <v>2906</v>
      </c>
      <c r="G795" t="s">
        <v>21</v>
      </c>
      <c r="H795" t="s">
        <v>4888</v>
      </c>
      <c r="I795" t="s">
        <v>5003</v>
      </c>
      <c r="J795" s="4" t="s">
        <v>5004</v>
      </c>
      <c r="K795" s="4" t="s">
        <v>5015</v>
      </c>
      <c r="L795" s="4" t="s">
        <v>4863</v>
      </c>
      <c r="M795" s="4" t="s">
        <v>5035</v>
      </c>
      <c r="N795" t="s">
        <v>2907</v>
      </c>
      <c r="O795" t="s">
        <v>2908</v>
      </c>
      <c r="P795" t="s">
        <v>23</v>
      </c>
      <c r="Q795" t="s">
        <v>24</v>
      </c>
      <c r="R795" t="s">
        <v>25</v>
      </c>
      <c r="S795" t="s">
        <v>26</v>
      </c>
      <c r="T795" s="6">
        <v>46307</v>
      </c>
      <c r="U795">
        <v>48</v>
      </c>
      <c r="V795">
        <v>48</v>
      </c>
      <c r="W795">
        <v>60</v>
      </c>
      <c r="X795">
        <v>60</v>
      </c>
      <c r="Y795">
        <f t="shared" si="123"/>
        <v>0</v>
      </c>
      <c r="Z795">
        <f t="shared" si="124"/>
        <v>-12</v>
      </c>
      <c r="AC795" s="1">
        <v>0</v>
      </c>
      <c r="AF795">
        <f t="shared" si="121"/>
        <v>48</v>
      </c>
      <c r="AG795" s="7">
        <v>12</v>
      </c>
      <c r="AH795">
        <f t="shared" si="125"/>
        <v>48</v>
      </c>
      <c r="AI795">
        <f t="shared" si="122"/>
        <v>0</v>
      </c>
      <c r="AK795">
        <f t="shared" si="126"/>
        <v>4</v>
      </c>
      <c r="AL795">
        <v>13.01</v>
      </c>
      <c r="AM795" t="s">
        <v>27</v>
      </c>
      <c r="AN795">
        <v>13.01</v>
      </c>
      <c r="AO795" t="b">
        <f t="shared" si="127"/>
        <v>1</v>
      </c>
      <c r="AR795" t="s">
        <v>5061</v>
      </c>
      <c r="AS795" s="21">
        <v>46276</v>
      </c>
      <c r="AT795" t="s">
        <v>5062</v>
      </c>
      <c r="AU795" t="s">
        <v>5078</v>
      </c>
      <c r="AV795" t="s">
        <v>5062</v>
      </c>
      <c r="AW795" t="s">
        <v>5086</v>
      </c>
    </row>
    <row r="796" spans="1:49" x14ac:dyDescent="0.35">
      <c r="A796" t="s">
        <v>2796</v>
      </c>
      <c r="B796" t="s">
        <v>872</v>
      </c>
      <c r="C796" t="s">
        <v>4818</v>
      </c>
      <c r="D796" t="s">
        <v>18</v>
      </c>
      <c r="E796" t="s">
        <v>2909</v>
      </c>
      <c r="F796" t="s">
        <v>2910</v>
      </c>
      <c r="G796" t="s">
        <v>21</v>
      </c>
      <c r="H796" t="s">
        <v>4888</v>
      </c>
      <c r="I796" t="s">
        <v>5003</v>
      </c>
      <c r="J796" s="4" t="s">
        <v>5004</v>
      </c>
      <c r="K796" s="4" t="s">
        <v>5016</v>
      </c>
      <c r="L796" s="4" t="s">
        <v>4928</v>
      </c>
      <c r="M796" s="4" t="s">
        <v>5035</v>
      </c>
      <c r="N796" t="s">
        <v>2911</v>
      </c>
      <c r="O796" t="s">
        <v>2912</v>
      </c>
      <c r="P796" t="s">
        <v>23</v>
      </c>
      <c r="Q796" t="s">
        <v>24</v>
      </c>
      <c r="R796" t="s">
        <v>25</v>
      </c>
      <c r="S796" t="s">
        <v>26</v>
      </c>
      <c r="T796" s="6">
        <v>46307</v>
      </c>
      <c r="U796">
        <v>48</v>
      </c>
      <c r="V796">
        <v>48</v>
      </c>
      <c r="W796">
        <v>48</v>
      </c>
      <c r="X796">
        <v>48</v>
      </c>
      <c r="Y796">
        <f t="shared" si="123"/>
        <v>0</v>
      </c>
      <c r="Z796">
        <f t="shared" si="124"/>
        <v>0</v>
      </c>
      <c r="AC796" s="1">
        <v>0</v>
      </c>
      <c r="AF796">
        <f t="shared" si="121"/>
        <v>48</v>
      </c>
      <c r="AG796" s="7">
        <v>12</v>
      </c>
      <c r="AH796">
        <f t="shared" si="125"/>
        <v>48</v>
      </c>
      <c r="AI796">
        <f t="shared" si="122"/>
        <v>0</v>
      </c>
      <c r="AK796">
        <f t="shared" si="126"/>
        <v>4</v>
      </c>
      <c r="AL796">
        <v>13.33</v>
      </c>
      <c r="AM796" t="s">
        <v>27</v>
      </c>
      <c r="AN796">
        <v>13.33</v>
      </c>
      <c r="AO796" t="b">
        <f t="shared" si="127"/>
        <v>1</v>
      </c>
      <c r="AR796" t="s">
        <v>5061</v>
      </c>
      <c r="AS796" s="21">
        <v>46276</v>
      </c>
      <c r="AT796" t="s">
        <v>5062</v>
      </c>
      <c r="AU796" t="s">
        <v>5078</v>
      </c>
      <c r="AV796" t="s">
        <v>5062</v>
      </c>
      <c r="AW796" t="s">
        <v>5086</v>
      </c>
    </row>
    <row r="797" spans="1:49" x14ac:dyDescent="0.35">
      <c r="A797" t="s">
        <v>2796</v>
      </c>
      <c r="B797" t="s">
        <v>872</v>
      </c>
      <c r="C797" t="s">
        <v>4818</v>
      </c>
      <c r="D797" t="s">
        <v>18</v>
      </c>
      <c r="E797" t="s">
        <v>2913</v>
      </c>
      <c r="F797" t="s">
        <v>2914</v>
      </c>
      <c r="G797" t="s">
        <v>21</v>
      </c>
      <c r="H797" t="s">
        <v>4888</v>
      </c>
      <c r="I797" t="s">
        <v>5003</v>
      </c>
      <c r="J797" s="4" t="s">
        <v>5004</v>
      </c>
      <c r="K797" s="4" t="s">
        <v>5016</v>
      </c>
      <c r="L797" s="4" t="s">
        <v>4910</v>
      </c>
      <c r="M797" s="4" t="s">
        <v>5035</v>
      </c>
      <c r="N797" t="s">
        <v>2915</v>
      </c>
      <c r="O797" t="s">
        <v>2916</v>
      </c>
      <c r="P797" t="s">
        <v>23</v>
      </c>
      <c r="Q797" t="s">
        <v>24</v>
      </c>
      <c r="R797" t="s">
        <v>25</v>
      </c>
      <c r="S797" t="s">
        <v>26</v>
      </c>
      <c r="T797" s="6">
        <v>46307</v>
      </c>
      <c r="U797">
        <v>12</v>
      </c>
      <c r="V797">
        <v>12</v>
      </c>
      <c r="W797">
        <v>12</v>
      </c>
      <c r="X797">
        <v>12</v>
      </c>
      <c r="Y797">
        <f t="shared" si="123"/>
        <v>0</v>
      </c>
      <c r="Z797">
        <f t="shared" si="124"/>
        <v>0</v>
      </c>
      <c r="AC797" s="1">
        <v>0</v>
      </c>
      <c r="AF797">
        <f t="shared" si="121"/>
        <v>12</v>
      </c>
      <c r="AG797" s="7">
        <v>12</v>
      </c>
      <c r="AH797">
        <f t="shared" si="125"/>
        <v>12</v>
      </c>
      <c r="AI797">
        <f t="shared" si="122"/>
        <v>0</v>
      </c>
      <c r="AK797">
        <f t="shared" si="126"/>
        <v>1</v>
      </c>
      <c r="AL797">
        <v>13.33</v>
      </c>
      <c r="AM797" t="s">
        <v>27</v>
      </c>
      <c r="AN797">
        <v>13.33</v>
      </c>
      <c r="AO797" t="b">
        <f t="shared" si="127"/>
        <v>1</v>
      </c>
      <c r="AR797" t="s">
        <v>5061</v>
      </c>
      <c r="AS797" s="21">
        <v>46276</v>
      </c>
      <c r="AT797" t="s">
        <v>5062</v>
      </c>
      <c r="AU797" t="s">
        <v>5078</v>
      </c>
      <c r="AV797" t="s">
        <v>5062</v>
      </c>
      <c r="AW797" t="s">
        <v>5086</v>
      </c>
    </row>
    <row r="798" spans="1:49" x14ac:dyDescent="0.35">
      <c r="A798" t="s">
        <v>2796</v>
      </c>
      <c r="B798" t="s">
        <v>872</v>
      </c>
      <c r="C798" t="s">
        <v>4818</v>
      </c>
      <c r="D798" t="s">
        <v>18</v>
      </c>
      <c r="E798" t="s">
        <v>2917</v>
      </c>
      <c r="F798" t="s">
        <v>2918</v>
      </c>
      <c r="G798" t="s">
        <v>21</v>
      </c>
      <c r="H798" t="s">
        <v>4888</v>
      </c>
      <c r="I798" t="s">
        <v>5003</v>
      </c>
      <c r="J798" s="4" t="s">
        <v>5004</v>
      </c>
      <c r="K798" s="4" t="s">
        <v>5016</v>
      </c>
      <c r="L798" s="4" t="s">
        <v>4892</v>
      </c>
      <c r="M798" s="4" t="s">
        <v>5035</v>
      </c>
      <c r="N798" t="s">
        <v>2919</v>
      </c>
      <c r="O798" t="s">
        <v>2920</v>
      </c>
      <c r="P798" t="s">
        <v>23</v>
      </c>
      <c r="Q798" t="s">
        <v>24</v>
      </c>
      <c r="R798" t="s">
        <v>25</v>
      </c>
      <c r="S798" t="s">
        <v>26</v>
      </c>
      <c r="T798" s="6">
        <v>46307</v>
      </c>
      <c r="U798">
        <v>12</v>
      </c>
      <c r="V798">
        <v>12</v>
      </c>
      <c r="W798">
        <v>12</v>
      </c>
      <c r="X798">
        <v>12</v>
      </c>
      <c r="Y798">
        <f t="shared" si="123"/>
        <v>0</v>
      </c>
      <c r="Z798">
        <f t="shared" si="124"/>
        <v>0</v>
      </c>
      <c r="AC798" s="1">
        <v>0</v>
      </c>
      <c r="AF798">
        <f t="shared" si="121"/>
        <v>12</v>
      </c>
      <c r="AG798" s="7">
        <v>12</v>
      </c>
      <c r="AH798">
        <f t="shared" si="125"/>
        <v>12</v>
      </c>
      <c r="AI798">
        <f t="shared" si="122"/>
        <v>0</v>
      </c>
      <c r="AK798">
        <f t="shared" si="126"/>
        <v>1</v>
      </c>
      <c r="AL798">
        <v>13.33</v>
      </c>
      <c r="AM798" t="s">
        <v>27</v>
      </c>
      <c r="AN798">
        <v>13.33</v>
      </c>
      <c r="AO798" t="b">
        <f t="shared" si="127"/>
        <v>1</v>
      </c>
      <c r="AR798" t="s">
        <v>5061</v>
      </c>
      <c r="AS798" s="21">
        <v>46276</v>
      </c>
      <c r="AT798" t="s">
        <v>5062</v>
      </c>
      <c r="AU798" t="s">
        <v>5078</v>
      </c>
      <c r="AV798" t="s">
        <v>5062</v>
      </c>
      <c r="AW798" t="s">
        <v>5086</v>
      </c>
    </row>
    <row r="799" spans="1:49" x14ac:dyDescent="0.35">
      <c r="A799" t="s">
        <v>2796</v>
      </c>
      <c r="B799" t="s">
        <v>872</v>
      </c>
      <c r="C799" t="s">
        <v>4818</v>
      </c>
      <c r="D799" t="s">
        <v>18</v>
      </c>
      <c r="E799" t="s">
        <v>2921</v>
      </c>
      <c r="F799" t="s">
        <v>2922</v>
      </c>
      <c r="G799" t="s">
        <v>21</v>
      </c>
      <c r="H799" t="s">
        <v>4888</v>
      </c>
      <c r="I799" t="s">
        <v>5003</v>
      </c>
      <c r="J799" s="4" t="s">
        <v>5004</v>
      </c>
      <c r="K799" s="4" t="s">
        <v>5016</v>
      </c>
      <c r="L799" s="4" t="s">
        <v>4912</v>
      </c>
      <c r="M799" s="4" t="s">
        <v>5035</v>
      </c>
      <c r="N799" t="s">
        <v>2923</v>
      </c>
      <c r="O799" t="s">
        <v>2924</v>
      </c>
      <c r="P799" t="s">
        <v>23</v>
      </c>
      <c r="Q799" t="s">
        <v>24</v>
      </c>
      <c r="R799" t="s">
        <v>25</v>
      </c>
      <c r="S799" t="s">
        <v>26</v>
      </c>
      <c r="T799" s="6">
        <v>46307</v>
      </c>
      <c r="U799">
        <v>48</v>
      </c>
      <c r="V799">
        <v>48</v>
      </c>
      <c r="W799">
        <v>48</v>
      </c>
      <c r="X799">
        <v>48</v>
      </c>
      <c r="Y799">
        <f t="shared" si="123"/>
        <v>0</v>
      </c>
      <c r="Z799">
        <f t="shared" si="124"/>
        <v>0</v>
      </c>
      <c r="AC799" s="1">
        <v>0</v>
      </c>
      <c r="AF799">
        <f t="shared" si="121"/>
        <v>48</v>
      </c>
      <c r="AG799" s="7">
        <v>12</v>
      </c>
      <c r="AH799">
        <f t="shared" si="125"/>
        <v>48</v>
      </c>
      <c r="AI799">
        <f t="shared" si="122"/>
        <v>0</v>
      </c>
      <c r="AK799">
        <f t="shared" si="126"/>
        <v>4</v>
      </c>
      <c r="AL799">
        <v>13.33</v>
      </c>
      <c r="AM799" t="s">
        <v>27</v>
      </c>
      <c r="AN799">
        <v>13.33</v>
      </c>
      <c r="AO799" t="b">
        <f t="shared" si="127"/>
        <v>1</v>
      </c>
      <c r="AR799" t="s">
        <v>5061</v>
      </c>
      <c r="AS799" s="21">
        <v>46276</v>
      </c>
      <c r="AT799" t="s">
        <v>5062</v>
      </c>
      <c r="AU799" t="s">
        <v>5078</v>
      </c>
      <c r="AV799" t="s">
        <v>5062</v>
      </c>
      <c r="AW799" t="s">
        <v>5086</v>
      </c>
    </row>
    <row r="800" spans="1:49" x14ac:dyDescent="0.35">
      <c r="A800" t="s">
        <v>2796</v>
      </c>
      <c r="B800" t="s">
        <v>872</v>
      </c>
      <c r="C800" t="s">
        <v>4818</v>
      </c>
      <c r="D800" t="s">
        <v>18</v>
      </c>
      <c r="E800" t="s">
        <v>2925</v>
      </c>
      <c r="F800" t="s">
        <v>2926</v>
      </c>
      <c r="G800" t="s">
        <v>21</v>
      </c>
      <c r="H800" t="s">
        <v>4888</v>
      </c>
      <c r="I800" t="s">
        <v>5008</v>
      </c>
      <c r="J800" s="4" t="s">
        <v>5009</v>
      </c>
      <c r="K800" s="4" t="s">
        <v>5017</v>
      </c>
      <c r="L800" s="4">
        <v>29</v>
      </c>
      <c r="M800" s="4" t="s">
        <v>5035</v>
      </c>
      <c r="N800" t="s">
        <v>2927</v>
      </c>
      <c r="O800" t="s">
        <v>2928</v>
      </c>
      <c r="P800" t="s">
        <v>23</v>
      </c>
      <c r="Q800" t="s">
        <v>24</v>
      </c>
      <c r="R800" t="s">
        <v>25</v>
      </c>
      <c r="S800" t="s">
        <v>26</v>
      </c>
      <c r="T800" s="6">
        <v>46307</v>
      </c>
      <c r="U800">
        <v>144</v>
      </c>
      <c r="V800">
        <v>144</v>
      </c>
      <c r="W800">
        <v>144</v>
      </c>
      <c r="X800">
        <v>144</v>
      </c>
      <c r="Y800">
        <f t="shared" si="123"/>
        <v>0</v>
      </c>
      <c r="Z800">
        <f t="shared" si="124"/>
        <v>0</v>
      </c>
      <c r="AC800" s="1">
        <v>0</v>
      </c>
      <c r="AF800">
        <f t="shared" si="121"/>
        <v>144</v>
      </c>
      <c r="AG800" s="7">
        <v>24</v>
      </c>
      <c r="AH800">
        <f t="shared" si="125"/>
        <v>144</v>
      </c>
      <c r="AI800">
        <f t="shared" si="122"/>
        <v>0</v>
      </c>
      <c r="AK800">
        <f t="shared" si="126"/>
        <v>6</v>
      </c>
      <c r="AL800">
        <v>10.01</v>
      </c>
      <c r="AM800" t="s">
        <v>27</v>
      </c>
      <c r="AN800">
        <v>10.01</v>
      </c>
      <c r="AO800" t="b">
        <f t="shared" si="127"/>
        <v>1</v>
      </c>
      <c r="AR800" t="s">
        <v>5061</v>
      </c>
      <c r="AS800" s="21">
        <v>46276</v>
      </c>
      <c r="AT800" t="s">
        <v>5062</v>
      </c>
      <c r="AU800" t="s">
        <v>5080</v>
      </c>
      <c r="AV800" t="s">
        <v>5062</v>
      </c>
      <c r="AW800" t="s">
        <v>5086</v>
      </c>
    </row>
    <row r="801" spans="1:49" x14ac:dyDescent="0.35">
      <c r="A801" t="s">
        <v>2796</v>
      </c>
      <c r="B801" t="s">
        <v>872</v>
      </c>
      <c r="C801" t="s">
        <v>4818</v>
      </c>
      <c r="D801" t="s">
        <v>18</v>
      </c>
      <c r="E801" t="s">
        <v>2929</v>
      </c>
      <c r="F801" t="s">
        <v>2930</v>
      </c>
      <c r="G801" t="s">
        <v>21</v>
      </c>
      <c r="H801" t="s">
        <v>4888</v>
      </c>
      <c r="I801" t="s">
        <v>5005</v>
      </c>
      <c r="J801" s="4" t="s">
        <v>5006</v>
      </c>
      <c r="K801" s="4" t="s">
        <v>4837</v>
      </c>
      <c r="L801" s="4">
        <v>31</v>
      </c>
      <c r="M801" s="4" t="s">
        <v>5035</v>
      </c>
      <c r="N801" t="s">
        <v>2931</v>
      </c>
      <c r="O801" t="s">
        <v>2932</v>
      </c>
      <c r="P801" t="s">
        <v>23</v>
      </c>
      <c r="Q801" t="s">
        <v>24</v>
      </c>
      <c r="R801" t="s">
        <v>25</v>
      </c>
      <c r="S801" t="s">
        <v>26</v>
      </c>
      <c r="T801" s="6">
        <v>46307</v>
      </c>
      <c r="U801">
        <v>240</v>
      </c>
      <c r="V801">
        <v>240</v>
      </c>
      <c r="W801">
        <v>240</v>
      </c>
      <c r="X801">
        <v>240</v>
      </c>
      <c r="Y801">
        <f t="shared" si="123"/>
        <v>0</v>
      </c>
      <c r="Z801">
        <f t="shared" si="124"/>
        <v>0</v>
      </c>
      <c r="AC801" s="1">
        <v>0</v>
      </c>
      <c r="AF801">
        <f t="shared" si="121"/>
        <v>240</v>
      </c>
      <c r="AG801" s="7">
        <v>24</v>
      </c>
      <c r="AH801">
        <f t="shared" si="125"/>
        <v>240</v>
      </c>
      <c r="AI801">
        <f t="shared" si="122"/>
        <v>0</v>
      </c>
      <c r="AK801">
        <f t="shared" si="126"/>
        <v>10</v>
      </c>
      <c r="AL801">
        <v>9.58</v>
      </c>
      <c r="AM801" t="s">
        <v>27</v>
      </c>
      <c r="AN801">
        <v>9.58</v>
      </c>
      <c r="AO801" t="b">
        <f t="shared" si="127"/>
        <v>1</v>
      </c>
      <c r="AR801" t="s">
        <v>5061</v>
      </c>
      <c r="AS801" s="21">
        <v>46276</v>
      </c>
      <c r="AT801" t="s">
        <v>5062</v>
      </c>
      <c r="AU801" t="s">
        <v>5079</v>
      </c>
      <c r="AV801" t="s">
        <v>5062</v>
      </c>
      <c r="AW801" t="s">
        <v>5086</v>
      </c>
    </row>
    <row r="802" spans="1:49" x14ac:dyDescent="0.35">
      <c r="A802" t="s">
        <v>2796</v>
      </c>
      <c r="B802" t="s">
        <v>872</v>
      </c>
      <c r="C802" t="s">
        <v>4818</v>
      </c>
      <c r="D802" t="s">
        <v>18</v>
      </c>
      <c r="E802" t="s">
        <v>2933</v>
      </c>
      <c r="F802" t="s">
        <v>2934</v>
      </c>
      <c r="G802" t="s">
        <v>21</v>
      </c>
      <c r="H802" t="s">
        <v>4888</v>
      </c>
      <c r="I802" t="s">
        <v>5003</v>
      </c>
      <c r="J802" s="4" t="s">
        <v>5004</v>
      </c>
      <c r="K802" s="4" t="s">
        <v>5016</v>
      </c>
      <c r="L802" s="4" t="s">
        <v>4867</v>
      </c>
      <c r="M802" s="4" t="s">
        <v>5035</v>
      </c>
      <c r="N802" t="s">
        <v>2935</v>
      </c>
      <c r="O802" t="s">
        <v>2936</v>
      </c>
      <c r="P802" t="s">
        <v>23</v>
      </c>
      <c r="Q802" t="s">
        <v>24</v>
      </c>
      <c r="R802" t="s">
        <v>25</v>
      </c>
      <c r="S802" t="s">
        <v>26</v>
      </c>
      <c r="T802" s="6">
        <v>46307</v>
      </c>
      <c r="U802">
        <v>84</v>
      </c>
      <c r="V802">
        <v>84</v>
      </c>
      <c r="W802">
        <v>96</v>
      </c>
      <c r="X802">
        <v>96</v>
      </c>
      <c r="Y802">
        <f t="shared" si="123"/>
        <v>0</v>
      </c>
      <c r="Z802">
        <f t="shared" si="124"/>
        <v>-12</v>
      </c>
      <c r="AC802" s="1">
        <v>0</v>
      </c>
      <c r="AF802">
        <f t="shared" si="121"/>
        <v>84</v>
      </c>
      <c r="AG802" s="7">
        <v>12</v>
      </c>
      <c r="AH802">
        <f t="shared" si="125"/>
        <v>84</v>
      </c>
      <c r="AI802">
        <f t="shared" si="122"/>
        <v>0</v>
      </c>
      <c r="AK802">
        <f t="shared" si="126"/>
        <v>7</v>
      </c>
      <c r="AL802">
        <v>13.33</v>
      </c>
      <c r="AM802" t="s">
        <v>27</v>
      </c>
      <c r="AN802">
        <v>13.33</v>
      </c>
      <c r="AO802" t="b">
        <f t="shared" si="127"/>
        <v>1</v>
      </c>
      <c r="AR802" t="s">
        <v>5061</v>
      </c>
      <c r="AS802" s="21">
        <v>46276</v>
      </c>
      <c r="AT802" t="s">
        <v>5062</v>
      </c>
      <c r="AU802" t="s">
        <v>5078</v>
      </c>
      <c r="AV802" t="s">
        <v>5062</v>
      </c>
      <c r="AW802" t="s">
        <v>5086</v>
      </c>
    </row>
    <row r="803" spans="1:49" x14ac:dyDescent="0.35">
      <c r="A803" t="s">
        <v>2796</v>
      </c>
      <c r="B803" t="s">
        <v>872</v>
      </c>
      <c r="C803" t="s">
        <v>4818</v>
      </c>
      <c r="D803" t="s">
        <v>18</v>
      </c>
      <c r="E803" t="s">
        <v>2937</v>
      </c>
      <c r="F803" t="s">
        <v>2938</v>
      </c>
      <c r="G803" t="s">
        <v>21</v>
      </c>
      <c r="H803" t="s">
        <v>4888</v>
      </c>
      <c r="I803" t="s">
        <v>5003</v>
      </c>
      <c r="J803" s="4" t="s">
        <v>5004</v>
      </c>
      <c r="K803" s="4" t="s">
        <v>5015</v>
      </c>
      <c r="L803" s="4" t="s">
        <v>4886</v>
      </c>
      <c r="M803" s="4" t="s">
        <v>5035</v>
      </c>
      <c r="N803" t="s">
        <v>2939</v>
      </c>
      <c r="O803" t="s">
        <v>2940</v>
      </c>
      <c r="P803" t="s">
        <v>23</v>
      </c>
      <c r="Q803" t="s">
        <v>24</v>
      </c>
      <c r="R803" t="s">
        <v>25</v>
      </c>
      <c r="S803" t="s">
        <v>26</v>
      </c>
      <c r="T803" s="6">
        <v>46307</v>
      </c>
      <c r="U803">
        <v>60</v>
      </c>
      <c r="V803">
        <v>60</v>
      </c>
      <c r="W803">
        <v>60</v>
      </c>
      <c r="X803">
        <v>60</v>
      </c>
      <c r="Y803">
        <f t="shared" si="123"/>
        <v>0</v>
      </c>
      <c r="Z803">
        <f t="shared" si="124"/>
        <v>0</v>
      </c>
      <c r="AC803" s="1">
        <v>0</v>
      </c>
      <c r="AF803">
        <f t="shared" si="121"/>
        <v>60</v>
      </c>
      <c r="AG803" s="7">
        <v>12</v>
      </c>
      <c r="AH803">
        <f t="shared" si="125"/>
        <v>60</v>
      </c>
      <c r="AI803">
        <f t="shared" si="122"/>
        <v>0</v>
      </c>
      <c r="AK803">
        <f t="shared" si="126"/>
        <v>5</v>
      </c>
      <c r="AL803">
        <v>13.01</v>
      </c>
      <c r="AM803" t="s">
        <v>27</v>
      </c>
      <c r="AN803">
        <v>13.01</v>
      </c>
      <c r="AO803" t="b">
        <f t="shared" si="127"/>
        <v>1</v>
      </c>
      <c r="AR803" t="s">
        <v>5061</v>
      </c>
      <c r="AS803" s="21">
        <v>46276</v>
      </c>
      <c r="AT803" t="s">
        <v>5062</v>
      </c>
      <c r="AU803" t="s">
        <v>5078</v>
      </c>
      <c r="AV803" t="s">
        <v>5062</v>
      </c>
      <c r="AW803" t="s">
        <v>5086</v>
      </c>
    </row>
    <row r="804" spans="1:49" x14ac:dyDescent="0.35">
      <c r="A804" t="s">
        <v>2796</v>
      </c>
      <c r="B804" t="s">
        <v>872</v>
      </c>
      <c r="C804" t="s">
        <v>4818</v>
      </c>
      <c r="D804" t="s">
        <v>18</v>
      </c>
      <c r="E804" t="s">
        <v>2941</v>
      </c>
      <c r="F804" t="s">
        <v>2942</v>
      </c>
      <c r="G804" t="s">
        <v>21</v>
      </c>
      <c r="H804" t="s">
        <v>4888</v>
      </c>
      <c r="I804" t="s">
        <v>5003</v>
      </c>
      <c r="J804" s="4" t="s">
        <v>5004</v>
      </c>
      <c r="K804" s="4" t="s">
        <v>5015</v>
      </c>
      <c r="L804" s="4" t="s">
        <v>4934</v>
      </c>
      <c r="M804" s="4" t="s">
        <v>5035</v>
      </c>
      <c r="N804" t="s">
        <v>2943</v>
      </c>
      <c r="O804" t="s">
        <v>2944</v>
      </c>
      <c r="P804" t="s">
        <v>23</v>
      </c>
      <c r="Q804" t="s">
        <v>24</v>
      </c>
      <c r="R804" t="s">
        <v>25</v>
      </c>
      <c r="S804" t="s">
        <v>26</v>
      </c>
      <c r="T804" s="6">
        <v>46307</v>
      </c>
      <c r="U804">
        <v>48</v>
      </c>
      <c r="V804">
        <v>48</v>
      </c>
      <c r="W804">
        <v>36</v>
      </c>
      <c r="X804">
        <v>36</v>
      </c>
      <c r="Y804">
        <f t="shared" si="123"/>
        <v>0</v>
      </c>
      <c r="Z804">
        <f t="shared" si="124"/>
        <v>12</v>
      </c>
      <c r="AA804">
        <f>Z804</f>
        <v>12</v>
      </c>
      <c r="AC804" s="1">
        <v>0</v>
      </c>
      <c r="AF804">
        <f>X804</f>
        <v>36</v>
      </c>
      <c r="AG804" s="7">
        <v>12</v>
      </c>
      <c r="AH804">
        <f t="shared" si="125"/>
        <v>36</v>
      </c>
      <c r="AI804">
        <f t="shared" si="122"/>
        <v>12</v>
      </c>
      <c r="AK804">
        <f t="shared" si="126"/>
        <v>3</v>
      </c>
      <c r="AL804">
        <v>13.01</v>
      </c>
      <c r="AM804" t="s">
        <v>27</v>
      </c>
      <c r="AN804">
        <v>13.01</v>
      </c>
      <c r="AO804" t="b">
        <f t="shared" si="127"/>
        <v>1</v>
      </c>
      <c r="AR804" t="s">
        <v>5061</v>
      </c>
      <c r="AS804" s="21">
        <v>46276</v>
      </c>
      <c r="AT804" t="s">
        <v>5062</v>
      </c>
      <c r="AU804" t="s">
        <v>5078</v>
      </c>
      <c r="AV804" t="s">
        <v>5062</v>
      </c>
      <c r="AW804" t="s">
        <v>5086</v>
      </c>
    </row>
    <row r="805" spans="1:49" x14ac:dyDescent="0.35">
      <c r="A805" t="s">
        <v>2796</v>
      </c>
      <c r="B805" t="s">
        <v>872</v>
      </c>
      <c r="C805" t="s">
        <v>4818</v>
      </c>
      <c r="D805" t="s">
        <v>18</v>
      </c>
      <c r="E805" t="s">
        <v>2945</v>
      </c>
      <c r="F805" t="s">
        <v>2946</v>
      </c>
      <c r="G805" t="s">
        <v>21</v>
      </c>
      <c r="H805" t="s">
        <v>4888</v>
      </c>
      <c r="I805" t="s">
        <v>5003</v>
      </c>
      <c r="J805" s="4" t="s">
        <v>5004</v>
      </c>
      <c r="K805" s="4" t="s">
        <v>4837</v>
      </c>
      <c r="L805" s="4" t="s">
        <v>4900</v>
      </c>
      <c r="M805" s="4" t="s">
        <v>5035</v>
      </c>
      <c r="N805" t="s">
        <v>2947</v>
      </c>
      <c r="O805" t="s">
        <v>2948</v>
      </c>
      <c r="P805" t="s">
        <v>23</v>
      </c>
      <c r="Q805" t="s">
        <v>24</v>
      </c>
      <c r="R805" t="s">
        <v>25</v>
      </c>
      <c r="S805" t="s">
        <v>26</v>
      </c>
      <c r="T805" s="6">
        <v>46307</v>
      </c>
      <c r="U805">
        <v>60</v>
      </c>
      <c r="V805">
        <v>60</v>
      </c>
      <c r="W805">
        <v>72</v>
      </c>
      <c r="X805">
        <v>72</v>
      </c>
      <c r="Y805">
        <f t="shared" si="123"/>
        <v>0</v>
      </c>
      <c r="Z805">
        <f t="shared" si="124"/>
        <v>-12</v>
      </c>
      <c r="AC805" s="1">
        <v>0</v>
      </c>
      <c r="AF805">
        <f>V805</f>
        <v>60</v>
      </c>
      <c r="AG805" s="7">
        <v>12</v>
      </c>
      <c r="AH805">
        <f t="shared" si="125"/>
        <v>60</v>
      </c>
      <c r="AI805">
        <f t="shared" si="122"/>
        <v>0</v>
      </c>
      <c r="AK805">
        <f t="shared" si="126"/>
        <v>5</v>
      </c>
      <c r="AL805">
        <v>12.87</v>
      </c>
      <c r="AM805" t="s">
        <v>27</v>
      </c>
      <c r="AN805">
        <v>12.87</v>
      </c>
      <c r="AO805" t="b">
        <f t="shared" si="127"/>
        <v>1</v>
      </c>
      <c r="AR805" t="s">
        <v>5061</v>
      </c>
      <c r="AS805" s="21">
        <v>46276</v>
      </c>
      <c r="AT805" t="s">
        <v>5062</v>
      </c>
      <c r="AU805" t="s">
        <v>5078</v>
      </c>
      <c r="AV805" t="s">
        <v>5062</v>
      </c>
      <c r="AW805" t="s">
        <v>5086</v>
      </c>
    </row>
    <row r="806" spans="1:49" x14ac:dyDescent="0.35">
      <c r="A806" t="s">
        <v>2796</v>
      </c>
      <c r="B806" t="s">
        <v>872</v>
      </c>
      <c r="C806" t="s">
        <v>4818</v>
      </c>
      <c r="D806" t="s">
        <v>18</v>
      </c>
      <c r="E806" t="s">
        <v>2949</v>
      </c>
      <c r="F806" t="s">
        <v>2950</v>
      </c>
      <c r="G806" t="s">
        <v>21</v>
      </c>
      <c r="H806" t="s">
        <v>4888</v>
      </c>
      <c r="I806" t="s">
        <v>5003</v>
      </c>
      <c r="J806" s="4" t="s">
        <v>5004</v>
      </c>
      <c r="K806" s="4" t="s">
        <v>4837</v>
      </c>
      <c r="L806" s="4" t="s">
        <v>4851</v>
      </c>
      <c r="M806" s="4" t="s">
        <v>5035</v>
      </c>
      <c r="N806" t="s">
        <v>2951</v>
      </c>
      <c r="O806" t="s">
        <v>2952</v>
      </c>
      <c r="P806" t="s">
        <v>23</v>
      </c>
      <c r="Q806" t="s">
        <v>24</v>
      </c>
      <c r="R806" t="s">
        <v>25</v>
      </c>
      <c r="S806" t="s">
        <v>26</v>
      </c>
      <c r="T806" s="6">
        <v>46307</v>
      </c>
      <c r="U806">
        <v>96</v>
      </c>
      <c r="V806">
        <v>96</v>
      </c>
      <c r="W806">
        <v>108</v>
      </c>
      <c r="X806">
        <v>108</v>
      </c>
      <c r="Y806">
        <f t="shared" si="123"/>
        <v>0</v>
      </c>
      <c r="Z806">
        <f t="shared" si="124"/>
        <v>-12</v>
      </c>
      <c r="AC806" s="1">
        <v>0</v>
      </c>
      <c r="AF806">
        <f>V806</f>
        <v>96</v>
      </c>
      <c r="AG806" s="7">
        <v>12</v>
      </c>
      <c r="AH806">
        <f t="shared" si="125"/>
        <v>96</v>
      </c>
      <c r="AI806">
        <f t="shared" si="122"/>
        <v>0</v>
      </c>
      <c r="AK806">
        <f t="shared" si="126"/>
        <v>8</v>
      </c>
      <c r="AL806">
        <v>12.87</v>
      </c>
      <c r="AM806" t="s">
        <v>27</v>
      </c>
      <c r="AN806">
        <v>12.87</v>
      </c>
      <c r="AO806" t="b">
        <f t="shared" si="127"/>
        <v>1</v>
      </c>
      <c r="AR806" t="s">
        <v>5061</v>
      </c>
      <c r="AS806" s="21">
        <v>46276</v>
      </c>
      <c r="AT806" t="s">
        <v>5062</v>
      </c>
      <c r="AU806" t="s">
        <v>5078</v>
      </c>
      <c r="AV806" t="s">
        <v>5062</v>
      </c>
      <c r="AW806" t="s">
        <v>5086</v>
      </c>
    </row>
    <row r="807" spans="1:49" x14ac:dyDescent="0.35">
      <c r="A807" t="s">
        <v>2796</v>
      </c>
      <c r="B807" t="s">
        <v>872</v>
      </c>
      <c r="C807" t="s">
        <v>4818</v>
      </c>
      <c r="D807" t="s">
        <v>18</v>
      </c>
      <c r="E807" t="s">
        <v>2953</v>
      </c>
      <c r="F807" t="s">
        <v>2954</v>
      </c>
      <c r="G807" t="s">
        <v>21</v>
      </c>
      <c r="H807" t="s">
        <v>4888</v>
      </c>
      <c r="I807" t="s">
        <v>5018</v>
      </c>
      <c r="J807" s="4" t="s">
        <v>5019</v>
      </c>
      <c r="K807" s="4" t="s">
        <v>5020</v>
      </c>
      <c r="L807" s="4">
        <v>7</v>
      </c>
      <c r="M807" s="4" t="s">
        <v>5035</v>
      </c>
      <c r="N807" t="s">
        <v>2955</v>
      </c>
      <c r="O807" t="s">
        <v>2956</v>
      </c>
      <c r="P807" t="s">
        <v>23</v>
      </c>
      <c r="Q807" t="s">
        <v>24</v>
      </c>
      <c r="R807" t="s">
        <v>25</v>
      </c>
      <c r="S807" t="s">
        <v>26</v>
      </c>
      <c r="T807" s="6">
        <v>46307</v>
      </c>
      <c r="U807">
        <v>336</v>
      </c>
      <c r="V807">
        <v>336</v>
      </c>
      <c r="W807">
        <v>312</v>
      </c>
      <c r="X807">
        <v>312</v>
      </c>
      <c r="Y807">
        <f t="shared" si="123"/>
        <v>0</v>
      </c>
      <c r="Z807">
        <f t="shared" si="124"/>
        <v>24</v>
      </c>
      <c r="AA807">
        <f t="shared" ref="AA807:AA808" si="128">Z807</f>
        <v>24</v>
      </c>
      <c r="AC807" s="1">
        <v>0</v>
      </c>
      <c r="AF807">
        <f>X807</f>
        <v>312</v>
      </c>
      <c r="AG807" s="7">
        <v>24</v>
      </c>
      <c r="AH807">
        <f t="shared" si="125"/>
        <v>312</v>
      </c>
      <c r="AI807">
        <f t="shared" si="122"/>
        <v>24</v>
      </c>
      <c r="AK807">
        <f t="shared" si="126"/>
        <v>13</v>
      </c>
      <c r="AL807">
        <v>10.79</v>
      </c>
      <c r="AM807" t="s">
        <v>27</v>
      </c>
      <c r="AN807">
        <v>10.79</v>
      </c>
      <c r="AO807" t="b">
        <f t="shared" si="127"/>
        <v>1</v>
      </c>
      <c r="AR807" t="s">
        <v>5061</v>
      </c>
      <c r="AS807" s="21">
        <v>46276</v>
      </c>
      <c r="AT807" t="s">
        <v>5062</v>
      </c>
      <c r="AU807" t="s">
        <v>5082</v>
      </c>
      <c r="AV807" t="s">
        <v>5062</v>
      </c>
      <c r="AW807" t="s">
        <v>5086</v>
      </c>
    </row>
    <row r="808" spans="1:49" x14ac:dyDescent="0.35">
      <c r="A808" t="s">
        <v>2796</v>
      </c>
      <c r="B808" t="s">
        <v>872</v>
      </c>
      <c r="C808" t="s">
        <v>4818</v>
      </c>
      <c r="D808" t="s">
        <v>18</v>
      </c>
      <c r="E808" t="s">
        <v>2957</v>
      </c>
      <c r="F808" t="s">
        <v>2958</v>
      </c>
      <c r="G808" t="s">
        <v>21</v>
      </c>
      <c r="H808" t="s">
        <v>4888</v>
      </c>
      <c r="I808" t="s">
        <v>5005</v>
      </c>
      <c r="J808" s="4" t="s">
        <v>5006</v>
      </c>
      <c r="K808" s="4" t="s">
        <v>4899</v>
      </c>
      <c r="L808" s="4">
        <v>36</v>
      </c>
      <c r="M808" s="4" t="s">
        <v>5035</v>
      </c>
      <c r="N808" t="s">
        <v>2959</v>
      </c>
      <c r="O808" t="s">
        <v>2960</v>
      </c>
      <c r="P808" t="s">
        <v>23</v>
      </c>
      <c r="Q808" t="s">
        <v>24</v>
      </c>
      <c r="R808" t="s">
        <v>25</v>
      </c>
      <c r="S808" t="s">
        <v>26</v>
      </c>
      <c r="T808" s="6">
        <v>46307</v>
      </c>
      <c r="U808">
        <v>912</v>
      </c>
      <c r="V808">
        <v>912</v>
      </c>
      <c r="W808">
        <v>864</v>
      </c>
      <c r="X808">
        <v>864</v>
      </c>
      <c r="Y808">
        <f t="shared" si="123"/>
        <v>0</v>
      </c>
      <c r="Z808">
        <f t="shared" si="124"/>
        <v>48</v>
      </c>
      <c r="AA808">
        <f t="shared" si="128"/>
        <v>48</v>
      </c>
      <c r="AC808" s="1">
        <v>0</v>
      </c>
      <c r="AF808">
        <f>X808</f>
        <v>864</v>
      </c>
      <c r="AG808" s="7">
        <v>24</v>
      </c>
      <c r="AH808">
        <f t="shared" si="125"/>
        <v>864</v>
      </c>
      <c r="AI808">
        <f t="shared" si="122"/>
        <v>48</v>
      </c>
      <c r="AK808">
        <f t="shared" si="126"/>
        <v>36</v>
      </c>
      <c r="AL808">
        <v>10.14</v>
      </c>
      <c r="AM808" t="s">
        <v>27</v>
      </c>
      <c r="AN808">
        <v>10.14</v>
      </c>
      <c r="AO808" t="b">
        <f t="shared" si="127"/>
        <v>1</v>
      </c>
      <c r="AR808" t="s">
        <v>5061</v>
      </c>
      <c r="AS808" s="21">
        <v>46276</v>
      </c>
      <c r="AT808" t="s">
        <v>5062</v>
      </c>
      <c r="AU808" t="s">
        <v>5079</v>
      </c>
      <c r="AV808" t="s">
        <v>5062</v>
      </c>
      <c r="AW808" t="s">
        <v>5086</v>
      </c>
    </row>
    <row r="809" spans="1:49" x14ac:dyDescent="0.35">
      <c r="A809" t="s">
        <v>2796</v>
      </c>
      <c r="B809" t="s">
        <v>872</v>
      </c>
      <c r="C809" t="s">
        <v>4818</v>
      </c>
      <c r="D809" t="s">
        <v>18</v>
      </c>
      <c r="E809" t="s">
        <v>2961</v>
      </c>
      <c r="F809" t="s">
        <v>2962</v>
      </c>
      <c r="G809" t="s">
        <v>21</v>
      </c>
      <c r="H809" t="s">
        <v>4888</v>
      </c>
      <c r="I809" t="s">
        <v>5003</v>
      </c>
      <c r="J809" s="4" t="s">
        <v>5004</v>
      </c>
      <c r="K809" s="4" t="s">
        <v>4904</v>
      </c>
      <c r="L809" s="4" t="s">
        <v>4851</v>
      </c>
      <c r="M809" s="4" t="s">
        <v>5035</v>
      </c>
      <c r="N809" t="s">
        <v>2963</v>
      </c>
      <c r="O809" t="s">
        <v>2964</v>
      </c>
      <c r="P809" t="s">
        <v>23</v>
      </c>
      <c r="Q809" t="s">
        <v>24</v>
      </c>
      <c r="R809" t="s">
        <v>25</v>
      </c>
      <c r="S809" t="s">
        <v>26</v>
      </c>
      <c r="T809" s="6">
        <v>46307</v>
      </c>
      <c r="U809">
        <v>60</v>
      </c>
      <c r="V809">
        <v>60</v>
      </c>
      <c r="W809">
        <v>72</v>
      </c>
      <c r="X809">
        <v>72</v>
      </c>
      <c r="Y809">
        <f t="shared" si="123"/>
        <v>0</v>
      </c>
      <c r="Z809">
        <f t="shared" si="124"/>
        <v>-12</v>
      </c>
      <c r="AC809" s="1">
        <v>0</v>
      </c>
      <c r="AF809">
        <f>V809</f>
        <v>60</v>
      </c>
      <c r="AG809" s="7">
        <v>12</v>
      </c>
      <c r="AH809">
        <f t="shared" si="125"/>
        <v>60</v>
      </c>
      <c r="AI809">
        <f t="shared" si="122"/>
        <v>0</v>
      </c>
      <c r="AK809">
        <f t="shared" si="126"/>
        <v>5</v>
      </c>
      <c r="AL809">
        <v>12.89</v>
      </c>
      <c r="AM809" t="s">
        <v>27</v>
      </c>
      <c r="AN809">
        <v>12.89</v>
      </c>
      <c r="AO809" t="b">
        <f t="shared" si="127"/>
        <v>1</v>
      </c>
      <c r="AR809" t="s">
        <v>5061</v>
      </c>
      <c r="AS809" s="21">
        <v>46276</v>
      </c>
      <c r="AT809" t="s">
        <v>5062</v>
      </c>
      <c r="AU809" t="s">
        <v>5078</v>
      </c>
      <c r="AV809" t="s">
        <v>5062</v>
      </c>
      <c r="AW809" t="s">
        <v>5086</v>
      </c>
    </row>
    <row r="810" spans="1:49" x14ac:dyDescent="0.35">
      <c r="A810" t="s">
        <v>2796</v>
      </c>
      <c r="B810" t="s">
        <v>872</v>
      </c>
      <c r="C810" t="s">
        <v>4818</v>
      </c>
      <c r="D810" t="s">
        <v>18</v>
      </c>
      <c r="E810" t="s">
        <v>2965</v>
      </c>
      <c r="F810" t="s">
        <v>2966</v>
      </c>
      <c r="G810" t="s">
        <v>21</v>
      </c>
      <c r="H810" t="s">
        <v>4888</v>
      </c>
      <c r="I810" t="s">
        <v>5008</v>
      </c>
      <c r="J810" s="4" t="s">
        <v>5009</v>
      </c>
      <c r="K810" s="4" t="s">
        <v>5021</v>
      </c>
      <c r="L810" s="4">
        <v>40</v>
      </c>
      <c r="M810" s="4" t="s">
        <v>5035</v>
      </c>
      <c r="N810" t="s">
        <v>2967</v>
      </c>
      <c r="O810" t="s">
        <v>2968</v>
      </c>
      <c r="P810" t="s">
        <v>23</v>
      </c>
      <c r="Q810" t="s">
        <v>24</v>
      </c>
      <c r="R810" t="s">
        <v>25</v>
      </c>
      <c r="S810" t="s">
        <v>26</v>
      </c>
      <c r="T810" s="6">
        <v>46307</v>
      </c>
      <c r="U810">
        <v>384</v>
      </c>
      <c r="V810">
        <v>384</v>
      </c>
      <c r="W810">
        <v>408</v>
      </c>
      <c r="X810">
        <v>408</v>
      </c>
      <c r="Y810">
        <f t="shared" si="123"/>
        <v>0</v>
      </c>
      <c r="Z810">
        <f t="shared" si="124"/>
        <v>-24</v>
      </c>
      <c r="AC810" s="1"/>
      <c r="AF810">
        <f>V810</f>
        <v>384</v>
      </c>
      <c r="AG810" s="7">
        <v>24</v>
      </c>
      <c r="AH810">
        <f t="shared" si="125"/>
        <v>384</v>
      </c>
      <c r="AI810">
        <f t="shared" si="122"/>
        <v>0</v>
      </c>
      <c r="AK810">
        <f t="shared" si="126"/>
        <v>16</v>
      </c>
      <c r="AL810">
        <v>10.11</v>
      </c>
      <c r="AM810" t="s">
        <v>27</v>
      </c>
      <c r="AN810">
        <v>10.11</v>
      </c>
      <c r="AO810" t="b">
        <f t="shared" si="127"/>
        <v>1</v>
      </c>
      <c r="AR810" t="s">
        <v>5061</v>
      </c>
      <c r="AS810" s="21">
        <v>46276</v>
      </c>
      <c r="AT810" t="s">
        <v>5062</v>
      </c>
      <c r="AU810" t="s">
        <v>5080</v>
      </c>
      <c r="AV810" t="s">
        <v>5062</v>
      </c>
      <c r="AW810" t="s">
        <v>5086</v>
      </c>
    </row>
    <row r="811" spans="1:49" x14ac:dyDescent="0.35">
      <c r="A811" t="s">
        <v>2796</v>
      </c>
      <c r="B811" t="s">
        <v>872</v>
      </c>
      <c r="C811" t="s">
        <v>4818</v>
      </c>
      <c r="D811" t="s">
        <v>18</v>
      </c>
      <c r="E811" t="s">
        <v>2969</v>
      </c>
      <c r="F811" t="s">
        <v>2970</v>
      </c>
      <c r="G811" t="s">
        <v>21</v>
      </c>
      <c r="H811" t="s">
        <v>4888</v>
      </c>
      <c r="I811" t="s">
        <v>5005</v>
      </c>
      <c r="J811" s="4" t="s">
        <v>5006</v>
      </c>
      <c r="K811" s="4" t="s">
        <v>5007</v>
      </c>
      <c r="L811" s="4">
        <v>38</v>
      </c>
      <c r="M811" s="4" t="s">
        <v>5035</v>
      </c>
      <c r="N811" t="s">
        <v>2971</v>
      </c>
      <c r="O811" t="s">
        <v>2972</v>
      </c>
      <c r="P811" t="s">
        <v>23</v>
      </c>
      <c r="Q811" t="s">
        <v>24</v>
      </c>
      <c r="R811" t="s">
        <v>25</v>
      </c>
      <c r="S811" t="s">
        <v>26</v>
      </c>
      <c r="T811" s="6">
        <v>46307</v>
      </c>
      <c r="U811">
        <v>672</v>
      </c>
      <c r="V811">
        <v>672</v>
      </c>
      <c r="W811">
        <v>624</v>
      </c>
      <c r="X811">
        <v>624</v>
      </c>
      <c r="Y811">
        <f t="shared" si="123"/>
        <v>0</v>
      </c>
      <c r="Z811">
        <f t="shared" si="124"/>
        <v>48</v>
      </c>
      <c r="AA811">
        <f>Z811</f>
        <v>48</v>
      </c>
      <c r="AC811" s="1">
        <v>0</v>
      </c>
      <c r="AF811">
        <f>X811</f>
        <v>624</v>
      </c>
      <c r="AG811" s="7">
        <v>24</v>
      </c>
      <c r="AH811">
        <f t="shared" si="125"/>
        <v>624</v>
      </c>
      <c r="AI811">
        <f t="shared" si="122"/>
        <v>48</v>
      </c>
      <c r="AK811">
        <f t="shared" si="126"/>
        <v>26</v>
      </c>
      <c r="AL811">
        <v>10.45</v>
      </c>
      <c r="AM811" t="s">
        <v>27</v>
      </c>
      <c r="AN811">
        <v>10.45</v>
      </c>
      <c r="AO811" t="b">
        <f t="shared" si="127"/>
        <v>1</v>
      </c>
      <c r="AR811" t="s">
        <v>5061</v>
      </c>
      <c r="AS811" s="21">
        <v>46276</v>
      </c>
      <c r="AT811" t="s">
        <v>5062</v>
      </c>
      <c r="AU811" t="s">
        <v>5079</v>
      </c>
      <c r="AV811" t="s">
        <v>5062</v>
      </c>
      <c r="AW811" t="s">
        <v>5086</v>
      </c>
    </row>
    <row r="812" spans="1:49" x14ac:dyDescent="0.35">
      <c r="A812" t="s">
        <v>2796</v>
      </c>
      <c r="B812" t="s">
        <v>872</v>
      </c>
      <c r="C812" t="s">
        <v>4818</v>
      </c>
      <c r="D812" t="s">
        <v>18</v>
      </c>
      <c r="E812" t="s">
        <v>2973</v>
      </c>
      <c r="F812" t="s">
        <v>2974</v>
      </c>
      <c r="G812" t="s">
        <v>21</v>
      </c>
      <c r="H812" t="s">
        <v>4888</v>
      </c>
      <c r="I812" t="s">
        <v>5003</v>
      </c>
      <c r="J812" s="4" t="s">
        <v>5004</v>
      </c>
      <c r="K812" s="4" t="s">
        <v>4837</v>
      </c>
      <c r="L812" s="4" t="s">
        <v>4909</v>
      </c>
      <c r="M812" s="4" t="s">
        <v>5035</v>
      </c>
      <c r="N812" t="s">
        <v>2975</v>
      </c>
      <c r="O812" t="s">
        <v>2976</v>
      </c>
      <c r="P812" t="s">
        <v>23</v>
      </c>
      <c r="Q812" t="s">
        <v>24</v>
      </c>
      <c r="R812" t="s">
        <v>25</v>
      </c>
      <c r="S812" t="s">
        <v>26</v>
      </c>
      <c r="T812" s="6">
        <v>46307</v>
      </c>
      <c r="U812">
        <v>48</v>
      </c>
      <c r="V812">
        <v>48</v>
      </c>
      <c r="W812">
        <v>48</v>
      </c>
      <c r="X812">
        <v>48</v>
      </c>
      <c r="Y812">
        <f t="shared" si="123"/>
        <v>0</v>
      </c>
      <c r="Z812">
        <f t="shared" si="124"/>
        <v>0</v>
      </c>
      <c r="AC812" s="1">
        <v>0</v>
      </c>
      <c r="AF812">
        <f>V812</f>
        <v>48</v>
      </c>
      <c r="AG812" s="7">
        <v>12</v>
      </c>
      <c r="AH812">
        <f t="shared" si="125"/>
        <v>48</v>
      </c>
      <c r="AI812">
        <f t="shared" si="122"/>
        <v>0</v>
      </c>
      <c r="AK812">
        <f t="shared" si="126"/>
        <v>4</v>
      </c>
      <c r="AL812">
        <v>12.87</v>
      </c>
      <c r="AM812" t="s">
        <v>27</v>
      </c>
      <c r="AN812">
        <v>12.87</v>
      </c>
      <c r="AO812" t="b">
        <f t="shared" si="127"/>
        <v>1</v>
      </c>
      <c r="AR812" t="s">
        <v>5061</v>
      </c>
      <c r="AS812" s="21">
        <v>46276</v>
      </c>
      <c r="AT812" t="s">
        <v>5062</v>
      </c>
      <c r="AU812" t="s">
        <v>5078</v>
      </c>
      <c r="AV812" t="s">
        <v>5062</v>
      </c>
      <c r="AW812" t="s">
        <v>5086</v>
      </c>
    </row>
    <row r="813" spans="1:49" x14ac:dyDescent="0.35">
      <c r="A813" t="s">
        <v>2796</v>
      </c>
      <c r="B813" t="s">
        <v>872</v>
      </c>
      <c r="C813" t="s">
        <v>4818</v>
      </c>
      <c r="D813" t="s">
        <v>18</v>
      </c>
      <c r="E813" t="s">
        <v>2977</v>
      </c>
      <c r="F813" t="s">
        <v>2978</v>
      </c>
      <c r="G813" t="s">
        <v>21</v>
      </c>
      <c r="H813" t="s">
        <v>4888</v>
      </c>
      <c r="I813" t="s">
        <v>5005</v>
      </c>
      <c r="J813" s="4" t="s">
        <v>5006</v>
      </c>
      <c r="K813" s="4" t="s">
        <v>4899</v>
      </c>
      <c r="L813" s="4">
        <v>34</v>
      </c>
      <c r="M813" s="4" t="s">
        <v>5035</v>
      </c>
      <c r="N813" t="s">
        <v>2979</v>
      </c>
      <c r="O813" t="s">
        <v>2980</v>
      </c>
      <c r="P813" t="s">
        <v>23</v>
      </c>
      <c r="Q813" t="s">
        <v>24</v>
      </c>
      <c r="R813" t="s">
        <v>25</v>
      </c>
      <c r="S813" t="s">
        <v>26</v>
      </c>
      <c r="T813" s="6">
        <v>46307</v>
      </c>
      <c r="U813">
        <v>744</v>
      </c>
      <c r="V813">
        <v>744</v>
      </c>
      <c r="W813">
        <v>792</v>
      </c>
      <c r="X813">
        <v>792</v>
      </c>
      <c r="Y813">
        <f t="shared" si="123"/>
        <v>0</v>
      </c>
      <c r="Z813">
        <f t="shared" si="124"/>
        <v>-48</v>
      </c>
      <c r="AC813" s="1"/>
      <c r="AF813">
        <f>V813</f>
        <v>744</v>
      </c>
      <c r="AG813" s="7">
        <v>24</v>
      </c>
      <c r="AH813">
        <f t="shared" si="125"/>
        <v>744</v>
      </c>
      <c r="AI813">
        <f t="shared" si="122"/>
        <v>0</v>
      </c>
      <c r="AK813">
        <f t="shared" si="126"/>
        <v>31</v>
      </c>
      <c r="AL813">
        <v>10.14</v>
      </c>
      <c r="AM813" t="s">
        <v>27</v>
      </c>
      <c r="AN813">
        <v>10.14</v>
      </c>
      <c r="AO813" t="b">
        <f t="shared" si="127"/>
        <v>1</v>
      </c>
      <c r="AR813" t="s">
        <v>5061</v>
      </c>
      <c r="AS813" s="21">
        <v>46276</v>
      </c>
      <c r="AT813" t="s">
        <v>5062</v>
      </c>
      <c r="AU813" t="s">
        <v>5079</v>
      </c>
      <c r="AV813" t="s">
        <v>5062</v>
      </c>
      <c r="AW813" t="s">
        <v>5086</v>
      </c>
    </row>
    <row r="814" spans="1:49" x14ac:dyDescent="0.35">
      <c r="A814" t="s">
        <v>2796</v>
      </c>
      <c r="B814" t="s">
        <v>872</v>
      </c>
      <c r="C814" t="s">
        <v>4818</v>
      </c>
      <c r="D814" t="s">
        <v>18</v>
      </c>
      <c r="E814" t="s">
        <v>2981</v>
      </c>
      <c r="F814" t="s">
        <v>2982</v>
      </c>
      <c r="G814" t="s">
        <v>21</v>
      </c>
      <c r="H814" t="s">
        <v>4888</v>
      </c>
      <c r="I814" t="s">
        <v>5003</v>
      </c>
      <c r="J814" s="4" t="s">
        <v>5004</v>
      </c>
      <c r="K814" s="4" t="s">
        <v>5015</v>
      </c>
      <c r="L814" s="4" t="s">
        <v>4929</v>
      </c>
      <c r="M814" s="4" t="s">
        <v>5035</v>
      </c>
      <c r="N814" t="s">
        <v>2983</v>
      </c>
      <c r="O814" t="s">
        <v>2984</v>
      </c>
      <c r="P814" t="s">
        <v>23</v>
      </c>
      <c r="Q814" t="s">
        <v>24</v>
      </c>
      <c r="R814" t="s">
        <v>25</v>
      </c>
      <c r="S814" t="s">
        <v>26</v>
      </c>
      <c r="T814" s="6">
        <v>46307</v>
      </c>
      <c r="U814">
        <v>48</v>
      </c>
      <c r="V814">
        <v>48</v>
      </c>
      <c r="W814">
        <v>48</v>
      </c>
      <c r="X814">
        <v>48</v>
      </c>
      <c r="Y814">
        <f t="shared" si="123"/>
        <v>0</v>
      </c>
      <c r="Z814">
        <f t="shared" si="124"/>
        <v>0</v>
      </c>
      <c r="AC814" s="1">
        <v>0</v>
      </c>
      <c r="AF814">
        <f>V814</f>
        <v>48</v>
      </c>
      <c r="AG814" s="7">
        <v>12</v>
      </c>
      <c r="AH814">
        <f t="shared" si="125"/>
        <v>48</v>
      </c>
      <c r="AI814">
        <f t="shared" si="122"/>
        <v>0</v>
      </c>
      <c r="AK814">
        <f t="shared" si="126"/>
        <v>4</v>
      </c>
      <c r="AL814">
        <v>13.01</v>
      </c>
      <c r="AM814" t="s">
        <v>27</v>
      </c>
      <c r="AN814">
        <v>13.01</v>
      </c>
      <c r="AO814" t="b">
        <f t="shared" si="127"/>
        <v>1</v>
      </c>
      <c r="AR814" t="s">
        <v>5061</v>
      </c>
      <c r="AS814" s="21">
        <v>46276</v>
      </c>
      <c r="AT814" t="s">
        <v>5062</v>
      </c>
      <c r="AU814" t="s">
        <v>5078</v>
      </c>
      <c r="AV814" t="s">
        <v>5062</v>
      </c>
      <c r="AW814" t="s">
        <v>5086</v>
      </c>
    </row>
    <row r="815" spans="1:49" x14ac:dyDescent="0.35">
      <c r="A815" t="s">
        <v>2796</v>
      </c>
      <c r="B815" t="s">
        <v>872</v>
      </c>
      <c r="C815" t="s">
        <v>4818</v>
      </c>
      <c r="D815" t="s">
        <v>18</v>
      </c>
      <c r="E815" t="s">
        <v>2985</v>
      </c>
      <c r="F815" t="s">
        <v>2986</v>
      </c>
      <c r="G815" t="s">
        <v>21</v>
      </c>
      <c r="H815" t="s">
        <v>4888</v>
      </c>
      <c r="I815" t="s">
        <v>5008</v>
      </c>
      <c r="J815" s="4" t="s">
        <v>5009</v>
      </c>
      <c r="K815" s="4" t="s">
        <v>5021</v>
      </c>
      <c r="L815" s="4">
        <v>34</v>
      </c>
      <c r="M815" s="4" t="s">
        <v>5035</v>
      </c>
      <c r="N815" t="s">
        <v>2987</v>
      </c>
      <c r="O815" t="s">
        <v>2988</v>
      </c>
      <c r="P815" t="s">
        <v>23</v>
      </c>
      <c r="Q815" t="s">
        <v>24</v>
      </c>
      <c r="R815" t="s">
        <v>25</v>
      </c>
      <c r="S815" t="s">
        <v>26</v>
      </c>
      <c r="T815" s="6">
        <v>46307</v>
      </c>
      <c r="U815">
        <v>912</v>
      </c>
      <c r="V815">
        <v>912</v>
      </c>
      <c r="W815">
        <v>864</v>
      </c>
      <c r="X815">
        <v>864</v>
      </c>
      <c r="Y815">
        <f t="shared" si="123"/>
        <v>0</v>
      </c>
      <c r="Z815">
        <f t="shared" si="124"/>
        <v>48</v>
      </c>
      <c r="AA815">
        <f>Z815</f>
        <v>48</v>
      </c>
      <c r="AC815" s="1">
        <v>0</v>
      </c>
      <c r="AF815">
        <f>X815</f>
        <v>864</v>
      </c>
      <c r="AG815" s="7">
        <v>24</v>
      </c>
      <c r="AH815">
        <f t="shared" si="125"/>
        <v>864</v>
      </c>
      <c r="AI815">
        <f t="shared" si="122"/>
        <v>48</v>
      </c>
      <c r="AK815">
        <f t="shared" si="126"/>
        <v>36</v>
      </c>
      <c r="AL815">
        <v>10.11</v>
      </c>
      <c r="AM815" t="s">
        <v>27</v>
      </c>
      <c r="AN815">
        <v>10.11</v>
      </c>
      <c r="AO815" t="b">
        <f t="shared" si="127"/>
        <v>1</v>
      </c>
      <c r="AR815" t="s">
        <v>5061</v>
      </c>
      <c r="AS815" s="21">
        <v>46276</v>
      </c>
      <c r="AT815" t="s">
        <v>5062</v>
      </c>
      <c r="AU815" t="s">
        <v>5080</v>
      </c>
      <c r="AV815" t="s">
        <v>5062</v>
      </c>
      <c r="AW815" t="s">
        <v>5086</v>
      </c>
    </row>
    <row r="816" spans="1:49" x14ac:dyDescent="0.35">
      <c r="A816" t="s">
        <v>2796</v>
      </c>
      <c r="B816" t="s">
        <v>872</v>
      </c>
      <c r="C816" t="s">
        <v>4818</v>
      </c>
      <c r="D816" t="s">
        <v>18</v>
      </c>
      <c r="E816" t="s">
        <v>2989</v>
      </c>
      <c r="F816" t="s">
        <v>2990</v>
      </c>
      <c r="G816" t="s">
        <v>21</v>
      </c>
      <c r="H816" t="s">
        <v>4888</v>
      </c>
      <c r="I816" t="s">
        <v>5003</v>
      </c>
      <c r="J816" s="4" t="s">
        <v>5004</v>
      </c>
      <c r="K816" s="4" t="s">
        <v>5015</v>
      </c>
      <c r="L816" s="4" t="s">
        <v>4864</v>
      </c>
      <c r="M816" s="4" t="s">
        <v>5035</v>
      </c>
      <c r="N816" t="s">
        <v>2991</v>
      </c>
      <c r="O816" t="s">
        <v>2992</v>
      </c>
      <c r="P816" t="s">
        <v>23</v>
      </c>
      <c r="Q816" t="s">
        <v>24</v>
      </c>
      <c r="R816" t="s">
        <v>25</v>
      </c>
      <c r="S816" t="s">
        <v>26</v>
      </c>
      <c r="T816" s="6">
        <v>46307</v>
      </c>
      <c r="U816">
        <v>36</v>
      </c>
      <c r="V816">
        <v>36</v>
      </c>
      <c r="W816">
        <v>36</v>
      </c>
      <c r="X816">
        <v>36</v>
      </c>
      <c r="Y816">
        <f t="shared" si="123"/>
        <v>0</v>
      </c>
      <c r="Z816">
        <f t="shared" si="124"/>
        <v>0</v>
      </c>
      <c r="AC816" s="1">
        <v>0</v>
      </c>
      <c r="AF816">
        <f t="shared" ref="AF816:AF821" si="129">V816</f>
        <v>36</v>
      </c>
      <c r="AG816" s="7">
        <v>12</v>
      </c>
      <c r="AH816">
        <f t="shared" si="125"/>
        <v>36</v>
      </c>
      <c r="AI816">
        <f t="shared" si="122"/>
        <v>0</v>
      </c>
      <c r="AK816">
        <f t="shared" si="126"/>
        <v>3</v>
      </c>
      <c r="AL816">
        <v>13.01</v>
      </c>
      <c r="AM816" t="s">
        <v>27</v>
      </c>
      <c r="AN816">
        <v>13.01</v>
      </c>
      <c r="AO816" t="b">
        <f t="shared" si="127"/>
        <v>1</v>
      </c>
      <c r="AR816" t="s">
        <v>5061</v>
      </c>
      <c r="AS816" s="21">
        <v>46276</v>
      </c>
      <c r="AT816" t="s">
        <v>5062</v>
      </c>
      <c r="AU816" t="s">
        <v>5078</v>
      </c>
      <c r="AV816" t="s">
        <v>5062</v>
      </c>
      <c r="AW816" t="s">
        <v>5086</v>
      </c>
    </row>
    <row r="817" spans="1:49" x14ac:dyDescent="0.35">
      <c r="A817" t="s">
        <v>2796</v>
      </c>
      <c r="B817" t="s">
        <v>872</v>
      </c>
      <c r="C817" t="s">
        <v>4818</v>
      </c>
      <c r="D817" t="s">
        <v>18</v>
      </c>
      <c r="E817" t="s">
        <v>2993</v>
      </c>
      <c r="F817" t="s">
        <v>2994</v>
      </c>
      <c r="G817" t="s">
        <v>21</v>
      </c>
      <c r="H817" t="s">
        <v>4888</v>
      </c>
      <c r="I817" t="s">
        <v>5003</v>
      </c>
      <c r="J817" s="4" t="s">
        <v>5004</v>
      </c>
      <c r="K817" s="4" t="s">
        <v>4904</v>
      </c>
      <c r="L817" s="4" t="s">
        <v>4869</v>
      </c>
      <c r="M817" s="4" t="s">
        <v>5035</v>
      </c>
      <c r="N817" t="s">
        <v>2995</v>
      </c>
      <c r="O817" t="s">
        <v>2996</v>
      </c>
      <c r="P817" t="s">
        <v>23</v>
      </c>
      <c r="Q817" t="s">
        <v>24</v>
      </c>
      <c r="R817" t="s">
        <v>25</v>
      </c>
      <c r="S817" t="s">
        <v>26</v>
      </c>
      <c r="T817" s="6">
        <v>46307</v>
      </c>
      <c r="U817">
        <v>60</v>
      </c>
      <c r="V817">
        <v>60</v>
      </c>
      <c r="W817">
        <v>60</v>
      </c>
      <c r="X817">
        <v>60</v>
      </c>
      <c r="Y817">
        <f t="shared" si="123"/>
        <v>0</v>
      </c>
      <c r="Z817">
        <f t="shared" si="124"/>
        <v>0</v>
      </c>
      <c r="AC817" s="1">
        <v>0</v>
      </c>
      <c r="AF817">
        <f t="shared" si="129"/>
        <v>60</v>
      </c>
      <c r="AG817" s="7">
        <v>12</v>
      </c>
      <c r="AH817">
        <f t="shared" si="125"/>
        <v>60</v>
      </c>
      <c r="AI817">
        <f t="shared" si="122"/>
        <v>0</v>
      </c>
      <c r="AK817">
        <f t="shared" si="126"/>
        <v>5</v>
      </c>
      <c r="AL817">
        <v>12.89</v>
      </c>
      <c r="AM817" t="s">
        <v>27</v>
      </c>
      <c r="AN817">
        <v>12.89</v>
      </c>
      <c r="AO817" t="b">
        <f t="shared" si="127"/>
        <v>1</v>
      </c>
      <c r="AR817" t="s">
        <v>5061</v>
      </c>
      <c r="AS817" s="21">
        <v>46276</v>
      </c>
      <c r="AT817" t="s">
        <v>5062</v>
      </c>
      <c r="AU817" t="s">
        <v>5078</v>
      </c>
      <c r="AV817" t="s">
        <v>5062</v>
      </c>
      <c r="AW817" t="s">
        <v>5086</v>
      </c>
    </row>
    <row r="818" spans="1:49" x14ac:dyDescent="0.35">
      <c r="A818" t="s">
        <v>2796</v>
      </c>
      <c r="B818" t="s">
        <v>872</v>
      </c>
      <c r="C818" t="s">
        <v>4818</v>
      </c>
      <c r="D818" t="s">
        <v>18</v>
      </c>
      <c r="E818" t="s">
        <v>2997</v>
      </c>
      <c r="F818" t="s">
        <v>2998</v>
      </c>
      <c r="G818" t="s">
        <v>21</v>
      </c>
      <c r="H818" t="s">
        <v>4888</v>
      </c>
      <c r="I818" t="s">
        <v>5003</v>
      </c>
      <c r="J818" s="4" t="s">
        <v>5004</v>
      </c>
      <c r="K818" s="4" t="s">
        <v>5016</v>
      </c>
      <c r="L818" s="4" t="s">
        <v>4851</v>
      </c>
      <c r="M818" s="4" t="s">
        <v>5035</v>
      </c>
      <c r="N818" t="s">
        <v>2999</v>
      </c>
      <c r="O818" t="s">
        <v>3000</v>
      </c>
      <c r="P818" t="s">
        <v>23</v>
      </c>
      <c r="Q818" t="s">
        <v>24</v>
      </c>
      <c r="R818" t="s">
        <v>25</v>
      </c>
      <c r="S818" t="s">
        <v>26</v>
      </c>
      <c r="T818" s="6">
        <v>46307</v>
      </c>
      <c r="U818">
        <v>96</v>
      </c>
      <c r="V818">
        <v>96</v>
      </c>
      <c r="W818">
        <v>108</v>
      </c>
      <c r="X818">
        <v>108</v>
      </c>
      <c r="Y818">
        <f t="shared" si="123"/>
        <v>0</v>
      </c>
      <c r="Z818">
        <f t="shared" si="124"/>
        <v>-12</v>
      </c>
      <c r="AC818" s="1">
        <v>0</v>
      </c>
      <c r="AF818">
        <f t="shared" si="129"/>
        <v>96</v>
      </c>
      <c r="AG818" s="7">
        <v>12</v>
      </c>
      <c r="AH818">
        <f t="shared" si="125"/>
        <v>96</v>
      </c>
      <c r="AI818">
        <f t="shared" si="122"/>
        <v>0</v>
      </c>
      <c r="AK818">
        <f t="shared" si="126"/>
        <v>8</v>
      </c>
      <c r="AL818">
        <v>13.33</v>
      </c>
      <c r="AM818" t="s">
        <v>27</v>
      </c>
      <c r="AN818">
        <v>13.33</v>
      </c>
      <c r="AO818" t="b">
        <f t="shared" si="127"/>
        <v>1</v>
      </c>
      <c r="AR818" t="s">
        <v>5061</v>
      </c>
      <c r="AS818" s="21">
        <v>46276</v>
      </c>
      <c r="AT818" t="s">
        <v>5062</v>
      </c>
      <c r="AU818" t="s">
        <v>5078</v>
      </c>
      <c r="AV818" t="s">
        <v>5062</v>
      </c>
      <c r="AW818" t="s">
        <v>5086</v>
      </c>
    </row>
    <row r="819" spans="1:49" x14ac:dyDescent="0.35">
      <c r="A819" t="s">
        <v>2796</v>
      </c>
      <c r="B819" t="s">
        <v>872</v>
      </c>
      <c r="C819" t="s">
        <v>4818</v>
      </c>
      <c r="D819" t="s">
        <v>18</v>
      </c>
      <c r="E819" t="s">
        <v>3001</v>
      </c>
      <c r="F819" t="s">
        <v>3002</v>
      </c>
      <c r="G819" t="s">
        <v>21</v>
      </c>
      <c r="H819" t="s">
        <v>4888</v>
      </c>
      <c r="I819" t="s">
        <v>5003</v>
      </c>
      <c r="J819" s="4" t="s">
        <v>5004</v>
      </c>
      <c r="K819" s="4" t="s">
        <v>5015</v>
      </c>
      <c r="L819" s="4" t="s">
        <v>4892</v>
      </c>
      <c r="M819" s="4" t="s">
        <v>5035</v>
      </c>
      <c r="N819" t="s">
        <v>3003</v>
      </c>
      <c r="O819" t="s">
        <v>3004</v>
      </c>
      <c r="P819" t="s">
        <v>23</v>
      </c>
      <c r="Q819" t="s">
        <v>24</v>
      </c>
      <c r="R819" t="s">
        <v>25</v>
      </c>
      <c r="S819" t="s">
        <v>26</v>
      </c>
      <c r="T819" s="6">
        <v>46307</v>
      </c>
      <c r="U819">
        <v>60</v>
      </c>
      <c r="V819">
        <v>60</v>
      </c>
      <c r="W819">
        <v>60</v>
      </c>
      <c r="X819">
        <v>60</v>
      </c>
      <c r="Y819">
        <f t="shared" si="123"/>
        <v>0</v>
      </c>
      <c r="Z819">
        <f t="shared" si="124"/>
        <v>0</v>
      </c>
      <c r="AC819" s="1">
        <v>0</v>
      </c>
      <c r="AF819">
        <f t="shared" si="129"/>
        <v>60</v>
      </c>
      <c r="AG819" s="7">
        <v>12</v>
      </c>
      <c r="AH819">
        <f t="shared" si="125"/>
        <v>60</v>
      </c>
      <c r="AI819">
        <f t="shared" si="122"/>
        <v>0</v>
      </c>
      <c r="AK819">
        <f t="shared" si="126"/>
        <v>5</v>
      </c>
      <c r="AL819">
        <v>13.01</v>
      </c>
      <c r="AM819" t="s">
        <v>27</v>
      </c>
      <c r="AN819">
        <v>13.01</v>
      </c>
      <c r="AO819" t="b">
        <f t="shared" si="127"/>
        <v>1</v>
      </c>
      <c r="AR819" t="s">
        <v>5061</v>
      </c>
      <c r="AS819" s="21">
        <v>46276</v>
      </c>
      <c r="AT819" t="s">
        <v>5062</v>
      </c>
      <c r="AU819" t="s">
        <v>5078</v>
      </c>
      <c r="AV819" t="s">
        <v>5062</v>
      </c>
      <c r="AW819" t="s">
        <v>5086</v>
      </c>
    </row>
    <row r="820" spans="1:49" x14ac:dyDescent="0.35">
      <c r="A820" t="s">
        <v>2796</v>
      </c>
      <c r="B820" t="s">
        <v>872</v>
      </c>
      <c r="C820" t="s">
        <v>4818</v>
      </c>
      <c r="D820" t="s">
        <v>18</v>
      </c>
      <c r="E820" t="s">
        <v>3005</v>
      </c>
      <c r="F820" t="s">
        <v>3006</v>
      </c>
      <c r="G820" t="s">
        <v>21</v>
      </c>
      <c r="H820" t="s">
        <v>4888</v>
      </c>
      <c r="I820" t="s">
        <v>5003</v>
      </c>
      <c r="J820" s="4" t="s">
        <v>5004</v>
      </c>
      <c r="K820" s="4" t="s">
        <v>4904</v>
      </c>
      <c r="L820" s="4" t="s">
        <v>4884</v>
      </c>
      <c r="M820" s="4" t="s">
        <v>5035</v>
      </c>
      <c r="N820" t="s">
        <v>3007</v>
      </c>
      <c r="O820" t="s">
        <v>3008</v>
      </c>
      <c r="P820" t="s">
        <v>23</v>
      </c>
      <c r="Q820" t="s">
        <v>24</v>
      </c>
      <c r="R820" t="s">
        <v>25</v>
      </c>
      <c r="S820" t="s">
        <v>26</v>
      </c>
      <c r="T820" s="6">
        <v>46307</v>
      </c>
      <c r="U820">
        <v>12</v>
      </c>
      <c r="V820">
        <v>12</v>
      </c>
      <c r="W820">
        <v>12</v>
      </c>
      <c r="X820">
        <v>12</v>
      </c>
      <c r="Y820">
        <f t="shared" si="123"/>
        <v>0</v>
      </c>
      <c r="Z820">
        <f t="shared" si="124"/>
        <v>0</v>
      </c>
      <c r="AC820" s="1">
        <v>0</v>
      </c>
      <c r="AF820">
        <f t="shared" si="129"/>
        <v>12</v>
      </c>
      <c r="AG820" s="7">
        <v>12</v>
      </c>
      <c r="AH820">
        <f t="shared" si="125"/>
        <v>12</v>
      </c>
      <c r="AI820">
        <f t="shared" si="122"/>
        <v>0</v>
      </c>
      <c r="AK820">
        <f t="shared" si="126"/>
        <v>1</v>
      </c>
      <c r="AL820">
        <v>12.89</v>
      </c>
      <c r="AM820" t="s">
        <v>27</v>
      </c>
      <c r="AN820">
        <v>12.89</v>
      </c>
      <c r="AO820" t="b">
        <f t="shared" si="127"/>
        <v>1</v>
      </c>
      <c r="AR820" t="s">
        <v>5061</v>
      </c>
      <c r="AS820" s="21">
        <v>46276</v>
      </c>
      <c r="AT820" t="s">
        <v>5062</v>
      </c>
      <c r="AU820" t="s">
        <v>5078</v>
      </c>
      <c r="AV820" t="s">
        <v>5062</v>
      </c>
      <c r="AW820" t="s">
        <v>5086</v>
      </c>
    </row>
    <row r="821" spans="1:49" x14ac:dyDescent="0.35">
      <c r="A821" t="s">
        <v>2796</v>
      </c>
      <c r="B821" t="s">
        <v>872</v>
      </c>
      <c r="C821" t="s">
        <v>4818</v>
      </c>
      <c r="D821" t="s">
        <v>18</v>
      </c>
      <c r="E821" t="s">
        <v>3009</v>
      </c>
      <c r="F821" t="s">
        <v>3010</v>
      </c>
      <c r="G821" t="s">
        <v>21</v>
      </c>
      <c r="H821" t="s">
        <v>4888</v>
      </c>
      <c r="I821" t="s">
        <v>5003</v>
      </c>
      <c r="J821" s="4" t="s">
        <v>5004</v>
      </c>
      <c r="K821" s="4" t="s">
        <v>4837</v>
      </c>
      <c r="L821" s="4" t="s">
        <v>4917</v>
      </c>
      <c r="M821" s="4" t="s">
        <v>5035</v>
      </c>
      <c r="N821" t="s">
        <v>3011</v>
      </c>
      <c r="O821" t="s">
        <v>3012</v>
      </c>
      <c r="P821" t="s">
        <v>23</v>
      </c>
      <c r="Q821" t="s">
        <v>24</v>
      </c>
      <c r="R821" t="s">
        <v>25</v>
      </c>
      <c r="S821" t="s">
        <v>26</v>
      </c>
      <c r="T821" s="6">
        <v>46307</v>
      </c>
      <c r="U821">
        <v>72</v>
      </c>
      <c r="V821">
        <v>72</v>
      </c>
      <c r="W821">
        <v>84</v>
      </c>
      <c r="X821">
        <v>84</v>
      </c>
      <c r="Y821">
        <f t="shared" si="123"/>
        <v>0</v>
      </c>
      <c r="Z821">
        <f t="shared" si="124"/>
        <v>-12</v>
      </c>
      <c r="AC821" s="1">
        <v>0</v>
      </c>
      <c r="AF821">
        <f t="shared" si="129"/>
        <v>72</v>
      </c>
      <c r="AG821" s="7">
        <v>12</v>
      </c>
      <c r="AH821">
        <f t="shared" si="125"/>
        <v>72</v>
      </c>
      <c r="AI821">
        <f t="shared" si="122"/>
        <v>0</v>
      </c>
      <c r="AK821">
        <f t="shared" si="126"/>
        <v>6</v>
      </c>
      <c r="AL821">
        <v>12.87</v>
      </c>
      <c r="AM821" t="s">
        <v>27</v>
      </c>
      <c r="AN821">
        <v>12.87</v>
      </c>
      <c r="AO821" t="b">
        <f t="shared" si="127"/>
        <v>1</v>
      </c>
      <c r="AR821" t="s">
        <v>5061</v>
      </c>
      <c r="AS821" s="21">
        <v>46276</v>
      </c>
      <c r="AT821" t="s">
        <v>5062</v>
      </c>
      <c r="AU821" t="s">
        <v>5078</v>
      </c>
      <c r="AV821" t="s">
        <v>5062</v>
      </c>
      <c r="AW821" t="s">
        <v>5086</v>
      </c>
    </row>
    <row r="822" spans="1:49" x14ac:dyDescent="0.35">
      <c r="A822" t="s">
        <v>2796</v>
      </c>
      <c r="B822" t="s">
        <v>872</v>
      </c>
      <c r="C822" t="s">
        <v>4818</v>
      </c>
      <c r="D822" t="s">
        <v>18</v>
      </c>
      <c r="E822" t="s">
        <v>3013</v>
      </c>
      <c r="F822" t="s">
        <v>3014</v>
      </c>
      <c r="G822" t="s">
        <v>21</v>
      </c>
      <c r="H822" t="s">
        <v>4888</v>
      </c>
      <c r="I822" t="s">
        <v>5003</v>
      </c>
      <c r="J822" s="4" t="s">
        <v>5004</v>
      </c>
      <c r="K822" s="4" t="s">
        <v>5015</v>
      </c>
      <c r="L822" s="4" t="s">
        <v>4919</v>
      </c>
      <c r="M822" s="4" t="s">
        <v>5035</v>
      </c>
      <c r="N822" t="s">
        <v>3015</v>
      </c>
      <c r="O822" t="s">
        <v>3016</v>
      </c>
      <c r="P822" t="s">
        <v>23</v>
      </c>
      <c r="Q822" t="s">
        <v>24</v>
      </c>
      <c r="R822" t="s">
        <v>25</v>
      </c>
      <c r="S822" t="s">
        <v>26</v>
      </c>
      <c r="T822" s="6">
        <v>46307</v>
      </c>
      <c r="U822">
        <v>72</v>
      </c>
      <c r="V822">
        <v>72</v>
      </c>
      <c r="W822">
        <v>60</v>
      </c>
      <c r="X822">
        <v>60</v>
      </c>
      <c r="Y822">
        <f t="shared" si="123"/>
        <v>0</v>
      </c>
      <c r="Z822">
        <f t="shared" si="124"/>
        <v>12</v>
      </c>
      <c r="AA822">
        <f t="shared" ref="AA822:AA823" si="130">Z822</f>
        <v>12</v>
      </c>
      <c r="AC822" s="1">
        <v>0</v>
      </c>
      <c r="AF822">
        <f>X822</f>
        <v>60</v>
      </c>
      <c r="AG822" s="7">
        <v>12</v>
      </c>
      <c r="AH822">
        <f t="shared" si="125"/>
        <v>60</v>
      </c>
      <c r="AI822">
        <f t="shared" si="122"/>
        <v>12</v>
      </c>
      <c r="AK822">
        <f t="shared" si="126"/>
        <v>5</v>
      </c>
      <c r="AL822">
        <v>13.01</v>
      </c>
      <c r="AM822" t="s">
        <v>27</v>
      </c>
      <c r="AN822">
        <v>13.01</v>
      </c>
      <c r="AO822" t="b">
        <f t="shared" si="127"/>
        <v>1</v>
      </c>
      <c r="AR822" t="s">
        <v>5061</v>
      </c>
      <c r="AS822" s="21">
        <v>46276</v>
      </c>
      <c r="AT822" t="s">
        <v>5062</v>
      </c>
      <c r="AU822" t="s">
        <v>5078</v>
      </c>
      <c r="AV822" t="s">
        <v>5062</v>
      </c>
      <c r="AW822" t="s">
        <v>5086</v>
      </c>
    </row>
    <row r="823" spans="1:49" x14ac:dyDescent="0.35">
      <c r="A823" t="s">
        <v>2796</v>
      </c>
      <c r="B823" t="s">
        <v>872</v>
      </c>
      <c r="C823" t="s">
        <v>4818</v>
      </c>
      <c r="D823" t="s">
        <v>18</v>
      </c>
      <c r="E823" t="s">
        <v>3017</v>
      </c>
      <c r="F823" t="s">
        <v>3018</v>
      </c>
      <c r="G823" t="s">
        <v>21</v>
      </c>
      <c r="H823" t="s">
        <v>4888</v>
      </c>
      <c r="I823" t="s">
        <v>5003</v>
      </c>
      <c r="J823" s="4" t="s">
        <v>5004</v>
      </c>
      <c r="K823" s="4" t="s">
        <v>5015</v>
      </c>
      <c r="L823" s="4" t="s">
        <v>4926</v>
      </c>
      <c r="M823" s="4" t="s">
        <v>5035</v>
      </c>
      <c r="N823" t="s">
        <v>3019</v>
      </c>
      <c r="O823" t="s">
        <v>3020</v>
      </c>
      <c r="P823" t="s">
        <v>23</v>
      </c>
      <c r="Q823" t="s">
        <v>24</v>
      </c>
      <c r="R823" t="s">
        <v>25</v>
      </c>
      <c r="S823" t="s">
        <v>26</v>
      </c>
      <c r="T823" s="6">
        <v>46307</v>
      </c>
      <c r="U823">
        <v>36</v>
      </c>
      <c r="V823">
        <v>36</v>
      </c>
      <c r="W823">
        <v>24</v>
      </c>
      <c r="X823">
        <v>24</v>
      </c>
      <c r="Y823">
        <f t="shared" si="123"/>
        <v>0</v>
      </c>
      <c r="Z823">
        <f t="shared" si="124"/>
        <v>12</v>
      </c>
      <c r="AA823">
        <f t="shared" si="130"/>
        <v>12</v>
      </c>
      <c r="AC823" s="1">
        <v>0</v>
      </c>
      <c r="AF823">
        <f>X823</f>
        <v>24</v>
      </c>
      <c r="AG823" s="7">
        <v>12</v>
      </c>
      <c r="AH823">
        <f t="shared" si="125"/>
        <v>24</v>
      </c>
      <c r="AI823">
        <f t="shared" si="122"/>
        <v>12</v>
      </c>
      <c r="AK823">
        <f t="shared" si="126"/>
        <v>2</v>
      </c>
      <c r="AL823">
        <v>13.01</v>
      </c>
      <c r="AM823" t="s">
        <v>27</v>
      </c>
      <c r="AN823">
        <v>13.01</v>
      </c>
      <c r="AO823" t="b">
        <f t="shared" si="127"/>
        <v>1</v>
      </c>
      <c r="AR823" t="s">
        <v>5061</v>
      </c>
      <c r="AS823" s="21">
        <v>46276</v>
      </c>
      <c r="AT823" t="s">
        <v>5062</v>
      </c>
      <c r="AU823" t="s">
        <v>5078</v>
      </c>
      <c r="AV823" t="s">
        <v>5062</v>
      </c>
      <c r="AW823" t="s">
        <v>5086</v>
      </c>
    </row>
    <row r="824" spans="1:49" x14ac:dyDescent="0.35">
      <c r="A824" t="s">
        <v>2796</v>
      </c>
      <c r="B824" t="s">
        <v>872</v>
      </c>
      <c r="C824" t="s">
        <v>4818</v>
      </c>
      <c r="D824" t="s">
        <v>18</v>
      </c>
      <c r="E824" t="s">
        <v>3021</v>
      </c>
      <c r="F824" t="s">
        <v>3022</v>
      </c>
      <c r="G824" t="s">
        <v>21</v>
      </c>
      <c r="H824" t="s">
        <v>4888</v>
      </c>
      <c r="I824" t="s">
        <v>5022</v>
      </c>
      <c r="J824" s="4" t="s">
        <v>5023</v>
      </c>
      <c r="K824" s="4" t="s">
        <v>5024</v>
      </c>
      <c r="L824" s="4">
        <v>12</v>
      </c>
      <c r="M824" s="4" t="s">
        <v>5035</v>
      </c>
      <c r="N824" t="s">
        <v>3023</v>
      </c>
      <c r="O824" t="s">
        <v>3024</v>
      </c>
      <c r="P824" t="s">
        <v>23</v>
      </c>
      <c r="Q824" t="s">
        <v>24</v>
      </c>
      <c r="R824" t="s">
        <v>25</v>
      </c>
      <c r="S824" t="s">
        <v>26</v>
      </c>
      <c r="T824" s="6">
        <v>46307</v>
      </c>
      <c r="U824">
        <v>504</v>
      </c>
      <c r="V824">
        <v>504</v>
      </c>
      <c r="W824">
        <v>552</v>
      </c>
      <c r="X824">
        <v>552</v>
      </c>
      <c r="Y824">
        <f t="shared" si="123"/>
        <v>0</v>
      </c>
      <c r="Z824">
        <f t="shared" si="124"/>
        <v>-48</v>
      </c>
      <c r="AC824" s="1">
        <v>0</v>
      </c>
      <c r="AF824">
        <f t="shared" ref="AF824:AF829" si="131">V824</f>
        <v>504</v>
      </c>
      <c r="AG824" s="7">
        <v>24</v>
      </c>
      <c r="AH824">
        <f t="shared" si="125"/>
        <v>504</v>
      </c>
      <c r="AI824">
        <f t="shared" si="122"/>
        <v>0</v>
      </c>
      <c r="AK824">
        <f t="shared" si="126"/>
        <v>21</v>
      </c>
      <c r="AL824">
        <v>6.99</v>
      </c>
      <c r="AM824" t="s">
        <v>27</v>
      </c>
      <c r="AN824">
        <v>8.68</v>
      </c>
      <c r="AO824" t="b">
        <f t="shared" si="127"/>
        <v>0</v>
      </c>
      <c r="AR824" t="s">
        <v>5061</v>
      </c>
      <c r="AS824" s="21">
        <v>46276</v>
      </c>
      <c r="AT824" t="s">
        <v>5062</v>
      </c>
      <c r="AU824" t="s">
        <v>5083</v>
      </c>
      <c r="AV824" t="s">
        <v>5062</v>
      </c>
      <c r="AW824" t="s">
        <v>5086</v>
      </c>
    </row>
    <row r="825" spans="1:49" x14ac:dyDescent="0.35">
      <c r="A825" t="s">
        <v>2796</v>
      </c>
      <c r="B825" t="s">
        <v>872</v>
      </c>
      <c r="C825" t="s">
        <v>4818</v>
      </c>
      <c r="D825" t="s">
        <v>18</v>
      </c>
      <c r="E825" t="s">
        <v>3025</v>
      </c>
      <c r="F825" t="s">
        <v>3026</v>
      </c>
      <c r="G825" t="s">
        <v>21</v>
      </c>
      <c r="H825" t="s">
        <v>4888</v>
      </c>
      <c r="I825" t="s">
        <v>5003</v>
      </c>
      <c r="J825" s="4" t="s">
        <v>5004</v>
      </c>
      <c r="K825" s="4" t="s">
        <v>4837</v>
      </c>
      <c r="L825" s="4" t="s">
        <v>4869</v>
      </c>
      <c r="M825" s="4" t="s">
        <v>5035</v>
      </c>
      <c r="N825" t="s">
        <v>3027</v>
      </c>
      <c r="O825" t="s">
        <v>3028</v>
      </c>
      <c r="P825" t="s">
        <v>23</v>
      </c>
      <c r="Q825" t="s">
        <v>24</v>
      </c>
      <c r="R825" t="s">
        <v>25</v>
      </c>
      <c r="S825" t="s">
        <v>26</v>
      </c>
      <c r="T825" s="6">
        <v>46307</v>
      </c>
      <c r="U825">
        <v>96</v>
      </c>
      <c r="V825">
        <v>96</v>
      </c>
      <c r="W825">
        <v>108</v>
      </c>
      <c r="X825">
        <v>108</v>
      </c>
      <c r="Y825">
        <f t="shared" si="123"/>
        <v>0</v>
      </c>
      <c r="Z825">
        <f t="shared" si="124"/>
        <v>-12</v>
      </c>
      <c r="AC825" s="1">
        <v>0</v>
      </c>
      <c r="AF825">
        <f t="shared" si="131"/>
        <v>96</v>
      </c>
      <c r="AG825" s="7">
        <v>12</v>
      </c>
      <c r="AH825">
        <f t="shared" si="125"/>
        <v>96</v>
      </c>
      <c r="AI825">
        <f t="shared" si="122"/>
        <v>0</v>
      </c>
      <c r="AK825">
        <f t="shared" si="126"/>
        <v>8</v>
      </c>
      <c r="AL825">
        <v>12.87</v>
      </c>
      <c r="AM825" t="s">
        <v>27</v>
      </c>
      <c r="AN825">
        <v>12.87</v>
      </c>
      <c r="AO825" t="b">
        <f t="shared" si="127"/>
        <v>1</v>
      </c>
      <c r="AR825" t="s">
        <v>5061</v>
      </c>
      <c r="AS825" s="21">
        <v>46276</v>
      </c>
      <c r="AT825" t="s">
        <v>5062</v>
      </c>
      <c r="AU825" t="s">
        <v>5078</v>
      </c>
      <c r="AV825" t="s">
        <v>5062</v>
      </c>
      <c r="AW825" t="s">
        <v>5086</v>
      </c>
    </row>
    <row r="826" spans="1:49" x14ac:dyDescent="0.35">
      <c r="A826" t="s">
        <v>2796</v>
      </c>
      <c r="B826" t="s">
        <v>872</v>
      </c>
      <c r="C826" t="s">
        <v>4818</v>
      </c>
      <c r="D826" t="s">
        <v>18</v>
      </c>
      <c r="E826" t="s">
        <v>3029</v>
      </c>
      <c r="F826" t="s">
        <v>3030</v>
      </c>
      <c r="G826" t="s">
        <v>21</v>
      </c>
      <c r="H826" t="s">
        <v>4888</v>
      </c>
      <c r="I826" t="s">
        <v>5018</v>
      </c>
      <c r="J826" s="4" t="s">
        <v>5019</v>
      </c>
      <c r="K826" s="4" t="s">
        <v>5020</v>
      </c>
      <c r="L826" s="4">
        <v>10</v>
      </c>
      <c r="M826" s="4" t="s">
        <v>5035</v>
      </c>
      <c r="N826" t="s">
        <v>3031</v>
      </c>
      <c r="O826" t="s">
        <v>3032</v>
      </c>
      <c r="P826" t="s">
        <v>23</v>
      </c>
      <c r="Q826" t="s">
        <v>24</v>
      </c>
      <c r="R826" t="s">
        <v>25</v>
      </c>
      <c r="S826" t="s">
        <v>26</v>
      </c>
      <c r="T826" s="6">
        <v>46307</v>
      </c>
      <c r="U826">
        <v>72</v>
      </c>
      <c r="V826">
        <v>72</v>
      </c>
      <c r="W826">
        <v>72</v>
      </c>
      <c r="X826">
        <v>72</v>
      </c>
      <c r="Y826">
        <f t="shared" si="123"/>
        <v>0</v>
      </c>
      <c r="Z826">
        <f t="shared" si="124"/>
        <v>0</v>
      </c>
      <c r="AC826" s="1">
        <v>0</v>
      </c>
      <c r="AF826">
        <f t="shared" si="131"/>
        <v>72</v>
      </c>
      <c r="AG826" s="7">
        <v>24</v>
      </c>
      <c r="AH826">
        <f t="shared" si="125"/>
        <v>72</v>
      </c>
      <c r="AI826">
        <f t="shared" si="122"/>
        <v>0</v>
      </c>
      <c r="AK826">
        <f t="shared" si="126"/>
        <v>3</v>
      </c>
      <c r="AL826">
        <v>10.79</v>
      </c>
      <c r="AM826" t="s">
        <v>27</v>
      </c>
      <c r="AN826">
        <v>10.79</v>
      </c>
      <c r="AO826" t="b">
        <f t="shared" si="127"/>
        <v>1</v>
      </c>
      <c r="AR826" t="s">
        <v>5061</v>
      </c>
      <c r="AS826" s="21">
        <v>46276</v>
      </c>
      <c r="AT826" t="s">
        <v>5062</v>
      </c>
      <c r="AU826" t="s">
        <v>5082</v>
      </c>
      <c r="AV826" t="s">
        <v>5062</v>
      </c>
      <c r="AW826" t="s">
        <v>5086</v>
      </c>
    </row>
    <row r="827" spans="1:49" x14ac:dyDescent="0.35">
      <c r="A827" t="s">
        <v>2796</v>
      </c>
      <c r="B827" t="s">
        <v>872</v>
      </c>
      <c r="C827" t="s">
        <v>4818</v>
      </c>
      <c r="D827" t="s">
        <v>18</v>
      </c>
      <c r="E827" t="s">
        <v>3033</v>
      </c>
      <c r="F827" t="s">
        <v>3034</v>
      </c>
      <c r="G827" t="s">
        <v>21</v>
      </c>
      <c r="H827" t="s">
        <v>4888</v>
      </c>
      <c r="I827" t="s">
        <v>5003</v>
      </c>
      <c r="J827" s="4" t="s">
        <v>5004</v>
      </c>
      <c r="K827" s="4" t="s">
        <v>4904</v>
      </c>
      <c r="L827" s="4" t="s">
        <v>4916</v>
      </c>
      <c r="M827" s="4" t="s">
        <v>5035</v>
      </c>
      <c r="N827" t="s">
        <v>3035</v>
      </c>
      <c r="O827" t="s">
        <v>3036</v>
      </c>
      <c r="P827" t="s">
        <v>23</v>
      </c>
      <c r="Q827" t="s">
        <v>24</v>
      </c>
      <c r="R827" t="s">
        <v>25</v>
      </c>
      <c r="S827" t="s">
        <v>26</v>
      </c>
      <c r="T827" s="6">
        <v>46307</v>
      </c>
      <c r="U827">
        <v>48</v>
      </c>
      <c r="V827">
        <v>48</v>
      </c>
      <c r="W827">
        <v>48</v>
      </c>
      <c r="X827">
        <v>48</v>
      </c>
      <c r="Y827">
        <f t="shared" si="123"/>
        <v>0</v>
      </c>
      <c r="Z827">
        <f t="shared" si="124"/>
        <v>0</v>
      </c>
      <c r="AC827" s="1">
        <v>0</v>
      </c>
      <c r="AF827">
        <f t="shared" si="131"/>
        <v>48</v>
      </c>
      <c r="AG827" s="7">
        <v>12</v>
      </c>
      <c r="AH827">
        <f t="shared" si="125"/>
        <v>48</v>
      </c>
      <c r="AI827">
        <f t="shared" si="122"/>
        <v>0</v>
      </c>
      <c r="AK827">
        <f t="shared" si="126"/>
        <v>4</v>
      </c>
      <c r="AL827">
        <v>12.89</v>
      </c>
      <c r="AM827" t="s">
        <v>27</v>
      </c>
      <c r="AN827">
        <v>12.89</v>
      </c>
      <c r="AO827" t="b">
        <f t="shared" si="127"/>
        <v>1</v>
      </c>
      <c r="AR827" t="s">
        <v>5061</v>
      </c>
      <c r="AS827" s="21">
        <v>46276</v>
      </c>
      <c r="AT827" t="s">
        <v>5062</v>
      </c>
      <c r="AU827" t="s">
        <v>5078</v>
      </c>
      <c r="AV827" t="s">
        <v>5062</v>
      </c>
      <c r="AW827" t="s">
        <v>5086</v>
      </c>
    </row>
    <row r="828" spans="1:49" x14ac:dyDescent="0.35">
      <c r="A828" t="s">
        <v>2796</v>
      </c>
      <c r="B828" t="s">
        <v>872</v>
      </c>
      <c r="C828" t="s">
        <v>4818</v>
      </c>
      <c r="D828" t="s">
        <v>18</v>
      </c>
      <c r="E828" t="s">
        <v>3037</v>
      </c>
      <c r="F828" t="s">
        <v>3038</v>
      </c>
      <c r="G828" t="s">
        <v>21</v>
      </c>
      <c r="H828" t="s">
        <v>4888</v>
      </c>
      <c r="I828" t="s">
        <v>5003</v>
      </c>
      <c r="J828" s="4" t="s">
        <v>5004</v>
      </c>
      <c r="K828" s="4" t="s">
        <v>4837</v>
      </c>
      <c r="L828" s="4" t="s">
        <v>4905</v>
      </c>
      <c r="M828" s="4" t="s">
        <v>5035</v>
      </c>
      <c r="N828" t="s">
        <v>3039</v>
      </c>
      <c r="O828" t="s">
        <v>3040</v>
      </c>
      <c r="P828" t="s">
        <v>23</v>
      </c>
      <c r="Q828" t="s">
        <v>24</v>
      </c>
      <c r="R828" t="s">
        <v>25</v>
      </c>
      <c r="S828" t="s">
        <v>26</v>
      </c>
      <c r="T828" s="6">
        <v>46307</v>
      </c>
      <c r="U828">
        <v>36</v>
      </c>
      <c r="V828">
        <v>36</v>
      </c>
      <c r="W828">
        <v>36</v>
      </c>
      <c r="X828">
        <v>36</v>
      </c>
      <c r="Y828">
        <f t="shared" si="123"/>
        <v>0</v>
      </c>
      <c r="Z828">
        <f t="shared" si="124"/>
        <v>0</v>
      </c>
      <c r="AC828" s="1">
        <v>0</v>
      </c>
      <c r="AF828">
        <f t="shared" si="131"/>
        <v>36</v>
      </c>
      <c r="AG828" s="7">
        <v>12</v>
      </c>
      <c r="AH828">
        <f t="shared" si="125"/>
        <v>36</v>
      </c>
      <c r="AI828">
        <f t="shared" si="122"/>
        <v>0</v>
      </c>
      <c r="AK828">
        <f t="shared" si="126"/>
        <v>3</v>
      </c>
      <c r="AL828">
        <v>12.87</v>
      </c>
      <c r="AM828" t="s">
        <v>27</v>
      </c>
      <c r="AN828">
        <v>12.87</v>
      </c>
      <c r="AO828" t="b">
        <f t="shared" si="127"/>
        <v>1</v>
      </c>
      <c r="AR828" t="s">
        <v>5061</v>
      </c>
      <c r="AS828" s="21">
        <v>46276</v>
      </c>
      <c r="AT828" t="s">
        <v>5062</v>
      </c>
      <c r="AU828" t="s">
        <v>5078</v>
      </c>
      <c r="AV828" t="s">
        <v>5062</v>
      </c>
      <c r="AW828" t="s">
        <v>5086</v>
      </c>
    </row>
    <row r="829" spans="1:49" x14ac:dyDescent="0.35">
      <c r="A829" t="s">
        <v>2796</v>
      </c>
      <c r="B829" t="s">
        <v>872</v>
      </c>
      <c r="C829" t="s">
        <v>4818</v>
      </c>
      <c r="D829" t="s">
        <v>18</v>
      </c>
      <c r="E829" t="s">
        <v>3041</v>
      </c>
      <c r="F829" t="s">
        <v>3042</v>
      </c>
      <c r="G829" t="s">
        <v>21</v>
      </c>
      <c r="H829" t="s">
        <v>4888</v>
      </c>
      <c r="I829" t="s">
        <v>5012</v>
      </c>
      <c r="J829" s="4" t="s">
        <v>5013</v>
      </c>
      <c r="K829" s="4" t="s">
        <v>4984</v>
      </c>
      <c r="L829" s="4" t="s">
        <v>4987</v>
      </c>
      <c r="M829" s="4" t="s">
        <v>5035</v>
      </c>
      <c r="N829" t="s">
        <v>3043</v>
      </c>
      <c r="O829" t="s">
        <v>3044</v>
      </c>
      <c r="P829" t="s">
        <v>23</v>
      </c>
      <c r="Q829" t="s">
        <v>24</v>
      </c>
      <c r="R829" t="s">
        <v>25</v>
      </c>
      <c r="S829" t="s">
        <v>26</v>
      </c>
      <c r="T829" s="6">
        <v>46307</v>
      </c>
      <c r="U829">
        <v>336</v>
      </c>
      <c r="V829">
        <v>336</v>
      </c>
      <c r="W829">
        <v>360</v>
      </c>
      <c r="X829">
        <v>360</v>
      </c>
      <c r="Y829">
        <f t="shared" si="123"/>
        <v>0</v>
      </c>
      <c r="Z829">
        <f t="shared" si="124"/>
        <v>-24</v>
      </c>
      <c r="AC829" s="1">
        <v>0</v>
      </c>
      <c r="AF829">
        <f t="shared" si="131"/>
        <v>336</v>
      </c>
      <c r="AG829" s="7">
        <v>24</v>
      </c>
      <c r="AH829">
        <f t="shared" si="125"/>
        <v>336</v>
      </c>
      <c r="AI829">
        <f t="shared" si="122"/>
        <v>0</v>
      </c>
      <c r="AK829">
        <f t="shared" si="126"/>
        <v>14</v>
      </c>
      <c r="AL829">
        <v>6.05</v>
      </c>
      <c r="AM829" t="s">
        <v>27</v>
      </c>
      <c r="AN829">
        <v>6.05</v>
      </c>
      <c r="AO829" t="b">
        <f t="shared" si="127"/>
        <v>1</v>
      </c>
      <c r="AR829" t="s">
        <v>5061</v>
      </c>
      <c r="AS829" s="21">
        <v>46276</v>
      </c>
      <c r="AT829" t="s">
        <v>5062</v>
      </c>
      <c r="AU829" t="s">
        <v>5081</v>
      </c>
      <c r="AV829" t="s">
        <v>5062</v>
      </c>
      <c r="AW829" t="s">
        <v>5086</v>
      </c>
    </row>
    <row r="830" spans="1:49" x14ac:dyDescent="0.35">
      <c r="A830" t="s">
        <v>2796</v>
      </c>
      <c r="B830" t="s">
        <v>872</v>
      </c>
      <c r="C830" t="s">
        <v>4818</v>
      </c>
      <c r="D830" t="s">
        <v>18</v>
      </c>
      <c r="E830" t="s">
        <v>3045</v>
      </c>
      <c r="F830" t="s">
        <v>3046</v>
      </c>
      <c r="G830" t="s">
        <v>21</v>
      </c>
      <c r="H830" t="s">
        <v>4888</v>
      </c>
      <c r="I830" t="s">
        <v>5008</v>
      </c>
      <c r="J830" s="4" t="s">
        <v>5009</v>
      </c>
      <c r="K830" s="4" t="s">
        <v>5017</v>
      </c>
      <c r="L830" s="4">
        <v>32</v>
      </c>
      <c r="M830" s="4" t="s">
        <v>5035</v>
      </c>
      <c r="N830" t="s">
        <v>3047</v>
      </c>
      <c r="O830" t="s">
        <v>3048</v>
      </c>
      <c r="P830" t="s">
        <v>23</v>
      </c>
      <c r="Q830" t="s">
        <v>24</v>
      </c>
      <c r="R830" t="s">
        <v>25</v>
      </c>
      <c r="S830" t="s">
        <v>26</v>
      </c>
      <c r="T830" s="6">
        <v>46307</v>
      </c>
      <c r="U830">
        <v>480</v>
      </c>
      <c r="V830">
        <v>480</v>
      </c>
      <c r="W830">
        <v>456</v>
      </c>
      <c r="X830">
        <v>456</v>
      </c>
      <c r="Y830">
        <f t="shared" si="123"/>
        <v>0</v>
      </c>
      <c r="Z830">
        <f t="shared" si="124"/>
        <v>24</v>
      </c>
      <c r="AA830">
        <f>Z830</f>
        <v>24</v>
      </c>
      <c r="AC830" s="1">
        <v>0</v>
      </c>
      <c r="AF830">
        <f>X830</f>
        <v>456</v>
      </c>
      <c r="AG830" s="7">
        <v>24</v>
      </c>
      <c r="AH830">
        <f t="shared" si="125"/>
        <v>456</v>
      </c>
      <c r="AI830">
        <f t="shared" si="122"/>
        <v>24</v>
      </c>
      <c r="AK830">
        <f t="shared" si="126"/>
        <v>19</v>
      </c>
      <c r="AL830">
        <v>10.01</v>
      </c>
      <c r="AM830" t="s">
        <v>27</v>
      </c>
      <c r="AN830">
        <v>10.01</v>
      </c>
      <c r="AO830" t="b">
        <f t="shared" si="127"/>
        <v>1</v>
      </c>
      <c r="AR830" t="s">
        <v>5061</v>
      </c>
      <c r="AS830" s="21">
        <v>46276</v>
      </c>
      <c r="AT830" t="s">
        <v>5062</v>
      </c>
      <c r="AU830" t="s">
        <v>5080</v>
      </c>
      <c r="AV830" t="s">
        <v>5062</v>
      </c>
      <c r="AW830" t="s">
        <v>5086</v>
      </c>
    </row>
    <row r="831" spans="1:49" x14ac:dyDescent="0.35">
      <c r="A831" t="s">
        <v>2796</v>
      </c>
      <c r="B831" t="s">
        <v>872</v>
      </c>
      <c r="C831" t="s">
        <v>4818</v>
      </c>
      <c r="D831" t="s">
        <v>18</v>
      </c>
      <c r="E831" t="s">
        <v>3049</v>
      </c>
      <c r="F831" t="s">
        <v>3050</v>
      </c>
      <c r="G831" t="s">
        <v>21</v>
      </c>
      <c r="H831" t="s">
        <v>4888</v>
      </c>
      <c r="I831" t="s">
        <v>5005</v>
      </c>
      <c r="J831" s="4" t="s">
        <v>5006</v>
      </c>
      <c r="K831" s="4" t="s">
        <v>4899</v>
      </c>
      <c r="L831" s="4">
        <v>33</v>
      </c>
      <c r="M831" s="4" t="s">
        <v>5035</v>
      </c>
      <c r="N831" t="s">
        <v>3051</v>
      </c>
      <c r="O831" t="s">
        <v>3052</v>
      </c>
      <c r="P831" t="s">
        <v>23</v>
      </c>
      <c r="Q831" t="s">
        <v>24</v>
      </c>
      <c r="R831" t="s">
        <v>25</v>
      </c>
      <c r="S831" t="s">
        <v>26</v>
      </c>
      <c r="T831" s="6">
        <v>46307</v>
      </c>
      <c r="U831">
        <v>264</v>
      </c>
      <c r="V831">
        <v>264</v>
      </c>
      <c r="W831">
        <v>288</v>
      </c>
      <c r="X831">
        <v>288</v>
      </c>
      <c r="Y831">
        <f t="shared" si="123"/>
        <v>0</v>
      </c>
      <c r="Z831">
        <f t="shared" si="124"/>
        <v>-24</v>
      </c>
      <c r="AC831" s="1">
        <v>0</v>
      </c>
      <c r="AF831">
        <f t="shared" ref="AF831:AF837" si="132">V831</f>
        <v>264</v>
      </c>
      <c r="AG831" s="7">
        <v>24</v>
      </c>
      <c r="AH831">
        <f t="shared" si="125"/>
        <v>264</v>
      </c>
      <c r="AI831">
        <f t="shared" si="122"/>
        <v>0</v>
      </c>
      <c r="AK831">
        <f t="shared" si="126"/>
        <v>11</v>
      </c>
      <c r="AL831">
        <v>10.14</v>
      </c>
      <c r="AM831" t="s">
        <v>27</v>
      </c>
      <c r="AN831">
        <v>10.14</v>
      </c>
      <c r="AO831" t="b">
        <f t="shared" si="127"/>
        <v>1</v>
      </c>
      <c r="AR831" t="s">
        <v>5061</v>
      </c>
      <c r="AS831" s="21">
        <v>46276</v>
      </c>
      <c r="AT831" t="s">
        <v>5062</v>
      </c>
      <c r="AU831" t="s">
        <v>5079</v>
      </c>
      <c r="AV831" t="s">
        <v>5062</v>
      </c>
      <c r="AW831" t="s">
        <v>5086</v>
      </c>
    </row>
    <row r="832" spans="1:49" x14ac:dyDescent="0.35">
      <c r="A832" t="s">
        <v>2796</v>
      </c>
      <c r="B832" t="s">
        <v>872</v>
      </c>
      <c r="C832" t="s">
        <v>4818</v>
      </c>
      <c r="D832" t="s">
        <v>18</v>
      </c>
      <c r="E832" t="s">
        <v>3053</v>
      </c>
      <c r="F832" t="s">
        <v>3054</v>
      </c>
      <c r="G832" t="s">
        <v>21</v>
      </c>
      <c r="H832" t="s">
        <v>4888</v>
      </c>
      <c r="I832" t="s">
        <v>5003</v>
      </c>
      <c r="J832" s="4" t="s">
        <v>5004</v>
      </c>
      <c r="K832" s="4" t="s">
        <v>4837</v>
      </c>
      <c r="L832" s="4" t="s">
        <v>4875</v>
      </c>
      <c r="M832" s="4" t="s">
        <v>5035</v>
      </c>
      <c r="N832" t="s">
        <v>3055</v>
      </c>
      <c r="O832" t="s">
        <v>3056</v>
      </c>
      <c r="P832" t="s">
        <v>23</v>
      </c>
      <c r="Q832" t="s">
        <v>24</v>
      </c>
      <c r="R832" t="s">
        <v>25</v>
      </c>
      <c r="S832" t="s">
        <v>26</v>
      </c>
      <c r="T832" s="6">
        <v>46307</v>
      </c>
      <c r="U832">
        <v>48</v>
      </c>
      <c r="V832">
        <v>48</v>
      </c>
      <c r="W832">
        <v>48</v>
      </c>
      <c r="X832">
        <v>48</v>
      </c>
      <c r="Y832">
        <f t="shared" si="123"/>
        <v>0</v>
      </c>
      <c r="Z832">
        <f t="shared" si="124"/>
        <v>0</v>
      </c>
      <c r="AC832" s="1">
        <v>0</v>
      </c>
      <c r="AF832">
        <f t="shared" si="132"/>
        <v>48</v>
      </c>
      <c r="AG832" s="7">
        <v>12</v>
      </c>
      <c r="AH832">
        <f t="shared" si="125"/>
        <v>48</v>
      </c>
      <c r="AI832">
        <f t="shared" si="122"/>
        <v>0</v>
      </c>
      <c r="AK832">
        <f t="shared" si="126"/>
        <v>4</v>
      </c>
      <c r="AL832">
        <v>12.87</v>
      </c>
      <c r="AM832" t="s">
        <v>27</v>
      </c>
      <c r="AN832">
        <v>12.87</v>
      </c>
      <c r="AO832" t="b">
        <f t="shared" si="127"/>
        <v>1</v>
      </c>
      <c r="AR832" t="s">
        <v>5061</v>
      </c>
      <c r="AS832" s="21">
        <v>46276</v>
      </c>
      <c r="AT832" t="s">
        <v>5062</v>
      </c>
      <c r="AU832" t="s">
        <v>5078</v>
      </c>
      <c r="AV832" t="s">
        <v>5062</v>
      </c>
      <c r="AW832" t="s">
        <v>5086</v>
      </c>
    </row>
    <row r="833" spans="1:49" x14ac:dyDescent="0.35">
      <c r="A833" t="s">
        <v>2796</v>
      </c>
      <c r="B833" t="s">
        <v>872</v>
      </c>
      <c r="C833" t="s">
        <v>4818</v>
      </c>
      <c r="D833" t="s">
        <v>18</v>
      </c>
      <c r="E833" t="s">
        <v>3057</v>
      </c>
      <c r="F833" t="s">
        <v>3058</v>
      </c>
      <c r="G833" t="s">
        <v>21</v>
      </c>
      <c r="H833" t="s">
        <v>4888</v>
      </c>
      <c r="I833" t="s">
        <v>5025</v>
      </c>
      <c r="J833" s="4" t="s">
        <v>5026</v>
      </c>
      <c r="K833" s="4" t="s">
        <v>5020</v>
      </c>
      <c r="L833" s="4" t="s">
        <v>5014</v>
      </c>
      <c r="M833" s="4" t="s">
        <v>5035</v>
      </c>
      <c r="N833" t="s">
        <v>3059</v>
      </c>
      <c r="O833" t="s">
        <v>3060</v>
      </c>
      <c r="P833" t="s">
        <v>23</v>
      </c>
      <c r="Q833" t="s">
        <v>24</v>
      </c>
      <c r="R833" t="s">
        <v>25</v>
      </c>
      <c r="S833" t="s">
        <v>26</v>
      </c>
      <c r="T833" s="6">
        <v>46307</v>
      </c>
      <c r="U833">
        <v>312</v>
      </c>
      <c r="V833">
        <v>312</v>
      </c>
      <c r="W833">
        <v>336</v>
      </c>
      <c r="X833">
        <v>336</v>
      </c>
      <c r="Y833">
        <f t="shared" si="123"/>
        <v>0</v>
      </c>
      <c r="Z833">
        <f t="shared" si="124"/>
        <v>-24</v>
      </c>
      <c r="AC833" s="1"/>
      <c r="AF833">
        <f t="shared" si="132"/>
        <v>312</v>
      </c>
      <c r="AG833" s="7">
        <v>24</v>
      </c>
      <c r="AH833">
        <f t="shared" si="125"/>
        <v>312</v>
      </c>
      <c r="AI833">
        <f t="shared" si="122"/>
        <v>0</v>
      </c>
      <c r="AK833">
        <f t="shared" si="126"/>
        <v>13</v>
      </c>
      <c r="AL833">
        <v>6.2</v>
      </c>
      <c r="AM833" t="s">
        <v>27</v>
      </c>
      <c r="AN833">
        <v>6.2</v>
      </c>
      <c r="AO833" t="b">
        <f t="shared" si="127"/>
        <v>1</v>
      </c>
      <c r="AR833" t="s">
        <v>5061</v>
      </c>
      <c r="AS833" s="21">
        <v>46276</v>
      </c>
      <c r="AT833" t="s">
        <v>5062</v>
      </c>
      <c r="AU833" t="s">
        <v>5082</v>
      </c>
      <c r="AV833" t="s">
        <v>5062</v>
      </c>
      <c r="AW833" t="s">
        <v>5086</v>
      </c>
    </row>
    <row r="834" spans="1:49" x14ac:dyDescent="0.35">
      <c r="A834" t="s">
        <v>2796</v>
      </c>
      <c r="B834" t="s">
        <v>872</v>
      </c>
      <c r="C834" t="s">
        <v>4818</v>
      </c>
      <c r="D834" t="s">
        <v>18</v>
      </c>
      <c r="E834" t="s">
        <v>3061</v>
      </c>
      <c r="F834" t="s">
        <v>3062</v>
      </c>
      <c r="G834" t="s">
        <v>21</v>
      </c>
      <c r="H834" t="s">
        <v>4888</v>
      </c>
      <c r="I834" t="s">
        <v>5003</v>
      </c>
      <c r="J834" s="4" t="s">
        <v>5004</v>
      </c>
      <c r="K834" s="4" t="s">
        <v>5015</v>
      </c>
      <c r="L834" s="4" t="s">
        <v>4870</v>
      </c>
      <c r="M834" s="4" t="s">
        <v>5035</v>
      </c>
      <c r="N834" t="s">
        <v>3063</v>
      </c>
      <c r="O834" t="s">
        <v>3064</v>
      </c>
      <c r="P834" t="s">
        <v>23</v>
      </c>
      <c r="Q834" t="s">
        <v>24</v>
      </c>
      <c r="R834" t="s">
        <v>25</v>
      </c>
      <c r="S834" t="s">
        <v>26</v>
      </c>
      <c r="T834" s="6">
        <v>46307</v>
      </c>
      <c r="U834">
        <v>24</v>
      </c>
      <c r="V834">
        <v>24</v>
      </c>
      <c r="W834">
        <v>24</v>
      </c>
      <c r="X834">
        <v>24</v>
      </c>
      <c r="Y834">
        <f t="shared" si="123"/>
        <v>0</v>
      </c>
      <c r="Z834">
        <f t="shared" si="124"/>
        <v>0</v>
      </c>
      <c r="AC834" s="1">
        <v>0</v>
      </c>
      <c r="AF834">
        <f t="shared" si="132"/>
        <v>24</v>
      </c>
      <c r="AG834" s="7">
        <v>12</v>
      </c>
      <c r="AH834">
        <f t="shared" si="125"/>
        <v>24</v>
      </c>
      <c r="AI834">
        <f t="shared" si="122"/>
        <v>0</v>
      </c>
      <c r="AK834">
        <f t="shared" si="126"/>
        <v>2</v>
      </c>
      <c r="AL834">
        <v>13.01</v>
      </c>
      <c r="AM834" t="s">
        <v>27</v>
      </c>
      <c r="AN834">
        <v>13.01</v>
      </c>
      <c r="AO834" t="b">
        <f t="shared" si="127"/>
        <v>1</v>
      </c>
      <c r="AR834" t="s">
        <v>5061</v>
      </c>
      <c r="AS834" s="21">
        <v>46276</v>
      </c>
      <c r="AT834" t="s">
        <v>5062</v>
      </c>
      <c r="AU834" t="s">
        <v>5078</v>
      </c>
      <c r="AV834" t="s">
        <v>5062</v>
      </c>
      <c r="AW834" t="s">
        <v>5086</v>
      </c>
    </row>
    <row r="835" spans="1:49" x14ac:dyDescent="0.35">
      <c r="A835" t="s">
        <v>2796</v>
      </c>
      <c r="B835" t="s">
        <v>872</v>
      </c>
      <c r="C835" t="s">
        <v>4818</v>
      </c>
      <c r="D835" t="s">
        <v>18</v>
      </c>
      <c r="E835" t="s">
        <v>3065</v>
      </c>
      <c r="F835" t="s">
        <v>3066</v>
      </c>
      <c r="G835" t="s">
        <v>21</v>
      </c>
      <c r="H835" t="s">
        <v>4888</v>
      </c>
      <c r="I835" t="s">
        <v>5008</v>
      </c>
      <c r="J835" s="4" t="s">
        <v>5009</v>
      </c>
      <c r="K835" s="4" t="s">
        <v>4904</v>
      </c>
      <c r="L835" s="4">
        <v>28</v>
      </c>
      <c r="M835" s="4" t="s">
        <v>5035</v>
      </c>
      <c r="N835" t="s">
        <v>3067</v>
      </c>
      <c r="O835" t="s">
        <v>3068</v>
      </c>
      <c r="P835" t="s">
        <v>23</v>
      </c>
      <c r="Q835" t="s">
        <v>24</v>
      </c>
      <c r="R835" t="s">
        <v>25</v>
      </c>
      <c r="S835" t="s">
        <v>26</v>
      </c>
      <c r="T835" s="6">
        <v>46307</v>
      </c>
      <c r="U835">
        <v>48</v>
      </c>
      <c r="V835">
        <v>48</v>
      </c>
      <c r="W835">
        <v>48</v>
      </c>
      <c r="X835">
        <v>48</v>
      </c>
      <c r="Y835">
        <f t="shared" si="123"/>
        <v>0</v>
      </c>
      <c r="Z835">
        <f t="shared" si="124"/>
        <v>0</v>
      </c>
      <c r="AC835" s="1"/>
      <c r="AF835">
        <f t="shared" si="132"/>
        <v>48</v>
      </c>
      <c r="AG835" s="7">
        <v>24</v>
      </c>
      <c r="AH835">
        <f t="shared" si="125"/>
        <v>48</v>
      </c>
      <c r="AI835">
        <f t="shared" ref="AI835:AI898" si="133">V835-AH835</f>
        <v>0</v>
      </c>
      <c r="AK835">
        <f t="shared" si="126"/>
        <v>2</v>
      </c>
      <c r="AL835">
        <v>10.11</v>
      </c>
      <c r="AM835" t="s">
        <v>27</v>
      </c>
      <c r="AN835">
        <v>10.11</v>
      </c>
      <c r="AO835" t="b">
        <f t="shared" si="127"/>
        <v>1</v>
      </c>
      <c r="AR835" t="s">
        <v>5061</v>
      </c>
      <c r="AS835" s="21">
        <v>46276</v>
      </c>
      <c r="AT835" t="s">
        <v>5062</v>
      </c>
      <c r="AU835" t="s">
        <v>5080</v>
      </c>
      <c r="AV835" t="s">
        <v>5062</v>
      </c>
      <c r="AW835" t="s">
        <v>5086</v>
      </c>
    </row>
    <row r="836" spans="1:49" x14ac:dyDescent="0.35">
      <c r="A836" t="s">
        <v>2796</v>
      </c>
      <c r="B836" t="s">
        <v>872</v>
      </c>
      <c r="C836" t="s">
        <v>4818</v>
      </c>
      <c r="D836" t="s">
        <v>18</v>
      </c>
      <c r="E836" t="s">
        <v>3069</v>
      </c>
      <c r="F836" t="s">
        <v>3070</v>
      </c>
      <c r="G836" t="s">
        <v>21</v>
      </c>
      <c r="H836" t="s">
        <v>4888</v>
      </c>
      <c r="I836" t="s">
        <v>5003</v>
      </c>
      <c r="J836" s="4" t="s">
        <v>5004</v>
      </c>
      <c r="K836" s="4" t="s">
        <v>4904</v>
      </c>
      <c r="L836" s="4" t="s">
        <v>4930</v>
      </c>
      <c r="M836" s="4" t="s">
        <v>5035</v>
      </c>
      <c r="N836" t="s">
        <v>3071</v>
      </c>
      <c r="O836" t="s">
        <v>3072</v>
      </c>
      <c r="P836" t="s">
        <v>23</v>
      </c>
      <c r="Q836" t="s">
        <v>24</v>
      </c>
      <c r="R836" t="s">
        <v>25</v>
      </c>
      <c r="S836" t="s">
        <v>26</v>
      </c>
      <c r="T836" s="6">
        <v>46307</v>
      </c>
      <c r="U836">
        <v>24</v>
      </c>
      <c r="V836">
        <v>24</v>
      </c>
      <c r="W836">
        <v>24</v>
      </c>
      <c r="X836">
        <v>24</v>
      </c>
      <c r="Y836">
        <f t="shared" ref="Y836:Y899" si="134">W836-X836</f>
        <v>0</v>
      </c>
      <c r="Z836">
        <f t="shared" ref="Z836:Z899" si="135">V836-X836</f>
        <v>0</v>
      </c>
      <c r="AC836" s="1">
        <v>0</v>
      </c>
      <c r="AF836">
        <f t="shared" si="132"/>
        <v>24</v>
      </c>
      <c r="AG836" s="7">
        <v>12</v>
      </c>
      <c r="AH836">
        <f t="shared" ref="AH836:AH899" si="136">ROUNDUP(AF836/AG836,0)*AG836</f>
        <v>24</v>
      </c>
      <c r="AI836">
        <f t="shared" si="133"/>
        <v>0</v>
      </c>
      <c r="AK836">
        <f t="shared" ref="AK836:AK899" si="137">AH836/AG836</f>
        <v>2</v>
      </c>
      <c r="AL836">
        <v>12.89</v>
      </c>
      <c r="AM836" t="s">
        <v>27</v>
      </c>
      <c r="AN836">
        <v>12.89</v>
      </c>
      <c r="AO836" t="b">
        <f t="shared" ref="AO836:AO899" si="138">AL836=AN836</f>
        <v>1</v>
      </c>
      <c r="AR836" t="s">
        <v>5061</v>
      </c>
      <c r="AS836" s="21">
        <v>46276</v>
      </c>
      <c r="AT836" t="s">
        <v>5062</v>
      </c>
      <c r="AU836" t="s">
        <v>5078</v>
      </c>
      <c r="AV836" t="s">
        <v>5062</v>
      </c>
      <c r="AW836" t="s">
        <v>5086</v>
      </c>
    </row>
    <row r="837" spans="1:49" x14ac:dyDescent="0.35">
      <c r="A837" t="s">
        <v>2796</v>
      </c>
      <c r="B837" t="s">
        <v>872</v>
      </c>
      <c r="C837" t="s">
        <v>4818</v>
      </c>
      <c r="D837" t="s">
        <v>18</v>
      </c>
      <c r="E837" t="s">
        <v>3073</v>
      </c>
      <c r="F837" t="s">
        <v>3074</v>
      </c>
      <c r="G837" t="s">
        <v>21</v>
      </c>
      <c r="H837" t="s">
        <v>4888</v>
      </c>
      <c r="I837" t="s">
        <v>5003</v>
      </c>
      <c r="J837" s="4" t="s">
        <v>5004</v>
      </c>
      <c r="K837" s="4" t="s">
        <v>5016</v>
      </c>
      <c r="L837" s="4" t="s">
        <v>4873</v>
      </c>
      <c r="M837" s="4" t="s">
        <v>5035</v>
      </c>
      <c r="N837" t="s">
        <v>3075</v>
      </c>
      <c r="O837" t="s">
        <v>3076</v>
      </c>
      <c r="P837" t="s">
        <v>23</v>
      </c>
      <c r="Q837" t="s">
        <v>24</v>
      </c>
      <c r="R837" t="s">
        <v>25</v>
      </c>
      <c r="S837" t="s">
        <v>26</v>
      </c>
      <c r="T837" s="6">
        <v>46307</v>
      </c>
      <c r="U837">
        <v>36</v>
      </c>
      <c r="V837">
        <v>36</v>
      </c>
      <c r="W837">
        <v>36</v>
      </c>
      <c r="X837">
        <v>36</v>
      </c>
      <c r="Y837">
        <f t="shared" si="134"/>
        <v>0</v>
      </c>
      <c r="Z837">
        <f t="shared" si="135"/>
        <v>0</v>
      </c>
      <c r="AC837" s="1">
        <v>0</v>
      </c>
      <c r="AF837">
        <f t="shared" si="132"/>
        <v>36</v>
      </c>
      <c r="AG837" s="7">
        <v>12</v>
      </c>
      <c r="AH837">
        <f t="shared" si="136"/>
        <v>36</v>
      </c>
      <c r="AI837">
        <f t="shared" si="133"/>
        <v>0</v>
      </c>
      <c r="AK837">
        <f t="shared" si="137"/>
        <v>3</v>
      </c>
      <c r="AL837">
        <v>13.33</v>
      </c>
      <c r="AM837" t="s">
        <v>27</v>
      </c>
      <c r="AN837">
        <v>13.33</v>
      </c>
      <c r="AO837" t="b">
        <f t="shared" si="138"/>
        <v>1</v>
      </c>
      <c r="AR837" t="s">
        <v>5061</v>
      </c>
      <c r="AS837" s="21">
        <v>46276</v>
      </c>
      <c r="AT837" t="s">
        <v>5062</v>
      </c>
      <c r="AU837" t="s">
        <v>5078</v>
      </c>
      <c r="AV837" t="s">
        <v>5062</v>
      </c>
      <c r="AW837" t="s">
        <v>5086</v>
      </c>
    </row>
    <row r="838" spans="1:49" x14ac:dyDescent="0.35">
      <c r="A838" t="s">
        <v>2796</v>
      </c>
      <c r="B838" t="s">
        <v>872</v>
      </c>
      <c r="C838" t="s">
        <v>4818</v>
      </c>
      <c r="D838" t="s">
        <v>18</v>
      </c>
      <c r="E838" t="s">
        <v>3077</v>
      </c>
      <c r="F838" t="s">
        <v>3078</v>
      </c>
      <c r="G838" t="s">
        <v>21</v>
      </c>
      <c r="H838" t="s">
        <v>4888</v>
      </c>
      <c r="I838" t="s">
        <v>5003</v>
      </c>
      <c r="J838" s="4" t="s">
        <v>5004</v>
      </c>
      <c r="K838" s="4" t="s">
        <v>5015</v>
      </c>
      <c r="L838" s="4" t="s">
        <v>4928</v>
      </c>
      <c r="M838" s="4" t="s">
        <v>5035</v>
      </c>
      <c r="N838" t="s">
        <v>3079</v>
      </c>
      <c r="O838" t="s">
        <v>3080</v>
      </c>
      <c r="P838" t="s">
        <v>23</v>
      </c>
      <c r="Q838" t="s">
        <v>24</v>
      </c>
      <c r="R838" t="s">
        <v>25</v>
      </c>
      <c r="S838" t="s">
        <v>26</v>
      </c>
      <c r="T838" s="6">
        <v>46307</v>
      </c>
      <c r="U838">
        <v>36</v>
      </c>
      <c r="V838">
        <v>36</v>
      </c>
      <c r="W838">
        <v>24</v>
      </c>
      <c r="X838">
        <v>24</v>
      </c>
      <c r="Y838">
        <f t="shared" si="134"/>
        <v>0</v>
      </c>
      <c r="Z838">
        <f t="shared" si="135"/>
        <v>12</v>
      </c>
      <c r="AA838">
        <f>Z838</f>
        <v>12</v>
      </c>
      <c r="AC838" s="1">
        <v>0</v>
      </c>
      <c r="AF838">
        <f>X838</f>
        <v>24</v>
      </c>
      <c r="AG838" s="7">
        <v>12</v>
      </c>
      <c r="AH838">
        <f t="shared" si="136"/>
        <v>24</v>
      </c>
      <c r="AI838">
        <f t="shared" si="133"/>
        <v>12</v>
      </c>
      <c r="AK838">
        <f t="shared" si="137"/>
        <v>2</v>
      </c>
      <c r="AL838">
        <v>13.01</v>
      </c>
      <c r="AM838" t="s">
        <v>27</v>
      </c>
      <c r="AN838">
        <v>13.01</v>
      </c>
      <c r="AO838" t="b">
        <f t="shared" si="138"/>
        <v>1</v>
      </c>
      <c r="AR838" t="s">
        <v>5061</v>
      </c>
      <c r="AS838" s="21">
        <v>46276</v>
      </c>
      <c r="AT838" t="s">
        <v>5062</v>
      </c>
      <c r="AU838" t="s">
        <v>5078</v>
      </c>
      <c r="AV838" t="s">
        <v>5062</v>
      </c>
      <c r="AW838" t="s">
        <v>5086</v>
      </c>
    </row>
    <row r="839" spans="1:49" x14ac:dyDescent="0.35">
      <c r="A839" t="s">
        <v>2796</v>
      </c>
      <c r="B839" t="s">
        <v>872</v>
      </c>
      <c r="C839" t="s">
        <v>4818</v>
      </c>
      <c r="D839" t="s">
        <v>18</v>
      </c>
      <c r="E839" t="s">
        <v>3081</v>
      </c>
      <c r="F839" t="s">
        <v>3082</v>
      </c>
      <c r="G839" t="s">
        <v>21</v>
      </c>
      <c r="H839" t="s">
        <v>4888</v>
      </c>
      <c r="I839" t="s">
        <v>5003</v>
      </c>
      <c r="J839" s="4" t="s">
        <v>5004</v>
      </c>
      <c r="K839" s="4" t="s">
        <v>4904</v>
      </c>
      <c r="L839" s="4" t="s">
        <v>4910</v>
      </c>
      <c r="M839" s="4" t="s">
        <v>5035</v>
      </c>
      <c r="N839" t="s">
        <v>3083</v>
      </c>
      <c r="O839" t="s">
        <v>3084</v>
      </c>
      <c r="P839" t="s">
        <v>23</v>
      </c>
      <c r="Q839" t="s">
        <v>24</v>
      </c>
      <c r="R839" t="s">
        <v>25</v>
      </c>
      <c r="S839" t="s">
        <v>26</v>
      </c>
      <c r="T839" s="6">
        <v>46307</v>
      </c>
      <c r="U839">
        <v>60</v>
      </c>
      <c r="V839">
        <v>60</v>
      </c>
      <c r="W839">
        <v>60</v>
      </c>
      <c r="X839">
        <v>60</v>
      </c>
      <c r="Y839">
        <f t="shared" si="134"/>
        <v>0</v>
      </c>
      <c r="Z839">
        <f t="shared" si="135"/>
        <v>0</v>
      </c>
      <c r="AC839" s="1">
        <v>0</v>
      </c>
      <c r="AF839">
        <f>V839</f>
        <v>60</v>
      </c>
      <c r="AG839" s="7">
        <v>12</v>
      </c>
      <c r="AH839">
        <f t="shared" si="136"/>
        <v>60</v>
      </c>
      <c r="AI839">
        <f t="shared" si="133"/>
        <v>0</v>
      </c>
      <c r="AK839">
        <f t="shared" si="137"/>
        <v>5</v>
      </c>
      <c r="AL839">
        <v>12.89</v>
      </c>
      <c r="AM839" t="s">
        <v>27</v>
      </c>
      <c r="AN839">
        <v>12.89</v>
      </c>
      <c r="AO839" t="b">
        <f t="shared" si="138"/>
        <v>1</v>
      </c>
      <c r="AR839" t="s">
        <v>5061</v>
      </c>
      <c r="AS839" s="21">
        <v>46276</v>
      </c>
      <c r="AT839" t="s">
        <v>5062</v>
      </c>
      <c r="AU839" t="s">
        <v>5078</v>
      </c>
      <c r="AV839" t="s">
        <v>5062</v>
      </c>
      <c r="AW839" t="s">
        <v>5086</v>
      </c>
    </row>
    <row r="840" spans="1:49" x14ac:dyDescent="0.35">
      <c r="A840" t="s">
        <v>2796</v>
      </c>
      <c r="B840" t="s">
        <v>872</v>
      </c>
      <c r="C840" t="s">
        <v>4818</v>
      </c>
      <c r="D840" t="s">
        <v>18</v>
      </c>
      <c r="E840" t="s">
        <v>3085</v>
      </c>
      <c r="F840" t="s">
        <v>3086</v>
      </c>
      <c r="G840" t="s">
        <v>21</v>
      </c>
      <c r="H840" t="s">
        <v>4888</v>
      </c>
      <c r="I840" t="s">
        <v>5003</v>
      </c>
      <c r="J840" s="4" t="s">
        <v>5004</v>
      </c>
      <c r="K840" s="4" t="s">
        <v>5015</v>
      </c>
      <c r="L840" s="4" t="s">
        <v>4920</v>
      </c>
      <c r="M840" s="4" t="s">
        <v>5035</v>
      </c>
      <c r="N840" t="s">
        <v>3087</v>
      </c>
      <c r="O840" t="s">
        <v>3088</v>
      </c>
      <c r="P840" t="s">
        <v>23</v>
      </c>
      <c r="Q840" t="s">
        <v>24</v>
      </c>
      <c r="R840" t="s">
        <v>25</v>
      </c>
      <c r="S840" t="s">
        <v>26</v>
      </c>
      <c r="T840" s="6">
        <v>46307</v>
      </c>
      <c r="U840">
        <v>48</v>
      </c>
      <c r="V840">
        <v>48</v>
      </c>
      <c r="W840">
        <v>36</v>
      </c>
      <c r="X840">
        <v>36</v>
      </c>
      <c r="Y840">
        <f t="shared" si="134"/>
        <v>0</v>
      </c>
      <c r="Z840">
        <f t="shared" si="135"/>
        <v>12</v>
      </c>
      <c r="AA840">
        <f>Z840</f>
        <v>12</v>
      </c>
      <c r="AC840" s="1">
        <v>0</v>
      </c>
      <c r="AF840">
        <f>X840</f>
        <v>36</v>
      </c>
      <c r="AG840" s="7">
        <v>12</v>
      </c>
      <c r="AH840">
        <f t="shared" si="136"/>
        <v>36</v>
      </c>
      <c r="AI840">
        <f t="shared" si="133"/>
        <v>12</v>
      </c>
      <c r="AK840">
        <f t="shared" si="137"/>
        <v>3</v>
      </c>
      <c r="AL840">
        <v>13.01</v>
      </c>
      <c r="AM840" t="s">
        <v>27</v>
      </c>
      <c r="AN840">
        <v>13.01</v>
      </c>
      <c r="AO840" t="b">
        <f t="shared" si="138"/>
        <v>1</v>
      </c>
      <c r="AR840" t="s">
        <v>5061</v>
      </c>
      <c r="AS840" s="21">
        <v>46276</v>
      </c>
      <c r="AT840" t="s">
        <v>5062</v>
      </c>
      <c r="AU840" t="s">
        <v>5078</v>
      </c>
      <c r="AV840" t="s">
        <v>5062</v>
      </c>
      <c r="AW840" t="s">
        <v>5086</v>
      </c>
    </row>
    <row r="841" spans="1:49" x14ac:dyDescent="0.35">
      <c r="A841" t="s">
        <v>2796</v>
      </c>
      <c r="B841" t="s">
        <v>872</v>
      </c>
      <c r="C841" t="s">
        <v>4818</v>
      </c>
      <c r="D841" t="s">
        <v>18</v>
      </c>
      <c r="E841" t="s">
        <v>3089</v>
      </c>
      <c r="F841" t="s">
        <v>3090</v>
      </c>
      <c r="G841" t="s">
        <v>21</v>
      </c>
      <c r="H841" t="s">
        <v>4888</v>
      </c>
      <c r="I841" t="s">
        <v>5008</v>
      </c>
      <c r="J841" s="4" t="s">
        <v>5009</v>
      </c>
      <c r="K841" s="4" t="s">
        <v>5017</v>
      </c>
      <c r="L841" s="4">
        <v>42</v>
      </c>
      <c r="M841" s="4" t="s">
        <v>5035</v>
      </c>
      <c r="N841" t="s">
        <v>3091</v>
      </c>
      <c r="O841" t="s">
        <v>3092</v>
      </c>
      <c r="P841" t="s">
        <v>23</v>
      </c>
      <c r="Q841" t="s">
        <v>24</v>
      </c>
      <c r="R841" t="s">
        <v>25</v>
      </c>
      <c r="S841" t="s">
        <v>26</v>
      </c>
      <c r="T841" s="6">
        <v>46307</v>
      </c>
      <c r="U841">
        <v>504</v>
      </c>
      <c r="V841">
        <v>504</v>
      </c>
      <c r="W841">
        <v>552</v>
      </c>
      <c r="X841">
        <v>552</v>
      </c>
      <c r="Y841">
        <f t="shared" si="134"/>
        <v>0</v>
      </c>
      <c r="Z841">
        <f t="shared" si="135"/>
        <v>-48</v>
      </c>
      <c r="AC841" s="1">
        <v>0</v>
      </c>
      <c r="AF841">
        <f t="shared" ref="AF841:AF848" si="139">V841</f>
        <v>504</v>
      </c>
      <c r="AG841" s="7">
        <v>24</v>
      </c>
      <c r="AH841">
        <f t="shared" si="136"/>
        <v>504</v>
      </c>
      <c r="AI841">
        <f t="shared" si="133"/>
        <v>0</v>
      </c>
      <c r="AK841">
        <f t="shared" si="137"/>
        <v>21</v>
      </c>
      <c r="AL841">
        <v>10.01</v>
      </c>
      <c r="AM841" t="s">
        <v>27</v>
      </c>
      <c r="AN841">
        <v>10.01</v>
      </c>
      <c r="AO841" t="b">
        <f t="shared" si="138"/>
        <v>1</v>
      </c>
      <c r="AR841" t="s">
        <v>5061</v>
      </c>
      <c r="AS841" s="21">
        <v>46276</v>
      </c>
      <c r="AT841" t="s">
        <v>5062</v>
      </c>
      <c r="AU841" t="s">
        <v>5080</v>
      </c>
      <c r="AV841" t="s">
        <v>5062</v>
      </c>
      <c r="AW841" t="s">
        <v>5086</v>
      </c>
    </row>
    <row r="842" spans="1:49" x14ac:dyDescent="0.35">
      <c r="A842" t="s">
        <v>2796</v>
      </c>
      <c r="B842" t="s">
        <v>872</v>
      </c>
      <c r="C842" t="s">
        <v>4818</v>
      </c>
      <c r="D842" t="s">
        <v>18</v>
      </c>
      <c r="E842" t="s">
        <v>3093</v>
      </c>
      <c r="F842" t="s">
        <v>3094</v>
      </c>
      <c r="G842" t="s">
        <v>21</v>
      </c>
      <c r="H842" t="s">
        <v>4888</v>
      </c>
      <c r="I842" t="s">
        <v>5003</v>
      </c>
      <c r="J842" s="4" t="s">
        <v>5004</v>
      </c>
      <c r="K842" s="4" t="s">
        <v>4904</v>
      </c>
      <c r="L842" s="4" t="s">
        <v>4879</v>
      </c>
      <c r="M842" s="4" t="s">
        <v>5035</v>
      </c>
      <c r="N842" t="s">
        <v>3095</v>
      </c>
      <c r="O842" t="s">
        <v>3096</v>
      </c>
      <c r="P842" t="s">
        <v>23</v>
      </c>
      <c r="Q842" t="s">
        <v>24</v>
      </c>
      <c r="R842" t="s">
        <v>25</v>
      </c>
      <c r="S842" t="s">
        <v>26</v>
      </c>
      <c r="T842" s="6">
        <v>46307</v>
      </c>
      <c r="U842">
        <v>72</v>
      </c>
      <c r="V842">
        <v>72</v>
      </c>
      <c r="W842">
        <v>84</v>
      </c>
      <c r="X842">
        <v>84</v>
      </c>
      <c r="Y842">
        <f t="shared" si="134"/>
        <v>0</v>
      </c>
      <c r="Z842">
        <f t="shared" si="135"/>
        <v>-12</v>
      </c>
      <c r="AC842" s="1">
        <v>0</v>
      </c>
      <c r="AF842">
        <f t="shared" si="139"/>
        <v>72</v>
      </c>
      <c r="AG842" s="7">
        <v>12</v>
      </c>
      <c r="AH842">
        <f t="shared" si="136"/>
        <v>72</v>
      </c>
      <c r="AI842">
        <f t="shared" si="133"/>
        <v>0</v>
      </c>
      <c r="AK842">
        <f t="shared" si="137"/>
        <v>6</v>
      </c>
      <c r="AL842">
        <v>12.89</v>
      </c>
      <c r="AM842" t="s">
        <v>27</v>
      </c>
      <c r="AN842">
        <v>12.89</v>
      </c>
      <c r="AO842" t="b">
        <f t="shared" si="138"/>
        <v>1</v>
      </c>
      <c r="AR842" t="s">
        <v>5061</v>
      </c>
      <c r="AS842" s="21">
        <v>46276</v>
      </c>
      <c r="AT842" t="s">
        <v>5062</v>
      </c>
      <c r="AU842" t="s">
        <v>5078</v>
      </c>
      <c r="AV842" t="s">
        <v>5062</v>
      </c>
      <c r="AW842" t="s">
        <v>5086</v>
      </c>
    </row>
    <row r="843" spans="1:49" x14ac:dyDescent="0.35">
      <c r="A843" t="s">
        <v>2796</v>
      </c>
      <c r="B843" t="s">
        <v>872</v>
      </c>
      <c r="C843" t="s">
        <v>4818</v>
      </c>
      <c r="D843" t="s">
        <v>18</v>
      </c>
      <c r="E843" t="s">
        <v>3097</v>
      </c>
      <c r="F843" t="s">
        <v>3098</v>
      </c>
      <c r="G843" t="s">
        <v>21</v>
      </c>
      <c r="H843" t="s">
        <v>4888</v>
      </c>
      <c r="I843" t="s">
        <v>5003</v>
      </c>
      <c r="J843" s="4" t="s">
        <v>5004</v>
      </c>
      <c r="K843" s="4" t="s">
        <v>5016</v>
      </c>
      <c r="L843" s="4" t="s">
        <v>4919</v>
      </c>
      <c r="M843" s="4" t="s">
        <v>5035</v>
      </c>
      <c r="N843" t="s">
        <v>3099</v>
      </c>
      <c r="O843" t="s">
        <v>3100</v>
      </c>
      <c r="P843" t="s">
        <v>23</v>
      </c>
      <c r="Q843" t="s">
        <v>24</v>
      </c>
      <c r="R843" t="s">
        <v>25</v>
      </c>
      <c r="S843" t="s">
        <v>26</v>
      </c>
      <c r="T843" s="6">
        <v>46307</v>
      </c>
      <c r="U843">
        <v>48</v>
      </c>
      <c r="V843">
        <v>48</v>
      </c>
      <c r="W843">
        <v>48</v>
      </c>
      <c r="X843">
        <v>48</v>
      </c>
      <c r="Y843">
        <f t="shared" si="134"/>
        <v>0</v>
      </c>
      <c r="Z843">
        <f t="shared" si="135"/>
        <v>0</v>
      </c>
      <c r="AC843" s="1">
        <v>0</v>
      </c>
      <c r="AF843">
        <f t="shared" si="139"/>
        <v>48</v>
      </c>
      <c r="AG843" s="7">
        <v>12</v>
      </c>
      <c r="AH843">
        <f t="shared" si="136"/>
        <v>48</v>
      </c>
      <c r="AI843">
        <f t="shared" si="133"/>
        <v>0</v>
      </c>
      <c r="AK843">
        <f t="shared" si="137"/>
        <v>4</v>
      </c>
      <c r="AL843">
        <v>13.33</v>
      </c>
      <c r="AM843" t="s">
        <v>27</v>
      </c>
      <c r="AN843">
        <v>13.33</v>
      </c>
      <c r="AO843" t="b">
        <f t="shared" si="138"/>
        <v>1</v>
      </c>
      <c r="AR843" t="s">
        <v>5061</v>
      </c>
      <c r="AS843" s="21">
        <v>46276</v>
      </c>
      <c r="AT843" t="s">
        <v>5062</v>
      </c>
      <c r="AU843" t="s">
        <v>5078</v>
      </c>
      <c r="AV843" t="s">
        <v>5062</v>
      </c>
      <c r="AW843" t="s">
        <v>5086</v>
      </c>
    </row>
    <row r="844" spans="1:49" x14ac:dyDescent="0.35">
      <c r="A844" t="s">
        <v>2796</v>
      </c>
      <c r="B844" t="s">
        <v>872</v>
      </c>
      <c r="C844" t="s">
        <v>4818</v>
      </c>
      <c r="D844" t="s">
        <v>18</v>
      </c>
      <c r="E844" t="s">
        <v>3101</v>
      </c>
      <c r="F844" t="s">
        <v>3102</v>
      </c>
      <c r="G844" t="s">
        <v>21</v>
      </c>
      <c r="H844" t="s">
        <v>4888</v>
      </c>
      <c r="I844" t="s">
        <v>5003</v>
      </c>
      <c r="J844" s="4" t="s">
        <v>5004</v>
      </c>
      <c r="K844" s="4" t="s">
        <v>4904</v>
      </c>
      <c r="L844" s="4" t="s">
        <v>4898</v>
      </c>
      <c r="M844" s="4" t="s">
        <v>5035</v>
      </c>
      <c r="N844" t="s">
        <v>3103</v>
      </c>
      <c r="O844" t="s">
        <v>3104</v>
      </c>
      <c r="P844" t="s">
        <v>23</v>
      </c>
      <c r="Q844" t="s">
        <v>24</v>
      </c>
      <c r="R844" t="s">
        <v>25</v>
      </c>
      <c r="S844" t="s">
        <v>26</v>
      </c>
      <c r="T844" s="6">
        <v>46307</v>
      </c>
      <c r="U844">
        <v>60</v>
      </c>
      <c r="V844">
        <v>60</v>
      </c>
      <c r="W844">
        <v>60</v>
      </c>
      <c r="X844">
        <v>60</v>
      </c>
      <c r="Y844">
        <f t="shared" si="134"/>
        <v>0</v>
      </c>
      <c r="Z844">
        <f t="shared" si="135"/>
        <v>0</v>
      </c>
      <c r="AC844" s="1">
        <v>0</v>
      </c>
      <c r="AF844">
        <f t="shared" si="139"/>
        <v>60</v>
      </c>
      <c r="AG844" s="7">
        <v>12</v>
      </c>
      <c r="AH844">
        <f t="shared" si="136"/>
        <v>60</v>
      </c>
      <c r="AI844">
        <f t="shared" si="133"/>
        <v>0</v>
      </c>
      <c r="AK844">
        <f t="shared" si="137"/>
        <v>5</v>
      </c>
      <c r="AL844">
        <v>12.89</v>
      </c>
      <c r="AM844" t="s">
        <v>27</v>
      </c>
      <c r="AN844">
        <v>12.89</v>
      </c>
      <c r="AO844" t="b">
        <f t="shared" si="138"/>
        <v>1</v>
      </c>
      <c r="AR844" t="s">
        <v>5061</v>
      </c>
      <c r="AS844" s="21">
        <v>46276</v>
      </c>
      <c r="AT844" t="s">
        <v>5062</v>
      </c>
      <c r="AU844" t="s">
        <v>5078</v>
      </c>
      <c r="AV844" t="s">
        <v>5062</v>
      </c>
      <c r="AW844" t="s">
        <v>5086</v>
      </c>
    </row>
    <row r="845" spans="1:49" x14ac:dyDescent="0.35">
      <c r="A845" t="s">
        <v>2796</v>
      </c>
      <c r="B845" t="s">
        <v>872</v>
      </c>
      <c r="C845" t="s">
        <v>4818</v>
      </c>
      <c r="D845" t="s">
        <v>18</v>
      </c>
      <c r="E845" t="s">
        <v>3105</v>
      </c>
      <c r="F845" t="s">
        <v>3106</v>
      </c>
      <c r="G845" t="s">
        <v>21</v>
      </c>
      <c r="H845" t="s">
        <v>4888</v>
      </c>
      <c r="I845" t="s">
        <v>5003</v>
      </c>
      <c r="J845" s="4" t="s">
        <v>5004</v>
      </c>
      <c r="K845" s="4" t="s">
        <v>4837</v>
      </c>
      <c r="L845" s="4" t="s">
        <v>4871</v>
      </c>
      <c r="M845" s="4" t="s">
        <v>5035</v>
      </c>
      <c r="N845" t="s">
        <v>3107</v>
      </c>
      <c r="O845" t="s">
        <v>3108</v>
      </c>
      <c r="P845" t="s">
        <v>23</v>
      </c>
      <c r="Q845" t="s">
        <v>24</v>
      </c>
      <c r="R845" t="s">
        <v>25</v>
      </c>
      <c r="S845" t="s">
        <v>26</v>
      </c>
      <c r="T845" s="6">
        <v>46307</v>
      </c>
      <c r="U845">
        <v>72</v>
      </c>
      <c r="V845">
        <v>72</v>
      </c>
      <c r="W845">
        <v>84</v>
      </c>
      <c r="X845">
        <v>84</v>
      </c>
      <c r="Y845">
        <f t="shared" si="134"/>
        <v>0</v>
      </c>
      <c r="Z845">
        <f t="shared" si="135"/>
        <v>-12</v>
      </c>
      <c r="AC845" s="1">
        <v>0</v>
      </c>
      <c r="AF845">
        <f t="shared" si="139"/>
        <v>72</v>
      </c>
      <c r="AG845" s="7">
        <v>12</v>
      </c>
      <c r="AH845">
        <f t="shared" si="136"/>
        <v>72</v>
      </c>
      <c r="AI845">
        <f t="shared" si="133"/>
        <v>0</v>
      </c>
      <c r="AK845">
        <f t="shared" si="137"/>
        <v>6</v>
      </c>
      <c r="AL845">
        <v>12.87</v>
      </c>
      <c r="AM845" t="s">
        <v>27</v>
      </c>
      <c r="AN845">
        <v>12.87</v>
      </c>
      <c r="AO845" t="b">
        <f t="shared" si="138"/>
        <v>1</v>
      </c>
      <c r="AR845" t="s">
        <v>5061</v>
      </c>
      <c r="AS845" s="21">
        <v>46276</v>
      </c>
      <c r="AT845" t="s">
        <v>5062</v>
      </c>
      <c r="AU845" t="s">
        <v>5078</v>
      </c>
      <c r="AV845" t="s">
        <v>5062</v>
      </c>
      <c r="AW845" t="s">
        <v>5086</v>
      </c>
    </row>
    <row r="846" spans="1:49" x14ac:dyDescent="0.35">
      <c r="A846" t="s">
        <v>2796</v>
      </c>
      <c r="B846" t="s">
        <v>872</v>
      </c>
      <c r="C846" t="s">
        <v>4818</v>
      </c>
      <c r="D846" t="s">
        <v>18</v>
      </c>
      <c r="E846" t="s">
        <v>3109</v>
      </c>
      <c r="F846" t="s">
        <v>3110</v>
      </c>
      <c r="G846" t="s">
        <v>21</v>
      </c>
      <c r="H846" t="s">
        <v>4888</v>
      </c>
      <c r="I846" t="s">
        <v>5005</v>
      </c>
      <c r="J846" s="4" t="s">
        <v>5006</v>
      </c>
      <c r="K846" s="4" t="s">
        <v>5007</v>
      </c>
      <c r="L846" s="4">
        <v>30</v>
      </c>
      <c r="M846" s="4" t="s">
        <v>5035</v>
      </c>
      <c r="N846" t="s">
        <v>3111</v>
      </c>
      <c r="O846" t="s">
        <v>3112</v>
      </c>
      <c r="P846" t="s">
        <v>23</v>
      </c>
      <c r="Q846" t="s">
        <v>24</v>
      </c>
      <c r="R846" t="s">
        <v>25</v>
      </c>
      <c r="S846" t="s">
        <v>26</v>
      </c>
      <c r="T846" s="6">
        <v>46307</v>
      </c>
      <c r="U846">
        <v>312</v>
      </c>
      <c r="V846">
        <v>312</v>
      </c>
      <c r="W846">
        <v>336</v>
      </c>
      <c r="X846">
        <v>336</v>
      </c>
      <c r="Y846">
        <f t="shared" si="134"/>
        <v>0</v>
      </c>
      <c r="Z846">
        <f t="shared" si="135"/>
        <v>-24</v>
      </c>
      <c r="AC846" s="1"/>
      <c r="AF846">
        <f t="shared" si="139"/>
        <v>312</v>
      </c>
      <c r="AG846" s="7">
        <v>24</v>
      </c>
      <c r="AH846">
        <f t="shared" si="136"/>
        <v>312</v>
      </c>
      <c r="AI846">
        <f t="shared" si="133"/>
        <v>0</v>
      </c>
      <c r="AK846">
        <f t="shared" si="137"/>
        <v>13</v>
      </c>
      <c r="AL846">
        <v>10.45</v>
      </c>
      <c r="AM846" t="s">
        <v>27</v>
      </c>
      <c r="AN846">
        <v>10.45</v>
      </c>
      <c r="AO846" t="b">
        <f t="shared" si="138"/>
        <v>1</v>
      </c>
      <c r="AR846" t="s">
        <v>5061</v>
      </c>
      <c r="AS846" s="21">
        <v>46276</v>
      </c>
      <c r="AT846" t="s">
        <v>5062</v>
      </c>
      <c r="AU846" t="s">
        <v>5079</v>
      </c>
      <c r="AV846" t="s">
        <v>5062</v>
      </c>
      <c r="AW846" t="s">
        <v>5086</v>
      </c>
    </row>
    <row r="847" spans="1:49" x14ac:dyDescent="0.35">
      <c r="A847" t="s">
        <v>2796</v>
      </c>
      <c r="B847" t="s">
        <v>872</v>
      </c>
      <c r="C847" t="s">
        <v>4818</v>
      </c>
      <c r="D847" t="s">
        <v>18</v>
      </c>
      <c r="E847" t="s">
        <v>3113</v>
      </c>
      <c r="F847" t="s">
        <v>3114</v>
      </c>
      <c r="G847" t="s">
        <v>21</v>
      </c>
      <c r="H847" t="s">
        <v>4888</v>
      </c>
      <c r="I847" t="s">
        <v>5005</v>
      </c>
      <c r="J847" s="4" t="s">
        <v>5006</v>
      </c>
      <c r="K847" s="4" t="s">
        <v>4837</v>
      </c>
      <c r="L847" s="4">
        <v>36</v>
      </c>
      <c r="M847" s="4" t="s">
        <v>5035</v>
      </c>
      <c r="N847" t="s">
        <v>3115</v>
      </c>
      <c r="O847" t="s">
        <v>3116</v>
      </c>
      <c r="P847" t="s">
        <v>23</v>
      </c>
      <c r="Q847" t="s">
        <v>24</v>
      </c>
      <c r="R847" t="s">
        <v>25</v>
      </c>
      <c r="S847" t="s">
        <v>26</v>
      </c>
      <c r="T847" s="6">
        <v>46307</v>
      </c>
      <c r="U847">
        <v>888</v>
      </c>
      <c r="V847">
        <v>888</v>
      </c>
      <c r="W847">
        <v>912</v>
      </c>
      <c r="X847">
        <v>912</v>
      </c>
      <c r="Y847">
        <f t="shared" si="134"/>
        <v>0</v>
      </c>
      <c r="Z847">
        <f t="shared" si="135"/>
        <v>-24</v>
      </c>
      <c r="AC847" s="1">
        <v>0</v>
      </c>
      <c r="AF847">
        <f t="shared" si="139"/>
        <v>888</v>
      </c>
      <c r="AG847" s="7">
        <v>24</v>
      </c>
      <c r="AH847">
        <f t="shared" si="136"/>
        <v>888</v>
      </c>
      <c r="AI847">
        <f t="shared" si="133"/>
        <v>0</v>
      </c>
      <c r="AK847">
        <f t="shared" si="137"/>
        <v>37</v>
      </c>
      <c r="AL847">
        <v>9.58</v>
      </c>
      <c r="AM847" t="s">
        <v>27</v>
      </c>
      <c r="AN847">
        <v>9.58</v>
      </c>
      <c r="AO847" t="b">
        <f t="shared" si="138"/>
        <v>1</v>
      </c>
      <c r="AR847" t="s">
        <v>5061</v>
      </c>
      <c r="AS847" s="21">
        <v>46276</v>
      </c>
      <c r="AT847" t="s">
        <v>5062</v>
      </c>
      <c r="AU847" t="s">
        <v>5079</v>
      </c>
      <c r="AV847" t="s">
        <v>5062</v>
      </c>
      <c r="AW847" t="s">
        <v>5086</v>
      </c>
    </row>
    <row r="848" spans="1:49" x14ac:dyDescent="0.35">
      <c r="A848" t="s">
        <v>2796</v>
      </c>
      <c r="B848" t="s">
        <v>872</v>
      </c>
      <c r="C848" t="s">
        <v>4818</v>
      </c>
      <c r="D848" t="s">
        <v>18</v>
      </c>
      <c r="E848" t="s">
        <v>3117</v>
      </c>
      <c r="F848" t="s">
        <v>3118</v>
      </c>
      <c r="G848" t="s">
        <v>21</v>
      </c>
      <c r="H848" t="s">
        <v>4888</v>
      </c>
      <c r="I848" t="s">
        <v>5005</v>
      </c>
      <c r="J848" s="4" t="s">
        <v>5006</v>
      </c>
      <c r="K848" s="4" t="s">
        <v>4837</v>
      </c>
      <c r="L848" s="4">
        <v>33</v>
      </c>
      <c r="M848" s="4" t="s">
        <v>5035</v>
      </c>
      <c r="N848" t="s">
        <v>3119</v>
      </c>
      <c r="O848" t="s">
        <v>3120</v>
      </c>
      <c r="P848" t="s">
        <v>23</v>
      </c>
      <c r="Q848" t="s">
        <v>24</v>
      </c>
      <c r="R848" t="s">
        <v>25</v>
      </c>
      <c r="S848" t="s">
        <v>26</v>
      </c>
      <c r="T848" s="6">
        <v>46307</v>
      </c>
      <c r="U848">
        <v>528</v>
      </c>
      <c r="V848">
        <v>528</v>
      </c>
      <c r="W848">
        <v>576</v>
      </c>
      <c r="X848">
        <v>576</v>
      </c>
      <c r="Y848">
        <f t="shared" si="134"/>
        <v>0</v>
      </c>
      <c r="Z848">
        <f t="shared" si="135"/>
        <v>-48</v>
      </c>
      <c r="AC848" s="1">
        <v>0</v>
      </c>
      <c r="AF848">
        <f t="shared" si="139"/>
        <v>528</v>
      </c>
      <c r="AG848" s="7">
        <v>24</v>
      </c>
      <c r="AH848">
        <f t="shared" si="136"/>
        <v>528</v>
      </c>
      <c r="AI848">
        <f t="shared" si="133"/>
        <v>0</v>
      </c>
      <c r="AK848">
        <f t="shared" si="137"/>
        <v>22</v>
      </c>
      <c r="AL848">
        <v>9.58</v>
      </c>
      <c r="AM848" t="s">
        <v>27</v>
      </c>
      <c r="AN848">
        <v>9.58</v>
      </c>
      <c r="AO848" t="b">
        <f t="shared" si="138"/>
        <v>1</v>
      </c>
      <c r="AR848" t="s">
        <v>5061</v>
      </c>
      <c r="AS848" s="21">
        <v>46276</v>
      </c>
      <c r="AT848" t="s">
        <v>5062</v>
      </c>
      <c r="AU848" t="s">
        <v>5079</v>
      </c>
      <c r="AV848" t="s">
        <v>5062</v>
      </c>
      <c r="AW848" t="s">
        <v>5086</v>
      </c>
    </row>
    <row r="849" spans="1:49" x14ac:dyDescent="0.35">
      <c r="A849" t="s">
        <v>2796</v>
      </c>
      <c r="B849" t="s">
        <v>872</v>
      </c>
      <c r="C849" t="s">
        <v>4818</v>
      </c>
      <c r="D849" t="s">
        <v>18</v>
      </c>
      <c r="E849" t="s">
        <v>3121</v>
      </c>
      <c r="F849" t="s">
        <v>3122</v>
      </c>
      <c r="G849" t="s">
        <v>21</v>
      </c>
      <c r="H849" t="s">
        <v>4888</v>
      </c>
      <c r="I849" t="s">
        <v>5008</v>
      </c>
      <c r="J849" s="4" t="s">
        <v>5009</v>
      </c>
      <c r="K849" s="4" t="s">
        <v>5017</v>
      </c>
      <c r="L849" s="4">
        <v>36</v>
      </c>
      <c r="M849" s="4" t="s">
        <v>5035</v>
      </c>
      <c r="N849" t="s">
        <v>3123</v>
      </c>
      <c r="O849" t="s">
        <v>3124</v>
      </c>
      <c r="P849" t="s">
        <v>23</v>
      </c>
      <c r="Q849" t="s">
        <v>24</v>
      </c>
      <c r="R849" t="s">
        <v>25</v>
      </c>
      <c r="S849" t="s">
        <v>26</v>
      </c>
      <c r="T849" s="6">
        <v>46307</v>
      </c>
      <c r="U849">
        <v>912</v>
      </c>
      <c r="V849">
        <v>912</v>
      </c>
      <c r="W849">
        <v>840</v>
      </c>
      <c r="X849">
        <v>840</v>
      </c>
      <c r="Y849">
        <f t="shared" si="134"/>
        <v>0</v>
      </c>
      <c r="Z849">
        <f t="shared" si="135"/>
        <v>72</v>
      </c>
      <c r="AA849">
        <f>Z849</f>
        <v>72</v>
      </c>
      <c r="AC849" s="1">
        <v>0</v>
      </c>
      <c r="AF849">
        <f>X849</f>
        <v>840</v>
      </c>
      <c r="AG849" s="7">
        <v>24</v>
      </c>
      <c r="AH849">
        <f t="shared" si="136"/>
        <v>840</v>
      </c>
      <c r="AI849">
        <f t="shared" si="133"/>
        <v>72</v>
      </c>
      <c r="AK849">
        <f t="shared" si="137"/>
        <v>35</v>
      </c>
      <c r="AL849">
        <v>10.01</v>
      </c>
      <c r="AM849" t="s">
        <v>27</v>
      </c>
      <c r="AN849">
        <v>10.01</v>
      </c>
      <c r="AO849" t="b">
        <f t="shared" si="138"/>
        <v>1</v>
      </c>
      <c r="AR849" t="s">
        <v>5061</v>
      </c>
      <c r="AS849" s="21">
        <v>46276</v>
      </c>
      <c r="AT849" t="s">
        <v>5062</v>
      </c>
      <c r="AU849" t="s">
        <v>5080</v>
      </c>
      <c r="AV849" t="s">
        <v>5062</v>
      </c>
      <c r="AW849" t="s">
        <v>5086</v>
      </c>
    </row>
    <row r="850" spans="1:49" x14ac:dyDescent="0.35">
      <c r="A850" t="s">
        <v>2796</v>
      </c>
      <c r="B850" t="s">
        <v>872</v>
      </c>
      <c r="C850" t="s">
        <v>4818</v>
      </c>
      <c r="D850" t="s">
        <v>18</v>
      </c>
      <c r="E850" t="s">
        <v>3125</v>
      </c>
      <c r="F850" t="s">
        <v>3126</v>
      </c>
      <c r="G850" t="s">
        <v>21</v>
      </c>
      <c r="H850" t="s">
        <v>4888</v>
      </c>
      <c r="I850" t="s">
        <v>5003</v>
      </c>
      <c r="J850" s="4" t="s">
        <v>5004</v>
      </c>
      <c r="K850" s="4" t="s">
        <v>4837</v>
      </c>
      <c r="L850" s="4" t="s">
        <v>4934</v>
      </c>
      <c r="M850" s="4" t="s">
        <v>5035</v>
      </c>
      <c r="N850" t="s">
        <v>3127</v>
      </c>
      <c r="O850" t="s">
        <v>3128</v>
      </c>
      <c r="P850" t="s">
        <v>23</v>
      </c>
      <c r="Q850" t="s">
        <v>24</v>
      </c>
      <c r="R850" t="s">
        <v>25</v>
      </c>
      <c r="S850" t="s">
        <v>26</v>
      </c>
      <c r="T850" s="6">
        <v>46307</v>
      </c>
      <c r="U850">
        <v>24</v>
      </c>
      <c r="V850">
        <v>24</v>
      </c>
      <c r="W850">
        <v>24</v>
      </c>
      <c r="X850">
        <v>24</v>
      </c>
      <c r="Y850">
        <f t="shared" si="134"/>
        <v>0</v>
      </c>
      <c r="Z850">
        <f t="shared" si="135"/>
        <v>0</v>
      </c>
      <c r="AC850" s="1">
        <v>0</v>
      </c>
      <c r="AF850">
        <f>V850</f>
        <v>24</v>
      </c>
      <c r="AG850" s="7">
        <v>12</v>
      </c>
      <c r="AH850">
        <f t="shared" si="136"/>
        <v>24</v>
      </c>
      <c r="AI850">
        <f t="shared" si="133"/>
        <v>0</v>
      </c>
      <c r="AK850">
        <f t="shared" si="137"/>
        <v>2</v>
      </c>
      <c r="AL850">
        <v>12.87</v>
      </c>
      <c r="AM850" t="s">
        <v>27</v>
      </c>
      <c r="AN850">
        <v>12.87</v>
      </c>
      <c r="AO850" t="b">
        <f t="shared" si="138"/>
        <v>1</v>
      </c>
      <c r="AR850" t="s">
        <v>5061</v>
      </c>
      <c r="AS850" s="21">
        <v>46276</v>
      </c>
      <c r="AT850" t="s">
        <v>5062</v>
      </c>
      <c r="AU850" t="s">
        <v>5078</v>
      </c>
      <c r="AV850" t="s">
        <v>5062</v>
      </c>
      <c r="AW850" t="s">
        <v>5086</v>
      </c>
    </row>
    <row r="851" spans="1:49" x14ac:dyDescent="0.35">
      <c r="A851" t="s">
        <v>2796</v>
      </c>
      <c r="B851" t="s">
        <v>872</v>
      </c>
      <c r="C851" t="s">
        <v>4818</v>
      </c>
      <c r="D851" t="s">
        <v>18</v>
      </c>
      <c r="E851" t="s">
        <v>3129</v>
      </c>
      <c r="F851" t="s">
        <v>3130</v>
      </c>
      <c r="G851" t="s">
        <v>21</v>
      </c>
      <c r="H851" t="s">
        <v>4888</v>
      </c>
      <c r="I851" t="s">
        <v>5025</v>
      </c>
      <c r="J851" s="4" t="s">
        <v>5026</v>
      </c>
      <c r="K851" s="4" t="s">
        <v>5020</v>
      </c>
      <c r="L851" s="4" t="s">
        <v>4988</v>
      </c>
      <c r="M851" s="4" t="s">
        <v>5035</v>
      </c>
      <c r="N851" t="s">
        <v>3131</v>
      </c>
      <c r="O851" t="s">
        <v>3132</v>
      </c>
      <c r="P851" t="s">
        <v>23</v>
      </c>
      <c r="Q851" t="s">
        <v>24</v>
      </c>
      <c r="R851" t="s">
        <v>25</v>
      </c>
      <c r="S851" t="s">
        <v>26</v>
      </c>
      <c r="T851" s="6">
        <v>46307</v>
      </c>
      <c r="U851">
        <v>312</v>
      </c>
      <c r="V851">
        <v>312</v>
      </c>
      <c r="W851">
        <v>288</v>
      </c>
      <c r="X851">
        <v>288</v>
      </c>
      <c r="Y851">
        <f t="shared" si="134"/>
        <v>0</v>
      </c>
      <c r="Z851">
        <f t="shared" si="135"/>
        <v>24</v>
      </c>
      <c r="AA851">
        <f>Z851</f>
        <v>24</v>
      </c>
      <c r="AC851" s="1">
        <v>0</v>
      </c>
      <c r="AF851">
        <f>X851</f>
        <v>288</v>
      </c>
      <c r="AG851" s="7">
        <v>24</v>
      </c>
      <c r="AH851">
        <f t="shared" si="136"/>
        <v>288</v>
      </c>
      <c r="AI851">
        <f t="shared" si="133"/>
        <v>24</v>
      </c>
      <c r="AK851">
        <f t="shared" si="137"/>
        <v>12</v>
      </c>
      <c r="AL851">
        <v>6.2</v>
      </c>
      <c r="AM851" t="s">
        <v>27</v>
      </c>
      <c r="AN851">
        <v>6.2</v>
      </c>
      <c r="AO851" t="b">
        <f t="shared" si="138"/>
        <v>1</v>
      </c>
      <c r="AR851" t="s">
        <v>5061</v>
      </c>
      <c r="AS851" s="21">
        <v>46276</v>
      </c>
      <c r="AT851" t="s">
        <v>5062</v>
      </c>
      <c r="AU851" t="s">
        <v>5082</v>
      </c>
      <c r="AV851" t="s">
        <v>5062</v>
      </c>
      <c r="AW851" t="s">
        <v>5086</v>
      </c>
    </row>
    <row r="852" spans="1:49" x14ac:dyDescent="0.35">
      <c r="A852" t="s">
        <v>2796</v>
      </c>
      <c r="B852" t="s">
        <v>872</v>
      </c>
      <c r="C852" t="s">
        <v>4818</v>
      </c>
      <c r="D852" t="s">
        <v>18</v>
      </c>
      <c r="E852" t="s">
        <v>3133</v>
      </c>
      <c r="F852" t="s">
        <v>3134</v>
      </c>
      <c r="G852" t="s">
        <v>21</v>
      </c>
      <c r="H852" t="s">
        <v>4888</v>
      </c>
      <c r="I852" t="s">
        <v>5003</v>
      </c>
      <c r="J852" s="4" t="s">
        <v>5004</v>
      </c>
      <c r="K852" s="4" t="s">
        <v>4904</v>
      </c>
      <c r="L852" s="4" t="s">
        <v>4933</v>
      </c>
      <c r="M852" s="4" t="s">
        <v>5035</v>
      </c>
      <c r="N852" t="s">
        <v>3135</v>
      </c>
      <c r="O852" t="s">
        <v>3136</v>
      </c>
      <c r="P852" t="s">
        <v>23</v>
      </c>
      <c r="Q852" t="s">
        <v>24</v>
      </c>
      <c r="R852" t="s">
        <v>25</v>
      </c>
      <c r="S852" t="s">
        <v>26</v>
      </c>
      <c r="T852" s="6">
        <v>46307</v>
      </c>
      <c r="U852">
        <v>72</v>
      </c>
      <c r="V852">
        <v>72</v>
      </c>
      <c r="W852">
        <v>84</v>
      </c>
      <c r="X852">
        <v>84</v>
      </c>
      <c r="Y852">
        <f t="shared" si="134"/>
        <v>0</v>
      </c>
      <c r="Z852">
        <f t="shared" si="135"/>
        <v>-12</v>
      </c>
      <c r="AC852" s="1">
        <v>0</v>
      </c>
      <c r="AF852">
        <f>V852</f>
        <v>72</v>
      </c>
      <c r="AG852" s="7">
        <v>12</v>
      </c>
      <c r="AH852">
        <f t="shared" si="136"/>
        <v>72</v>
      </c>
      <c r="AI852">
        <f t="shared" si="133"/>
        <v>0</v>
      </c>
      <c r="AK852">
        <f t="shared" si="137"/>
        <v>6</v>
      </c>
      <c r="AL852">
        <v>12.89</v>
      </c>
      <c r="AM852" t="s">
        <v>27</v>
      </c>
      <c r="AN852">
        <v>12.89</v>
      </c>
      <c r="AO852" t="b">
        <f t="shared" si="138"/>
        <v>1</v>
      </c>
      <c r="AR852" t="s">
        <v>5061</v>
      </c>
      <c r="AS852" s="21">
        <v>46276</v>
      </c>
      <c r="AT852" t="s">
        <v>5062</v>
      </c>
      <c r="AU852" t="s">
        <v>5078</v>
      </c>
      <c r="AV852" t="s">
        <v>5062</v>
      </c>
      <c r="AW852" t="s">
        <v>5086</v>
      </c>
    </row>
    <row r="853" spans="1:49" x14ac:dyDescent="0.35">
      <c r="A853" t="s">
        <v>2796</v>
      </c>
      <c r="B853" t="s">
        <v>872</v>
      </c>
      <c r="C853" t="s">
        <v>4818</v>
      </c>
      <c r="D853" t="s">
        <v>18</v>
      </c>
      <c r="E853" t="s">
        <v>3137</v>
      </c>
      <c r="F853" t="s">
        <v>3138</v>
      </c>
      <c r="G853" t="s">
        <v>21</v>
      </c>
      <c r="H853" t="s">
        <v>4888</v>
      </c>
      <c r="I853" t="s">
        <v>5003</v>
      </c>
      <c r="J853" s="4" t="s">
        <v>5004</v>
      </c>
      <c r="K853" s="4" t="s">
        <v>5016</v>
      </c>
      <c r="L853" s="4" t="s">
        <v>4886</v>
      </c>
      <c r="M853" s="4" t="s">
        <v>5035</v>
      </c>
      <c r="N853" t="s">
        <v>3139</v>
      </c>
      <c r="O853" t="s">
        <v>3140</v>
      </c>
      <c r="P853" t="s">
        <v>23</v>
      </c>
      <c r="Q853" t="s">
        <v>24</v>
      </c>
      <c r="R853" t="s">
        <v>25</v>
      </c>
      <c r="S853" t="s">
        <v>26</v>
      </c>
      <c r="T853" s="6">
        <v>46307</v>
      </c>
      <c r="U853">
        <v>72</v>
      </c>
      <c r="V853">
        <v>72</v>
      </c>
      <c r="W853">
        <v>84</v>
      </c>
      <c r="X853">
        <v>84</v>
      </c>
      <c r="Y853">
        <f t="shared" si="134"/>
        <v>0</v>
      </c>
      <c r="Z853">
        <f t="shared" si="135"/>
        <v>-12</v>
      </c>
      <c r="AC853" s="1">
        <v>0</v>
      </c>
      <c r="AF853">
        <f>V853</f>
        <v>72</v>
      </c>
      <c r="AG853" s="7">
        <v>12</v>
      </c>
      <c r="AH853">
        <f t="shared" si="136"/>
        <v>72</v>
      </c>
      <c r="AI853">
        <f t="shared" si="133"/>
        <v>0</v>
      </c>
      <c r="AK853">
        <f t="shared" si="137"/>
        <v>6</v>
      </c>
      <c r="AL853">
        <v>13.33</v>
      </c>
      <c r="AM853" t="s">
        <v>27</v>
      </c>
      <c r="AN853">
        <v>13.33</v>
      </c>
      <c r="AO853" t="b">
        <f t="shared" si="138"/>
        <v>1</v>
      </c>
      <c r="AR853" t="s">
        <v>5061</v>
      </c>
      <c r="AS853" s="21">
        <v>46276</v>
      </c>
      <c r="AT853" t="s">
        <v>5062</v>
      </c>
      <c r="AU853" t="s">
        <v>5078</v>
      </c>
      <c r="AV853" t="s">
        <v>5062</v>
      </c>
      <c r="AW853" t="s">
        <v>5086</v>
      </c>
    </row>
    <row r="854" spans="1:49" x14ac:dyDescent="0.35">
      <c r="A854" t="s">
        <v>2796</v>
      </c>
      <c r="B854" t="s">
        <v>872</v>
      </c>
      <c r="C854" t="s">
        <v>4818</v>
      </c>
      <c r="D854" t="s">
        <v>18</v>
      </c>
      <c r="E854" t="s">
        <v>3141</v>
      </c>
      <c r="F854" t="s">
        <v>3142</v>
      </c>
      <c r="G854" t="s">
        <v>21</v>
      </c>
      <c r="H854" t="s">
        <v>4888</v>
      </c>
      <c r="I854" t="s">
        <v>5022</v>
      </c>
      <c r="J854" s="4" t="s">
        <v>5023</v>
      </c>
      <c r="K854" s="4" t="s">
        <v>5024</v>
      </c>
      <c r="L854" s="4">
        <v>6</v>
      </c>
      <c r="M854" s="4" t="s">
        <v>5035</v>
      </c>
      <c r="N854" t="s">
        <v>3143</v>
      </c>
      <c r="O854" t="s">
        <v>3144</v>
      </c>
      <c r="P854" t="s">
        <v>23</v>
      </c>
      <c r="Q854" t="s">
        <v>24</v>
      </c>
      <c r="R854" t="s">
        <v>25</v>
      </c>
      <c r="S854" t="s">
        <v>26</v>
      </c>
      <c r="T854" s="6">
        <v>46307</v>
      </c>
      <c r="U854">
        <v>336</v>
      </c>
      <c r="V854">
        <v>336</v>
      </c>
      <c r="W854">
        <v>360</v>
      </c>
      <c r="X854">
        <v>360</v>
      </c>
      <c r="Y854">
        <f t="shared" si="134"/>
        <v>0</v>
      </c>
      <c r="Z854">
        <f t="shared" si="135"/>
        <v>-24</v>
      </c>
      <c r="AC854" s="1"/>
      <c r="AF854">
        <f>V854</f>
        <v>336</v>
      </c>
      <c r="AG854" s="7">
        <v>24</v>
      </c>
      <c r="AH854">
        <f t="shared" si="136"/>
        <v>336</v>
      </c>
      <c r="AI854">
        <f t="shared" si="133"/>
        <v>0</v>
      </c>
      <c r="AK854">
        <f t="shared" si="137"/>
        <v>14</v>
      </c>
      <c r="AL854">
        <v>6.99</v>
      </c>
      <c r="AM854" t="s">
        <v>27</v>
      </c>
      <c r="AN854">
        <v>8.68</v>
      </c>
      <c r="AO854" t="b">
        <f t="shared" si="138"/>
        <v>0</v>
      </c>
      <c r="AR854" t="s">
        <v>5061</v>
      </c>
      <c r="AS854" s="21">
        <v>46276</v>
      </c>
      <c r="AT854" t="s">
        <v>5062</v>
      </c>
      <c r="AU854" t="s">
        <v>5083</v>
      </c>
      <c r="AV854" t="s">
        <v>5062</v>
      </c>
      <c r="AW854" t="s">
        <v>5086</v>
      </c>
    </row>
    <row r="855" spans="1:49" x14ac:dyDescent="0.35">
      <c r="A855" t="s">
        <v>2796</v>
      </c>
      <c r="B855" t="s">
        <v>872</v>
      </c>
      <c r="C855" t="s">
        <v>4818</v>
      </c>
      <c r="D855" t="s">
        <v>18</v>
      </c>
      <c r="E855" t="s">
        <v>3145</v>
      </c>
      <c r="F855" t="s">
        <v>3146</v>
      </c>
      <c r="G855" t="s">
        <v>21</v>
      </c>
      <c r="H855" t="s">
        <v>4888</v>
      </c>
      <c r="I855" t="s">
        <v>5012</v>
      </c>
      <c r="J855" s="4" t="s">
        <v>5013</v>
      </c>
      <c r="K855" s="4" t="s">
        <v>4904</v>
      </c>
      <c r="L855" s="4" t="s">
        <v>4986</v>
      </c>
      <c r="M855" s="4" t="s">
        <v>5035</v>
      </c>
      <c r="N855" t="s">
        <v>3147</v>
      </c>
      <c r="O855" t="s">
        <v>3148</v>
      </c>
      <c r="P855" t="s">
        <v>23</v>
      </c>
      <c r="Q855" t="s">
        <v>24</v>
      </c>
      <c r="R855" t="s">
        <v>25</v>
      </c>
      <c r="S855" t="s">
        <v>26</v>
      </c>
      <c r="T855" s="6">
        <v>46307</v>
      </c>
      <c r="U855">
        <v>600</v>
      </c>
      <c r="V855">
        <v>600</v>
      </c>
      <c r="W855">
        <v>648</v>
      </c>
      <c r="X855">
        <v>648</v>
      </c>
      <c r="Y855">
        <f t="shared" si="134"/>
        <v>0</v>
      </c>
      <c r="Z855">
        <f t="shared" si="135"/>
        <v>-48</v>
      </c>
      <c r="AC855" s="1"/>
      <c r="AF855">
        <f>V855</f>
        <v>600</v>
      </c>
      <c r="AG855" s="7">
        <v>24</v>
      </c>
      <c r="AH855">
        <f t="shared" si="136"/>
        <v>600</v>
      </c>
      <c r="AI855">
        <f t="shared" si="133"/>
        <v>0</v>
      </c>
      <c r="AK855">
        <f t="shared" si="137"/>
        <v>25</v>
      </c>
      <c r="AL855">
        <v>6.15</v>
      </c>
      <c r="AM855" t="s">
        <v>27</v>
      </c>
      <c r="AN855">
        <v>6.15</v>
      </c>
      <c r="AO855" t="b">
        <f t="shared" si="138"/>
        <v>1</v>
      </c>
      <c r="AR855" t="s">
        <v>5061</v>
      </c>
      <c r="AS855" s="21">
        <v>46276</v>
      </c>
      <c r="AT855" t="s">
        <v>5062</v>
      </c>
      <c r="AU855" t="s">
        <v>5081</v>
      </c>
      <c r="AV855" t="s">
        <v>5062</v>
      </c>
      <c r="AW855" t="s">
        <v>5086</v>
      </c>
    </row>
    <row r="856" spans="1:49" x14ac:dyDescent="0.35">
      <c r="A856" t="s">
        <v>2796</v>
      </c>
      <c r="B856" t="s">
        <v>872</v>
      </c>
      <c r="C856" t="s">
        <v>4818</v>
      </c>
      <c r="D856" t="s">
        <v>18</v>
      </c>
      <c r="E856" t="s">
        <v>3149</v>
      </c>
      <c r="F856" t="s">
        <v>3150</v>
      </c>
      <c r="G856" t="s">
        <v>21</v>
      </c>
      <c r="H856" t="s">
        <v>4888</v>
      </c>
      <c r="I856" t="s">
        <v>5003</v>
      </c>
      <c r="J856" s="4" t="s">
        <v>5004</v>
      </c>
      <c r="K856" s="4" t="s">
        <v>5015</v>
      </c>
      <c r="L856" s="4" t="s">
        <v>4918</v>
      </c>
      <c r="M856" s="4" t="s">
        <v>5035</v>
      </c>
      <c r="N856" t="s">
        <v>3151</v>
      </c>
      <c r="O856" t="s">
        <v>3152</v>
      </c>
      <c r="P856" t="s">
        <v>23</v>
      </c>
      <c r="Q856" t="s">
        <v>24</v>
      </c>
      <c r="R856" t="s">
        <v>25</v>
      </c>
      <c r="S856" t="s">
        <v>26</v>
      </c>
      <c r="T856" s="6">
        <v>46307</v>
      </c>
      <c r="U856">
        <v>36</v>
      </c>
      <c r="V856">
        <v>36</v>
      </c>
      <c r="W856">
        <v>24</v>
      </c>
      <c r="X856">
        <v>24</v>
      </c>
      <c r="Y856">
        <f t="shared" si="134"/>
        <v>0</v>
      </c>
      <c r="Z856">
        <f t="shared" si="135"/>
        <v>12</v>
      </c>
      <c r="AA856">
        <f>Z856</f>
        <v>12</v>
      </c>
      <c r="AC856" s="1">
        <v>0</v>
      </c>
      <c r="AF856">
        <f>X856</f>
        <v>24</v>
      </c>
      <c r="AG856" s="7">
        <v>12</v>
      </c>
      <c r="AH856">
        <f t="shared" si="136"/>
        <v>24</v>
      </c>
      <c r="AI856">
        <f t="shared" si="133"/>
        <v>12</v>
      </c>
      <c r="AK856">
        <f t="shared" si="137"/>
        <v>2</v>
      </c>
      <c r="AL856">
        <v>13.01</v>
      </c>
      <c r="AM856" t="s">
        <v>27</v>
      </c>
      <c r="AN856">
        <v>13.01</v>
      </c>
      <c r="AO856" t="b">
        <f t="shared" si="138"/>
        <v>1</v>
      </c>
      <c r="AR856" t="s">
        <v>5061</v>
      </c>
      <c r="AS856" s="21">
        <v>46276</v>
      </c>
      <c r="AT856" t="s">
        <v>5062</v>
      </c>
      <c r="AU856" t="s">
        <v>5078</v>
      </c>
      <c r="AV856" t="s">
        <v>5062</v>
      </c>
      <c r="AW856" t="s">
        <v>5086</v>
      </c>
    </row>
    <row r="857" spans="1:49" x14ac:dyDescent="0.35">
      <c r="A857" t="s">
        <v>2796</v>
      </c>
      <c r="B857" t="s">
        <v>872</v>
      </c>
      <c r="C857" t="s">
        <v>4818</v>
      </c>
      <c r="D857" t="s">
        <v>18</v>
      </c>
      <c r="E857" t="s">
        <v>3153</v>
      </c>
      <c r="F857" t="s">
        <v>3154</v>
      </c>
      <c r="G857" t="s">
        <v>21</v>
      </c>
      <c r="H857" t="s">
        <v>4888</v>
      </c>
      <c r="I857" t="s">
        <v>5003</v>
      </c>
      <c r="J857" s="4" t="s">
        <v>5004</v>
      </c>
      <c r="K857" s="4" t="s">
        <v>4904</v>
      </c>
      <c r="L857" s="4" t="s">
        <v>4932</v>
      </c>
      <c r="M857" s="4" t="s">
        <v>5035</v>
      </c>
      <c r="N857" t="s">
        <v>3155</v>
      </c>
      <c r="O857" t="s">
        <v>3156</v>
      </c>
      <c r="P857" t="s">
        <v>23</v>
      </c>
      <c r="Q857" t="s">
        <v>24</v>
      </c>
      <c r="R857" t="s">
        <v>25</v>
      </c>
      <c r="S857" t="s">
        <v>26</v>
      </c>
      <c r="T857" s="6">
        <v>46307</v>
      </c>
      <c r="U857">
        <v>24</v>
      </c>
      <c r="V857">
        <v>24</v>
      </c>
      <c r="W857">
        <v>24</v>
      </c>
      <c r="X857">
        <v>24</v>
      </c>
      <c r="Y857">
        <f t="shared" si="134"/>
        <v>0</v>
      </c>
      <c r="Z857">
        <f t="shared" si="135"/>
        <v>0</v>
      </c>
      <c r="AC857" s="1">
        <v>0</v>
      </c>
      <c r="AF857">
        <f t="shared" ref="AF857:AF867" si="140">V857</f>
        <v>24</v>
      </c>
      <c r="AG857" s="7">
        <v>12</v>
      </c>
      <c r="AH857">
        <f t="shared" si="136"/>
        <v>24</v>
      </c>
      <c r="AI857">
        <f t="shared" si="133"/>
        <v>0</v>
      </c>
      <c r="AK857">
        <f t="shared" si="137"/>
        <v>2</v>
      </c>
      <c r="AL857">
        <v>12.89</v>
      </c>
      <c r="AM857" t="s">
        <v>27</v>
      </c>
      <c r="AN857">
        <v>12.89</v>
      </c>
      <c r="AO857" t="b">
        <f t="shared" si="138"/>
        <v>1</v>
      </c>
      <c r="AR857" t="s">
        <v>5061</v>
      </c>
      <c r="AS857" s="21">
        <v>46276</v>
      </c>
      <c r="AT857" t="s">
        <v>5062</v>
      </c>
      <c r="AU857" t="s">
        <v>5078</v>
      </c>
      <c r="AV857" t="s">
        <v>5062</v>
      </c>
      <c r="AW857" t="s">
        <v>5086</v>
      </c>
    </row>
    <row r="858" spans="1:49" x14ac:dyDescent="0.35">
      <c r="A858" t="s">
        <v>2796</v>
      </c>
      <c r="B858" t="s">
        <v>872</v>
      </c>
      <c r="C858" t="s">
        <v>4818</v>
      </c>
      <c r="D858" t="s">
        <v>18</v>
      </c>
      <c r="E858" t="s">
        <v>3157</v>
      </c>
      <c r="F858" t="s">
        <v>3158</v>
      </c>
      <c r="G858" t="s">
        <v>21</v>
      </c>
      <c r="H858" t="s">
        <v>4888</v>
      </c>
      <c r="I858" t="s">
        <v>5003</v>
      </c>
      <c r="J858" s="4" t="s">
        <v>5004</v>
      </c>
      <c r="K858" s="4" t="s">
        <v>5016</v>
      </c>
      <c r="L858" s="4" t="s">
        <v>4897</v>
      </c>
      <c r="M858" s="4" t="s">
        <v>5035</v>
      </c>
      <c r="N858" t="s">
        <v>3159</v>
      </c>
      <c r="O858" t="s">
        <v>3160</v>
      </c>
      <c r="P858" t="s">
        <v>23</v>
      </c>
      <c r="Q858" t="s">
        <v>24</v>
      </c>
      <c r="R858" t="s">
        <v>25</v>
      </c>
      <c r="S858" t="s">
        <v>26</v>
      </c>
      <c r="T858" s="6">
        <v>46307</v>
      </c>
      <c r="U858">
        <v>36</v>
      </c>
      <c r="V858">
        <v>36</v>
      </c>
      <c r="W858">
        <v>36</v>
      </c>
      <c r="X858">
        <v>36</v>
      </c>
      <c r="Y858">
        <f t="shared" si="134"/>
        <v>0</v>
      </c>
      <c r="Z858">
        <f t="shared" si="135"/>
        <v>0</v>
      </c>
      <c r="AC858" s="1">
        <v>0</v>
      </c>
      <c r="AF858">
        <f t="shared" si="140"/>
        <v>36</v>
      </c>
      <c r="AG858" s="7">
        <v>12</v>
      </c>
      <c r="AH858">
        <f t="shared" si="136"/>
        <v>36</v>
      </c>
      <c r="AI858">
        <f t="shared" si="133"/>
        <v>0</v>
      </c>
      <c r="AK858">
        <f t="shared" si="137"/>
        <v>3</v>
      </c>
      <c r="AL858">
        <v>13.33</v>
      </c>
      <c r="AM858" t="s">
        <v>27</v>
      </c>
      <c r="AN858">
        <v>13.33</v>
      </c>
      <c r="AO858" t="b">
        <f t="shared" si="138"/>
        <v>1</v>
      </c>
      <c r="AR858" t="s">
        <v>5061</v>
      </c>
      <c r="AS858" s="21">
        <v>46276</v>
      </c>
      <c r="AT858" t="s">
        <v>5062</v>
      </c>
      <c r="AU858" t="s">
        <v>5078</v>
      </c>
      <c r="AV858" t="s">
        <v>5062</v>
      </c>
      <c r="AW858" t="s">
        <v>5086</v>
      </c>
    </row>
    <row r="859" spans="1:49" x14ac:dyDescent="0.35">
      <c r="A859" t="s">
        <v>2796</v>
      </c>
      <c r="B859" t="s">
        <v>872</v>
      </c>
      <c r="C859" t="s">
        <v>4818</v>
      </c>
      <c r="D859" t="s">
        <v>18</v>
      </c>
      <c r="E859" t="s">
        <v>3161</v>
      </c>
      <c r="F859" t="s">
        <v>3162</v>
      </c>
      <c r="G859" t="s">
        <v>21</v>
      </c>
      <c r="H859" t="s">
        <v>4888</v>
      </c>
      <c r="I859" t="s">
        <v>5003</v>
      </c>
      <c r="J859" s="4" t="s">
        <v>5004</v>
      </c>
      <c r="K859" s="4" t="s">
        <v>5016</v>
      </c>
      <c r="L859" s="4" t="s">
        <v>4909</v>
      </c>
      <c r="M859" s="4" t="s">
        <v>5035</v>
      </c>
      <c r="N859" t="s">
        <v>3163</v>
      </c>
      <c r="O859" t="s">
        <v>3164</v>
      </c>
      <c r="P859" t="s">
        <v>23</v>
      </c>
      <c r="Q859" t="s">
        <v>24</v>
      </c>
      <c r="R859" t="s">
        <v>25</v>
      </c>
      <c r="S859" t="s">
        <v>26</v>
      </c>
      <c r="T859" s="6">
        <v>46307</v>
      </c>
      <c r="U859">
        <v>24</v>
      </c>
      <c r="V859">
        <v>24</v>
      </c>
      <c r="W859">
        <v>24</v>
      </c>
      <c r="X859">
        <v>24</v>
      </c>
      <c r="Y859">
        <f t="shared" si="134"/>
        <v>0</v>
      </c>
      <c r="Z859">
        <f t="shared" si="135"/>
        <v>0</v>
      </c>
      <c r="AC859" s="1">
        <v>0</v>
      </c>
      <c r="AF859">
        <f t="shared" si="140"/>
        <v>24</v>
      </c>
      <c r="AG859" s="7">
        <v>12</v>
      </c>
      <c r="AH859">
        <f t="shared" si="136"/>
        <v>24</v>
      </c>
      <c r="AI859">
        <f t="shared" si="133"/>
        <v>0</v>
      </c>
      <c r="AK859">
        <f t="shared" si="137"/>
        <v>2</v>
      </c>
      <c r="AL859">
        <v>13.33</v>
      </c>
      <c r="AM859" t="s">
        <v>27</v>
      </c>
      <c r="AN859">
        <v>13.33</v>
      </c>
      <c r="AO859" t="b">
        <f t="shared" si="138"/>
        <v>1</v>
      </c>
      <c r="AR859" t="s">
        <v>5061</v>
      </c>
      <c r="AS859" s="21">
        <v>46276</v>
      </c>
      <c r="AT859" t="s">
        <v>5062</v>
      </c>
      <c r="AU859" t="s">
        <v>5078</v>
      </c>
      <c r="AV859" t="s">
        <v>5062</v>
      </c>
      <c r="AW859" t="s">
        <v>5086</v>
      </c>
    </row>
    <row r="860" spans="1:49" x14ac:dyDescent="0.35">
      <c r="A860" t="s">
        <v>2796</v>
      </c>
      <c r="B860" t="s">
        <v>872</v>
      </c>
      <c r="C860" t="s">
        <v>4818</v>
      </c>
      <c r="D860" t="s">
        <v>18</v>
      </c>
      <c r="E860" t="s">
        <v>3165</v>
      </c>
      <c r="F860" t="s">
        <v>3166</v>
      </c>
      <c r="G860" t="s">
        <v>21</v>
      </c>
      <c r="H860" t="s">
        <v>4888</v>
      </c>
      <c r="I860" t="s">
        <v>5003</v>
      </c>
      <c r="J860" s="4" t="s">
        <v>5004</v>
      </c>
      <c r="K860" s="4" t="s">
        <v>4904</v>
      </c>
      <c r="L860" s="4" t="s">
        <v>4924</v>
      </c>
      <c r="M860" s="4" t="s">
        <v>5035</v>
      </c>
      <c r="N860" t="s">
        <v>3167</v>
      </c>
      <c r="O860" t="s">
        <v>3168</v>
      </c>
      <c r="P860" t="s">
        <v>23</v>
      </c>
      <c r="Q860" t="s">
        <v>24</v>
      </c>
      <c r="R860" t="s">
        <v>25</v>
      </c>
      <c r="S860" t="s">
        <v>26</v>
      </c>
      <c r="T860" s="6">
        <v>46307</v>
      </c>
      <c r="U860">
        <v>48</v>
      </c>
      <c r="V860">
        <v>48</v>
      </c>
      <c r="W860">
        <v>48</v>
      </c>
      <c r="X860">
        <v>48</v>
      </c>
      <c r="Y860">
        <f t="shared" si="134"/>
        <v>0</v>
      </c>
      <c r="Z860">
        <f t="shared" si="135"/>
        <v>0</v>
      </c>
      <c r="AC860" s="1">
        <v>0</v>
      </c>
      <c r="AF860">
        <f t="shared" si="140"/>
        <v>48</v>
      </c>
      <c r="AG860" s="7">
        <v>12</v>
      </c>
      <c r="AH860">
        <f t="shared" si="136"/>
        <v>48</v>
      </c>
      <c r="AI860">
        <f t="shared" si="133"/>
        <v>0</v>
      </c>
      <c r="AK860">
        <f t="shared" si="137"/>
        <v>4</v>
      </c>
      <c r="AL860">
        <v>12.89</v>
      </c>
      <c r="AM860" t="s">
        <v>27</v>
      </c>
      <c r="AN860">
        <v>12.89</v>
      </c>
      <c r="AO860" t="b">
        <f t="shared" si="138"/>
        <v>1</v>
      </c>
      <c r="AR860" t="s">
        <v>5061</v>
      </c>
      <c r="AS860" s="21">
        <v>46276</v>
      </c>
      <c r="AT860" t="s">
        <v>5062</v>
      </c>
      <c r="AU860" t="s">
        <v>5078</v>
      </c>
      <c r="AV860" t="s">
        <v>5062</v>
      </c>
      <c r="AW860" t="s">
        <v>5086</v>
      </c>
    </row>
    <row r="861" spans="1:49" x14ac:dyDescent="0.35">
      <c r="A861" t="s">
        <v>2796</v>
      </c>
      <c r="B861" t="s">
        <v>872</v>
      </c>
      <c r="C861" t="s">
        <v>4818</v>
      </c>
      <c r="D861" t="s">
        <v>18</v>
      </c>
      <c r="E861" t="s">
        <v>3169</v>
      </c>
      <c r="F861" t="s">
        <v>3170</v>
      </c>
      <c r="G861" t="s">
        <v>21</v>
      </c>
      <c r="H861" t="s">
        <v>4888</v>
      </c>
      <c r="I861" t="s">
        <v>5005</v>
      </c>
      <c r="J861" s="4" t="s">
        <v>5006</v>
      </c>
      <c r="K861" s="4" t="s">
        <v>4899</v>
      </c>
      <c r="L861" s="4">
        <v>32</v>
      </c>
      <c r="M861" s="4" t="s">
        <v>5035</v>
      </c>
      <c r="N861" t="s">
        <v>3171</v>
      </c>
      <c r="O861" t="s">
        <v>3172</v>
      </c>
      <c r="P861" t="s">
        <v>23</v>
      </c>
      <c r="Q861" t="s">
        <v>24</v>
      </c>
      <c r="R861" t="s">
        <v>25</v>
      </c>
      <c r="S861" t="s">
        <v>26</v>
      </c>
      <c r="T861" s="6">
        <v>46307</v>
      </c>
      <c r="U861">
        <v>552</v>
      </c>
      <c r="V861">
        <v>552</v>
      </c>
      <c r="W861">
        <v>600</v>
      </c>
      <c r="X861">
        <v>600</v>
      </c>
      <c r="Y861">
        <f t="shared" si="134"/>
        <v>0</v>
      </c>
      <c r="Z861">
        <f t="shared" si="135"/>
        <v>-48</v>
      </c>
      <c r="AC861" s="1">
        <v>0</v>
      </c>
      <c r="AF861">
        <f t="shared" si="140"/>
        <v>552</v>
      </c>
      <c r="AG861" s="7">
        <v>24</v>
      </c>
      <c r="AH861">
        <f t="shared" si="136"/>
        <v>552</v>
      </c>
      <c r="AI861">
        <f t="shared" si="133"/>
        <v>0</v>
      </c>
      <c r="AK861">
        <f t="shared" si="137"/>
        <v>23</v>
      </c>
      <c r="AL861">
        <v>10.14</v>
      </c>
      <c r="AM861" t="s">
        <v>27</v>
      </c>
      <c r="AN861">
        <v>10.14</v>
      </c>
      <c r="AO861" t="b">
        <f t="shared" si="138"/>
        <v>1</v>
      </c>
      <c r="AR861" t="s">
        <v>5061</v>
      </c>
      <c r="AS861" s="21">
        <v>46276</v>
      </c>
      <c r="AT861" t="s">
        <v>5062</v>
      </c>
      <c r="AU861" t="s">
        <v>5079</v>
      </c>
      <c r="AV861" t="s">
        <v>5062</v>
      </c>
      <c r="AW861" t="s">
        <v>5086</v>
      </c>
    </row>
    <row r="862" spans="1:49" x14ac:dyDescent="0.35">
      <c r="A862" t="s">
        <v>2796</v>
      </c>
      <c r="B862" t="s">
        <v>872</v>
      </c>
      <c r="C862" t="s">
        <v>4818</v>
      </c>
      <c r="D862" t="s">
        <v>18</v>
      </c>
      <c r="E862" t="s">
        <v>3173</v>
      </c>
      <c r="F862" t="s">
        <v>3174</v>
      </c>
      <c r="G862" t="s">
        <v>21</v>
      </c>
      <c r="H862" t="s">
        <v>4888</v>
      </c>
      <c r="I862" t="s">
        <v>5005</v>
      </c>
      <c r="J862" s="4" t="s">
        <v>5006</v>
      </c>
      <c r="K862" s="4" t="s">
        <v>5027</v>
      </c>
      <c r="L862" s="4">
        <v>31</v>
      </c>
      <c r="M862" s="4" t="s">
        <v>5035</v>
      </c>
      <c r="N862" t="s">
        <v>3175</v>
      </c>
      <c r="O862" t="s">
        <v>3176</v>
      </c>
      <c r="P862" t="s">
        <v>23</v>
      </c>
      <c r="Q862" t="s">
        <v>24</v>
      </c>
      <c r="R862" t="s">
        <v>25</v>
      </c>
      <c r="S862" t="s">
        <v>26</v>
      </c>
      <c r="T862" s="6">
        <v>46307</v>
      </c>
      <c r="U862">
        <v>312</v>
      </c>
      <c r="V862">
        <v>312</v>
      </c>
      <c r="W862">
        <v>336</v>
      </c>
      <c r="X862">
        <v>336</v>
      </c>
      <c r="Y862">
        <f t="shared" si="134"/>
        <v>0</v>
      </c>
      <c r="Z862">
        <f t="shared" si="135"/>
        <v>-24</v>
      </c>
      <c r="AC862" s="1"/>
      <c r="AF862">
        <f t="shared" si="140"/>
        <v>312</v>
      </c>
      <c r="AG862" s="7">
        <v>24</v>
      </c>
      <c r="AH862">
        <f t="shared" si="136"/>
        <v>312</v>
      </c>
      <c r="AI862">
        <f t="shared" si="133"/>
        <v>0</v>
      </c>
      <c r="AK862">
        <f t="shared" si="137"/>
        <v>13</v>
      </c>
      <c r="AL862">
        <v>10.24</v>
      </c>
      <c r="AM862" t="s">
        <v>27</v>
      </c>
      <c r="AN862">
        <v>10.24</v>
      </c>
      <c r="AO862" t="b">
        <f t="shared" si="138"/>
        <v>1</v>
      </c>
      <c r="AR862" t="s">
        <v>5061</v>
      </c>
      <c r="AS862" s="21">
        <v>46276</v>
      </c>
      <c r="AT862" t="s">
        <v>5062</v>
      </c>
      <c r="AU862" t="s">
        <v>5079</v>
      </c>
      <c r="AV862" t="s">
        <v>5062</v>
      </c>
      <c r="AW862" t="s">
        <v>5086</v>
      </c>
    </row>
    <row r="863" spans="1:49" x14ac:dyDescent="0.35">
      <c r="A863" t="s">
        <v>2796</v>
      </c>
      <c r="B863" t="s">
        <v>872</v>
      </c>
      <c r="C863" t="s">
        <v>4818</v>
      </c>
      <c r="D863" t="s">
        <v>18</v>
      </c>
      <c r="E863" t="s">
        <v>3177</v>
      </c>
      <c r="F863" t="s">
        <v>3178</v>
      </c>
      <c r="G863" t="s">
        <v>21</v>
      </c>
      <c r="H863" t="s">
        <v>4888</v>
      </c>
      <c r="I863" t="s">
        <v>5003</v>
      </c>
      <c r="J863" s="4" t="s">
        <v>5004</v>
      </c>
      <c r="K863" s="4" t="s">
        <v>5015</v>
      </c>
      <c r="L863" s="4" t="s">
        <v>4932</v>
      </c>
      <c r="M863" s="4" t="s">
        <v>5035</v>
      </c>
      <c r="N863" t="s">
        <v>3179</v>
      </c>
      <c r="O863" t="s">
        <v>3180</v>
      </c>
      <c r="P863" t="s">
        <v>23</v>
      </c>
      <c r="Q863" t="s">
        <v>24</v>
      </c>
      <c r="R863" t="s">
        <v>25</v>
      </c>
      <c r="S863" t="s">
        <v>26</v>
      </c>
      <c r="T863" s="6">
        <v>46307</v>
      </c>
      <c r="U863">
        <v>24</v>
      </c>
      <c r="V863">
        <v>24</v>
      </c>
      <c r="W863">
        <v>24</v>
      </c>
      <c r="X863">
        <v>24</v>
      </c>
      <c r="Y863">
        <f t="shared" si="134"/>
        <v>0</v>
      </c>
      <c r="Z863">
        <f t="shared" si="135"/>
        <v>0</v>
      </c>
      <c r="AC863" s="1">
        <v>0</v>
      </c>
      <c r="AF863">
        <f t="shared" si="140"/>
        <v>24</v>
      </c>
      <c r="AG863" s="7">
        <v>12</v>
      </c>
      <c r="AH863">
        <f t="shared" si="136"/>
        <v>24</v>
      </c>
      <c r="AI863">
        <f t="shared" si="133"/>
        <v>0</v>
      </c>
      <c r="AK863">
        <f t="shared" si="137"/>
        <v>2</v>
      </c>
      <c r="AL863">
        <v>13.01</v>
      </c>
      <c r="AM863" t="s">
        <v>27</v>
      </c>
      <c r="AN863">
        <v>13.01</v>
      </c>
      <c r="AO863" t="b">
        <f t="shared" si="138"/>
        <v>1</v>
      </c>
      <c r="AR863" t="s">
        <v>5061</v>
      </c>
      <c r="AS863" s="21">
        <v>46276</v>
      </c>
      <c r="AT863" t="s">
        <v>5062</v>
      </c>
      <c r="AU863" t="s">
        <v>5078</v>
      </c>
      <c r="AV863" t="s">
        <v>5062</v>
      </c>
      <c r="AW863" t="s">
        <v>5086</v>
      </c>
    </row>
    <row r="864" spans="1:49" x14ac:dyDescent="0.35">
      <c r="A864" t="s">
        <v>2796</v>
      </c>
      <c r="B864" t="s">
        <v>872</v>
      </c>
      <c r="C864" t="s">
        <v>4818</v>
      </c>
      <c r="D864" t="s">
        <v>18</v>
      </c>
      <c r="E864" t="s">
        <v>3181</v>
      </c>
      <c r="F864" t="s">
        <v>3182</v>
      </c>
      <c r="G864" t="s">
        <v>21</v>
      </c>
      <c r="H864" t="s">
        <v>4888</v>
      </c>
      <c r="I864" t="s">
        <v>5003</v>
      </c>
      <c r="J864" s="4" t="s">
        <v>5004</v>
      </c>
      <c r="K864" s="4" t="s">
        <v>5016</v>
      </c>
      <c r="L864" s="4" t="s">
        <v>4932</v>
      </c>
      <c r="M864" s="4" t="s">
        <v>5035</v>
      </c>
      <c r="N864" t="s">
        <v>3183</v>
      </c>
      <c r="O864" t="s">
        <v>3184</v>
      </c>
      <c r="P864" t="s">
        <v>23</v>
      </c>
      <c r="Q864" t="s">
        <v>24</v>
      </c>
      <c r="R864" t="s">
        <v>25</v>
      </c>
      <c r="S864" t="s">
        <v>26</v>
      </c>
      <c r="T864" s="6">
        <v>46307</v>
      </c>
      <c r="U864">
        <v>12</v>
      </c>
      <c r="V864">
        <v>12</v>
      </c>
      <c r="W864">
        <v>12</v>
      </c>
      <c r="X864">
        <v>12</v>
      </c>
      <c r="Y864">
        <f t="shared" si="134"/>
        <v>0</v>
      </c>
      <c r="Z864">
        <f t="shared" si="135"/>
        <v>0</v>
      </c>
      <c r="AC864" s="1">
        <v>0</v>
      </c>
      <c r="AF864">
        <f t="shared" si="140"/>
        <v>12</v>
      </c>
      <c r="AG864" s="7">
        <v>12</v>
      </c>
      <c r="AH864">
        <f t="shared" si="136"/>
        <v>12</v>
      </c>
      <c r="AI864">
        <f t="shared" si="133"/>
        <v>0</v>
      </c>
      <c r="AK864">
        <f t="shared" si="137"/>
        <v>1</v>
      </c>
      <c r="AL864">
        <v>13.33</v>
      </c>
      <c r="AM864" t="s">
        <v>27</v>
      </c>
      <c r="AN864">
        <v>13.33</v>
      </c>
      <c r="AO864" t="b">
        <f t="shared" si="138"/>
        <v>1</v>
      </c>
      <c r="AR864" t="s">
        <v>5061</v>
      </c>
      <c r="AS864" s="21">
        <v>46276</v>
      </c>
      <c r="AT864" t="s">
        <v>5062</v>
      </c>
      <c r="AU864" t="s">
        <v>5078</v>
      </c>
      <c r="AV864" t="s">
        <v>5062</v>
      </c>
      <c r="AW864" t="s">
        <v>5086</v>
      </c>
    </row>
    <row r="865" spans="1:49" x14ac:dyDescent="0.35">
      <c r="A865" t="s">
        <v>2796</v>
      </c>
      <c r="B865" t="s">
        <v>872</v>
      </c>
      <c r="C865" t="s">
        <v>4818</v>
      </c>
      <c r="D865" t="s">
        <v>18</v>
      </c>
      <c r="E865" t="s">
        <v>3185</v>
      </c>
      <c r="F865" t="s">
        <v>3186</v>
      </c>
      <c r="G865" t="s">
        <v>21</v>
      </c>
      <c r="H865" t="s">
        <v>4888</v>
      </c>
      <c r="I865" t="s">
        <v>5008</v>
      </c>
      <c r="J865" s="4" t="s">
        <v>5009</v>
      </c>
      <c r="K865" s="4" t="s">
        <v>4904</v>
      </c>
      <c r="L865" s="4">
        <v>29</v>
      </c>
      <c r="M865" s="4" t="s">
        <v>5035</v>
      </c>
      <c r="N865" t="s">
        <v>3187</v>
      </c>
      <c r="O865" t="s">
        <v>3188</v>
      </c>
      <c r="P865" t="s">
        <v>23</v>
      </c>
      <c r="Q865" t="s">
        <v>24</v>
      </c>
      <c r="R865" t="s">
        <v>25</v>
      </c>
      <c r="S865" t="s">
        <v>26</v>
      </c>
      <c r="T865" s="6">
        <v>46307</v>
      </c>
      <c r="U865">
        <v>120</v>
      </c>
      <c r="V865">
        <v>120</v>
      </c>
      <c r="W865">
        <v>144</v>
      </c>
      <c r="X865">
        <v>144</v>
      </c>
      <c r="Y865">
        <f t="shared" si="134"/>
        <v>0</v>
      </c>
      <c r="Z865">
        <f t="shared" si="135"/>
        <v>-24</v>
      </c>
      <c r="AC865" s="1">
        <v>0</v>
      </c>
      <c r="AF865">
        <f t="shared" si="140"/>
        <v>120</v>
      </c>
      <c r="AG865" s="7">
        <v>24</v>
      </c>
      <c r="AH865">
        <f t="shared" si="136"/>
        <v>120</v>
      </c>
      <c r="AI865">
        <f t="shared" si="133"/>
        <v>0</v>
      </c>
      <c r="AK865">
        <f t="shared" si="137"/>
        <v>5</v>
      </c>
      <c r="AL865">
        <v>10.11</v>
      </c>
      <c r="AM865" t="s">
        <v>27</v>
      </c>
      <c r="AN865">
        <v>10.11</v>
      </c>
      <c r="AO865" t="b">
        <f t="shared" si="138"/>
        <v>1</v>
      </c>
      <c r="AR865" t="s">
        <v>5061</v>
      </c>
      <c r="AS865" s="21">
        <v>46276</v>
      </c>
      <c r="AT865" t="s">
        <v>5062</v>
      </c>
      <c r="AU865" t="s">
        <v>5080</v>
      </c>
      <c r="AV865" t="s">
        <v>5062</v>
      </c>
      <c r="AW865" t="s">
        <v>5086</v>
      </c>
    </row>
    <row r="866" spans="1:49" x14ac:dyDescent="0.35">
      <c r="A866" t="s">
        <v>2796</v>
      </c>
      <c r="B866" t="s">
        <v>872</v>
      </c>
      <c r="C866" t="s">
        <v>4818</v>
      </c>
      <c r="D866" t="s">
        <v>18</v>
      </c>
      <c r="E866" t="s">
        <v>3189</v>
      </c>
      <c r="F866" t="s">
        <v>3190</v>
      </c>
      <c r="G866" t="s">
        <v>21</v>
      </c>
      <c r="H866" t="s">
        <v>4888</v>
      </c>
      <c r="I866" t="s">
        <v>5003</v>
      </c>
      <c r="J866" s="4" t="s">
        <v>5004</v>
      </c>
      <c r="K866" s="4" t="s">
        <v>5016</v>
      </c>
      <c r="L866" s="4" t="s">
        <v>4885</v>
      </c>
      <c r="M866" s="4" t="s">
        <v>5035</v>
      </c>
      <c r="N866" t="s">
        <v>3191</v>
      </c>
      <c r="O866" t="s">
        <v>3192</v>
      </c>
      <c r="P866" t="s">
        <v>23</v>
      </c>
      <c r="Q866" t="s">
        <v>24</v>
      </c>
      <c r="R866" t="s">
        <v>25</v>
      </c>
      <c r="S866" t="s">
        <v>26</v>
      </c>
      <c r="T866" s="6">
        <v>46307</v>
      </c>
      <c r="U866">
        <v>120</v>
      </c>
      <c r="V866">
        <v>120</v>
      </c>
      <c r="W866">
        <v>132</v>
      </c>
      <c r="X866">
        <v>132</v>
      </c>
      <c r="Y866">
        <f t="shared" si="134"/>
        <v>0</v>
      </c>
      <c r="Z866">
        <f t="shared" si="135"/>
        <v>-12</v>
      </c>
      <c r="AC866" s="1">
        <v>0</v>
      </c>
      <c r="AF866">
        <f t="shared" si="140"/>
        <v>120</v>
      </c>
      <c r="AG866" s="7">
        <v>12</v>
      </c>
      <c r="AH866">
        <f t="shared" si="136"/>
        <v>120</v>
      </c>
      <c r="AI866">
        <f t="shared" si="133"/>
        <v>0</v>
      </c>
      <c r="AK866">
        <f t="shared" si="137"/>
        <v>10</v>
      </c>
      <c r="AL866">
        <v>13.33</v>
      </c>
      <c r="AM866" t="s">
        <v>27</v>
      </c>
      <c r="AN866">
        <v>13.33</v>
      </c>
      <c r="AO866" t="b">
        <f t="shared" si="138"/>
        <v>1</v>
      </c>
      <c r="AR866" t="s">
        <v>5061</v>
      </c>
      <c r="AS866" s="21">
        <v>46276</v>
      </c>
      <c r="AT866" t="s">
        <v>5062</v>
      </c>
      <c r="AU866" t="s">
        <v>5078</v>
      </c>
      <c r="AV866" t="s">
        <v>5062</v>
      </c>
      <c r="AW866" t="s">
        <v>5086</v>
      </c>
    </row>
    <row r="867" spans="1:49" x14ac:dyDescent="0.35">
      <c r="A867" t="s">
        <v>2796</v>
      </c>
      <c r="B867" t="s">
        <v>872</v>
      </c>
      <c r="C867" t="s">
        <v>4818</v>
      </c>
      <c r="D867" t="s">
        <v>18</v>
      </c>
      <c r="E867" t="s">
        <v>3193</v>
      </c>
      <c r="F867" t="s">
        <v>3194</v>
      </c>
      <c r="G867" t="s">
        <v>21</v>
      </c>
      <c r="H867" t="s">
        <v>4888</v>
      </c>
      <c r="I867" t="s">
        <v>5010</v>
      </c>
      <c r="J867" s="4" t="s">
        <v>5011</v>
      </c>
      <c r="K867" s="4" t="s">
        <v>4904</v>
      </c>
      <c r="L867" s="4" t="s">
        <v>4999</v>
      </c>
      <c r="M867" s="4" t="s">
        <v>5035</v>
      </c>
      <c r="N867" t="s">
        <v>3195</v>
      </c>
      <c r="O867" t="s">
        <v>3196</v>
      </c>
      <c r="P867" t="s">
        <v>23</v>
      </c>
      <c r="Q867" t="s">
        <v>24</v>
      </c>
      <c r="R867" t="s">
        <v>25</v>
      </c>
      <c r="S867" t="s">
        <v>26</v>
      </c>
      <c r="T867" s="6">
        <v>46307</v>
      </c>
      <c r="U867">
        <v>24</v>
      </c>
      <c r="V867">
        <v>24</v>
      </c>
      <c r="W867">
        <v>24</v>
      </c>
      <c r="X867">
        <v>24</v>
      </c>
      <c r="Y867">
        <f t="shared" si="134"/>
        <v>0</v>
      </c>
      <c r="Z867">
        <f t="shared" si="135"/>
        <v>0</v>
      </c>
      <c r="AC867" s="1">
        <v>0</v>
      </c>
      <c r="AF867">
        <f t="shared" si="140"/>
        <v>24</v>
      </c>
      <c r="AG867" s="7">
        <v>24</v>
      </c>
      <c r="AH867">
        <f t="shared" si="136"/>
        <v>24</v>
      </c>
      <c r="AI867">
        <f t="shared" si="133"/>
        <v>0</v>
      </c>
      <c r="AK867">
        <f t="shared" si="137"/>
        <v>1</v>
      </c>
      <c r="AL867">
        <v>5.03</v>
      </c>
      <c r="AM867" t="s">
        <v>27</v>
      </c>
      <c r="AN867">
        <v>5.03</v>
      </c>
      <c r="AO867" t="b">
        <f t="shared" si="138"/>
        <v>1</v>
      </c>
      <c r="AR867" t="s">
        <v>5061</v>
      </c>
      <c r="AS867" s="21">
        <v>46276</v>
      </c>
      <c r="AT867" t="s">
        <v>5062</v>
      </c>
      <c r="AU867" t="s">
        <v>5081</v>
      </c>
      <c r="AV867" t="s">
        <v>5062</v>
      </c>
      <c r="AW867" t="s">
        <v>5086</v>
      </c>
    </row>
    <row r="868" spans="1:49" x14ac:dyDescent="0.35">
      <c r="A868" t="s">
        <v>2796</v>
      </c>
      <c r="B868" t="s">
        <v>872</v>
      </c>
      <c r="C868" t="s">
        <v>4818</v>
      </c>
      <c r="D868" t="s">
        <v>18</v>
      </c>
      <c r="E868" t="s">
        <v>3197</v>
      </c>
      <c r="F868" t="s">
        <v>3198</v>
      </c>
      <c r="G868" t="s">
        <v>21</v>
      </c>
      <c r="H868" t="s">
        <v>4888</v>
      </c>
      <c r="I868" t="s">
        <v>5008</v>
      </c>
      <c r="J868" s="4" t="s">
        <v>5009</v>
      </c>
      <c r="K868" s="4" t="s">
        <v>5017</v>
      </c>
      <c r="L868" s="4">
        <v>34</v>
      </c>
      <c r="M868" s="4" t="s">
        <v>5035</v>
      </c>
      <c r="N868" t="s">
        <v>3199</v>
      </c>
      <c r="O868" t="s">
        <v>3200</v>
      </c>
      <c r="P868" t="s">
        <v>23</v>
      </c>
      <c r="Q868" t="s">
        <v>24</v>
      </c>
      <c r="R868" t="s">
        <v>25</v>
      </c>
      <c r="S868" t="s">
        <v>26</v>
      </c>
      <c r="T868" s="6">
        <v>46307</v>
      </c>
      <c r="U868">
        <v>936</v>
      </c>
      <c r="V868">
        <v>936</v>
      </c>
      <c r="W868">
        <v>840</v>
      </c>
      <c r="X868">
        <v>840</v>
      </c>
      <c r="Y868">
        <f t="shared" si="134"/>
        <v>0</v>
      </c>
      <c r="Z868">
        <f t="shared" si="135"/>
        <v>96</v>
      </c>
      <c r="AA868">
        <f>Z868</f>
        <v>96</v>
      </c>
      <c r="AC868" s="1">
        <v>0</v>
      </c>
      <c r="AF868">
        <f>X868</f>
        <v>840</v>
      </c>
      <c r="AG868" s="7">
        <v>24</v>
      </c>
      <c r="AH868">
        <f t="shared" si="136"/>
        <v>840</v>
      </c>
      <c r="AI868">
        <f t="shared" si="133"/>
        <v>96</v>
      </c>
      <c r="AK868">
        <f t="shared" si="137"/>
        <v>35</v>
      </c>
      <c r="AL868">
        <v>10.01</v>
      </c>
      <c r="AM868" t="s">
        <v>27</v>
      </c>
      <c r="AN868">
        <v>10.01</v>
      </c>
      <c r="AO868" t="b">
        <f t="shared" si="138"/>
        <v>1</v>
      </c>
      <c r="AR868" t="s">
        <v>5061</v>
      </c>
      <c r="AS868" s="21">
        <v>46276</v>
      </c>
      <c r="AT868" t="s">
        <v>5062</v>
      </c>
      <c r="AU868" t="s">
        <v>5080</v>
      </c>
      <c r="AV868" t="s">
        <v>5062</v>
      </c>
      <c r="AW868" t="s">
        <v>5086</v>
      </c>
    </row>
    <row r="869" spans="1:49" x14ac:dyDescent="0.35">
      <c r="A869" t="s">
        <v>2796</v>
      </c>
      <c r="B869" t="s">
        <v>872</v>
      </c>
      <c r="C869" t="s">
        <v>4818</v>
      </c>
      <c r="D869" t="s">
        <v>18</v>
      </c>
      <c r="E869" t="s">
        <v>3201</v>
      </c>
      <c r="F869" t="s">
        <v>3202</v>
      </c>
      <c r="G869" t="s">
        <v>21</v>
      </c>
      <c r="H869" t="s">
        <v>4888</v>
      </c>
      <c r="I869" t="s">
        <v>5003</v>
      </c>
      <c r="J869" s="4" t="s">
        <v>5004</v>
      </c>
      <c r="K869" s="4" t="s">
        <v>5015</v>
      </c>
      <c r="L869" s="4" t="s">
        <v>4927</v>
      </c>
      <c r="M869" s="4" t="s">
        <v>5035</v>
      </c>
      <c r="N869" t="s">
        <v>3203</v>
      </c>
      <c r="O869" t="s">
        <v>3204</v>
      </c>
      <c r="P869" t="s">
        <v>23</v>
      </c>
      <c r="Q869" t="s">
        <v>24</v>
      </c>
      <c r="R869" t="s">
        <v>25</v>
      </c>
      <c r="S869" t="s">
        <v>26</v>
      </c>
      <c r="T869" s="6">
        <v>46307</v>
      </c>
      <c r="U869">
        <v>48</v>
      </c>
      <c r="V869">
        <v>48</v>
      </c>
      <c r="W869">
        <v>48</v>
      </c>
      <c r="X869">
        <v>48</v>
      </c>
      <c r="Y869">
        <f t="shared" si="134"/>
        <v>0</v>
      </c>
      <c r="Z869">
        <f t="shared" si="135"/>
        <v>0</v>
      </c>
      <c r="AC869" s="1">
        <v>0</v>
      </c>
      <c r="AF869">
        <f>V869</f>
        <v>48</v>
      </c>
      <c r="AG869" s="7">
        <v>12</v>
      </c>
      <c r="AH869">
        <f t="shared" si="136"/>
        <v>48</v>
      </c>
      <c r="AI869">
        <f t="shared" si="133"/>
        <v>0</v>
      </c>
      <c r="AK869">
        <f t="shared" si="137"/>
        <v>4</v>
      </c>
      <c r="AL869">
        <v>13.01</v>
      </c>
      <c r="AM869" t="s">
        <v>27</v>
      </c>
      <c r="AN869">
        <v>13.01</v>
      </c>
      <c r="AO869" t="b">
        <f t="shared" si="138"/>
        <v>1</v>
      </c>
      <c r="AR869" t="s">
        <v>5061</v>
      </c>
      <c r="AS869" s="21">
        <v>46276</v>
      </c>
      <c r="AT869" t="s">
        <v>5062</v>
      </c>
      <c r="AU869" t="s">
        <v>5078</v>
      </c>
      <c r="AV869" t="s">
        <v>5062</v>
      </c>
      <c r="AW869" t="s">
        <v>5086</v>
      </c>
    </row>
    <row r="870" spans="1:49" x14ac:dyDescent="0.35">
      <c r="A870" t="s">
        <v>2796</v>
      </c>
      <c r="B870" t="s">
        <v>872</v>
      </c>
      <c r="C870" t="s">
        <v>4818</v>
      </c>
      <c r="D870" t="s">
        <v>18</v>
      </c>
      <c r="E870" t="s">
        <v>3205</v>
      </c>
      <c r="F870" t="s">
        <v>3206</v>
      </c>
      <c r="G870" t="s">
        <v>21</v>
      </c>
      <c r="H870" t="s">
        <v>4888</v>
      </c>
      <c r="I870" t="s">
        <v>5025</v>
      </c>
      <c r="J870" s="4" t="s">
        <v>5026</v>
      </c>
      <c r="K870" s="4" t="s">
        <v>5020</v>
      </c>
      <c r="L870" s="4" t="s">
        <v>4986</v>
      </c>
      <c r="M870" s="4" t="s">
        <v>5035</v>
      </c>
      <c r="N870" t="s">
        <v>3207</v>
      </c>
      <c r="O870" t="s">
        <v>3208</v>
      </c>
      <c r="P870" t="s">
        <v>23</v>
      </c>
      <c r="Q870" t="s">
        <v>24</v>
      </c>
      <c r="R870" t="s">
        <v>25</v>
      </c>
      <c r="S870" t="s">
        <v>26</v>
      </c>
      <c r="T870" s="6">
        <v>46307</v>
      </c>
      <c r="U870">
        <v>432</v>
      </c>
      <c r="V870">
        <v>432</v>
      </c>
      <c r="W870">
        <v>456</v>
      </c>
      <c r="X870">
        <v>456</v>
      </c>
      <c r="Y870">
        <f t="shared" si="134"/>
        <v>0</v>
      </c>
      <c r="Z870">
        <f t="shared" si="135"/>
        <v>-24</v>
      </c>
      <c r="AC870" s="1">
        <v>0</v>
      </c>
      <c r="AF870">
        <f>V870</f>
        <v>432</v>
      </c>
      <c r="AG870" s="7">
        <v>24</v>
      </c>
      <c r="AH870">
        <f t="shared" si="136"/>
        <v>432</v>
      </c>
      <c r="AI870">
        <f t="shared" si="133"/>
        <v>0</v>
      </c>
      <c r="AK870">
        <f t="shared" si="137"/>
        <v>18</v>
      </c>
      <c r="AL870">
        <v>6.2</v>
      </c>
      <c r="AM870" t="s">
        <v>27</v>
      </c>
      <c r="AN870">
        <v>6.2</v>
      </c>
      <c r="AO870" t="b">
        <f t="shared" si="138"/>
        <v>1</v>
      </c>
      <c r="AR870" t="s">
        <v>5061</v>
      </c>
      <c r="AS870" s="21">
        <v>46276</v>
      </c>
      <c r="AT870" t="s">
        <v>5062</v>
      </c>
      <c r="AU870" t="s">
        <v>5082</v>
      </c>
      <c r="AV870" t="s">
        <v>5062</v>
      </c>
      <c r="AW870" t="s">
        <v>5086</v>
      </c>
    </row>
    <row r="871" spans="1:49" x14ac:dyDescent="0.35">
      <c r="A871" t="s">
        <v>2796</v>
      </c>
      <c r="B871" t="s">
        <v>872</v>
      </c>
      <c r="C871" t="s">
        <v>4818</v>
      </c>
      <c r="D871" t="s">
        <v>18</v>
      </c>
      <c r="E871" t="s">
        <v>3209</v>
      </c>
      <c r="F871" t="s">
        <v>3210</v>
      </c>
      <c r="G871" t="s">
        <v>21</v>
      </c>
      <c r="H871" t="s">
        <v>4888</v>
      </c>
      <c r="I871" t="s">
        <v>5012</v>
      </c>
      <c r="J871" s="4" t="s">
        <v>5013</v>
      </c>
      <c r="K871" s="4" t="s">
        <v>4904</v>
      </c>
      <c r="L871" s="4" t="s">
        <v>4989</v>
      </c>
      <c r="M871" s="4" t="s">
        <v>5035</v>
      </c>
      <c r="N871" t="s">
        <v>3211</v>
      </c>
      <c r="O871" t="s">
        <v>3212</v>
      </c>
      <c r="P871" t="s">
        <v>23</v>
      </c>
      <c r="Q871" t="s">
        <v>24</v>
      </c>
      <c r="R871" t="s">
        <v>25</v>
      </c>
      <c r="S871" t="s">
        <v>26</v>
      </c>
      <c r="T871" s="6">
        <v>46307</v>
      </c>
      <c r="U871">
        <v>456</v>
      </c>
      <c r="V871">
        <v>456</v>
      </c>
      <c r="W871">
        <v>504</v>
      </c>
      <c r="X871">
        <v>504</v>
      </c>
      <c r="Y871">
        <f t="shared" si="134"/>
        <v>0</v>
      </c>
      <c r="Z871">
        <f t="shared" si="135"/>
        <v>-48</v>
      </c>
      <c r="AC871" s="1">
        <v>0</v>
      </c>
      <c r="AF871">
        <f>V871</f>
        <v>456</v>
      </c>
      <c r="AG871" s="7">
        <v>24</v>
      </c>
      <c r="AH871">
        <f t="shared" si="136"/>
        <v>456</v>
      </c>
      <c r="AI871">
        <f t="shared" si="133"/>
        <v>0</v>
      </c>
      <c r="AK871">
        <f t="shared" si="137"/>
        <v>19</v>
      </c>
      <c r="AL871">
        <v>6.15</v>
      </c>
      <c r="AM871" t="s">
        <v>27</v>
      </c>
      <c r="AN871">
        <v>6.15</v>
      </c>
      <c r="AO871" t="b">
        <f t="shared" si="138"/>
        <v>1</v>
      </c>
      <c r="AR871" t="s">
        <v>5061</v>
      </c>
      <c r="AS871" s="21">
        <v>46276</v>
      </c>
      <c r="AT871" t="s">
        <v>5062</v>
      </c>
      <c r="AU871" t="s">
        <v>5081</v>
      </c>
      <c r="AV871" t="s">
        <v>5062</v>
      </c>
      <c r="AW871" t="s">
        <v>5086</v>
      </c>
    </row>
    <row r="872" spans="1:49" x14ac:dyDescent="0.35">
      <c r="A872" t="s">
        <v>2796</v>
      </c>
      <c r="B872" t="s">
        <v>872</v>
      </c>
      <c r="C872" t="s">
        <v>4818</v>
      </c>
      <c r="D872" t="s">
        <v>18</v>
      </c>
      <c r="E872" t="s">
        <v>3213</v>
      </c>
      <c r="F872" t="s">
        <v>3214</v>
      </c>
      <c r="G872" t="s">
        <v>21</v>
      </c>
      <c r="H872" t="s">
        <v>4888</v>
      </c>
      <c r="I872" t="s">
        <v>5003</v>
      </c>
      <c r="J872" s="4" t="s">
        <v>5004</v>
      </c>
      <c r="K872" s="4" t="s">
        <v>5015</v>
      </c>
      <c r="L872" s="4" t="s">
        <v>4897</v>
      </c>
      <c r="M872" s="4" t="s">
        <v>5035</v>
      </c>
      <c r="N872" t="s">
        <v>3215</v>
      </c>
      <c r="O872" t="s">
        <v>3216</v>
      </c>
      <c r="P872" t="s">
        <v>23</v>
      </c>
      <c r="Q872" t="s">
        <v>24</v>
      </c>
      <c r="R872" t="s">
        <v>25</v>
      </c>
      <c r="S872" t="s">
        <v>26</v>
      </c>
      <c r="T872" s="6">
        <v>46307</v>
      </c>
      <c r="U872">
        <v>48</v>
      </c>
      <c r="V872">
        <v>48</v>
      </c>
      <c r="W872">
        <v>36</v>
      </c>
      <c r="X872">
        <v>36</v>
      </c>
      <c r="Y872">
        <f t="shared" si="134"/>
        <v>0</v>
      </c>
      <c r="Z872">
        <f t="shared" si="135"/>
        <v>12</v>
      </c>
      <c r="AA872">
        <f>Z872</f>
        <v>12</v>
      </c>
      <c r="AC872" s="1">
        <v>0</v>
      </c>
      <c r="AF872">
        <f>X872</f>
        <v>36</v>
      </c>
      <c r="AG872" s="7">
        <v>12</v>
      </c>
      <c r="AH872">
        <f t="shared" si="136"/>
        <v>36</v>
      </c>
      <c r="AI872">
        <f t="shared" si="133"/>
        <v>12</v>
      </c>
      <c r="AK872">
        <f t="shared" si="137"/>
        <v>3</v>
      </c>
      <c r="AL872">
        <v>13.01</v>
      </c>
      <c r="AM872" t="s">
        <v>27</v>
      </c>
      <c r="AN872">
        <v>13.01</v>
      </c>
      <c r="AO872" t="b">
        <f t="shared" si="138"/>
        <v>1</v>
      </c>
      <c r="AR872" t="s">
        <v>5061</v>
      </c>
      <c r="AS872" s="21">
        <v>46276</v>
      </c>
      <c r="AT872" t="s">
        <v>5062</v>
      </c>
      <c r="AU872" t="s">
        <v>5078</v>
      </c>
      <c r="AV872" t="s">
        <v>5062</v>
      </c>
      <c r="AW872" t="s">
        <v>5086</v>
      </c>
    </row>
    <row r="873" spans="1:49" x14ac:dyDescent="0.35">
      <c r="A873" t="s">
        <v>2796</v>
      </c>
      <c r="B873" t="s">
        <v>872</v>
      </c>
      <c r="C873" t="s">
        <v>4818</v>
      </c>
      <c r="D873" t="s">
        <v>18</v>
      </c>
      <c r="E873" t="s">
        <v>3217</v>
      </c>
      <c r="F873" t="s">
        <v>3218</v>
      </c>
      <c r="G873" t="s">
        <v>21</v>
      </c>
      <c r="H873" t="s">
        <v>4888</v>
      </c>
      <c r="I873" t="s">
        <v>5003</v>
      </c>
      <c r="J873" s="4" t="s">
        <v>5004</v>
      </c>
      <c r="K873" s="4" t="s">
        <v>5016</v>
      </c>
      <c r="L873" s="4" t="s">
        <v>4879</v>
      </c>
      <c r="M873" s="4" t="s">
        <v>5035</v>
      </c>
      <c r="N873" t="s">
        <v>3219</v>
      </c>
      <c r="O873" t="s">
        <v>3220</v>
      </c>
      <c r="P873" t="s">
        <v>23</v>
      </c>
      <c r="Q873" t="s">
        <v>24</v>
      </c>
      <c r="R873" t="s">
        <v>25</v>
      </c>
      <c r="S873" t="s">
        <v>26</v>
      </c>
      <c r="T873" s="6">
        <v>46307</v>
      </c>
      <c r="U873">
        <v>120</v>
      </c>
      <c r="V873">
        <v>120</v>
      </c>
      <c r="W873">
        <v>132</v>
      </c>
      <c r="X873">
        <v>132</v>
      </c>
      <c r="Y873">
        <f t="shared" si="134"/>
        <v>0</v>
      </c>
      <c r="Z873">
        <f t="shared" si="135"/>
        <v>-12</v>
      </c>
      <c r="AC873" s="1">
        <v>0</v>
      </c>
      <c r="AF873">
        <f>V873</f>
        <v>120</v>
      </c>
      <c r="AG873" s="7">
        <v>12</v>
      </c>
      <c r="AH873">
        <f t="shared" si="136"/>
        <v>120</v>
      </c>
      <c r="AI873">
        <f t="shared" si="133"/>
        <v>0</v>
      </c>
      <c r="AK873">
        <f t="shared" si="137"/>
        <v>10</v>
      </c>
      <c r="AL873">
        <v>13.33</v>
      </c>
      <c r="AM873" t="s">
        <v>27</v>
      </c>
      <c r="AN873">
        <v>13.33</v>
      </c>
      <c r="AO873" t="b">
        <f t="shared" si="138"/>
        <v>1</v>
      </c>
      <c r="AR873" t="s">
        <v>5061</v>
      </c>
      <c r="AS873" s="21">
        <v>46276</v>
      </c>
      <c r="AT873" t="s">
        <v>5062</v>
      </c>
      <c r="AU873" t="s">
        <v>5078</v>
      </c>
      <c r="AV873" t="s">
        <v>5062</v>
      </c>
      <c r="AW873" t="s">
        <v>5086</v>
      </c>
    </row>
    <row r="874" spans="1:49" x14ac:dyDescent="0.35">
      <c r="A874" t="s">
        <v>2796</v>
      </c>
      <c r="B874" t="s">
        <v>872</v>
      </c>
      <c r="C874" t="s">
        <v>4818</v>
      </c>
      <c r="D874" t="s">
        <v>18</v>
      </c>
      <c r="E874" t="s">
        <v>3221</v>
      </c>
      <c r="F874" t="s">
        <v>3222</v>
      </c>
      <c r="G874" t="s">
        <v>21</v>
      </c>
      <c r="H874" t="s">
        <v>4888</v>
      </c>
      <c r="I874" t="s">
        <v>5003</v>
      </c>
      <c r="J874" s="4" t="s">
        <v>5004</v>
      </c>
      <c r="K874" s="4" t="s">
        <v>5016</v>
      </c>
      <c r="L874" s="4" t="s">
        <v>4926</v>
      </c>
      <c r="M874" s="4" t="s">
        <v>5035</v>
      </c>
      <c r="N874" t="s">
        <v>3223</v>
      </c>
      <c r="O874" t="s">
        <v>3224</v>
      </c>
      <c r="P874" t="s">
        <v>23</v>
      </c>
      <c r="Q874" t="s">
        <v>24</v>
      </c>
      <c r="R874" t="s">
        <v>25</v>
      </c>
      <c r="S874" t="s">
        <v>26</v>
      </c>
      <c r="T874" s="6">
        <v>46307</v>
      </c>
      <c r="U874">
        <v>72</v>
      </c>
      <c r="V874">
        <v>72</v>
      </c>
      <c r="W874">
        <v>72</v>
      </c>
      <c r="X874">
        <v>72</v>
      </c>
      <c r="Y874">
        <f t="shared" si="134"/>
        <v>0</v>
      </c>
      <c r="Z874">
        <f t="shared" si="135"/>
        <v>0</v>
      </c>
      <c r="AC874" s="1">
        <v>0</v>
      </c>
      <c r="AF874">
        <f>V874</f>
        <v>72</v>
      </c>
      <c r="AG874" s="7">
        <v>12</v>
      </c>
      <c r="AH874">
        <f t="shared" si="136"/>
        <v>72</v>
      </c>
      <c r="AI874">
        <f t="shared" si="133"/>
        <v>0</v>
      </c>
      <c r="AK874">
        <f t="shared" si="137"/>
        <v>6</v>
      </c>
      <c r="AL874">
        <v>13.33</v>
      </c>
      <c r="AM874" t="s">
        <v>27</v>
      </c>
      <c r="AN874">
        <v>13.33</v>
      </c>
      <c r="AO874" t="b">
        <f t="shared" si="138"/>
        <v>1</v>
      </c>
      <c r="AR874" t="s">
        <v>5061</v>
      </c>
      <c r="AS874" s="21">
        <v>46276</v>
      </c>
      <c r="AT874" t="s">
        <v>5062</v>
      </c>
      <c r="AU874" t="s">
        <v>5078</v>
      </c>
      <c r="AV874" t="s">
        <v>5062</v>
      </c>
      <c r="AW874" t="s">
        <v>5086</v>
      </c>
    </row>
    <row r="875" spans="1:49" x14ac:dyDescent="0.35">
      <c r="A875" t="s">
        <v>2796</v>
      </c>
      <c r="B875" t="s">
        <v>872</v>
      </c>
      <c r="C875" t="s">
        <v>4818</v>
      </c>
      <c r="D875" t="s">
        <v>18</v>
      </c>
      <c r="E875" t="s">
        <v>3225</v>
      </c>
      <c r="F875" t="s">
        <v>3226</v>
      </c>
      <c r="G875" t="s">
        <v>21</v>
      </c>
      <c r="H875" t="s">
        <v>4888</v>
      </c>
      <c r="I875" t="s">
        <v>5003</v>
      </c>
      <c r="J875" s="4" t="s">
        <v>5004</v>
      </c>
      <c r="K875" s="4" t="s">
        <v>4837</v>
      </c>
      <c r="L875" s="4" t="s">
        <v>4926</v>
      </c>
      <c r="M875" s="4" t="s">
        <v>5035</v>
      </c>
      <c r="N875" t="s">
        <v>3227</v>
      </c>
      <c r="O875" t="s">
        <v>3228</v>
      </c>
      <c r="P875" t="s">
        <v>23</v>
      </c>
      <c r="Q875" t="s">
        <v>24</v>
      </c>
      <c r="R875" t="s">
        <v>25</v>
      </c>
      <c r="S875" t="s">
        <v>26</v>
      </c>
      <c r="T875" s="6">
        <v>46307</v>
      </c>
      <c r="U875">
        <v>60</v>
      </c>
      <c r="V875">
        <v>60</v>
      </c>
      <c r="W875">
        <v>60</v>
      </c>
      <c r="X875">
        <v>60</v>
      </c>
      <c r="Y875">
        <f t="shared" si="134"/>
        <v>0</v>
      </c>
      <c r="Z875">
        <f t="shared" si="135"/>
        <v>0</v>
      </c>
      <c r="AC875" s="1">
        <v>0</v>
      </c>
      <c r="AF875">
        <f>V875</f>
        <v>60</v>
      </c>
      <c r="AG875" s="7">
        <v>12</v>
      </c>
      <c r="AH875">
        <f t="shared" si="136"/>
        <v>60</v>
      </c>
      <c r="AI875">
        <f t="shared" si="133"/>
        <v>0</v>
      </c>
      <c r="AK875">
        <f t="shared" si="137"/>
        <v>5</v>
      </c>
      <c r="AL875">
        <v>12.87</v>
      </c>
      <c r="AM875" t="s">
        <v>27</v>
      </c>
      <c r="AN875">
        <v>12.87</v>
      </c>
      <c r="AO875" t="b">
        <f t="shared" si="138"/>
        <v>1</v>
      </c>
      <c r="AR875" t="s">
        <v>5061</v>
      </c>
      <c r="AS875" s="21">
        <v>46276</v>
      </c>
      <c r="AT875" t="s">
        <v>5062</v>
      </c>
      <c r="AU875" t="s">
        <v>5078</v>
      </c>
      <c r="AV875" t="s">
        <v>5062</v>
      </c>
      <c r="AW875" t="s">
        <v>5086</v>
      </c>
    </row>
    <row r="876" spans="1:49" x14ac:dyDescent="0.35">
      <c r="A876" t="s">
        <v>2796</v>
      </c>
      <c r="B876" t="s">
        <v>872</v>
      </c>
      <c r="C876" t="s">
        <v>4818</v>
      </c>
      <c r="D876" t="s">
        <v>18</v>
      </c>
      <c r="E876" t="s">
        <v>3229</v>
      </c>
      <c r="F876" t="s">
        <v>3230</v>
      </c>
      <c r="G876" t="s">
        <v>21</v>
      </c>
      <c r="H876" t="s">
        <v>4888</v>
      </c>
      <c r="I876" t="s">
        <v>5003</v>
      </c>
      <c r="J876" s="4" t="s">
        <v>5004</v>
      </c>
      <c r="K876" s="4" t="s">
        <v>5016</v>
      </c>
      <c r="L876" s="4" t="s">
        <v>4930</v>
      </c>
      <c r="M876" s="4" t="s">
        <v>5035</v>
      </c>
      <c r="N876" t="s">
        <v>3231</v>
      </c>
      <c r="O876" t="s">
        <v>3232</v>
      </c>
      <c r="P876" t="s">
        <v>23</v>
      </c>
      <c r="Q876" t="s">
        <v>24</v>
      </c>
      <c r="R876" t="s">
        <v>25</v>
      </c>
      <c r="S876" t="s">
        <v>26</v>
      </c>
      <c r="T876" s="6">
        <v>46307</v>
      </c>
      <c r="U876">
        <v>24</v>
      </c>
      <c r="V876">
        <v>24</v>
      </c>
      <c r="W876">
        <v>24</v>
      </c>
      <c r="X876">
        <v>24</v>
      </c>
      <c r="Y876">
        <f t="shared" si="134"/>
        <v>0</v>
      </c>
      <c r="Z876">
        <f t="shared" si="135"/>
        <v>0</v>
      </c>
      <c r="AC876" s="1">
        <v>0</v>
      </c>
      <c r="AF876">
        <f>V876</f>
        <v>24</v>
      </c>
      <c r="AG876" s="7">
        <v>12</v>
      </c>
      <c r="AH876">
        <f t="shared" si="136"/>
        <v>24</v>
      </c>
      <c r="AI876">
        <f t="shared" si="133"/>
        <v>0</v>
      </c>
      <c r="AK876">
        <f t="shared" si="137"/>
        <v>2</v>
      </c>
      <c r="AL876">
        <v>13.33</v>
      </c>
      <c r="AM876" t="s">
        <v>27</v>
      </c>
      <c r="AN876">
        <v>13.33</v>
      </c>
      <c r="AO876" t="b">
        <f t="shared" si="138"/>
        <v>1</v>
      </c>
      <c r="AR876" t="s">
        <v>5061</v>
      </c>
      <c r="AS876" s="21">
        <v>46276</v>
      </c>
      <c r="AT876" t="s">
        <v>5062</v>
      </c>
      <c r="AU876" t="s">
        <v>5078</v>
      </c>
      <c r="AV876" t="s">
        <v>5062</v>
      </c>
      <c r="AW876" t="s">
        <v>5086</v>
      </c>
    </row>
    <row r="877" spans="1:49" x14ac:dyDescent="0.35">
      <c r="A877" t="s">
        <v>2796</v>
      </c>
      <c r="B877" t="s">
        <v>872</v>
      </c>
      <c r="C877" t="s">
        <v>4818</v>
      </c>
      <c r="D877" t="s">
        <v>18</v>
      </c>
      <c r="E877" t="s">
        <v>3233</v>
      </c>
      <c r="F877" t="s">
        <v>3234</v>
      </c>
      <c r="G877" t="s">
        <v>21</v>
      </c>
      <c r="H877" t="s">
        <v>4888</v>
      </c>
      <c r="I877" t="s">
        <v>5025</v>
      </c>
      <c r="J877" s="4" t="s">
        <v>5026</v>
      </c>
      <c r="K877" s="4" t="s">
        <v>5020</v>
      </c>
      <c r="L877" s="4" t="s">
        <v>4989</v>
      </c>
      <c r="M877" s="4" t="s">
        <v>5035</v>
      </c>
      <c r="N877" t="s">
        <v>3235</v>
      </c>
      <c r="O877" t="s">
        <v>3236</v>
      </c>
      <c r="P877" t="s">
        <v>23</v>
      </c>
      <c r="Q877" t="s">
        <v>24</v>
      </c>
      <c r="R877" t="s">
        <v>25</v>
      </c>
      <c r="S877" t="s">
        <v>26</v>
      </c>
      <c r="T877" s="6">
        <v>46307</v>
      </c>
      <c r="U877">
        <v>384</v>
      </c>
      <c r="V877">
        <v>384</v>
      </c>
      <c r="W877">
        <v>360</v>
      </c>
      <c r="X877">
        <v>360</v>
      </c>
      <c r="Y877">
        <f t="shared" si="134"/>
        <v>0</v>
      </c>
      <c r="Z877">
        <f t="shared" si="135"/>
        <v>24</v>
      </c>
      <c r="AA877">
        <f>Z877</f>
        <v>24</v>
      </c>
      <c r="AC877" s="1">
        <v>0</v>
      </c>
      <c r="AF877">
        <f>X877</f>
        <v>360</v>
      </c>
      <c r="AG877" s="7">
        <v>24</v>
      </c>
      <c r="AH877">
        <f t="shared" si="136"/>
        <v>360</v>
      </c>
      <c r="AI877">
        <f t="shared" si="133"/>
        <v>24</v>
      </c>
      <c r="AK877">
        <f t="shared" si="137"/>
        <v>15</v>
      </c>
      <c r="AL877">
        <v>6.2</v>
      </c>
      <c r="AM877" t="s">
        <v>27</v>
      </c>
      <c r="AN877">
        <v>6.2</v>
      </c>
      <c r="AO877" t="b">
        <f t="shared" si="138"/>
        <v>1</v>
      </c>
      <c r="AR877" t="s">
        <v>5061</v>
      </c>
      <c r="AS877" s="21">
        <v>46276</v>
      </c>
      <c r="AT877" t="s">
        <v>5062</v>
      </c>
      <c r="AU877" t="s">
        <v>5082</v>
      </c>
      <c r="AV877" t="s">
        <v>5062</v>
      </c>
      <c r="AW877" t="s">
        <v>5086</v>
      </c>
    </row>
    <row r="878" spans="1:49" x14ac:dyDescent="0.35">
      <c r="A878" t="s">
        <v>2796</v>
      </c>
      <c r="B878" t="s">
        <v>872</v>
      </c>
      <c r="C878" t="s">
        <v>4818</v>
      </c>
      <c r="D878" t="s">
        <v>18</v>
      </c>
      <c r="E878" t="s">
        <v>3237</v>
      </c>
      <c r="F878" t="s">
        <v>3238</v>
      </c>
      <c r="G878" t="s">
        <v>21</v>
      </c>
      <c r="H878" t="s">
        <v>4888</v>
      </c>
      <c r="I878" t="s">
        <v>5008</v>
      </c>
      <c r="J878" s="4" t="s">
        <v>5009</v>
      </c>
      <c r="K878" s="4" t="s">
        <v>5021</v>
      </c>
      <c r="L878" s="4">
        <v>42</v>
      </c>
      <c r="M878" s="4" t="s">
        <v>5035</v>
      </c>
      <c r="N878" t="s">
        <v>3239</v>
      </c>
      <c r="O878" t="s">
        <v>3240</v>
      </c>
      <c r="P878" t="s">
        <v>23</v>
      </c>
      <c r="Q878" t="s">
        <v>24</v>
      </c>
      <c r="R878" t="s">
        <v>25</v>
      </c>
      <c r="S878" t="s">
        <v>26</v>
      </c>
      <c r="T878" s="6">
        <v>46307</v>
      </c>
      <c r="U878">
        <v>336</v>
      </c>
      <c r="V878">
        <v>336</v>
      </c>
      <c r="W878">
        <v>360</v>
      </c>
      <c r="X878">
        <v>360</v>
      </c>
      <c r="Y878">
        <f t="shared" si="134"/>
        <v>0</v>
      </c>
      <c r="Z878">
        <f t="shared" si="135"/>
        <v>-24</v>
      </c>
      <c r="AC878" s="1"/>
      <c r="AF878">
        <f t="shared" ref="AF878:AF888" si="141">V878</f>
        <v>336</v>
      </c>
      <c r="AG878" s="7">
        <v>24</v>
      </c>
      <c r="AH878">
        <f t="shared" si="136"/>
        <v>336</v>
      </c>
      <c r="AI878">
        <f t="shared" si="133"/>
        <v>0</v>
      </c>
      <c r="AK878">
        <f t="shared" si="137"/>
        <v>14</v>
      </c>
      <c r="AL878">
        <v>10.11</v>
      </c>
      <c r="AM878" t="s">
        <v>27</v>
      </c>
      <c r="AN878">
        <v>10.11</v>
      </c>
      <c r="AO878" t="b">
        <f t="shared" si="138"/>
        <v>1</v>
      </c>
      <c r="AR878" t="s">
        <v>5061</v>
      </c>
      <c r="AS878" s="21">
        <v>46276</v>
      </c>
      <c r="AT878" t="s">
        <v>5062</v>
      </c>
      <c r="AU878" t="s">
        <v>5080</v>
      </c>
      <c r="AV878" t="s">
        <v>5062</v>
      </c>
      <c r="AW878" t="s">
        <v>5086</v>
      </c>
    </row>
    <row r="879" spans="1:49" x14ac:dyDescent="0.35">
      <c r="A879" t="s">
        <v>2796</v>
      </c>
      <c r="B879" t="s">
        <v>872</v>
      </c>
      <c r="C879" t="s">
        <v>4818</v>
      </c>
      <c r="D879" t="s">
        <v>18</v>
      </c>
      <c r="E879" t="s">
        <v>3241</v>
      </c>
      <c r="F879" t="s">
        <v>3242</v>
      </c>
      <c r="G879" t="s">
        <v>21</v>
      </c>
      <c r="H879" t="s">
        <v>4888</v>
      </c>
      <c r="I879" t="s">
        <v>5022</v>
      </c>
      <c r="J879" s="4" t="s">
        <v>5023</v>
      </c>
      <c r="K879" s="4" t="s">
        <v>5024</v>
      </c>
      <c r="L879" s="4">
        <v>0</v>
      </c>
      <c r="M879" s="4" t="s">
        <v>5035</v>
      </c>
      <c r="N879" t="s">
        <v>3243</v>
      </c>
      <c r="O879" t="s">
        <v>3244</v>
      </c>
      <c r="P879" t="s">
        <v>23</v>
      </c>
      <c r="Q879" t="s">
        <v>24</v>
      </c>
      <c r="R879" t="s">
        <v>25</v>
      </c>
      <c r="S879" t="s">
        <v>26</v>
      </c>
      <c r="T879" s="6">
        <v>46307</v>
      </c>
      <c r="U879">
        <v>384</v>
      </c>
      <c r="V879">
        <v>384</v>
      </c>
      <c r="W879">
        <v>408</v>
      </c>
      <c r="X879">
        <v>408</v>
      </c>
      <c r="Y879">
        <f t="shared" si="134"/>
        <v>0</v>
      </c>
      <c r="Z879">
        <f t="shared" si="135"/>
        <v>-24</v>
      </c>
      <c r="AC879" s="1">
        <v>0</v>
      </c>
      <c r="AF879">
        <f t="shared" si="141"/>
        <v>384</v>
      </c>
      <c r="AG879" s="7">
        <v>24</v>
      </c>
      <c r="AH879">
        <f t="shared" si="136"/>
        <v>384</v>
      </c>
      <c r="AI879">
        <f t="shared" si="133"/>
        <v>0</v>
      </c>
      <c r="AK879">
        <f t="shared" si="137"/>
        <v>16</v>
      </c>
      <c r="AL879">
        <v>6.99</v>
      </c>
      <c r="AM879" t="s">
        <v>27</v>
      </c>
      <c r="AN879">
        <v>8.68</v>
      </c>
      <c r="AO879" t="b">
        <f t="shared" si="138"/>
        <v>0</v>
      </c>
      <c r="AR879" t="s">
        <v>5061</v>
      </c>
      <c r="AS879" s="21">
        <v>46276</v>
      </c>
      <c r="AT879" t="s">
        <v>5062</v>
      </c>
      <c r="AU879" t="s">
        <v>5083</v>
      </c>
      <c r="AV879" t="s">
        <v>5062</v>
      </c>
      <c r="AW879" t="s">
        <v>5086</v>
      </c>
    </row>
    <row r="880" spans="1:49" x14ac:dyDescent="0.35">
      <c r="A880" t="s">
        <v>2796</v>
      </c>
      <c r="B880" t="s">
        <v>872</v>
      </c>
      <c r="C880" t="s">
        <v>4818</v>
      </c>
      <c r="D880" t="s">
        <v>18</v>
      </c>
      <c r="E880" t="s">
        <v>3245</v>
      </c>
      <c r="F880" t="s">
        <v>3246</v>
      </c>
      <c r="G880" t="s">
        <v>21</v>
      </c>
      <c r="H880" t="s">
        <v>4888</v>
      </c>
      <c r="I880" t="s">
        <v>5003</v>
      </c>
      <c r="J880" s="4" t="s">
        <v>5004</v>
      </c>
      <c r="K880" s="4" t="s">
        <v>5016</v>
      </c>
      <c r="L880" s="4" t="s">
        <v>4864</v>
      </c>
      <c r="M880" s="4" t="s">
        <v>5035</v>
      </c>
      <c r="N880" t="s">
        <v>3247</v>
      </c>
      <c r="O880" t="s">
        <v>3248</v>
      </c>
      <c r="P880" t="s">
        <v>23</v>
      </c>
      <c r="Q880" t="s">
        <v>24</v>
      </c>
      <c r="R880" t="s">
        <v>25</v>
      </c>
      <c r="S880" t="s">
        <v>26</v>
      </c>
      <c r="T880" s="6">
        <v>46307</v>
      </c>
      <c r="U880">
        <v>36</v>
      </c>
      <c r="V880">
        <v>36</v>
      </c>
      <c r="W880">
        <v>36</v>
      </c>
      <c r="X880">
        <v>36</v>
      </c>
      <c r="Y880">
        <f t="shared" si="134"/>
        <v>0</v>
      </c>
      <c r="Z880">
        <f t="shared" si="135"/>
        <v>0</v>
      </c>
      <c r="AC880" s="1">
        <v>0</v>
      </c>
      <c r="AF880">
        <f t="shared" si="141"/>
        <v>36</v>
      </c>
      <c r="AG880" s="7">
        <v>12</v>
      </c>
      <c r="AH880">
        <f t="shared" si="136"/>
        <v>36</v>
      </c>
      <c r="AI880">
        <f t="shared" si="133"/>
        <v>0</v>
      </c>
      <c r="AK880">
        <f t="shared" si="137"/>
        <v>3</v>
      </c>
      <c r="AL880">
        <v>13.33</v>
      </c>
      <c r="AM880" t="s">
        <v>27</v>
      </c>
      <c r="AN880">
        <v>13.33</v>
      </c>
      <c r="AO880" t="b">
        <f t="shared" si="138"/>
        <v>1</v>
      </c>
      <c r="AR880" t="s">
        <v>5061</v>
      </c>
      <c r="AS880" s="21">
        <v>46276</v>
      </c>
      <c r="AT880" t="s">
        <v>5062</v>
      </c>
      <c r="AU880" t="s">
        <v>5078</v>
      </c>
      <c r="AV880" t="s">
        <v>5062</v>
      </c>
      <c r="AW880" t="s">
        <v>5086</v>
      </c>
    </row>
    <row r="881" spans="1:49" x14ac:dyDescent="0.35">
      <c r="A881" t="s">
        <v>2796</v>
      </c>
      <c r="B881" t="s">
        <v>872</v>
      </c>
      <c r="C881" t="s">
        <v>4818</v>
      </c>
      <c r="D881" t="s">
        <v>18</v>
      </c>
      <c r="E881" t="s">
        <v>3249</v>
      </c>
      <c r="F881" t="s">
        <v>3250</v>
      </c>
      <c r="G881" t="s">
        <v>21</v>
      </c>
      <c r="H881" t="s">
        <v>4888</v>
      </c>
      <c r="I881" t="s">
        <v>5005</v>
      </c>
      <c r="J881" s="4" t="s">
        <v>5006</v>
      </c>
      <c r="K881" s="4" t="s">
        <v>5027</v>
      </c>
      <c r="L881" s="4">
        <v>28</v>
      </c>
      <c r="M881" s="4" t="s">
        <v>5035</v>
      </c>
      <c r="N881" t="s">
        <v>3251</v>
      </c>
      <c r="O881" t="s">
        <v>3252</v>
      </c>
      <c r="P881" t="s">
        <v>23</v>
      </c>
      <c r="Q881" t="s">
        <v>24</v>
      </c>
      <c r="R881" t="s">
        <v>25</v>
      </c>
      <c r="S881" t="s">
        <v>26</v>
      </c>
      <c r="T881" s="6">
        <v>46307</v>
      </c>
      <c r="U881">
        <v>120</v>
      </c>
      <c r="V881">
        <v>120</v>
      </c>
      <c r="W881">
        <v>120</v>
      </c>
      <c r="X881">
        <v>120</v>
      </c>
      <c r="Y881">
        <f t="shared" si="134"/>
        <v>0</v>
      </c>
      <c r="Z881">
        <f t="shared" si="135"/>
        <v>0</v>
      </c>
      <c r="AC881" s="1">
        <v>0</v>
      </c>
      <c r="AF881">
        <f t="shared" si="141"/>
        <v>120</v>
      </c>
      <c r="AG881" s="7">
        <v>24</v>
      </c>
      <c r="AH881">
        <f t="shared" si="136"/>
        <v>120</v>
      </c>
      <c r="AI881">
        <f t="shared" si="133"/>
        <v>0</v>
      </c>
      <c r="AK881">
        <f t="shared" si="137"/>
        <v>5</v>
      </c>
      <c r="AL881">
        <v>10.24</v>
      </c>
      <c r="AM881" t="s">
        <v>27</v>
      </c>
      <c r="AN881">
        <v>10.24</v>
      </c>
      <c r="AO881" t="b">
        <f t="shared" si="138"/>
        <v>1</v>
      </c>
      <c r="AR881" t="s">
        <v>5061</v>
      </c>
      <c r="AS881" s="21">
        <v>46276</v>
      </c>
      <c r="AT881" t="s">
        <v>5062</v>
      </c>
      <c r="AU881" t="s">
        <v>5079</v>
      </c>
      <c r="AV881" t="s">
        <v>5062</v>
      </c>
      <c r="AW881" t="s">
        <v>5086</v>
      </c>
    </row>
    <row r="882" spans="1:49" x14ac:dyDescent="0.35">
      <c r="A882" t="s">
        <v>2796</v>
      </c>
      <c r="B882" t="s">
        <v>872</v>
      </c>
      <c r="C882" t="s">
        <v>4818</v>
      </c>
      <c r="D882" t="s">
        <v>18</v>
      </c>
      <c r="E882" t="s">
        <v>3253</v>
      </c>
      <c r="F882" t="s">
        <v>3254</v>
      </c>
      <c r="G882" t="s">
        <v>21</v>
      </c>
      <c r="H882" t="s">
        <v>4888</v>
      </c>
      <c r="I882" t="s">
        <v>5018</v>
      </c>
      <c r="J882" s="4" t="s">
        <v>5019</v>
      </c>
      <c r="K882" s="4" t="s">
        <v>5020</v>
      </c>
      <c r="L882" s="4">
        <v>12</v>
      </c>
      <c r="M882" s="4" t="s">
        <v>5035</v>
      </c>
      <c r="N882" t="s">
        <v>3255</v>
      </c>
      <c r="O882" t="s">
        <v>3256</v>
      </c>
      <c r="P882" t="s">
        <v>23</v>
      </c>
      <c r="Q882" t="s">
        <v>24</v>
      </c>
      <c r="R882" t="s">
        <v>25</v>
      </c>
      <c r="S882" t="s">
        <v>26</v>
      </c>
      <c r="T882" s="6">
        <v>46307</v>
      </c>
      <c r="U882">
        <v>840</v>
      </c>
      <c r="V882">
        <v>840</v>
      </c>
      <c r="W882">
        <v>888</v>
      </c>
      <c r="X882">
        <v>888</v>
      </c>
      <c r="Y882">
        <f t="shared" si="134"/>
        <v>0</v>
      </c>
      <c r="Z882">
        <f t="shared" si="135"/>
        <v>-48</v>
      </c>
      <c r="AC882" s="1"/>
      <c r="AF882">
        <f t="shared" si="141"/>
        <v>840</v>
      </c>
      <c r="AG882" s="7">
        <v>24</v>
      </c>
      <c r="AH882">
        <f t="shared" si="136"/>
        <v>840</v>
      </c>
      <c r="AI882">
        <f t="shared" si="133"/>
        <v>0</v>
      </c>
      <c r="AK882">
        <f t="shared" si="137"/>
        <v>35</v>
      </c>
      <c r="AL882">
        <v>10.79</v>
      </c>
      <c r="AM882" t="s">
        <v>27</v>
      </c>
      <c r="AN882">
        <v>10.79</v>
      </c>
      <c r="AO882" t="b">
        <f t="shared" si="138"/>
        <v>1</v>
      </c>
      <c r="AR882" t="s">
        <v>5061</v>
      </c>
      <c r="AS882" s="21">
        <v>46276</v>
      </c>
      <c r="AT882" t="s">
        <v>5062</v>
      </c>
      <c r="AU882" t="s">
        <v>5082</v>
      </c>
      <c r="AV882" t="s">
        <v>5062</v>
      </c>
      <c r="AW882" t="s">
        <v>5086</v>
      </c>
    </row>
    <row r="883" spans="1:49" x14ac:dyDescent="0.35">
      <c r="A883" t="s">
        <v>2796</v>
      </c>
      <c r="B883" t="s">
        <v>872</v>
      </c>
      <c r="C883" t="s">
        <v>4818</v>
      </c>
      <c r="D883" t="s">
        <v>18</v>
      </c>
      <c r="E883" t="s">
        <v>3257</v>
      </c>
      <c r="F883" t="s">
        <v>3258</v>
      </c>
      <c r="G883" t="s">
        <v>21</v>
      </c>
      <c r="H883" t="s">
        <v>4888</v>
      </c>
      <c r="I883" t="s">
        <v>5003</v>
      </c>
      <c r="J883" s="4" t="s">
        <v>5004</v>
      </c>
      <c r="K883" s="4" t="s">
        <v>4837</v>
      </c>
      <c r="L883" s="4" t="s">
        <v>4886</v>
      </c>
      <c r="M883" s="4" t="s">
        <v>5035</v>
      </c>
      <c r="N883" t="s">
        <v>3259</v>
      </c>
      <c r="O883" t="s">
        <v>3260</v>
      </c>
      <c r="P883" t="s">
        <v>23</v>
      </c>
      <c r="Q883" t="s">
        <v>24</v>
      </c>
      <c r="R883" t="s">
        <v>25</v>
      </c>
      <c r="S883" t="s">
        <v>26</v>
      </c>
      <c r="T883" s="6">
        <v>46307</v>
      </c>
      <c r="U883">
        <v>84</v>
      </c>
      <c r="V883">
        <v>84</v>
      </c>
      <c r="W883">
        <v>96</v>
      </c>
      <c r="X883">
        <v>96</v>
      </c>
      <c r="Y883">
        <f t="shared" si="134"/>
        <v>0</v>
      </c>
      <c r="Z883">
        <f t="shared" si="135"/>
        <v>-12</v>
      </c>
      <c r="AC883" s="1">
        <v>0</v>
      </c>
      <c r="AF883">
        <f t="shared" si="141"/>
        <v>84</v>
      </c>
      <c r="AG883" s="7">
        <v>12</v>
      </c>
      <c r="AH883">
        <f t="shared" si="136"/>
        <v>84</v>
      </c>
      <c r="AI883">
        <f t="shared" si="133"/>
        <v>0</v>
      </c>
      <c r="AK883">
        <f t="shared" si="137"/>
        <v>7</v>
      </c>
      <c r="AL883">
        <v>12.87</v>
      </c>
      <c r="AM883" t="s">
        <v>27</v>
      </c>
      <c r="AN883">
        <v>12.87</v>
      </c>
      <c r="AO883" t="b">
        <f t="shared" si="138"/>
        <v>1</v>
      </c>
      <c r="AR883" t="s">
        <v>5061</v>
      </c>
      <c r="AS883" s="21">
        <v>46276</v>
      </c>
      <c r="AT883" t="s">
        <v>5062</v>
      </c>
      <c r="AU883" t="s">
        <v>5078</v>
      </c>
      <c r="AV883" t="s">
        <v>5062</v>
      </c>
      <c r="AW883" t="s">
        <v>5086</v>
      </c>
    </row>
    <row r="884" spans="1:49" x14ac:dyDescent="0.35">
      <c r="A884" t="s">
        <v>2796</v>
      </c>
      <c r="B884" t="s">
        <v>872</v>
      </c>
      <c r="C884" t="s">
        <v>4818</v>
      </c>
      <c r="D884" t="s">
        <v>18</v>
      </c>
      <c r="E884" t="s">
        <v>3261</v>
      </c>
      <c r="F884" t="s">
        <v>3262</v>
      </c>
      <c r="G884" t="s">
        <v>21</v>
      </c>
      <c r="H884" t="s">
        <v>4888</v>
      </c>
      <c r="I884" t="s">
        <v>5003</v>
      </c>
      <c r="J884" s="4" t="s">
        <v>5004</v>
      </c>
      <c r="K884" s="4" t="s">
        <v>4837</v>
      </c>
      <c r="L884" s="4" t="s">
        <v>4895</v>
      </c>
      <c r="M884" s="4" t="s">
        <v>5035</v>
      </c>
      <c r="N884" t="s">
        <v>3263</v>
      </c>
      <c r="O884" t="s">
        <v>3264</v>
      </c>
      <c r="P884" t="s">
        <v>23</v>
      </c>
      <c r="Q884" t="s">
        <v>24</v>
      </c>
      <c r="R884" t="s">
        <v>25</v>
      </c>
      <c r="S884" t="s">
        <v>26</v>
      </c>
      <c r="T884" s="6">
        <v>46307</v>
      </c>
      <c r="U884">
        <v>36</v>
      </c>
      <c r="V884">
        <v>36</v>
      </c>
      <c r="W884">
        <v>36</v>
      </c>
      <c r="X884">
        <v>36</v>
      </c>
      <c r="Y884">
        <f t="shared" si="134"/>
        <v>0</v>
      </c>
      <c r="Z884">
        <f t="shared" si="135"/>
        <v>0</v>
      </c>
      <c r="AC884" s="1">
        <v>0</v>
      </c>
      <c r="AF884">
        <f t="shared" si="141"/>
        <v>36</v>
      </c>
      <c r="AG884" s="7">
        <v>12</v>
      </c>
      <c r="AH884">
        <f t="shared" si="136"/>
        <v>36</v>
      </c>
      <c r="AI884">
        <f t="shared" si="133"/>
        <v>0</v>
      </c>
      <c r="AK884">
        <f t="shared" si="137"/>
        <v>3</v>
      </c>
      <c r="AL884">
        <v>12.87</v>
      </c>
      <c r="AM884" t="s">
        <v>27</v>
      </c>
      <c r="AN884">
        <v>12.87</v>
      </c>
      <c r="AO884" t="b">
        <f t="shared" si="138"/>
        <v>1</v>
      </c>
      <c r="AR884" t="s">
        <v>5061</v>
      </c>
      <c r="AS884" s="21">
        <v>46276</v>
      </c>
      <c r="AT884" t="s">
        <v>5062</v>
      </c>
      <c r="AU884" t="s">
        <v>5078</v>
      </c>
      <c r="AV884" t="s">
        <v>5062</v>
      </c>
      <c r="AW884" t="s">
        <v>5086</v>
      </c>
    </row>
    <row r="885" spans="1:49" x14ac:dyDescent="0.35">
      <c r="A885" t="s">
        <v>2796</v>
      </c>
      <c r="B885" t="s">
        <v>872</v>
      </c>
      <c r="C885" t="s">
        <v>4818</v>
      </c>
      <c r="D885" t="s">
        <v>18</v>
      </c>
      <c r="E885" t="s">
        <v>3265</v>
      </c>
      <c r="F885" t="s">
        <v>3266</v>
      </c>
      <c r="G885" t="s">
        <v>21</v>
      </c>
      <c r="H885" t="s">
        <v>4888</v>
      </c>
      <c r="I885" t="s">
        <v>5003</v>
      </c>
      <c r="J885" s="4" t="s">
        <v>5004</v>
      </c>
      <c r="K885" s="4" t="s">
        <v>4837</v>
      </c>
      <c r="L885" s="4" t="s">
        <v>4922</v>
      </c>
      <c r="M885" s="4" t="s">
        <v>5035</v>
      </c>
      <c r="N885" t="s">
        <v>3267</v>
      </c>
      <c r="O885" t="s">
        <v>3268</v>
      </c>
      <c r="P885" t="s">
        <v>23</v>
      </c>
      <c r="Q885" t="s">
        <v>24</v>
      </c>
      <c r="R885" t="s">
        <v>25</v>
      </c>
      <c r="S885" t="s">
        <v>26</v>
      </c>
      <c r="T885" s="6">
        <v>46307</v>
      </c>
      <c r="U885">
        <v>60</v>
      </c>
      <c r="V885">
        <v>60</v>
      </c>
      <c r="W885">
        <v>60</v>
      </c>
      <c r="X885">
        <v>60</v>
      </c>
      <c r="Y885">
        <f t="shared" si="134"/>
        <v>0</v>
      </c>
      <c r="Z885">
        <f t="shared" si="135"/>
        <v>0</v>
      </c>
      <c r="AC885" s="1">
        <v>0</v>
      </c>
      <c r="AF885">
        <f t="shared" si="141"/>
        <v>60</v>
      </c>
      <c r="AG885" s="7">
        <v>12</v>
      </c>
      <c r="AH885">
        <f t="shared" si="136"/>
        <v>60</v>
      </c>
      <c r="AI885">
        <f t="shared" si="133"/>
        <v>0</v>
      </c>
      <c r="AK885">
        <f t="shared" si="137"/>
        <v>5</v>
      </c>
      <c r="AL885">
        <v>12.87</v>
      </c>
      <c r="AM885" t="s">
        <v>27</v>
      </c>
      <c r="AN885">
        <v>12.87</v>
      </c>
      <c r="AO885" t="b">
        <f t="shared" si="138"/>
        <v>1</v>
      </c>
      <c r="AR885" t="s">
        <v>5061</v>
      </c>
      <c r="AS885" s="21">
        <v>46276</v>
      </c>
      <c r="AT885" t="s">
        <v>5062</v>
      </c>
      <c r="AU885" t="s">
        <v>5078</v>
      </c>
      <c r="AV885" t="s">
        <v>5062</v>
      </c>
      <c r="AW885" t="s">
        <v>5086</v>
      </c>
    </row>
    <row r="886" spans="1:49" x14ac:dyDescent="0.35">
      <c r="A886" t="s">
        <v>2796</v>
      </c>
      <c r="B886" t="s">
        <v>872</v>
      </c>
      <c r="C886" t="s">
        <v>4818</v>
      </c>
      <c r="D886" t="s">
        <v>18</v>
      </c>
      <c r="E886" t="s">
        <v>3269</v>
      </c>
      <c r="F886" t="s">
        <v>3270</v>
      </c>
      <c r="G886" t="s">
        <v>21</v>
      </c>
      <c r="H886" t="s">
        <v>4888</v>
      </c>
      <c r="I886" t="s">
        <v>5003</v>
      </c>
      <c r="J886" s="4" t="s">
        <v>5004</v>
      </c>
      <c r="K886" s="4" t="s">
        <v>5015</v>
      </c>
      <c r="L886" s="4" t="s">
        <v>4914</v>
      </c>
      <c r="M886" s="4" t="s">
        <v>5035</v>
      </c>
      <c r="N886" t="s">
        <v>3271</v>
      </c>
      <c r="O886" t="s">
        <v>3272</v>
      </c>
      <c r="P886" t="s">
        <v>23</v>
      </c>
      <c r="Q886" t="s">
        <v>24</v>
      </c>
      <c r="R886" t="s">
        <v>25</v>
      </c>
      <c r="S886" t="s">
        <v>26</v>
      </c>
      <c r="T886" s="6">
        <v>46307</v>
      </c>
      <c r="U886">
        <v>48</v>
      </c>
      <c r="V886">
        <v>48</v>
      </c>
      <c r="W886">
        <v>48</v>
      </c>
      <c r="X886">
        <v>48</v>
      </c>
      <c r="Y886">
        <f t="shared" si="134"/>
        <v>0</v>
      </c>
      <c r="Z886">
        <f t="shared" si="135"/>
        <v>0</v>
      </c>
      <c r="AC886" s="1">
        <v>0</v>
      </c>
      <c r="AF886">
        <f t="shared" si="141"/>
        <v>48</v>
      </c>
      <c r="AG886" s="7">
        <v>12</v>
      </c>
      <c r="AH886">
        <f t="shared" si="136"/>
        <v>48</v>
      </c>
      <c r="AI886">
        <f t="shared" si="133"/>
        <v>0</v>
      </c>
      <c r="AK886">
        <f t="shared" si="137"/>
        <v>4</v>
      </c>
      <c r="AL886">
        <v>13.01</v>
      </c>
      <c r="AM886" t="s">
        <v>27</v>
      </c>
      <c r="AN886">
        <v>13.01</v>
      </c>
      <c r="AO886" t="b">
        <f t="shared" si="138"/>
        <v>1</v>
      </c>
      <c r="AR886" t="s">
        <v>5061</v>
      </c>
      <c r="AS886" s="21">
        <v>46276</v>
      </c>
      <c r="AT886" t="s">
        <v>5062</v>
      </c>
      <c r="AU886" t="s">
        <v>5078</v>
      </c>
      <c r="AV886" t="s">
        <v>5062</v>
      </c>
      <c r="AW886" t="s">
        <v>5086</v>
      </c>
    </row>
    <row r="887" spans="1:49" x14ac:dyDescent="0.35">
      <c r="A887" t="s">
        <v>2796</v>
      </c>
      <c r="B887" t="s">
        <v>872</v>
      </c>
      <c r="C887" t="s">
        <v>4818</v>
      </c>
      <c r="D887" t="s">
        <v>18</v>
      </c>
      <c r="E887" t="s">
        <v>3273</v>
      </c>
      <c r="F887" t="s">
        <v>3274</v>
      </c>
      <c r="G887" t="s">
        <v>21</v>
      </c>
      <c r="H887" t="s">
        <v>4888</v>
      </c>
      <c r="I887" t="s">
        <v>5003</v>
      </c>
      <c r="J887" s="4" t="s">
        <v>5004</v>
      </c>
      <c r="K887" s="4" t="s">
        <v>4904</v>
      </c>
      <c r="L887" s="4" t="s">
        <v>4927</v>
      </c>
      <c r="M887" s="4" t="s">
        <v>5035</v>
      </c>
      <c r="N887" t="s">
        <v>3275</v>
      </c>
      <c r="O887" t="s">
        <v>3276</v>
      </c>
      <c r="P887" t="s">
        <v>23</v>
      </c>
      <c r="Q887" t="s">
        <v>24</v>
      </c>
      <c r="R887" t="s">
        <v>25</v>
      </c>
      <c r="S887" t="s">
        <v>26</v>
      </c>
      <c r="T887" s="6">
        <v>46307</v>
      </c>
      <c r="U887">
        <v>12</v>
      </c>
      <c r="V887">
        <v>12</v>
      </c>
      <c r="W887">
        <v>12</v>
      </c>
      <c r="X887">
        <v>12</v>
      </c>
      <c r="Y887">
        <f t="shared" si="134"/>
        <v>0</v>
      </c>
      <c r="Z887">
        <f t="shared" si="135"/>
        <v>0</v>
      </c>
      <c r="AC887" s="1">
        <v>0</v>
      </c>
      <c r="AF887">
        <f t="shared" si="141"/>
        <v>12</v>
      </c>
      <c r="AG887" s="7">
        <v>12</v>
      </c>
      <c r="AH887">
        <f t="shared" si="136"/>
        <v>12</v>
      </c>
      <c r="AI887">
        <f t="shared" si="133"/>
        <v>0</v>
      </c>
      <c r="AK887">
        <f t="shared" si="137"/>
        <v>1</v>
      </c>
      <c r="AL887">
        <v>12.89</v>
      </c>
      <c r="AM887" t="s">
        <v>27</v>
      </c>
      <c r="AN887">
        <v>12.89</v>
      </c>
      <c r="AO887" t="b">
        <f t="shared" si="138"/>
        <v>1</v>
      </c>
      <c r="AR887" t="s">
        <v>5061</v>
      </c>
      <c r="AS887" s="21">
        <v>46276</v>
      </c>
      <c r="AT887" t="s">
        <v>5062</v>
      </c>
      <c r="AU887" t="s">
        <v>5078</v>
      </c>
      <c r="AV887" t="s">
        <v>5062</v>
      </c>
      <c r="AW887" t="s">
        <v>5086</v>
      </c>
    </row>
    <row r="888" spans="1:49" x14ac:dyDescent="0.35">
      <c r="A888" t="s">
        <v>2796</v>
      </c>
      <c r="B888" t="s">
        <v>872</v>
      </c>
      <c r="C888" t="s">
        <v>4818</v>
      </c>
      <c r="D888" t="s">
        <v>18</v>
      </c>
      <c r="E888" t="s">
        <v>3277</v>
      </c>
      <c r="F888" t="s">
        <v>3278</v>
      </c>
      <c r="G888" t="s">
        <v>21</v>
      </c>
      <c r="H888" t="s">
        <v>4888</v>
      </c>
      <c r="I888" t="s">
        <v>5003</v>
      </c>
      <c r="J888" s="4" t="s">
        <v>5004</v>
      </c>
      <c r="K888" s="4" t="s">
        <v>4904</v>
      </c>
      <c r="L888" s="4" t="s">
        <v>4885</v>
      </c>
      <c r="M888" s="4" t="s">
        <v>5035</v>
      </c>
      <c r="N888" t="s">
        <v>3279</v>
      </c>
      <c r="O888" t="s">
        <v>3280</v>
      </c>
      <c r="P888" t="s">
        <v>23</v>
      </c>
      <c r="Q888" t="s">
        <v>24</v>
      </c>
      <c r="R888" t="s">
        <v>25</v>
      </c>
      <c r="S888" t="s">
        <v>26</v>
      </c>
      <c r="T888" s="6">
        <v>46307</v>
      </c>
      <c r="U888">
        <v>84</v>
      </c>
      <c r="V888">
        <v>84</v>
      </c>
      <c r="W888">
        <v>96</v>
      </c>
      <c r="X888">
        <v>96</v>
      </c>
      <c r="Y888">
        <f t="shared" si="134"/>
        <v>0</v>
      </c>
      <c r="Z888">
        <f t="shared" si="135"/>
        <v>-12</v>
      </c>
      <c r="AC888" s="1">
        <v>0</v>
      </c>
      <c r="AF888">
        <f t="shared" si="141"/>
        <v>84</v>
      </c>
      <c r="AG888" s="7">
        <v>12</v>
      </c>
      <c r="AH888">
        <f t="shared" si="136"/>
        <v>84</v>
      </c>
      <c r="AI888">
        <f t="shared" si="133"/>
        <v>0</v>
      </c>
      <c r="AK888">
        <f t="shared" si="137"/>
        <v>7</v>
      </c>
      <c r="AL888">
        <v>12.89</v>
      </c>
      <c r="AM888" t="s">
        <v>27</v>
      </c>
      <c r="AN888">
        <v>12.89</v>
      </c>
      <c r="AO888" t="b">
        <f t="shared" si="138"/>
        <v>1</v>
      </c>
      <c r="AR888" t="s">
        <v>5061</v>
      </c>
      <c r="AS888" s="21">
        <v>46276</v>
      </c>
      <c r="AT888" t="s">
        <v>5062</v>
      </c>
      <c r="AU888" t="s">
        <v>5078</v>
      </c>
      <c r="AV888" t="s">
        <v>5062</v>
      </c>
      <c r="AW888" t="s">
        <v>5086</v>
      </c>
    </row>
    <row r="889" spans="1:49" x14ac:dyDescent="0.35">
      <c r="A889" t="s">
        <v>2796</v>
      </c>
      <c r="B889" t="s">
        <v>872</v>
      </c>
      <c r="C889" t="s">
        <v>4818</v>
      </c>
      <c r="D889" t="s">
        <v>18</v>
      </c>
      <c r="E889" t="s">
        <v>3281</v>
      </c>
      <c r="F889" t="s">
        <v>3282</v>
      </c>
      <c r="G889" t="s">
        <v>21</v>
      </c>
      <c r="H889" t="s">
        <v>4888</v>
      </c>
      <c r="I889" t="s">
        <v>5003</v>
      </c>
      <c r="J889" s="4" t="s">
        <v>5004</v>
      </c>
      <c r="K889" s="4" t="s">
        <v>5015</v>
      </c>
      <c r="L889" s="4" t="s">
        <v>4924</v>
      </c>
      <c r="M889" s="4" t="s">
        <v>5035</v>
      </c>
      <c r="N889" t="s">
        <v>3283</v>
      </c>
      <c r="O889" t="s">
        <v>3284</v>
      </c>
      <c r="P889" t="s">
        <v>23</v>
      </c>
      <c r="Q889" t="s">
        <v>24</v>
      </c>
      <c r="R889" t="s">
        <v>25</v>
      </c>
      <c r="S889" t="s">
        <v>26</v>
      </c>
      <c r="T889" s="6">
        <v>46307</v>
      </c>
      <c r="U889">
        <v>48</v>
      </c>
      <c r="V889">
        <v>48</v>
      </c>
      <c r="W889">
        <v>36</v>
      </c>
      <c r="X889">
        <v>36</v>
      </c>
      <c r="Y889">
        <f t="shared" si="134"/>
        <v>0</v>
      </c>
      <c r="Z889">
        <f t="shared" si="135"/>
        <v>12</v>
      </c>
      <c r="AA889">
        <f>Z889</f>
        <v>12</v>
      </c>
      <c r="AC889" s="1">
        <v>0</v>
      </c>
      <c r="AF889">
        <f>X889</f>
        <v>36</v>
      </c>
      <c r="AG889" s="7">
        <v>12</v>
      </c>
      <c r="AH889">
        <f t="shared" si="136"/>
        <v>36</v>
      </c>
      <c r="AI889">
        <f t="shared" si="133"/>
        <v>12</v>
      </c>
      <c r="AK889">
        <f t="shared" si="137"/>
        <v>3</v>
      </c>
      <c r="AL889">
        <v>13.01</v>
      </c>
      <c r="AM889" t="s">
        <v>27</v>
      </c>
      <c r="AN889">
        <v>13.01</v>
      </c>
      <c r="AO889" t="b">
        <f t="shared" si="138"/>
        <v>1</v>
      </c>
      <c r="AR889" t="s">
        <v>5061</v>
      </c>
      <c r="AS889" s="21">
        <v>46276</v>
      </c>
      <c r="AT889" t="s">
        <v>5062</v>
      </c>
      <c r="AU889" t="s">
        <v>5078</v>
      </c>
      <c r="AV889" t="s">
        <v>5062</v>
      </c>
      <c r="AW889" t="s">
        <v>5086</v>
      </c>
    </row>
    <row r="890" spans="1:49" x14ac:dyDescent="0.35">
      <c r="A890" t="s">
        <v>2796</v>
      </c>
      <c r="B890" t="s">
        <v>872</v>
      </c>
      <c r="C890" t="s">
        <v>4818</v>
      </c>
      <c r="D890" t="s">
        <v>18</v>
      </c>
      <c r="E890" t="s">
        <v>3285</v>
      </c>
      <c r="F890" t="s">
        <v>3286</v>
      </c>
      <c r="G890" t="s">
        <v>21</v>
      </c>
      <c r="H890" t="s">
        <v>4888</v>
      </c>
      <c r="I890" t="s">
        <v>5025</v>
      </c>
      <c r="J890" s="4" t="s">
        <v>5026</v>
      </c>
      <c r="K890" s="4" t="s">
        <v>5020</v>
      </c>
      <c r="L890" s="4" t="s">
        <v>4985</v>
      </c>
      <c r="M890" s="4" t="s">
        <v>5035</v>
      </c>
      <c r="N890" t="s">
        <v>3287</v>
      </c>
      <c r="O890" t="s">
        <v>3288</v>
      </c>
      <c r="P890" t="s">
        <v>23</v>
      </c>
      <c r="Q890" t="s">
        <v>24</v>
      </c>
      <c r="R890" t="s">
        <v>25</v>
      </c>
      <c r="S890" t="s">
        <v>26</v>
      </c>
      <c r="T890" s="6">
        <v>46307</v>
      </c>
      <c r="U890">
        <v>480</v>
      </c>
      <c r="V890">
        <v>480</v>
      </c>
      <c r="W890">
        <v>528</v>
      </c>
      <c r="X890">
        <v>528</v>
      </c>
      <c r="Y890">
        <f t="shared" si="134"/>
        <v>0</v>
      </c>
      <c r="Z890">
        <f t="shared" si="135"/>
        <v>-48</v>
      </c>
      <c r="AC890" s="1">
        <v>0</v>
      </c>
      <c r="AF890">
        <f>V890</f>
        <v>480</v>
      </c>
      <c r="AG890" s="7">
        <v>24</v>
      </c>
      <c r="AH890">
        <f t="shared" si="136"/>
        <v>480</v>
      </c>
      <c r="AI890">
        <f t="shared" si="133"/>
        <v>0</v>
      </c>
      <c r="AK890">
        <f t="shared" si="137"/>
        <v>20</v>
      </c>
      <c r="AL890">
        <v>6.2</v>
      </c>
      <c r="AM890" t="s">
        <v>27</v>
      </c>
      <c r="AN890">
        <v>6.2</v>
      </c>
      <c r="AO890" t="b">
        <f t="shared" si="138"/>
        <v>1</v>
      </c>
      <c r="AR890" t="s">
        <v>5061</v>
      </c>
      <c r="AS890" s="21">
        <v>46276</v>
      </c>
      <c r="AT890" t="s">
        <v>5062</v>
      </c>
      <c r="AU890" t="s">
        <v>5082</v>
      </c>
      <c r="AV890" t="s">
        <v>5062</v>
      </c>
      <c r="AW890" t="s">
        <v>5086</v>
      </c>
    </row>
    <row r="891" spans="1:49" x14ac:dyDescent="0.35">
      <c r="A891" t="s">
        <v>2796</v>
      </c>
      <c r="B891" t="s">
        <v>872</v>
      </c>
      <c r="C891" t="s">
        <v>4818</v>
      </c>
      <c r="D891" t="s">
        <v>18</v>
      </c>
      <c r="E891" t="s">
        <v>3289</v>
      </c>
      <c r="F891" t="s">
        <v>3290</v>
      </c>
      <c r="G891" t="s">
        <v>21</v>
      </c>
      <c r="H891" t="s">
        <v>4888</v>
      </c>
      <c r="I891" t="s">
        <v>5012</v>
      </c>
      <c r="J891" s="4" t="s">
        <v>5013</v>
      </c>
      <c r="K891" s="4" t="s">
        <v>4904</v>
      </c>
      <c r="L891" s="4" t="s">
        <v>4983</v>
      </c>
      <c r="M891" s="4" t="s">
        <v>5035</v>
      </c>
      <c r="N891" t="s">
        <v>3291</v>
      </c>
      <c r="O891" t="s">
        <v>3292</v>
      </c>
      <c r="P891" t="s">
        <v>23</v>
      </c>
      <c r="Q891" t="s">
        <v>24</v>
      </c>
      <c r="R891" t="s">
        <v>25</v>
      </c>
      <c r="S891" t="s">
        <v>26</v>
      </c>
      <c r="T891" s="6">
        <v>46307</v>
      </c>
      <c r="U891">
        <v>648</v>
      </c>
      <c r="V891">
        <v>648</v>
      </c>
      <c r="W891">
        <v>696</v>
      </c>
      <c r="X891">
        <v>696</v>
      </c>
      <c r="Y891">
        <f t="shared" si="134"/>
        <v>0</v>
      </c>
      <c r="Z891">
        <f t="shared" si="135"/>
        <v>-48</v>
      </c>
      <c r="AC891" s="1"/>
      <c r="AF891">
        <f>V891</f>
        <v>648</v>
      </c>
      <c r="AG891" s="7">
        <v>24</v>
      </c>
      <c r="AH891">
        <f t="shared" si="136"/>
        <v>648</v>
      </c>
      <c r="AI891">
        <f t="shared" si="133"/>
        <v>0</v>
      </c>
      <c r="AK891">
        <f t="shared" si="137"/>
        <v>27</v>
      </c>
      <c r="AL891">
        <v>6.15</v>
      </c>
      <c r="AM891" t="s">
        <v>27</v>
      </c>
      <c r="AN891">
        <v>6.15</v>
      </c>
      <c r="AO891" t="b">
        <f t="shared" si="138"/>
        <v>1</v>
      </c>
      <c r="AR891" t="s">
        <v>5061</v>
      </c>
      <c r="AS891" s="21">
        <v>46276</v>
      </c>
      <c r="AT891" t="s">
        <v>5062</v>
      </c>
      <c r="AU891" t="s">
        <v>5081</v>
      </c>
      <c r="AV891" t="s">
        <v>5062</v>
      </c>
      <c r="AW891" t="s">
        <v>5086</v>
      </c>
    </row>
    <row r="892" spans="1:49" x14ac:dyDescent="0.35">
      <c r="A892" t="s">
        <v>2796</v>
      </c>
      <c r="B892" t="s">
        <v>872</v>
      </c>
      <c r="C892" t="s">
        <v>4818</v>
      </c>
      <c r="D892" t="s">
        <v>18</v>
      </c>
      <c r="E892" t="s">
        <v>3293</v>
      </c>
      <c r="F892" t="s">
        <v>3294</v>
      </c>
      <c r="G892" t="s">
        <v>21</v>
      </c>
      <c r="H892" t="s">
        <v>4888</v>
      </c>
      <c r="I892" t="s">
        <v>5012</v>
      </c>
      <c r="J892" s="4" t="s">
        <v>5013</v>
      </c>
      <c r="K892" s="4" t="s">
        <v>4984</v>
      </c>
      <c r="L892" s="4" t="s">
        <v>4989</v>
      </c>
      <c r="M892" s="4" t="s">
        <v>5035</v>
      </c>
      <c r="N892" t="s">
        <v>3295</v>
      </c>
      <c r="O892" t="s">
        <v>3296</v>
      </c>
      <c r="P892" t="s">
        <v>23</v>
      </c>
      <c r="Q892" t="s">
        <v>24</v>
      </c>
      <c r="R892" t="s">
        <v>25</v>
      </c>
      <c r="S892" t="s">
        <v>26</v>
      </c>
      <c r="T892" s="6">
        <v>46307</v>
      </c>
      <c r="U892">
        <v>456</v>
      </c>
      <c r="V892">
        <v>456</v>
      </c>
      <c r="W892">
        <v>504</v>
      </c>
      <c r="X892">
        <v>504</v>
      </c>
      <c r="Y892">
        <f t="shared" si="134"/>
        <v>0</v>
      </c>
      <c r="Z892">
        <f t="shared" si="135"/>
        <v>-48</v>
      </c>
      <c r="AC892" s="1">
        <v>0</v>
      </c>
      <c r="AF892">
        <f>V892</f>
        <v>456</v>
      </c>
      <c r="AG892" s="7">
        <v>24</v>
      </c>
      <c r="AH892">
        <f t="shared" si="136"/>
        <v>456</v>
      </c>
      <c r="AI892">
        <f t="shared" si="133"/>
        <v>0</v>
      </c>
      <c r="AK892">
        <f t="shared" si="137"/>
        <v>19</v>
      </c>
      <c r="AL892">
        <v>6.05</v>
      </c>
      <c r="AM892" t="s">
        <v>27</v>
      </c>
      <c r="AN892">
        <v>6.05</v>
      </c>
      <c r="AO892" t="b">
        <f t="shared" si="138"/>
        <v>1</v>
      </c>
      <c r="AR892" t="s">
        <v>5061</v>
      </c>
      <c r="AS892" s="21">
        <v>46276</v>
      </c>
      <c r="AT892" t="s">
        <v>5062</v>
      </c>
      <c r="AU892" t="s">
        <v>5081</v>
      </c>
      <c r="AV892" t="s">
        <v>5062</v>
      </c>
      <c r="AW892" t="s">
        <v>5086</v>
      </c>
    </row>
    <row r="893" spans="1:49" x14ac:dyDescent="0.35">
      <c r="A893" t="s">
        <v>2796</v>
      </c>
      <c r="B893" t="s">
        <v>872</v>
      </c>
      <c r="C893" t="s">
        <v>4818</v>
      </c>
      <c r="D893" t="s">
        <v>18</v>
      </c>
      <c r="E893" t="s">
        <v>3297</v>
      </c>
      <c r="F893" t="s">
        <v>3298</v>
      </c>
      <c r="G893" t="s">
        <v>21</v>
      </c>
      <c r="H893" t="s">
        <v>4888</v>
      </c>
      <c r="I893" t="s">
        <v>5005</v>
      </c>
      <c r="J893" s="4" t="s">
        <v>5006</v>
      </c>
      <c r="K893" s="4" t="s">
        <v>5007</v>
      </c>
      <c r="L893" s="4">
        <v>34</v>
      </c>
      <c r="M893" s="4" t="s">
        <v>5035</v>
      </c>
      <c r="N893" t="s">
        <v>3299</v>
      </c>
      <c r="O893" t="s">
        <v>3300</v>
      </c>
      <c r="P893" t="s">
        <v>23</v>
      </c>
      <c r="Q893" t="s">
        <v>24</v>
      </c>
      <c r="R893" t="s">
        <v>25</v>
      </c>
      <c r="S893" t="s">
        <v>26</v>
      </c>
      <c r="T893" s="6">
        <v>46307</v>
      </c>
      <c r="U893">
        <v>672</v>
      </c>
      <c r="V893">
        <v>672</v>
      </c>
      <c r="W893">
        <v>720</v>
      </c>
      <c r="X893">
        <v>720</v>
      </c>
      <c r="Y893">
        <f t="shared" si="134"/>
        <v>0</v>
      </c>
      <c r="Z893">
        <f t="shared" si="135"/>
        <v>-48</v>
      </c>
      <c r="AC893" s="1">
        <v>0</v>
      </c>
      <c r="AF893">
        <f>V893</f>
        <v>672</v>
      </c>
      <c r="AG893" s="7">
        <v>24</v>
      </c>
      <c r="AH893">
        <f t="shared" si="136"/>
        <v>672</v>
      </c>
      <c r="AI893">
        <f t="shared" si="133"/>
        <v>0</v>
      </c>
      <c r="AK893">
        <f t="shared" si="137"/>
        <v>28</v>
      </c>
      <c r="AL893">
        <v>10.45</v>
      </c>
      <c r="AM893" t="s">
        <v>27</v>
      </c>
      <c r="AN893">
        <v>10.45</v>
      </c>
      <c r="AO893" t="b">
        <f t="shared" si="138"/>
        <v>1</v>
      </c>
      <c r="AR893" t="s">
        <v>5061</v>
      </c>
      <c r="AS893" s="21">
        <v>46276</v>
      </c>
      <c r="AT893" t="s">
        <v>5062</v>
      </c>
      <c r="AU893" t="s">
        <v>5079</v>
      </c>
      <c r="AV893" t="s">
        <v>5062</v>
      </c>
      <c r="AW893" t="s">
        <v>5086</v>
      </c>
    </row>
    <row r="894" spans="1:49" x14ac:dyDescent="0.35">
      <c r="A894" t="s">
        <v>2796</v>
      </c>
      <c r="B894" t="s">
        <v>872</v>
      </c>
      <c r="C894" t="s">
        <v>4818</v>
      </c>
      <c r="D894" t="s">
        <v>18</v>
      </c>
      <c r="E894" t="s">
        <v>3301</v>
      </c>
      <c r="F894" t="s">
        <v>3302</v>
      </c>
      <c r="G894" t="s">
        <v>21</v>
      </c>
      <c r="H894" t="s">
        <v>4888</v>
      </c>
      <c r="I894" t="s">
        <v>5003</v>
      </c>
      <c r="J894" s="4" t="s">
        <v>5004</v>
      </c>
      <c r="K894" s="4" t="s">
        <v>4837</v>
      </c>
      <c r="L894" s="4" t="s">
        <v>4892</v>
      </c>
      <c r="M894" s="4" t="s">
        <v>5035</v>
      </c>
      <c r="N894" t="s">
        <v>3303</v>
      </c>
      <c r="O894" t="s">
        <v>3304</v>
      </c>
      <c r="P894" t="s">
        <v>23</v>
      </c>
      <c r="Q894" t="s">
        <v>24</v>
      </c>
      <c r="R894" t="s">
        <v>25</v>
      </c>
      <c r="S894" t="s">
        <v>26</v>
      </c>
      <c r="T894" s="6">
        <v>46307</v>
      </c>
      <c r="U894">
        <v>60</v>
      </c>
      <c r="V894">
        <v>60</v>
      </c>
      <c r="W894">
        <v>60</v>
      </c>
      <c r="X894">
        <v>60</v>
      </c>
      <c r="Y894">
        <f t="shared" si="134"/>
        <v>0</v>
      </c>
      <c r="Z894">
        <f t="shared" si="135"/>
        <v>0</v>
      </c>
      <c r="AC894" s="1">
        <v>0</v>
      </c>
      <c r="AF894">
        <f>V894</f>
        <v>60</v>
      </c>
      <c r="AG894" s="7">
        <v>12</v>
      </c>
      <c r="AH894">
        <f t="shared" si="136"/>
        <v>60</v>
      </c>
      <c r="AI894">
        <f t="shared" si="133"/>
        <v>0</v>
      </c>
      <c r="AK894">
        <f t="shared" si="137"/>
        <v>5</v>
      </c>
      <c r="AL894">
        <v>12.87</v>
      </c>
      <c r="AM894" t="s">
        <v>27</v>
      </c>
      <c r="AN894">
        <v>12.87</v>
      </c>
      <c r="AO894" t="b">
        <f t="shared" si="138"/>
        <v>1</v>
      </c>
      <c r="AR894" t="s">
        <v>5061</v>
      </c>
      <c r="AS894" s="21">
        <v>46276</v>
      </c>
      <c r="AT894" t="s">
        <v>5062</v>
      </c>
      <c r="AU894" t="s">
        <v>5078</v>
      </c>
      <c r="AV894" t="s">
        <v>5062</v>
      </c>
      <c r="AW894" t="s">
        <v>5086</v>
      </c>
    </row>
    <row r="895" spans="1:49" x14ac:dyDescent="0.35">
      <c r="A895" t="s">
        <v>2796</v>
      </c>
      <c r="B895" t="s">
        <v>872</v>
      </c>
      <c r="C895" t="s">
        <v>4818</v>
      </c>
      <c r="D895" t="s">
        <v>18</v>
      </c>
      <c r="E895" t="s">
        <v>3305</v>
      </c>
      <c r="F895" t="s">
        <v>3306</v>
      </c>
      <c r="G895" t="s">
        <v>21</v>
      </c>
      <c r="H895" t="s">
        <v>4888</v>
      </c>
      <c r="I895" t="s">
        <v>5005</v>
      </c>
      <c r="J895" s="4" t="s">
        <v>5006</v>
      </c>
      <c r="K895" s="4" t="s">
        <v>5027</v>
      </c>
      <c r="L895" s="4">
        <v>32</v>
      </c>
      <c r="M895" s="4" t="s">
        <v>5035</v>
      </c>
      <c r="N895" t="s">
        <v>3307</v>
      </c>
      <c r="O895" t="s">
        <v>3308</v>
      </c>
      <c r="P895" t="s">
        <v>23</v>
      </c>
      <c r="Q895" t="s">
        <v>24</v>
      </c>
      <c r="R895" t="s">
        <v>25</v>
      </c>
      <c r="S895" t="s">
        <v>26</v>
      </c>
      <c r="T895" s="6">
        <v>46307</v>
      </c>
      <c r="U895">
        <v>600</v>
      </c>
      <c r="V895">
        <v>600</v>
      </c>
      <c r="W895">
        <v>576</v>
      </c>
      <c r="X895">
        <v>576</v>
      </c>
      <c r="Y895">
        <f t="shared" si="134"/>
        <v>0</v>
      </c>
      <c r="Z895">
        <f t="shared" si="135"/>
        <v>24</v>
      </c>
      <c r="AA895">
        <f>Z895</f>
        <v>24</v>
      </c>
      <c r="AC895" s="1">
        <v>0</v>
      </c>
      <c r="AF895">
        <f>X895</f>
        <v>576</v>
      </c>
      <c r="AG895" s="7">
        <v>24</v>
      </c>
      <c r="AH895">
        <f t="shared" si="136"/>
        <v>576</v>
      </c>
      <c r="AI895">
        <f t="shared" si="133"/>
        <v>24</v>
      </c>
      <c r="AK895">
        <f t="shared" si="137"/>
        <v>24</v>
      </c>
      <c r="AL895">
        <v>10.24</v>
      </c>
      <c r="AM895" t="s">
        <v>27</v>
      </c>
      <c r="AN895">
        <v>10.24</v>
      </c>
      <c r="AO895" t="b">
        <f t="shared" si="138"/>
        <v>1</v>
      </c>
      <c r="AR895" t="s">
        <v>5061</v>
      </c>
      <c r="AS895" s="21">
        <v>46276</v>
      </c>
      <c r="AT895" t="s">
        <v>5062</v>
      </c>
      <c r="AU895" t="s">
        <v>5079</v>
      </c>
      <c r="AV895" t="s">
        <v>5062</v>
      </c>
      <c r="AW895" t="s">
        <v>5086</v>
      </c>
    </row>
    <row r="896" spans="1:49" x14ac:dyDescent="0.35">
      <c r="A896" t="s">
        <v>2796</v>
      </c>
      <c r="B896" t="s">
        <v>872</v>
      </c>
      <c r="C896" t="s">
        <v>4818</v>
      </c>
      <c r="D896" t="s">
        <v>18</v>
      </c>
      <c r="E896" t="s">
        <v>3309</v>
      </c>
      <c r="F896" t="s">
        <v>3310</v>
      </c>
      <c r="G896" t="s">
        <v>21</v>
      </c>
      <c r="H896" t="s">
        <v>4888</v>
      </c>
      <c r="I896" t="s">
        <v>5008</v>
      </c>
      <c r="J896" s="4" t="s">
        <v>5009</v>
      </c>
      <c r="K896" s="4" t="s">
        <v>4904</v>
      </c>
      <c r="L896" s="4">
        <v>32</v>
      </c>
      <c r="M896" s="4" t="s">
        <v>5035</v>
      </c>
      <c r="N896" t="s">
        <v>3311</v>
      </c>
      <c r="O896" t="s">
        <v>3312</v>
      </c>
      <c r="P896" t="s">
        <v>23</v>
      </c>
      <c r="Q896" t="s">
        <v>24</v>
      </c>
      <c r="R896" t="s">
        <v>25</v>
      </c>
      <c r="S896" t="s">
        <v>26</v>
      </c>
      <c r="T896" s="6">
        <v>46307</v>
      </c>
      <c r="U896">
        <v>576</v>
      </c>
      <c r="V896">
        <v>576</v>
      </c>
      <c r="W896">
        <v>624</v>
      </c>
      <c r="X896">
        <v>624</v>
      </c>
      <c r="Y896">
        <f t="shared" si="134"/>
        <v>0</v>
      </c>
      <c r="Z896">
        <f t="shared" si="135"/>
        <v>-48</v>
      </c>
      <c r="AC896" s="1"/>
      <c r="AF896">
        <f t="shared" ref="AF896:AF903" si="142">V896</f>
        <v>576</v>
      </c>
      <c r="AG896" s="7">
        <v>24</v>
      </c>
      <c r="AH896">
        <f t="shared" si="136"/>
        <v>576</v>
      </c>
      <c r="AI896">
        <f t="shared" si="133"/>
        <v>0</v>
      </c>
      <c r="AK896">
        <f t="shared" si="137"/>
        <v>24</v>
      </c>
      <c r="AL896">
        <v>10.11</v>
      </c>
      <c r="AM896" t="s">
        <v>27</v>
      </c>
      <c r="AN896">
        <v>10.11</v>
      </c>
      <c r="AO896" t="b">
        <f t="shared" si="138"/>
        <v>1</v>
      </c>
      <c r="AR896" t="s">
        <v>5061</v>
      </c>
      <c r="AS896" s="21">
        <v>46276</v>
      </c>
      <c r="AT896" t="s">
        <v>5062</v>
      </c>
      <c r="AU896" t="s">
        <v>5080</v>
      </c>
      <c r="AV896" t="s">
        <v>5062</v>
      </c>
      <c r="AW896" t="s">
        <v>5086</v>
      </c>
    </row>
    <row r="897" spans="1:49" x14ac:dyDescent="0.35">
      <c r="A897" t="s">
        <v>2796</v>
      </c>
      <c r="B897" t="s">
        <v>872</v>
      </c>
      <c r="C897" t="s">
        <v>4818</v>
      </c>
      <c r="D897" t="s">
        <v>18</v>
      </c>
      <c r="E897" t="s">
        <v>3313</v>
      </c>
      <c r="F897" t="s">
        <v>3314</v>
      </c>
      <c r="G897" t="s">
        <v>21</v>
      </c>
      <c r="H897" t="s">
        <v>4888</v>
      </c>
      <c r="I897" t="s">
        <v>5003</v>
      </c>
      <c r="J897" s="4" t="s">
        <v>5004</v>
      </c>
      <c r="K897" s="4" t="s">
        <v>5016</v>
      </c>
      <c r="L897" s="4" t="s">
        <v>4895</v>
      </c>
      <c r="M897" s="4" t="s">
        <v>5035</v>
      </c>
      <c r="N897" t="s">
        <v>3315</v>
      </c>
      <c r="O897" t="s">
        <v>3316</v>
      </c>
      <c r="P897" t="s">
        <v>23</v>
      </c>
      <c r="Q897" t="s">
        <v>24</v>
      </c>
      <c r="R897" t="s">
        <v>25</v>
      </c>
      <c r="S897" t="s">
        <v>26</v>
      </c>
      <c r="T897" s="6">
        <v>46307</v>
      </c>
      <c r="U897">
        <v>24</v>
      </c>
      <c r="V897">
        <v>24</v>
      </c>
      <c r="W897">
        <v>24</v>
      </c>
      <c r="X897">
        <v>24</v>
      </c>
      <c r="Y897">
        <f t="shared" si="134"/>
        <v>0</v>
      </c>
      <c r="Z897">
        <f t="shared" si="135"/>
        <v>0</v>
      </c>
      <c r="AC897" s="1">
        <v>0</v>
      </c>
      <c r="AF897">
        <f t="shared" si="142"/>
        <v>24</v>
      </c>
      <c r="AG897" s="7">
        <v>12</v>
      </c>
      <c r="AH897">
        <f t="shared" si="136"/>
        <v>24</v>
      </c>
      <c r="AI897">
        <f t="shared" si="133"/>
        <v>0</v>
      </c>
      <c r="AK897">
        <f t="shared" si="137"/>
        <v>2</v>
      </c>
      <c r="AL897">
        <v>13.33</v>
      </c>
      <c r="AM897" t="s">
        <v>27</v>
      </c>
      <c r="AN897">
        <v>13.33</v>
      </c>
      <c r="AO897" t="b">
        <f t="shared" si="138"/>
        <v>1</v>
      </c>
      <c r="AR897" t="s">
        <v>5061</v>
      </c>
      <c r="AS897" s="21">
        <v>46276</v>
      </c>
      <c r="AT897" t="s">
        <v>5062</v>
      </c>
      <c r="AU897" t="s">
        <v>5078</v>
      </c>
      <c r="AV897" t="s">
        <v>5062</v>
      </c>
      <c r="AW897" t="s">
        <v>5086</v>
      </c>
    </row>
    <row r="898" spans="1:49" x14ac:dyDescent="0.35">
      <c r="A898" t="s">
        <v>2796</v>
      </c>
      <c r="B898" t="s">
        <v>872</v>
      </c>
      <c r="C898" t="s">
        <v>4818</v>
      </c>
      <c r="D898" t="s">
        <v>18</v>
      </c>
      <c r="E898" t="s">
        <v>3317</v>
      </c>
      <c r="F898" t="s">
        <v>3318</v>
      </c>
      <c r="G898" t="s">
        <v>21</v>
      </c>
      <c r="H898" t="s">
        <v>4888</v>
      </c>
      <c r="I898" t="s">
        <v>5003</v>
      </c>
      <c r="J898" s="4" t="s">
        <v>5004</v>
      </c>
      <c r="K898" s="4" t="s">
        <v>5015</v>
      </c>
      <c r="L898" s="4" t="s">
        <v>4923</v>
      </c>
      <c r="M898" s="4" t="s">
        <v>5035</v>
      </c>
      <c r="N898" t="s">
        <v>3319</v>
      </c>
      <c r="O898" t="s">
        <v>3320</v>
      </c>
      <c r="P898" t="s">
        <v>23</v>
      </c>
      <c r="Q898" t="s">
        <v>24</v>
      </c>
      <c r="R898" t="s">
        <v>25</v>
      </c>
      <c r="S898" t="s">
        <v>26</v>
      </c>
      <c r="T898" s="6">
        <v>46307</v>
      </c>
      <c r="U898">
        <v>24</v>
      </c>
      <c r="V898">
        <v>24</v>
      </c>
      <c r="W898">
        <v>24</v>
      </c>
      <c r="X898">
        <v>24</v>
      </c>
      <c r="Y898">
        <f t="shared" si="134"/>
        <v>0</v>
      </c>
      <c r="Z898">
        <f t="shared" si="135"/>
        <v>0</v>
      </c>
      <c r="AC898" s="1">
        <v>0</v>
      </c>
      <c r="AF898">
        <f t="shared" si="142"/>
        <v>24</v>
      </c>
      <c r="AG898" s="7">
        <v>12</v>
      </c>
      <c r="AH898">
        <f t="shared" si="136"/>
        <v>24</v>
      </c>
      <c r="AI898">
        <f t="shared" si="133"/>
        <v>0</v>
      </c>
      <c r="AK898">
        <f t="shared" si="137"/>
        <v>2</v>
      </c>
      <c r="AL898">
        <v>13.01</v>
      </c>
      <c r="AM898" t="s">
        <v>27</v>
      </c>
      <c r="AN898">
        <v>13.01</v>
      </c>
      <c r="AO898" t="b">
        <f t="shared" si="138"/>
        <v>1</v>
      </c>
      <c r="AR898" t="s">
        <v>5061</v>
      </c>
      <c r="AS898" s="21">
        <v>46276</v>
      </c>
      <c r="AT898" t="s">
        <v>5062</v>
      </c>
      <c r="AU898" t="s">
        <v>5078</v>
      </c>
      <c r="AV898" t="s">
        <v>5062</v>
      </c>
      <c r="AW898" t="s">
        <v>5086</v>
      </c>
    </row>
    <row r="899" spans="1:49" x14ac:dyDescent="0.35">
      <c r="A899" t="s">
        <v>2796</v>
      </c>
      <c r="B899" t="s">
        <v>872</v>
      </c>
      <c r="C899" t="s">
        <v>4818</v>
      </c>
      <c r="D899" t="s">
        <v>18</v>
      </c>
      <c r="E899" t="s">
        <v>3321</v>
      </c>
      <c r="F899" t="s">
        <v>3322</v>
      </c>
      <c r="G899" t="s">
        <v>21</v>
      </c>
      <c r="H899" t="s">
        <v>4888</v>
      </c>
      <c r="I899" t="s">
        <v>5003</v>
      </c>
      <c r="J899" s="4" t="s">
        <v>5004</v>
      </c>
      <c r="K899" s="4" t="s">
        <v>4904</v>
      </c>
      <c r="L899" s="4" t="s">
        <v>4912</v>
      </c>
      <c r="M899" s="4" t="s">
        <v>5035</v>
      </c>
      <c r="N899" t="s">
        <v>3323</v>
      </c>
      <c r="O899" t="s">
        <v>3324</v>
      </c>
      <c r="P899" t="s">
        <v>23</v>
      </c>
      <c r="Q899" t="s">
        <v>24</v>
      </c>
      <c r="R899" t="s">
        <v>25</v>
      </c>
      <c r="S899" t="s">
        <v>26</v>
      </c>
      <c r="T899" s="6">
        <v>46307</v>
      </c>
      <c r="U899">
        <v>48</v>
      </c>
      <c r="V899">
        <v>48</v>
      </c>
      <c r="W899">
        <v>48</v>
      </c>
      <c r="X899">
        <v>48</v>
      </c>
      <c r="Y899">
        <f t="shared" si="134"/>
        <v>0</v>
      </c>
      <c r="Z899">
        <f t="shared" si="135"/>
        <v>0</v>
      </c>
      <c r="AC899" s="1">
        <v>0</v>
      </c>
      <c r="AF899">
        <f t="shared" si="142"/>
        <v>48</v>
      </c>
      <c r="AG899" s="7">
        <v>12</v>
      </c>
      <c r="AH899">
        <f t="shared" si="136"/>
        <v>48</v>
      </c>
      <c r="AI899">
        <f t="shared" ref="AI899:AI962" si="143">V899-AH899</f>
        <v>0</v>
      </c>
      <c r="AK899">
        <f t="shared" si="137"/>
        <v>4</v>
      </c>
      <c r="AL899">
        <v>12.89</v>
      </c>
      <c r="AM899" t="s">
        <v>27</v>
      </c>
      <c r="AN899">
        <v>12.89</v>
      </c>
      <c r="AO899" t="b">
        <f t="shared" si="138"/>
        <v>1</v>
      </c>
      <c r="AR899" t="s">
        <v>5061</v>
      </c>
      <c r="AS899" s="21">
        <v>46276</v>
      </c>
      <c r="AT899" t="s">
        <v>5062</v>
      </c>
      <c r="AU899" t="s">
        <v>5078</v>
      </c>
      <c r="AV899" t="s">
        <v>5062</v>
      </c>
      <c r="AW899" t="s">
        <v>5086</v>
      </c>
    </row>
    <row r="900" spans="1:49" x14ac:dyDescent="0.35">
      <c r="A900" t="s">
        <v>2796</v>
      </c>
      <c r="B900" t="s">
        <v>872</v>
      </c>
      <c r="C900" t="s">
        <v>4818</v>
      </c>
      <c r="D900" t="s">
        <v>18</v>
      </c>
      <c r="E900" t="s">
        <v>3325</v>
      </c>
      <c r="F900" t="s">
        <v>3326</v>
      </c>
      <c r="G900" t="s">
        <v>21</v>
      </c>
      <c r="H900" t="s">
        <v>4888</v>
      </c>
      <c r="I900" t="s">
        <v>5003</v>
      </c>
      <c r="J900" s="4" t="s">
        <v>5004</v>
      </c>
      <c r="K900" s="4" t="s">
        <v>5016</v>
      </c>
      <c r="L900" s="4" t="s">
        <v>4880</v>
      </c>
      <c r="M900" s="4" t="s">
        <v>5035</v>
      </c>
      <c r="N900" t="s">
        <v>3327</v>
      </c>
      <c r="O900" t="s">
        <v>3328</v>
      </c>
      <c r="P900" t="s">
        <v>23</v>
      </c>
      <c r="Q900" t="s">
        <v>24</v>
      </c>
      <c r="R900" t="s">
        <v>25</v>
      </c>
      <c r="S900" t="s">
        <v>26</v>
      </c>
      <c r="T900" s="6">
        <v>46307</v>
      </c>
      <c r="U900">
        <v>24</v>
      </c>
      <c r="V900">
        <v>24</v>
      </c>
      <c r="W900">
        <v>24</v>
      </c>
      <c r="X900">
        <v>24</v>
      </c>
      <c r="Y900">
        <f t="shared" ref="Y900:Y963" si="144">W900-X900</f>
        <v>0</v>
      </c>
      <c r="Z900">
        <f t="shared" ref="Z900:Z963" si="145">V900-X900</f>
        <v>0</v>
      </c>
      <c r="AC900" s="1">
        <v>0</v>
      </c>
      <c r="AF900">
        <f t="shared" si="142"/>
        <v>24</v>
      </c>
      <c r="AG900" s="7">
        <v>12</v>
      </c>
      <c r="AH900">
        <f t="shared" ref="AH900:AH963" si="146">ROUNDUP(AF900/AG900,0)*AG900</f>
        <v>24</v>
      </c>
      <c r="AI900">
        <f t="shared" si="143"/>
        <v>0</v>
      </c>
      <c r="AK900">
        <f t="shared" ref="AK900:AK963" si="147">AH900/AG900</f>
        <v>2</v>
      </c>
      <c r="AL900">
        <v>13.33</v>
      </c>
      <c r="AM900" t="s">
        <v>27</v>
      </c>
      <c r="AN900">
        <v>13.33</v>
      </c>
      <c r="AO900" t="b">
        <f t="shared" ref="AO900:AO963" si="148">AL900=AN900</f>
        <v>1</v>
      </c>
      <c r="AR900" t="s">
        <v>5061</v>
      </c>
      <c r="AS900" s="21">
        <v>46276</v>
      </c>
      <c r="AT900" t="s">
        <v>5062</v>
      </c>
      <c r="AU900" t="s">
        <v>5078</v>
      </c>
      <c r="AV900" t="s">
        <v>5062</v>
      </c>
      <c r="AW900" t="s">
        <v>5086</v>
      </c>
    </row>
    <row r="901" spans="1:49" x14ac:dyDescent="0.35">
      <c r="A901" t="s">
        <v>2796</v>
      </c>
      <c r="B901" t="s">
        <v>872</v>
      </c>
      <c r="C901" t="s">
        <v>4818</v>
      </c>
      <c r="D901" t="s">
        <v>18</v>
      </c>
      <c r="E901" t="s">
        <v>3329</v>
      </c>
      <c r="F901" t="s">
        <v>3330</v>
      </c>
      <c r="G901" t="s">
        <v>21</v>
      </c>
      <c r="H901" t="s">
        <v>4888</v>
      </c>
      <c r="I901" t="s">
        <v>5005</v>
      </c>
      <c r="J901" s="4" t="s">
        <v>5006</v>
      </c>
      <c r="K901" s="4" t="s">
        <v>5027</v>
      </c>
      <c r="L901" s="4">
        <v>38</v>
      </c>
      <c r="M901" s="4" t="s">
        <v>5035</v>
      </c>
      <c r="N901" t="s">
        <v>3331</v>
      </c>
      <c r="O901" t="s">
        <v>3332</v>
      </c>
      <c r="P901" t="s">
        <v>23</v>
      </c>
      <c r="Q901" t="s">
        <v>24</v>
      </c>
      <c r="R901" t="s">
        <v>25</v>
      </c>
      <c r="S901" t="s">
        <v>26</v>
      </c>
      <c r="T901" s="6">
        <v>46307</v>
      </c>
      <c r="U901">
        <v>696</v>
      </c>
      <c r="V901">
        <v>696</v>
      </c>
      <c r="W901">
        <v>744</v>
      </c>
      <c r="X901">
        <v>744</v>
      </c>
      <c r="Y901">
        <f t="shared" si="144"/>
        <v>0</v>
      </c>
      <c r="Z901">
        <f t="shared" si="145"/>
        <v>-48</v>
      </c>
      <c r="AC901" s="1"/>
      <c r="AF901">
        <f t="shared" si="142"/>
        <v>696</v>
      </c>
      <c r="AG901" s="7">
        <v>24</v>
      </c>
      <c r="AH901">
        <f t="shared" si="146"/>
        <v>696</v>
      </c>
      <c r="AI901">
        <f t="shared" si="143"/>
        <v>0</v>
      </c>
      <c r="AK901">
        <f t="shared" si="147"/>
        <v>29</v>
      </c>
      <c r="AL901">
        <v>10.24</v>
      </c>
      <c r="AM901" t="s">
        <v>27</v>
      </c>
      <c r="AN901">
        <v>10.24</v>
      </c>
      <c r="AO901" t="b">
        <f t="shared" si="148"/>
        <v>1</v>
      </c>
      <c r="AR901" t="s">
        <v>5061</v>
      </c>
      <c r="AS901" s="21">
        <v>46276</v>
      </c>
      <c r="AT901" t="s">
        <v>5062</v>
      </c>
      <c r="AU901" t="s">
        <v>5079</v>
      </c>
      <c r="AV901" t="s">
        <v>5062</v>
      </c>
      <c r="AW901" t="s">
        <v>5086</v>
      </c>
    </row>
    <row r="902" spans="1:49" x14ac:dyDescent="0.35">
      <c r="A902" t="s">
        <v>2796</v>
      </c>
      <c r="B902" t="s">
        <v>872</v>
      </c>
      <c r="C902" t="s">
        <v>4818</v>
      </c>
      <c r="D902" t="s">
        <v>18</v>
      </c>
      <c r="E902" t="s">
        <v>3333</v>
      </c>
      <c r="F902" t="s">
        <v>3334</v>
      </c>
      <c r="G902" t="s">
        <v>21</v>
      </c>
      <c r="H902" t="s">
        <v>4888</v>
      </c>
      <c r="I902" t="s">
        <v>5012</v>
      </c>
      <c r="J902" s="4" t="s">
        <v>5013</v>
      </c>
      <c r="K902" s="4" t="s">
        <v>4904</v>
      </c>
      <c r="L902" s="4" t="s">
        <v>4985</v>
      </c>
      <c r="M902" s="4" t="s">
        <v>5035</v>
      </c>
      <c r="N902" t="s">
        <v>3335</v>
      </c>
      <c r="O902" t="s">
        <v>3336</v>
      </c>
      <c r="P902" t="s">
        <v>23</v>
      </c>
      <c r="Q902" t="s">
        <v>24</v>
      </c>
      <c r="R902" t="s">
        <v>25</v>
      </c>
      <c r="S902" t="s">
        <v>26</v>
      </c>
      <c r="T902" s="6">
        <v>46307</v>
      </c>
      <c r="U902">
        <v>408</v>
      </c>
      <c r="V902">
        <v>408</v>
      </c>
      <c r="W902">
        <v>432</v>
      </c>
      <c r="X902">
        <v>432</v>
      </c>
      <c r="Y902">
        <f t="shared" si="144"/>
        <v>0</v>
      </c>
      <c r="Z902">
        <f t="shared" si="145"/>
        <v>-24</v>
      </c>
      <c r="AC902" s="1"/>
      <c r="AF902">
        <f t="shared" si="142"/>
        <v>408</v>
      </c>
      <c r="AG902" s="7">
        <v>24</v>
      </c>
      <c r="AH902">
        <f t="shared" si="146"/>
        <v>408</v>
      </c>
      <c r="AI902">
        <f t="shared" si="143"/>
        <v>0</v>
      </c>
      <c r="AK902">
        <f t="shared" si="147"/>
        <v>17</v>
      </c>
      <c r="AL902">
        <v>6.15</v>
      </c>
      <c r="AM902" t="s">
        <v>27</v>
      </c>
      <c r="AN902">
        <v>6.15</v>
      </c>
      <c r="AO902" t="b">
        <f t="shared" si="148"/>
        <v>1</v>
      </c>
      <c r="AR902" t="s">
        <v>5061</v>
      </c>
      <c r="AS902" s="21">
        <v>46276</v>
      </c>
      <c r="AT902" t="s">
        <v>5062</v>
      </c>
      <c r="AU902" t="s">
        <v>5081</v>
      </c>
      <c r="AV902" t="s">
        <v>5062</v>
      </c>
      <c r="AW902" t="s">
        <v>5086</v>
      </c>
    </row>
    <row r="903" spans="1:49" x14ac:dyDescent="0.35">
      <c r="A903" t="s">
        <v>2796</v>
      </c>
      <c r="B903" t="s">
        <v>872</v>
      </c>
      <c r="C903" t="s">
        <v>4818</v>
      </c>
      <c r="D903" t="s">
        <v>18</v>
      </c>
      <c r="E903" t="s">
        <v>3337</v>
      </c>
      <c r="F903" t="s">
        <v>3338</v>
      </c>
      <c r="G903" t="s">
        <v>21</v>
      </c>
      <c r="H903" t="s">
        <v>4888</v>
      </c>
      <c r="I903" t="s">
        <v>5022</v>
      </c>
      <c r="J903" s="4" t="s">
        <v>5023</v>
      </c>
      <c r="K903" s="4" t="s">
        <v>5024</v>
      </c>
      <c r="L903" s="4">
        <v>18</v>
      </c>
      <c r="M903" s="4" t="s">
        <v>5035</v>
      </c>
      <c r="N903" t="s">
        <v>3339</v>
      </c>
      <c r="O903" t="s">
        <v>3340</v>
      </c>
      <c r="P903" t="s">
        <v>23</v>
      </c>
      <c r="Q903" t="s">
        <v>24</v>
      </c>
      <c r="R903" t="s">
        <v>25</v>
      </c>
      <c r="S903" t="s">
        <v>26</v>
      </c>
      <c r="T903" s="6">
        <v>46307</v>
      </c>
      <c r="U903">
        <v>384</v>
      </c>
      <c r="V903">
        <v>384</v>
      </c>
      <c r="W903">
        <v>384</v>
      </c>
      <c r="X903">
        <v>384</v>
      </c>
      <c r="Y903">
        <f t="shared" si="144"/>
        <v>0</v>
      </c>
      <c r="Z903">
        <f t="shared" si="145"/>
        <v>0</v>
      </c>
      <c r="AC903" s="1">
        <v>0</v>
      </c>
      <c r="AF903">
        <f t="shared" si="142"/>
        <v>384</v>
      </c>
      <c r="AG903" s="7">
        <v>24</v>
      </c>
      <c r="AH903">
        <f t="shared" si="146"/>
        <v>384</v>
      </c>
      <c r="AI903">
        <f t="shared" si="143"/>
        <v>0</v>
      </c>
      <c r="AK903">
        <f t="shared" si="147"/>
        <v>16</v>
      </c>
      <c r="AL903">
        <v>6.99</v>
      </c>
      <c r="AM903" t="s">
        <v>27</v>
      </c>
      <c r="AN903">
        <v>8.68</v>
      </c>
      <c r="AO903" t="b">
        <f t="shared" si="148"/>
        <v>0</v>
      </c>
      <c r="AR903" t="s">
        <v>5061</v>
      </c>
      <c r="AS903" s="21">
        <v>46276</v>
      </c>
      <c r="AT903" t="s">
        <v>5062</v>
      </c>
      <c r="AU903" t="s">
        <v>5083</v>
      </c>
      <c r="AV903" t="s">
        <v>5062</v>
      </c>
      <c r="AW903" t="s">
        <v>5086</v>
      </c>
    </row>
    <row r="904" spans="1:49" x14ac:dyDescent="0.35">
      <c r="A904" t="s">
        <v>2796</v>
      </c>
      <c r="B904" t="s">
        <v>872</v>
      </c>
      <c r="C904" t="s">
        <v>4818</v>
      </c>
      <c r="D904" t="s">
        <v>18</v>
      </c>
      <c r="E904" t="s">
        <v>3341</v>
      </c>
      <c r="F904" t="s">
        <v>3342</v>
      </c>
      <c r="G904" t="s">
        <v>21</v>
      </c>
      <c r="H904" t="s">
        <v>4888</v>
      </c>
      <c r="I904" t="s">
        <v>5003</v>
      </c>
      <c r="J904" s="4" t="s">
        <v>5004</v>
      </c>
      <c r="K904" s="4" t="s">
        <v>5015</v>
      </c>
      <c r="L904" s="4" t="s">
        <v>4909</v>
      </c>
      <c r="M904" s="4" t="s">
        <v>5035</v>
      </c>
      <c r="N904" t="s">
        <v>3343</v>
      </c>
      <c r="O904" t="s">
        <v>3344</v>
      </c>
      <c r="P904" t="s">
        <v>23</v>
      </c>
      <c r="Q904" t="s">
        <v>24</v>
      </c>
      <c r="R904" t="s">
        <v>25</v>
      </c>
      <c r="S904" t="s">
        <v>26</v>
      </c>
      <c r="T904" s="6">
        <v>46307</v>
      </c>
      <c r="U904">
        <v>48</v>
      </c>
      <c r="V904">
        <v>48</v>
      </c>
      <c r="W904">
        <v>36</v>
      </c>
      <c r="X904">
        <v>36</v>
      </c>
      <c r="Y904">
        <f t="shared" si="144"/>
        <v>0</v>
      </c>
      <c r="Z904">
        <f t="shared" si="145"/>
        <v>12</v>
      </c>
      <c r="AA904">
        <f>Z904</f>
        <v>12</v>
      </c>
      <c r="AC904" s="1">
        <v>0</v>
      </c>
      <c r="AF904">
        <f>X904</f>
        <v>36</v>
      </c>
      <c r="AG904" s="7">
        <v>12</v>
      </c>
      <c r="AH904">
        <f t="shared" si="146"/>
        <v>36</v>
      </c>
      <c r="AI904">
        <f t="shared" si="143"/>
        <v>12</v>
      </c>
      <c r="AK904">
        <f t="shared" si="147"/>
        <v>3</v>
      </c>
      <c r="AL904">
        <v>13.01</v>
      </c>
      <c r="AM904" t="s">
        <v>27</v>
      </c>
      <c r="AN904">
        <v>13.01</v>
      </c>
      <c r="AO904" t="b">
        <f t="shared" si="148"/>
        <v>1</v>
      </c>
      <c r="AR904" t="s">
        <v>5061</v>
      </c>
      <c r="AS904" s="21">
        <v>46276</v>
      </c>
      <c r="AT904" t="s">
        <v>5062</v>
      </c>
      <c r="AU904" t="s">
        <v>5078</v>
      </c>
      <c r="AV904" t="s">
        <v>5062</v>
      </c>
      <c r="AW904" t="s">
        <v>5086</v>
      </c>
    </row>
    <row r="905" spans="1:49" x14ac:dyDescent="0.35">
      <c r="A905" t="s">
        <v>2796</v>
      </c>
      <c r="B905" t="s">
        <v>872</v>
      </c>
      <c r="C905" t="s">
        <v>4818</v>
      </c>
      <c r="D905" t="s">
        <v>18</v>
      </c>
      <c r="E905" t="s">
        <v>3345</v>
      </c>
      <c r="F905" t="s">
        <v>3346</v>
      </c>
      <c r="G905" t="s">
        <v>21</v>
      </c>
      <c r="H905" t="s">
        <v>4888</v>
      </c>
      <c r="I905" t="s">
        <v>5003</v>
      </c>
      <c r="J905" s="4" t="s">
        <v>5004</v>
      </c>
      <c r="K905" s="4" t="s">
        <v>4837</v>
      </c>
      <c r="L905" s="4" t="s">
        <v>4932</v>
      </c>
      <c r="M905" s="4" t="s">
        <v>5035</v>
      </c>
      <c r="N905" t="s">
        <v>3347</v>
      </c>
      <c r="O905" t="s">
        <v>3348</v>
      </c>
      <c r="P905" t="s">
        <v>23</v>
      </c>
      <c r="Q905" t="s">
        <v>24</v>
      </c>
      <c r="R905" t="s">
        <v>25</v>
      </c>
      <c r="S905" t="s">
        <v>26</v>
      </c>
      <c r="T905" s="6">
        <v>46307</v>
      </c>
      <c r="U905">
        <v>36</v>
      </c>
      <c r="V905">
        <v>36</v>
      </c>
      <c r="W905">
        <v>36</v>
      </c>
      <c r="X905">
        <v>36</v>
      </c>
      <c r="Y905">
        <f t="shared" si="144"/>
        <v>0</v>
      </c>
      <c r="Z905">
        <f t="shared" si="145"/>
        <v>0</v>
      </c>
      <c r="AC905" s="1">
        <v>0</v>
      </c>
      <c r="AF905">
        <f t="shared" ref="AF905:AF919" si="149">V905</f>
        <v>36</v>
      </c>
      <c r="AG905" s="7">
        <v>12</v>
      </c>
      <c r="AH905">
        <f t="shared" si="146"/>
        <v>36</v>
      </c>
      <c r="AI905">
        <f t="shared" si="143"/>
        <v>0</v>
      </c>
      <c r="AK905">
        <f t="shared" si="147"/>
        <v>3</v>
      </c>
      <c r="AL905">
        <v>12.87</v>
      </c>
      <c r="AM905" t="s">
        <v>27</v>
      </c>
      <c r="AN905">
        <v>12.87</v>
      </c>
      <c r="AO905" t="b">
        <f t="shared" si="148"/>
        <v>1</v>
      </c>
      <c r="AR905" t="s">
        <v>5061</v>
      </c>
      <c r="AS905" s="21">
        <v>46276</v>
      </c>
      <c r="AT905" t="s">
        <v>5062</v>
      </c>
      <c r="AU905" t="s">
        <v>5078</v>
      </c>
      <c r="AV905" t="s">
        <v>5062</v>
      </c>
      <c r="AW905" t="s">
        <v>5086</v>
      </c>
    </row>
    <row r="906" spans="1:49" x14ac:dyDescent="0.35">
      <c r="A906" t="s">
        <v>2796</v>
      </c>
      <c r="B906" t="s">
        <v>872</v>
      </c>
      <c r="C906" t="s">
        <v>4818</v>
      </c>
      <c r="D906" t="s">
        <v>18</v>
      </c>
      <c r="E906" t="s">
        <v>3349</v>
      </c>
      <c r="F906" t="s">
        <v>3350</v>
      </c>
      <c r="G906" t="s">
        <v>21</v>
      </c>
      <c r="H906" t="s">
        <v>4888</v>
      </c>
      <c r="I906" t="s">
        <v>5003</v>
      </c>
      <c r="J906" s="4" t="s">
        <v>5004</v>
      </c>
      <c r="K906" s="4" t="s">
        <v>4904</v>
      </c>
      <c r="L906" s="4" t="s">
        <v>4853</v>
      </c>
      <c r="M906" s="4" t="s">
        <v>5035</v>
      </c>
      <c r="N906" t="s">
        <v>3351</v>
      </c>
      <c r="O906" t="s">
        <v>3352</v>
      </c>
      <c r="P906" t="s">
        <v>23</v>
      </c>
      <c r="Q906" t="s">
        <v>24</v>
      </c>
      <c r="R906" t="s">
        <v>25</v>
      </c>
      <c r="S906" t="s">
        <v>26</v>
      </c>
      <c r="T906" s="6">
        <v>46307</v>
      </c>
      <c r="U906">
        <v>96</v>
      </c>
      <c r="V906">
        <v>96</v>
      </c>
      <c r="W906">
        <v>108</v>
      </c>
      <c r="X906">
        <v>108</v>
      </c>
      <c r="Y906">
        <f t="shared" si="144"/>
        <v>0</v>
      </c>
      <c r="Z906">
        <f t="shared" si="145"/>
        <v>-12</v>
      </c>
      <c r="AC906" s="1">
        <v>0</v>
      </c>
      <c r="AF906">
        <f t="shared" si="149"/>
        <v>96</v>
      </c>
      <c r="AG906" s="7">
        <v>12</v>
      </c>
      <c r="AH906">
        <f t="shared" si="146"/>
        <v>96</v>
      </c>
      <c r="AI906">
        <f t="shared" si="143"/>
        <v>0</v>
      </c>
      <c r="AK906">
        <f t="shared" si="147"/>
        <v>8</v>
      </c>
      <c r="AL906">
        <v>12.89</v>
      </c>
      <c r="AM906" t="s">
        <v>27</v>
      </c>
      <c r="AN906">
        <v>12.89</v>
      </c>
      <c r="AO906" t="b">
        <f t="shared" si="148"/>
        <v>1</v>
      </c>
      <c r="AR906" t="s">
        <v>5061</v>
      </c>
      <c r="AS906" s="21">
        <v>46276</v>
      </c>
      <c r="AT906" t="s">
        <v>5062</v>
      </c>
      <c r="AU906" t="s">
        <v>5078</v>
      </c>
      <c r="AV906" t="s">
        <v>5062</v>
      </c>
      <c r="AW906" t="s">
        <v>5086</v>
      </c>
    </row>
    <row r="907" spans="1:49" x14ac:dyDescent="0.35">
      <c r="A907" t="s">
        <v>2796</v>
      </c>
      <c r="B907" t="s">
        <v>872</v>
      </c>
      <c r="C907" t="s">
        <v>4818</v>
      </c>
      <c r="D907" t="s">
        <v>18</v>
      </c>
      <c r="E907" t="s">
        <v>3353</v>
      </c>
      <c r="F907" t="s">
        <v>3354</v>
      </c>
      <c r="G907" t="s">
        <v>21</v>
      </c>
      <c r="H907" t="s">
        <v>4888</v>
      </c>
      <c r="I907" t="s">
        <v>5003</v>
      </c>
      <c r="J907" s="4" t="s">
        <v>5004</v>
      </c>
      <c r="K907" s="4" t="s">
        <v>5015</v>
      </c>
      <c r="L907" s="4" t="s">
        <v>4867</v>
      </c>
      <c r="M907" s="4" t="s">
        <v>5035</v>
      </c>
      <c r="N907" t="s">
        <v>3355</v>
      </c>
      <c r="O907" t="s">
        <v>3356</v>
      </c>
      <c r="P907" t="s">
        <v>23</v>
      </c>
      <c r="Q907" t="s">
        <v>24</v>
      </c>
      <c r="R907" t="s">
        <v>25</v>
      </c>
      <c r="S907" t="s">
        <v>26</v>
      </c>
      <c r="T907" s="6">
        <v>46307</v>
      </c>
      <c r="U907">
        <v>60</v>
      </c>
      <c r="V907">
        <v>60</v>
      </c>
      <c r="W907">
        <v>60</v>
      </c>
      <c r="X907">
        <v>60</v>
      </c>
      <c r="Y907">
        <f t="shared" si="144"/>
        <v>0</v>
      </c>
      <c r="Z907">
        <f t="shared" si="145"/>
        <v>0</v>
      </c>
      <c r="AC907" s="1">
        <v>0</v>
      </c>
      <c r="AF907">
        <f t="shared" si="149"/>
        <v>60</v>
      </c>
      <c r="AG907" s="7">
        <v>12</v>
      </c>
      <c r="AH907">
        <f t="shared" si="146"/>
        <v>60</v>
      </c>
      <c r="AI907">
        <f t="shared" si="143"/>
        <v>0</v>
      </c>
      <c r="AK907">
        <f t="shared" si="147"/>
        <v>5</v>
      </c>
      <c r="AL907">
        <v>13.01</v>
      </c>
      <c r="AM907" t="s">
        <v>27</v>
      </c>
      <c r="AN907">
        <v>13.01</v>
      </c>
      <c r="AO907" t="b">
        <f t="shared" si="148"/>
        <v>1</v>
      </c>
      <c r="AR907" t="s">
        <v>5061</v>
      </c>
      <c r="AS907" s="21">
        <v>46276</v>
      </c>
      <c r="AT907" t="s">
        <v>5062</v>
      </c>
      <c r="AU907" t="s">
        <v>5078</v>
      </c>
      <c r="AV907" t="s">
        <v>5062</v>
      </c>
      <c r="AW907" t="s">
        <v>5086</v>
      </c>
    </row>
    <row r="908" spans="1:49" x14ac:dyDescent="0.35">
      <c r="A908" t="s">
        <v>2796</v>
      </c>
      <c r="B908" t="s">
        <v>872</v>
      </c>
      <c r="C908" t="s">
        <v>4818</v>
      </c>
      <c r="D908" t="s">
        <v>18</v>
      </c>
      <c r="E908" t="s">
        <v>3357</v>
      </c>
      <c r="F908" t="s">
        <v>3358</v>
      </c>
      <c r="G908" t="s">
        <v>21</v>
      </c>
      <c r="H908" t="s">
        <v>4888</v>
      </c>
      <c r="I908" t="s">
        <v>5003</v>
      </c>
      <c r="J908" s="4" t="s">
        <v>5004</v>
      </c>
      <c r="K908" s="4" t="s">
        <v>5016</v>
      </c>
      <c r="L908" s="4" t="s">
        <v>4884</v>
      </c>
      <c r="M908" s="4" t="s">
        <v>5035</v>
      </c>
      <c r="N908" t="s">
        <v>3359</v>
      </c>
      <c r="O908" t="s">
        <v>3360</v>
      </c>
      <c r="P908" t="s">
        <v>23</v>
      </c>
      <c r="Q908" t="s">
        <v>24</v>
      </c>
      <c r="R908" t="s">
        <v>25</v>
      </c>
      <c r="S908" t="s">
        <v>26</v>
      </c>
      <c r="T908" s="6">
        <v>46307</v>
      </c>
      <c r="U908">
        <v>24</v>
      </c>
      <c r="V908">
        <v>24</v>
      </c>
      <c r="W908">
        <v>24</v>
      </c>
      <c r="X908">
        <v>24</v>
      </c>
      <c r="Y908">
        <f t="shared" si="144"/>
        <v>0</v>
      </c>
      <c r="Z908">
        <f t="shared" si="145"/>
        <v>0</v>
      </c>
      <c r="AC908" s="1">
        <v>0</v>
      </c>
      <c r="AF908">
        <f t="shared" si="149"/>
        <v>24</v>
      </c>
      <c r="AG908" s="7">
        <v>12</v>
      </c>
      <c r="AH908">
        <f t="shared" si="146"/>
        <v>24</v>
      </c>
      <c r="AI908">
        <f t="shared" si="143"/>
        <v>0</v>
      </c>
      <c r="AK908">
        <f t="shared" si="147"/>
        <v>2</v>
      </c>
      <c r="AL908">
        <v>13.33</v>
      </c>
      <c r="AM908" t="s">
        <v>27</v>
      </c>
      <c r="AN908">
        <v>13.33</v>
      </c>
      <c r="AO908" t="b">
        <f t="shared" si="148"/>
        <v>1</v>
      </c>
      <c r="AR908" t="s">
        <v>5061</v>
      </c>
      <c r="AS908" s="21">
        <v>46276</v>
      </c>
      <c r="AT908" t="s">
        <v>5062</v>
      </c>
      <c r="AU908" t="s">
        <v>5078</v>
      </c>
      <c r="AV908" t="s">
        <v>5062</v>
      </c>
      <c r="AW908" t="s">
        <v>5086</v>
      </c>
    </row>
    <row r="909" spans="1:49" x14ac:dyDescent="0.35">
      <c r="A909" t="s">
        <v>2796</v>
      </c>
      <c r="B909" t="s">
        <v>872</v>
      </c>
      <c r="C909" t="s">
        <v>4818</v>
      </c>
      <c r="D909" t="s">
        <v>18</v>
      </c>
      <c r="E909" t="s">
        <v>3361</v>
      </c>
      <c r="F909" t="s">
        <v>3362</v>
      </c>
      <c r="G909" t="s">
        <v>21</v>
      </c>
      <c r="H909" t="s">
        <v>4888</v>
      </c>
      <c r="I909" t="s">
        <v>5003</v>
      </c>
      <c r="J909" s="4" t="s">
        <v>5004</v>
      </c>
      <c r="K909" s="4" t="s">
        <v>4904</v>
      </c>
      <c r="L909" s="4" t="s">
        <v>4917</v>
      </c>
      <c r="M909" s="4" t="s">
        <v>5035</v>
      </c>
      <c r="N909" t="s">
        <v>3363</v>
      </c>
      <c r="O909" t="s">
        <v>3364</v>
      </c>
      <c r="P909" t="s">
        <v>23</v>
      </c>
      <c r="Q909" t="s">
        <v>24</v>
      </c>
      <c r="R909" t="s">
        <v>25</v>
      </c>
      <c r="S909" t="s">
        <v>26</v>
      </c>
      <c r="T909" s="6">
        <v>46307</v>
      </c>
      <c r="U909">
        <v>48</v>
      </c>
      <c r="V909">
        <v>48</v>
      </c>
      <c r="W909">
        <v>48</v>
      </c>
      <c r="X909">
        <v>48</v>
      </c>
      <c r="Y909">
        <f t="shared" si="144"/>
        <v>0</v>
      </c>
      <c r="Z909">
        <f t="shared" si="145"/>
        <v>0</v>
      </c>
      <c r="AC909" s="1">
        <v>0</v>
      </c>
      <c r="AF909">
        <f t="shared" si="149"/>
        <v>48</v>
      </c>
      <c r="AG909" s="7">
        <v>12</v>
      </c>
      <c r="AH909">
        <f t="shared" si="146"/>
        <v>48</v>
      </c>
      <c r="AI909">
        <f t="shared" si="143"/>
        <v>0</v>
      </c>
      <c r="AK909">
        <f t="shared" si="147"/>
        <v>4</v>
      </c>
      <c r="AL909">
        <v>12.89</v>
      </c>
      <c r="AM909" t="s">
        <v>27</v>
      </c>
      <c r="AN909">
        <v>12.89</v>
      </c>
      <c r="AO909" t="b">
        <f t="shared" si="148"/>
        <v>1</v>
      </c>
      <c r="AR909" t="s">
        <v>5061</v>
      </c>
      <c r="AS909" s="21">
        <v>46276</v>
      </c>
      <c r="AT909" t="s">
        <v>5062</v>
      </c>
      <c r="AU909" t="s">
        <v>5078</v>
      </c>
      <c r="AV909" t="s">
        <v>5062</v>
      </c>
      <c r="AW909" t="s">
        <v>5086</v>
      </c>
    </row>
    <row r="910" spans="1:49" x14ac:dyDescent="0.35">
      <c r="A910" t="s">
        <v>2796</v>
      </c>
      <c r="B910" t="s">
        <v>872</v>
      </c>
      <c r="C910" t="s">
        <v>4818</v>
      </c>
      <c r="D910" t="s">
        <v>18</v>
      </c>
      <c r="E910" t="s">
        <v>3365</v>
      </c>
      <c r="F910" t="s">
        <v>3366</v>
      </c>
      <c r="G910" t="s">
        <v>21</v>
      </c>
      <c r="H910" t="s">
        <v>4888</v>
      </c>
      <c r="I910" t="s">
        <v>5005</v>
      </c>
      <c r="J910" s="4" t="s">
        <v>5006</v>
      </c>
      <c r="K910" s="4" t="s">
        <v>4837</v>
      </c>
      <c r="L910" s="4">
        <v>38</v>
      </c>
      <c r="M910" s="4" t="s">
        <v>5035</v>
      </c>
      <c r="N910" t="s">
        <v>3367</v>
      </c>
      <c r="O910" t="s">
        <v>3368</v>
      </c>
      <c r="P910" t="s">
        <v>23</v>
      </c>
      <c r="Q910" t="s">
        <v>24</v>
      </c>
      <c r="R910" t="s">
        <v>25</v>
      </c>
      <c r="S910" t="s">
        <v>26</v>
      </c>
      <c r="T910" s="6">
        <v>46307</v>
      </c>
      <c r="U910">
        <v>816</v>
      </c>
      <c r="V910">
        <v>816</v>
      </c>
      <c r="W910">
        <v>864</v>
      </c>
      <c r="X910">
        <v>864</v>
      </c>
      <c r="Y910">
        <f t="shared" si="144"/>
        <v>0</v>
      </c>
      <c r="Z910">
        <f t="shared" si="145"/>
        <v>-48</v>
      </c>
      <c r="AC910" s="1">
        <v>0</v>
      </c>
      <c r="AF910">
        <f t="shared" si="149"/>
        <v>816</v>
      </c>
      <c r="AG910" s="7">
        <v>24</v>
      </c>
      <c r="AH910">
        <f t="shared" si="146"/>
        <v>816</v>
      </c>
      <c r="AI910">
        <f t="shared" si="143"/>
        <v>0</v>
      </c>
      <c r="AK910">
        <f t="shared" si="147"/>
        <v>34</v>
      </c>
      <c r="AL910">
        <v>9.58</v>
      </c>
      <c r="AM910" t="s">
        <v>27</v>
      </c>
      <c r="AN910">
        <v>9.58</v>
      </c>
      <c r="AO910" t="b">
        <f t="shared" si="148"/>
        <v>1</v>
      </c>
      <c r="AR910" t="s">
        <v>5061</v>
      </c>
      <c r="AS910" s="21">
        <v>46276</v>
      </c>
      <c r="AT910" t="s">
        <v>5062</v>
      </c>
      <c r="AU910" t="s">
        <v>5079</v>
      </c>
      <c r="AV910" t="s">
        <v>5062</v>
      </c>
      <c r="AW910" t="s">
        <v>5086</v>
      </c>
    </row>
    <row r="911" spans="1:49" x14ac:dyDescent="0.35">
      <c r="A911" t="s">
        <v>2796</v>
      </c>
      <c r="B911" t="s">
        <v>872</v>
      </c>
      <c r="C911" t="s">
        <v>4818</v>
      </c>
      <c r="D911" t="s">
        <v>18</v>
      </c>
      <c r="E911" t="s">
        <v>3369</v>
      </c>
      <c r="F911" t="s">
        <v>3370</v>
      </c>
      <c r="G911" t="s">
        <v>21</v>
      </c>
      <c r="H911" t="s">
        <v>4888</v>
      </c>
      <c r="I911" t="s">
        <v>5008</v>
      </c>
      <c r="J911" s="4" t="s">
        <v>5009</v>
      </c>
      <c r="K911" s="4" t="s">
        <v>5021</v>
      </c>
      <c r="L911" s="4">
        <v>38</v>
      </c>
      <c r="M911" s="4" t="s">
        <v>5035</v>
      </c>
      <c r="N911" t="s">
        <v>3371</v>
      </c>
      <c r="O911" t="s">
        <v>3372</v>
      </c>
      <c r="P911" t="s">
        <v>23</v>
      </c>
      <c r="Q911" t="s">
        <v>24</v>
      </c>
      <c r="R911" t="s">
        <v>25</v>
      </c>
      <c r="S911" t="s">
        <v>26</v>
      </c>
      <c r="T911" s="6">
        <v>46307</v>
      </c>
      <c r="U911">
        <v>672</v>
      </c>
      <c r="V911">
        <v>672</v>
      </c>
      <c r="W911">
        <v>720</v>
      </c>
      <c r="X911">
        <v>720</v>
      </c>
      <c r="Y911">
        <f t="shared" si="144"/>
        <v>0</v>
      </c>
      <c r="Z911">
        <f t="shared" si="145"/>
        <v>-48</v>
      </c>
      <c r="AC911" s="1">
        <v>0</v>
      </c>
      <c r="AF911">
        <f t="shared" si="149"/>
        <v>672</v>
      </c>
      <c r="AG911" s="7">
        <v>24</v>
      </c>
      <c r="AH911">
        <f t="shared" si="146"/>
        <v>672</v>
      </c>
      <c r="AI911">
        <f t="shared" si="143"/>
        <v>0</v>
      </c>
      <c r="AK911">
        <f t="shared" si="147"/>
        <v>28</v>
      </c>
      <c r="AL911">
        <v>10.11</v>
      </c>
      <c r="AM911" t="s">
        <v>27</v>
      </c>
      <c r="AN911">
        <v>10.11</v>
      </c>
      <c r="AO911" t="b">
        <f t="shared" si="148"/>
        <v>1</v>
      </c>
      <c r="AR911" t="s">
        <v>5061</v>
      </c>
      <c r="AS911" s="21">
        <v>46276</v>
      </c>
      <c r="AT911" t="s">
        <v>5062</v>
      </c>
      <c r="AU911" t="s">
        <v>5080</v>
      </c>
      <c r="AV911" t="s">
        <v>5062</v>
      </c>
      <c r="AW911" t="s">
        <v>5086</v>
      </c>
    </row>
    <row r="912" spans="1:49" x14ac:dyDescent="0.35">
      <c r="A912" t="s">
        <v>2796</v>
      </c>
      <c r="B912" t="s">
        <v>872</v>
      </c>
      <c r="C912" t="s">
        <v>4818</v>
      </c>
      <c r="D912" t="s">
        <v>18</v>
      </c>
      <c r="E912" t="s">
        <v>3373</v>
      </c>
      <c r="F912" t="s">
        <v>3374</v>
      </c>
      <c r="G912" t="s">
        <v>21</v>
      </c>
      <c r="H912" t="s">
        <v>4888</v>
      </c>
      <c r="I912" t="s">
        <v>5005</v>
      </c>
      <c r="J912" s="4" t="s">
        <v>5006</v>
      </c>
      <c r="K912" s="4" t="s">
        <v>4899</v>
      </c>
      <c r="L912" s="4">
        <v>28</v>
      </c>
      <c r="M912" s="4" t="s">
        <v>5035</v>
      </c>
      <c r="N912" t="s">
        <v>3375</v>
      </c>
      <c r="O912" t="s">
        <v>3376</v>
      </c>
      <c r="P912" t="s">
        <v>23</v>
      </c>
      <c r="Q912" t="s">
        <v>24</v>
      </c>
      <c r="R912" t="s">
        <v>25</v>
      </c>
      <c r="S912" t="s">
        <v>26</v>
      </c>
      <c r="T912" s="6">
        <v>46307</v>
      </c>
      <c r="U912">
        <v>120</v>
      </c>
      <c r="V912">
        <v>120</v>
      </c>
      <c r="W912">
        <v>144</v>
      </c>
      <c r="X912">
        <v>144</v>
      </c>
      <c r="Y912">
        <f t="shared" si="144"/>
        <v>0</v>
      </c>
      <c r="Z912">
        <f t="shared" si="145"/>
        <v>-24</v>
      </c>
      <c r="AC912" s="1">
        <v>0</v>
      </c>
      <c r="AF912">
        <f t="shared" si="149"/>
        <v>120</v>
      </c>
      <c r="AG912" s="7">
        <v>24</v>
      </c>
      <c r="AH912">
        <f t="shared" si="146"/>
        <v>120</v>
      </c>
      <c r="AI912">
        <f t="shared" si="143"/>
        <v>0</v>
      </c>
      <c r="AK912">
        <f t="shared" si="147"/>
        <v>5</v>
      </c>
      <c r="AL912">
        <v>10.14</v>
      </c>
      <c r="AM912" t="s">
        <v>27</v>
      </c>
      <c r="AN912">
        <v>10.14</v>
      </c>
      <c r="AO912" t="b">
        <f t="shared" si="148"/>
        <v>1</v>
      </c>
      <c r="AR912" t="s">
        <v>5061</v>
      </c>
      <c r="AS912" s="21">
        <v>46276</v>
      </c>
      <c r="AT912" t="s">
        <v>5062</v>
      </c>
      <c r="AU912" t="s">
        <v>5079</v>
      </c>
      <c r="AV912" t="s">
        <v>5062</v>
      </c>
      <c r="AW912" t="s">
        <v>5086</v>
      </c>
    </row>
    <row r="913" spans="1:49" x14ac:dyDescent="0.35">
      <c r="A913" t="s">
        <v>2796</v>
      </c>
      <c r="B913" t="s">
        <v>872</v>
      </c>
      <c r="C913" t="s">
        <v>4818</v>
      </c>
      <c r="D913" t="s">
        <v>18</v>
      </c>
      <c r="E913" t="s">
        <v>3377</v>
      </c>
      <c r="F913" t="s">
        <v>3378</v>
      </c>
      <c r="G913" t="s">
        <v>21</v>
      </c>
      <c r="H913" t="s">
        <v>4888</v>
      </c>
      <c r="I913" t="s">
        <v>5003</v>
      </c>
      <c r="J913" s="4" t="s">
        <v>5004</v>
      </c>
      <c r="K913" s="4" t="s">
        <v>4904</v>
      </c>
      <c r="L913" s="4" t="s">
        <v>4871</v>
      </c>
      <c r="M913" s="4" t="s">
        <v>5035</v>
      </c>
      <c r="N913" t="s">
        <v>3379</v>
      </c>
      <c r="O913" t="s">
        <v>3380</v>
      </c>
      <c r="P913" t="s">
        <v>23</v>
      </c>
      <c r="Q913" t="s">
        <v>24</v>
      </c>
      <c r="R913" t="s">
        <v>25</v>
      </c>
      <c r="S913" t="s">
        <v>26</v>
      </c>
      <c r="T913" s="6">
        <v>46307</v>
      </c>
      <c r="U913">
        <v>60</v>
      </c>
      <c r="V913">
        <v>60</v>
      </c>
      <c r="W913">
        <v>72</v>
      </c>
      <c r="X913">
        <v>72</v>
      </c>
      <c r="Y913">
        <f t="shared" si="144"/>
        <v>0</v>
      </c>
      <c r="Z913">
        <f t="shared" si="145"/>
        <v>-12</v>
      </c>
      <c r="AC913" s="1">
        <v>0</v>
      </c>
      <c r="AF913">
        <f t="shared" si="149"/>
        <v>60</v>
      </c>
      <c r="AG913" s="7">
        <v>12</v>
      </c>
      <c r="AH913">
        <f t="shared" si="146"/>
        <v>60</v>
      </c>
      <c r="AI913">
        <f t="shared" si="143"/>
        <v>0</v>
      </c>
      <c r="AK913">
        <f t="shared" si="147"/>
        <v>5</v>
      </c>
      <c r="AL913">
        <v>12.89</v>
      </c>
      <c r="AM913" t="s">
        <v>27</v>
      </c>
      <c r="AN913">
        <v>12.89</v>
      </c>
      <c r="AO913" t="b">
        <f t="shared" si="148"/>
        <v>1</v>
      </c>
      <c r="AR913" t="s">
        <v>5061</v>
      </c>
      <c r="AS913" s="21">
        <v>46276</v>
      </c>
      <c r="AT913" t="s">
        <v>5062</v>
      </c>
      <c r="AU913" t="s">
        <v>5078</v>
      </c>
      <c r="AV913" t="s">
        <v>5062</v>
      </c>
      <c r="AW913" t="s">
        <v>5086</v>
      </c>
    </row>
    <row r="914" spans="1:49" x14ac:dyDescent="0.35">
      <c r="A914" t="s">
        <v>2796</v>
      </c>
      <c r="B914" t="s">
        <v>872</v>
      </c>
      <c r="C914" t="s">
        <v>4818</v>
      </c>
      <c r="D914" t="s">
        <v>18</v>
      </c>
      <c r="E914" t="s">
        <v>3381</v>
      </c>
      <c r="F914" t="s">
        <v>3382</v>
      </c>
      <c r="G914" t="s">
        <v>21</v>
      </c>
      <c r="H914" t="s">
        <v>4888</v>
      </c>
      <c r="I914" t="s">
        <v>5008</v>
      </c>
      <c r="J914" s="4" t="s">
        <v>5009</v>
      </c>
      <c r="K914" s="4" t="s">
        <v>4904</v>
      </c>
      <c r="L914" s="4">
        <v>31</v>
      </c>
      <c r="M914" s="4" t="s">
        <v>5035</v>
      </c>
      <c r="N914" t="s">
        <v>3383</v>
      </c>
      <c r="O914" t="s">
        <v>3384</v>
      </c>
      <c r="P914" t="s">
        <v>23</v>
      </c>
      <c r="Q914" t="s">
        <v>24</v>
      </c>
      <c r="R914" t="s">
        <v>25</v>
      </c>
      <c r="S914" t="s">
        <v>26</v>
      </c>
      <c r="T914" s="6">
        <v>46307</v>
      </c>
      <c r="U914">
        <v>240</v>
      </c>
      <c r="V914">
        <v>240</v>
      </c>
      <c r="W914">
        <v>264</v>
      </c>
      <c r="X914">
        <v>264</v>
      </c>
      <c r="Y914">
        <f t="shared" si="144"/>
        <v>0</v>
      </c>
      <c r="Z914">
        <f t="shared" si="145"/>
        <v>-24</v>
      </c>
      <c r="AC914" s="1">
        <v>0</v>
      </c>
      <c r="AF914">
        <f t="shared" si="149"/>
        <v>240</v>
      </c>
      <c r="AG914" s="7">
        <v>24</v>
      </c>
      <c r="AH914">
        <f t="shared" si="146"/>
        <v>240</v>
      </c>
      <c r="AI914">
        <f t="shared" si="143"/>
        <v>0</v>
      </c>
      <c r="AK914">
        <f t="shared" si="147"/>
        <v>10</v>
      </c>
      <c r="AL914">
        <v>10.11</v>
      </c>
      <c r="AM914" t="s">
        <v>27</v>
      </c>
      <c r="AN914">
        <v>10.11</v>
      </c>
      <c r="AO914" t="b">
        <f t="shared" si="148"/>
        <v>1</v>
      </c>
      <c r="AR914" t="s">
        <v>5061</v>
      </c>
      <c r="AS914" s="21">
        <v>46276</v>
      </c>
      <c r="AT914" t="s">
        <v>5062</v>
      </c>
      <c r="AU914" t="s">
        <v>5080</v>
      </c>
      <c r="AV914" t="s">
        <v>5062</v>
      </c>
      <c r="AW914" t="s">
        <v>5086</v>
      </c>
    </row>
    <row r="915" spans="1:49" x14ac:dyDescent="0.35">
      <c r="A915" t="s">
        <v>2796</v>
      </c>
      <c r="B915" t="s">
        <v>872</v>
      </c>
      <c r="C915" t="s">
        <v>4818</v>
      </c>
      <c r="D915" t="s">
        <v>18</v>
      </c>
      <c r="E915" t="s">
        <v>3385</v>
      </c>
      <c r="F915" t="s">
        <v>3386</v>
      </c>
      <c r="G915" t="s">
        <v>21</v>
      </c>
      <c r="H915" t="s">
        <v>4888</v>
      </c>
      <c r="I915" t="s">
        <v>5005</v>
      </c>
      <c r="J915" s="4" t="s">
        <v>5006</v>
      </c>
      <c r="K915" s="4" t="s">
        <v>5027</v>
      </c>
      <c r="L915" s="4">
        <v>42</v>
      </c>
      <c r="M915" s="4" t="s">
        <v>5035</v>
      </c>
      <c r="N915" t="s">
        <v>3387</v>
      </c>
      <c r="O915" t="s">
        <v>3388</v>
      </c>
      <c r="P915" t="s">
        <v>23</v>
      </c>
      <c r="Q915" t="s">
        <v>24</v>
      </c>
      <c r="R915" t="s">
        <v>25</v>
      </c>
      <c r="S915" t="s">
        <v>26</v>
      </c>
      <c r="T915" s="6">
        <v>46307</v>
      </c>
      <c r="U915">
        <v>336</v>
      </c>
      <c r="V915">
        <v>336</v>
      </c>
      <c r="W915">
        <v>360</v>
      </c>
      <c r="X915">
        <v>360</v>
      </c>
      <c r="Y915">
        <f t="shared" si="144"/>
        <v>0</v>
      </c>
      <c r="Z915">
        <f t="shared" si="145"/>
        <v>-24</v>
      </c>
      <c r="AC915" s="1">
        <v>0</v>
      </c>
      <c r="AF915">
        <f t="shared" si="149"/>
        <v>336</v>
      </c>
      <c r="AG915" s="7">
        <v>24</v>
      </c>
      <c r="AH915">
        <f t="shared" si="146"/>
        <v>336</v>
      </c>
      <c r="AI915">
        <f t="shared" si="143"/>
        <v>0</v>
      </c>
      <c r="AK915">
        <f t="shared" si="147"/>
        <v>14</v>
      </c>
      <c r="AL915">
        <v>10.24</v>
      </c>
      <c r="AM915" t="s">
        <v>27</v>
      </c>
      <c r="AN915">
        <v>10.24</v>
      </c>
      <c r="AO915" t="b">
        <f t="shared" si="148"/>
        <v>1</v>
      </c>
      <c r="AR915" t="s">
        <v>5061</v>
      </c>
      <c r="AS915" s="21">
        <v>46276</v>
      </c>
      <c r="AT915" t="s">
        <v>5062</v>
      </c>
      <c r="AU915" t="s">
        <v>5079</v>
      </c>
      <c r="AV915" t="s">
        <v>5062</v>
      </c>
      <c r="AW915" t="s">
        <v>5086</v>
      </c>
    </row>
    <row r="916" spans="1:49" x14ac:dyDescent="0.35">
      <c r="A916" t="s">
        <v>2796</v>
      </c>
      <c r="B916" t="s">
        <v>872</v>
      </c>
      <c r="C916" t="s">
        <v>4818</v>
      </c>
      <c r="D916" t="s">
        <v>18</v>
      </c>
      <c r="E916" t="s">
        <v>3389</v>
      </c>
      <c r="F916" t="s">
        <v>3390</v>
      </c>
      <c r="G916" t="s">
        <v>21</v>
      </c>
      <c r="H916" t="s">
        <v>4888</v>
      </c>
      <c r="I916" t="s">
        <v>5003</v>
      </c>
      <c r="J916" s="4" t="s">
        <v>5004</v>
      </c>
      <c r="K916" s="4" t="s">
        <v>5015</v>
      </c>
      <c r="L916" s="4" t="s">
        <v>4900</v>
      </c>
      <c r="M916" s="4" t="s">
        <v>5035</v>
      </c>
      <c r="N916" t="s">
        <v>3391</v>
      </c>
      <c r="O916" t="s">
        <v>3392</v>
      </c>
      <c r="P916" t="s">
        <v>23</v>
      </c>
      <c r="Q916" t="s">
        <v>24</v>
      </c>
      <c r="R916" t="s">
        <v>25</v>
      </c>
      <c r="S916" t="s">
        <v>26</v>
      </c>
      <c r="T916" s="6">
        <v>46307</v>
      </c>
      <c r="U916">
        <v>60</v>
      </c>
      <c r="V916">
        <v>60</v>
      </c>
      <c r="W916">
        <v>60</v>
      </c>
      <c r="X916">
        <v>60</v>
      </c>
      <c r="Y916">
        <f t="shared" si="144"/>
        <v>0</v>
      </c>
      <c r="Z916">
        <f t="shared" si="145"/>
        <v>0</v>
      </c>
      <c r="AC916" s="1">
        <v>0</v>
      </c>
      <c r="AF916">
        <f t="shared" si="149"/>
        <v>60</v>
      </c>
      <c r="AG916" s="7">
        <v>12</v>
      </c>
      <c r="AH916">
        <f t="shared" si="146"/>
        <v>60</v>
      </c>
      <c r="AI916">
        <f t="shared" si="143"/>
        <v>0</v>
      </c>
      <c r="AK916">
        <f t="shared" si="147"/>
        <v>5</v>
      </c>
      <c r="AL916">
        <v>13.01</v>
      </c>
      <c r="AM916" t="s">
        <v>27</v>
      </c>
      <c r="AN916">
        <v>13.01</v>
      </c>
      <c r="AO916" t="b">
        <f t="shared" si="148"/>
        <v>1</v>
      </c>
      <c r="AR916" t="s">
        <v>5061</v>
      </c>
      <c r="AS916" s="21">
        <v>46276</v>
      </c>
      <c r="AT916" t="s">
        <v>5062</v>
      </c>
      <c r="AU916" t="s">
        <v>5078</v>
      </c>
      <c r="AV916" t="s">
        <v>5062</v>
      </c>
      <c r="AW916" t="s">
        <v>5086</v>
      </c>
    </row>
    <row r="917" spans="1:49" x14ac:dyDescent="0.35">
      <c r="A917" t="s">
        <v>2796</v>
      </c>
      <c r="B917" t="s">
        <v>872</v>
      </c>
      <c r="C917" t="s">
        <v>4818</v>
      </c>
      <c r="D917" t="s">
        <v>18</v>
      </c>
      <c r="E917" t="s">
        <v>3393</v>
      </c>
      <c r="F917" t="s">
        <v>3394</v>
      </c>
      <c r="G917" t="s">
        <v>21</v>
      </c>
      <c r="H917" t="s">
        <v>4888</v>
      </c>
      <c r="I917" t="s">
        <v>5012</v>
      </c>
      <c r="J917" s="4" t="s">
        <v>5013</v>
      </c>
      <c r="K917" s="4" t="s">
        <v>4984</v>
      </c>
      <c r="L917" s="4" t="s">
        <v>4988</v>
      </c>
      <c r="M917" s="4" t="s">
        <v>5035</v>
      </c>
      <c r="N917" t="s">
        <v>3395</v>
      </c>
      <c r="O917" t="s">
        <v>3396</v>
      </c>
      <c r="P917" t="s">
        <v>23</v>
      </c>
      <c r="Q917" t="s">
        <v>24</v>
      </c>
      <c r="R917" t="s">
        <v>25</v>
      </c>
      <c r="S917" t="s">
        <v>26</v>
      </c>
      <c r="T917" s="6">
        <v>46307</v>
      </c>
      <c r="U917">
        <v>216</v>
      </c>
      <c r="V917">
        <v>216</v>
      </c>
      <c r="W917">
        <v>240</v>
      </c>
      <c r="X917">
        <v>240</v>
      </c>
      <c r="Y917">
        <f t="shared" si="144"/>
        <v>0</v>
      </c>
      <c r="Z917">
        <f t="shared" si="145"/>
        <v>-24</v>
      </c>
      <c r="AC917" s="1">
        <v>0</v>
      </c>
      <c r="AF917">
        <f t="shared" si="149"/>
        <v>216</v>
      </c>
      <c r="AG917" s="7">
        <v>24</v>
      </c>
      <c r="AH917">
        <f t="shared" si="146"/>
        <v>216</v>
      </c>
      <c r="AI917">
        <f t="shared" si="143"/>
        <v>0</v>
      </c>
      <c r="AK917">
        <f t="shared" si="147"/>
        <v>9</v>
      </c>
      <c r="AL917">
        <v>6.05</v>
      </c>
      <c r="AM917" t="s">
        <v>27</v>
      </c>
      <c r="AN917">
        <v>6.05</v>
      </c>
      <c r="AO917" t="b">
        <f t="shared" si="148"/>
        <v>1</v>
      </c>
      <c r="AR917" t="s">
        <v>5061</v>
      </c>
      <c r="AS917" s="21">
        <v>46276</v>
      </c>
      <c r="AT917" t="s">
        <v>5062</v>
      </c>
      <c r="AU917" t="s">
        <v>5081</v>
      </c>
      <c r="AV917" t="s">
        <v>5062</v>
      </c>
      <c r="AW917" t="s">
        <v>5086</v>
      </c>
    </row>
    <row r="918" spans="1:49" x14ac:dyDescent="0.35">
      <c r="A918" t="s">
        <v>2796</v>
      </c>
      <c r="B918" t="s">
        <v>872</v>
      </c>
      <c r="C918" t="s">
        <v>4818</v>
      </c>
      <c r="D918" t="s">
        <v>18</v>
      </c>
      <c r="E918" t="s">
        <v>3397</v>
      </c>
      <c r="F918" t="s">
        <v>3398</v>
      </c>
      <c r="G918" t="s">
        <v>21</v>
      </c>
      <c r="H918" t="s">
        <v>4888</v>
      </c>
      <c r="I918" t="s">
        <v>5003</v>
      </c>
      <c r="J918" s="4" t="s">
        <v>5004</v>
      </c>
      <c r="K918" s="4" t="s">
        <v>4837</v>
      </c>
      <c r="L918" s="4" t="s">
        <v>4873</v>
      </c>
      <c r="M918" s="4" t="s">
        <v>5035</v>
      </c>
      <c r="N918" t="s">
        <v>3399</v>
      </c>
      <c r="O918" t="s">
        <v>3400</v>
      </c>
      <c r="P918" t="s">
        <v>23</v>
      </c>
      <c r="Q918" t="s">
        <v>24</v>
      </c>
      <c r="R918" t="s">
        <v>25</v>
      </c>
      <c r="S918" t="s">
        <v>26</v>
      </c>
      <c r="T918" s="6">
        <v>46307</v>
      </c>
      <c r="U918">
        <v>60</v>
      </c>
      <c r="V918">
        <v>60</v>
      </c>
      <c r="W918">
        <v>60</v>
      </c>
      <c r="X918">
        <v>60</v>
      </c>
      <c r="Y918">
        <f t="shared" si="144"/>
        <v>0</v>
      </c>
      <c r="Z918">
        <f t="shared" si="145"/>
        <v>0</v>
      </c>
      <c r="AC918" s="1">
        <v>0</v>
      </c>
      <c r="AF918">
        <f t="shared" si="149"/>
        <v>60</v>
      </c>
      <c r="AG918" s="7">
        <v>12</v>
      </c>
      <c r="AH918">
        <f t="shared" si="146"/>
        <v>60</v>
      </c>
      <c r="AI918">
        <f t="shared" si="143"/>
        <v>0</v>
      </c>
      <c r="AK918">
        <f t="shared" si="147"/>
        <v>5</v>
      </c>
      <c r="AL918">
        <v>12.87</v>
      </c>
      <c r="AM918" t="s">
        <v>27</v>
      </c>
      <c r="AN918">
        <v>12.87</v>
      </c>
      <c r="AO918" t="b">
        <f t="shared" si="148"/>
        <v>1</v>
      </c>
      <c r="AR918" t="s">
        <v>5061</v>
      </c>
      <c r="AS918" s="21">
        <v>46276</v>
      </c>
      <c r="AT918" t="s">
        <v>5062</v>
      </c>
      <c r="AU918" t="s">
        <v>5078</v>
      </c>
      <c r="AV918" t="s">
        <v>5062</v>
      </c>
      <c r="AW918" t="s">
        <v>5086</v>
      </c>
    </row>
    <row r="919" spans="1:49" x14ac:dyDescent="0.35">
      <c r="A919" t="s">
        <v>2796</v>
      </c>
      <c r="B919" t="s">
        <v>872</v>
      </c>
      <c r="C919" t="s">
        <v>4818</v>
      </c>
      <c r="D919" t="s">
        <v>18</v>
      </c>
      <c r="E919" t="s">
        <v>3401</v>
      </c>
      <c r="F919" t="s">
        <v>3402</v>
      </c>
      <c r="G919" t="s">
        <v>21</v>
      </c>
      <c r="H919" t="s">
        <v>4888</v>
      </c>
      <c r="I919" t="s">
        <v>5003</v>
      </c>
      <c r="J919" s="4" t="s">
        <v>5004</v>
      </c>
      <c r="K919" s="4" t="s">
        <v>4904</v>
      </c>
      <c r="L919" s="4" t="s">
        <v>4929</v>
      </c>
      <c r="M919" s="4" t="s">
        <v>5035</v>
      </c>
      <c r="N919" t="s">
        <v>3403</v>
      </c>
      <c r="O919" t="s">
        <v>3404</v>
      </c>
      <c r="P919" t="s">
        <v>23</v>
      </c>
      <c r="Q919" t="s">
        <v>24</v>
      </c>
      <c r="R919" t="s">
        <v>25</v>
      </c>
      <c r="S919" t="s">
        <v>26</v>
      </c>
      <c r="T919" s="6">
        <v>46307</v>
      </c>
      <c r="U919">
        <v>48</v>
      </c>
      <c r="V919">
        <v>48</v>
      </c>
      <c r="W919">
        <v>48</v>
      </c>
      <c r="X919">
        <v>48</v>
      </c>
      <c r="Y919">
        <f t="shared" si="144"/>
        <v>0</v>
      </c>
      <c r="Z919">
        <f t="shared" si="145"/>
        <v>0</v>
      </c>
      <c r="AC919" s="1">
        <v>0</v>
      </c>
      <c r="AF919">
        <f t="shared" si="149"/>
        <v>48</v>
      </c>
      <c r="AG919" s="7">
        <v>12</v>
      </c>
      <c r="AH919">
        <f t="shared" si="146"/>
        <v>48</v>
      </c>
      <c r="AI919">
        <f t="shared" si="143"/>
        <v>0</v>
      </c>
      <c r="AK919">
        <f t="shared" si="147"/>
        <v>4</v>
      </c>
      <c r="AL919">
        <v>12.89</v>
      </c>
      <c r="AM919" t="s">
        <v>27</v>
      </c>
      <c r="AN919">
        <v>12.89</v>
      </c>
      <c r="AO919" t="b">
        <f t="shared" si="148"/>
        <v>1</v>
      </c>
      <c r="AR919" t="s">
        <v>5061</v>
      </c>
      <c r="AS919" s="21">
        <v>46276</v>
      </c>
      <c r="AT919" t="s">
        <v>5062</v>
      </c>
      <c r="AU919" t="s">
        <v>5078</v>
      </c>
      <c r="AV919" t="s">
        <v>5062</v>
      </c>
      <c r="AW919" t="s">
        <v>5086</v>
      </c>
    </row>
    <row r="920" spans="1:49" x14ac:dyDescent="0.35">
      <c r="A920" t="s">
        <v>2796</v>
      </c>
      <c r="B920" t="s">
        <v>872</v>
      </c>
      <c r="C920" t="s">
        <v>4818</v>
      </c>
      <c r="D920" t="s">
        <v>18</v>
      </c>
      <c r="E920" t="s">
        <v>3405</v>
      </c>
      <c r="F920" t="s">
        <v>3406</v>
      </c>
      <c r="G920" t="s">
        <v>21</v>
      </c>
      <c r="H920" t="s">
        <v>4888</v>
      </c>
      <c r="I920" t="s">
        <v>5003</v>
      </c>
      <c r="J920" s="4" t="s">
        <v>5004</v>
      </c>
      <c r="K920" s="4" t="s">
        <v>5015</v>
      </c>
      <c r="L920" s="4" t="s">
        <v>4880</v>
      </c>
      <c r="M920" s="4" t="s">
        <v>5035</v>
      </c>
      <c r="N920" t="s">
        <v>3407</v>
      </c>
      <c r="O920" t="s">
        <v>3408</v>
      </c>
      <c r="P920" t="s">
        <v>23</v>
      </c>
      <c r="Q920" t="s">
        <v>24</v>
      </c>
      <c r="R920" t="s">
        <v>25</v>
      </c>
      <c r="S920" t="s">
        <v>26</v>
      </c>
      <c r="T920" s="6">
        <v>46307</v>
      </c>
      <c r="U920">
        <v>36</v>
      </c>
      <c r="V920">
        <v>36</v>
      </c>
      <c r="W920">
        <v>24</v>
      </c>
      <c r="X920">
        <v>24</v>
      </c>
      <c r="Y920">
        <f t="shared" si="144"/>
        <v>0</v>
      </c>
      <c r="Z920">
        <f t="shared" si="145"/>
        <v>12</v>
      </c>
      <c r="AA920">
        <f>Z920</f>
        <v>12</v>
      </c>
      <c r="AC920" s="1">
        <v>0</v>
      </c>
      <c r="AF920">
        <f>X920</f>
        <v>24</v>
      </c>
      <c r="AG920" s="7">
        <v>12</v>
      </c>
      <c r="AH920">
        <f t="shared" si="146"/>
        <v>24</v>
      </c>
      <c r="AI920">
        <f t="shared" si="143"/>
        <v>12</v>
      </c>
      <c r="AK920">
        <f t="shared" si="147"/>
        <v>2</v>
      </c>
      <c r="AL920">
        <v>13.01</v>
      </c>
      <c r="AM920" t="s">
        <v>27</v>
      </c>
      <c r="AN920">
        <v>13.01</v>
      </c>
      <c r="AO920" t="b">
        <f t="shared" si="148"/>
        <v>1</v>
      </c>
      <c r="AR920" t="s">
        <v>5061</v>
      </c>
      <c r="AS920" s="21">
        <v>46276</v>
      </c>
      <c r="AT920" t="s">
        <v>5062</v>
      </c>
      <c r="AU920" t="s">
        <v>5078</v>
      </c>
      <c r="AV920" t="s">
        <v>5062</v>
      </c>
      <c r="AW920" t="s">
        <v>5086</v>
      </c>
    </row>
    <row r="921" spans="1:49" x14ac:dyDescent="0.35">
      <c r="A921" t="s">
        <v>2796</v>
      </c>
      <c r="B921" t="s">
        <v>872</v>
      </c>
      <c r="C921" t="s">
        <v>4818</v>
      </c>
      <c r="D921" t="s">
        <v>18</v>
      </c>
      <c r="E921" t="s">
        <v>3409</v>
      </c>
      <c r="F921" t="s">
        <v>3410</v>
      </c>
      <c r="G921" t="s">
        <v>21</v>
      </c>
      <c r="H921" t="s">
        <v>4888</v>
      </c>
      <c r="I921" t="s">
        <v>5003</v>
      </c>
      <c r="J921" s="4" t="s">
        <v>5004</v>
      </c>
      <c r="K921" s="4" t="s">
        <v>4904</v>
      </c>
      <c r="L921" s="4" t="s">
        <v>4925</v>
      </c>
      <c r="M921" s="4" t="s">
        <v>5035</v>
      </c>
      <c r="N921" t="s">
        <v>3411</v>
      </c>
      <c r="O921" t="s">
        <v>3412</v>
      </c>
      <c r="P921" t="s">
        <v>23</v>
      </c>
      <c r="Q921" t="s">
        <v>24</v>
      </c>
      <c r="R921" t="s">
        <v>25</v>
      </c>
      <c r="S921" t="s">
        <v>26</v>
      </c>
      <c r="T921" s="6">
        <v>46307</v>
      </c>
      <c r="U921">
        <v>60</v>
      </c>
      <c r="V921">
        <v>60</v>
      </c>
      <c r="W921">
        <v>72</v>
      </c>
      <c r="X921">
        <v>72</v>
      </c>
      <c r="Y921">
        <f t="shared" si="144"/>
        <v>0</v>
      </c>
      <c r="Z921">
        <f t="shared" si="145"/>
        <v>-12</v>
      </c>
      <c r="AC921" s="1">
        <v>0</v>
      </c>
      <c r="AF921">
        <f t="shared" ref="AF921:AF927" si="150">V921</f>
        <v>60</v>
      </c>
      <c r="AG921" s="7">
        <v>12</v>
      </c>
      <c r="AH921">
        <f t="shared" si="146"/>
        <v>60</v>
      </c>
      <c r="AI921">
        <f t="shared" si="143"/>
        <v>0</v>
      </c>
      <c r="AK921">
        <f t="shared" si="147"/>
        <v>5</v>
      </c>
      <c r="AL921">
        <v>12.89</v>
      </c>
      <c r="AM921" t="s">
        <v>27</v>
      </c>
      <c r="AN921">
        <v>12.89</v>
      </c>
      <c r="AO921" t="b">
        <f t="shared" si="148"/>
        <v>1</v>
      </c>
      <c r="AR921" t="s">
        <v>5061</v>
      </c>
      <c r="AS921" s="21">
        <v>46276</v>
      </c>
      <c r="AT921" t="s">
        <v>5062</v>
      </c>
      <c r="AU921" t="s">
        <v>5078</v>
      </c>
      <c r="AV921" t="s">
        <v>5062</v>
      </c>
      <c r="AW921" t="s">
        <v>5086</v>
      </c>
    </row>
    <row r="922" spans="1:49" x14ac:dyDescent="0.35">
      <c r="A922" t="s">
        <v>2796</v>
      </c>
      <c r="B922" t="s">
        <v>872</v>
      </c>
      <c r="C922" t="s">
        <v>4818</v>
      </c>
      <c r="D922" t="s">
        <v>18</v>
      </c>
      <c r="E922" t="s">
        <v>3413</v>
      </c>
      <c r="F922" t="s">
        <v>3414</v>
      </c>
      <c r="G922" t="s">
        <v>21</v>
      </c>
      <c r="H922" t="s">
        <v>4888</v>
      </c>
      <c r="I922" t="s">
        <v>5003</v>
      </c>
      <c r="J922" s="4" t="s">
        <v>5004</v>
      </c>
      <c r="K922" s="4" t="s">
        <v>4904</v>
      </c>
      <c r="L922" s="4" t="s">
        <v>4873</v>
      </c>
      <c r="M922" s="4" t="s">
        <v>5035</v>
      </c>
      <c r="N922" t="s">
        <v>3415</v>
      </c>
      <c r="O922" t="s">
        <v>3416</v>
      </c>
      <c r="P922" t="s">
        <v>23</v>
      </c>
      <c r="Q922" t="s">
        <v>24</v>
      </c>
      <c r="R922" t="s">
        <v>25</v>
      </c>
      <c r="S922" t="s">
        <v>26</v>
      </c>
      <c r="T922" s="6">
        <v>46307</v>
      </c>
      <c r="U922">
        <v>48</v>
      </c>
      <c r="V922">
        <v>48</v>
      </c>
      <c r="W922">
        <v>48</v>
      </c>
      <c r="X922">
        <v>48</v>
      </c>
      <c r="Y922">
        <f t="shared" si="144"/>
        <v>0</v>
      </c>
      <c r="Z922">
        <f t="shared" si="145"/>
        <v>0</v>
      </c>
      <c r="AC922" s="1">
        <v>0</v>
      </c>
      <c r="AF922">
        <f t="shared" si="150"/>
        <v>48</v>
      </c>
      <c r="AG922" s="7">
        <v>12</v>
      </c>
      <c r="AH922">
        <f t="shared" si="146"/>
        <v>48</v>
      </c>
      <c r="AI922">
        <f t="shared" si="143"/>
        <v>0</v>
      </c>
      <c r="AK922">
        <f t="shared" si="147"/>
        <v>4</v>
      </c>
      <c r="AL922">
        <v>12.89</v>
      </c>
      <c r="AM922" t="s">
        <v>27</v>
      </c>
      <c r="AN922">
        <v>12.89</v>
      </c>
      <c r="AO922" t="b">
        <f t="shared" si="148"/>
        <v>1</v>
      </c>
      <c r="AR922" t="s">
        <v>5061</v>
      </c>
      <c r="AS922" s="21">
        <v>46276</v>
      </c>
      <c r="AT922" t="s">
        <v>5062</v>
      </c>
      <c r="AU922" t="s">
        <v>5078</v>
      </c>
      <c r="AV922" t="s">
        <v>5062</v>
      </c>
      <c r="AW922" t="s">
        <v>5086</v>
      </c>
    </row>
    <row r="923" spans="1:49" x14ac:dyDescent="0.35">
      <c r="A923" t="s">
        <v>2796</v>
      </c>
      <c r="B923" t="s">
        <v>872</v>
      </c>
      <c r="C923" t="s">
        <v>4818</v>
      </c>
      <c r="D923" t="s">
        <v>18</v>
      </c>
      <c r="E923" t="s">
        <v>3417</v>
      </c>
      <c r="F923" t="s">
        <v>3418</v>
      </c>
      <c r="G923" t="s">
        <v>21</v>
      </c>
      <c r="H923" t="s">
        <v>4888</v>
      </c>
      <c r="I923" t="s">
        <v>5003</v>
      </c>
      <c r="J923" s="4" t="s">
        <v>5004</v>
      </c>
      <c r="K923" s="4" t="s">
        <v>4904</v>
      </c>
      <c r="L923" s="4" t="s">
        <v>4918</v>
      </c>
      <c r="M923" s="4" t="s">
        <v>5035</v>
      </c>
      <c r="N923" t="s">
        <v>3419</v>
      </c>
      <c r="O923" t="s">
        <v>3420</v>
      </c>
      <c r="P923" t="s">
        <v>23</v>
      </c>
      <c r="Q923" t="s">
        <v>24</v>
      </c>
      <c r="R923" t="s">
        <v>25</v>
      </c>
      <c r="S923" t="s">
        <v>26</v>
      </c>
      <c r="T923" s="6">
        <v>46307</v>
      </c>
      <c r="U923">
        <v>36</v>
      </c>
      <c r="V923">
        <v>36</v>
      </c>
      <c r="W923">
        <v>36</v>
      </c>
      <c r="X923">
        <v>36</v>
      </c>
      <c r="Y923">
        <f t="shared" si="144"/>
        <v>0</v>
      </c>
      <c r="Z923">
        <f t="shared" si="145"/>
        <v>0</v>
      </c>
      <c r="AC923" s="1">
        <v>0</v>
      </c>
      <c r="AF923">
        <f t="shared" si="150"/>
        <v>36</v>
      </c>
      <c r="AG923" s="7">
        <v>12</v>
      </c>
      <c r="AH923">
        <f t="shared" si="146"/>
        <v>36</v>
      </c>
      <c r="AI923">
        <f t="shared" si="143"/>
        <v>0</v>
      </c>
      <c r="AK923">
        <f t="shared" si="147"/>
        <v>3</v>
      </c>
      <c r="AL923">
        <v>12.89</v>
      </c>
      <c r="AM923" t="s">
        <v>27</v>
      </c>
      <c r="AN923">
        <v>12.89</v>
      </c>
      <c r="AO923" t="b">
        <f t="shared" si="148"/>
        <v>1</v>
      </c>
      <c r="AR923" t="s">
        <v>5061</v>
      </c>
      <c r="AS923" s="21">
        <v>46276</v>
      </c>
      <c r="AT923" t="s">
        <v>5062</v>
      </c>
      <c r="AU923" t="s">
        <v>5078</v>
      </c>
      <c r="AV923" t="s">
        <v>5062</v>
      </c>
      <c r="AW923" t="s">
        <v>5086</v>
      </c>
    </row>
    <row r="924" spans="1:49" x14ac:dyDescent="0.35">
      <c r="A924" t="s">
        <v>2796</v>
      </c>
      <c r="B924" t="s">
        <v>872</v>
      </c>
      <c r="C924" t="s">
        <v>4818</v>
      </c>
      <c r="D924" t="s">
        <v>18</v>
      </c>
      <c r="E924" t="s">
        <v>3421</v>
      </c>
      <c r="F924" t="s">
        <v>3422</v>
      </c>
      <c r="G924" t="s">
        <v>21</v>
      </c>
      <c r="H924" t="s">
        <v>4888</v>
      </c>
      <c r="I924" t="s">
        <v>5008</v>
      </c>
      <c r="J924" s="4" t="s">
        <v>5009</v>
      </c>
      <c r="K924" s="4" t="s">
        <v>5017</v>
      </c>
      <c r="L924" s="4">
        <v>33</v>
      </c>
      <c r="M924" s="4" t="s">
        <v>5035</v>
      </c>
      <c r="N924" t="s">
        <v>3423</v>
      </c>
      <c r="O924" t="s">
        <v>3424</v>
      </c>
      <c r="P924" t="s">
        <v>23</v>
      </c>
      <c r="Q924" t="s">
        <v>24</v>
      </c>
      <c r="R924" t="s">
        <v>25</v>
      </c>
      <c r="S924" t="s">
        <v>26</v>
      </c>
      <c r="T924" s="6">
        <v>46307</v>
      </c>
      <c r="U924">
        <v>456</v>
      </c>
      <c r="V924">
        <v>456</v>
      </c>
      <c r="W924">
        <v>456</v>
      </c>
      <c r="X924">
        <v>456</v>
      </c>
      <c r="Y924">
        <f t="shared" si="144"/>
        <v>0</v>
      </c>
      <c r="Z924">
        <f t="shared" si="145"/>
        <v>0</v>
      </c>
      <c r="AC924" s="1">
        <v>0</v>
      </c>
      <c r="AF924">
        <f t="shared" si="150"/>
        <v>456</v>
      </c>
      <c r="AG924" s="7">
        <v>24</v>
      </c>
      <c r="AH924">
        <f t="shared" si="146"/>
        <v>456</v>
      </c>
      <c r="AI924">
        <f t="shared" si="143"/>
        <v>0</v>
      </c>
      <c r="AK924">
        <f t="shared" si="147"/>
        <v>19</v>
      </c>
      <c r="AL924">
        <v>10.01</v>
      </c>
      <c r="AM924" t="s">
        <v>27</v>
      </c>
      <c r="AN924">
        <v>10.01</v>
      </c>
      <c r="AO924" t="b">
        <f t="shared" si="148"/>
        <v>1</v>
      </c>
      <c r="AR924" t="s">
        <v>5061</v>
      </c>
      <c r="AS924" s="21">
        <v>46276</v>
      </c>
      <c r="AT924" t="s">
        <v>5062</v>
      </c>
      <c r="AU924" t="s">
        <v>5080</v>
      </c>
      <c r="AV924" t="s">
        <v>5062</v>
      </c>
      <c r="AW924" t="s">
        <v>5086</v>
      </c>
    </row>
    <row r="925" spans="1:49" x14ac:dyDescent="0.35">
      <c r="A925" t="s">
        <v>2796</v>
      </c>
      <c r="B925" t="s">
        <v>872</v>
      </c>
      <c r="C925" t="s">
        <v>4818</v>
      </c>
      <c r="D925" t="s">
        <v>18</v>
      </c>
      <c r="E925" t="s">
        <v>3425</v>
      </c>
      <c r="F925" t="s">
        <v>3426</v>
      </c>
      <c r="G925" t="s">
        <v>21</v>
      </c>
      <c r="H925" t="s">
        <v>4888</v>
      </c>
      <c r="I925" t="s">
        <v>5003</v>
      </c>
      <c r="J925" s="4" t="s">
        <v>5004</v>
      </c>
      <c r="K925" s="4" t="s">
        <v>4837</v>
      </c>
      <c r="L925" s="4" t="s">
        <v>4929</v>
      </c>
      <c r="M925" s="4" t="s">
        <v>5035</v>
      </c>
      <c r="N925" t="s">
        <v>3427</v>
      </c>
      <c r="O925" t="s">
        <v>3428</v>
      </c>
      <c r="P925" t="s">
        <v>23</v>
      </c>
      <c r="Q925" t="s">
        <v>24</v>
      </c>
      <c r="R925" t="s">
        <v>25</v>
      </c>
      <c r="S925" t="s">
        <v>26</v>
      </c>
      <c r="T925" s="6">
        <v>46307</v>
      </c>
      <c r="U925">
        <v>48</v>
      </c>
      <c r="V925">
        <v>48</v>
      </c>
      <c r="W925">
        <v>48</v>
      </c>
      <c r="X925">
        <v>48</v>
      </c>
      <c r="Y925">
        <f t="shared" si="144"/>
        <v>0</v>
      </c>
      <c r="Z925">
        <f t="shared" si="145"/>
        <v>0</v>
      </c>
      <c r="AC925" s="1">
        <v>0</v>
      </c>
      <c r="AF925">
        <f t="shared" si="150"/>
        <v>48</v>
      </c>
      <c r="AG925" s="7">
        <v>12</v>
      </c>
      <c r="AH925">
        <f t="shared" si="146"/>
        <v>48</v>
      </c>
      <c r="AI925">
        <f t="shared" si="143"/>
        <v>0</v>
      </c>
      <c r="AK925">
        <f t="shared" si="147"/>
        <v>4</v>
      </c>
      <c r="AL925">
        <v>12.87</v>
      </c>
      <c r="AM925" t="s">
        <v>27</v>
      </c>
      <c r="AN925">
        <v>12.87</v>
      </c>
      <c r="AO925" t="b">
        <f t="shared" si="148"/>
        <v>1</v>
      </c>
      <c r="AR925" t="s">
        <v>5061</v>
      </c>
      <c r="AS925" s="21">
        <v>46276</v>
      </c>
      <c r="AT925" t="s">
        <v>5062</v>
      </c>
      <c r="AU925" t="s">
        <v>5078</v>
      </c>
      <c r="AV925" t="s">
        <v>5062</v>
      </c>
      <c r="AW925" t="s">
        <v>5086</v>
      </c>
    </row>
    <row r="926" spans="1:49" x14ac:dyDescent="0.35">
      <c r="A926" t="s">
        <v>2796</v>
      </c>
      <c r="B926" t="s">
        <v>872</v>
      </c>
      <c r="C926" t="s">
        <v>4818</v>
      </c>
      <c r="D926" t="s">
        <v>18</v>
      </c>
      <c r="E926" t="s">
        <v>3429</v>
      </c>
      <c r="F926" t="s">
        <v>3430</v>
      </c>
      <c r="G926" t="s">
        <v>21</v>
      </c>
      <c r="H926" t="s">
        <v>4888</v>
      </c>
      <c r="I926" t="s">
        <v>5003</v>
      </c>
      <c r="J926" s="4" t="s">
        <v>5004</v>
      </c>
      <c r="K926" s="4" t="s">
        <v>4904</v>
      </c>
      <c r="L926" s="4" t="s">
        <v>4934</v>
      </c>
      <c r="M926" s="4" t="s">
        <v>5035</v>
      </c>
      <c r="N926" t="s">
        <v>3431</v>
      </c>
      <c r="O926" t="s">
        <v>3432</v>
      </c>
      <c r="P926" t="s">
        <v>23</v>
      </c>
      <c r="Q926" t="s">
        <v>24</v>
      </c>
      <c r="R926" t="s">
        <v>25</v>
      </c>
      <c r="S926" t="s">
        <v>26</v>
      </c>
      <c r="T926" s="6">
        <v>46307</v>
      </c>
      <c r="U926">
        <v>36</v>
      </c>
      <c r="V926">
        <v>36</v>
      </c>
      <c r="W926">
        <v>36</v>
      </c>
      <c r="X926">
        <v>36</v>
      </c>
      <c r="Y926">
        <f t="shared" si="144"/>
        <v>0</v>
      </c>
      <c r="Z926">
        <f t="shared" si="145"/>
        <v>0</v>
      </c>
      <c r="AC926" s="1">
        <v>0</v>
      </c>
      <c r="AF926">
        <f t="shared" si="150"/>
        <v>36</v>
      </c>
      <c r="AG926" s="7">
        <v>12</v>
      </c>
      <c r="AH926">
        <f t="shared" si="146"/>
        <v>36</v>
      </c>
      <c r="AI926">
        <f t="shared" si="143"/>
        <v>0</v>
      </c>
      <c r="AK926">
        <f t="shared" si="147"/>
        <v>3</v>
      </c>
      <c r="AL926">
        <v>12.89</v>
      </c>
      <c r="AM926" t="s">
        <v>27</v>
      </c>
      <c r="AN926">
        <v>12.89</v>
      </c>
      <c r="AO926" t="b">
        <f t="shared" si="148"/>
        <v>1</v>
      </c>
      <c r="AR926" t="s">
        <v>5061</v>
      </c>
      <c r="AS926" s="21">
        <v>46276</v>
      </c>
      <c r="AT926" t="s">
        <v>5062</v>
      </c>
      <c r="AU926" t="s">
        <v>5078</v>
      </c>
      <c r="AV926" t="s">
        <v>5062</v>
      </c>
      <c r="AW926" t="s">
        <v>5086</v>
      </c>
    </row>
    <row r="927" spans="1:49" x14ac:dyDescent="0.35">
      <c r="A927" t="s">
        <v>2796</v>
      </c>
      <c r="B927" t="s">
        <v>872</v>
      </c>
      <c r="C927" t="s">
        <v>4818</v>
      </c>
      <c r="D927" t="s">
        <v>18</v>
      </c>
      <c r="E927" t="s">
        <v>3433</v>
      </c>
      <c r="F927" t="s">
        <v>3434</v>
      </c>
      <c r="G927" t="s">
        <v>21</v>
      </c>
      <c r="H927" t="s">
        <v>4888</v>
      </c>
      <c r="I927" t="s">
        <v>5022</v>
      </c>
      <c r="J927" s="4" t="s">
        <v>5023</v>
      </c>
      <c r="K927" s="4" t="s">
        <v>5024</v>
      </c>
      <c r="L927" s="4">
        <v>16</v>
      </c>
      <c r="M927" s="4" t="s">
        <v>5035</v>
      </c>
      <c r="N927" t="s">
        <v>3435</v>
      </c>
      <c r="O927" t="s">
        <v>3436</v>
      </c>
      <c r="P927" t="s">
        <v>23</v>
      </c>
      <c r="Q927" t="s">
        <v>24</v>
      </c>
      <c r="R927" t="s">
        <v>25</v>
      </c>
      <c r="S927" t="s">
        <v>26</v>
      </c>
      <c r="T927" s="6">
        <v>46307</v>
      </c>
      <c r="U927">
        <v>600</v>
      </c>
      <c r="V927">
        <v>600</v>
      </c>
      <c r="W927">
        <v>648</v>
      </c>
      <c r="X927">
        <v>648</v>
      </c>
      <c r="Y927">
        <f t="shared" si="144"/>
        <v>0</v>
      </c>
      <c r="Z927">
        <f t="shared" si="145"/>
        <v>-48</v>
      </c>
      <c r="AC927" s="1"/>
      <c r="AF927">
        <f t="shared" si="150"/>
        <v>600</v>
      </c>
      <c r="AG927" s="7">
        <v>24</v>
      </c>
      <c r="AH927">
        <f t="shared" si="146"/>
        <v>600</v>
      </c>
      <c r="AI927">
        <f t="shared" si="143"/>
        <v>0</v>
      </c>
      <c r="AK927">
        <f t="shared" si="147"/>
        <v>25</v>
      </c>
      <c r="AL927">
        <v>6.99</v>
      </c>
      <c r="AM927" t="s">
        <v>27</v>
      </c>
      <c r="AN927">
        <v>8.68</v>
      </c>
      <c r="AO927" t="b">
        <f t="shared" si="148"/>
        <v>0</v>
      </c>
      <c r="AR927" t="s">
        <v>5061</v>
      </c>
      <c r="AS927" s="21">
        <v>46276</v>
      </c>
      <c r="AT927" t="s">
        <v>5062</v>
      </c>
      <c r="AU927" t="s">
        <v>5083</v>
      </c>
      <c r="AV927" t="s">
        <v>5062</v>
      </c>
      <c r="AW927" t="s">
        <v>5086</v>
      </c>
    </row>
    <row r="928" spans="1:49" x14ac:dyDescent="0.35">
      <c r="A928" t="s">
        <v>2796</v>
      </c>
      <c r="B928" t="s">
        <v>872</v>
      </c>
      <c r="C928" t="s">
        <v>4818</v>
      </c>
      <c r="D928" t="s">
        <v>18</v>
      </c>
      <c r="E928" t="s">
        <v>3437</v>
      </c>
      <c r="F928" t="s">
        <v>3438</v>
      </c>
      <c r="G928" t="s">
        <v>21</v>
      </c>
      <c r="H928" t="s">
        <v>4888</v>
      </c>
      <c r="I928" t="s">
        <v>5003</v>
      </c>
      <c r="J928" s="4" t="s">
        <v>5004</v>
      </c>
      <c r="K928" s="4" t="s">
        <v>5015</v>
      </c>
      <c r="L928" s="4" t="s">
        <v>4857</v>
      </c>
      <c r="M928" s="4" t="s">
        <v>5035</v>
      </c>
      <c r="N928" t="s">
        <v>3439</v>
      </c>
      <c r="O928" t="s">
        <v>3440</v>
      </c>
      <c r="P928" t="s">
        <v>23</v>
      </c>
      <c r="Q928" t="s">
        <v>24</v>
      </c>
      <c r="R928" t="s">
        <v>25</v>
      </c>
      <c r="S928" t="s">
        <v>26</v>
      </c>
      <c r="T928" s="6">
        <v>46307</v>
      </c>
      <c r="U928">
        <v>36</v>
      </c>
      <c r="V928">
        <v>36</v>
      </c>
      <c r="W928">
        <v>24</v>
      </c>
      <c r="X928">
        <v>24</v>
      </c>
      <c r="Y928">
        <f t="shared" si="144"/>
        <v>0</v>
      </c>
      <c r="Z928">
        <f t="shared" si="145"/>
        <v>12</v>
      </c>
      <c r="AA928">
        <f>Z928</f>
        <v>12</v>
      </c>
      <c r="AC928" s="1">
        <v>0</v>
      </c>
      <c r="AF928">
        <f>X928</f>
        <v>24</v>
      </c>
      <c r="AG928" s="7">
        <v>12</v>
      </c>
      <c r="AH928">
        <f t="shared" si="146"/>
        <v>24</v>
      </c>
      <c r="AI928">
        <f t="shared" si="143"/>
        <v>12</v>
      </c>
      <c r="AK928">
        <f t="shared" si="147"/>
        <v>2</v>
      </c>
      <c r="AL928">
        <v>13.01</v>
      </c>
      <c r="AM928" t="s">
        <v>27</v>
      </c>
      <c r="AN928">
        <v>13.01</v>
      </c>
      <c r="AO928" t="b">
        <f t="shared" si="148"/>
        <v>1</v>
      </c>
      <c r="AR928" t="s">
        <v>5061</v>
      </c>
      <c r="AS928" s="21">
        <v>46276</v>
      </c>
      <c r="AT928" t="s">
        <v>5062</v>
      </c>
      <c r="AU928" t="s">
        <v>5078</v>
      </c>
      <c r="AV928" t="s">
        <v>5062</v>
      </c>
      <c r="AW928" t="s">
        <v>5086</v>
      </c>
    </row>
    <row r="929" spans="1:49" x14ac:dyDescent="0.35">
      <c r="A929" t="s">
        <v>2796</v>
      </c>
      <c r="B929" t="s">
        <v>872</v>
      </c>
      <c r="C929" t="s">
        <v>4818</v>
      </c>
      <c r="D929" t="s">
        <v>18</v>
      </c>
      <c r="E929" t="s">
        <v>3441</v>
      </c>
      <c r="F929" t="s">
        <v>3442</v>
      </c>
      <c r="G929" t="s">
        <v>21</v>
      </c>
      <c r="H929" t="s">
        <v>4888</v>
      </c>
      <c r="I929" t="s">
        <v>5003</v>
      </c>
      <c r="J929" s="4" t="s">
        <v>5004</v>
      </c>
      <c r="K929" s="4" t="s">
        <v>5016</v>
      </c>
      <c r="L929" s="4" t="s">
        <v>4905</v>
      </c>
      <c r="M929" s="4" t="s">
        <v>5035</v>
      </c>
      <c r="N929" t="s">
        <v>3443</v>
      </c>
      <c r="O929" t="s">
        <v>3444</v>
      </c>
      <c r="P929" t="s">
        <v>23</v>
      </c>
      <c r="Q929" t="s">
        <v>24</v>
      </c>
      <c r="R929" t="s">
        <v>25</v>
      </c>
      <c r="S929" t="s">
        <v>26</v>
      </c>
      <c r="T929" s="6">
        <v>46307</v>
      </c>
      <c r="U929">
        <v>60</v>
      </c>
      <c r="V929">
        <v>60</v>
      </c>
      <c r="W929">
        <v>72</v>
      </c>
      <c r="X929">
        <v>72</v>
      </c>
      <c r="Y929">
        <f t="shared" si="144"/>
        <v>0</v>
      </c>
      <c r="Z929">
        <f t="shared" si="145"/>
        <v>-12</v>
      </c>
      <c r="AC929" s="1">
        <v>0</v>
      </c>
      <c r="AF929">
        <f>V929</f>
        <v>60</v>
      </c>
      <c r="AG929" s="7">
        <v>12</v>
      </c>
      <c r="AH929">
        <f t="shared" si="146"/>
        <v>60</v>
      </c>
      <c r="AI929">
        <f t="shared" si="143"/>
        <v>0</v>
      </c>
      <c r="AK929">
        <f t="shared" si="147"/>
        <v>5</v>
      </c>
      <c r="AL929">
        <v>13.33</v>
      </c>
      <c r="AM929" t="s">
        <v>27</v>
      </c>
      <c r="AN929">
        <v>13.33</v>
      </c>
      <c r="AO929" t="b">
        <f t="shared" si="148"/>
        <v>1</v>
      </c>
      <c r="AR929" t="s">
        <v>5061</v>
      </c>
      <c r="AS929" s="21">
        <v>46276</v>
      </c>
      <c r="AT929" t="s">
        <v>5062</v>
      </c>
      <c r="AU929" t="s">
        <v>5078</v>
      </c>
      <c r="AV929" t="s">
        <v>5062</v>
      </c>
      <c r="AW929" t="s">
        <v>5086</v>
      </c>
    </row>
    <row r="930" spans="1:49" x14ac:dyDescent="0.35">
      <c r="A930" t="s">
        <v>2796</v>
      </c>
      <c r="B930" t="s">
        <v>872</v>
      </c>
      <c r="C930" t="s">
        <v>4818</v>
      </c>
      <c r="D930" t="s">
        <v>18</v>
      </c>
      <c r="E930" t="s">
        <v>3445</v>
      </c>
      <c r="F930" t="s">
        <v>3446</v>
      </c>
      <c r="G930" t="s">
        <v>21</v>
      </c>
      <c r="H930" t="s">
        <v>4888</v>
      </c>
      <c r="I930" t="s">
        <v>5025</v>
      </c>
      <c r="J930" s="4" t="s">
        <v>5026</v>
      </c>
      <c r="K930" s="4" t="s">
        <v>5020</v>
      </c>
      <c r="L930" s="4" t="s">
        <v>4983</v>
      </c>
      <c r="M930" s="4" t="s">
        <v>5035</v>
      </c>
      <c r="N930" t="s">
        <v>3447</v>
      </c>
      <c r="O930" t="s">
        <v>3448</v>
      </c>
      <c r="P930" t="s">
        <v>23</v>
      </c>
      <c r="Q930" t="s">
        <v>24</v>
      </c>
      <c r="R930" t="s">
        <v>25</v>
      </c>
      <c r="S930" t="s">
        <v>26</v>
      </c>
      <c r="T930" s="6">
        <v>46307</v>
      </c>
      <c r="U930">
        <v>504</v>
      </c>
      <c r="V930">
        <v>504</v>
      </c>
      <c r="W930">
        <v>504</v>
      </c>
      <c r="X930">
        <v>504</v>
      </c>
      <c r="Y930">
        <f t="shared" si="144"/>
        <v>0</v>
      </c>
      <c r="Z930">
        <f t="shared" si="145"/>
        <v>0</v>
      </c>
      <c r="AC930" s="1">
        <v>0</v>
      </c>
      <c r="AF930">
        <f>V930</f>
        <v>504</v>
      </c>
      <c r="AG930" s="7">
        <v>24</v>
      </c>
      <c r="AH930">
        <f t="shared" si="146"/>
        <v>504</v>
      </c>
      <c r="AI930">
        <f t="shared" si="143"/>
        <v>0</v>
      </c>
      <c r="AK930">
        <f t="shared" si="147"/>
        <v>21</v>
      </c>
      <c r="AL930">
        <v>6.2</v>
      </c>
      <c r="AM930" t="s">
        <v>27</v>
      </c>
      <c r="AN930">
        <v>6.2</v>
      </c>
      <c r="AO930" t="b">
        <f t="shared" si="148"/>
        <v>1</v>
      </c>
      <c r="AR930" t="s">
        <v>5061</v>
      </c>
      <c r="AS930" s="21">
        <v>46276</v>
      </c>
      <c r="AT930" t="s">
        <v>5062</v>
      </c>
      <c r="AU930" t="s">
        <v>5082</v>
      </c>
      <c r="AV930" t="s">
        <v>5062</v>
      </c>
      <c r="AW930" t="s">
        <v>5086</v>
      </c>
    </row>
    <row r="931" spans="1:49" x14ac:dyDescent="0.35">
      <c r="A931" t="s">
        <v>2796</v>
      </c>
      <c r="B931" t="s">
        <v>872</v>
      </c>
      <c r="C931" t="s">
        <v>4818</v>
      </c>
      <c r="D931" t="s">
        <v>18</v>
      </c>
      <c r="E931" t="s">
        <v>3449</v>
      </c>
      <c r="F931" t="s">
        <v>3450</v>
      </c>
      <c r="G931" t="s">
        <v>21</v>
      </c>
      <c r="H931" t="s">
        <v>4888</v>
      </c>
      <c r="I931" t="s">
        <v>5005</v>
      </c>
      <c r="J931" s="4" t="s">
        <v>5006</v>
      </c>
      <c r="K931" s="4" t="s">
        <v>4899</v>
      </c>
      <c r="L931" s="4">
        <v>42</v>
      </c>
      <c r="M931" s="4" t="s">
        <v>5035</v>
      </c>
      <c r="N931" t="s">
        <v>3451</v>
      </c>
      <c r="O931" t="s">
        <v>3452</v>
      </c>
      <c r="P931" t="s">
        <v>23</v>
      </c>
      <c r="Q931" t="s">
        <v>24</v>
      </c>
      <c r="R931" t="s">
        <v>25</v>
      </c>
      <c r="S931" t="s">
        <v>26</v>
      </c>
      <c r="T931" s="6">
        <v>46307</v>
      </c>
      <c r="U931">
        <v>264</v>
      </c>
      <c r="V931">
        <v>264</v>
      </c>
      <c r="W931">
        <v>240</v>
      </c>
      <c r="X931">
        <v>240</v>
      </c>
      <c r="Y931">
        <f t="shared" si="144"/>
        <v>0</v>
      </c>
      <c r="Z931">
        <f t="shared" si="145"/>
        <v>24</v>
      </c>
      <c r="AA931">
        <f>Z931</f>
        <v>24</v>
      </c>
      <c r="AC931" s="1">
        <v>0</v>
      </c>
      <c r="AF931">
        <f>X931</f>
        <v>240</v>
      </c>
      <c r="AG931" s="7">
        <v>24</v>
      </c>
      <c r="AH931">
        <f t="shared" si="146"/>
        <v>240</v>
      </c>
      <c r="AI931">
        <f t="shared" si="143"/>
        <v>24</v>
      </c>
      <c r="AK931">
        <f t="shared" si="147"/>
        <v>10</v>
      </c>
      <c r="AL931">
        <v>10.14</v>
      </c>
      <c r="AM931" t="s">
        <v>27</v>
      </c>
      <c r="AN931">
        <v>10.14</v>
      </c>
      <c r="AO931" t="b">
        <f t="shared" si="148"/>
        <v>1</v>
      </c>
      <c r="AR931" t="s">
        <v>5061</v>
      </c>
      <c r="AS931" s="21">
        <v>46276</v>
      </c>
      <c r="AT931" t="s">
        <v>5062</v>
      </c>
      <c r="AU931" t="s">
        <v>5079</v>
      </c>
      <c r="AV931" t="s">
        <v>5062</v>
      </c>
      <c r="AW931" t="s">
        <v>5086</v>
      </c>
    </row>
    <row r="932" spans="1:49" x14ac:dyDescent="0.35">
      <c r="A932" t="s">
        <v>2796</v>
      </c>
      <c r="B932" t="s">
        <v>872</v>
      </c>
      <c r="C932" t="s">
        <v>4818</v>
      </c>
      <c r="D932" t="s">
        <v>18</v>
      </c>
      <c r="E932" t="s">
        <v>3453</v>
      </c>
      <c r="F932" t="s">
        <v>3454</v>
      </c>
      <c r="G932" t="s">
        <v>21</v>
      </c>
      <c r="H932" t="s">
        <v>4888</v>
      </c>
      <c r="I932" t="s">
        <v>5003</v>
      </c>
      <c r="J932" s="4" t="s">
        <v>5004</v>
      </c>
      <c r="K932" s="4" t="s">
        <v>5015</v>
      </c>
      <c r="L932" s="4" t="s">
        <v>4916</v>
      </c>
      <c r="M932" s="4" t="s">
        <v>5035</v>
      </c>
      <c r="N932" t="s">
        <v>3455</v>
      </c>
      <c r="O932" t="s">
        <v>3456</v>
      </c>
      <c r="P932" t="s">
        <v>23</v>
      </c>
      <c r="Q932" t="s">
        <v>24</v>
      </c>
      <c r="R932" t="s">
        <v>25</v>
      </c>
      <c r="S932" t="s">
        <v>26</v>
      </c>
      <c r="T932" s="6">
        <v>46307</v>
      </c>
      <c r="U932">
        <v>48</v>
      </c>
      <c r="V932">
        <v>48</v>
      </c>
      <c r="W932">
        <v>48</v>
      </c>
      <c r="X932">
        <v>48</v>
      </c>
      <c r="Y932">
        <f t="shared" si="144"/>
        <v>0</v>
      </c>
      <c r="Z932">
        <f t="shared" si="145"/>
        <v>0</v>
      </c>
      <c r="AC932" s="1">
        <v>0</v>
      </c>
      <c r="AF932">
        <f>V932</f>
        <v>48</v>
      </c>
      <c r="AG932" s="7">
        <v>12</v>
      </c>
      <c r="AH932">
        <f t="shared" si="146"/>
        <v>48</v>
      </c>
      <c r="AI932">
        <f t="shared" si="143"/>
        <v>0</v>
      </c>
      <c r="AK932">
        <f t="shared" si="147"/>
        <v>4</v>
      </c>
      <c r="AL932">
        <v>13.01</v>
      </c>
      <c r="AM932" t="s">
        <v>27</v>
      </c>
      <c r="AN932">
        <v>13.01</v>
      </c>
      <c r="AO932" t="b">
        <f t="shared" si="148"/>
        <v>1</v>
      </c>
      <c r="AR932" t="s">
        <v>5061</v>
      </c>
      <c r="AS932" s="21">
        <v>46276</v>
      </c>
      <c r="AT932" t="s">
        <v>5062</v>
      </c>
      <c r="AU932" t="s">
        <v>5078</v>
      </c>
      <c r="AV932" t="s">
        <v>5062</v>
      </c>
      <c r="AW932" t="s">
        <v>5086</v>
      </c>
    </row>
    <row r="933" spans="1:49" x14ac:dyDescent="0.35">
      <c r="A933" t="s">
        <v>2796</v>
      </c>
      <c r="B933" t="s">
        <v>872</v>
      </c>
      <c r="C933" t="s">
        <v>4818</v>
      </c>
      <c r="D933" t="s">
        <v>18</v>
      </c>
      <c r="E933" t="s">
        <v>3457</v>
      </c>
      <c r="F933" t="s">
        <v>3458</v>
      </c>
      <c r="G933" t="s">
        <v>21</v>
      </c>
      <c r="H933" t="s">
        <v>4888</v>
      </c>
      <c r="I933" t="s">
        <v>5003</v>
      </c>
      <c r="J933" s="4" t="s">
        <v>5004</v>
      </c>
      <c r="K933" s="4" t="s">
        <v>5015</v>
      </c>
      <c r="L933" s="4" t="s">
        <v>4930</v>
      </c>
      <c r="M933" s="4" t="s">
        <v>5035</v>
      </c>
      <c r="N933" t="s">
        <v>3459</v>
      </c>
      <c r="O933" t="s">
        <v>3460</v>
      </c>
      <c r="P933" t="s">
        <v>23</v>
      </c>
      <c r="Q933" t="s">
        <v>24</v>
      </c>
      <c r="R933" t="s">
        <v>25</v>
      </c>
      <c r="S933" t="s">
        <v>26</v>
      </c>
      <c r="T933" s="6">
        <v>46307</v>
      </c>
      <c r="U933">
        <v>60</v>
      </c>
      <c r="V933">
        <v>60</v>
      </c>
      <c r="W933">
        <v>48</v>
      </c>
      <c r="X933">
        <v>48</v>
      </c>
      <c r="Y933">
        <f t="shared" si="144"/>
        <v>0</v>
      </c>
      <c r="Z933">
        <f t="shared" si="145"/>
        <v>12</v>
      </c>
      <c r="AA933">
        <f>Z933</f>
        <v>12</v>
      </c>
      <c r="AC933" s="1">
        <v>0</v>
      </c>
      <c r="AF933">
        <f>X933</f>
        <v>48</v>
      </c>
      <c r="AG933" s="7">
        <v>12</v>
      </c>
      <c r="AH933">
        <f t="shared" si="146"/>
        <v>48</v>
      </c>
      <c r="AI933">
        <f t="shared" si="143"/>
        <v>12</v>
      </c>
      <c r="AK933">
        <f t="shared" si="147"/>
        <v>4</v>
      </c>
      <c r="AL933">
        <v>13.01</v>
      </c>
      <c r="AM933" t="s">
        <v>27</v>
      </c>
      <c r="AN933">
        <v>13.01</v>
      </c>
      <c r="AO933" t="b">
        <f t="shared" si="148"/>
        <v>1</v>
      </c>
      <c r="AR933" t="s">
        <v>5061</v>
      </c>
      <c r="AS933" s="21">
        <v>46276</v>
      </c>
      <c r="AT933" t="s">
        <v>5062</v>
      </c>
      <c r="AU933" t="s">
        <v>5078</v>
      </c>
      <c r="AV933" t="s">
        <v>5062</v>
      </c>
      <c r="AW933" t="s">
        <v>5086</v>
      </c>
    </row>
    <row r="934" spans="1:49" x14ac:dyDescent="0.35">
      <c r="A934" t="s">
        <v>2796</v>
      </c>
      <c r="B934" t="s">
        <v>872</v>
      </c>
      <c r="C934" t="s">
        <v>4818</v>
      </c>
      <c r="D934" t="s">
        <v>18</v>
      </c>
      <c r="E934" t="s">
        <v>3461</v>
      </c>
      <c r="F934" t="s">
        <v>3462</v>
      </c>
      <c r="G934" t="s">
        <v>21</v>
      </c>
      <c r="H934" t="s">
        <v>4888</v>
      </c>
      <c r="I934" t="s">
        <v>5005</v>
      </c>
      <c r="J934" s="4" t="s">
        <v>5006</v>
      </c>
      <c r="K934" s="4" t="s">
        <v>5027</v>
      </c>
      <c r="L934" s="4">
        <v>33</v>
      </c>
      <c r="M934" s="4" t="s">
        <v>5035</v>
      </c>
      <c r="N934" t="s">
        <v>3463</v>
      </c>
      <c r="O934" t="s">
        <v>3464</v>
      </c>
      <c r="P934" t="s">
        <v>23</v>
      </c>
      <c r="Q934" t="s">
        <v>24</v>
      </c>
      <c r="R934" t="s">
        <v>25</v>
      </c>
      <c r="S934" t="s">
        <v>26</v>
      </c>
      <c r="T934" s="6">
        <v>46307</v>
      </c>
      <c r="U934">
        <v>456</v>
      </c>
      <c r="V934">
        <v>456</v>
      </c>
      <c r="W934">
        <v>480</v>
      </c>
      <c r="X934">
        <v>480</v>
      </c>
      <c r="Y934">
        <f t="shared" si="144"/>
        <v>0</v>
      </c>
      <c r="Z934">
        <f t="shared" si="145"/>
        <v>-24</v>
      </c>
      <c r="AC934" s="1">
        <v>0</v>
      </c>
      <c r="AF934">
        <f t="shared" ref="AF934:AF939" si="151">V934</f>
        <v>456</v>
      </c>
      <c r="AG934" s="7">
        <v>24</v>
      </c>
      <c r="AH934">
        <f t="shared" si="146"/>
        <v>456</v>
      </c>
      <c r="AI934">
        <f t="shared" si="143"/>
        <v>0</v>
      </c>
      <c r="AK934">
        <f t="shared" si="147"/>
        <v>19</v>
      </c>
      <c r="AL934">
        <v>10.24</v>
      </c>
      <c r="AM934" t="s">
        <v>27</v>
      </c>
      <c r="AN934">
        <v>10.24</v>
      </c>
      <c r="AO934" t="b">
        <f t="shared" si="148"/>
        <v>1</v>
      </c>
      <c r="AR934" t="s">
        <v>5061</v>
      </c>
      <c r="AS934" s="21">
        <v>46276</v>
      </c>
      <c r="AT934" t="s">
        <v>5062</v>
      </c>
      <c r="AU934" t="s">
        <v>5079</v>
      </c>
      <c r="AV934" t="s">
        <v>5062</v>
      </c>
      <c r="AW934" t="s">
        <v>5086</v>
      </c>
    </row>
    <row r="935" spans="1:49" x14ac:dyDescent="0.35">
      <c r="A935" t="s">
        <v>2796</v>
      </c>
      <c r="B935" t="s">
        <v>872</v>
      </c>
      <c r="C935" t="s">
        <v>4818</v>
      </c>
      <c r="D935" t="s">
        <v>18</v>
      </c>
      <c r="E935" t="s">
        <v>3465</v>
      </c>
      <c r="F935" t="s">
        <v>3466</v>
      </c>
      <c r="G935" t="s">
        <v>21</v>
      </c>
      <c r="H935" t="s">
        <v>4888</v>
      </c>
      <c r="I935" t="s">
        <v>5005</v>
      </c>
      <c r="J935" s="4" t="s">
        <v>5006</v>
      </c>
      <c r="K935" s="4" t="s">
        <v>5007</v>
      </c>
      <c r="L935" s="4">
        <v>42</v>
      </c>
      <c r="M935" s="4" t="s">
        <v>5035</v>
      </c>
      <c r="N935" t="s">
        <v>3467</v>
      </c>
      <c r="O935" t="s">
        <v>3468</v>
      </c>
      <c r="P935" t="s">
        <v>23</v>
      </c>
      <c r="Q935" t="s">
        <v>24</v>
      </c>
      <c r="R935" t="s">
        <v>25</v>
      </c>
      <c r="S935" t="s">
        <v>26</v>
      </c>
      <c r="T935" s="6">
        <v>46307</v>
      </c>
      <c r="U935">
        <v>312</v>
      </c>
      <c r="V935">
        <v>312</v>
      </c>
      <c r="W935">
        <v>336</v>
      </c>
      <c r="X935">
        <v>336</v>
      </c>
      <c r="Y935">
        <f t="shared" si="144"/>
        <v>0</v>
      </c>
      <c r="Z935">
        <f t="shared" si="145"/>
        <v>-24</v>
      </c>
      <c r="AC935" s="1">
        <v>0</v>
      </c>
      <c r="AF935">
        <f t="shared" si="151"/>
        <v>312</v>
      </c>
      <c r="AG935" s="7">
        <v>24</v>
      </c>
      <c r="AH935">
        <f t="shared" si="146"/>
        <v>312</v>
      </c>
      <c r="AI935">
        <f t="shared" si="143"/>
        <v>0</v>
      </c>
      <c r="AK935">
        <f t="shared" si="147"/>
        <v>13</v>
      </c>
      <c r="AL935">
        <v>10.45</v>
      </c>
      <c r="AM935" t="s">
        <v>27</v>
      </c>
      <c r="AN935">
        <v>10.45</v>
      </c>
      <c r="AO935" t="b">
        <f t="shared" si="148"/>
        <v>1</v>
      </c>
      <c r="AR935" t="s">
        <v>5061</v>
      </c>
      <c r="AS935" s="21">
        <v>46276</v>
      </c>
      <c r="AT935" t="s">
        <v>5062</v>
      </c>
      <c r="AU935" t="s">
        <v>5079</v>
      </c>
      <c r="AV935" t="s">
        <v>5062</v>
      </c>
      <c r="AW935" t="s">
        <v>5086</v>
      </c>
    </row>
    <row r="936" spans="1:49" x14ac:dyDescent="0.35">
      <c r="A936" t="s">
        <v>2796</v>
      </c>
      <c r="B936" t="s">
        <v>872</v>
      </c>
      <c r="C936" t="s">
        <v>4818</v>
      </c>
      <c r="D936" t="s">
        <v>18</v>
      </c>
      <c r="E936" t="s">
        <v>3469</v>
      </c>
      <c r="F936" t="s">
        <v>3470</v>
      </c>
      <c r="G936" t="s">
        <v>21</v>
      </c>
      <c r="H936" t="s">
        <v>4888</v>
      </c>
      <c r="I936" t="s">
        <v>5003</v>
      </c>
      <c r="J936" s="4" t="s">
        <v>5004</v>
      </c>
      <c r="K936" s="4" t="s">
        <v>4904</v>
      </c>
      <c r="L936" s="4" t="s">
        <v>4877</v>
      </c>
      <c r="M936" s="4" t="s">
        <v>5035</v>
      </c>
      <c r="N936" t="s">
        <v>3471</v>
      </c>
      <c r="O936" t="s">
        <v>3472</v>
      </c>
      <c r="P936" t="s">
        <v>23</v>
      </c>
      <c r="Q936" t="s">
        <v>24</v>
      </c>
      <c r="R936" t="s">
        <v>25</v>
      </c>
      <c r="S936" t="s">
        <v>26</v>
      </c>
      <c r="T936" s="6">
        <v>46307</v>
      </c>
      <c r="U936">
        <v>84</v>
      </c>
      <c r="V936">
        <v>84</v>
      </c>
      <c r="W936">
        <v>96</v>
      </c>
      <c r="X936">
        <v>96</v>
      </c>
      <c r="Y936">
        <f t="shared" si="144"/>
        <v>0</v>
      </c>
      <c r="Z936">
        <f t="shared" si="145"/>
        <v>-12</v>
      </c>
      <c r="AC936" s="1">
        <v>0</v>
      </c>
      <c r="AF936">
        <f t="shared" si="151"/>
        <v>84</v>
      </c>
      <c r="AG936" s="7">
        <v>12</v>
      </c>
      <c r="AH936">
        <f t="shared" si="146"/>
        <v>84</v>
      </c>
      <c r="AI936">
        <f t="shared" si="143"/>
        <v>0</v>
      </c>
      <c r="AK936">
        <f t="shared" si="147"/>
        <v>7</v>
      </c>
      <c r="AL936">
        <v>12.89</v>
      </c>
      <c r="AM936" t="s">
        <v>27</v>
      </c>
      <c r="AN936">
        <v>12.89</v>
      </c>
      <c r="AO936" t="b">
        <f t="shared" si="148"/>
        <v>1</v>
      </c>
      <c r="AR936" t="s">
        <v>5061</v>
      </c>
      <c r="AS936" s="21">
        <v>46276</v>
      </c>
      <c r="AT936" t="s">
        <v>5062</v>
      </c>
      <c r="AU936" t="s">
        <v>5078</v>
      </c>
      <c r="AV936" t="s">
        <v>5062</v>
      </c>
      <c r="AW936" t="s">
        <v>5086</v>
      </c>
    </row>
    <row r="937" spans="1:49" x14ac:dyDescent="0.35">
      <c r="A937" t="s">
        <v>2796</v>
      </c>
      <c r="B937" t="s">
        <v>872</v>
      </c>
      <c r="C937" t="s">
        <v>4818</v>
      </c>
      <c r="D937" t="s">
        <v>18</v>
      </c>
      <c r="E937" t="s">
        <v>3473</v>
      </c>
      <c r="F937" t="s">
        <v>3474</v>
      </c>
      <c r="G937" t="s">
        <v>21</v>
      </c>
      <c r="H937" t="s">
        <v>4888</v>
      </c>
      <c r="I937" t="s">
        <v>5003</v>
      </c>
      <c r="J937" s="4" t="s">
        <v>5004</v>
      </c>
      <c r="K937" s="4" t="s">
        <v>4904</v>
      </c>
      <c r="L937" s="4" t="s">
        <v>4931</v>
      </c>
      <c r="M937" s="4" t="s">
        <v>5035</v>
      </c>
      <c r="N937" t="s">
        <v>3475</v>
      </c>
      <c r="O937" t="s">
        <v>3476</v>
      </c>
      <c r="P937" t="s">
        <v>23</v>
      </c>
      <c r="Q937" t="s">
        <v>24</v>
      </c>
      <c r="R937" t="s">
        <v>25</v>
      </c>
      <c r="S937" t="s">
        <v>26</v>
      </c>
      <c r="T937" s="6">
        <v>46307</v>
      </c>
      <c r="U937">
        <v>60</v>
      </c>
      <c r="V937">
        <v>60</v>
      </c>
      <c r="W937">
        <v>60</v>
      </c>
      <c r="X937">
        <v>60</v>
      </c>
      <c r="Y937">
        <f t="shared" si="144"/>
        <v>0</v>
      </c>
      <c r="Z937">
        <f t="shared" si="145"/>
        <v>0</v>
      </c>
      <c r="AC937" s="1">
        <v>0</v>
      </c>
      <c r="AF937">
        <f t="shared" si="151"/>
        <v>60</v>
      </c>
      <c r="AG937" s="7">
        <v>12</v>
      </c>
      <c r="AH937">
        <f t="shared" si="146"/>
        <v>60</v>
      </c>
      <c r="AI937">
        <f t="shared" si="143"/>
        <v>0</v>
      </c>
      <c r="AK937">
        <f t="shared" si="147"/>
        <v>5</v>
      </c>
      <c r="AL937">
        <v>12.89</v>
      </c>
      <c r="AM937" t="s">
        <v>27</v>
      </c>
      <c r="AN937">
        <v>12.89</v>
      </c>
      <c r="AO937" t="b">
        <f t="shared" si="148"/>
        <v>1</v>
      </c>
      <c r="AR937" t="s">
        <v>5061</v>
      </c>
      <c r="AS937" s="21">
        <v>46276</v>
      </c>
      <c r="AT937" t="s">
        <v>5062</v>
      </c>
      <c r="AU937" t="s">
        <v>5078</v>
      </c>
      <c r="AV937" t="s">
        <v>5062</v>
      </c>
      <c r="AW937" t="s">
        <v>5086</v>
      </c>
    </row>
    <row r="938" spans="1:49" x14ac:dyDescent="0.35">
      <c r="A938" t="s">
        <v>2796</v>
      </c>
      <c r="B938" t="s">
        <v>872</v>
      </c>
      <c r="C938" t="s">
        <v>4818</v>
      </c>
      <c r="D938" t="s">
        <v>18</v>
      </c>
      <c r="E938" t="s">
        <v>3477</v>
      </c>
      <c r="F938" t="s">
        <v>3478</v>
      </c>
      <c r="G938" t="s">
        <v>21</v>
      </c>
      <c r="H938" t="s">
        <v>4888</v>
      </c>
      <c r="I938" t="s">
        <v>5003</v>
      </c>
      <c r="J938" s="4" t="s">
        <v>5004</v>
      </c>
      <c r="K938" s="4" t="s">
        <v>5016</v>
      </c>
      <c r="L938" s="4" t="s">
        <v>4871</v>
      </c>
      <c r="M938" s="4" t="s">
        <v>5035</v>
      </c>
      <c r="N938" t="s">
        <v>3479</v>
      </c>
      <c r="O938" t="s">
        <v>3480</v>
      </c>
      <c r="P938" t="s">
        <v>23</v>
      </c>
      <c r="Q938" t="s">
        <v>24</v>
      </c>
      <c r="R938" t="s">
        <v>25</v>
      </c>
      <c r="S938" t="s">
        <v>26</v>
      </c>
      <c r="T938" s="6">
        <v>46307</v>
      </c>
      <c r="U938">
        <v>84</v>
      </c>
      <c r="V938">
        <v>84</v>
      </c>
      <c r="W938">
        <v>96</v>
      </c>
      <c r="X938">
        <v>96</v>
      </c>
      <c r="Y938">
        <f t="shared" si="144"/>
        <v>0</v>
      </c>
      <c r="Z938">
        <f t="shared" si="145"/>
        <v>-12</v>
      </c>
      <c r="AC938" s="1">
        <v>0</v>
      </c>
      <c r="AF938">
        <f t="shared" si="151"/>
        <v>84</v>
      </c>
      <c r="AG938" s="7">
        <v>12</v>
      </c>
      <c r="AH938">
        <f t="shared" si="146"/>
        <v>84</v>
      </c>
      <c r="AI938">
        <f t="shared" si="143"/>
        <v>0</v>
      </c>
      <c r="AK938">
        <f t="shared" si="147"/>
        <v>7</v>
      </c>
      <c r="AL938">
        <v>13.33</v>
      </c>
      <c r="AM938" t="s">
        <v>27</v>
      </c>
      <c r="AN938">
        <v>13.33</v>
      </c>
      <c r="AO938" t="b">
        <f t="shared" si="148"/>
        <v>1</v>
      </c>
      <c r="AR938" t="s">
        <v>5061</v>
      </c>
      <c r="AS938" s="21">
        <v>46276</v>
      </c>
      <c r="AT938" t="s">
        <v>5062</v>
      </c>
      <c r="AU938" t="s">
        <v>5078</v>
      </c>
      <c r="AV938" t="s">
        <v>5062</v>
      </c>
      <c r="AW938" t="s">
        <v>5086</v>
      </c>
    </row>
    <row r="939" spans="1:49" x14ac:dyDescent="0.35">
      <c r="A939" t="s">
        <v>2796</v>
      </c>
      <c r="B939" t="s">
        <v>872</v>
      </c>
      <c r="C939" t="s">
        <v>4818</v>
      </c>
      <c r="D939" t="s">
        <v>18</v>
      </c>
      <c r="E939" t="s">
        <v>3481</v>
      </c>
      <c r="F939" t="s">
        <v>3482</v>
      </c>
      <c r="G939" t="s">
        <v>21</v>
      </c>
      <c r="H939" t="s">
        <v>4888</v>
      </c>
      <c r="I939" t="s">
        <v>5010</v>
      </c>
      <c r="J939" s="4" t="s">
        <v>5011</v>
      </c>
      <c r="K939" s="4" t="s">
        <v>4984</v>
      </c>
      <c r="L939" s="4" t="s">
        <v>4998</v>
      </c>
      <c r="M939" s="4" t="s">
        <v>5035</v>
      </c>
      <c r="N939" t="s">
        <v>3483</v>
      </c>
      <c r="O939" t="s">
        <v>3484</v>
      </c>
      <c r="P939" t="s">
        <v>23</v>
      </c>
      <c r="Q939" t="s">
        <v>24</v>
      </c>
      <c r="R939" t="s">
        <v>25</v>
      </c>
      <c r="S939" t="s">
        <v>26</v>
      </c>
      <c r="T939" s="6">
        <v>46307</v>
      </c>
      <c r="U939">
        <v>96</v>
      </c>
      <c r="V939">
        <v>96</v>
      </c>
      <c r="W939">
        <v>96</v>
      </c>
      <c r="X939">
        <v>96</v>
      </c>
      <c r="Y939">
        <f t="shared" si="144"/>
        <v>0</v>
      </c>
      <c r="Z939">
        <f t="shared" si="145"/>
        <v>0</v>
      </c>
      <c r="AC939" s="1">
        <v>0</v>
      </c>
      <c r="AF939">
        <f t="shared" si="151"/>
        <v>96</v>
      </c>
      <c r="AG939" s="7">
        <v>24</v>
      </c>
      <c r="AH939">
        <f t="shared" si="146"/>
        <v>96</v>
      </c>
      <c r="AI939">
        <f t="shared" si="143"/>
        <v>0</v>
      </c>
      <c r="AK939">
        <f t="shared" si="147"/>
        <v>4</v>
      </c>
      <c r="AL939">
        <v>4.92</v>
      </c>
      <c r="AM939" t="s">
        <v>27</v>
      </c>
      <c r="AN939">
        <v>4.92</v>
      </c>
      <c r="AO939" t="b">
        <f t="shared" si="148"/>
        <v>1</v>
      </c>
      <c r="AR939" t="s">
        <v>5061</v>
      </c>
      <c r="AS939" s="21">
        <v>46276</v>
      </c>
      <c r="AT939" t="s">
        <v>5062</v>
      </c>
      <c r="AU939" t="s">
        <v>5081</v>
      </c>
      <c r="AV939" t="s">
        <v>5062</v>
      </c>
      <c r="AW939" t="s">
        <v>5086</v>
      </c>
    </row>
    <row r="940" spans="1:49" x14ac:dyDescent="0.35">
      <c r="A940" t="s">
        <v>2796</v>
      </c>
      <c r="B940" t="s">
        <v>872</v>
      </c>
      <c r="C940" t="s">
        <v>4818</v>
      </c>
      <c r="D940" t="s">
        <v>18</v>
      </c>
      <c r="E940" t="s">
        <v>3485</v>
      </c>
      <c r="F940" t="s">
        <v>3486</v>
      </c>
      <c r="G940" t="s">
        <v>21</v>
      </c>
      <c r="H940" t="s">
        <v>4888</v>
      </c>
      <c r="I940" t="s">
        <v>5003</v>
      </c>
      <c r="J940" s="4" t="s">
        <v>5004</v>
      </c>
      <c r="K940" s="4" t="s">
        <v>5015</v>
      </c>
      <c r="L940" s="4" t="s">
        <v>4895</v>
      </c>
      <c r="M940" s="4" t="s">
        <v>5035</v>
      </c>
      <c r="N940" t="s">
        <v>3487</v>
      </c>
      <c r="O940" t="s">
        <v>3488</v>
      </c>
      <c r="P940" t="s">
        <v>23</v>
      </c>
      <c r="Q940" t="s">
        <v>24</v>
      </c>
      <c r="R940" t="s">
        <v>25</v>
      </c>
      <c r="S940" t="s">
        <v>26</v>
      </c>
      <c r="T940" s="6">
        <v>46307</v>
      </c>
      <c r="U940">
        <v>48</v>
      </c>
      <c r="V940">
        <v>48</v>
      </c>
      <c r="W940">
        <v>36</v>
      </c>
      <c r="X940">
        <v>36</v>
      </c>
      <c r="Y940">
        <f t="shared" si="144"/>
        <v>0</v>
      </c>
      <c r="Z940">
        <f t="shared" si="145"/>
        <v>12</v>
      </c>
      <c r="AA940">
        <f>Z940</f>
        <v>12</v>
      </c>
      <c r="AC940" s="1">
        <v>0</v>
      </c>
      <c r="AF940">
        <f>X940</f>
        <v>36</v>
      </c>
      <c r="AG940" s="7">
        <v>12</v>
      </c>
      <c r="AH940">
        <f t="shared" si="146"/>
        <v>36</v>
      </c>
      <c r="AI940">
        <f t="shared" si="143"/>
        <v>12</v>
      </c>
      <c r="AK940">
        <f t="shared" si="147"/>
        <v>3</v>
      </c>
      <c r="AL940">
        <v>13.01</v>
      </c>
      <c r="AM940" t="s">
        <v>27</v>
      </c>
      <c r="AN940">
        <v>13.01</v>
      </c>
      <c r="AO940" t="b">
        <f t="shared" si="148"/>
        <v>1</v>
      </c>
      <c r="AR940" t="s">
        <v>5061</v>
      </c>
      <c r="AS940" s="21">
        <v>46276</v>
      </c>
      <c r="AT940" t="s">
        <v>5062</v>
      </c>
      <c r="AU940" t="s">
        <v>5078</v>
      </c>
      <c r="AV940" t="s">
        <v>5062</v>
      </c>
      <c r="AW940" t="s">
        <v>5086</v>
      </c>
    </row>
    <row r="941" spans="1:49" x14ac:dyDescent="0.35">
      <c r="A941" t="s">
        <v>2796</v>
      </c>
      <c r="B941" t="s">
        <v>872</v>
      </c>
      <c r="C941" t="s">
        <v>4818</v>
      </c>
      <c r="D941" t="s">
        <v>18</v>
      </c>
      <c r="E941" t="s">
        <v>3489</v>
      </c>
      <c r="F941" t="s">
        <v>3490</v>
      </c>
      <c r="G941" t="s">
        <v>21</v>
      </c>
      <c r="H941" t="s">
        <v>4888</v>
      </c>
      <c r="I941" t="s">
        <v>5008</v>
      </c>
      <c r="J941" s="4" t="s">
        <v>5009</v>
      </c>
      <c r="K941" s="4" t="s">
        <v>5021</v>
      </c>
      <c r="L941" s="4">
        <v>30</v>
      </c>
      <c r="M941" s="4" t="s">
        <v>5035</v>
      </c>
      <c r="N941" t="s">
        <v>3491</v>
      </c>
      <c r="O941" t="s">
        <v>3492</v>
      </c>
      <c r="P941" t="s">
        <v>23</v>
      </c>
      <c r="Q941" t="s">
        <v>24</v>
      </c>
      <c r="R941" t="s">
        <v>25</v>
      </c>
      <c r="S941" t="s">
        <v>26</v>
      </c>
      <c r="T941" s="6">
        <v>46307</v>
      </c>
      <c r="U941">
        <v>336</v>
      </c>
      <c r="V941">
        <v>336</v>
      </c>
      <c r="W941">
        <v>336</v>
      </c>
      <c r="X941">
        <v>336</v>
      </c>
      <c r="Y941">
        <f t="shared" si="144"/>
        <v>0</v>
      </c>
      <c r="Z941">
        <f t="shared" si="145"/>
        <v>0</v>
      </c>
      <c r="AC941" s="1">
        <v>0</v>
      </c>
      <c r="AF941">
        <f t="shared" ref="AF941:AF952" si="152">V941</f>
        <v>336</v>
      </c>
      <c r="AG941" s="7">
        <v>24</v>
      </c>
      <c r="AH941">
        <f t="shared" si="146"/>
        <v>336</v>
      </c>
      <c r="AI941">
        <f t="shared" si="143"/>
        <v>0</v>
      </c>
      <c r="AK941">
        <f t="shared" si="147"/>
        <v>14</v>
      </c>
      <c r="AL941">
        <v>10.11</v>
      </c>
      <c r="AM941" t="s">
        <v>27</v>
      </c>
      <c r="AN941">
        <v>10.11</v>
      </c>
      <c r="AO941" t="b">
        <f t="shared" si="148"/>
        <v>1</v>
      </c>
      <c r="AR941" t="s">
        <v>5061</v>
      </c>
      <c r="AS941" s="21">
        <v>46276</v>
      </c>
      <c r="AT941" t="s">
        <v>5062</v>
      </c>
      <c r="AU941" t="s">
        <v>5080</v>
      </c>
      <c r="AV941" t="s">
        <v>5062</v>
      </c>
      <c r="AW941" t="s">
        <v>5086</v>
      </c>
    </row>
    <row r="942" spans="1:49" x14ac:dyDescent="0.35">
      <c r="A942" t="s">
        <v>2796</v>
      </c>
      <c r="B942" t="s">
        <v>872</v>
      </c>
      <c r="C942" t="s">
        <v>4818</v>
      </c>
      <c r="D942" t="s">
        <v>18</v>
      </c>
      <c r="E942" t="s">
        <v>3493</v>
      </c>
      <c r="F942" t="s">
        <v>3494</v>
      </c>
      <c r="G942" t="s">
        <v>21</v>
      </c>
      <c r="H942" t="s">
        <v>4888</v>
      </c>
      <c r="I942" t="s">
        <v>5022</v>
      </c>
      <c r="J942" s="4" t="s">
        <v>5023</v>
      </c>
      <c r="K942" s="4" t="s">
        <v>5024</v>
      </c>
      <c r="L942" s="4">
        <v>10</v>
      </c>
      <c r="M942" s="4" t="s">
        <v>5035</v>
      </c>
      <c r="N942" t="s">
        <v>3495</v>
      </c>
      <c r="O942" t="s">
        <v>3496</v>
      </c>
      <c r="P942" t="s">
        <v>23</v>
      </c>
      <c r="Q942" t="s">
        <v>24</v>
      </c>
      <c r="R942" t="s">
        <v>25</v>
      </c>
      <c r="S942" t="s">
        <v>26</v>
      </c>
      <c r="T942" s="6">
        <v>46307</v>
      </c>
      <c r="U942">
        <v>312</v>
      </c>
      <c r="V942">
        <v>312</v>
      </c>
      <c r="W942">
        <v>336</v>
      </c>
      <c r="X942">
        <v>336</v>
      </c>
      <c r="Y942">
        <f t="shared" si="144"/>
        <v>0</v>
      </c>
      <c r="Z942">
        <f t="shared" si="145"/>
        <v>-24</v>
      </c>
      <c r="AC942" s="1"/>
      <c r="AF942">
        <f t="shared" si="152"/>
        <v>312</v>
      </c>
      <c r="AG942" s="7">
        <v>24</v>
      </c>
      <c r="AH942">
        <f t="shared" si="146"/>
        <v>312</v>
      </c>
      <c r="AI942">
        <f t="shared" si="143"/>
        <v>0</v>
      </c>
      <c r="AK942">
        <f t="shared" si="147"/>
        <v>13</v>
      </c>
      <c r="AL942">
        <v>6.99</v>
      </c>
      <c r="AM942" t="s">
        <v>27</v>
      </c>
      <c r="AN942">
        <v>8.68</v>
      </c>
      <c r="AO942" t="b">
        <f t="shared" si="148"/>
        <v>0</v>
      </c>
      <c r="AR942" t="s">
        <v>5061</v>
      </c>
      <c r="AS942" s="21">
        <v>46276</v>
      </c>
      <c r="AT942" t="s">
        <v>5062</v>
      </c>
      <c r="AU942" t="s">
        <v>5083</v>
      </c>
      <c r="AV942" t="s">
        <v>5062</v>
      </c>
      <c r="AW942" t="s">
        <v>5086</v>
      </c>
    </row>
    <row r="943" spans="1:49" x14ac:dyDescent="0.35">
      <c r="A943" t="s">
        <v>2796</v>
      </c>
      <c r="B943" t="s">
        <v>872</v>
      </c>
      <c r="C943" t="s">
        <v>4818</v>
      </c>
      <c r="D943" t="s">
        <v>18</v>
      </c>
      <c r="E943" t="s">
        <v>3497</v>
      </c>
      <c r="F943" t="s">
        <v>3498</v>
      </c>
      <c r="G943" t="s">
        <v>21</v>
      </c>
      <c r="H943" t="s">
        <v>4888</v>
      </c>
      <c r="I943" t="s">
        <v>5003</v>
      </c>
      <c r="J943" s="4" t="s">
        <v>5004</v>
      </c>
      <c r="K943" s="4" t="s">
        <v>4904</v>
      </c>
      <c r="L943" s="4" t="s">
        <v>4923</v>
      </c>
      <c r="M943" s="4" t="s">
        <v>5035</v>
      </c>
      <c r="N943" t="s">
        <v>3499</v>
      </c>
      <c r="O943" t="s">
        <v>3500</v>
      </c>
      <c r="P943" t="s">
        <v>23</v>
      </c>
      <c r="Q943" t="s">
        <v>24</v>
      </c>
      <c r="R943" t="s">
        <v>25</v>
      </c>
      <c r="S943" t="s">
        <v>26</v>
      </c>
      <c r="T943" s="6">
        <v>46307</v>
      </c>
      <c r="U943">
        <v>24</v>
      </c>
      <c r="V943">
        <v>24</v>
      </c>
      <c r="W943">
        <v>24</v>
      </c>
      <c r="X943">
        <v>24</v>
      </c>
      <c r="Y943">
        <f t="shared" si="144"/>
        <v>0</v>
      </c>
      <c r="Z943">
        <f t="shared" si="145"/>
        <v>0</v>
      </c>
      <c r="AC943" s="1">
        <v>0</v>
      </c>
      <c r="AF943">
        <f t="shared" si="152"/>
        <v>24</v>
      </c>
      <c r="AG943" s="7">
        <v>12</v>
      </c>
      <c r="AH943">
        <f t="shared" si="146"/>
        <v>24</v>
      </c>
      <c r="AI943">
        <f t="shared" si="143"/>
        <v>0</v>
      </c>
      <c r="AK943">
        <f t="shared" si="147"/>
        <v>2</v>
      </c>
      <c r="AL943">
        <v>12.89</v>
      </c>
      <c r="AM943" t="s">
        <v>27</v>
      </c>
      <c r="AN943">
        <v>12.89</v>
      </c>
      <c r="AO943" t="b">
        <f t="shared" si="148"/>
        <v>1</v>
      </c>
      <c r="AR943" t="s">
        <v>5061</v>
      </c>
      <c r="AS943" s="21">
        <v>46276</v>
      </c>
      <c r="AT943" t="s">
        <v>5062</v>
      </c>
      <c r="AU943" t="s">
        <v>5078</v>
      </c>
      <c r="AV943" t="s">
        <v>5062</v>
      </c>
      <c r="AW943" t="s">
        <v>5086</v>
      </c>
    </row>
    <row r="944" spans="1:49" x14ac:dyDescent="0.35">
      <c r="A944" t="s">
        <v>2796</v>
      </c>
      <c r="B944" t="s">
        <v>872</v>
      </c>
      <c r="C944" t="s">
        <v>4818</v>
      </c>
      <c r="D944" t="s">
        <v>18</v>
      </c>
      <c r="E944" t="s">
        <v>3501</v>
      </c>
      <c r="F944" t="s">
        <v>3502</v>
      </c>
      <c r="G944" t="s">
        <v>21</v>
      </c>
      <c r="H944" t="s">
        <v>4888</v>
      </c>
      <c r="I944" t="s">
        <v>5003</v>
      </c>
      <c r="J944" s="4" t="s">
        <v>5004</v>
      </c>
      <c r="K944" s="4" t="s">
        <v>4837</v>
      </c>
      <c r="L944" s="4" t="s">
        <v>4857</v>
      </c>
      <c r="M944" s="4" t="s">
        <v>5035</v>
      </c>
      <c r="N944" t="s">
        <v>3503</v>
      </c>
      <c r="O944" t="s">
        <v>3504</v>
      </c>
      <c r="P944" t="s">
        <v>23</v>
      </c>
      <c r="Q944" t="s">
        <v>24</v>
      </c>
      <c r="R944" t="s">
        <v>25</v>
      </c>
      <c r="S944" t="s">
        <v>26</v>
      </c>
      <c r="T944" s="6">
        <v>46307</v>
      </c>
      <c r="U944">
        <v>36</v>
      </c>
      <c r="V944">
        <v>36</v>
      </c>
      <c r="W944">
        <v>36</v>
      </c>
      <c r="X944">
        <v>36</v>
      </c>
      <c r="Y944">
        <f t="shared" si="144"/>
        <v>0</v>
      </c>
      <c r="Z944">
        <f t="shared" si="145"/>
        <v>0</v>
      </c>
      <c r="AC944" s="1">
        <v>0</v>
      </c>
      <c r="AF944">
        <f t="shared" si="152"/>
        <v>36</v>
      </c>
      <c r="AG944" s="7">
        <v>12</v>
      </c>
      <c r="AH944">
        <f t="shared" si="146"/>
        <v>36</v>
      </c>
      <c r="AI944">
        <f t="shared" si="143"/>
        <v>0</v>
      </c>
      <c r="AK944">
        <f t="shared" si="147"/>
        <v>3</v>
      </c>
      <c r="AL944">
        <v>12.87</v>
      </c>
      <c r="AM944" t="s">
        <v>27</v>
      </c>
      <c r="AN944">
        <v>12.87</v>
      </c>
      <c r="AO944" t="b">
        <f t="shared" si="148"/>
        <v>1</v>
      </c>
      <c r="AR944" t="s">
        <v>5061</v>
      </c>
      <c r="AS944" s="21">
        <v>46276</v>
      </c>
      <c r="AT944" t="s">
        <v>5062</v>
      </c>
      <c r="AU944" t="s">
        <v>5078</v>
      </c>
      <c r="AV944" t="s">
        <v>5062</v>
      </c>
      <c r="AW944" t="s">
        <v>5086</v>
      </c>
    </row>
    <row r="945" spans="1:49" x14ac:dyDescent="0.35">
      <c r="A945" t="s">
        <v>2796</v>
      </c>
      <c r="B945" t="s">
        <v>872</v>
      </c>
      <c r="C945" t="s">
        <v>4818</v>
      </c>
      <c r="D945" t="s">
        <v>18</v>
      </c>
      <c r="E945" t="s">
        <v>3505</v>
      </c>
      <c r="F945" t="s">
        <v>3506</v>
      </c>
      <c r="G945" t="s">
        <v>21</v>
      </c>
      <c r="H945" t="s">
        <v>4888</v>
      </c>
      <c r="I945" t="s">
        <v>5003</v>
      </c>
      <c r="J945" s="4" t="s">
        <v>5004</v>
      </c>
      <c r="K945" s="4" t="s">
        <v>5016</v>
      </c>
      <c r="L945" s="4" t="s">
        <v>4863</v>
      </c>
      <c r="M945" s="4" t="s">
        <v>5035</v>
      </c>
      <c r="N945" t="s">
        <v>3507</v>
      </c>
      <c r="O945" t="s">
        <v>3508</v>
      </c>
      <c r="P945" t="s">
        <v>23</v>
      </c>
      <c r="Q945" t="s">
        <v>24</v>
      </c>
      <c r="R945" t="s">
        <v>25</v>
      </c>
      <c r="S945" t="s">
        <v>26</v>
      </c>
      <c r="T945" s="6">
        <v>46307</v>
      </c>
      <c r="U945">
        <v>48</v>
      </c>
      <c r="V945">
        <v>48</v>
      </c>
      <c r="W945">
        <v>48</v>
      </c>
      <c r="X945">
        <v>48</v>
      </c>
      <c r="Y945">
        <f t="shared" si="144"/>
        <v>0</v>
      </c>
      <c r="Z945">
        <f t="shared" si="145"/>
        <v>0</v>
      </c>
      <c r="AC945" s="1">
        <v>0</v>
      </c>
      <c r="AF945">
        <f t="shared" si="152"/>
        <v>48</v>
      </c>
      <c r="AG945" s="7">
        <v>12</v>
      </c>
      <c r="AH945">
        <f t="shared" si="146"/>
        <v>48</v>
      </c>
      <c r="AI945">
        <f t="shared" si="143"/>
        <v>0</v>
      </c>
      <c r="AK945">
        <f t="shared" si="147"/>
        <v>4</v>
      </c>
      <c r="AL945">
        <v>13.33</v>
      </c>
      <c r="AM945" t="s">
        <v>27</v>
      </c>
      <c r="AN945">
        <v>13.33</v>
      </c>
      <c r="AO945" t="b">
        <f t="shared" si="148"/>
        <v>1</v>
      </c>
      <c r="AR945" t="s">
        <v>5061</v>
      </c>
      <c r="AS945" s="21">
        <v>46276</v>
      </c>
      <c r="AT945" t="s">
        <v>5062</v>
      </c>
      <c r="AU945" t="s">
        <v>5078</v>
      </c>
      <c r="AV945" t="s">
        <v>5062</v>
      </c>
      <c r="AW945" t="s">
        <v>5086</v>
      </c>
    </row>
    <row r="946" spans="1:49" x14ac:dyDescent="0.35">
      <c r="A946" t="s">
        <v>2796</v>
      </c>
      <c r="B946" t="s">
        <v>872</v>
      </c>
      <c r="C946" t="s">
        <v>4818</v>
      </c>
      <c r="D946" t="s">
        <v>18</v>
      </c>
      <c r="E946" t="s">
        <v>3509</v>
      </c>
      <c r="F946" t="s">
        <v>3510</v>
      </c>
      <c r="G946" t="s">
        <v>21</v>
      </c>
      <c r="H946" t="s">
        <v>4888</v>
      </c>
      <c r="I946" t="s">
        <v>5012</v>
      </c>
      <c r="J946" s="4" t="s">
        <v>5013</v>
      </c>
      <c r="K946" s="4" t="s">
        <v>4904</v>
      </c>
      <c r="L946" s="4" t="s">
        <v>4990</v>
      </c>
      <c r="M946" s="4" t="s">
        <v>5035</v>
      </c>
      <c r="N946" t="s">
        <v>3511</v>
      </c>
      <c r="O946" t="s">
        <v>3512</v>
      </c>
      <c r="P946" t="s">
        <v>23</v>
      </c>
      <c r="Q946" t="s">
        <v>24</v>
      </c>
      <c r="R946" t="s">
        <v>25</v>
      </c>
      <c r="S946" t="s">
        <v>26</v>
      </c>
      <c r="T946" s="6">
        <v>46307</v>
      </c>
      <c r="U946">
        <v>240</v>
      </c>
      <c r="V946">
        <v>240</v>
      </c>
      <c r="W946">
        <v>264</v>
      </c>
      <c r="X946">
        <v>264</v>
      </c>
      <c r="Y946">
        <f t="shared" si="144"/>
        <v>0</v>
      </c>
      <c r="Z946">
        <f t="shared" si="145"/>
        <v>-24</v>
      </c>
      <c r="AC946" s="1">
        <v>0</v>
      </c>
      <c r="AF946">
        <f t="shared" si="152"/>
        <v>240</v>
      </c>
      <c r="AG946" s="7">
        <v>24</v>
      </c>
      <c r="AH946">
        <f t="shared" si="146"/>
        <v>240</v>
      </c>
      <c r="AI946">
        <f t="shared" si="143"/>
        <v>0</v>
      </c>
      <c r="AK946">
        <f t="shared" si="147"/>
        <v>10</v>
      </c>
      <c r="AL946">
        <v>6.15</v>
      </c>
      <c r="AM946" t="s">
        <v>27</v>
      </c>
      <c r="AN946">
        <v>6.15</v>
      </c>
      <c r="AO946" t="b">
        <f t="shared" si="148"/>
        <v>1</v>
      </c>
      <c r="AR946" t="s">
        <v>5061</v>
      </c>
      <c r="AS946" s="21">
        <v>46276</v>
      </c>
      <c r="AT946" t="s">
        <v>5062</v>
      </c>
      <c r="AU946" t="s">
        <v>5081</v>
      </c>
      <c r="AV946" t="s">
        <v>5062</v>
      </c>
      <c r="AW946" t="s">
        <v>5086</v>
      </c>
    </row>
    <row r="947" spans="1:49" x14ac:dyDescent="0.35">
      <c r="A947" t="s">
        <v>2796</v>
      </c>
      <c r="B947" t="s">
        <v>872</v>
      </c>
      <c r="C947" t="s">
        <v>4818</v>
      </c>
      <c r="D947" t="s">
        <v>18</v>
      </c>
      <c r="E947" t="s">
        <v>3513</v>
      </c>
      <c r="F947" t="s">
        <v>3514</v>
      </c>
      <c r="G947" t="s">
        <v>21</v>
      </c>
      <c r="H947" t="s">
        <v>4888</v>
      </c>
      <c r="I947" t="s">
        <v>5003</v>
      </c>
      <c r="J947" s="4" t="s">
        <v>5004</v>
      </c>
      <c r="K947" s="4" t="s">
        <v>5016</v>
      </c>
      <c r="L947" s="4" t="s">
        <v>4929</v>
      </c>
      <c r="M947" s="4" t="s">
        <v>5035</v>
      </c>
      <c r="N947" t="s">
        <v>3515</v>
      </c>
      <c r="O947" t="s">
        <v>3516</v>
      </c>
      <c r="P947" t="s">
        <v>23</v>
      </c>
      <c r="Q947" t="s">
        <v>24</v>
      </c>
      <c r="R947" t="s">
        <v>25</v>
      </c>
      <c r="S947" t="s">
        <v>26</v>
      </c>
      <c r="T947" s="6">
        <v>46307</v>
      </c>
      <c r="U947">
        <v>48</v>
      </c>
      <c r="V947">
        <v>48</v>
      </c>
      <c r="W947">
        <v>60</v>
      </c>
      <c r="X947">
        <v>60</v>
      </c>
      <c r="Y947">
        <f t="shared" si="144"/>
        <v>0</v>
      </c>
      <c r="Z947">
        <f t="shared" si="145"/>
        <v>-12</v>
      </c>
      <c r="AC947" s="1">
        <v>0</v>
      </c>
      <c r="AF947">
        <f t="shared" si="152"/>
        <v>48</v>
      </c>
      <c r="AG947" s="7">
        <v>12</v>
      </c>
      <c r="AH947">
        <f t="shared" si="146"/>
        <v>48</v>
      </c>
      <c r="AI947">
        <f t="shared" si="143"/>
        <v>0</v>
      </c>
      <c r="AK947">
        <f t="shared" si="147"/>
        <v>4</v>
      </c>
      <c r="AL947">
        <v>13.33</v>
      </c>
      <c r="AM947" t="s">
        <v>27</v>
      </c>
      <c r="AN947">
        <v>13.33</v>
      </c>
      <c r="AO947" t="b">
        <f t="shared" si="148"/>
        <v>1</v>
      </c>
      <c r="AR947" t="s">
        <v>5061</v>
      </c>
      <c r="AS947" s="21">
        <v>46276</v>
      </c>
      <c r="AT947" t="s">
        <v>5062</v>
      </c>
      <c r="AU947" t="s">
        <v>5078</v>
      </c>
      <c r="AV947" t="s">
        <v>5062</v>
      </c>
      <c r="AW947" t="s">
        <v>5086</v>
      </c>
    </row>
    <row r="948" spans="1:49" x14ac:dyDescent="0.35">
      <c r="A948" t="s">
        <v>2796</v>
      </c>
      <c r="B948" t="s">
        <v>872</v>
      </c>
      <c r="C948" t="s">
        <v>4818</v>
      </c>
      <c r="D948" t="s">
        <v>18</v>
      </c>
      <c r="E948" t="s">
        <v>3517</v>
      </c>
      <c r="F948" t="s">
        <v>3518</v>
      </c>
      <c r="G948" t="s">
        <v>21</v>
      </c>
      <c r="H948" t="s">
        <v>4888</v>
      </c>
      <c r="I948" t="s">
        <v>5003</v>
      </c>
      <c r="J948" s="4" t="s">
        <v>5004</v>
      </c>
      <c r="K948" s="4" t="s">
        <v>4837</v>
      </c>
      <c r="L948" s="4" t="s">
        <v>4918</v>
      </c>
      <c r="M948" s="4" t="s">
        <v>5035</v>
      </c>
      <c r="N948" t="s">
        <v>3519</v>
      </c>
      <c r="O948" t="s">
        <v>3520</v>
      </c>
      <c r="P948" t="s">
        <v>23</v>
      </c>
      <c r="Q948" t="s">
        <v>24</v>
      </c>
      <c r="R948" t="s">
        <v>25</v>
      </c>
      <c r="S948" t="s">
        <v>26</v>
      </c>
      <c r="T948" s="6">
        <v>46307</v>
      </c>
      <c r="U948">
        <v>36</v>
      </c>
      <c r="V948">
        <v>36</v>
      </c>
      <c r="W948">
        <v>36</v>
      </c>
      <c r="X948">
        <v>36</v>
      </c>
      <c r="Y948">
        <f t="shared" si="144"/>
        <v>0</v>
      </c>
      <c r="Z948">
        <f t="shared" si="145"/>
        <v>0</v>
      </c>
      <c r="AC948" s="1">
        <v>0</v>
      </c>
      <c r="AF948">
        <f t="shared" si="152"/>
        <v>36</v>
      </c>
      <c r="AG948" s="7">
        <v>12</v>
      </c>
      <c r="AH948">
        <f t="shared" si="146"/>
        <v>36</v>
      </c>
      <c r="AI948">
        <f t="shared" si="143"/>
        <v>0</v>
      </c>
      <c r="AK948">
        <f t="shared" si="147"/>
        <v>3</v>
      </c>
      <c r="AL948">
        <v>12.87</v>
      </c>
      <c r="AM948" t="s">
        <v>27</v>
      </c>
      <c r="AN948">
        <v>12.87</v>
      </c>
      <c r="AO948" t="b">
        <f t="shared" si="148"/>
        <v>1</v>
      </c>
      <c r="AR948" t="s">
        <v>5061</v>
      </c>
      <c r="AS948" s="21">
        <v>46276</v>
      </c>
      <c r="AT948" t="s">
        <v>5062</v>
      </c>
      <c r="AU948" t="s">
        <v>5078</v>
      </c>
      <c r="AV948" t="s">
        <v>5062</v>
      </c>
      <c r="AW948" t="s">
        <v>5086</v>
      </c>
    </row>
    <row r="949" spans="1:49" x14ac:dyDescent="0.35">
      <c r="A949" t="s">
        <v>2796</v>
      </c>
      <c r="B949" t="s">
        <v>872</v>
      </c>
      <c r="C949" t="s">
        <v>4818</v>
      </c>
      <c r="D949" t="s">
        <v>18</v>
      </c>
      <c r="E949" t="s">
        <v>3521</v>
      </c>
      <c r="F949" t="s">
        <v>3522</v>
      </c>
      <c r="G949" t="s">
        <v>21</v>
      </c>
      <c r="H949" t="s">
        <v>4888</v>
      </c>
      <c r="I949" t="s">
        <v>5010</v>
      </c>
      <c r="J949" s="4" t="s">
        <v>5011</v>
      </c>
      <c r="K949" s="4" t="s">
        <v>4984</v>
      </c>
      <c r="L949" s="4" t="s">
        <v>4986</v>
      </c>
      <c r="M949" s="4" t="s">
        <v>5035</v>
      </c>
      <c r="N949" t="s">
        <v>3523</v>
      </c>
      <c r="O949" t="s">
        <v>3524</v>
      </c>
      <c r="P949" t="s">
        <v>23</v>
      </c>
      <c r="Q949" t="s">
        <v>24</v>
      </c>
      <c r="R949" t="s">
        <v>25</v>
      </c>
      <c r="S949" t="s">
        <v>26</v>
      </c>
      <c r="T949" s="6">
        <v>46307</v>
      </c>
      <c r="U949">
        <v>288</v>
      </c>
      <c r="V949">
        <v>288</v>
      </c>
      <c r="W949">
        <v>312</v>
      </c>
      <c r="X949">
        <v>312</v>
      </c>
      <c r="Y949">
        <f t="shared" si="144"/>
        <v>0</v>
      </c>
      <c r="Z949">
        <f t="shared" si="145"/>
        <v>-24</v>
      </c>
      <c r="AC949" s="1">
        <v>0</v>
      </c>
      <c r="AF949">
        <f t="shared" si="152"/>
        <v>288</v>
      </c>
      <c r="AG949" s="7">
        <v>24</v>
      </c>
      <c r="AH949">
        <f t="shared" si="146"/>
        <v>288</v>
      </c>
      <c r="AI949">
        <f t="shared" si="143"/>
        <v>0</v>
      </c>
      <c r="AK949">
        <f t="shared" si="147"/>
        <v>12</v>
      </c>
      <c r="AL949">
        <v>4.92</v>
      </c>
      <c r="AM949" t="s">
        <v>27</v>
      </c>
      <c r="AN949">
        <v>4.92</v>
      </c>
      <c r="AO949" t="b">
        <f t="shared" si="148"/>
        <v>1</v>
      </c>
      <c r="AR949" t="s">
        <v>5061</v>
      </c>
      <c r="AS949" s="21">
        <v>46276</v>
      </c>
      <c r="AT949" t="s">
        <v>5062</v>
      </c>
      <c r="AU949" t="s">
        <v>5081</v>
      </c>
      <c r="AV949" t="s">
        <v>5062</v>
      </c>
      <c r="AW949" t="s">
        <v>5086</v>
      </c>
    </row>
    <row r="950" spans="1:49" x14ac:dyDescent="0.35">
      <c r="A950" t="s">
        <v>2796</v>
      </c>
      <c r="B950" t="s">
        <v>872</v>
      </c>
      <c r="C950" t="s">
        <v>4818</v>
      </c>
      <c r="D950" t="s">
        <v>18</v>
      </c>
      <c r="E950" t="s">
        <v>3525</v>
      </c>
      <c r="F950" t="s">
        <v>3526</v>
      </c>
      <c r="G950" t="s">
        <v>21</v>
      </c>
      <c r="H950" t="s">
        <v>4888</v>
      </c>
      <c r="I950" t="s">
        <v>5003</v>
      </c>
      <c r="J950" s="4" t="s">
        <v>5004</v>
      </c>
      <c r="K950" s="4" t="s">
        <v>4904</v>
      </c>
      <c r="L950" s="4" t="s">
        <v>4857</v>
      </c>
      <c r="M950" s="4" t="s">
        <v>5035</v>
      </c>
      <c r="N950" t="s">
        <v>3527</v>
      </c>
      <c r="O950" t="s">
        <v>3528</v>
      </c>
      <c r="P950" t="s">
        <v>23</v>
      </c>
      <c r="Q950" t="s">
        <v>24</v>
      </c>
      <c r="R950" t="s">
        <v>25</v>
      </c>
      <c r="S950" t="s">
        <v>26</v>
      </c>
      <c r="T950" s="6">
        <v>46307</v>
      </c>
      <c r="U950">
        <v>36</v>
      </c>
      <c r="V950">
        <v>36</v>
      </c>
      <c r="W950">
        <v>36</v>
      </c>
      <c r="X950">
        <v>36</v>
      </c>
      <c r="Y950">
        <f t="shared" si="144"/>
        <v>0</v>
      </c>
      <c r="Z950">
        <f t="shared" si="145"/>
        <v>0</v>
      </c>
      <c r="AC950" s="1">
        <v>0</v>
      </c>
      <c r="AF950">
        <f t="shared" si="152"/>
        <v>36</v>
      </c>
      <c r="AG950" s="7">
        <v>12</v>
      </c>
      <c r="AH950">
        <f t="shared" si="146"/>
        <v>36</v>
      </c>
      <c r="AI950">
        <f t="shared" si="143"/>
        <v>0</v>
      </c>
      <c r="AK950">
        <f t="shared" si="147"/>
        <v>3</v>
      </c>
      <c r="AL950">
        <v>12.89</v>
      </c>
      <c r="AM950" t="s">
        <v>27</v>
      </c>
      <c r="AN950">
        <v>12.89</v>
      </c>
      <c r="AO950" t="b">
        <f t="shared" si="148"/>
        <v>1</v>
      </c>
      <c r="AR950" t="s">
        <v>5061</v>
      </c>
      <c r="AS950" s="21">
        <v>46276</v>
      </c>
      <c r="AT950" t="s">
        <v>5062</v>
      </c>
      <c r="AU950" t="s">
        <v>5078</v>
      </c>
      <c r="AV950" t="s">
        <v>5062</v>
      </c>
      <c r="AW950" t="s">
        <v>5086</v>
      </c>
    </row>
    <row r="951" spans="1:49" x14ac:dyDescent="0.35">
      <c r="A951" t="s">
        <v>2796</v>
      </c>
      <c r="B951" t="s">
        <v>872</v>
      </c>
      <c r="C951" t="s">
        <v>4818</v>
      </c>
      <c r="D951" t="s">
        <v>18</v>
      </c>
      <c r="E951" t="s">
        <v>3529</v>
      </c>
      <c r="F951" t="s">
        <v>3530</v>
      </c>
      <c r="G951" t="s">
        <v>21</v>
      </c>
      <c r="H951" t="s">
        <v>4888</v>
      </c>
      <c r="I951" t="s">
        <v>5012</v>
      </c>
      <c r="J951" s="4" t="s">
        <v>5013</v>
      </c>
      <c r="K951" s="4" t="s">
        <v>4984</v>
      </c>
      <c r="L951" s="4" t="s">
        <v>4983</v>
      </c>
      <c r="M951" s="4" t="s">
        <v>5035</v>
      </c>
      <c r="N951" t="s">
        <v>3531</v>
      </c>
      <c r="O951" t="s">
        <v>3532</v>
      </c>
      <c r="P951" t="s">
        <v>23</v>
      </c>
      <c r="Q951" t="s">
        <v>24</v>
      </c>
      <c r="R951" t="s">
        <v>25</v>
      </c>
      <c r="S951" t="s">
        <v>26</v>
      </c>
      <c r="T951" s="6">
        <v>46307</v>
      </c>
      <c r="U951">
        <v>840</v>
      </c>
      <c r="V951">
        <v>840</v>
      </c>
      <c r="W951">
        <v>912</v>
      </c>
      <c r="X951">
        <v>912</v>
      </c>
      <c r="Y951">
        <f t="shared" si="144"/>
        <v>0</v>
      </c>
      <c r="Z951">
        <f t="shared" si="145"/>
        <v>-72</v>
      </c>
      <c r="AC951" s="1"/>
      <c r="AF951">
        <f t="shared" si="152"/>
        <v>840</v>
      </c>
      <c r="AG951" s="7">
        <v>24</v>
      </c>
      <c r="AH951">
        <f t="shared" si="146"/>
        <v>840</v>
      </c>
      <c r="AI951">
        <f t="shared" si="143"/>
        <v>0</v>
      </c>
      <c r="AK951">
        <f t="shared" si="147"/>
        <v>35</v>
      </c>
      <c r="AL951">
        <v>6.05</v>
      </c>
      <c r="AM951" t="s">
        <v>27</v>
      </c>
      <c r="AN951">
        <v>6.05</v>
      </c>
      <c r="AO951" t="b">
        <f t="shared" si="148"/>
        <v>1</v>
      </c>
      <c r="AR951" t="s">
        <v>5061</v>
      </c>
      <c r="AS951" s="21">
        <v>46276</v>
      </c>
      <c r="AT951" t="s">
        <v>5062</v>
      </c>
      <c r="AU951" t="s">
        <v>5081</v>
      </c>
      <c r="AV951" t="s">
        <v>5062</v>
      </c>
      <c r="AW951" t="s">
        <v>5086</v>
      </c>
    </row>
    <row r="952" spans="1:49" x14ac:dyDescent="0.35">
      <c r="A952" t="s">
        <v>2796</v>
      </c>
      <c r="B952" t="s">
        <v>872</v>
      </c>
      <c r="C952" t="s">
        <v>4818</v>
      </c>
      <c r="D952" t="s">
        <v>18</v>
      </c>
      <c r="E952" t="s">
        <v>3533</v>
      </c>
      <c r="F952" t="s">
        <v>3534</v>
      </c>
      <c r="G952" t="s">
        <v>21</v>
      </c>
      <c r="H952" t="s">
        <v>4888</v>
      </c>
      <c r="I952" t="s">
        <v>5003</v>
      </c>
      <c r="J952" s="4" t="s">
        <v>5004</v>
      </c>
      <c r="K952" s="4" t="s">
        <v>5016</v>
      </c>
      <c r="L952" s="4" t="s">
        <v>4898</v>
      </c>
      <c r="M952" s="4" t="s">
        <v>5035</v>
      </c>
      <c r="N952" t="s">
        <v>3535</v>
      </c>
      <c r="O952" t="s">
        <v>3536</v>
      </c>
      <c r="P952" t="s">
        <v>23</v>
      </c>
      <c r="Q952" t="s">
        <v>24</v>
      </c>
      <c r="R952" t="s">
        <v>25</v>
      </c>
      <c r="S952" t="s">
        <v>26</v>
      </c>
      <c r="T952" s="6">
        <v>46307</v>
      </c>
      <c r="U952">
        <v>48</v>
      </c>
      <c r="V952">
        <v>48</v>
      </c>
      <c r="W952">
        <v>48</v>
      </c>
      <c r="X952">
        <v>48</v>
      </c>
      <c r="Y952">
        <f t="shared" si="144"/>
        <v>0</v>
      </c>
      <c r="Z952">
        <f t="shared" si="145"/>
        <v>0</v>
      </c>
      <c r="AC952" s="1">
        <v>0</v>
      </c>
      <c r="AF952">
        <f t="shared" si="152"/>
        <v>48</v>
      </c>
      <c r="AG952" s="7">
        <v>12</v>
      </c>
      <c r="AH952">
        <f t="shared" si="146"/>
        <v>48</v>
      </c>
      <c r="AI952">
        <f t="shared" si="143"/>
        <v>0</v>
      </c>
      <c r="AK952">
        <f t="shared" si="147"/>
        <v>4</v>
      </c>
      <c r="AL952">
        <v>13.33</v>
      </c>
      <c r="AM952" t="s">
        <v>27</v>
      </c>
      <c r="AN952">
        <v>13.33</v>
      </c>
      <c r="AO952" t="b">
        <f t="shared" si="148"/>
        <v>1</v>
      </c>
      <c r="AR952" t="s">
        <v>5061</v>
      </c>
      <c r="AS952" s="21">
        <v>46276</v>
      </c>
      <c r="AT952" t="s">
        <v>5062</v>
      </c>
      <c r="AU952" t="s">
        <v>5078</v>
      </c>
      <c r="AV952" t="s">
        <v>5062</v>
      </c>
      <c r="AW952" t="s">
        <v>5086</v>
      </c>
    </row>
    <row r="953" spans="1:49" x14ac:dyDescent="0.35">
      <c r="A953" t="s">
        <v>2796</v>
      </c>
      <c r="B953" t="s">
        <v>872</v>
      </c>
      <c r="C953" t="s">
        <v>4818</v>
      </c>
      <c r="D953" t="s">
        <v>18</v>
      </c>
      <c r="E953" t="s">
        <v>3537</v>
      </c>
      <c r="F953" t="s">
        <v>3538</v>
      </c>
      <c r="G953" t="s">
        <v>21</v>
      </c>
      <c r="H953" t="s">
        <v>4888</v>
      </c>
      <c r="I953" t="s">
        <v>5003</v>
      </c>
      <c r="J953" s="4" t="s">
        <v>5004</v>
      </c>
      <c r="K953" s="4" t="s">
        <v>5015</v>
      </c>
      <c r="L953" s="4" t="s">
        <v>4853</v>
      </c>
      <c r="M953" s="4" t="s">
        <v>5035</v>
      </c>
      <c r="N953" t="s">
        <v>3539</v>
      </c>
      <c r="O953" t="s">
        <v>3540</v>
      </c>
      <c r="P953" t="s">
        <v>23</v>
      </c>
      <c r="Q953" t="s">
        <v>24</v>
      </c>
      <c r="R953" t="s">
        <v>25</v>
      </c>
      <c r="S953" t="s">
        <v>26</v>
      </c>
      <c r="T953" s="6">
        <v>46307</v>
      </c>
      <c r="U953">
        <v>144</v>
      </c>
      <c r="V953">
        <v>144</v>
      </c>
      <c r="W953">
        <v>132</v>
      </c>
      <c r="X953">
        <v>132</v>
      </c>
      <c r="Y953">
        <f t="shared" si="144"/>
        <v>0</v>
      </c>
      <c r="Z953">
        <f t="shared" si="145"/>
        <v>12</v>
      </c>
      <c r="AA953">
        <f>Z953</f>
        <v>12</v>
      </c>
      <c r="AC953" s="1">
        <v>0</v>
      </c>
      <c r="AF953">
        <f>X953</f>
        <v>132</v>
      </c>
      <c r="AG953" s="7">
        <v>12</v>
      </c>
      <c r="AH953">
        <f t="shared" si="146"/>
        <v>132</v>
      </c>
      <c r="AI953">
        <f t="shared" si="143"/>
        <v>12</v>
      </c>
      <c r="AK953">
        <f t="shared" si="147"/>
        <v>11</v>
      </c>
      <c r="AL953">
        <v>13.01</v>
      </c>
      <c r="AM953" t="s">
        <v>27</v>
      </c>
      <c r="AN953">
        <v>13.01</v>
      </c>
      <c r="AO953" t="b">
        <f t="shared" si="148"/>
        <v>1</v>
      </c>
      <c r="AR953" t="s">
        <v>5061</v>
      </c>
      <c r="AS953" s="21">
        <v>46276</v>
      </c>
      <c r="AT953" t="s">
        <v>5062</v>
      </c>
      <c r="AU953" t="s">
        <v>5078</v>
      </c>
      <c r="AV953" t="s">
        <v>5062</v>
      </c>
      <c r="AW953" t="s">
        <v>5086</v>
      </c>
    </row>
    <row r="954" spans="1:49" x14ac:dyDescent="0.35">
      <c r="A954" t="s">
        <v>2796</v>
      </c>
      <c r="B954" t="s">
        <v>872</v>
      </c>
      <c r="C954" t="s">
        <v>4818</v>
      </c>
      <c r="D954" t="s">
        <v>18</v>
      </c>
      <c r="E954" t="s">
        <v>3541</v>
      </c>
      <c r="F954" t="s">
        <v>3542</v>
      </c>
      <c r="G954" t="s">
        <v>21</v>
      </c>
      <c r="H954" t="s">
        <v>4888</v>
      </c>
      <c r="I954" t="s">
        <v>5003</v>
      </c>
      <c r="J954" s="4" t="s">
        <v>5004</v>
      </c>
      <c r="K954" s="4" t="s">
        <v>5016</v>
      </c>
      <c r="L954" s="4" t="s">
        <v>4869</v>
      </c>
      <c r="M954" s="4" t="s">
        <v>5035</v>
      </c>
      <c r="N954" t="s">
        <v>3543</v>
      </c>
      <c r="O954" t="s">
        <v>3544</v>
      </c>
      <c r="P954" t="s">
        <v>23</v>
      </c>
      <c r="Q954" t="s">
        <v>24</v>
      </c>
      <c r="R954" t="s">
        <v>25</v>
      </c>
      <c r="S954" t="s">
        <v>26</v>
      </c>
      <c r="T954" s="6">
        <v>46307</v>
      </c>
      <c r="U954">
        <v>60</v>
      </c>
      <c r="V954">
        <v>60</v>
      </c>
      <c r="W954">
        <v>72</v>
      </c>
      <c r="X954">
        <v>72</v>
      </c>
      <c r="Y954">
        <f t="shared" si="144"/>
        <v>0</v>
      </c>
      <c r="Z954">
        <f t="shared" si="145"/>
        <v>-12</v>
      </c>
      <c r="AC954" s="1">
        <v>0</v>
      </c>
      <c r="AF954">
        <f t="shared" ref="AF954:AF961" si="153">V954</f>
        <v>60</v>
      </c>
      <c r="AG954" s="7">
        <v>12</v>
      </c>
      <c r="AH954">
        <f t="shared" si="146"/>
        <v>60</v>
      </c>
      <c r="AI954">
        <f t="shared" si="143"/>
        <v>0</v>
      </c>
      <c r="AK954">
        <f t="shared" si="147"/>
        <v>5</v>
      </c>
      <c r="AL954">
        <v>13.33</v>
      </c>
      <c r="AM954" t="s">
        <v>27</v>
      </c>
      <c r="AN954">
        <v>13.33</v>
      </c>
      <c r="AO954" t="b">
        <f t="shared" si="148"/>
        <v>1</v>
      </c>
      <c r="AR954" t="s">
        <v>5061</v>
      </c>
      <c r="AS954" s="21">
        <v>46276</v>
      </c>
      <c r="AT954" t="s">
        <v>5062</v>
      </c>
      <c r="AU954" t="s">
        <v>5078</v>
      </c>
      <c r="AV954" t="s">
        <v>5062</v>
      </c>
      <c r="AW954" t="s">
        <v>5086</v>
      </c>
    </row>
    <row r="955" spans="1:49" x14ac:dyDescent="0.35">
      <c r="A955" t="s">
        <v>2796</v>
      </c>
      <c r="B955" t="s">
        <v>872</v>
      </c>
      <c r="C955" t="s">
        <v>4818</v>
      </c>
      <c r="D955" t="s">
        <v>18</v>
      </c>
      <c r="E955" t="s">
        <v>3545</v>
      </c>
      <c r="F955" t="s">
        <v>3546</v>
      </c>
      <c r="G955" t="s">
        <v>21</v>
      </c>
      <c r="H955" t="s">
        <v>4888</v>
      </c>
      <c r="I955" t="s">
        <v>5010</v>
      </c>
      <c r="J955" s="4" t="s">
        <v>5011</v>
      </c>
      <c r="K955" s="4" t="s">
        <v>4984</v>
      </c>
      <c r="L955" s="4" t="s">
        <v>4999</v>
      </c>
      <c r="M955" s="4" t="s">
        <v>5035</v>
      </c>
      <c r="N955" t="s">
        <v>3547</v>
      </c>
      <c r="O955" t="s">
        <v>3548</v>
      </c>
      <c r="P955" t="s">
        <v>23</v>
      </c>
      <c r="Q955" t="s">
        <v>24</v>
      </c>
      <c r="R955" t="s">
        <v>25</v>
      </c>
      <c r="S955" t="s">
        <v>26</v>
      </c>
      <c r="T955" s="6">
        <v>46307</v>
      </c>
      <c r="U955">
        <v>48</v>
      </c>
      <c r="V955">
        <v>48</v>
      </c>
      <c r="W955">
        <v>48</v>
      </c>
      <c r="X955">
        <v>48</v>
      </c>
      <c r="Y955">
        <f t="shared" si="144"/>
        <v>0</v>
      </c>
      <c r="Z955">
        <f t="shared" si="145"/>
        <v>0</v>
      </c>
      <c r="AC955" s="1">
        <v>0</v>
      </c>
      <c r="AF955">
        <f t="shared" si="153"/>
        <v>48</v>
      </c>
      <c r="AG955" s="7">
        <v>24</v>
      </c>
      <c r="AH955">
        <f t="shared" si="146"/>
        <v>48</v>
      </c>
      <c r="AI955">
        <f t="shared" si="143"/>
        <v>0</v>
      </c>
      <c r="AK955">
        <f t="shared" si="147"/>
        <v>2</v>
      </c>
      <c r="AL955">
        <v>4.92</v>
      </c>
      <c r="AM955" t="s">
        <v>27</v>
      </c>
      <c r="AN955">
        <v>4.92</v>
      </c>
      <c r="AO955" t="b">
        <f t="shared" si="148"/>
        <v>1</v>
      </c>
      <c r="AR955" t="s">
        <v>5061</v>
      </c>
      <c r="AS955" s="21">
        <v>46276</v>
      </c>
      <c r="AT955" t="s">
        <v>5062</v>
      </c>
      <c r="AU955" t="s">
        <v>5081</v>
      </c>
      <c r="AV955" t="s">
        <v>5062</v>
      </c>
      <c r="AW955" t="s">
        <v>5086</v>
      </c>
    </row>
    <row r="956" spans="1:49" x14ac:dyDescent="0.35">
      <c r="A956" t="s">
        <v>2796</v>
      </c>
      <c r="B956" t="s">
        <v>872</v>
      </c>
      <c r="C956" t="s">
        <v>4818</v>
      </c>
      <c r="D956" t="s">
        <v>18</v>
      </c>
      <c r="E956" t="s">
        <v>3549</v>
      </c>
      <c r="F956" t="s">
        <v>3550</v>
      </c>
      <c r="G956" t="s">
        <v>21</v>
      </c>
      <c r="H956" t="s">
        <v>4888</v>
      </c>
      <c r="I956" t="s">
        <v>5003</v>
      </c>
      <c r="J956" s="4" t="s">
        <v>5004</v>
      </c>
      <c r="K956" s="4" t="s">
        <v>5016</v>
      </c>
      <c r="L956" s="4" t="s">
        <v>4924</v>
      </c>
      <c r="M956" s="4" t="s">
        <v>5035</v>
      </c>
      <c r="N956" t="s">
        <v>3551</v>
      </c>
      <c r="O956" t="s">
        <v>3552</v>
      </c>
      <c r="P956" t="s">
        <v>23</v>
      </c>
      <c r="Q956" t="s">
        <v>24</v>
      </c>
      <c r="R956" t="s">
        <v>25</v>
      </c>
      <c r="S956" t="s">
        <v>26</v>
      </c>
      <c r="T956" s="6">
        <v>46307</v>
      </c>
      <c r="U956">
        <v>36</v>
      </c>
      <c r="V956">
        <v>36</v>
      </c>
      <c r="W956">
        <v>36</v>
      </c>
      <c r="X956">
        <v>36</v>
      </c>
      <c r="Y956">
        <f t="shared" si="144"/>
        <v>0</v>
      </c>
      <c r="Z956">
        <f t="shared" si="145"/>
        <v>0</v>
      </c>
      <c r="AC956" s="1">
        <v>0</v>
      </c>
      <c r="AF956">
        <f t="shared" si="153"/>
        <v>36</v>
      </c>
      <c r="AG956" s="7">
        <v>12</v>
      </c>
      <c r="AH956">
        <f t="shared" si="146"/>
        <v>36</v>
      </c>
      <c r="AI956">
        <f t="shared" si="143"/>
        <v>0</v>
      </c>
      <c r="AK956">
        <f t="shared" si="147"/>
        <v>3</v>
      </c>
      <c r="AL956">
        <v>13.33</v>
      </c>
      <c r="AM956" t="s">
        <v>27</v>
      </c>
      <c r="AN956">
        <v>13.33</v>
      </c>
      <c r="AO956" t="b">
        <f t="shared" si="148"/>
        <v>1</v>
      </c>
      <c r="AR956" t="s">
        <v>5061</v>
      </c>
      <c r="AS956" s="21">
        <v>46276</v>
      </c>
      <c r="AT956" t="s">
        <v>5062</v>
      </c>
      <c r="AU956" t="s">
        <v>5078</v>
      </c>
      <c r="AV956" t="s">
        <v>5062</v>
      </c>
      <c r="AW956" t="s">
        <v>5086</v>
      </c>
    </row>
    <row r="957" spans="1:49" x14ac:dyDescent="0.35">
      <c r="A957" t="s">
        <v>2796</v>
      </c>
      <c r="B957" t="s">
        <v>872</v>
      </c>
      <c r="C957" t="s">
        <v>4818</v>
      </c>
      <c r="D957" t="s">
        <v>18</v>
      </c>
      <c r="E957" t="s">
        <v>3553</v>
      </c>
      <c r="F957" t="s">
        <v>3554</v>
      </c>
      <c r="G957" t="s">
        <v>21</v>
      </c>
      <c r="H957" t="s">
        <v>4888</v>
      </c>
      <c r="I957" t="s">
        <v>5005</v>
      </c>
      <c r="J957" s="4" t="s">
        <v>5006</v>
      </c>
      <c r="K957" s="4" t="s">
        <v>5007</v>
      </c>
      <c r="L957" s="4">
        <v>32</v>
      </c>
      <c r="M957" s="4" t="s">
        <v>5035</v>
      </c>
      <c r="N957" t="s">
        <v>3555</v>
      </c>
      <c r="O957" t="s">
        <v>3556</v>
      </c>
      <c r="P957" t="s">
        <v>23</v>
      </c>
      <c r="Q957" t="s">
        <v>24</v>
      </c>
      <c r="R957" t="s">
        <v>25</v>
      </c>
      <c r="S957" t="s">
        <v>26</v>
      </c>
      <c r="T957" s="6">
        <v>46307</v>
      </c>
      <c r="U957">
        <v>744</v>
      </c>
      <c r="V957">
        <v>744</v>
      </c>
      <c r="W957">
        <v>744</v>
      </c>
      <c r="X957">
        <v>744</v>
      </c>
      <c r="Y957">
        <f t="shared" si="144"/>
        <v>0</v>
      </c>
      <c r="Z957">
        <f t="shared" si="145"/>
        <v>0</v>
      </c>
      <c r="AC957" s="1">
        <v>0</v>
      </c>
      <c r="AF957">
        <f t="shared" si="153"/>
        <v>744</v>
      </c>
      <c r="AG957" s="7">
        <v>24</v>
      </c>
      <c r="AH957">
        <f t="shared" si="146"/>
        <v>744</v>
      </c>
      <c r="AI957">
        <f t="shared" si="143"/>
        <v>0</v>
      </c>
      <c r="AK957">
        <f t="shared" si="147"/>
        <v>31</v>
      </c>
      <c r="AL957">
        <v>10.45</v>
      </c>
      <c r="AM957" t="s">
        <v>27</v>
      </c>
      <c r="AN957">
        <v>10.45</v>
      </c>
      <c r="AO957" t="b">
        <f t="shared" si="148"/>
        <v>1</v>
      </c>
      <c r="AR957" t="s">
        <v>5061</v>
      </c>
      <c r="AS957" s="21">
        <v>46276</v>
      </c>
      <c r="AT957" t="s">
        <v>5062</v>
      </c>
      <c r="AU957" t="s">
        <v>5079</v>
      </c>
      <c r="AV957" t="s">
        <v>5062</v>
      </c>
      <c r="AW957" t="s">
        <v>5086</v>
      </c>
    </row>
    <row r="958" spans="1:49" x14ac:dyDescent="0.35">
      <c r="A958" t="s">
        <v>2796</v>
      </c>
      <c r="B958" t="s">
        <v>872</v>
      </c>
      <c r="C958" t="s">
        <v>4818</v>
      </c>
      <c r="D958" t="s">
        <v>18</v>
      </c>
      <c r="E958" t="s">
        <v>3557</v>
      </c>
      <c r="F958" t="s">
        <v>3558</v>
      </c>
      <c r="G958" t="s">
        <v>21</v>
      </c>
      <c r="H958" t="s">
        <v>4888</v>
      </c>
      <c r="I958" t="s">
        <v>5008</v>
      </c>
      <c r="J958" s="4" t="s">
        <v>5009</v>
      </c>
      <c r="K958" s="4" t="s">
        <v>5021</v>
      </c>
      <c r="L958" s="4">
        <v>29</v>
      </c>
      <c r="M958" s="4" t="s">
        <v>5035</v>
      </c>
      <c r="N958" t="s">
        <v>3559</v>
      </c>
      <c r="O958" t="s">
        <v>3560</v>
      </c>
      <c r="P958" t="s">
        <v>23</v>
      </c>
      <c r="Q958" t="s">
        <v>24</v>
      </c>
      <c r="R958" t="s">
        <v>25</v>
      </c>
      <c r="S958" t="s">
        <v>26</v>
      </c>
      <c r="T958" s="6">
        <v>46307</v>
      </c>
      <c r="U958">
        <v>168</v>
      </c>
      <c r="V958">
        <v>168</v>
      </c>
      <c r="W958">
        <v>168</v>
      </c>
      <c r="X958">
        <v>168</v>
      </c>
      <c r="Y958">
        <f t="shared" si="144"/>
        <v>0</v>
      </c>
      <c r="Z958">
        <f t="shared" si="145"/>
        <v>0</v>
      </c>
      <c r="AC958" s="1">
        <v>0</v>
      </c>
      <c r="AF958">
        <f t="shared" si="153"/>
        <v>168</v>
      </c>
      <c r="AG958" s="7">
        <v>24</v>
      </c>
      <c r="AH958">
        <f t="shared" si="146"/>
        <v>168</v>
      </c>
      <c r="AI958">
        <f t="shared" si="143"/>
        <v>0</v>
      </c>
      <c r="AK958">
        <f t="shared" si="147"/>
        <v>7</v>
      </c>
      <c r="AL958">
        <v>10.11</v>
      </c>
      <c r="AM958" t="s">
        <v>27</v>
      </c>
      <c r="AN958">
        <v>10.11</v>
      </c>
      <c r="AO958" t="b">
        <f t="shared" si="148"/>
        <v>1</v>
      </c>
      <c r="AR958" t="s">
        <v>5061</v>
      </c>
      <c r="AS958" s="21">
        <v>46276</v>
      </c>
      <c r="AT958" t="s">
        <v>5062</v>
      </c>
      <c r="AU958" t="s">
        <v>5080</v>
      </c>
      <c r="AV958" t="s">
        <v>5062</v>
      </c>
      <c r="AW958" t="s">
        <v>5086</v>
      </c>
    </row>
    <row r="959" spans="1:49" x14ac:dyDescent="0.35">
      <c r="A959" t="s">
        <v>2796</v>
      </c>
      <c r="B959" t="s">
        <v>872</v>
      </c>
      <c r="C959" t="s">
        <v>4818</v>
      </c>
      <c r="D959" t="s">
        <v>18</v>
      </c>
      <c r="E959" t="s">
        <v>3561</v>
      </c>
      <c r="F959" t="s">
        <v>3562</v>
      </c>
      <c r="G959" t="s">
        <v>21</v>
      </c>
      <c r="H959" t="s">
        <v>4888</v>
      </c>
      <c r="I959" t="s">
        <v>5003</v>
      </c>
      <c r="J959" s="4" t="s">
        <v>5004</v>
      </c>
      <c r="K959" s="4" t="s">
        <v>4904</v>
      </c>
      <c r="L959" s="4" t="s">
        <v>4897</v>
      </c>
      <c r="M959" s="4" t="s">
        <v>5035</v>
      </c>
      <c r="N959" t="s">
        <v>3563</v>
      </c>
      <c r="O959" t="s">
        <v>3564</v>
      </c>
      <c r="P959" t="s">
        <v>23</v>
      </c>
      <c r="Q959" t="s">
        <v>24</v>
      </c>
      <c r="R959" t="s">
        <v>25</v>
      </c>
      <c r="S959" t="s">
        <v>26</v>
      </c>
      <c r="T959" s="6">
        <v>46307</v>
      </c>
      <c r="U959">
        <v>36</v>
      </c>
      <c r="V959">
        <v>36</v>
      </c>
      <c r="W959">
        <v>36</v>
      </c>
      <c r="X959">
        <v>36</v>
      </c>
      <c r="Y959">
        <f t="shared" si="144"/>
        <v>0</v>
      </c>
      <c r="Z959">
        <f t="shared" si="145"/>
        <v>0</v>
      </c>
      <c r="AC959" s="1">
        <v>0</v>
      </c>
      <c r="AF959">
        <f t="shared" si="153"/>
        <v>36</v>
      </c>
      <c r="AG959" s="7">
        <v>12</v>
      </c>
      <c r="AH959">
        <f t="shared" si="146"/>
        <v>36</v>
      </c>
      <c r="AI959">
        <f t="shared" si="143"/>
        <v>0</v>
      </c>
      <c r="AK959">
        <f t="shared" si="147"/>
        <v>3</v>
      </c>
      <c r="AL959">
        <v>12.89</v>
      </c>
      <c r="AM959" t="s">
        <v>27</v>
      </c>
      <c r="AN959">
        <v>12.89</v>
      </c>
      <c r="AO959" t="b">
        <f t="shared" si="148"/>
        <v>1</v>
      </c>
      <c r="AR959" t="s">
        <v>5061</v>
      </c>
      <c r="AS959" s="21">
        <v>46276</v>
      </c>
      <c r="AT959" t="s">
        <v>5062</v>
      </c>
      <c r="AU959" t="s">
        <v>5078</v>
      </c>
      <c r="AV959" t="s">
        <v>5062</v>
      </c>
      <c r="AW959" t="s">
        <v>5086</v>
      </c>
    </row>
    <row r="960" spans="1:49" x14ac:dyDescent="0.35">
      <c r="A960" t="s">
        <v>2796</v>
      </c>
      <c r="B960" t="s">
        <v>872</v>
      </c>
      <c r="C960" t="s">
        <v>4818</v>
      </c>
      <c r="D960" t="s">
        <v>18</v>
      </c>
      <c r="E960" t="s">
        <v>3565</v>
      </c>
      <c r="F960" t="s">
        <v>3566</v>
      </c>
      <c r="G960" t="s">
        <v>21</v>
      </c>
      <c r="H960" t="s">
        <v>4888</v>
      </c>
      <c r="I960" t="s">
        <v>5003</v>
      </c>
      <c r="J960" s="4" t="s">
        <v>5004</v>
      </c>
      <c r="K960" s="4" t="s">
        <v>4837</v>
      </c>
      <c r="L960" s="4" t="s">
        <v>4933</v>
      </c>
      <c r="M960" s="4" t="s">
        <v>5035</v>
      </c>
      <c r="N960" t="s">
        <v>3567</v>
      </c>
      <c r="O960" t="s">
        <v>3568</v>
      </c>
      <c r="P960" t="s">
        <v>23</v>
      </c>
      <c r="Q960" t="s">
        <v>24</v>
      </c>
      <c r="R960" t="s">
        <v>25</v>
      </c>
      <c r="S960" t="s">
        <v>26</v>
      </c>
      <c r="T960" s="6">
        <v>46307</v>
      </c>
      <c r="U960">
        <v>48</v>
      </c>
      <c r="V960">
        <v>48</v>
      </c>
      <c r="W960">
        <v>48</v>
      </c>
      <c r="X960">
        <v>48</v>
      </c>
      <c r="Y960">
        <f t="shared" si="144"/>
        <v>0</v>
      </c>
      <c r="Z960">
        <f t="shared" si="145"/>
        <v>0</v>
      </c>
      <c r="AC960" s="1">
        <v>0</v>
      </c>
      <c r="AF960">
        <f t="shared" si="153"/>
        <v>48</v>
      </c>
      <c r="AG960" s="7">
        <v>12</v>
      </c>
      <c r="AH960">
        <f t="shared" si="146"/>
        <v>48</v>
      </c>
      <c r="AI960">
        <f t="shared" si="143"/>
        <v>0</v>
      </c>
      <c r="AK960">
        <f t="shared" si="147"/>
        <v>4</v>
      </c>
      <c r="AL960">
        <v>12.87</v>
      </c>
      <c r="AM960" t="s">
        <v>27</v>
      </c>
      <c r="AN960">
        <v>12.87</v>
      </c>
      <c r="AO960" t="b">
        <f t="shared" si="148"/>
        <v>1</v>
      </c>
      <c r="AR960" t="s">
        <v>5061</v>
      </c>
      <c r="AS960" s="21">
        <v>46276</v>
      </c>
      <c r="AT960" t="s">
        <v>5062</v>
      </c>
      <c r="AU960" t="s">
        <v>5078</v>
      </c>
      <c r="AV960" t="s">
        <v>5062</v>
      </c>
      <c r="AW960" t="s">
        <v>5086</v>
      </c>
    </row>
    <row r="961" spans="1:49" x14ac:dyDescent="0.35">
      <c r="A961" t="s">
        <v>2796</v>
      </c>
      <c r="B961" t="s">
        <v>872</v>
      </c>
      <c r="C961" t="s">
        <v>4818</v>
      </c>
      <c r="D961" t="s">
        <v>18</v>
      </c>
      <c r="E961" t="s">
        <v>3569</v>
      </c>
      <c r="F961" t="s">
        <v>3570</v>
      </c>
      <c r="G961" t="s">
        <v>21</v>
      </c>
      <c r="H961" t="s">
        <v>4888</v>
      </c>
      <c r="I961" t="s">
        <v>5010</v>
      </c>
      <c r="J961" s="4" t="s">
        <v>5011</v>
      </c>
      <c r="K961" s="4" t="s">
        <v>4904</v>
      </c>
      <c r="L961" s="4" t="s">
        <v>4997</v>
      </c>
      <c r="M961" s="4" t="s">
        <v>5035</v>
      </c>
      <c r="N961" t="s">
        <v>3571</v>
      </c>
      <c r="O961" t="s">
        <v>3572</v>
      </c>
      <c r="P961" t="s">
        <v>23</v>
      </c>
      <c r="Q961" t="s">
        <v>24</v>
      </c>
      <c r="R961" t="s">
        <v>25</v>
      </c>
      <c r="S961" t="s">
        <v>26</v>
      </c>
      <c r="T961" s="6">
        <v>46307</v>
      </c>
      <c r="U961">
        <v>168</v>
      </c>
      <c r="V961">
        <v>168</v>
      </c>
      <c r="W961">
        <v>192</v>
      </c>
      <c r="X961">
        <v>192</v>
      </c>
      <c r="Y961">
        <f t="shared" si="144"/>
        <v>0</v>
      </c>
      <c r="Z961">
        <f t="shared" si="145"/>
        <v>-24</v>
      </c>
      <c r="AC961" s="1">
        <v>0</v>
      </c>
      <c r="AF961">
        <f t="shared" si="153"/>
        <v>168</v>
      </c>
      <c r="AG961" s="7">
        <v>24</v>
      </c>
      <c r="AH961">
        <f t="shared" si="146"/>
        <v>168</v>
      </c>
      <c r="AI961">
        <f t="shared" si="143"/>
        <v>0</v>
      </c>
      <c r="AK961">
        <f t="shared" si="147"/>
        <v>7</v>
      </c>
      <c r="AL961">
        <v>5.03</v>
      </c>
      <c r="AM961" t="s">
        <v>27</v>
      </c>
      <c r="AN961">
        <v>5.03</v>
      </c>
      <c r="AO961" t="b">
        <f t="shared" si="148"/>
        <v>1</v>
      </c>
      <c r="AR961" t="s">
        <v>5061</v>
      </c>
      <c r="AS961" s="21">
        <v>46276</v>
      </c>
      <c r="AT961" t="s">
        <v>5062</v>
      </c>
      <c r="AU961" t="s">
        <v>5081</v>
      </c>
      <c r="AV961" t="s">
        <v>5062</v>
      </c>
      <c r="AW961" t="s">
        <v>5086</v>
      </c>
    </row>
    <row r="962" spans="1:49" x14ac:dyDescent="0.35">
      <c r="A962" t="s">
        <v>2796</v>
      </c>
      <c r="B962" t="s">
        <v>872</v>
      </c>
      <c r="C962" t="s">
        <v>4818</v>
      </c>
      <c r="D962" t="s">
        <v>18</v>
      </c>
      <c r="E962" t="s">
        <v>3573</v>
      </c>
      <c r="F962" t="s">
        <v>3574</v>
      </c>
      <c r="G962" t="s">
        <v>21</v>
      </c>
      <c r="H962" t="s">
        <v>4888</v>
      </c>
      <c r="I962" t="s">
        <v>5008</v>
      </c>
      <c r="J962" s="4" t="s">
        <v>5009</v>
      </c>
      <c r="K962" s="4" t="s">
        <v>4904</v>
      </c>
      <c r="L962" s="4">
        <v>30</v>
      </c>
      <c r="M962" s="4" t="s">
        <v>5035</v>
      </c>
      <c r="N962" t="s">
        <v>3575</v>
      </c>
      <c r="O962" t="s">
        <v>3576</v>
      </c>
      <c r="P962" t="s">
        <v>23</v>
      </c>
      <c r="Q962" t="s">
        <v>24</v>
      </c>
      <c r="R962" t="s">
        <v>25</v>
      </c>
      <c r="S962" t="s">
        <v>26</v>
      </c>
      <c r="T962" s="6">
        <v>46307</v>
      </c>
      <c r="U962">
        <v>312</v>
      </c>
      <c r="V962">
        <v>312</v>
      </c>
      <c r="W962">
        <v>288</v>
      </c>
      <c r="X962">
        <v>288</v>
      </c>
      <c r="Y962">
        <f t="shared" si="144"/>
        <v>0</v>
      </c>
      <c r="Z962">
        <f t="shared" si="145"/>
        <v>24</v>
      </c>
      <c r="AA962">
        <f>Z962</f>
        <v>24</v>
      </c>
      <c r="AC962" s="1">
        <v>0</v>
      </c>
      <c r="AF962">
        <f>X962</f>
        <v>288</v>
      </c>
      <c r="AG962" s="7">
        <v>24</v>
      </c>
      <c r="AH962">
        <f t="shared" si="146"/>
        <v>288</v>
      </c>
      <c r="AI962">
        <f t="shared" si="143"/>
        <v>24</v>
      </c>
      <c r="AK962">
        <f t="shared" si="147"/>
        <v>12</v>
      </c>
      <c r="AL962">
        <v>10.11</v>
      </c>
      <c r="AM962" t="s">
        <v>27</v>
      </c>
      <c r="AN962">
        <v>10.11</v>
      </c>
      <c r="AO962" t="b">
        <f t="shared" si="148"/>
        <v>1</v>
      </c>
      <c r="AR962" t="s">
        <v>5061</v>
      </c>
      <c r="AS962" s="21">
        <v>46276</v>
      </c>
      <c r="AT962" t="s">
        <v>5062</v>
      </c>
      <c r="AU962" t="s">
        <v>5080</v>
      </c>
      <c r="AV962" t="s">
        <v>5062</v>
      </c>
      <c r="AW962" t="s">
        <v>5086</v>
      </c>
    </row>
    <row r="963" spans="1:49" x14ac:dyDescent="0.35">
      <c r="A963" t="s">
        <v>2796</v>
      </c>
      <c r="B963" t="s">
        <v>872</v>
      </c>
      <c r="C963" t="s">
        <v>4818</v>
      </c>
      <c r="D963" t="s">
        <v>18</v>
      </c>
      <c r="E963" t="s">
        <v>3577</v>
      </c>
      <c r="F963" t="s">
        <v>3578</v>
      </c>
      <c r="G963" t="s">
        <v>21</v>
      </c>
      <c r="H963" t="s">
        <v>4888</v>
      </c>
      <c r="I963" t="s">
        <v>5003</v>
      </c>
      <c r="J963" s="4" t="s">
        <v>5004</v>
      </c>
      <c r="K963" s="4" t="s">
        <v>4837</v>
      </c>
      <c r="L963" s="4" t="s">
        <v>4928</v>
      </c>
      <c r="M963" s="4" t="s">
        <v>5035</v>
      </c>
      <c r="N963" t="s">
        <v>3579</v>
      </c>
      <c r="O963" t="s">
        <v>3580</v>
      </c>
      <c r="P963" t="s">
        <v>23</v>
      </c>
      <c r="Q963" t="s">
        <v>24</v>
      </c>
      <c r="R963" t="s">
        <v>25</v>
      </c>
      <c r="S963" t="s">
        <v>26</v>
      </c>
      <c r="T963" s="6">
        <v>46307</v>
      </c>
      <c r="U963">
        <v>24</v>
      </c>
      <c r="V963">
        <v>24</v>
      </c>
      <c r="W963">
        <v>24</v>
      </c>
      <c r="X963">
        <v>24</v>
      </c>
      <c r="Y963">
        <f t="shared" si="144"/>
        <v>0</v>
      </c>
      <c r="Z963">
        <f t="shared" si="145"/>
        <v>0</v>
      </c>
      <c r="AC963" s="1">
        <v>0</v>
      </c>
      <c r="AF963">
        <f>V963</f>
        <v>24</v>
      </c>
      <c r="AG963" s="7">
        <v>12</v>
      </c>
      <c r="AH963">
        <f t="shared" si="146"/>
        <v>24</v>
      </c>
      <c r="AI963">
        <f t="shared" ref="AI963:AI1026" si="154">V963-AH963</f>
        <v>0</v>
      </c>
      <c r="AK963">
        <f t="shared" si="147"/>
        <v>2</v>
      </c>
      <c r="AL963">
        <v>12.87</v>
      </c>
      <c r="AM963" t="s">
        <v>27</v>
      </c>
      <c r="AN963">
        <v>12.87</v>
      </c>
      <c r="AO963" t="b">
        <f t="shared" si="148"/>
        <v>1</v>
      </c>
      <c r="AR963" t="s">
        <v>5061</v>
      </c>
      <c r="AS963" s="21">
        <v>46276</v>
      </c>
      <c r="AT963" t="s">
        <v>5062</v>
      </c>
      <c r="AU963" t="s">
        <v>5078</v>
      </c>
      <c r="AV963" t="s">
        <v>5062</v>
      </c>
      <c r="AW963" t="s">
        <v>5086</v>
      </c>
    </row>
    <row r="964" spans="1:49" x14ac:dyDescent="0.35">
      <c r="A964" t="s">
        <v>2796</v>
      </c>
      <c r="B964" t="s">
        <v>872</v>
      </c>
      <c r="C964" t="s">
        <v>4818</v>
      </c>
      <c r="D964" t="s">
        <v>18</v>
      </c>
      <c r="E964" t="s">
        <v>3581</v>
      </c>
      <c r="F964" t="s">
        <v>3582</v>
      </c>
      <c r="G964" t="s">
        <v>21</v>
      </c>
      <c r="H964" t="s">
        <v>4888</v>
      </c>
      <c r="I964" t="s">
        <v>5010</v>
      </c>
      <c r="J964" s="4" t="s">
        <v>5011</v>
      </c>
      <c r="K964" s="4" t="s">
        <v>4984</v>
      </c>
      <c r="L964" s="4" t="s">
        <v>4983</v>
      </c>
      <c r="M964" s="4" t="s">
        <v>5035</v>
      </c>
      <c r="N964" t="s">
        <v>3583</v>
      </c>
      <c r="O964" t="s">
        <v>3584</v>
      </c>
      <c r="P964" t="s">
        <v>23</v>
      </c>
      <c r="Q964" t="s">
        <v>24</v>
      </c>
      <c r="R964" t="s">
        <v>25</v>
      </c>
      <c r="S964" t="s">
        <v>26</v>
      </c>
      <c r="T964" s="6">
        <v>46307</v>
      </c>
      <c r="U964">
        <v>360</v>
      </c>
      <c r="V964">
        <v>360</v>
      </c>
      <c r="W964">
        <v>384</v>
      </c>
      <c r="X964">
        <v>384</v>
      </c>
      <c r="Y964">
        <f t="shared" ref="Y964:Y1027" si="155">W964-X964</f>
        <v>0</v>
      </c>
      <c r="Z964">
        <f t="shared" ref="Z964:Z1027" si="156">V964-X964</f>
        <v>-24</v>
      </c>
      <c r="AC964" s="1"/>
      <c r="AF964">
        <f>V964</f>
        <v>360</v>
      </c>
      <c r="AG964" s="7">
        <v>24</v>
      </c>
      <c r="AH964">
        <f t="shared" ref="AH964:AH1027" si="157">ROUNDUP(AF964/AG964,0)*AG964</f>
        <v>360</v>
      </c>
      <c r="AI964">
        <f t="shared" si="154"/>
        <v>0</v>
      </c>
      <c r="AK964">
        <f t="shared" ref="AK964:AK1027" si="158">AH964/AG964</f>
        <v>15</v>
      </c>
      <c r="AL964">
        <v>4.92</v>
      </c>
      <c r="AM964" t="s">
        <v>27</v>
      </c>
      <c r="AN964">
        <v>4.92</v>
      </c>
      <c r="AO964" t="b">
        <f t="shared" ref="AO964:AO1027" si="159">AL964=AN964</f>
        <v>1</v>
      </c>
      <c r="AR964" t="s">
        <v>5061</v>
      </c>
      <c r="AS964" s="21">
        <v>46276</v>
      </c>
      <c r="AT964" t="s">
        <v>5062</v>
      </c>
      <c r="AU964" t="s">
        <v>5081</v>
      </c>
      <c r="AV964" t="s">
        <v>5062</v>
      </c>
      <c r="AW964" t="s">
        <v>5086</v>
      </c>
    </row>
    <row r="965" spans="1:49" x14ac:dyDescent="0.35">
      <c r="A965" t="s">
        <v>2796</v>
      </c>
      <c r="B965" t="s">
        <v>872</v>
      </c>
      <c r="C965" t="s">
        <v>4818</v>
      </c>
      <c r="D965" t="s">
        <v>18</v>
      </c>
      <c r="E965" t="s">
        <v>3585</v>
      </c>
      <c r="F965" t="s">
        <v>3586</v>
      </c>
      <c r="G965" t="s">
        <v>21</v>
      </c>
      <c r="H965" t="s">
        <v>4888</v>
      </c>
      <c r="I965" t="s">
        <v>5003</v>
      </c>
      <c r="J965" s="4" t="s">
        <v>5004</v>
      </c>
      <c r="K965" s="4" t="s">
        <v>5015</v>
      </c>
      <c r="L965" s="4" t="s">
        <v>4922</v>
      </c>
      <c r="M965" s="4" t="s">
        <v>5035</v>
      </c>
      <c r="N965" t="s">
        <v>3587</v>
      </c>
      <c r="O965" t="s">
        <v>3588</v>
      </c>
      <c r="P965" t="s">
        <v>23</v>
      </c>
      <c r="Q965" t="s">
        <v>24</v>
      </c>
      <c r="R965" t="s">
        <v>25</v>
      </c>
      <c r="S965" t="s">
        <v>26</v>
      </c>
      <c r="T965" s="6">
        <v>46307</v>
      </c>
      <c r="U965">
        <v>48</v>
      </c>
      <c r="V965">
        <v>48</v>
      </c>
      <c r="W965">
        <v>36</v>
      </c>
      <c r="X965">
        <v>36</v>
      </c>
      <c r="Y965">
        <f t="shared" si="155"/>
        <v>0</v>
      </c>
      <c r="Z965">
        <f t="shared" si="156"/>
        <v>12</v>
      </c>
      <c r="AA965">
        <f>Z965</f>
        <v>12</v>
      </c>
      <c r="AC965" s="1">
        <v>0</v>
      </c>
      <c r="AF965">
        <f>X965</f>
        <v>36</v>
      </c>
      <c r="AG965" s="7">
        <v>12</v>
      </c>
      <c r="AH965">
        <f t="shared" si="157"/>
        <v>36</v>
      </c>
      <c r="AI965">
        <f t="shared" si="154"/>
        <v>12</v>
      </c>
      <c r="AK965">
        <f t="shared" si="158"/>
        <v>3</v>
      </c>
      <c r="AL965">
        <v>13.01</v>
      </c>
      <c r="AM965" t="s">
        <v>27</v>
      </c>
      <c r="AN965">
        <v>13.01</v>
      </c>
      <c r="AO965" t="b">
        <f t="shared" si="159"/>
        <v>1</v>
      </c>
      <c r="AR965" t="s">
        <v>5061</v>
      </c>
      <c r="AS965" s="21">
        <v>46276</v>
      </c>
      <c r="AT965" t="s">
        <v>5062</v>
      </c>
      <c r="AU965" t="s">
        <v>5078</v>
      </c>
      <c r="AV965" t="s">
        <v>5062</v>
      </c>
      <c r="AW965" t="s">
        <v>5086</v>
      </c>
    </row>
    <row r="966" spans="1:49" x14ac:dyDescent="0.35">
      <c r="A966" t="s">
        <v>2796</v>
      </c>
      <c r="B966" t="s">
        <v>872</v>
      </c>
      <c r="C966" t="s">
        <v>4818</v>
      </c>
      <c r="D966" t="s">
        <v>18</v>
      </c>
      <c r="E966" t="s">
        <v>3589</v>
      </c>
      <c r="F966" t="s">
        <v>3590</v>
      </c>
      <c r="G966" t="s">
        <v>21</v>
      </c>
      <c r="H966" t="s">
        <v>4888</v>
      </c>
      <c r="I966" t="s">
        <v>5005</v>
      </c>
      <c r="J966" s="4" t="s">
        <v>5006</v>
      </c>
      <c r="K966" s="4" t="s">
        <v>4899</v>
      </c>
      <c r="L966" s="4">
        <v>29</v>
      </c>
      <c r="M966" s="4" t="s">
        <v>5035</v>
      </c>
      <c r="N966" t="s">
        <v>3591</v>
      </c>
      <c r="O966" t="s">
        <v>3592</v>
      </c>
      <c r="P966" t="s">
        <v>23</v>
      </c>
      <c r="Q966" t="s">
        <v>24</v>
      </c>
      <c r="R966" t="s">
        <v>25</v>
      </c>
      <c r="S966" t="s">
        <v>26</v>
      </c>
      <c r="T966" s="6">
        <v>46307</v>
      </c>
      <c r="U966">
        <v>216</v>
      </c>
      <c r="V966">
        <v>216</v>
      </c>
      <c r="W966">
        <v>240</v>
      </c>
      <c r="X966">
        <v>240</v>
      </c>
      <c r="Y966">
        <f t="shared" si="155"/>
        <v>0</v>
      </c>
      <c r="Z966">
        <f t="shared" si="156"/>
        <v>-24</v>
      </c>
      <c r="AC966" s="1">
        <v>0</v>
      </c>
      <c r="AF966">
        <f>V966</f>
        <v>216</v>
      </c>
      <c r="AG966" s="7">
        <v>24</v>
      </c>
      <c r="AH966">
        <f t="shared" si="157"/>
        <v>216</v>
      </c>
      <c r="AI966">
        <f t="shared" si="154"/>
        <v>0</v>
      </c>
      <c r="AK966">
        <f t="shared" si="158"/>
        <v>9</v>
      </c>
      <c r="AL966">
        <v>10.14</v>
      </c>
      <c r="AM966" t="s">
        <v>27</v>
      </c>
      <c r="AN966">
        <v>10.14</v>
      </c>
      <c r="AO966" t="b">
        <f t="shared" si="159"/>
        <v>1</v>
      </c>
      <c r="AR966" t="s">
        <v>5061</v>
      </c>
      <c r="AS966" s="21">
        <v>46276</v>
      </c>
      <c r="AT966" t="s">
        <v>5062</v>
      </c>
      <c r="AU966" t="s">
        <v>5079</v>
      </c>
      <c r="AV966" t="s">
        <v>5062</v>
      </c>
      <c r="AW966" t="s">
        <v>5086</v>
      </c>
    </row>
    <row r="967" spans="1:49" x14ac:dyDescent="0.35">
      <c r="A967" t="s">
        <v>2796</v>
      </c>
      <c r="B967" t="s">
        <v>872</v>
      </c>
      <c r="C967" t="s">
        <v>4818</v>
      </c>
      <c r="D967" t="s">
        <v>18</v>
      </c>
      <c r="E967" t="s">
        <v>3593</v>
      </c>
      <c r="F967" t="s">
        <v>3594</v>
      </c>
      <c r="G967" t="s">
        <v>21</v>
      </c>
      <c r="H967" t="s">
        <v>4888</v>
      </c>
      <c r="I967" t="s">
        <v>5003</v>
      </c>
      <c r="J967" s="4" t="s">
        <v>5004</v>
      </c>
      <c r="K967" s="4" t="s">
        <v>4904</v>
      </c>
      <c r="L967" s="4" t="s">
        <v>4928</v>
      </c>
      <c r="M967" s="4" t="s">
        <v>5035</v>
      </c>
      <c r="N967" t="s">
        <v>3595</v>
      </c>
      <c r="O967" t="s">
        <v>3596</v>
      </c>
      <c r="P967" t="s">
        <v>23</v>
      </c>
      <c r="Q967" t="s">
        <v>24</v>
      </c>
      <c r="R967" t="s">
        <v>25</v>
      </c>
      <c r="S967" t="s">
        <v>26</v>
      </c>
      <c r="T967" s="6">
        <v>46307</v>
      </c>
      <c r="U967">
        <v>24</v>
      </c>
      <c r="V967">
        <v>24</v>
      </c>
      <c r="W967">
        <v>24</v>
      </c>
      <c r="X967">
        <v>24</v>
      </c>
      <c r="Y967">
        <f t="shared" si="155"/>
        <v>0</v>
      </c>
      <c r="Z967">
        <f t="shared" si="156"/>
        <v>0</v>
      </c>
      <c r="AC967" s="1">
        <v>0</v>
      </c>
      <c r="AF967">
        <f>V967</f>
        <v>24</v>
      </c>
      <c r="AG967" s="7">
        <v>12</v>
      </c>
      <c r="AH967">
        <f t="shared" si="157"/>
        <v>24</v>
      </c>
      <c r="AI967">
        <f t="shared" si="154"/>
        <v>0</v>
      </c>
      <c r="AK967">
        <f t="shared" si="158"/>
        <v>2</v>
      </c>
      <c r="AL967">
        <v>12.89</v>
      </c>
      <c r="AM967" t="s">
        <v>27</v>
      </c>
      <c r="AN967">
        <v>12.89</v>
      </c>
      <c r="AO967" t="b">
        <f t="shared" si="159"/>
        <v>1</v>
      </c>
      <c r="AR967" t="s">
        <v>5061</v>
      </c>
      <c r="AS967" s="21">
        <v>46276</v>
      </c>
      <c r="AT967" t="s">
        <v>5062</v>
      </c>
      <c r="AU967" t="s">
        <v>5078</v>
      </c>
      <c r="AV967" t="s">
        <v>5062</v>
      </c>
      <c r="AW967" t="s">
        <v>5086</v>
      </c>
    </row>
    <row r="968" spans="1:49" x14ac:dyDescent="0.35">
      <c r="A968" t="s">
        <v>2796</v>
      </c>
      <c r="B968" t="s">
        <v>872</v>
      </c>
      <c r="C968" t="s">
        <v>4818</v>
      </c>
      <c r="D968" t="s">
        <v>18</v>
      </c>
      <c r="E968" t="s">
        <v>3597</v>
      </c>
      <c r="F968" t="s">
        <v>3598</v>
      </c>
      <c r="G968" t="s">
        <v>21</v>
      </c>
      <c r="H968" t="s">
        <v>4888</v>
      </c>
      <c r="I968" t="s">
        <v>5003</v>
      </c>
      <c r="J968" s="4" t="s">
        <v>5004</v>
      </c>
      <c r="K968" s="4" t="s">
        <v>4904</v>
      </c>
      <c r="L968" s="4" t="s">
        <v>4926</v>
      </c>
      <c r="M968" s="4" t="s">
        <v>5035</v>
      </c>
      <c r="N968" t="s">
        <v>3599</v>
      </c>
      <c r="O968" t="s">
        <v>3600</v>
      </c>
      <c r="P968" t="s">
        <v>23</v>
      </c>
      <c r="Q968" t="s">
        <v>24</v>
      </c>
      <c r="R968" t="s">
        <v>25</v>
      </c>
      <c r="S968" t="s">
        <v>26</v>
      </c>
      <c r="T968" s="6">
        <v>46307</v>
      </c>
      <c r="U968">
        <v>24</v>
      </c>
      <c r="V968">
        <v>24</v>
      </c>
      <c r="W968">
        <v>24</v>
      </c>
      <c r="X968">
        <v>24</v>
      </c>
      <c r="Y968">
        <f t="shared" si="155"/>
        <v>0</v>
      </c>
      <c r="Z968">
        <f t="shared" si="156"/>
        <v>0</v>
      </c>
      <c r="AC968" s="1">
        <v>0</v>
      </c>
      <c r="AF968">
        <f>V968</f>
        <v>24</v>
      </c>
      <c r="AG968" s="7">
        <v>12</v>
      </c>
      <c r="AH968">
        <f t="shared" si="157"/>
        <v>24</v>
      </c>
      <c r="AI968">
        <f t="shared" si="154"/>
        <v>0</v>
      </c>
      <c r="AK968">
        <f t="shared" si="158"/>
        <v>2</v>
      </c>
      <c r="AL968">
        <v>12.89</v>
      </c>
      <c r="AM968" t="s">
        <v>27</v>
      </c>
      <c r="AN968">
        <v>12.89</v>
      </c>
      <c r="AO968" t="b">
        <f t="shared" si="159"/>
        <v>1</v>
      </c>
      <c r="AR968" t="s">
        <v>5061</v>
      </c>
      <c r="AS968" s="21">
        <v>46276</v>
      </c>
      <c r="AT968" t="s">
        <v>5062</v>
      </c>
      <c r="AU968" t="s">
        <v>5078</v>
      </c>
      <c r="AV968" t="s">
        <v>5062</v>
      </c>
      <c r="AW968" t="s">
        <v>5086</v>
      </c>
    </row>
    <row r="969" spans="1:49" x14ac:dyDescent="0.35">
      <c r="A969" t="s">
        <v>2796</v>
      </c>
      <c r="B969" t="s">
        <v>872</v>
      </c>
      <c r="C969" t="s">
        <v>4818</v>
      </c>
      <c r="D969" t="s">
        <v>18</v>
      </c>
      <c r="E969" t="s">
        <v>3601</v>
      </c>
      <c r="F969" t="s">
        <v>3602</v>
      </c>
      <c r="G969" t="s">
        <v>21</v>
      </c>
      <c r="H969" t="s">
        <v>4888</v>
      </c>
      <c r="I969" t="s">
        <v>5003</v>
      </c>
      <c r="J969" s="4" t="s">
        <v>5004</v>
      </c>
      <c r="K969" s="4" t="s">
        <v>4837</v>
      </c>
      <c r="L969" s="4" t="s">
        <v>4925</v>
      </c>
      <c r="M969" s="4" t="s">
        <v>5035</v>
      </c>
      <c r="N969" t="s">
        <v>3603</v>
      </c>
      <c r="O969" t="s">
        <v>3604</v>
      </c>
      <c r="P969" t="s">
        <v>23</v>
      </c>
      <c r="Q969" t="s">
        <v>24</v>
      </c>
      <c r="R969" t="s">
        <v>25</v>
      </c>
      <c r="S969" t="s">
        <v>26</v>
      </c>
      <c r="T969" s="6">
        <v>46307</v>
      </c>
      <c r="U969">
        <v>132</v>
      </c>
      <c r="V969">
        <v>132</v>
      </c>
      <c r="W969">
        <v>144</v>
      </c>
      <c r="X969">
        <v>144</v>
      </c>
      <c r="Y969">
        <f t="shared" si="155"/>
        <v>0</v>
      </c>
      <c r="Z969">
        <f t="shared" si="156"/>
        <v>-12</v>
      </c>
      <c r="AC969" s="1">
        <v>0</v>
      </c>
      <c r="AF969">
        <f>V969</f>
        <v>132</v>
      </c>
      <c r="AG969" s="7">
        <v>12</v>
      </c>
      <c r="AH969">
        <f t="shared" si="157"/>
        <v>132</v>
      </c>
      <c r="AI969">
        <f t="shared" si="154"/>
        <v>0</v>
      </c>
      <c r="AK969">
        <f t="shared" si="158"/>
        <v>11</v>
      </c>
      <c r="AL969">
        <v>12.87</v>
      </c>
      <c r="AM969" t="s">
        <v>27</v>
      </c>
      <c r="AN969">
        <v>12.87</v>
      </c>
      <c r="AO969" t="b">
        <f t="shared" si="159"/>
        <v>1</v>
      </c>
      <c r="AR969" t="s">
        <v>5061</v>
      </c>
      <c r="AS969" s="21">
        <v>46276</v>
      </c>
      <c r="AT969" t="s">
        <v>5062</v>
      </c>
      <c r="AU969" t="s">
        <v>5078</v>
      </c>
      <c r="AV969" t="s">
        <v>5062</v>
      </c>
      <c r="AW969" t="s">
        <v>5086</v>
      </c>
    </row>
    <row r="970" spans="1:49" x14ac:dyDescent="0.35">
      <c r="A970" t="s">
        <v>2796</v>
      </c>
      <c r="B970" t="s">
        <v>872</v>
      </c>
      <c r="C970" t="s">
        <v>4818</v>
      </c>
      <c r="D970" t="s">
        <v>18</v>
      </c>
      <c r="E970" t="s">
        <v>3605</v>
      </c>
      <c r="F970" t="s">
        <v>3606</v>
      </c>
      <c r="G970" t="s">
        <v>21</v>
      </c>
      <c r="H970" t="s">
        <v>4888</v>
      </c>
      <c r="I970" t="s">
        <v>5008</v>
      </c>
      <c r="J970" s="4" t="s">
        <v>5009</v>
      </c>
      <c r="K970" s="4" t="s">
        <v>4904</v>
      </c>
      <c r="L970" s="4">
        <v>40</v>
      </c>
      <c r="M970" s="4" t="s">
        <v>5035</v>
      </c>
      <c r="N970" t="s">
        <v>3607</v>
      </c>
      <c r="O970" t="s">
        <v>3608</v>
      </c>
      <c r="P970" t="s">
        <v>23</v>
      </c>
      <c r="Q970" t="s">
        <v>24</v>
      </c>
      <c r="R970" t="s">
        <v>25</v>
      </c>
      <c r="S970" t="s">
        <v>26</v>
      </c>
      <c r="T970" s="6">
        <v>46307</v>
      </c>
      <c r="U970">
        <v>408</v>
      </c>
      <c r="V970">
        <v>408</v>
      </c>
      <c r="W970">
        <v>432</v>
      </c>
      <c r="X970">
        <v>432</v>
      </c>
      <c r="Y970">
        <f t="shared" si="155"/>
        <v>0</v>
      </c>
      <c r="Z970">
        <f t="shared" si="156"/>
        <v>-24</v>
      </c>
      <c r="AC970" s="1"/>
      <c r="AF970">
        <f>V970</f>
        <v>408</v>
      </c>
      <c r="AG970" s="7">
        <v>24</v>
      </c>
      <c r="AH970">
        <f t="shared" si="157"/>
        <v>408</v>
      </c>
      <c r="AI970">
        <f t="shared" si="154"/>
        <v>0</v>
      </c>
      <c r="AK970">
        <f t="shared" si="158"/>
        <v>17</v>
      </c>
      <c r="AL970">
        <v>10.11</v>
      </c>
      <c r="AM970" t="s">
        <v>27</v>
      </c>
      <c r="AN970">
        <v>10.11</v>
      </c>
      <c r="AO970" t="b">
        <f t="shared" si="159"/>
        <v>1</v>
      </c>
      <c r="AR970" t="s">
        <v>5061</v>
      </c>
      <c r="AS970" s="21">
        <v>46276</v>
      </c>
      <c r="AT970" t="s">
        <v>5062</v>
      </c>
      <c r="AU970" t="s">
        <v>5080</v>
      </c>
      <c r="AV970" t="s">
        <v>5062</v>
      </c>
      <c r="AW970" t="s">
        <v>5086</v>
      </c>
    </row>
    <row r="971" spans="1:49" x14ac:dyDescent="0.35">
      <c r="A971" t="s">
        <v>2796</v>
      </c>
      <c r="B971" t="s">
        <v>872</v>
      </c>
      <c r="C971" t="s">
        <v>4818</v>
      </c>
      <c r="D971" t="s">
        <v>18</v>
      </c>
      <c r="E971" t="s">
        <v>3609</v>
      </c>
      <c r="F971" t="s">
        <v>3610</v>
      </c>
      <c r="G971" t="s">
        <v>21</v>
      </c>
      <c r="H971" t="s">
        <v>4888</v>
      </c>
      <c r="I971" t="s">
        <v>5003</v>
      </c>
      <c r="J971" s="4" t="s">
        <v>5004</v>
      </c>
      <c r="K971" s="4" t="s">
        <v>5015</v>
      </c>
      <c r="L971" s="4" t="s">
        <v>4851</v>
      </c>
      <c r="M971" s="4" t="s">
        <v>5035</v>
      </c>
      <c r="N971" t="s">
        <v>3611</v>
      </c>
      <c r="O971" t="s">
        <v>3612</v>
      </c>
      <c r="P971" t="s">
        <v>23</v>
      </c>
      <c r="Q971" t="s">
        <v>24</v>
      </c>
      <c r="R971" t="s">
        <v>25</v>
      </c>
      <c r="S971" t="s">
        <v>26</v>
      </c>
      <c r="T971" s="6">
        <v>46307</v>
      </c>
      <c r="U971">
        <v>96</v>
      </c>
      <c r="V971">
        <v>96</v>
      </c>
      <c r="W971">
        <v>84</v>
      </c>
      <c r="X971">
        <v>84</v>
      </c>
      <c r="Y971">
        <f t="shared" si="155"/>
        <v>0</v>
      </c>
      <c r="Z971">
        <f t="shared" si="156"/>
        <v>12</v>
      </c>
      <c r="AA971">
        <f>Z971</f>
        <v>12</v>
      </c>
      <c r="AC971" s="1">
        <v>0</v>
      </c>
      <c r="AF971">
        <f>X971</f>
        <v>84</v>
      </c>
      <c r="AG971" s="7">
        <v>12</v>
      </c>
      <c r="AH971">
        <f t="shared" si="157"/>
        <v>84</v>
      </c>
      <c r="AI971">
        <f t="shared" si="154"/>
        <v>12</v>
      </c>
      <c r="AK971">
        <f t="shared" si="158"/>
        <v>7</v>
      </c>
      <c r="AL971">
        <v>13.01</v>
      </c>
      <c r="AM971" t="s">
        <v>27</v>
      </c>
      <c r="AN971">
        <v>13.01</v>
      </c>
      <c r="AO971" t="b">
        <f t="shared" si="159"/>
        <v>1</v>
      </c>
      <c r="AR971" t="s">
        <v>5061</v>
      </c>
      <c r="AS971" s="21">
        <v>46276</v>
      </c>
      <c r="AT971" t="s">
        <v>5062</v>
      </c>
      <c r="AU971" t="s">
        <v>5078</v>
      </c>
      <c r="AV971" t="s">
        <v>5062</v>
      </c>
      <c r="AW971" t="s">
        <v>5086</v>
      </c>
    </row>
    <row r="972" spans="1:49" x14ac:dyDescent="0.35">
      <c r="A972" t="s">
        <v>2796</v>
      </c>
      <c r="B972" t="s">
        <v>872</v>
      </c>
      <c r="C972" t="s">
        <v>4818</v>
      </c>
      <c r="D972" t="s">
        <v>18</v>
      </c>
      <c r="E972" t="s">
        <v>3613</v>
      </c>
      <c r="F972" t="s">
        <v>3614</v>
      </c>
      <c r="G972" t="s">
        <v>21</v>
      </c>
      <c r="H972" t="s">
        <v>4888</v>
      </c>
      <c r="I972" t="s">
        <v>5005</v>
      </c>
      <c r="J972" s="4" t="s">
        <v>5006</v>
      </c>
      <c r="K972" s="4" t="s">
        <v>4899</v>
      </c>
      <c r="L972" s="4">
        <v>30</v>
      </c>
      <c r="M972" s="4" t="s">
        <v>5035</v>
      </c>
      <c r="N972" t="s">
        <v>3615</v>
      </c>
      <c r="O972" t="s">
        <v>3616</v>
      </c>
      <c r="P972" t="s">
        <v>23</v>
      </c>
      <c r="Q972" t="s">
        <v>24</v>
      </c>
      <c r="R972" t="s">
        <v>25</v>
      </c>
      <c r="S972" t="s">
        <v>26</v>
      </c>
      <c r="T972" s="6">
        <v>46307</v>
      </c>
      <c r="U972">
        <v>240</v>
      </c>
      <c r="V972">
        <v>240</v>
      </c>
      <c r="W972">
        <v>264</v>
      </c>
      <c r="X972">
        <v>264</v>
      </c>
      <c r="Y972">
        <f t="shared" si="155"/>
        <v>0</v>
      </c>
      <c r="Z972">
        <f t="shared" si="156"/>
        <v>-24</v>
      </c>
      <c r="AC972" s="1">
        <v>0</v>
      </c>
      <c r="AF972">
        <f>V972</f>
        <v>240</v>
      </c>
      <c r="AG972" s="7">
        <v>24</v>
      </c>
      <c r="AH972">
        <f t="shared" si="157"/>
        <v>240</v>
      </c>
      <c r="AI972">
        <f t="shared" si="154"/>
        <v>0</v>
      </c>
      <c r="AK972">
        <f t="shared" si="158"/>
        <v>10</v>
      </c>
      <c r="AL972">
        <v>10.14</v>
      </c>
      <c r="AM972" t="s">
        <v>27</v>
      </c>
      <c r="AN972">
        <v>10.14</v>
      </c>
      <c r="AO972" t="b">
        <f t="shared" si="159"/>
        <v>1</v>
      </c>
      <c r="AR972" t="s">
        <v>5061</v>
      </c>
      <c r="AS972" s="21">
        <v>46276</v>
      </c>
      <c r="AT972" t="s">
        <v>5062</v>
      </c>
      <c r="AU972" t="s">
        <v>5079</v>
      </c>
      <c r="AV972" t="s">
        <v>5062</v>
      </c>
      <c r="AW972" t="s">
        <v>5086</v>
      </c>
    </row>
    <row r="973" spans="1:49" x14ac:dyDescent="0.35">
      <c r="A973" t="s">
        <v>2796</v>
      </c>
      <c r="B973" t="s">
        <v>872</v>
      </c>
      <c r="C973" t="s">
        <v>4818</v>
      </c>
      <c r="D973" t="s">
        <v>18</v>
      </c>
      <c r="E973" t="s">
        <v>3617</v>
      </c>
      <c r="F973" t="s">
        <v>3618</v>
      </c>
      <c r="G973" t="s">
        <v>21</v>
      </c>
      <c r="H973" t="s">
        <v>4888</v>
      </c>
      <c r="I973" t="s">
        <v>5003</v>
      </c>
      <c r="J973" s="4" t="s">
        <v>5004</v>
      </c>
      <c r="K973" s="4" t="s">
        <v>4837</v>
      </c>
      <c r="L973" s="4" t="s">
        <v>4897</v>
      </c>
      <c r="M973" s="4" t="s">
        <v>5035</v>
      </c>
      <c r="N973" t="s">
        <v>3619</v>
      </c>
      <c r="O973" t="s">
        <v>3620</v>
      </c>
      <c r="P973" t="s">
        <v>23</v>
      </c>
      <c r="Q973" t="s">
        <v>24</v>
      </c>
      <c r="R973" t="s">
        <v>25</v>
      </c>
      <c r="S973" t="s">
        <v>26</v>
      </c>
      <c r="T973" s="6">
        <v>46307</v>
      </c>
      <c r="U973">
        <v>12</v>
      </c>
      <c r="V973">
        <v>12</v>
      </c>
      <c r="W973">
        <v>12</v>
      </c>
      <c r="X973">
        <v>12</v>
      </c>
      <c r="Y973">
        <f t="shared" si="155"/>
        <v>0</v>
      </c>
      <c r="Z973">
        <f t="shared" si="156"/>
        <v>0</v>
      </c>
      <c r="AC973" s="1">
        <v>0</v>
      </c>
      <c r="AF973">
        <f>V973</f>
        <v>12</v>
      </c>
      <c r="AG973" s="7">
        <v>12</v>
      </c>
      <c r="AH973">
        <f t="shared" si="157"/>
        <v>12</v>
      </c>
      <c r="AI973">
        <f t="shared" si="154"/>
        <v>0</v>
      </c>
      <c r="AK973">
        <f t="shared" si="158"/>
        <v>1</v>
      </c>
      <c r="AL973">
        <v>12.87</v>
      </c>
      <c r="AM973" t="s">
        <v>27</v>
      </c>
      <c r="AN973">
        <v>12.87</v>
      </c>
      <c r="AO973" t="b">
        <f t="shared" si="159"/>
        <v>1</v>
      </c>
      <c r="AR973" t="s">
        <v>5061</v>
      </c>
      <c r="AS973" s="21">
        <v>46276</v>
      </c>
      <c r="AT973" t="s">
        <v>5062</v>
      </c>
      <c r="AU973" t="s">
        <v>5078</v>
      </c>
      <c r="AV973" t="s">
        <v>5062</v>
      </c>
      <c r="AW973" t="s">
        <v>5086</v>
      </c>
    </row>
    <row r="974" spans="1:49" x14ac:dyDescent="0.35">
      <c r="A974" t="s">
        <v>2796</v>
      </c>
      <c r="B974" t="s">
        <v>872</v>
      </c>
      <c r="C974" t="s">
        <v>4818</v>
      </c>
      <c r="D974" t="s">
        <v>18</v>
      </c>
      <c r="E974" t="s">
        <v>3621</v>
      </c>
      <c r="F974" t="s">
        <v>3622</v>
      </c>
      <c r="G974" t="s">
        <v>21</v>
      </c>
      <c r="H974" t="s">
        <v>4888</v>
      </c>
      <c r="I974" t="s">
        <v>5008</v>
      </c>
      <c r="J974" s="4" t="s">
        <v>5009</v>
      </c>
      <c r="K974" s="4" t="s">
        <v>5017</v>
      </c>
      <c r="L974" s="4">
        <v>28</v>
      </c>
      <c r="M974" s="4" t="s">
        <v>5035</v>
      </c>
      <c r="N974" t="s">
        <v>3623</v>
      </c>
      <c r="O974" t="s">
        <v>3624</v>
      </c>
      <c r="P974" t="s">
        <v>23</v>
      </c>
      <c r="Q974" t="s">
        <v>24</v>
      </c>
      <c r="R974" t="s">
        <v>25</v>
      </c>
      <c r="S974" t="s">
        <v>26</v>
      </c>
      <c r="T974" s="6">
        <v>46307</v>
      </c>
      <c r="U974">
        <v>144</v>
      </c>
      <c r="V974">
        <v>144</v>
      </c>
      <c r="W974">
        <v>120</v>
      </c>
      <c r="X974">
        <v>120</v>
      </c>
      <c r="Y974">
        <f t="shared" si="155"/>
        <v>0</v>
      </c>
      <c r="Z974">
        <f t="shared" si="156"/>
        <v>24</v>
      </c>
      <c r="AA974">
        <f>Z974</f>
        <v>24</v>
      </c>
      <c r="AC974" s="1">
        <v>0</v>
      </c>
      <c r="AF974">
        <f>X974</f>
        <v>120</v>
      </c>
      <c r="AG974" s="7">
        <v>24</v>
      </c>
      <c r="AH974">
        <f t="shared" si="157"/>
        <v>120</v>
      </c>
      <c r="AI974">
        <f t="shared" si="154"/>
        <v>24</v>
      </c>
      <c r="AK974">
        <f t="shared" si="158"/>
        <v>5</v>
      </c>
      <c r="AL974">
        <v>10.01</v>
      </c>
      <c r="AM974" t="s">
        <v>27</v>
      </c>
      <c r="AN974">
        <v>10.01</v>
      </c>
      <c r="AO974" t="b">
        <f t="shared" si="159"/>
        <v>1</v>
      </c>
      <c r="AR974" t="s">
        <v>5061</v>
      </c>
      <c r="AS974" s="21">
        <v>46276</v>
      </c>
      <c r="AT974" t="s">
        <v>5062</v>
      </c>
      <c r="AU974" t="s">
        <v>5080</v>
      </c>
      <c r="AV974" t="s">
        <v>5062</v>
      </c>
      <c r="AW974" t="s">
        <v>5086</v>
      </c>
    </row>
    <row r="975" spans="1:49" x14ac:dyDescent="0.35">
      <c r="A975" t="s">
        <v>2796</v>
      </c>
      <c r="B975" t="s">
        <v>872</v>
      </c>
      <c r="C975" t="s">
        <v>4818</v>
      </c>
      <c r="D975" t="s">
        <v>18</v>
      </c>
      <c r="E975" t="s">
        <v>3625</v>
      </c>
      <c r="F975" t="s">
        <v>3626</v>
      </c>
      <c r="G975" t="s">
        <v>21</v>
      </c>
      <c r="H975" t="s">
        <v>4888</v>
      </c>
      <c r="I975" t="s">
        <v>5022</v>
      </c>
      <c r="J975" s="4" t="s">
        <v>5023</v>
      </c>
      <c r="K975" s="4" t="s">
        <v>5024</v>
      </c>
      <c r="L975" s="4">
        <v>2</v>
      </c>
      <c r="M975" s="4" t="s">
        <v>5035</v>
      </c>
      <c r="N975" t="s">
        <v>3627</v>
      </c>
      <c r="O975" t="s">
        <v>3628</v>
      </c>
      <c r="P975" t="s">
        <v>23</v>
      </c>
      <c r="Q975" t="s">
        <v>24</v>
      </c>
      <c r="R975" t="s">
        <v>25</v>
      </c>
      <c r="S975" t="s">
        <v>26</v>
      </c>
      <c r="T975" s="6">
        <v>46307</v>
      </c>
      <c r="U975">
        <v>480</v>
      </c>
      <c r="V975">
        <v>480</v>
      </c>
      <c r="W975">
        <v>504</v>
      </c>
      <c r="X975">
        <v>504</v>
      </c>
      <c r="Y975">
        <f t="shared" si="155"/>
        <v>0</v>
      </c>
      <c r="Z975">
        <f t="shared" si="156"/>
        <v>-24</v>
      </c>
      <c r="AC975" s="1">
        <v>0</v>
      </c>
      <c r="AF975">
        <f>V975</f>
        <v>480</v>
      </c>
      <c r="AG975" s="7">
        <v>24</v>
      </c>
      <c r="AH975">
        <f t="shared" si="157"/>
        <v>480</v>
      </c>
      <c r="AI975">
        <f t="shared" si="154"/>
        <v>0</v>
      </c>
      <c r="AK975">
        <f t="shared" si="158"/>
        <v>20</v>
      </c>
      <c r="AL975">
        <v>6.99</v>
      </c>
      <c r="AM975" t="s">
        <v>27</v>
      </c>
      <c r="AN975">
        <v>8.68</v>
      </c>
      <c r="AO975" t="b">
        <f t="shared" si="159"/>
        <v>0</v>
      </c>
      <c r="AR975" t="s">
        <v>5061</v>
      </c>
      <c r="AS975" s="21">
        <v>46276</v>
      </c>
      <c r="AT975" t="s">
        <v>5062</v>
      </c>
      <c r="AU975" t="s">
        <v>5083</v>
      </c>
      <c r="AV975" t="s">
        <v>5062</v>
      </c>
      <c r="AW975" t="s">
        <v>5086</v>
      </c>
    </row>
    <row r="976" spans="1:49" x14ac:dyDescent="0.35">
      <c r="A976" t="s">
        <v>2796</v>
      </c>
      <c r="B976" t="s">
        <v>872</v>
      </c>
      <c r="C976" t="s">
        <v>4818</v>
      </c>
      <c r="D976" t="s">
        <v>18</v>
      </c>
      <c r="E976" t="s">
        <v>3629</v>
      </c>
      <c r="F976" t="s">
        <v>3630</v>
      </c>
      <c r="G976" t="s">
        <v>21</v>
      </c>
      <c r="H976" t="s">
        <v>4888</v>
      </c>
      <c r="I976" t="s">
        <v>5003</v>
      </c>
      <c r="J976" s="4" t="s">
        <v>5004</v>
      </c>
      <c r="K976" s="4" t="s">
        <v>4837</v>
      </c>
      <c r="L976" s="4" t="s">
        <v>4879</v>
      </c>
      <c r="M976" s="4" t="s">
        <v>5035</v>
      </c>
      <c r="N976" t="s">
        <v>3631</v>
      </c>
      <c r="O976" t="s">
        <v>3632</v>
      </c>
      <c r="P976" t="s">
        <v>23</v>
      </c>
      <c r="Q976" t="s">
        <v>24</v>
      </c>
      <c r="R976" t="s">
        <v>25</v>
      </c>
      <c r="S976" t="s">
        <v>26</v>
      </c>
      <c r="T976" s="6">
        <v>46307</v>
      </c>
      <c r="U976">
        <v>156</v>
      </c>
      <c r="V976">
        <v>156</v>
      </c>
      <c r="W976">
        <v>168</v>
      </c>
      <c r="X976">
        <v>168</v>
      </c>
      <c r="Y976">
        <f t="shared" si="155"/>
        <v>0</v>
      </c>
      <c r="Z976">
        <f t="shared" si="156"/>
        <v>-12</v>
      </c>
      <c r="AC976" s="1">
        <v>0</v>
      </c>
      <c r="AF976">
        <f>V976</f>
        <v>156</v>
      </c>
      <c r="AG976" s="7">
        <v>12</v>
      </c>
      <c r="AH976">
        <f t="shared" si="157"/>
        <v>156</v>
      </c>
      <c r="AI976">
        <f t="shared" si="154"/>
        <v>0</v>
      </c>
      <c r="AK976">
        <f t="shared" si="158"/>
        <v>13</v>
      </c>
      <c r="AL976">
        <v>12.87</v>
      </c>
      <c r="AM976" t="s">
        <v>27</v>
      </c>
      <c r="AN976">
        <v>12.87</v>
      </c>
      <c r="AO976" t="b">
        <f t="shared" si="159"/>
        <v>1</v>
      </c>
      <c r="AR976" t="s">
        <v>5061</v>
      </c>
      <c r="AS976" s="21">
        <v>46276</v>
      </c>
      <c r="AT976" t="s">
        <v>5062</v>
      </c>
      <c r="AU976" t="s">
        <v>5078</v>
      </c>
      <c r="AV976" t="s">
        <v>5062</v>
      </c>
      <c r="AW976" t="s">
        <v>5086</v>
      </c>
    </row>
    <row r="977" spans="1:49" x14ac:dyDescent="0.35">
      <c r="A977" t="s">
        <v>2796</v>
      </c>
      <c r="B977" t="s">
        <v>872</v>
      </c>
      <c r="C977" t="s">
        <v>4818</v>
      </c>
      <c r="D977" t="s">
        <v>18</v>
      </c>
      <c r="E977" t="s">
        <v>3633</v>
      </c>
      <c r="F977" t="s">
        <v>3634</v>
      </c>
      <c r="G977" t="s">
        <v>21</v>
      </c>
      <c r="H977" t="s">
        <v>4888</v>
      </c>
      <c r="I977" t="s">
        <v>5005</v>
      </c>
      <c r="J977" s="4" t="s">
        <v>5006</v>
      </c>
      <c r="K977" s="4" t="s">
        <v>4837</v>
      </c>
      <c r="L977" s="4">
        <v>29</v>
      </c>
      <c r="M977" s="4" t="s">
        <v>5035</v>
      </c>
      <c r="N977" t="s">
        <v>3635</v>
      </c>
      <c r="O977" t="s">
        <v>3636</v>
      </c>
      <c r="P977" t="s">
        <v>23</v>
      </c>
      <c r="Q977" t="s">
        <v>24</v>
      </c>
      <c r="R977" t="s">
        <v>25</v>
      </c>
      <c r="S977" t="s">
        <v>26</v>
      </c>
      <c r="T977" s="6">
        <v>46307</v>
      </c>
      <c r="U977">
        <v>216</v>
      </c>
      <c r="V977">
        <v>216</v>
      </c>
      <c r="W977">
        <v>216</v>
      </c>
      <c r="X977">
        <v>216</v>
      </c>
      <c r="Y977">
        <f t="shared" si="155"/>
        <v>0</v>
      </c>
      <c r="Z977">
        <f t="shared" si="156"/>
        <v>0</v>
      </c>
      <c r="AC977" s="1">
        <v>0</v>
      </c>
      <c r="AF977">
        <f>V977</f>
        <v>216</v>
      </c>
      <c r="AG977" s="7">
        <v>24</v>
      </c>
      <c r="AH977">
        <f t="shared" si="157"/>
        <v>216</v>
      </c>
      <c r="AI977">
        <f t="shared" si="154"/>
        <v>0</v>
      </c>
      <c r="AK977">
        <f t="shared" si="158"/>
        <v>9</v>
      </c>
      <c r="AL977">
        <v>9.58</v>
      </c>
      <c r="AM977" t="s">
        <v>27</v>
      </c>
      <c r="AN977">
        <v>9.58</v>
      </c>
      <c r="AO977" t="b">
        <f t="shared" si="159"/>
        <v>1</v>
      </c>
      <c r="AR977" t="s">
        <v>5061</v>
      </c>
      <c r="AS977" s="21">
        <v>46276</v>
      </c>
      <c r="AT977" t="s">
        <v>5062</v>
      </c>
      <c r="AU977" t="s">
        <v>5079</v>
      </c>
      <c r="AV977" t="s">
        <v>5062</v>
      </c>
      <c r="AW977" t="s">
        <v>5086</v>
      </c>
    </row>
    <row r="978" spans="1:49" x14ac:dyDescent="0.35">
      <c r="A978" t="s">
        <v>2796</v>
      </c>
      <c r="B978" t="s">
        <v>872</v>
      </c>
      <c r="C978" t="s">
        <v>4818</v>
      </c>
      <c r="D978" t="s">
        <v>18</v>
      </c>
      <c r="E978" t="s">
        <v>3637</v>
      </c>
      <c r="F978" t="s">
        <v>3638</v>
      </c>
      <c r="G978" t="s">
        <v>21</v>
      </c>
      <c r="H978" t="s">
        <v>4888</v>
      </c>
      <c r="I978" t="s">
        <v>5003</v>
      </c>
      <c r="J978" s="4" t="s">
        <v>5004</v>
      </c>
      <c r="K978" s="4" t="s">
        <v>5016</v>
      </c>
      <c r="L978" s="4" t="s">
        <v>4933</v>
      </c>
      <c r="M978" s="4" t="s">
        <v>5035</v>
      </c>
      <c r="N978" t="s">
        <v>3639</v>
      </c>
      <c r="O978" t="s">
        <v>3640</v>
      </c>
      <c r="P978" t="s">
        <v>23</v>
      </c>
      <c r="Q978" t="s">
        <v>24</v>
      </c>
      <c r="R978" t="s">
        <v>25</v>
      </c>
      <c r="S978" t="s">
        <v>26</v>
      </c>
      <c r="T978" s="6">
        <v>46307</v>
      </c>
      <c r="U978">
        <v>60</v>
      </c>
      <c r="V978">
        <v>60</v>
      </c>
      <c r="W978">
        <v>72</v>
      </c>
      <c r="X978">
        <v>72</v>
      </c>
      <c r="Y978">
        <f t="shared" si="155"/>
        <v>0</v>
      </c>
      <c r="Z978">
        <f t="shared" si="156"/>
        <v>-12</v>
      </c>
      <c r="AC978" s="1">
        <v>0</v>
      </c>
      <c r="AF978">
        <f>V978</f>
        <v>60</v>
      </c>
      <c r="AG978" s="7">
        <v>12</v>
      </c>
      <c r="AH978">
        <f t="shared" si="157"/>
        <v>60</v>
      </c>
      <c r="AI978">
        <f t="shared" si="154"/>
        <v>0</v>
      </c>
      <c r="AK978">
        <f t="shared" si="158"/>
        <v>5</v>
      </c>
      <c r="AL978">
        <v>13.33</v>
      </c>
      <c r="AM978" t="s">
        <v>27</v>
      </c>
      <c r="AN978">
        <v>13.33</v>
      </c>
      <c r="AO978" t="b">
        <f t="shared" si="159"/>
        <v>1</v>
      </c>
      <c r="AR978" t="s">
        <v>5061</v>
      </c>
      <c r="AS978" s="21">
        <v>46276</v>
      </c>
      <c r="AT978" t="s">
        <v>5062</v>
      </c>
      <c r="AU978" t="s">
        <v>5078</v>
      </c>
      <c r="AV978" t="s">
        <v>5062</v>
      </c>
      <c r="AW978" t="s">
        <v>5086</v>
      </c>
    </row>
    <row r="979" spans="1:49" x14ac:dyDescent="0.35">
      <c r="A979" t="s">
        <v>2796</v>
      </c>
      <c r="B979" t="s">
        <v>872</v>
      </c>
      <c r="C979" t="s">
        <v>4818</v>
      </c>
      <c r="D979" t="s">
        <v>18</v>
      </c>
      <c r="E979" t="s">
        <v>3641</v>
      </c>
      <c r="F979" t="s">
        <v>3642</v>
      </c>
      <c r="G979" t="s">
        <v>21</v>
      </c>
      <c r="H979" t="s">
        <v>4888</v>
      </c>
      <c r="I979" t="s">
        <v>5022</v>
      </c>
      <c r="J979" s="4" t="s">
        <v>5023</v>
      </c>
      <c r="K979" s="4" t="s">
        <v>5024</v>
      </c>
      <c r="L979" s="4">
        <v>20</v>
      </c>
      <c r="M979" s="4" t="s">
        <v>5035</v>
      </c>
      <c r="N979" t="s">
        <v>3643</v>
      </c>
      <c r="O979" t="s">
        <v>3644</v>
      </c>
      <c r="P979" t="s">
        <v>23</v>
      </c>
      <c r="Q979" t="s">
        <v>24</v>
      </c>
      <c r="R979" t="s">
        <v>25</v>
      </c>
      <c r="S979" t="s">
        <v>26</v>
      </c>
      <c r="T979" s="6">
        <v>46307</v>
      </c>
      <c r="U979">
        <v>216</v>
      </c>
      <c r="V979">
        <v>216</v>
      </c>
      <c r="W979">
        <v>192</v>
      </c>
      <c r="X979">
        <v>192</v>
      </c>
      <c r="Y979">
        <f t="shared" si="155"/>
        <v>0</v>
      </c>
      <c r="Z979">
        <f t="shared" si="156"/>
        <v>24</v>
      </c>
      <c r="AA979">
        <f t="shared" ref="AA979:AA980" si="160">Z979</f>
        <v>24</v>
      </c>
      <c r="AC979" s="1">
        <v>0</v>
      </c>
      <c r="AF979">
        <f>X979</f>
        <v>192</v>
      </c>
      <c r="AG979" s="7">
        <v>24</v>
      </c>
      <c r="AH979">
        <f t="shared" si="157"/>
        <v>192</v>
      </c>
      <c r="AI979">
        <f t="shared" si="154"/>
        <v>24</v>
      </c>
      <c r="AK979">
        <f t="shared" si="158"/>
        <v>8</v>
      </c>
      <c r="AL979">
        <v>6.99</v>
      </c>
      <c r="AM979" t="s">
        <v>27</v>
      </c>
      <c r="AN979">
        <v>8.68</v>
      </c>
      <c r="AO979" t="b">
        <f t="shared" si="159"/>
        <v>0</v>
      </c>
      <c r="AR979" t="s">
        <v>5061</v>
      </c>
      <c r="AS979" s="21">
        <v>46276</v>
      </c>
      <c r="AT979" t="s">
        <v>5062</v>
      </c>
      <c r="AU979" t="s">
        <v>5083</v>
      </c>
      <c r="AV979" t="s">
        <v>5062</v>
      </c>
      <c r="AW979" t="s">
        <v>5086</v>
      </c>
    </row>
    <row r="980" spans="1:49" x14ac:dyDescent="0.35">
      <c r="A980" t="s">
        <v>2796</v>
      </c>
      <c r="B980" t="s">
        <v>872</v>
      </c>
      <c r="C980" t="s">
        <v>4818</v>
      </c>
      <c r="D980" t="s">
        <v>18</v>
      </c>
      <c r="E980" t="s">
        <v>3645</v>
      </c>
      <c r="F980" t="s">
        <v>3646</v>
      </c>
      <c r="G980" t="s">
        <v>21</v>
      </c>
      <c r="H980" t="s">
        <v>4888</v>
      </c>
      <c r="I980" t="s">
        <v>5003</v>
      </c>
      <c r="J980" s="4" t="s">
        <v>5004</v>
      </c>
      <c r="K980" s="4" t="s">
        <v>5015</v>
      </c>
      <c r="L980" s="4" t="s">
        <v>4905</v>
      </c>
      <c r="M980" s="4" t="s">
        <v>5035</v>
      </c>
      <c r="N980" t="s">
        <v>3647</v>
      </c>
      <c r="O980" t="s">
        <v>3648</v>
      </c>
      <c r="P980" t="s">
        <v>23</v>
      </c>
      <c r="Q980" t="s">
        <v>24</v>
      </c>
      <c r="R980" t="s">
        <v>25</v>
      </c>
      <c r="S980" t="s">
        <v>26</v>
      </c>
      <c r="T980" s="6">
        <v>46307</v>
      </c>
      <c r="U980">
        <v>84</v>
      </c>
      <c r="V980">
        <v>84</v>
      </c>
      <c r="W980">
        <v>72</v>
      </c>
      <c r="X980">
        <v>72</v>
      </c>
      <c r="Y980">
        <f t="shared" si="155"/>
        <v>0</v>
      </c>
      <c r="Z980">
        <f t="shared" si="156"/>
        <v>12</v>
      </c>
      <c r="AA980">
        <f t="shared" si="160"/>
        <v>12</v>
      </c>
      <c r="AC980" s="1">
        <v>0</v>
      </c>
      <c r="AF980">
        <f>X980</f>
        <v>72</v>
      </c>
      <c r="AG980" s="7">
        <v>12</v>
      </c>
      <c r="AH980">
        <f t="shared" si="157"/>
        <v>72</v>
      </c>
      <c r="AI980">
        <f t="shared" si="154"/>
        <v>12</v>
      </c>
      <c r="AK980">
        <f t="shared" si="158"/>
        <v>6</v>
      </c>
      <c r="AL980">
        <v>13.01</v>
      </c>
      <c r="AM980" t="s">
        <v>27</v>
      </c>
      <c r="AN980">
        <v>13.01</v>
      </c>
      <c r="AO980" t="b">
        <f t="shared" si="159"/>
        <v>1</v>
      </c>
      <c r="AR980" t="s">
        <v>5061</v>
      </c>
      <c r="AS980" s="21">
        <v>46276</v>
      </c>
      <c r="AT980" t="s">
        <v>5062</v>
      </c>
      <c r="AU980" t="s">
        <v>5078</v>
      </c>
      <c r="AV980" t="s">
        <v>5062</v>
      </c>
      <c r="AW980" t="s">
        <v>5086</v>
      </c>
    </row>
    <row r="981" spans="1:49" x14ac:dyDescent="0.35">
      <c r="A981" t="s">
        <v>2796</v>
      </c>
      <c r="B981" t="s">
        <v>872</v>
      </c>
      <c r="C981" t="s">
        <v>4818</v>
      </c>
      <c r="D981" t="s">
        <v>18</v>
      </c>
      <c r="E981" t="s">
        <v>3649</v>
      </c>
      <c r="F981" t="s">
        <v>3650</v>
      </c>
      <c r="G981" t="s">
        <v>21</v>
      </c>
      <c r="H981" t="s">
        <v>4888</v>
      </c>
      <c r="I981" t="s">
        <v>5003</v>
      </c>
      <c r="J981" s="4" t="s">
        <v>5004</v>
      </c>
      <c r="K981" s="4" t="s">
        <v>5015</v>
      </c>
      <c r="L981" s="4" t="s">
        <v>4898</v>
      </c>
      <c r="M981" s="4" t="s">
        <v>5035</v>
      </c>
      <c r="N981" t="s">
        <v>3651</v>
      </c>
      <c r="O981" t="s">
        <v>3652</v>
      </c>
      <c r="P981" t="s">
        <v>23</v>
      </c>
      <c r="Q981" t="s">
        <v>24</v>
      </c>
      <c r="R981" t="s">
        <v>25</v>
      </c>
      <c r="S981" t="s">
        <v>26</v>
      </c>
      <c r="T981" s="6">
        <v>46307</v>
      </c>
      <c r="U981">
        <v>60</v>
      </c>
      <c r="V981">
        <v>60</v>
      </c>
      <c r="W981">
        <v>60</v>
      </c>
      <c r="X981">
        <v>60</v>
      </c>
      <c r="Y981">
        <f t="shared" si="155"/>
        <v>0</v>
      </c>
      <c r="Z981">
        <f t="shared" si="156"/>
        <v>0</v>
      </c>
      <c r="AC981" s="1">
        <v>0</v>
      </c>
      <c r="AF981">
        <f>V981</f>
        <v>60</v>
      </c>
      <c r="AG981" s="7">
        <v>12</v>
      </c>
      <c r="AH981">
        <f t="shared" si="157"/>
        <v>60</v>
      </c>
      <c r="AI981">
        <f t="shared" si="154"/>
        <v>0</v>
      </c>
      <c r="AK981">
        <f t="shared" si="158"/>
        <v>5</v>
      </c>
      <c r="AL981">
        <v>13.01</v>
      </c>
      <c r="AM981" t="s">
        <v>27</v>
      </c>
      <c r="AN981">
        <v>13.01</v>
      </c>
      <c r="AO981" t="b">
        <f t="shared" si="159"/>
        <v>1</v>
      </c>
      <c r="AR981" t="s">
        <v>5061</v>
      </c>
      <c r="AS981" s="21">
        <v>46276</v>
      </c>
      <c r="AT981" t="s">
        <v>5062</v>
      </c>
      <c r="AU981" t="s">
        <v>5078</v>
      </c>
      <c r="AV981" t="s">
        <v>5062</v>
      </c>
      <c r="AW981" t="s">
        <v>5086</v>
      </c>
    </row>
    <row r="982" spans="1:49" x14ac:dyDescent="0.35">
      <c r="A982" t="s">
        <v>2796</v>
      </c>
      <c r="B982" t="s">
        <v>872</v>
      </c>
      <c r="C982" t="s">
        <v>4818</v>
      </c>
      <c r="D982" t="s">
        <v>18</v>
      </c>
      <c r="E982" t="s">
        <v>3653</v>
      </c>
      <c r="F982" t="s">
        <v>3654</v>
      </c>
      <c r="G982" t="s">
        <v>21</v>
      </c>
      <c r="H982" t="s">
        <v>4888</v>
      </c>
      <c r="I982" t="s">
        <v>5008</v>
      </c>
      <c r="J982" s="4" t="s">
        <v>5009</v>
      </c>
      <c r="K982" s="4" t="s">
        <v>5017</v>
      </c>
      <c r="L982" s="4">
        <v>38</v>
      </c>
      <c r="M982" s="4" t="s">
        <v>5035</v>
      </c>
      <c r="N982" t="s">
        <v>3655</v>
      </c>
      <c r="O982" t="s">
        <v>3656</v>
      </c>
      <c r="P982" t="s">
        <v>23</v>
      </c>
      <c r="Q982" t="s">
        <v>24</v>
      </c>
      <c r="R982" t="s">
        <v>25</v>
      </c>
      <c r="S982" t="s">
        <v>26</v>
      </c>
      <c r="T982" s="6">
        <v>46307</v>
      </c>
      <c r="U982">
        <v>888</v>
      </c>
      <c r="V982">
        <v>888</v>
      </c>
      <c r="W982">
        <v>864</v>
      </c>
      <c r="X982">
        <v>864</v>
      </c>
      <c r="Y982">
        <f t="shared" si="155"/>
        <v>0</v>
      </c>
      <c r="Z982">
        <f t="shared" si="156"/>
        <v>24</v>
      </c>
      <c r="AA982">
        <f>Z982</f>
        <v>24</v>
      </c>
      <c r="AC982" s="1">
        <v>0</v>
      </c>
      <c r="AF982">
        <f>X982</f>
        <v>864</v>
      </c>
      <c r="AG982" s="7">
        <v>24</v>
      </c>
      <c r="AH982">
        <f t="shared" si="157"/>
        <v>864</v>
      </c>
      <c r="AI982">
        <f t="shared" si="154"/>
        <v>24</v>
      </c>
      <c r="AK982">
        <f t="shared" si="158"/>
        <v>36</v>
      </c>
      <c r="AL982">
        <v>10.01</v>
      </c>
      <c r="AM982" t="s">
        <v>27</v>
      </c>
      <c r="AN982">
        <v>10.01</v>
      </c>
      <c r="AO982" t="b">
        <f t="shared" si="159"/>
        <v>1</v>
      </c>
      <c r="AR982" t="s">
        <v>5061</v>
      </c>
      <c r="AS982" s="21">
        <v>46276</v>
      </c>
      <c r="AT982" t="s">
        <v>5062</v>
      </c>
      <c r="AU982" t="s">
        <v>5080</v>
      </c>
      <c r="AV982" t="s">
        <v>5062</v>
      </c>
      <c r="AW982" t="s">
        <v>5086</v>
      </c>
    </row>
    <row r="983" spans="1:49" x14ac:dyDescent="0.35">
      <c r="A983" t="s">
        <v>2796</v>
      </c>
      <c r="B983" t="s">
        <v>872</v>
      </c>
      <c r="C983" t="s">
        <v>4818</v>
      </c>
      <c r="D983" t="s">
        <v>18</v>
      </c>
      <c r="E983" t="s">
        <v>3657</v>
      </c>
      <c r="F983" t="s">
        <v>3658</v>
      </c>
      <c r="G983" t="s">
        <v>21</v>
      </c>
      <c r="H983" t="s">
        <v>4888</v>
      </c>
      <c r="I983" t="s">
        <v>5010</v>
      </c>
      <c r="J983" s="4" t="s">
        <v>5011</v>
      </c>
      <c r="K983" s="4" t="s">
        <v>4904</v>
      </c>
      <c r="L983" s="4" t="s">
        <v>4985</v>
      </c>
      <c r="M983" s="4" t="s">
        <v>5035</v>
      </c>
      <c r="N983" t="s">
        <v>3659</v>
      </c>
      <c r="O983" t="s">
        <v>3660</v>
      </c>
      <c r="P983" t="s">
        <v>23</v>
      </c>
      <c r="Q983" t="s">
        <v>24</v>
      </c>
      <c r="R983" t="s">
        <v>25</v>
      </c>
      <c r="S983" t="s">
        <v>26</v>
      </c>
      <c r="T983" s="6">
        <v>46307</v>
      </c>
      <c r="U983">
        <v>192</v>
      </c>
      <c r="V983">
        <v>192</v>
      </c>
      <c r="W983">
        <v>216</v>
      </c>
      <c r="X983">
        <v>216</v>
      </c>
      <c r="Y983">
        <f t="shared" si="155"/>
        <v>0</v>
      </c>
      <c r="Z983">
        <f t="shared" si="156"/>
        <v>-24</v>
      </c>
      <c r="AC983" s="1">
        <v>0</v>
      </c>
      <c r="AF983">
        <f>V983</f>
        <v>192</v>
      </c>
      <c r="AG983" s="7">
        <v>24</v>
      </c>
      <c r="AH983">
        <f t="shared" si="157"/>
        <v>192</v>
      </c>
      <c r="AI983">
        <f t="shared" si="154"/>
        <v>0</v>
      </c>
      <c r="AK983">
        <f t="shared" si="158"/>
        <v>8</v>
      </c>
      <c r="AL983">
        <v>5.03</v>
      </c>
      <c r="AM983" t="s">
        <v>27</v>
      </c>
      <c r="AN983">
        <v>5.03</v>
      </c>
      <c r="AO983" t="b">
        <f t="shared" si="159"/>
        <v>1</v>
      </c>
      <c r="AR983" t="s">
        <v>5061</v>
      </c>
      <c r="AS983" s="21">
        <v>46276</v>
      </c>
      <c r="AT983" t="s">
        <v>5062</v>
      </c>
      <c r="AU983" t="s">
        <v>5081</v>
      </c>
      <c r="AV983" t="s">
        <v>5062</v>
      </c>
      <c r="AW983" t="s">
        <v>5086</v>
      </c>
    </row>
    <row r="984" spans="1:49" x14ac:dyDescent="0.35">
      <c r="A984" t="s">
        <v>2796</v>
      </c>
      <c r="B984" t="s">
        <v>872</v>
      </c>
      <c r="C984" t="s">
        <v>4818</v>
      </c>
      <c r="D984" t="s">
        <v>18</v>
      </c>
      <c r="E984" t="s">
        <v>3661</v>
      </c>
      <c r="F984" t="s">
        <v>3662</v>
      </c>
      <c r="G984" t="s">
        <v>21</v>
      </c>
      <c r="H984" t="s">
        <v>4888</v>
      </c>
      <c r="I984" t="s">
        <v>5010</v>
      </c>
      <c r="J984" s="4" t="s">
        <v>5011</v>
      </c>
      <c r="K984" s="4" t="s">
        <v>4984</v>
      </c>
      <c r="L984" s="4" t="s">
        <v>4985</v>
      </c>
      <c r="M984" s="4" t="s">
        <v>5035</v>
      </c>
      <c r="N984" t="s">
        <v>3663</v>
      </c>
      <c r="O984" t="s">
        <v>3664</v>
      </c>
      <c r="P984" t="s">
        <v>23</v>
      </c>
      <c r="Q984" t="s">
        <v>24</v>
      </c>
      <c r="R984" t="s">
        <v>25</v>
      </c>
      <c r="S984" t="s">
        <v>26</v>
      </c>
      <c r="T984" s="6">
        <v>46307</v>
      </c>
      <c r="U984">
        <v>192</v>
      </c>
      <c r="V984">
        <v>192</v>
      </c>
      <c r="W984">
        <v>192</v>
      </c>
      <c r="X984">
        <v>192</v>
      </c>
      <c r="Y984">
        <f t="shared" si="155"/>
        <v>0</v>
      </c>
      <c r="Z984">
        <f t="shared" si="156"/>
        <v>0</v>
      </c>
      <c r="AC984" s="1">
        <v>0</v>
      </c>
      <c r="AF984">
        <f>V984</f>
        <v>192</v>
      </c>
      <c r="AG984" s="7">
        <v>24</v>
      </c>
      <c r="AH984">
        <f t="shared" si="157"/>
        <v>192</v>
      </c>
      <c r="AI984">
        <f t="shared" si="154"/>
        <v>0</v>
      </c>
      <c r="AK984">
        <f t="shared" si="158"/>
        <v>8</v>
      </c>
      <c r="AL984">
        <v>4.92</v>
      </c>
      <c r="AM984" t="s">
        <v>27</v>
      </c>
      <c r="AN984">
        <v>4.92</v>
      </c>
      <c r="AO984" t="b">
        <f t="shared" si="159"/>
        <v>1</v>
      </c>
      <c r="AR984" t="s">
        <v>5061</v>
      </c>
      <c r="AS984" s="21">
        <v>46276</v>
      </c>
      <c r="AT984" t="s">
        <v>5062</v>
      </c>
      <c r="AU984" t="s">
        <v>5081</v>
      </c>
      <c r="AV984" t="s">
        <v>5062</v>
      </c>
      <c r="AW984" t="s">
        <v>5086</v>
      </c>
    </row>
    <row r="985" spans="1:49" x14ac:dyDescent="0.35">
      <c r="A985" t="s">
        <v>2796</v>
      </c>
      <c r="B985" t="s">
        <v>872</v>
      </c>
      <c r="C985" t="s">
        <v>4818</v>
      </c>
      <c r="D985" t="s">
        <v>18</v>
      </c>
      <c r="E985" t="s">
        <v>3665</v>
      </c>
      <c r="F985" t="s">
        <v>3666</v>
      </c>
      <c r="G985" t="s">
        <v>21</v>
      </c>
      <c r="H985" t="s">
        <v>4888</v>
      </c>
      <c r="I985" t="s">
        <v>5008</v>
      </c>
      <c r="J985" s="4" t="s">
        <v>5009</v>
      </c>
      <c r="K985" s="4" t="s">
        <v>5021</v>
      </c>
      <c r="L985" s="4">
        <v>28</v>
      </c>
      <c r="M985" s="4" t="s">
        <v>5035</v>
      </c>
      <c r="N985" t="s">
        <v>3667</v>
      </c>
      <c r="O985" t="s">
        <v>3668</v>
      </c>
      <c r="P985" t="s">
        <v>23</v>
      </c>
      <c r="Q985" t="s">
        <v>24</v>
      </c>
      <c r="R985" t="s">
        <v>25</v>
      </c>
      <c r="S985" t="s">
        <v>26</v>
      </c>
      <c r="T985" s="6">
        <v>46307</v>
      </c>
      <c r="U985">
        <v>216</v>
      </c>
      <c r="V985">
        <v>216</v>
      </c>
      <c r="W985">
        <v>192</v>
      </c>
      <c r="X985">
        <v>192</v>
      </c>
      <c r="Y985">
        <f t="shared" si="155"/>
        <v>0</v>
      </c>
      <c r="Z985">
        <f t="shared" si="156"/>
        <v>24</v>
      </c>
      <c r="AA985">
        <f>Z985</f>
        <v>24</v>
      </c>
      <c r="AC985" s="1">
        <v>0</v>
      </c>
      <c r="AF985">
        <f>X985</f>
        <v>192</v>
      </c>
      <c r="AG985" s="7">
        <v>24</v>
      </c>
      <c r="AH985">
        <f t="shared" si="157"/>
        <v>192</v>
      </c>
      <c r="AI985">
        <f t="shared" si="154"/>
        <v>24</v>
      </c>
      <c r="AK985">
        <f t="shared" si="158"/>
        <v>8</v>
      </c>
      <c r="AL985">
        <v>10.11</v>
      </c>
      <c r="AM985" t="s">
        <v>27</v>
      </c>
      <c r="AN985">
        <v>10.11</v>
      </c>
      <c r="AO985" t="b">
        <f t="shared" si="159"/>
        <v>1</v>
      </c>
      <c r="AR985" t="s">
        <v>5061</v>
      </c>
      <c r="AS985" s="21">
        <v>46276</v>
      </c>
      <c r="AT985" t="s">
        <v>5062</v>
      </c>
      <c r="AU985" t="s">
        <v>5080</v>
      </c>
      <c r="AV985" t="s">
        <v>5062</v>
      </c>
      <c r="AW985" t="s">
        <v>5086</v>
      </c>
    </row>
    <row r="986" spans="1:49" x14ac:dyDescent="0.35">
      <c r="A986" t="s">
        <v>2796</v>
      </c>
      <c r="B986" t="s">
        <v>872</v>
      </c>
      <c r="C986" t="s">
        <v>4818</v>
      </c>
      <c r="D986" t="s">
        <v>18</v>
      </c>
      <c r="E986" t="s">
        <v>3669</v>
      </c>
      <c r="F986" t="s">
        <v>3670</v>
      </c>
      <c r="G986" t="s">
        <v>21</v>
      </c>
      <c r="H986" t="s">
        <v>4888</v>
      </c>
      <c r="I986" t="s">
        <v>5003</v>
      </c>
      <c r="J986" s="4" t="s">
        <v>5004</v>
      </c>
      <c r="K986" s="4" t="s">
        <v>4837</v>
      </c>
      <c r="L986" s="4" t="s">
        <v>4853</v>
      </c>
      <c r="M986" s="4" t="s">
        <v>5035</v>
      </c>
      <c r="N986" t="s">
        <v>3671</v>
      </c>
      <c r="O986" t="s">
        <v>3672</v>
      </c>
      <c r="P986" t="s">
        <v>23</v>
      </c>
      <c r="Q986" t="s">
        <v>24</v>
      </c>
      <c r="R986" t="s">
        <v>25</v>
      </c>
      <c r="S986" t="s">
        <v>26</v>
      </c>
      <c r="T986" s="6">
        <v>46307</v>
      </c>
      <c r="U986">
        <v>60</v>
      </c>
      <c r="V986">
        <v>60</v>
      </c>
      <c r="W986">
        <v>72</v>
      </c>
      <c r="X986">
        <v>72</v>
      </c>
      <c r="Y986">
        <f t="shared" si="155"/>
        <v>0</v>
      </c>
      <c r="Z986">
        <f t="shared" si="156"/>
        <v>-12</v>
      </c>
      <c r="AC986" s="1">
        <v>0</v>
      </c>
      <c r="AF986">
        <f>V986</f>
        <v>60</v>
      </c>
      <c r="AG986" s="7">
        <v>12</v>
      </c>
      <c r="AH986">
        <f t="shared" si="157"/>
        <v>60</v>
      </c>
      <c r="AI986">
        <f t="shared" si="154"/>
        <v>0</v>
      </c>
      <c r="AK986">
        <f t="shared" si="158"/>
        <v>5</v>
      </c>
      <c r="AL986">
        <v>12.87</v>
      </c>
      <c r="AM986" t="s">
        <v>27</v>
      </c>
      <c r="AN986">
        <v>12.87</v>
      </c>
      <c r="AO986" t="b">
        <f t="shared" si="159"/>
        <v>1</v>
      </c>
      <c r="AR986" t="s">
        <v>5061</v>
      </c>
      <c r="AS986" s="21">
        <v>46276</v>
      </c>
      <c r="AT986" t="s">
        <v>5062</v>
      </c>
      <c r="AU986" t="s">
        <v>5078</v>
      </c>
      <c r="AV986" t="s">
        <v>5062</v>
      </c>
      <c r="AW986" t="s">
        <v>5086</v>
      </c>
    </row>
    <row r="987" spans="1:49" x14ac:dyDescent="0.35">
      <c r="A987" t="s">
        <v>2796</v>
      </c>
      <c r="B987" t="s">
        <v>872</v>
      </c>
      <c r="C987" t="s">
        <v>4818</v>
      </c>
      <c r="D987" t="s">
        <v>18</v>
      </c>
      <c r="E987" t="s">
        <v>3673</v>
      </c>
      <c r="F987" t="s">
        <v>3674</v>
      </c>
      <c r="G987" t="s">
        <v>21</v>
      </c>
      <c r="H987" t="s">
        <v>4888</v>
      </c>
      <c r="I987" t="s">
        <v>5018</v>
      </c>
      <c r="J987" s="4" t="s">
        <v>5019</v>
      </c>
      <c r="K987" s="4" t="s">
        <v>5020</v>
      </c>
      <c r="L987" s="4">
        <v>6</v>
      </c>
      <c r="M987" s="4" t="s">
        <v>5035</v>
      </c>
      <c r="N987" t="s">
        <v>3675</v>
      </c>
      <c r="O987" t="s">
        <v>3676</v>
      </c>
      <c r="P987" t="s">
        <v>23</v>
      </c>
      <c r="Q987" t="s">
        <v>24</v>
      </c>
      <c r="R987" t="s">
        <v>25</v>
      </c>
      <c r="S987" t="s">
        <v>26</v>
      </c>
      <c r="T987" s="6">
        <v>46307</v>
      </c>
      <c r="U987">
        <v>72</v>
      </c>
      <c r="V987">
        <v>72</v>
      </c>
      <c r="W987">
        <v>72</v>
      </c>
      <c r="X987">
        <v>72</v>
      </c>
      <c r="Y987">
        <f t="shared" si="155"/>
        <v>0</v>
      </c>
      <c r="Z987">
        <f t="shared" si="156"/>
        <v>0</v>
      </c>
      <c r="AC987" s="1">
        <v>0</v>
      </c>
      <c r="AF987">
        <f>V987</f>
        <v>72</v>
      </c>
      <c r="AG987" s="7">
        <v>24</v>
      </c>
      <c r="AH987">
        <f t="shared" si="157"/>
        <v>72</v>
      </c>
      <c r="AI987">
        <f t="shared" si="154"/>
        <v>0</v>
      </c>
      <c r="AK987">
        <f t="shared" si="158"/>
        <v>3</v>
      </c>
      <c r="AL987">
        <v>10.79</v>
      </c>
      <c r="AM987" t="s">
        <v>27</v>
      </c>
      <c r="AN987">
        <v>10.79</v>
      </c>
      <c r="AO987" t="b">
        <f t="shared" si="159"/>
        <v>1</v>
      </c>
      <c r="AR987" t="s">
        <v>5061</v>
      </c>
      <c r="AS987" s="21">
        <v>46276</v>
      </c>
      <c r="AT987" t="s">
        <v>5062</v>
      </c>
      <c r="AU987" t="s">
        <v>5082</v>
      </c>
      <c r="AV987" t="s">
        <v>5062</v>
      </c>
      <c r="AW987" t="s">
        <v>5086</v>
      </c>
    </row>
    <row r="988" spans="1:49" x14ac:dyDescent="0.35">
      <c r="A988" t="s">
        <v>2796</v>
      </c>
      <c r="B988" t="s">
        <v>872</v>
      </c>
      <c r="C988" t="s">
        <v>4818</v>
      </c>
      <c r="D988" t="s">
        <v>18</v>
      </c>
      <c r="E988" t="s">
        <v>3677</v>
      </c>
      <c r="F988" t="s">
        <v>3678</v>
      </c>
      <c r="G988" t="s">
        <v>21</v>
      </c>
      <c r="H988" t="s">
        <v>4888</v>
      </c>
      <c r="I988" t="s">
        <v>5003</v>
      </c>
      <c r="J988" s="4" t="s">
        <v>5004</v>
      </c>
      <c r="K988" s="4" t="s">
        <v>5015</v>
      </c>
      <c r="L988" s="4" t="s">
        <v>4901</v>
      </c>
      <c r="M988" s="4" t="s">
        <v>5035</v>
      </c>
      <c r="N988" t="s">
        <v>3679</v>
      </c>
      <c r="O988" t="s">
        <v>3680</v>
      </c>
      <c r="P988" t="s">
        <v>23</v>
      </c>
      <c r="Q988" t="s">
        <v>24</v>
      </c>
      <c r="R988" t="s">
        <v>25</v>
      </c>
      <c r="S988" t="s">
        <v>26</v>
      </c>
      <c r="T988" s="6">
        <v>46307</v>
      </c>
      <c r="U988">
        <v>48</v>
      </c>
      <c r="V988">
        <v>48</v>
      </c>
      <c r="W988">
        <v>48</v>
      </c>
      <c r="X988">
        <v>48</v>
      </c>
      <c r="Y988">
        <f t="shared" si="155"/>
        <v>0</v>
      </c>
      <c r="Z988">
        <f t="shared" si="156"/>
        <v>0</v>
      </c>
      <c r="AC988" s="1">
        <v>0</v>
      </c>
      <c r="AF988">
        <f>V988</f>
        <v>48</v>
      </c>
      <c r="AG988" s="7">
        <v>12</v>
      </c>
      <c r="AH988">
        <f t="shared" si="157"/>
        <v>48</v>
      </c>
      <c r="AI988">
        <f t="shared" si="154"/>
        <v>0</v>
      </c>
      <c r="AK988">
        <f t="shared" si="158"/>
        <v>4</v>
      </c>
      <c r="AL988">
        <v>13.01</v>
      </c>
      <c r="AM988" t="s">
        <v>27</v>
      </c>
      <c r="AN988">
        <v>13.01</v>
      </c>
      <c r="AO988" t="b">
        <f t="shared" si="159"/>
        <v>1</v>
      </c>
      <c r="AR988" t="s">
        <v>5061</v>
      </c>
      <c r="AS988" s="21">
        <v>46276</v>
      </c>
      <c r="AT988" t="s">
        <v>5062</v>
      </c>
      <c r="AU988" t="s">
        <v>5078</v>
      </c>
      <c r="AV988" t="s">
        <v>5062</v>
      </c>
      <c r="AW988" t="s">
        <v>5086</v>
      </c>
    </row>
    <row r="989" spans="1:49" x14ac:dyDescent="0.35">
      <c r="A989" t="s">
        <v>2796</v>
      </c>
      <c r="B989" t="s">
        <v>872</v>
      </c>
      <c r="C989" t="s">
        <v>4818</v>
      </c>
      <c r="D989" t="s">
        <v>18</v>
      </c>
      <c r="E989" t="s">
        <v>3681</v>
      </c>
      <c r="F989" t="s">
        <v>3682</v>
      </c>
      <c r="G989" t="s">
        <v>21</v>
      </c>
      <c r="H989" t="s">
        <v>4888</v>
      </c>
      <c r="I989" t="s">
        <v>5003</v>
      </c>
      <c r="J989" s="4" t="s">
        <v>5004</v>
      </c>
      <c r="K989" s="4" t="s">
        <v>5015</v>
      </c>
      <c r="L989" s="4" t="s">
        <v>4871</v>
      </c>
      <c r="M989" s="4" t="s">
        <v>5035</v>
      </c>
      <c r="N989" t="s">
        <v>3683</v>
      </c>
      <c r="O989" t="s">
        <v>3684</v>
      </c>
      <c r="P989" t="s">
        <v>23</v>
      </c>
      <c r="Q989" t="s">
        <v>24</v>
      </c>
      <c r="R989" t="s">
        <v>25</v>
      </c>
      <c r="S989" t="s">
        <v>26</v>
      </c>
      <c r="T989" s="6">
        <v>46307</v>
      </c>
      <c r="U989">
        <v>48</v>
      </c>
      <c r="V989">
        <v>48</v>
      </c>
      <c r="W989">
        <v>48</v>
      </c>
      <c r="X989">
        <v>48</v>
      </c>
      <c r="Y989">
        <f t="shared" si="155"/>
        <v>0</v>
      </c>
      <c r="Z989">
        <f t="shared" si="156"/>
        <v>0</v>
      </c>
      <c r="AC989" s="1">
        <v>0</v>
      </c>
      <c r="AF989">
        <f>V989</f>
        <v>48</v>
      </c>
      <c r="AG989" s="7">
        <v>12</v>
      </c>
      <c r="AH989">
        <f t="shared" si="157"/>
        <v>48</v>
      </c>
      <c r="AI989">
        <f t="shared" si="154"/>
        <v>0</v>
      </c>
      <c r="AK989">
        <f t="shared" si="158"/>
        <v>4</v>
      </c>
      <c r="AL989">
        <v>13.01</v>
      </c>
      <c r="AM989" t="s">
        <v>27</v>
      </c>
      <c r="AN989">
        <v>13.01</v>
      </c>
      <c r="AO989" t="b">
        <f t="shared" si="159"/>
        <v>1</v>
      </c>
      <c r="AR989" t="s">
        <v>5061</v>
      </c>
      <c r="AS989" s="21">
        <v>46276</v>
      </c>
      <c r="AT989" t="s">
        <v>5062</v>
      </c>
      <c r="AU989" t="s">
        <v>5078</v>
      </c>
      <c r="AV989" t="s">
        <v>5062</v>
      </c>
      <c r="AW989" t="s">
        <v>5086</v>
      </c>
    </row>
    <row r="990" spans="1:49" x14ac:dyDescent="0.35">
      <c r="A990" t="s">
        <v>2796</v>
      </c>
      <c r="B990" t="s">
        <v>872</v>
      </c>
      <c r="C990" t="s">
        <v>4818</v>
      </c>
      <c r="D990" t="s">
        <v>18</v>
      </c>
      <c r="E990" t="s">
        <v>3685</v>
      </c>
      <c r="F990" t="s">
        <v>3686</v>
      </c>
      <c r="G990" t="s">
        <v>21</v>
      </c>
      <c r="H990" t="s">
        <v>4888</v>
      </c>
      <c r="I990" t="s">
        <v>5022</v>
      </c>
      <c r="J990" s="4" t="s">
        <v>5023</v>
      </c>
      <c r="K990" s="4" t="s">
        <v>5024</v>
      </c>
      <c r="L990" s="4">
        <v>14</v>
      </c>
      <c r="M990" s="4" t="s">
        <v>5035</v>
      </c>
      <c r="N990" t="s">
        <v>3687</v>
      </c>
      <c r="O990" t="s">
        <v>3688</v>
      </c>
      <c r="P990" t="s">
        <v>23</v>
      </c>
      <c r="Q990" t="s">
        <v>24</v>
      </c>
      <c r="R990" t="s">
        <v>25</v>
      </c>
      <c r="S990" t="s">
        <v>26</v>
      </c>
      <c r="T990" s="6">
        <v>46307</v>
      </c>
      <c r="U990">
        <v>360</v>
      </c>
      <c r="V990">
        <v>360</v>
      </c>
      <c r="W990">
        <v>384</v>
      </c>
      <c r="X990">
        <v>384</v>
      </c>
      <c r="Y990">
        <f t="shared" si="155"/>
        <v>0</v>
      </c>
      <c r="Z990">
        <f t="shared" si="156"/>
        <v>-24</v>
      </c>
      <c r="AC990" s="1">
        <v>0</v>
      </c>
      <c r="AF990">
        <f>V990</f>
        <v>360</v>
      </c>
      <c r="AG990" s="7">
        <v>24</v>
      </c>
      <c r="AH990">
        <f t="shared" si="157"/>
        <v>360</v>
      </c>
      <c r="AI990">
        <f t="shared" si="154"/>
        <v>0</v>
      </c>
      <c r="AK990">
        <f t="shared" si="158"/>
        <v>15</v>
      </c>
      <c r="AL990">
        <v>6.99</v>
      </c>
      <c r="AM990" t="s">
        <v>27</v>
      </c>
      <c r="AN990">
        <v>8.68</v>
      </c>
      <c r="AO990" t="b">
        <f t="shared" si="159"/>
        <v>0</v>
      </c>
      <c r="AR990" t="s">
        <v>5061</v>
      </c>
      <c r="AS990" s="21">
        <v>46276</v>
      </c>
      <c r="AT990" t="s">
        <v>5062</v>
      </c>
      <c r="AU990" t="s">
        <v>5083</v>
      </c>
      <c r="AV990" t="s">
        <v>5062</v>
      </c>
      <c r="AW990" t="s">
        <v>5086</v>
      </c>
    </row>
    <row r="991" spans="1:49" x14ac:dyDescent="0.35">
      <c r="A991" t="s">
        <v>2796</v>
      </c>
      <c r="B991" t="s">
        <v>872</v>
      </c>
      <c r="C991" t="s">
        <v>4818</v>
      </c>
      <c r="D991" t="s">
        <v>18</v>
      </c>
      <c r="E991" t="s">
        <v>3689</v>
      </c>
      <c r="F991" t="s">
        <v>3690</v>
      </c>
      <c r="G991" t="s">
        <v>21</v>
      </c>
      <c r="H991" t="s">
        <v>4888</v>
      </c>
      <c r="I991" t="s">
        <v>5003</v>
      </c>
      <c r="J991" s="4" t="s">
        <v>5004</v>
      </c>
      <c r="K991" s="4" t="s">
        <v>5015</v>
      </c>
      <c r="L991" s="4" t="s">
        <v>4885</v>
      </c>
      <c r="M991" s="4" t="s">
        <v>5035</v>
      </c>
      <c r="N991" t="s">
        <v>3691</v>
      </c>
      <c r="O991" t="s">
        <v>3692</v>
      </c>
      <c r="P991" t="s">
        <v>23</v>
      </c>
      <c r="Q991" t="s">
        <v>24</v>
      </c>
      <c r="R991" t="s">
        <v>25</v>
      </c>
      <c r="S991" t="s">
        <v>26</v>
      </c>
      <c r="T991" s="6">
        <v>46307</v>
      </c>
      <c r="U991">
        <v>120</v>
      </c>
      <c r="V991">
        <v>120</v>
      </c>
      <c r="W991">
        <v>108</v>
      </c>
      <c r="X991">
        <v>108</v>
      </c>
      <c r="Y991">
        <f t="shared" si="155"/>
        <v>0</v>
      </c>
      <c r="Z991">
        <f t="shared" si="156"/>
        <v>12</v>
      </c>
      <c r="AA991">
        <f>Z991</f>
        <v>12</v>
      </c>
      <c r="AC991" s="1">
        <v>0</v>
      </c>
      <c r="AF991">
        <f>X991</f>
        <v>108</v>
      </c>
      <c r="AG991" s="7">
        <v>12</v>
      </c>
      <c r="AH991">
        <f t="shared" si="157"/>
        <v>108</v>
      </c>
      <c r="AI991">
        <f t="shared" si="154"/>
        <v>12</v>
      </c>
      <c r="AK991">
        <f t="shared" si="158"/>
        <v>9</v>
      </c>
      <c r="AL991">
        <v>13.01</v>
      </c>
      <c r="AM991" t="s">
        <v>27</v>
      </c>
      <c r="AN991">
        <v>13.01</v>
      </c>
      <c r="AO991" t="b">
        <f t="shared" si="159"/>
        <v>1</v>
      </c>
      <c r="AR991" t="s">
        <v>5061</v>
      </c>
      <c r="AS991" s="21">
        <v>46276</v>
      </c>
      <c r="AT991" t="s">
        <v>5062</v>
      </c>
      <c r="AU991" t="s">
        <v>5078</v>
      </c>
      <c r="AV991" t="s">
        <v>5062</v>
      </c>
      <c r="AW991" t="s">
        <v>5086</v>
      </c>
    </row>
    <row r="992" spans="1:49" x14ac:dyDescent="0.35">
      <c r="A992" t="s">
        <v>2796</v>
      </c>
      <c r="B992" t="s">
        <v>872</v>
      </c>
      <c r="C992" t="s">
        <v>4818</v>
      </c>
      <c r="D992" t="s">
        <v>18</v>
      </c>
      <c r="E992" t="s">
        <v>3693</v>
      </c>
      <c r="F992" t="s">
        <v>3694</v>
      </c>
      <c r="G992" t="s">
        <v>21</v>
      </c>
      <c r="H992" t="s">
        <v>4888</v>
      </c>
      <c r="I992" t="s">
        <v>5003</v>
      </c>
      <c r="J992" s="4" t="s">
        <v>5004</v>
      </c>
      <c r="K992" s="4" t="s">
        <v>4837</v>
      </c>
      <c r="L992" s="4" t="s">
        <v>4880</v>
      </c>
      <c r="M992" s="4" t="s">
        <v>5035</v>
      </c>
      <c r="N992" t="s">
        <v>3695</v>
      </c>
      <c r="O992" t="s">
        <v>3696</v>
      </c>
      <c r="P992" t="s">
        <v>23</v>
      </c>
      <c r="Q992" t="s">
        <v>24</v>
      </c>
      <c r="R992" t="s">
        <v>25</v>
      </c>
      <c r="S992" t="s">
        <v>26</v>
      </c>
      <c r="T992" s="6">
        <v>46307</v>
      </c>
      <c r="U992">
        <v>24</v>
      </c>
      <c r="V992">
        <v>24</v>
      </c>
      <c r="W992">
        <v>24</v>
      </c>
      <c r="X992">
        <v>24</v>
      </c>
      <c r="Y992">
        <f t="shared" si="155"/>
        <v>0</v>
      </c>
      <c r="Z992">
        <f t="shared" si="156"/>
        <v>0</v>
      </c>
      <c r="AC992" s="1">
        <v>0</v>
      </c>
      <c r="AF992">
        <f t="shared" ref="AF992:AF999" si="161">V992</f>
        <v>24</v>
      </c>
      <c r="AG992" s="7">
        <v>12</v>
      </c>
      <c r="AH992">
        <f t="shared" si="157"/>
        <v>24</v>
      </c>
      <c r="AI992">
        <f t="shared" si="154"/>
        <v>0</v>
      </c>
      <c r="AK992">
        <f t="shared" si="158"/>
        <v>2</v>
      </c>
      <c r="AL992">
        <v>12.87</v>
      </c>
      <c r="AM992" t="s">
        <v>27</v>
      </c>
      <c r="AN992">
        <v>12.87</v>
      </c>
      <c r="AO992" t="b">
        <f t="shared" si="159"/>
        <v>1</v>
      </c>
      <c r="AR992" t="s">
        <v>5061</v>
      </c>
      <c r="AS992" s="21">
        <v>46276</v>
      </c>
      <c r="AT992" t="s">
        <v>5062</v>
      </c>
      <c r="AU992" t="s">
        <v>5078</v>
      </c>
      <c r="AV992" t="s">
        <v>5062</v>
      </c>
      <c r="AW992" t="s">
        <v>5086</v>
      </c>
    </row>
    <row r="993" spans="1:49" x14ac:dyDescent="0.35">
      <c r="A993" t="s">
        <v>2796</v>
      </c>
      <c r="B993" t="s">
        <v>872</v>
      </c>
      <c r="C993" t="s">
        <v>4818</v>
      </c>
      <c r="D993" t="s">
        <v>18</v>
      </c>
      <c r="E993" t="s">
        <v>3697</v>
      </c>
      <c r="F993" t="s">
        <v>3698</v>
      </c>
      <c r="G993" t="s">
        <v>21</v>
      </c>
      <c r="H993" t="s">
        <v>4888</v>
      </c>
      <c r="I993" t="s">
        <v>5003</v>
      </c>
      <c r="J993" s="4" t="s">
        <v>5004</v>
      </c>
      <c r="K993" s="4" t="s">
        <v>5015</v>
      </c>
      <c r="L993" s="4" t="s">
        <v>4910</v>
      </c>
      <c r="M993" s="4" t="s">
        <v>5035</v>
      </c>
      <c r="N993" t="s">
        <v>3699</v>
      </c>
      <c r="O993" t="s">
        <v>3700</v>
      </c>
      <c r="P993" t="s">
        <v>23</v>
      </c>
      <c r="Q993" t="s">
        <v>24</v>
      </c>
      <c r="R993" t="s">
        <v>25</v>
      </c>
      <c r="S993" t="s">
        <v>26</v>
      </c>
      <c r="T993" s="6">
        <v>46307</v>
      </c>
      <c r="U993">
        <v>60</v>
      </c>
      <c r="V993">
        <v>60</v>
      </c>
      <c r="W993">
        <v>60</v>
      </c>
      <c r="X993">
        <v>60</v>
      </c>
      <c r="Y993">
        <f t="shared" si="155"/>
        <v>0</v>
      </c>
      <c r="Z993">
        <f t="shared" si="156"/>
        <v>0</v>
      </c>
      <c r="AC993" s="1">
        <v>0</v>
      </c>
      <c r="AF993">
        <f t="shared" si="161"/>
        <v>60</v>
      </c>
      <c r="AG993" s="7">
        <v>12</v>
      </c>
      <c r="AH993">
        <f t="shared" si="157"/>
        <v>60</v>
      </c>
      <c r="AI993">
        <f t="shared" si="154"/>
        <v>0</v>
      </c>
      <c r="AK993">
        <f t="shared" si="158"/>
        <v>5</v>
      </c>
      <c r="AL993">
        <v>13.01</v>
      </c>
      <c r="AM993" t="s">
        <v>27</v>
      </c>
      <c r="AN993">
        <v>13.01</v>
      </c>
      <c r="AO993" t="b">
        <f t="shared" si="159"/>
        <v>1</v>
      </c>
      <c r="AR993" t="s">
        <v>5061</v>
      </c>
      <c r="AS993" s="21">
        <v>46276</v>
      </c>
      <c r="AT993" t="s">
        <v>5062</v>
      </c>
      <c r="AU993" t="s">
        <v>5078</v>
      </c>
      <c r="AV993" t="s">
        <v>5062</v>
      </c>
      <c r="AW993" t="s">
        <v>5086</v>
      </c>
    </row>
    <row r="994" spans="1:49" x14ac:dyDescent="0.35">
      <c r="A994" t="s">
        <v>2796</v>
      </c>
      <c r="B994" t="s">
        <v>872</v>
      </c>
      <c r="C994" t="s">
        <v>4818</v>
      </c>
      <c r="D994" t="s">
        <v>18</v>
      </c>
      <c r="E994" t="s">
        <v>3701</v>
      </c>
      <c r="F994" t="s">
        <v>3702</v>
      </c>
      <c r="G994" t="s">
        <v>21</v>
      </c>
      <c r="H994" t="s">
        <v>4888</v>
      </c>
      <c r="I994" t="s">
        <v>5005</v>
      </c>
      <c r="J994" s="4" t="s">
        <v>5006</v>
      </c>
      <c r="K994" s="4" t="s">
        <v>4837</v>
      </c>
      <c r="L994" s="4">
        <v>34</v>
      </c>
      <c r="M994" s="4" t="s">
        <v>5035</v>
      </c>
      <c r="N994" t="s">
        <v>3703</v>
      </c>
      <c r="O994" t="s">
        <v>3704</v>
      </c>
      <c r="P994" t="s">
        <v>23</v>
      </c>
      <c r="Q994" t="s">
        <v>24</v>
      </c>
      <c r="R994" t="s">
        <v>25</v>
      </c>
      <c r="S994" t="s">
        <v>26</v>
      </c>
      <c r="T994" s="6">
        <v>46307</v>
      </c>
      <c r="U994">
        <v>576</v>
      </c>
      <c r="V994">
        <v>576</v>
      </c>
      <c r="W994">
        <v>600</v>
      </c>
      <c r="X994">
        <v>600</v>
      </c>
      <c r="Y994">
        <f t="shared" si="155"/>
        <v>0</v>
      </c>
      <c r="Z994">
        <f t="shared" si="156"/>
        <v>-24</v>
      </c>
      <c r="AC994" s="1">
        <v>0</v>
      </c>
      <c r="AF994">
        <f t="shared" si="161"/>
        <v>576</v>
      </c>
      <c r="AG994" s="7">
        <v>24</v>
      </c>
      <c r="AH994">
        <f t="shared" si="157"/>
        <v>576</v>
      </c>
      <c r="AI994">
        <f t="shared" si="154"/>
        <v>0</v>
      </c>
      <c r="AK994">
        <f t="shared" si="158"/>
        <v>24</v>
      </c>
      <c r="AL994">
        <v>9.58</v>
      </c>
      <c r="AM994" t="s">
        <v>27</v>
      </c>
      <c r="AN994">
        <v>9.58</v>
      </c>
      <c r="AO994" t="b">
        <f t="shared" si="159"/>
        <v>1</v>
      </c>
      <c r="AR994" t="s">
        <v>5061</v>
      </c>
      <c r="AS994" s="21">
        <v>46276</v>
      </c>
      <c r="AT994" t="s">
        <v>5062</v>
      </c>
      <c r="AU994" t="s">
        <v>5079</v>
      </c>
      <c r="AV994" t="s">
        <v>5062</v>
      </c>
      <c r="AW994" t="s">
        <v>5086</v>
      </c>
    </row>
    <row r="995" spans="1:49" x14ac:dyDescent="0.35">
      <c r="A995" t="s">
        <v>2796</v>
      </c>
      <c r="B995" t="s">
        <v>872</v>
      </c>
      <c r="C995" t="s">
        <v>4818</v>
      </c>
      <c r="D995" t="s">
        <v>18</v>
      </c>
      <c r="E995" t="s">
        <v>3705</v>
      </c>
      <c r="F995" t="s">
        <v>3706</v>
      </c>
      <c r="G995" t="s">
        <v>21</v>
      </c>
      <c r="H995" t="s">
        <v>4888</v>
      </c>
      <c r="I995" t="s">
        <v>5010</v>
      </c>
      <c r="J995" s="4" t="s">
        <v>5011</v>
      </c>
      <c r="K995" s="4" t="s">
        <v>4984</v>
      </c>
      <c r="L995" s="4" t="s">
        <v>4995</v>
      </c>
      <c r="M995" s="4" t="s">
        <v>5035</v>
      </c>
      <c r="N995" t="s">
        <v>3707</v>
      </c>
      <c r="O995" t="s">
        <v>3708</v>
      </c>
      <c r="P995" t="s">
        <v>23</v>
      </c>
      <c r="Q995" t="s">
        <v>24</v>
      </c>
      <c r="R995" t="s">
        <v>25</v>
      </c>
      <c r="S995" t="s">
        <v>26</v>
      </c>
      <c r="T995" s="6">
        <v>46307</v>
      </c>
      <c r="U995">
        <v>144</v>
      </c>
      <c r="V995">
        <v>144</v>
      </c>
      <c r="W995">
        <v>144</v>
      </c>
      <c r="X995">
        <v>144</v>
      </c>
      <c r="Y995">
        <f t="shared" si="155"/>
        <v>0</v>
      </c>
      <c r="Z995">
        <f t="shared" si="156"/>
        <v>0</v>
      </c>
      <c r="AC995" s="1">
        <v>0</v>
      </c>
      <c r="AF995">
        <f t="shared" si="161"/>
        <v>144</v>
      </c>
      <c r="AG995" s="7">
        <v>24</v>
      </c>
      <c r="AH995">
        <f t="shared" si="157"/>
        <v>144</v>
      </c>
      <c r="AI995">
        <f t="shared" si="154"/>
        <v>0</v>
      </c>
      <c r="AK995">
        <f t="shared" si="158"/>
        <v>6</v>
      </c>
      <c r="AL995">
        <v>4.92</v>
      </c>
      <c r="AM995" t="s">
        <v>27</v>
      </c>
      <c r="AN995">
        <v>4.92</v>
      </c>
      <c r="AO995" t="b">
        <f t="shared" si="159"/>
        <v>1</v>
      </c>
      <c r="AR995" t="s">
        <v>5061</v>
      </c>
      <c r="AS995" s="21">
        <v>46276</v>
      </c>
      <c r="AT995" t="s">
        <v>5062</v>
      </c>
      <c r="AU995" t="s">
        <v>5081</v>
      </c>
      <c r="AV995" t="s">
        <v>5062</v>
      </c>
      <c r="AW995" t="s">
        <v>5086</v>
      </c>
    </row>
    <row r="996" spans="1:49" x14ac:dyDescent="0.35">
      <c r="A996" t="s">
        <v>2796</v>
      </c>
      <c r="B996" t="s">
        <v>872</v>
      </c>
      <c r="C996" t="s">
        <v>4818</v>
      </c>
      <c r="D996" t="s">
        <v>18</v>
      </c>
      <c r="E996" t="s">
        <v>3709</v>
      </c>
      <c r="F996" t="s">
        <v>3710</v>
      </c>
      <c r="G996" t="s">
        <v>21</v>
      </c>
      <c r="H996" t="s">
        <v>4888</v>
      </c>
      <c r="I996" t="s">
        <v>5005</v>
      </c>
      <c r="J996" s="4" t="s">
        <v>5006</v>
      </c>
      <c r="K996" s="4" t="s">
        <v>4837</v>
      </c>
      <c r="L996" s="4">
        <v>42</v>
      </c>
      <c r="M996" s="4" t="s">
        <v>5035</v>
      </c>
      <c r="N996" t="s">
        <v>3711</v>
      </c>
      <c r="O996" t="s">
        <v>3712</v>
      </c>
      <c r="P996" t="s">
        <v>23</v>
      </c>
      <c r="Q996" t="s">
        <v>24</v>
      </c>
      <c r="R996" t="s">
        <v>25</v>
      </c>
      <c r="S996" t="s">
        <v>26</v>
      </c>
      <c r="T996" s="6">
        <v>46307</v>
      </c>
      <c r="U996">
        <v>576</v>
      </c>
      <c r="V996">
        <v>576</v>
      </c>
      <c r="W996">
        <v>624</v>
      </c>
      <c r="X996">
        <v>624</v>
      </c>
      <c r="Y996">
        <f t="shared" si="155"/>
        <v>0</v>
      </c>
      <c r="Z996">
        <f t="shared" si="156"/>
        <v>-48</v>
      </c>
      <c r="AC996" s="1"/>
      <c r="AF996">
        <f t="shared" si="161"/>
        <v>576</v>
      </c>
      <c r="AG996" s="7">
        <v>24</v>
      </c>
      <c r="AH996">
        <f t="shared" si="157"/>
        <v>576</v>
      </c>
      <c r="AI996">
        <f t="shared" si="154"/>
        <v>0</v>
      </c>
      <c r="AK996">
        <f t="shared" si="158"/>
        <v>24</v>
      </c>
      <c r="AL996">
        <v>9.58</v>
      </c>
      <c r="AM996" t="s">
        <v>27</v>
      </c>
      <c r="AN996">
        <v>9.58</v>
      </c>
      <c r="AO996" t="b">
        <f t="shared" si="159"/>
        <v>1</v>
      </c>
      <c r="AR996" t="s">
        <v>5061</v>
      </c>
      <c r="AS996" s="21">
        <v>46276</v>
      </c>
      <c r="AT996" t="s">
        <v>5062</v>
      </c>
      <c r="AU996" t="s">
        <v>5079</v>
      </c>
      <c r="AV996" t="s">
        <v>5062</v>
      </c>
      <c r="AW996" t="s">
        <v>5086</v>
      </c>
    </row>
    <row r="997" spans="1:49" x14ac:dyDescent="0.35">
      <c r="A997" t="s">
        <v>2796</v>
      </c>
      <c r="B997" t="s">
        <v>872</v>
      </c>
      <c r="C997" t="s">
        <v>4818</v>
      </c>
      <c r="D997" t="s">
        <v>18</v>
      </c>
      <c r="E997" t="s">
        <v>3713</v>
      </c>
      <c r="F997" t="s">
        <v>3714</v>
      </c>
      <c r="G997" t="s">
        <v>21</v>
      </c>
      <c r="H997" t="s">
        <v>4888</v>
      </c>
      <c r="I997" t="s">
        <v>5003</v>
      </c>
      <c r="J997" s="4" t="s">
        <v>5004</v>
      </c>
      <c r="K997" s="4" t="s">
        <v>4904</v>
      </c>
      <c r="L997" s="4" t="s">
        <v>4864</v>
      </c>
      <c r="M997" s="4" t="s">
        <v>5035</v>
      </c>
      <c r="N997" t="s">
        <v>3715</v>
      </c>
      <c r="O997" t="s">
        <v>3716</v>
      </c>
      <c r="P997" t="s">
        <v>23</v>
      </c>
      <c r="Q997" t="s">
        <v>24</v>
      </c>
      <c r="R997" t="s">
        <v>25</v>
      </c>
      <c r="S997" t="s">
        <v>26</v>
      </c>
      <c r="T997" s="6">
        <v>46307</v>
      </c>
      <c r="U997">
        <v>60</v>
      </c>
      <c r="V997">
        <v>60</v>
      </c>
      <c r="W997">
        <v>60</v>
      </c>
      <c r="X997">
        <v>60</v>
      </c>
      <c r="Y997">
        <f t="shared" si="155"/>
        <v>0</v>
      </c>
      <c r="Z997">
        <f t="shared" si="156"/>
        <v>0</v>
      </c>
      <c r="AC997" s="1">
        <v>0</v>
      </c>
      <c r="AF997">
        <f t="shared" si="161"/>
        <v>60</v>
      </c>
      <c r="AG997" s="7">
        <v>12</v>
      </c>
      <c r="AH997">
        <f t="shared" si="157"/>
        <v>60</v>
      </c>
      <c r="AI997">
        <f t="shared" si="154"/>
        <v>0</v>
      </c>
      <c r="AK997">
        <f t="shared" si="158"/>
        <v>5</v>
      </c>
      <c r="AL997">
        <v>12.89</v>
      </c>
      <c r="AM997" t="s">
        <v>27</v>
      </c>
      <c r="AN997">
        <v>12.89</v>
      </c>
      <c r="AO997" t="b">
        <f t="shared" si="159"/>
        <v>1</v>
      </c>
      <c r="AR997" t="s">
        <v>5061</v>
      </c>
      <c r="AS997" s="21">
        <v>46276</v>
      </c>
      <c r="AT997" t="s">
        <v>5062</v>
      </c>
      <c r="AU997" t="s">
        <v>5078</v>
      </c>
      <c r="AV997" t="s">
        <v>5062</v>
      </c>
      <c r="AW997" t="s">
        <v>5086</v>
      </c>
    </row>
    <row r="998" spans="1:49" x14ac:dyDescent="0.35">
      <c r="A998" t="s">
        <v>2796</v>
      </c>
      <c r="B998" t="s">
        <v>872</v>
      </c>
      <c r="C998" t="s">
        <v>4818</v>
      </c>
      <c r="D998" t="s">
        <v>18</v>
      </c>
      <c r="E998" t="s">
        <v>3717</v>
      </c>
      <c r="F998" t="s">
        <v>3718</v>
      </c>
      <c r="G998" t="s">
        <v>21</v>
      </c>
      <c r="H998" t="s">
        <v>4888</v>
      </c>
      <c r="I998" t="s">
        <v>5003</v>
      </c>
      <c r="J998" s="4" t="s">
        <v>5004</v>
      </c>
      <c r="K998" s="4" t="s">
        <v>5016</v>
      </c>
      <c r="L998" s="4" t="s">
        <v>4901</v>
      </c>
      <c r="M998" s="4" t="s">
        <v>5035</v>
      </c>
      <c r="N998" t="s">
        <v>3719</v>
      </c>
      <c r="O998" t="s">
        <v>3720</v>
      </c>
      <c r="P998" t="s">
        <v>23</v>
      </c>
      <c r="Q998" t="s">
        <v>24</v>
      </c>
      <c r="R998" t="s">
        <v>25</v>
      </c>
      <c r="S998" t="s">
        <v>26</v>
      </c>
      <c r="T998" s="6">
        <v>46307</v>
      </c>
      <c r="U998">
        <v>48</v>
      </c>
      <c r="V998">
        <v>48</v>
      </c>
      <c r="W998">
        <v>48</v>
      </c>
      <c r="X998">
        <v>48</v>
      </c>
      <c r="Y998">
        <f t="shared" si="155"/>
        <v>0</v>
      </c>
      <c r="Z998">
        <f t="shared" si="156"/>
        <v>0</v>
      </c>
      <c r="AC998" s="1">
        <v>0</v>
      </c>
      <c r="AF998">
        <f t="shared" si="161"/>
        <v>48</v>
      </c>
      <c r="AG998" s="7">
        <v>12</v>
      </c>
      <c r="AH998">
        <f t="shared" si="157"/>
        <v>48</v>
      </c>
      <c r="AI998">
        <f t="shared" si="154"/>
        <v>0</v>
      </c>
      <c r="AK998">
        <f t="shared" si="158"/>
        <v>4</v>
      </c>
      <c r="AL998">
        <v>13.33</v>
      </c>
      <c r="AM998" t="s">
        <v>27</v>
      </c>
      <c r="AN998">
        <v>13.33</v>
      </c>
      <c r="AO998" t="b">
        <f t="shared" si="159"/>
        <v>1</v>
      </c>
      <c r="AR998" t="s">
        <v>5061</v>
      </c>
      <c r="AS998" s="21">
        <v>46276</v>
      </c>
      <c r="AT998" t="s">
        <v>5062</v>
      </c>
      <c r="AU998" t="s">
        <v>5078</v>
      </c>
      <c r="AV998" t="s">
        <v>5062</v>
      </c>
      <c r="AW998" t="s">
        <v>5086</v>
      </c>
    </row>
    <row r="999" spans="1:49" x14ac:dyDescent="0.35">
      <c r="A999" t="s">
        <v>2796</v>
      </c>
      <c r="B999" t="s">
        <v>872</v>
      </c>
      <c r="C999" t="s">
        <v>4818</v>
      </c>
      <c r="D999" t="s">
        <v>18</v>
      </c>
      <c r="E999" t="s">
        <v>3721</v>
      </c>
      <c r="F999" t="s">
        <v>3722</v>
      </c>
      <c r="G999" t="s">
        <v>21</v>
      </c>
      <c r="H999" t="s">
        <v>4888</v>
      </c>
      <c r="I999" t="s">
        <v>5008</v>
      </c>
      <c r="J999" s="4" t="s">
        <v>5009</v>
      </c>
      <c r="K999" s="4" t="s">
        <v>4904</v>
      </c>
      <c r="L999" s="4">
        <v>34</v>
      </c>
      <c r="M999" s="4" t="s">
        <v>5035</v>
      </c>
      <c r="N999" t="s">
        <v>3723</v>
      </c>
      <c r="O999" t="s">
        <v>3724</v>
      </c>
      <c r="P999" t="s">
        <v>23</v>
      </c>
      <c r="Q999" t="s">
        <v>24</v>
      </c>
      <c r="R999" t="s">
        <v>25</v>
      </c>
      <c r="S999" t="s">
        <v>26</v>
      </c>
      <c r="T999" s="6">
        <v>46307</v>
      </c>
      <c r="U999">
        <v>864</v>
      </c>
      <c r="V999">
        <v>864</v>
      </c>
      <c r="W999">
        <v>912</v>
      </c>
      <c r="X999">
        <v>912</v>
      </c>
      <c r="Y999">
        <f t="shared" si="155"/>
        <v>0</v>
      </c>
      <c r="Z999">
        <f t="shared" si="156"/>
        <v>-48</v>
      </c>
      <c r="AC999" s="1"/>
      <c r="AF999">
        <f t="shared" si="161"/>
        <v>864</v>
      </c>
      <c r="AG999" s="7">
        <v>24</v>
      </c>
      <c r="AH999">
        <f t="shared" si="157"/>
        <v>864</v>
      </c>
      <c r="AI999">
        <f t="shared" si="154"/>
        <v>0</v>
      </c>
      <c r="AK999">
        <f t="shared" si="158"/>
        <v>36</v>
      </c>
      <c r="AL999">
        <v>10.11</v>
      </c>
      <c r="AM999" t="s">
        <v>27</v>
      </c>
      <c r="AN999">
        <v>10.11</v>
      </c>
      <c r="AO999" t="b">
        <f t="shared" si="159"/>
        <v>1</v>
      </c>
      <c r="AR999" t="s">
        <v>5061</v>
      </c>
      <c r="AS999" s="21">
        <v>46276</v>
      </c>
      <c r="AT999" t="s">
        <v>5062</v>
      </c>
      <c r="AU999" t="s">
        <v>5080</v>
      </c>
      <c r="AV999" t="s">
        <v>5062</v>
      </c>
      <c r="AW999" t="s">
        <v>5086</v>
      </c>
    </row>
    <row r="1000" spans="1:49" x14ac:dyDescent="0.35">
      <c r="A1000" t="s">
        <v>2796</v>
      </c>
      <c r="B1000" t="s">
        <v>872</v>
      </c>
      <c r="C1000" t="s">
        <v>4818</v>
      </c>
      <c r="D1000" t="s">
        <v>18</v>
      </c>
      <c r="E1000" t="s">
        <v>3725</v>
      </c>
      <c r="F1000" t="s">
        <v>3726</v>
      </c>
      <c r="G1000" t="s">
        <v>21</v>
      </c>
      <c r="H1000" t="s">
        <v>4888</v>
      </c>
      <c r="I1000" t="s">
        <v>5003</v>
      </c>
      <c r="J1000" s="4" t="s">
        <v>5004</v>
      </c>
      <c r="K1000" s="4" t="s">
        <v>5015</v>
      </c>
      <c r="L1000" s="4" t="s">
        <v>4879</v>
      </c>
      <c r="M1000" s="4" t="s">
        <v>5035</v>
      </c>
      <c r="N1000" t="s">
        <v>3727</v>
      </c>
      <c r="O1000" t="s">
        <v>3728</v>
      </c>
      <c r="P1000" t="s">
        <v>23</v>
      </c>
      <c r="Q1000" t="s">
        <v>24</v>
      </c>
      <c r="R1000" t="s">
        <v>25</v>
      </c>
      <c r="S1000" t="s">
        <v>26</v>
      </c>
      <c r="T1000" s="6">
        <v>46307</v>
      </c>
      <c r="U1000">
        <v>96</v>
      </c>
      <c r="V1000">
        <v>96</v>
      </c>
      <c r="W1000">
        <v>84</v>
      </c>
      <c r="X1000">
        <v>84</v>
      </c>
      <c r="Y1000">
        <f t="shared" si="155"/>
        <v>0</v>
      </c>
      <c r="Z1000">
        <f t="shared" si="156"/>
        <v>12</v>
      </c>
      <c r="AA1000">
        <f>Z1000</f>
        <v>12</v>
      </c>
      <c r="AC1000" s="1">
        <v>0</v>
      </c>
      <c r="AF1000">
        <f>X1000</f>
        <v>84</v>
      </c>
      <c r="AG1000" s="7">
        <v>12</v>
      </c>
      <c r="AH1000">
        <f t="shared" si="157"/>
        <v>84</v>
      </c>
      <c r="AI1000">
        <f t="shared" si="154"/>
        <v>12</v>
      </c>
      <c r="AK1000">
        <f t="shared" si="158"/>
        <v>7</v>
      </c>
      <c r="AL1000">
        <v>13.01</v>
      </c>
      <c r="AM1000" t="s">
        <v>27</v>
      </c>
      <c r="AN1000">
        <v>13.01</v>
      </c>
      <c r="AO1000" t="b">
        <f t="shared" si="159"/>
        <v>1</v>
      </c>
      <c r="AR1000" t="s">
        <v>5061</v>
      </c>
      <c r="AS1000" s="21">
        <v>46276</v>
      </c>
      <c r="AT1000" t="s">
        <v>5062</v>
      </c>
      <c r="AU1000" t="s">
        <v>5078</v>
      </c>
      <c r="AV1000" t="s">
        <v>5062</v>
      </c>
      <c r="AW1000" t="s">
        <v>5086</v>
      </c>
    </row>
    <row r="1001" spans="1:49" x14ac:dyDescent="0.35">
      <c r="A1001" t="s">
        <v>2796</v>
      </c>
      <c r="B1001" t="s">
        <v>872</v>
      </c>
      <c r="C1001" t="s">
        <v>4818</v>
      </c>
      <c r="D1001" t="s">
        <v>18</v>
      </c>
      <c r="E1001" t="s">
        <v>3729</v>
      </c>
      <c r="F1001" t="s">
        <v>3730</v>
      </c>
      <c r="G1001" t="s">
        <v>21</v>
      </c>
      <c r="H1001" t="s">
        <v>4888</v>
      </c>
      <c r="I1001" t="s">
        <v>5003</v>
      </c>
      <c r="J1001" s="4" t="s">
        <v>5004</v>
      </c>
      <c r="K1001" s="4" t="s">
        <v>4837</v>
      </c>
      <c r="L1001" s="4" t="s">
        <v>4901</v>
      </c>
      <c r="M1001" s="4" t="s">
        <v>5035</v>
      </c>
      <c r="N1001" t="s">
        <v>3731</v>
      </c>
      <c r="O1001" t="s">
        <v>3732</v>
      </c>
      <c r="P1001" t="s">
        <v>23</v>
      </c>
      <c r="Q1001" t="s">
        <v>24</v>
      </c>
      <c r="R1001" t="s">
        <v>25</v>
      </c>
      <c r="S1001" t="s">
        <v>26</v>
      </c>
      <c r="T1001" s="6">
        <v>46307</v>
      </c>
      <c r="U1001">
        <v>48</v>
      </c>
      <c r="V1001">
        <v>48</v>
      </c>
      <c r="W1001">
        <v>60</v>
      </c>
      <c r="X1001">
        <v>60</v>
      </c>
      <c r="Y1001">
        <f t="shared" si="155"/>
        <v>0</v>
      </c>
      <c r="Z1001">
        <f t="shared" si="156"/>
        <v>-12</v>
      </c>
      <c r="AC1001" s="1">
        <v>0</v>
      </c>
      <c r="AF1001">
        <f t="shared" ref="AF1001:AF1008" si="162">V1001</f>
        <v>48</v>
      </c>
      <c r="AG1001" s="7">
        <v>12</v>
      </c>
      <c r="AH1001">
        <f t="shared" si="157"/>
        <v>48</v>
      </c>
      <c r="AI1001">
        <f t="shared" si="154"/>
        <v>0</v>
      </c>
      <c r="AK1001">
        <f t="shared" si="158"/>
        <v>4</v>
      </c>
      <c r="AL1001">
        <v>12.87</v>
      </c>
      <c r="AM1001" t="s">
        <v>27</v>
      </c>
      <c r="AN1001">
        <v>12.87</v>
      </c>
      <c r="AO1001" t="b">
        <f t="shared" si="159"/>
        <v>1</v>
      </c>
      <c r="AR1001" t="s">
        <v>5061</v>
      </c>
      <c r="AS1001" s="21">
        <v>46276</v>
      </c>
      <c r="AT1001" t="s">
        <v>5062</v>
      </c>
      <c r="AU1001" t="s">
        <v>5078</v>
      </c>
      <c r="AV1001" t="s">
        <v>5062</v>
      </c>
      <c r="AW1001" t="s">
        <v>5086</v>
      </c>
    </row>
    <row r="1002" spans="1:49" x14ac:dyDescent="0.35">
      <c r="A1002" t="s">
        <v>2796</v>
      </c>
      <c r="B1002" t="s">
        <v>872</v>
      </c>
      <c r="C1002" t="s">
        <v>4818</v>
      </c>
      <c r="D1002" t="s">
        <v>18</v>
      </c>
      <c r="E1002" t="s">
        <v>3733</v>
      </c>
      <c r="F1002" t="s">
        <v>3734</v>
      </c>
      <c r="G1002" t="s">
        <v>21</v>
      </c>
      <c r="H1002" t="s">
        <v>4888</v>
      </c>
      <c r="I1002" t="s">
        <v>5005</v>
      </c>
      <c r="J1002" s="4" t="s">
        <v>5006</v>
      </c>
      <c r="K1002" s="4" t="s">
        <v>5027</v>
      </c>
      <c r="L1002" s="4">
        <v>30</v>
      </c>
      <c r="M1002" s="4" t="s">
        <v>5035</v>
      </c>
      <c r="N1002" t="s">
        <v>3735</v>
      </c>
      <c r="O1002" t="s">
        <v>3736</v>
      </c>
      <c r="P1002" t="s">
        <v>23</v>
      </c>
      <c r="Q1002" t="s">
        <v>24</v>
      </c>
      <c r="R1002" t="s">
        <v>25</v>
      </c>
      <c r="S1002" t="s">
        <v>26</v>
      </c>
      <c r="T1002" s="6">
        <v>46307</v>
      </c>
      <c r="U1002">
        <v>216</v>
      </c>
      <c r="V1002">
        <v>216</v>
      </c>
      <c r="W1002">
        <v>216</v>
      </c>
      <c r="X1002">
        <v>216</v>
      </c>
      <c r="Y1002">
        <f t="shared" si="155"/>
        <v>0</v>
      </c>
      <c r="Z1002">
        <f t="shared" si="156"/>
        <v>0</v>
      </c>
      <c r="AC1002" s="1">
        <v>0</v>
      </c>
      <c r="AF1002">
        <f t="shared" si="162"/>
        <v>216</v>
      </c>
      <c r="AG1002" s="7">
        <v>24</v>
      </c>
      <c r="AH1002">
        <f t="shared" si="157"/>
        <v>216</v>
      </c>
      <c r="AI1002">
        <f t="shared" si="154"/>
        <v>0</v>
      </c>
      <c r="AK1002">
        <f t="shared" si="158"/>
        <v>9</v>
      </c>
      <c r="AL1002">
        <v>10.24</v>
      </c>
      <c r="AM1002" t="s">
        <v>27</v>
      </c>
      <c r="AN1002">
        <v>10.24</v>
      </c>
      <c r="AO1002" t="b">
        <f t="shared" si="159"/>
        <v>1</v>
      </c>
      <c r="AR1002" t="s">
        <v>5061</v>
      </c>
      <c r="AS1002" s="21">
        <v>46276</v>
      </c>
      <c r="AT1002" t="s">
        <v>5062</v>
      </c>
      <c r="AU1002" t="s">
        <v>5079</v>
      </c>
      <c r="AV1002" t="s">
        <v>5062</v>
      </c>
      <c r="AW1002" t="s">
        <v>5086</v>
      </c>
    </row>
    <row r="1003" spans="1:49" x14ac:dyDescent="0.35">
      <c r="A1003" t="s">
        <v>2796</v>
      </c>
      <c r="B1003" t="s">
        <v>872</v>
      </c>
      <c r="C1003" t="s">
        <v>4818</v>
      </c>
      <c r="D1003" t="s">
        <v>18</v>
      </c>
      <c r="E1003" t="s">
        <v>3737</v>
      </c>
      <c r="F1003" t="s">
        <v>3738</v>
      </c>
      <c r="G1003" t="s">
        <v>21</v>
      </c>
      <c r="H1003" t="s">
        <v>4888</v>
      </c>
      <c r="I1003" t="s">
        <v>5012</v>
      </c>
      <c r="J1003" s="4" t="s">
        <v>5013</v>
      </c>
      <c r="K1003" s="4" t="s">
        <v>4984</v>
      </c>
      <c r="L1003" s="4" t="s">
        <v>4986</v>
      </c>
      <c r="M1003" s="4" t="s">
        <v>5035</v>
      </c>
      <c r="N1003" t="s">
        <v>3739</v>
      </c>
      <c r="O1003" t="s">
        <v>3740</v>
      </c>
      <c r="P1003" t="s">
        <v>23</v>
      </c>
      <c r="Q1003" t="s">
        <v>24</v>
      </c>
      <c r="R1003" t="s">
        <v>25</v>
      </c>
      <c r="S1003" t="s">
        <v>26</v>
      </c>
      <c r="T1003" s="6">
        <v>46307</v>
      </c>
      <c r="U1003">
        <v>888</v>
      </c>
      <c r="V1003">
        <v>888</v>
      </c>
      <c r="W1003">
        <v>960</v>
      </c>
      <c r="X1003">
        <v>960</v>
      </c>
      <c r="Y1003">
        <f t="shared" si="155"/>
        <v>0</v>
      </c>
      <c r="Z1003">
        <f t="shared" si="156"/>
        <v>-72</v>
      </c>
      <c r="AC1003" s="1"/>
      <c r="AF1003">
        <f t="shared" si="162"/>
        <v>888</v>
      </c>
      <c r="AG1003" s="7">
        <v>24</v>
      </c>
      <c r="AH1003">
        <f t="shared" si="157"/>
        <v>888</v>
      </c>
      <c r="AI1003">
        <f t="shared" si="154"/>
        <v>0</v>
      </c>
      <c r="AK1003">
        <f t="shared" si="158"/>
        <v>37</v>
      </c>
      <c r="AL1003">
        <v>6.05</v>
      </c>
      <c r="AM1003" t="s">
        <v>27</v>
      </c>
      <c r="AN1003">
        <v>6.05</v>
      </c>
      <c r="AO1003" t="b">
        <f t="shared" si="159"/>
        <v>1</v>
      </c>
      <c r="AR1003" t="s">
        <v>5061</v>
      </c>
      <c r="AS1003" s="21">
        <v>46276</v>
      </c>
      <c r="AT1003" t="s">
        <v>5062</v>
      </c>
      <c r="AU1003" t="s">
        <v>5081</v>
      </c>
      <c r="AV1003" t="s">
        <v>5062</v>
      </c>
      <c r="AW1003" t="s">
        <v>5086</v>
      </c>
    </row>
    <row r="1004" spans="1:49" x14ac:dyDescent="0.35">
      <c r="A1004" t="s">
        <v>2796</v>
      </c>
      <c r="B1004" t="s">
        <v>872</v>
      </c>
      <c r="C1004" t="s">
        <v>4818</v>
      </c>
      <c r="D1004" t="s">
        <v>18</v>
      </c>
      <c r="E1004" t="s">
        <v>3741</v>
      </c>
      <c r="F1004" t="s">
        <v>3742</v>
      </c>
      <c r="G1004" t="s">
        <v>21</v>
      </c>
      <c r="H1004" t="s">
        <v>4888</v>
      </c>
      <c r="I1004" t="s">
        <v>5003</v>
      </c>
      <c r="J1004" s="4" t="s">
        <v>5004</v>
      </c>
      <c r="K1004" s="4" t="s">
        <v>4904</v>
      </c>
      <c r="L1004" s="4" t="s">
        <v>4870</v>
      </c>
      <c r="M1004" s="4" t="s">
        <v>5035</v>
      </c>
      <c r="N1004" t="s">
        <v>3743</v>
      </c>
      <c r="O1004" t="s">
        <v>3744</v>
      </c>
      <c r="P1004" t="s">
        <v>23</v>
      </c>
      <c r="Q1004" t="s">
        <v>24</v>
      </c>
      <c r="R1004" t="s">
        <v>25</v>
      </c>
      <c r="S1004" t="s">
        <v>26</v>
      </c>
      <c r="T1004" s="6">
        <v>46307</v>
      </c>
      <c r="U1004">
        <v>60</v>
      </c>
      <c r="V1004">
        <v>60</v>
      </c>
      <c r="W1004">
        <v>72</v>
      </c>
      <c r="X1004">
        <v>72</v>
      </c>
      <c r="Y1004">
        <f t="shared" si="155"/>
        <v>0</v>
      </c>
      <c r="Z1004">
        <f t="shared" si="156"/>
        <v>-12</v>
      </c>
      <c r="AC1004" s="1">
        <v>0</v>
      </c>
      <c r="AF1004">
        <f t="shared" si="162"/>
        <v>60</v>
      </c>
      <c r="AG1004" s="7">
        <v>12</v>
      </c>
      <c r="AH1004">
        <f t="shared" si="157"/>
        <v>60</v>
      </c>
      <c r="AI1004">
        <f t="shared" si="154"/>
        <v>0</v>
      </c>
      <c r="AK1004">
        <f t="shared" si="158"/>
        <v>5</v>
      </c>
      <c r="AL1004">
        <v>12.89</v>
      </c>
      <c r="AM1004" t="s">
        <v>27</v>
      </c>
      <c r="AN1004">
        <v>12.89</v>
      </c>
      <c r="AO1004" t="b">
        <f t="shared" si="159"/>
        <v>1</v>
      </c>
      <c r="AR1004" t="s">
        <v>5061</v>
      </c>
      <c r="AS1004" s="21">
        <v>46276</v>
      </c>
      <c r="AT1004" t="s">
        <v>5062</v>
      </c>
      <c r="AU1004" t="s">
        <v>5078</v>
      </c>
      <c r="AV1004" t="s">
        <v>5062</v>
      </c>
      <c r="AW1004" t="s">
        <v>5086</v>
      </c>
    </row>
    <row r="1005" spans="1:49" x14ac:dyDescent="0.35">
      <c r="A1005" t="s">
        <v>2796</v>
      </c>
      <c r="B1005" t="s">
        <v>872</v>
      </c>
      <c r="C1005" t="s">
        <v>4818</v>
      </c>
      <c r="D1005" t="s">
        <v>18</v>
      </c>
      <c r="E1005" t="s">
        <v>3745</v>
      </c>
      <c r="F1005" t="s">
        <v>3746</v>
      </c>
      <c r="G1005" t="s">
        <v>21</v>
      </c>
      <c r="H1005" t="s">
        <v>4888</v>
      </c>
      <c r="I1005" t="s">
        <v>5010</v>
      </c>
      <c r="J1005" s="4" t="s">
        <v>5011</v>
      </c>
      <c r="K1005" s="4" t="s">
        <v>4904</v>
      </c>
      <c r="L1005" s="4" t="s">
        <v>4986</v>
      </c>
      <c r="M1005" s="4" t="s">
        <v>5035</v>
      </c>
      <c r="N1005" t="s">
        <v>3747</v>
      </c>
      <c r="O1005" t="s">
        <v>3748</v>
      </c>
      <c r="P1005" t="s">
        <v>23</v>
      </c>
      <c r="Q1005" t="s">
        <v>24</v>
      </c>
      <c r="R1005" t="s">
        <v>25</v>
      </c>
      <c r="S1005" t="s">
        <v>26</v>
      </c>
      <c r="T1005" s="6">
        <v>46307</v>
      </c>
      <c r="U1005">
        <v>288</v>
      </c>
      <c r="V1005">
        <v>288</v>
      </c>
      <c r="W1005">
        <v>312</v>
      </c>
      <c r="X1005">
        <v>312</v>
      </c>
      <c r="Y1005">
        <f t="shared" si="155"/>
        <v>0</v>
      </c>
      <c r="Z1005">
        <f t="shared" si="156"/>
        <v>-24</v>
      </c>
      <c r="AC1005" s="1">
        <v>0</v>
      </c>
      <c r="AF1005">
        <f t="shared" si="162"/>
        <v>288</v>
      </c>
      <c r="AG1005" s="7">
        <v>24</v>
      </c>
      <c r="AH1005">
        <f t="shared" si="157"/>
        <v>288</v>
      </c>
      <c r="AI1005">
        <f t="shared" si="154"/>
        <v>0</v>
      </c>
      <c r="AK1005">
        <f t="shared" si="158"/>
        <v>12</v>
      </c>
      <c r="AL1005">
        <v>5.03</v>
      </c>
      <c r="AM1005" t="s">
        <v>27</v>
      </c>
      <c r="AN1005">
        <v>5.03</v>
      </c>
      <c r="AO1005" t="b">
        <f t="shared" si="159"/>
        <v>1</v>
      </c>
      <c r="AR1005" t="s">
        <v>5061</v>
      </c>
      <c r="AS1005" s="21">
        <v>46276</v>
      </c>
      <c r="AT1005" t="s">
        <v>5062</v>
      </c>
      <c r="AU1005" t="s">
        <v>5081</v>
      </c>
      <c r="AV1005" t="s">
        <v>5062</v>
      </c>
      <c r="AW1005" t="s">
        <v>5086</v>
      </c>
    </row>
    <row r="1006" spans="1:49" x14ac:dyDescent="0.35">
      <c r="A1006" t="s">
        <v>2796</v>
      </c>
      <c r="B1006" t="s">
        <v>872</v>
      </c>
      <c r="C1006" t="s">
        <v>4818</v>
      </c>
      <c r="D1006" t="s">
        <v>18</v>
      </c>
      <c r="E1006" t="s">
        <v>3749</v>
      </c>
      <c r="F1006" t="s">
        <v>3750</v>
      </c>
      <c r="G1006" t="s">
        <v>21</v>
      </c>
      <c r="H1006" t="s">
        <v>4888</v>
      </c>
      <c r="I1006" t="s">
        <v>5003</v>
      </c>
      <c r="J1006" s="4" t="s">
        <v>5004</v>
      </c>
      <c r="K1006" s="4" t="s">
        <v>4904</v>
      </c>
      <c r="L1006" s="4" t="s">
        <v>4863</v>
      </c>
      <c r="M1006" s="4" t="s">
        <v>5035</v>
      </c>
      <c r="N1006" t="s">
        <v>3751</v>
      </c>
      <c r="O1006" t="s">
        <v>3752</v>
      </c>
      <c r="P1006" t="s">
        <v>23</v>
      </c>
      <c r="Q1006" t="s">
        <v>24</v>
      </c>
      <c r="R1006" t="s">
        <v>25</v>
      </c>
      <c r="S1006" t="s">
        <v>26</v>
      </c>
      <c r="T1006" s="6">
        <v>46307</v>
      </c>
      <c r="U1006">
        <v>60</v>
      </c>
      <c r="V1006">
        <v>60</v>
      </c>
      <c r="W1006">
        <v>72</v>
      </c>
      <c r="X1006">
        <v>72</v>
      </c>
      <c r="Y1006">
        <f t="shared" si="155"/>
        <v>0</v>
      </c>
      <c r="Z1006">
        <f t="shared" si="156"/>
        <v>-12</v>
      </c>
      <c r="AC1006" s="1">
        <v>0</v>
      </c>
      <c r="AF1006">
        <f t="shared" si="162"/>
        <v>60</v>
      </c>
      <c r="AG1006" s="7">
        <v>12</v>
      </c>
      <c r="AH1006">
        <f t="shared" si="157"/>
        <v>60</v>
      </c>
      <c r="AI1006">
        <f t="shared" si="154"/>
        <v>0</v>
      </c>
      <c r="AK1006">
        <f t="shared" si="158"/>
        <v>5</v>
      </c>
      <c r="AL1006">
        <v>12.89</v>
      </c>
      <c r="AM1006" t="s">
        <v>27</v>
      </c>
      <c r="AN1006">
        <v>12.89</v>
      </c>
      <c r="AO1006" t="b">
        <f t="shared" si="159"/>
        <v>1</v>
      </c>
      <c r="AR1006" t="s">
        <v>5061</v>
      </c>
      <c r="AS1006" s="21">
        <v>46276</v>
      </c>
      <c r="AT1006" t="s">
        <v>5062</v>
      </c>
      <c r="AU1006" t="s">
        <v>5078</v>
      </c>
      <c r="AV1006" t="s">
        <v>5062</v>
      </c>
      <c r="AW1006" t="s">
        <v>5086</v>
      </c>
    </row>
    <row r="1007" spans="1:49" x14ac:dyDescent="0.35">
      <c r="A1007" t="s">
        <v>2796</v>
      </c>
      <c r="B1007" t="s">
        <v>872</v>
      </c>
      <c r="C1007" t="s">
        <v>4818</v>
      </c>
      <c r="D1007" t="s">
        <v>18</v>
      </c>
      <c r="E1007" t="s">
        <v>3753</v>
      </c>
      <c r="F1007" t="s">
        <v>3754</v>
      </c>
      <c r="G1007" t="s">
        <v>21</v>
      </c>
      <c r="H1007" t="s">
        <v>4888</v>
      </c>
      <c r="I1007" t="s">
        <v>5003</v>
      </c>
      <c r="J1007" s="4" t="s">
        <v>5004</v>
      </c>
      <c r="K1007" s="4" t="s">
        <v>4837</v>
      </c>
      <c r="L1007" s="4" t="s">
        <v>4920</v>
      </c>
      <c r="M1007" s="4" t="s">
        <v>5035</v>
      </c>
      <c r="N1007" t="s">
        <v>3755</v>
      </c>
      <c r="O1007" t="s">
        <v>3756</v>
      </c>
      <c r="P1007" t="s">
        <v>23</v>
      </c>
      <c r="Q1007" t="s">
        <v>24</v>
      </c>
      <c r="R1007" t="s">
        <v>25</v>
      </c>
      <c r="S1007" t="s">
        <v>26</v>
      </c>
      <c r="T1007" s="6">
        <v>46307</v>
      </c>
      <c r="U1007">
        <v>72</v>
      </c>
      <c r="V1007">
        <v>72</v>
      </c>
      <c r="W1007">
        <v>84</v>
      </c>
      <c r="X1007">
        <v>84</v>
      </c>
      <c r="Y1007">
        <f t="shared" si="155"/>
        <v>0</v>
      </c>
      <c r="Z1007">
        <f t="shared" si="156"/>
        <v>-12</v>
      </c>
      <c r="AC1007" s="1">
        <v>0</v>
      </c>
      <c r="AF1007">
        <f t="shared" si="162"/>
        <v>72</v>
      </c>
      <c r="AG1007" s="7">
        <v>12</v>
      </c>
      <c r="AH1007">
        <f t="shared" si="157"/>
        <v>72</v>
      </c>
      <c r="AI1007">
        <f t="shared" si="154"/>
        <v>0</v>
      </c>
      <c r="AK1007">
        <f t="shared" si="158"/>
        <v>6</v>
      </c>
      <c r="AL1007">
        <v>12.87</v>
      </c>
      <c r="AM1007" t="s">
        <v>27</v>
      </c>
      <c r="AN1007">
        <v>12.87</v>
      </c>
      <c r="AO1007" t="b">
        <f t="shared" si="159"/>
        <v>1</v>
      </c>
      <c r="AR1007" t="s">
        <v>5061</v>
      </c>
      <c r="AS1007" s="21">
        <v>46276</v>
      </c>
      <c r="AT1007" t="s">
        <v>5062</v>
      </c>
      <c r="AU1007" t="s">
        <v>5078</v>
      </c>
      <c r="AV1007" t="s">
        <v>5062</v>
      </c>
      <c r="AW1007" t="s">
        <v>5086</v>
      </c>
    </row>
    <row r="1008" spans="1:49" x14ac:dyDescent="0.35">
      <c r="A1008" t="s">
        <v>2796</v>
      </c>
      <c r="B1008" t="s">
        <v>872</v>
      </c>
      <c r="C1008" t="s">
        <v>4818</v>
      </c>
      <c r="D1008" t="s">
        <v>18</v>
      </c>
      <c r="E1008" t="s">
        <v>3757</v>
      </c>
      <c r="F1008" t="s">
        <v>3758</v>
      </c>
      <c r="G1008" t="s">
        <v>21</v>
      </c>
      <c r="H1008" t="s">
        <v>4888</v>
      </c>
      <c r="I1008" t="s">
        <v>5005</v>
      </c>
      <c r="J1008" s="4" t="s">
        <v>5006</v>
      </c>
      <c r="K1008" s="4" t="s">
        <v>4837</v>
      </c>
      <c r="L1008" s="4">
        <v>28</v>
      </c>
      <c r="M1008" s="4" t="s">
        <v>5035</v>
      </c>
      <c r="N1008" t="s">
        <v>3759</v>
      </c>
      <c r="O1008" t="s">
        <v>3760</v>
      </c>
      <c r="P1008" t="s">
        <v>23</v>
      </c>
      <c r="Q1008" t="s">
        <v>24</v>
      </c>
      <c r="R1008" t="s">
        <v>25</v>
      </c>
      <c r="S1008" t="s">
        <v>26</v>
      </c>
      <c r="T1008" s="6">
        <v>46307</v>
      </c>
      <c r="U1008">
        <v>120</v>
      </c>
      <c r="V1008">
        <v>120</v>
      </c>
      <c r="W1008">
        <v>120</v>
      </c>
      <c r="X1008">
        <v>120</v>
      </c>
      <c r="Y1008">
        <f t="shared" si="155"/>
        <v>0</v>
      </c>
      <c r="Z1008">
        <f t="shared" si="156"/>
        <v>0</v>
      </c>
      <c r="AC1008" s="1">
        <v>0</v>
      </c>
      <c r="AF1008">
        <f t="shared" si="162"/>
        <v>120</v>
      </c>
      <c r="AG1008" s="7">
        <v>24</v>
      </c>
      <c r="AH1008">
        <f t="shared" si="157"/>
        <v>120</v>
      </c>
      <c r="AI1008">
        <f t="shared" si="154"/>
        <v>0</v>
      </c>
      <c r="AK1008">
        <f t="shared" si="158"/>
        <v>5</v>
      </c>
      <c r="AL1008">
        <v>9.58</v>
      </c>
      <c r="AM1008" t="s">
        <v>27</v>
      </c>
      <c r="AN1008">
        <v>9.58</v>
      </c>
      <c r="AO1008" t="b">
        <f t="shared" si="159"/>
        <v>1</v>
      </c>
      <c r="AR1008" t="s">
        <v>5061</v>
      </c>
      <c r="AS1008" s="21">
        <v>46276</v>
      </c>
      <c r="AT1008" t="s">
        <v>5062</v>
      </c>
      <c r="AU1008" t="s">
        <v>5079</v>
      </c>
      <c r="AV1008" t="s">
        <v>5062</v>
      </c>
      <c r="AW1008" t="s">
        <v>5086</v>
      </c>
    </row>
    <row r="1009" spans="1:49" x14ac:dyDescent="0.35">
      <c r="A1009" t="s">
        <v>2796</v>
      </c>
      <c r="B1009" t="s">
        <v>872</v>
      </c>
      <c r="C1009" t="s">
        <v>4818</v>
      </c>
      <c r="D1009" t="s">
        <v>18</v>
      </c>
      <c r="E1009" t="s">
        <v>3761</v>
      </c>
      <c r="F1009" t="s">
        <v>3762</v>
      </c>
      <c r="G1009" t="s">
        <v>21</v>
      </c>
      <c r="H1009" t="s">
        <v>4888</v>
      </c>
      <c r="I1009" t="s">
        <v>5005</v>
      </c>
      <c r="J1009" s="4" t="s">
        <v>5006</v>
      </c>
      <c r="K1009" s="4" t="s">
        <v>5027</v>
      </c>
      <c r="L1009" s="4">
        <v>36</v>
      </c>
      <c r="M1009" s="4" t="s">
        <v>5035</v>
      </c>
      <c r="N1009" t="s">
        <v>3763</v>
      </c>
      <c r="O1009" t="s">
        <v>3764</v>
      </c>
      <c r="P1009" t="s">
        <v>23</v>
      </c>
      <c r="Q1009" t="s">
        <v>24</v>
      </c>
      <c r="R1009" t="s">
        <v>25</v>
      </c>
      <c r="S1009" t="s">
        <v>26</v>
      </c>
      <c r="T1009" s="6">
        <v>46307</v>
      </c>
      <c r="U1009">
        <v>816</v>
      </c>
      <c r="V1009">
        <v>816</v>
      </c>
      <c r="W1009">
        <v>720</v>
      </c>
      <c r="X1009">
        <v>720</v>
      </c>
      <c r="Y1009">
        <f t="shared" si="155"/>
        <v>0</v>
      </c>
      <c r="Z1009">
        <f t="shared" si="156"/>
        <v>96</v>
      </c>
      <c r="AA1009">
        <f>Z1009</f>
        <v>96</v>
      </c>
      <c r="AC1009" s="1">
        <v>0</v>
      </c>
      <c r="AF1009">
        <f>X1009</f>
        <v>720</v>
      </c>
      <c r="AG1009" s="7">
        <v>24</v>
      </c>
      <c r="AH1009">
        <f t="shared" si="157"/>
        <v>720</v>
      </c>
      <c r="AI1009">
        <f t="shared" si="154"/>
        <v>96</v>
      </c>
      <c r="AK1009">
        <f t="shared" si="158"/>
        <v>30</v>
      </c>
      <c r="AL1009">
        <v>10.24</v>
      </c>
      <c r="AM1009" t="s">
        <v>27</v>
      </c>
      <c r="AN1009">
        <v>10.24</v>
      </c>
      <c r="AO1009" t="b">
        <f t="shared" si="159"/>
        <v>1</v>
      </c>
      <c r="AR1009" t="s">
        <v>5061</v>
      </c>
      <c r="AS1009" s="21">
        <v>46276</v>
      </c>
      <c r="AT1009" t="s">
        <v>5062</v>
      </c>
      <c r="AU1009" t="s">
        <v>5079</v>
      </c>
      <c r="AV1009" t="s">
        <v>5062</v>
      </c>
      <c r="AW1009" t="s">
        <v>5086</v>
      </c>
    </row>
    <row r="1010" spans="1:49" x14ac:dyDescent="0.35">
      <c r="A1010" t="s">
        <v>2796</v>
      </c>
      <c r="B1010" t="s">
        <v>872</v>
      </c>
      <c r="C1010" t="s">
        <v>4818</v>
      </c>
      <c r="D1010" t="s">
        <v>18</v>
      </c>
      <c r="E1010" t="s">
        <v>3765</v>
      </c>
      <c r="F1010" t="s">
        <v>3766</v>
      </c>
      <c r="G1010" t="s">
        <v>21</v>
      </c>
      <c r="H1010" t="s">
        <v>4888</v>
      </c>
      <c r="I1010" t="s">
        <v>5005</v>
      </c>
      <c r="J1010" s="4" t="s">
        <v>5006</v>
      </c>
      <c r="K1010" s="4" t="s">
        <v>4837</v>
      </c>
      <c r="L1010" s="4">
        <v>30</v>
      </c>
      <c r="M1010" s="4" t="s">
        <v>5035</v>
      </c>
      <c r="N1010" t="s">
        <v>3767</v>
      </c>
      <c r="O1010" t="s">
        <v>3768</v>
      </c>
      <c r="P1010" t="s">
        <v>23</v>
      </c>
      <c r="Q1010" t="s">
        <v>24</v>
      </c>
      <c r="R1010" t="s">
        <v>25</v>
      </c>
      <c r="S1010" t="s">
        <v>26</v>
      </c>
      <c r="T1010" s="6">
        <v>46307</v>
      </c>
      <c r="U1010">
        <v>72</v>
      </c>
      <c r="V1010">
        <v>72</v>
      </c>
      <c r="W1010">
        <v>72</v>
      </c>
      <c r="X1010">
        <v>72</v>
      </c>
      <c r="Y1010">
        <f t="shared" si="155"/>
        <v>0</v>
      </c>
      <c r="Z1010">
        <f t="shared" si="156"/>
        <v>0</v>
      </c>
      <c r="AC1010" s="1">
        <v>0</v>
      </c>
      <c r="AF1010">
        <f t="shared" ref="AF1010:AF1017" si="163">V1010</f>
        <v>72</v>
      </c>
      <c r="AG1010" s="7">
        <v>24</v>
      </c>
      <c r="AH1010">
        <f t="shared" si="157"/>
        <v>72</v>
      </c>
      <c r="AI1010">
        <f t="shared" si="154"/>
        <v>0</v>
      </c>
      <c r="AK1010">
        <f t="shared" si="158"/>
        <v>3</v>
      </c>
      <c r="AL1010">
        <v>9.58</v>
      </c>
      <c r="AM1010" t="s">
        <v>27</v>
      </c>
      <c r="AN1010">
        <v>9.58</v>
      </c>
      <c r="AO1010" t="b">
        <f t="shared" si="159"/>
        <v>1</v>
      </c>
      <c r="AR1010" t="s">
        <v>5061</v>
      </c>
      <c r="AS1010" s="21">
        <v>46276</v>
      </c>
      <c r="AT1010" t="s">
        <v>5062</v>
      </c>
      <c r="AU1010" t="s">
        <v>5079</v>
      </c>
      <c r="AV1010" t="s">
        <v>5062</v>
      </c>
      <c r="AW1010" t="s">
        <v>5086</v>
      </c>
    </row>
    <row r="1011" spans="1:49" x14ac:dyDescent="0.35">
      <c r="A1011" t="s">
        <v>2796</v>
      </c>
      <c r="B1011" t="s">
        <v>872</v>
      </c>
      <c r="C1011" t="s">
        <v>4818</v>
      </c>
      <c r="D1011" t="s">
        <v>18</v>
      </c>
      <c r="E1011" t="s">
        <v>3769</v>
      </c>
      <c r="F1011" t="s">
        <v>3770</v>
      </c>
      <c r="G1011" t="s">
        <v>21</v>
      </c>
      <c r="H1011" t="s">
        <v>4888</v>
      </c>
      <c r="I1011" t="s">
        <v>5010</v>
      </c>
      <c r="J1011" s="4" t="s">
        <v>5011</v>
      </c>
      <c r="K1011" s="4" t="s">
        <v>4984</v>
      </c>
      <c r="L1011" s="4" t="s">
        <v>4997</v>
      </c>
      <c r="M1011" s="4" t="s">
        <v>5035</v>
      </c>
      <c r="N1011" t="s">
        <v>3771</v>
      </c>
      <c r="O1011" t="s">
        <v>3772</v>
      </c>
      <c r="P1011" t="s">
        <v>23</v>
      </c>
      <c r="Q1011" t="s">
        <v>24</v>
      </c>
      <c r="R1011" t="s">
        <v>25</v>
      </c>
      <c r="S1011" t="s">
        <v>26</v>
      </c>
      <c r="T1011" s="6">
        <v>46307</v>
      </c>
      <c r="U1011">
        <v>96</v>
      </c>
      <c r="V1011">
        <v>96</v>
      </c>
      <c r="W1011">
        <v>96</v>
      </c>
      <c r="X1011">
        <v>96</v>
      </c>
      <c r="Y1011">
        <f t="shared" si="155"/>
        <v>0</v>
      </c>
      <c r="Z1011">
        <f t="shared" si="156"/>
        <v>0</v>
      </c>
      <c r="AC1011" s="1">
        <v>0</v>
      </c>
      <c r="AF1011">
        <f t="shared" si="163"/>
        <v>96</v>
      </c>
      <c r="AG1011" s="7">
        <v>24</v>
      </c>
      <c r="AH1011">
        <f t="shared" si="157"/>
        <v>96</v>
      </c>
      <c r="AI1011">
        <f t="shared" si="154"/>
        <v>0</v>
      </c>
      <c r="AK1011">
        <f t="shared" si="158"/>
        <v>4</v>
      </c>
      <c r="AL1011">
        <v>4.92</v>
      </c>
      <c r="AM1011" t="s">
        <v>27</v>
      </c>
      <c r="AN1011">
        <v>4.92</v>
      </c>
      <c r="AO1011" t="b">
        <f t="shared" si="159"/>
        <v>1</v>
      </c>
      <c r="AR1011" t="s">
        <v>5061</v>
      </c>
      <c r="AS1011" s="21">
        <v>46276</v>
      </c>
      <c r="AT1011" t="s">
        <v>5062</v>
      </c>
      <c r="AU1011" t="s">
        <v>5081</v>
      </c>
      <c r="AV1011" t="s">
        <v>5062</v>
      </c>
      <c r="AW1011" t="s">
        <v>5086</v>
      </c>
    </row>
    <row r="1012" spans="1:49" x14ac:dyDescent="0.35">
      <c r="A1012" t="s">
        <v>2796</v>
      </c>
      <c r="B1012" t="s">
        <v>872</v>
      </c>
      <c r="C1012" t="s">
        <v>4818</v>
      </c>
      <c r="D1012" t="s">
        <v>18</v>
      </c>
      <c r="E1012" t="s">
        <v>3773</v>
      </c>
      <c r="F1012" t="s">
        <v>3774</v>
      </c>
      <c r="G1012" t="s">
        <v>21</v>
      </c>
      <c r="H1012" t="s">
        <v>4888</v>
      </c>
      <c r="I1012" t="s">
        <v>5003</v>
      </c>
      <c r="J1012" s="4" t="s">
        <v>5004</v>
      </c>
      <c r="K1012" s="4" t="s">
        <v>4837</v>
      </c>
      <c r="L1012" s="4" t="s">
        <v>4910</v>
      </c>
      <c r="M1012" s="4" t="s">
        <v>5035</v>
      </c>
      <c r="N1012" t="s">
        <v>3775</v>
      </c>
      <c r="O1012" t="s">
        <v>3776</v>
      </c>
      <c r="P1012" t="s">
        <v>23</v>
      </c>
      <c r="Q1012" t="s">
        <v>24</v>
      </c>
      <c r="R1012" t="s">
        <v>25</v>
      </c>
      <c r="S1012" t="s">
        <v>26</v>
      </c>
      <c r="T1012" s="6">
        <v>46307</v>
      </c>
      <c r="U1012">
        <v>24</v>
      </c>
      <c r="V1012">
        <v>24</v>
      </c>
      <c r="W1012">
        <v>24</v>
      </c>
      <c r="X1012">
        <v>24</v>
      </c>
      <c r="Y1012">
        <f t="shared" si="155"/>
        <v>0</v>
      </c>
      <c r="Z1012">
        <f t="shared" si="156"/>
        <v>0</v>
      </c>
      <c r="AC1012" s="1">
        <v>0</v>
      </c>
      <c r="AF1012">
        <f t="shared" si="163"/>
        <v>24</v>
      </c>
      <c r="AG1012" s="7">
        <v>12</v>
      </c>
      <c r="AH1012">
        <f t="shared" si="157"/>
        <v>24</v>
      </c>
      <c r="AI1012">
        <f t="shared" si="154"/>
        <v>0</v>
      </c>
      <c r="AK1012">
        <f t="shared" si="158"/>
        <v>2</v>
      </c>
      <c r="AL1012">
        <v>12.87</v>
      </c>
      <c r="AM1012" t="s">
        <v>27</v>
      </c>
      <c r="AN1012">
        <v>12.87</v>
      </c>
      <c r="AO1012" t="b">
        <f t="shared" si="159"/>
        <v>1</v>
      </c>
      <c r="AR1012" t="s">
        <v>5061</v>
      </c>
      <c r="AS1012" s="21">
        <v>46276</v>
      </c>
      <c r="AT1012" t="s">
        <v>5062</v>
      </c>
      <c r="AU1012" t="s">
        <v>5078</v>
      </c>
      <c r="AV1012" t="s">
        <v>5062</v>
      </c>
      <c r="AW1012" t="s">
        <v>5086</v>
      </c>
    </row>
    <row r="1013" spans="1:49" x14ac:dyDescent="0.35">
      <c r="A1013" t="s">
        <v>2796</v>
      </c>
      <c r="B1013" t="s">
        <v>872</v>
      </c>
      <c r="C1013" t="s">
        <v>4818</v>
      </c>
      <c r="D1013" t="s">
        <v>18</v>
      </c>
      <c r="E1013" t="s">
        <v>3777</v>
      </c>
      <c r="F1013" t="s">
        <v>3778</v>
      </c>
      <c r="G1013" t="s">
        <v>21</v>
      </c>
      <c r="H1013" t="s">
        <v>4888</v>
      </c>
      <c r="I1013" t="s">
        <v>5003</v>
      </c>
      <c r="J1013" s="4" t="s">
        <v>5004</v>
      </c>
      <c r="K1013" s="4" t="s">
        <v>4904</v>
      </c>
      <c r="L1013" s="4" t="s">
        <v>4900</v>
      </c>
      <c r="M1013" s="4" t="s">
        <v>5035</v>
      </c>
      <c r="N1013" t="s">
        <v>3779</v>
      </c>
      <c r="O1013" t="s">
        <v>3780</v>
      </c>
      <c r="P1013" t="s">
        <v>23</v>
      </c>
      <c r="Q1013" t="s">
        <v>24</v>
      </c>
      <c r="R1013" t="s">
        <v>25</v>
      </c>
      <c r="S1013" t="s">
        <v>26</v>
      </c>
      <c r="T1013" s="6">
        <v>46307</v>
      </c>
      <c r="U1013">
        <v>60</v>
      </c>
      <c r="V1013">
        <v>60</v>
      </c>
      <c r="W1013">
        <v>72</v>
      </c>
      <c r="X1013">
        <v>72</v>
      </c>
      <c r="Y1013">
        <f t="shared" si="155"/>
        <v>0</v>
      </c>
      <c r="Z1013">
        <f t="shared" si="156"/>
        <v>-12</v>
      </c>
      <c r="AC1013" s="1">
        <v>0</v>
      </c>
      <c r="AF1013">
        <f t="shared" si="163"/>
        <v>60</v>
      </c>
      <c r="AG1013" s="7">
        <v>12</v>
      </c>
      <c r="AH1013">
        <f t="shared" si="157"/>
        <v>60</v>
      </c>
      <c r="AI1013">
        <f t="shared" si="154"/>
        <v>0</v>
      </c>
      <c r="AK1013">
        <f t="shared" si="158"/>
        <v>5</v>
      </c>
      <c r="AL1013">
        <v>12.89</v>
      </c>
      <c r="AM1013" t="s">
        <v>27</v>
      </c>
      <c r="AN1013">
        <v>12.89</v>
      </c>
      <c r="AO1013" t="b">
        <f t="shared" si="159"/>
        <v>1</v>
      </c>
      <c r="AR1013" t="s">
        <v>5061</v>
      </c>
      <c r="AS1013" s="21">
        <v>46276</v>
      </c>
      <c r="AT1013" t="s">
        <v>5062</v>
      </c>
      <c r="AU1013" t="s">
        <v>5078</v>
      </c>
      <c r="AV1013" t="s">
        <v>5062</v>
      </c>
      <c r="AW1013" t="s">
        <v>5086</v>
      </c>
    </row>
    <row r="1014" spans="1:49" x14ac:dyDescent="0.35">
      <c r="A1014" t="s">
        <v>2796</v>
      </c>
      <c r="B1014" t="s">
        <v>872</v>
      </c>
      <c r="C1014" t="s">
        <v>4818</v>
      </c>
      <c r="D1014" t="s">
        <v>18</v>
      </c>
      <c r="E1014" t="s">
        <v>3781</v>
      </c>
      <c r="F1014" t="s">
        <v>3782</v>
      </c>
      <c r="G1014" t="s">
        <v>21</v>
      </c>
      <c r="H1014" t="s">
        <v>4888</v>
      </c>
      <c r="I1014" t="s">
        <v>5003</v>
      </c>
      <c r="J1014" s="4" t="s">
        <v>5004</v>
      </c>
      <c r="K1014" s="4" t="s">
        <v>4904</v>
      </c>
      <c r="L1014" s="4" t="s">
        <v>4922</v>
      </c>
      <c r="M1014" s="4" t="s">
        <v>5035</v>
      </c>
      <c r="N1014" t="s">
        <v>3783</v>
      </c>
      <c r="O1014" t="s">
        <v>3784</v>
      </c>
      <c r="P1014" t="s">
        <v>23</v>
      </c>
      <c r="Q1014" t="s">
        <v>24</v>
      </c>
      <c r="R1014" t="s">
        <v>25</v>
      </c>
      <c r="S1014" t="s">
        <v>26</v>
      </c>
      <c r="T1014" s="6">
        <v>46307</v>
      </c>
      <c r="U1014">
        <v>24</v>
      </c>
      <c r="V1014">
        <v>24</v>
      </c>
      <c r="W1014">
        <v>24</v>
      </c>
      <c r="X1014">
        <v>24</v>
      </c>
      <c r="Y1014">
        <f t="shared" si="155"/>
        <v>0</v>
      </c>
      <c r="Z1014">
        <f t="shared" si="156"/>
        <v>0</v>
      </c>
      <c r="AC1014" s="1">
        <v>0</v>
      </c>
      <c r="AF1014">
        <f t="shared" si="163"/>
        <v>24</v>
      </c>
      <c r="AG1014" s="7">
        <v>12</v>
      </c>
      <c r="AH1014">
        <f t="shared" si="157"/>
        <v>24</v>
      </c>
      <c r="AI1014">
        <f t="shared" si="154"/>
        <v>0</v>
      </c>
      <c r="AK1014">
        <f t="shared" si="158"/>
        <v>2</v>
      </c>
      <c r="AL1014">
        <v>12.89</v>
      </c>
      <c r="AM1014" t="s">
        <v>27</v>
      </c>
      <c r="AN1014">
        <v>12.89</v>
      </c>
      <c r="AO1014" t="b">
        <f t="shared" si="159"/>
        <v>1</v>
      </c>
      <c r="AR1014" t="s">
        <v>5061</v>
      </c>
      <c r="AS1014" s="21">
        <v>46276</v>
      </c>
      <c r="AT1014" t="s">
        <v>5062</v>
      </c>
      <c r="AU1014" t="s">
        <v>5078</v>
      </c>
      <c r="AV1014" t="s">
        <v>5062</v>
      </c>
      <c r="AW1014" t="s">
        <v>5086</v>
      </c>
    </row>
    <row r="1015" spans="1:49" x14ac:dyDescent="0.35">
      <c r="A1015" t="s">
        <v>2796</v>
      </c>
      <c r="B1015" t="s">
        <v>872</v>
      </c>
      <c r="C1015" t="s">
        <v>4818</v>
      </c>
      <c r="D1015" t="s">
        <v>18</v>
      </c>
      <c r="E1015" t="s">
        <v>3785</v>
      </c>
      <c r="F1015" t="s">
        <v>3786</v>
      </c>
      <c r="G1015" t="s">
        <v>21</v>
      </c>
      <c r="H1015" t="s">
        <v>4888</v>
      </c>
      <c r="I1015" t="s">
        <v>5010</v>
      </c>
      <c r="J1015" s="4" t="s">
        <v>5011</v>
      </c>
      <c r="K1015" s="4" t="s">
        <v>4904</v>
      </c>
      <c r="L1015" s="4" t="s">
        <v>4995</v>
      </c>
      <c r="M1015" s="4" t="s">
        <v>5035</v>
      </c>
      <c r="N1015" t="s">
        <v>3787</v>
      </c>
      <c r="O1015" t="s">
        <v>3788</v>
      </c>
      <c r="P1015" t="s">
        <v>23</v>
      </c>
      <c r="Q1015" t="s">
        <v>24</v>
      </c>
      <c r="R1015" t="s">
        <v>25</v>
      </c>
      <c r="S1015" t="s">
        <v>26</v>
      </c>
      <c r="T1015" s="6">
        <v>46307</v>
      </c>
      <c r="U1015">
        <v>360</v>
      </c>
      <c r="V1015">
        <v>360</v>
      </c>
      <c r="W1015">
        <v>384</v>
      </c>
      <c r="X1015">
        <v>384</v>
      </c>
      <c r="Y1015">
        <f t="shared" si="155"/>
        <v>0</v>
      </c>
      <c r="Z1015">
        <f t="shared" si="156"/>
        <v>-24</v>
      </c>
      <c r="AC1015" s="1"/>
      <c r="AF1015">
        <f t="shared" si="163"/>
        <v>360</v>
      </c>
      <c r="AG1015" s="7">
        <v>24</v>
      </c>
      <c r="AH1015">
        <f t="shared" si="157"/>
        <v>360</v>
      </c>
      <c r="AI1015">
        <f t="shared" si="154"/>
        <v>0</v>
      </c>
      <c r="AK1015">
        <f t="shared" si="158"/>
        <v>15</v>
      </c>
      <c r="AL1015">
        <v>5.03</v>
      </c>
      <c r="AM1015" t="s">
        <v>27</v>
      </c>
      <c r="AN1015">
        <v>5.03</v>
      </c>
      <c r="AO1015" t="b">
        <f t="shared" si="159"/>
        <v>1</v>
      </c>
      <c r="AR1015" t="s">
        <v>5061</v>
      </c>
      <c r="AS1015" s="21">
        <v>46276</v>
      </c>
      <c r="AT1015" t="s">
        <v>5062</v>
      </c>
      <c r="AU1015" t="s">
        <v>5081</v>
      </c>
      <c r="AV1015" t="s">
        <v>5062</v>
      </c>
      <c r="AW1015" t="s">
        <v>5086</v>
      </c>
    </row>
    <row r="1016" spans="1:49" x14ac:dyDescent="0.35">
      <c r="A1016" t="s">
        <v>2796</v>
      </c>
      <c r="B1016" t="s">
        <v>872</v>
      </c>
      <c r="C1016" t="s">
        <v>4818</v>
      </c>
      <c r="D1016" t="s">
        <v>18</v>
      </c>
      <c r="E1016" t="s">
        <v>3789</v>
      </c>
      <c r="F1016" t="s">
        <v>3790</v>
      </c>
      <c r="G1016" t="s">
        <v>21</v>
      </c>
      <c r="H1016" t="s">
        <v>4888</v>
      </c>
      <c r="I1016" t="s">
        <v>5008</v>
      </c>
      <c r="J1016" s="4" t="s">
        <v>5009</v>
      </c>
      <c r="K1016" s="4" t="s">
        <v>4904</v>
      </c>
      <c r="L1016" s="4">
        <v>42</v>
      </c>
      <c r="M1016" s="4" t="s">
        <v>5035</v>
      </c>
      <c r="N1016" t="s">
        <v>3791</v>
      </c>
      <c r="O1016" t="s">
        <v>3792</v>
      </c>
      <c r="P1016" t="s">
        <v>23</v>
      </c>
      <c r="Q1016" t="s">
        <v>24</v>
      </c>
      <c r="R1016" t="s">
        <v>25</v>
      </c>
      <c r="S1016" t="s">
        <v>26</v>
      </c>
      <c r="T1016" s="6">
        <v>46307</v>
      </c>
      <c r="U1016">
        <v>360</v>
      </c>
      <c r="V1016">
        <v>360</v>
      </c>
      <c r="W1016">
        <v>384</v>
      </c>
      <c r="X1016">
        <v>384</v>
      </c>
      <c r="Y1016">
        <f t="shared" si="155"/>
        <v>0</v>
      </c>
      <c r="Z1016">
        <f t="shared" si="156"/>
        <v>-24</v>
      </c>
      <c r="AC1016" s="1"/>
      <c r="AF1016">
        <f t="shared" si="163"/>
        <v>360</v>
      </c>
      <c r="AG1016" s="7">
        <v>24</v>
      </c>
      <c r="AH1016">
        <f t="shared" si="157"/>
        <v>360</v>
      </c>
      <c r="AI1016">
        <f t="shared" si="154"/>
        <v>0</v>
      </c>
      <c r="AK1016">
        <f t="shared" si="158"/>
        <v>15</v>
      </c>
      <c r="AL1016">
        <v>10.11</v>
      </c>
      <c r="AM1016" t="s">
        <v>27</v>
      </c>
      <c r="AN1016">
        <v>10.11</v>
      </c>
      <c r="AO1016" t="b">
        <f t="shared" si="159"/>
        <v>1</v>
      </c>
      <c r="AR1016" t="s">
        <v>5061</v>
      </c>
      <c r="AS1016" s="21">
        <v>46276</v>
      </c>
      <c r="AT1016" t="s">
        <v>5062</v>
      </c>
      <c r="AU1016" t="s">
        <v>5080</v>
      </c>
      <c r="AV1016" t="s">
        <v>5062</v>
      </c>
      <c r="AW1016" t="s">
        <v>5086</v>
      </c>
    </row>
    <row r="1017" spans="1:49" x14ac:dyDescent="0.35">
      <c r="A1017" t="s">
        <v>2796</v>
      </c>
      <c r="B1017" t="s">
        <v>872</v>
      </c>
      <c r="C1017" t="s">
        <v>4818</v>
      </c>
      <c r="D1017" t="s">
        <v>18</v>
      </c>
      <c r="E1017" t="s">
        <v>3793</v>
      </c>
      <c r="F1017" t="s">
        <v>3794</v>
      </c>
      <c r="G1017" t="s">
        <v>21</v>
      </c>
      <c r="H1017" t="s">
        <v>4888</v>
      </c>
      <c r="I1017" t="s">
        <v>5003</v>
      </c>
      <c r="J1017" s="4" t="s">
        <v>5004</v>
      </c>
      <c r="K1017" s="4" t="s">
        <v>4837</v>
      </c>
      <c r="L1017" s="4" t="s">
        <v>4912</v>
      </c>
      <c r="M1017" s="4" t="s">
        <v>5035</v>
      </c>
      <c r="N1017" t="s">
        <v>3795</v>
      </c>
      <c r="O1017" t="s">
        <v>3796</v>
      </c>
      <c r="P1017" t="s">
        <v>23</v>
      </c>
      <c r="Q1017" t="s">
        <v>24</v>
      </c>
      <c r="R1017" t="s">
        <v>25</v>
      </c>
      <c r="S1017" t="s">
        <v>26</v>
      </c>
      <c r="T1017" s="6">
        <v>46307</v>
      </c>
      <c r="U1017">
        <v>84</v>
      </c>
      <c r="V1017">
        <v>84</v>
      </c>
      <c r="W1017">
        <v>96</v>
      </c>
      <c r="X1017">
        <v>96</v>
      </c>
      <c r="Y1017">
        <f t="shared" si="155"/>
        <v>0</v>
      </c>
      <c r="Z1017">
        <f t="shared" si="156"/>
        <v>-12</v>
      </c>
      <c r="AC1017" s="1">
        <v>0</v>
      </c>
      <c r="AF1017">
        <f t="shared" si="163"/>
        <v>84</v>
      </c>
      <c r="AG1017" s="7">
        <v>12</v>
      </c>
      <c r="AH1017">
        <f t="shared" si="157"/>
        <v>84</v>
      </c>
      <c r="AI1017">
        <f t="shared" si="154"/>
        <v>0</v>
      </c>
      <c r="AK1017">
        <f t="shared" si="158"/>
        <v>7</v>
      </c>
      <c r="AL1017">
        <v>12.87</v>
      </c>
      <c r="AM1017" t="s">
        <v>27</v>
      </c>
      <c r="AN1017">
        <v>12.87</v>
      </c>
      <c r="AO1017" t="b">
        <f t="shared" si="159"/>
        <v>1</v>
      </c>
      <c r="AR1017" t="s">
        <v>5061</v>
      </c>
      <c r="AS1017" s="21">
        <v>46276</v>
      </c>
      <c r="AT1017" t="s">
        <v>5062</v>
      </c>
      <c r="AU1017" t="s">
        <v>5078</v>
      </c>
      <c r="AV1017" t="s">
        <v>5062</v>
      </c>
      <c r="AW1017" t="s">
        <v>5086</v>
      </c>
    </row>
    <row r="1018" spans="1:49" x14ac:dyDescent="0.35">
      <c r="A1018" t="s">
        <v>2796</v>
      </c>
      <c r="B1018" t="s">
        <v>872</v>
      </c>
      <c r="C1018" t="s">
        <v>4818</v>
      </c>
      <c r="D1018" t="s">
        <v>18</v>
      </c>
      <c r="E1018" t="s">
        <v>3797</v>
      </c>
      <c r="F1018" t="s">
        <v>3798</v>
      </c>
      <c r="G1018" t="s">
        <v>21</v>
      </c>
      <c r="H1018" t="s">
        <v>4888</v>
      </c>
      <c r="I1018" t="s">
        <v>5008</v>
      </c>
      <c r="J1018" s="4" t="s">
        <v>5009</v>
      </c>
      <c r="K1018" s="4" t="s">
        <v>5021</v>
      </c>
      <c r="L1018" s="4">
        <v>36</v>
      </c>
      <c r="M1018" s="4" t="s">
        <v>5035</v>
      </c>
      <c r="N1018" t="s">
        <v>3799</v>
      </c>
      <c r="O1018" t="s">
        <v>3800</v>
      </c>
      <c r="P1018" t="s">
        <v>23</v>
      </c>
      <c r="Q1018" t="s">
        <v>24</v>
      </c>
      <c r="R1018" t="s">
        <v>25</v>
      </c>
      <c r="S1018" t="s">
        <v>26</v>
      </c>
      <c r="T1018" s="6">
        <v>46307</v>
      </c>
      <c r="U1018">
        <v>1008</v>
      </c>
      <c r="V1018">
        <v>1008</v>
      </c>
      <c r="W1018">
        <v>936</v>
      </c>
      <c r="X1018">
        <v>936</v>
      </c>
      <c r="Y1018">
        <f t="shared" si="155"/>
        <v>0</v>
      </c>
      <c r="Z1018">
        <f t="shared" si="156"/>
        <v>72</v>
      </c>
      <c r="AA1018">
        <f t="shared" ref="AA1018:AA1019" si="164">Z1018</f>
        <v>72</v>
      </c>
      <c r="AC1018" s="1">
        <v>0</v>
      </c>
      <c r="AF1018">
        <f>X1018</f>
        <v>936</v>
      </c>
      <c r="AG1018" s="7">
        <v>24</v>
      </c>
      <c r="AH1018">
        <f t="shared" si="157"/>
        <v>936</v>
      </c>
      <c r="AI1018">
        <f t="shared" si="154"/>
        <v>72</v>
      </c>
      <c r="AK1018">
        <f t="shared" si="158"/>
        <v>39</v>
      </c>
      <c r="AL1018">
        <v>10.11</v>
      </c>
      <c r="AM1018" t="s">
        <v>27</v>
      </c>
      <c r="AN1018">
        <v>10.11</v>
      </c>
      <c r="AO1018" t="b">
        <f t="shared" si="159"/>
        <v>1</v>
      </c>
      <c r="AR1018" t="s">
        <v>5061</v>
      </c>
      <c r="AS1018" s="21">
        <v>46276</v>
      </c>
      <c r="AT1018" t="s">
        <v>5062</v>
      </c>
      <c r="AU1018" t="s">
        <v>5080</v>
      </c>
      <c r="AV1018" t="s">
        <v>5062</v>
      </c>
      <c r="AW1018" t="s">
        <v>5086</v>
      </c>
    </row>
    <row r="1019" spans="1:49" x14ac:dyDescent="0.35">
      <c r="A1019" t="s">
        <v>2796</v>
      </c>
      <c r="B1019" t="s">
        <v>872</v>
      </c>
      <c r="C1019" t="s">
        <v>4818</v>
      </c>
      <c r="D1019" t="s">
        <v>18</v>
      </c>
      <c r="E1019" t="s">
        <v>3801</v>
      </c>
      <c r="F1019" t="s">
        <v>3802</v>
      </c>
      <c r="G1019" t="s">
        <v>21</v>
      </c>
      <c r="H1019" t="s">
        <v>4888</v>
      </c>
      <c r="I1019" t="s">
        <v>5008</v>
      </c>
      <c r="J1019" s="4" t="s">
        <v>5009</v>
      </c>
      <c r="K1019" s="4" t="s">
        <v>5021</v>
      </c>
      <c r="L1019" s="4">
        <v>33</v>
      </c>
      <c r="M1019" s="4" t="s">
        <v>5035</v>
      </c>
      <c r="N1019" t="s">
        <v>3803</v>
      </c>
      <c r="O1019" t="s">
        <v>3804</v>
      </c>
      <c r="P1019" t="s">
        <v>23</v>
      </c>
      <c r="Q1019" t="s">
        <v>24</v>
      </c>
      <c r="R1019" t="s">
        <v>25</v>
      </c>
      <c r="S1019" t="s">
        <v>26</v>
      </c>
      <c r="T1019" s="6">
        <v>46307</v>
      </c>
      <c r="U1019">
        <v>432</v>
      </c>
      <c r="V1019">
        <v>432</v>
      </c>
      <c r="W1019">
        <v>408</v>
      </c>
      <c r="X1019">
        <v>408</v>
      </c>
      <c r="Y1019">
        <f t="shared" si="155"/>
        <v>0</v>
      </c>
      <c r="Z1019">
        <f t="shared" si="156"/>
        <v>24</v>
      </c>
      <c r="AA1019">
        <f t="shared" si="164"/>
        <v>24</v>
      </c>
      <c r="AC1019" s="1">
        <v>0</v>
      </c>
      <c r="AF1019">
        <f>X1019</f>
        <v>408</v>
      </c>
      <c r="AG1019" s="7">
        <v>24</v>
      </c>
      <c r="AH1019">
        <f t="shared" si="157"/>
        <v>408</v>
      </c>
      <c r="AI1019">
        <f t="shared" si="154"/>
        <v>24</v>
      </c>
      <c r="AK1019">
        <f t="shared" si="158"/>
        <v>17</v>
      </c>
      <c r="AL1019">
        <v>10.11</v>
      </c>
      <c r="AM1019" t="s">
        <v>27</v>
      </c>
      <c r="AN1019">
        <v>10.11</v>
      </c>
      <c r="AO1019" t="b">
        <f t="shared" si="159"/>
        <v>1</v>
      </c>
      <c r="AR1019" t="s">
        <v>5061</v>
      </c>
      <c r="AS1019" s="21">
        <v>46276</v>
      </c>
      <c r="AT1019" t="s">
        <v>5062</v>
      </c>
      <c r="AU1019" t="s">
        <v>5080</v>
      </c>
      <c r="AV1019" t="s">
        <v>5062</v>
      </c>
      <c r="AW1019" t="s">
        <v>5086</v>
      </c>
    </row>
    <row r="1020" spans="1:49" x14ac:dyDescent="0.35">
      <c r="A1020" t="s">
        <v>2796</v>
      </c>
      <c r="B1020" t="s">
        <v>872</v>
      </c>
      <c r="C1020" t="s">
        <v>4818</v>
      </c>
      <c r="D1020" t="s">
        <v>18</v>
      </c>
      <c r="E1020" t="s">
        <v>3805</v>
      </c>
      <c r="F1020" t="s">
        <v>3806</v>
      </c>
      <c r="G1020" t="s">
        <v>21</v>
      </c>
      <c r="H1020" t="s">
        <v>4888</v>
      </c>
      <c r="I1020" t="s">
        <v>5003</v>
      </c>
      <c r="J1020" s="4" t="s">
        <v>5004</v>
      </c>
      <c r="K1020" s="4" t="s">
        <v>5016</v>
      </c>
      <c r="L1020" s="4" t="s">
        <v>4870</v>
      </c>
      <c r="M1020" s="4" t="s">
        <v>5035</v>
      </c>
      <c r="N1020" t="s">
        <v>3807</v>
      </c>
      <c r="O1020" t="s">
        <v>3808</v>
      </c>
      <c r="P1020" t="s">
        <v>23</v>
      </c>
      <c r="Q1020" t="s">
        <v>24</v>
      </c>
      <c r="R1020" t="s">
        <v>25</v>
      </c>
      <c r="S1020" t="s">
        <v>26</v>
      </c>
      <c r="T1020" s="6">
        <v>46307</v>
      </c>
      <c r="U1020">
        <v>48</v>
      </c>
      <c r="V1020">
        <v>48</v>
      </c>
      <c r="W1020">
        <v>48</v>
      </c>
      <c r="X1020">
        <v>48</v>
      </c>
      <c r="Y1020">
        <f t="shared" si="155"/>
        <v>0</v>
      </c>
      <c r="Z1020">
        <f t="shared" si="156"/>
        <v>0</v>
      </c>
      <c r="AC1020" s="1">
        <v>0</v>
      </c>
      <c r="AF1020">
        <f t="shared" ref="AF1020:AF1029" si="165">V1020</f>
        <v>48</v>
      </c>
      <c r="AG1020" s="7">
        <v>12</v>
      </c>
      <c r="AH1020">
        <f t="shared" si="157"/>
        <v>48</v>
      </c>
      <c r="AI1020">
        <f t="shared" si="154"/>
        <v>0</v>
      </c>
      <c r="AK1020">
        <f t="shared" si="158"/>
        <v>4</v>
      </c>
      <c r="AL1020">
        <v>13.33</v>
      </c>
      <c r="AM1020" t="s">
        <v>27</v>
      </c>
      <c r="AN1020">
        <v>13.33</v>
      </c>
      <c r="AO1020" t="b">
        <f t="shared" si="159"/>
        <v>1</v>
      </c>
      <c r="AR1020" t="s">
        <v>5061</v>
      </c>
      <c r="AS1020" s="21">
        <v>46276</v>
      </c>
      <c r="AT1020" t="s">
        <v>5062</v>
      </c>
      <c r="AU1020" t="s">
        <v>5078</v>
      </c>
      <c r="AV1020" t="s">
        <v>5062</v>
      </c>
      <c r="AW1020" t="s">
        <v>5086</v>
      </c>
    </row>
    <row r="1021" spans="1:49" x14ac:dyDescent="0.35">
      <c r="A1021" t="s">
        <v>2796</v>
      </c>
      <c r="B1021" t="s">
        <v>872</v>
      </c>
      <c r="C1021" t="s">
        <v>4818</v>
      </c>
      <c r="D1021" t="s">
        <v>18</v>
      </c>
      <c r="E1021" t="s">
        <v>3809</v>
      </c>
      <c r="F1021" t="s">
        <v>3810</v>
      </c>
      <c r="G1021" t="s">
        <v>21</v>
      </c>
      <c r="H1021" t="s">
        <v>4888</v>
      </c>
      <c r="I1021" t="s">
        <v>5003</v>
      </c>
      <c r="J1021" s="4" t="s">
        <v>5004</v>
      </c>
      <c r="K1021" s="4" t="s">
        <v>4837</v>
      </c>
      <c r="L1021" s="4" t="s">
        <v>4867</v>
      </c>
      <c r="M1021" s="4" t="s">
        <v>5035</v>
      </c>
      <c r="N1021" t="s">
        <v>3811</v>
      </c>
      <c r="O1021" t="s">
        <v>3812</v>
      </c>
      <c r="P1021" t="s">
        <v>23</v>
      </c>
      <c r="Q1021" t="s">
        <v>24</v>
      </c>
      <c r="R1021" t="s">
        <v>25</v>
      </c>
      <c r="S1021" t="s">
        <v>26</v>
      </c>
      <c r="T1021" s="6">
        <v>46307</v>
      </c>
      <c r="U1021">
        <v>72</v>
      </c>
      <c r="V1021">
        <v>72</v>
      </c>
      <c r="W1021">
        <v>84</v>
      </c>
      <c r="X1021">
        <v>84</v>
      </c>
      <c r="Y1021">
        <f t="shared" si="155"/>
        <v>0</v>
      </c>
      <c r="Z1021">
        <f t="shared" si="156"/>
        <v>-12</v>
      </c>
      <c r="AC1021" s="1">
        <v>0</v>
      </c>
      <c r="AF1021">
        <f t="shared" si="165"/>
        <v>72</v>
      </c>
      <c r="AG1021" s="7">
        <v>12</v>
      </c>
      <c r="AH1021">
        <f t="shared" si="157"/>
        <v>72</v>
      </c>
      <c r="AI1021">
        <f t="shared" si="154"/>
        <v>0</v>
      </c>
      <c r="AK1021">
        <f t="shared" si="158"/>
        <v>6</v>
      </c>
      <c r="AL1021">
        <v>12.87</v>
      </c>
      <c r="AM1021" t="s">
        <v>27</v>
      </c>
      <c r="AN1021">
        <v>12.87</v>
      </c>
      <c r="AO1021" t="b">
        <f t="shared" si="159"/>
        <v>1</v>
      </c>
      <c r="AR1021" t="s">
        <v>5061</v>
      </c>
      <c r="AS1021" s="21">
        <v>46276</v>
      </c>
      <c r="AT1021" t="s">
        <v>5062</v>
      </c>
      <c r="AU1021" t="s">
        <v>5078</v>
      </c>
      <c r="AV1021" t="s">
        <v>5062</v>
      </c>
      <c r="AW1021" t="s">
        <v>5086</v>
      </c>
    </row>
    <row r="1022" spans="1:49" x14ac:dyDescent="0.35">
      <c r="A1022" t="s">
        <v>2796</v>
      </c>
      <c r="B1022" t="s">
        <v>872</v>
      </c>
      <c r="C1022" t="s">
        <v>4818</v>
      </c>
      <c r="D1022" t="s">
        <v>18</v>
      </c>
      <c r="E1022" t="s">
        <v>3813</v>
      </c>
      <c r="F1022" t="s">
        <v>3814</v>
      </c>
      <c r="G1022" t="s">
        <v>21</v>
      </c>
      <c r="H1022" t="s">
        <v>4888</v>
      </c>
      <c r="I1022" t="s">
        <v>5025</v>
      </c>
      <c r="J1022" s="4" t="s">
        <v>5026</v>
      </c>
      <c r="K1022" s="4" t="s">
        <v>5020</v>
      </c>
      <c r="L1022" s="4" t="s">
        <v>4987</v>
      </c>
      <c r="M1022" s="4" t="s">
        <v>5035</v>
      </c>
      <c r="N1022" t="s">
        <v>3815</v>
      </c>
      <c r="O1022" t="s">
        <v>3816</v>
      </c>
      <c r="P1022" t="s">
        <v>23</v>
      </c>
      <c r="Q1022" t="s">
        <v>24</v>
      </c>
      <c r="R1022" t="s">
        <v>25</v>
      </c>
      <c r="S1022" t="s">
        <v>26</v>
      </c>
      <c r="T1022" s="6">
        <v>46307</v>
      </c>
      <c r="U1022">
        <v>288</v>
      </c>
      <c r="V1022">
        <v>288</v>
      </c>
      <c r="W1022">
        <v>312</v>
      </c>
      <c r="X1022">
        <v>312</v>
      </c>
      <c r="Y1022">
        <f t="shared" si="155"/>
        <v>0</v>
      </c>
      <c r="Z1022">
        <f t="shared" si="156"/>
        <v>-24</v>
      </c>
      <c r="AC1022" s="1">
        <v>0</v>
      </c>
      <c r="AF1022">
        <f t="shared" si="165"/>
        <v>288</v>
      </c>
      <c r="AG1022" s="7">
        <v>24</v>
      </c>
      <c r="AH1022">
        <f t="shared" si="157"/>
        <v>288</v>
      </c>
      <c r="AI1022">
        <f t="shared" si="154"/>
        <v>0</v>
      </c>
      <c r="AK1022">
        <f t="shared" si="158"/>
        <v>12</v>
      </c>
      <c r="AL1022">
        <v>6.2</v>
      </c>
      <c r="AM1022" t="s">
        <v>27</v>
      </c>
      <c r="AN1022">
        <v>6.2</v>
      </c>
      <c r="AO1022" t="b">
        <f t="shared" si="159"/>
        <v>1</v>
      </c>
      <c r="AR1022" t="s">
        <v>5061</v>
      </c>
      <c r="AS1022" s="21">
        <v>46276</v>
      </c>
      <c r="AT1022" t="s">
        <v>5062</v>
      </c>
      <c r="AU1022" t="s">
        <v>5082</v>
      </c>
      <c r="AV1022" t="s">
        <v>5062</v>
      </c>
      <c r="AW1022" t="s">
        <v>5086</v>
      </c>
    </row>
    <row r="1023" spans="1:49" x14ac:dyDescent="0.35">
      <c r="A1023" t="s">
        <v>2796</v>
      </c>
      <c r="B1023" t="s">
        <v>872</v>
      </c>
      <c r="C1023" t="s">
        <v>4818</v>
      </c>
      <c r="D1023" t="s">
        <v>18</v>
      </c>
      <c r="E1023" t="s">
        <v>3817</v>
      </c>
      <c r="F1023" t="s">
        <v>3818</v>
      </c>
      <c r="G1023" t="s">
        <v>21</v>
      </c>
      <c r="H1023" t="s">
        <v>4888</v>
      </c>
      <c r="I1023" t="s">
        <v>5008</v>
      </c>
      <c r="J1023" s="4" t="s">
        <v>5009</v>
      </c>
      <c r="K1023" s="4" t="s">
        <v>5017</v>
      </c>
      <c r="L1023" s="4">
        <v>31</v>
      </c>
      <c r="M1023" s="4" t="s">
        <v>5035</v>
      </c>
      <c r="N1023" t="s">
        <v>3819</v>
      </c>
      <c r="O1023" t="s">
        <v>3820</v>
      </c>
      <c r="P1023" t="s">
        <v>23</v>
      </c>
      <c r="Q1023" t="s">
        <v>24</v>
      </c>
      <c r="R1023" t="s">
        <v>25</v>
      </c>
      <c r="S1023" t="s">
        <v>26</v>
      </c>
      <c r="T1023" s="6">
        <v>46307</v>
      </c>
      <c r="U1023">
        <v>288</v>
      </c>
      <c r="V1023">
        <v>288</v>
      </c>
      <c r="W1023">
        <v>312</v>
      </c>
      <c r="X1023">
        <v>312</v>
      </c>
      <c r="Y1023">
        <f t="shared" si="155"/>
        <v>0</v>
      </c>
      <c r="Z1023">
        <f t="shared" si="156"/>
        <v>-24</v>
      </c>
      <c r="AC1023" s="1">
        <v>0</v>
      </c>
      <c r="AF1023">
        <f t="shared" si="165"/>
        <v>288</v>
      </c>
      <c r="AG1023" s="7">
        <v>24</v>
      </c>
      <c r="AH1023">
        <f t="shared" si="157"/>
        <v>288</v>
      </c>
      <c r="AI1023">
        <f t="shared" si="154"/>
        <v>0</v>
      </c>
      <c r="AK1023">
        <f t="shared" si="158"/>
        <v>12</v>
      </c>
      <c r="AL1023">
        <v>10.01</v>
      </c>
      <c r="AM1023" t="s">
        <v>27</v>
      </c>
      <c r="AN1023">
        <v>10.01</v>
      </c>
      <c r="AO1023" t="b">
        <f t="shared" si="159"/>
        <v>1</v>
      </c>
      <c r="AR1023" t="s">
        <v>5061</v>
      </c>
      <c r="AS1023" s="21">
        <v>46276</v>
      </c>
      <c r="AT1023" t="s">
        <v>5062</v>
      </c>
      <c r="AU1023" t="s">
        <v>5080</v>
      </c>
      <c r="AV1023" t="s">
        <v>5062</v>
      </c>
      <c r="AW1023" t="s">
        <v>5086</v>
      </c>
    </row>
    <row r="1024" spans="1:49" x14ac:dyDescent="0.35">
      <c r="A1024" t="s">
        <v>2796</v>
      </c>
      <c r="B1024" t="s">
        <v>872</v>
      </c>
      <c r="C1024" t="s">
        <v>4818</v>
      </c>
      <c r="D1024" t="s">
        <v>18</v>
      </c>
      <c r="E1024" t="s">
        <v>3821</v>
      </c>
      <c r="F1024" t="s">
        <v>3822</v>
      </c>
      <c r="G1024" t="s">
        <v>21</v>
      </c>
      <c r="H1024" t="s">
        <v>4888</v>
      </c>
      <c r="I1024" t="s">
        <v>5008</v>
      </c>
      <c r="J1024" s="4" t="s">
        <v>5009</v>
      </c>
      <c r="K1024" s="4" t="s">
        <v>5017</v>
      </c>
      <c r="L1024" s="4">
        <v>40</v>
      </c>
      <c r="M1024" s="4" t="s">
        <v>5035</v>
      </c>
      <c r="N1024" t="s">
        <v>3823</v>
      </c>
      <c r="O1024" t="s">
        <v>3824</v>
      </c>
      <c r="P1024" t="s">
        <v>23</v>
      </c>
      <c r="Q1024" t="s">
        <v>24</v>
      </c>
      <c r="R1024" t="s">
        <v>25</v>
      </c>
      <c r="S1024" t="s">
        <v>26</v>
      </c>
      <c r="T1024" s="6">
        <v>46307</v>
      </c>
      <c r="U1024">
        <v>600</v>
      </c>
      <c r="V1024">
        <v>600</v>
      </c>
      <c r="W1024">
        <v>648</v>
      </c>
      <c r="X1024">
        <v>648</v>
      </c>
      <c r="Y1024">
        <f t="shared" si="155"/>
        <v>0</v>
      </c>
      <c r="Z1024">
        <f t="shared" si="156"/>
        <v>-48</v>
      </c>
      <c r="AC1024" s="1">
        <v>0</v>
      </c>
      <c r="AF1024">
        <f t="shared" si="165"/>
        <v>600</v>
      </c>
      <c r="AG1024" s="7">
        <v>24</v>
      </c>
      <c r="AH1024">
        <f t="shared" si="157"/>
        <v>600</v>
      </c>
      <c r="AI1024">
        <f t="shared" si="154"/>
        <v>0</v>
      </c>
      <c r="AK1024">
        <f t="shared" si="158"/>
        <v>25</v>
      </c>
      <c r="AL1024">
        <v>10.01</v>
      </c>
      <c r="AM1024" t="s">
        <v>27</v>
      </c>
      <c r="AN1024">
        <v>10.01</v>
      </c>
      <c r="AO1024" t="b">
        <f t="shared" si="159"/>
        <v>1</v>
      </c>
      <c r="AR1024" t="s">
        <v>5061</v>
      </c>
      <c r="AS1024" s="21">
        <v>46276</v>
      </c>
      <c r="AT1024" t="s">
        <v>5062</v>
      </c>
      <c r="AU1024" t="s">
        <v>5080</v>
      </c>
      <c r="AV1024" t="s">
        <v>5062</v>
      </c>
      <c r="AW1024" t="s">
        <v>5086</v>
      </c>
    </row>
    <row r="1025" spans="1:49" x14ac:dyDescent="0.35">
      <c r="A1025" t="s">
        <v>2796</v>
      </c>
      <c r="B1025" t="s">
        <v>872</v>
      </c>
      <c r="C1025" t="s">
        <v>4818</v>
      </c>
      <c r="D1025" t="s">
        <v>18</v>
      </c>
      <c r="E1025" t="s">
        <v>3825</v>
      </c>
      <c r="F1025" t="s">
        <v>3826</v>
      </c>
      <c r="G1025" t="s">
        <v>21</v>
      </c>
      <c r="H1025" t="s">
        <v>4888</v>
      </c>
      <c r="I1025" t="s">
        <v>5003</v>
      </c>
      <c r="J1025" s="4" t="s">
        <v>5004</v>
      </c>
      <c r="K1025" s="4" t="s">
        <v>4837</v>
      </c>
      <c r="L1025" s="4" t="s">
        <v>4898</v>
      </c>
      <c r="M1025" s="4" t="s">
        <v>5035</v>
      </c>
      <c r="N1025" t="s">
        <v>3827</v>
      </c>
      <c r="O1025" t="s">
        <v>3828</v>
      </c>
      <c r="P1025" t="s">
        <v>23</v>
      </c>
      <c r="Q1025" t="s">
        <v>24</v>
      </c>
      <c r="R1025" t="s">
        <v>25</v>
      </c>
      <c r="S1025" t="s">
        <v>26</v>
      </c>
      <c r="T1025" s="6">
        <v>46307</v>
      </c>
      <c r="U1025">
        <v>60</v>
      </c>
      <c r="V1025">
        <v>60</v>
      </c>
      <c r="W1025">
        <v>60</v>
      </c>
      <c r="X1025">
        <v>60</v>
      </c>
      <c r="Y1025">
        <f t="shared" si="155"/>
        <v>0</v>
      </c>
      <c r="Z1025">
        <f t="shared" si="156"/>
        <v>0</v>
      </c>
      <c r="AC1025" s="1">
        <v>0</v>
      </c>
      <c r="AF1025">
        <f t="shared" si="165"/>
        <v>60</v>
      </c>
      <c r="AG1025" s="7">
        <v>12</v>
      </c>
      <c r="AH1025">
        <f t="shared" si="157"/>
        <v>60</v>
      </c>
      <c r="AI1025">
        <f t="shared" si="154"/>
        <v>0</v>
      </c>
      <c r="AK1025">
        <f t="shared" si="158"/>
        <v>5</v>
      </c>
      <c r="AL1025">
        <v>12.87</v>
      </c>
      <c r="AM1025" t="s">
        <v>27</v>
      </c>
      <c r="AN1025">
        <v>12.87</v>
      </c>
      <c r="AO1025" t="b">
        <f t="shared" si="159"/>
        <v>1</v>
      </c>
      <c r="AR1025" t="s">
        <v>5061</v>
      </c>
      <c r="AS1025" s="21">
        <v>46276</v>
      </c>
      <c r="AT1025" t="s">
        <v>5062</v>
      </c>
      <c r="AU1025" t="s">
        <v>5078</v>
      </c>
      <c r="AV1025" t="s">
        <v>5062</v>
      </c>
      <c r="AW1025" t="s">
        <v>5086</v>
      </c>
    </row>
    <row r="1026" spans="1:49" x14ac:dyDescent="0.35">
      <c r="A1026" t="s">
        <v>2796</v>
      </c>
      <c r="B1026" t="s">
        <v>872</v>
      </c>
      <c r="C1026" t="s">
        <v>4818</v>
      </c>
      <c r="D1026" t="s">
        <v>18</v>
      </c>
      <c r="E1026" t="s">
        <v>3829</v>
      </c>
      <c r="F1026" t="s">
        <v>3830</v>
      </c>
      <c r="G1026" t="s">
        <v>21</v>
      </c>
      <c r="H1026" t="s">
        <v>4888</v>
      </c>
      <c r="I1026" t="s">
        <v>5003</v>
      </c>
      <c r="J1026" s="4" t="s">
        <v>5004</v>
      </c>
      <c r="K1026" s="4" t="s">
        <v>5016</v>
      </c>
      <c r="L1026" s="4" t="s">
        <v>4857</v>
      </c>
      <c r="M1026" s="4" t="s">
        <v>5035</v>
      </c>
      <c r="N1026" t="s">
        <v>3831</v>
      </c>
      <c r="O1026" t="s">
        <v>3832</v>
      </c>
      <c r="P1026" t="s">
        <v>23</v>
      </c>
      <c r="Q1026" t="s">
        <v>24</v>
      </c>
      <c r="R1026" t="s">
        <v>25</v>
      </c>
      <c r="S1026" t="s">
        <v>26</v>
      </c>
      <c r="T1026" s="6">
        <v>46307</v>
      </c>
      <c r="U1026">
        <v>12</v>
      </c>
      <c r="V1026">
        <v>12</v>
      </c>
      <c r="W1026">
        <v>12</v>
      </c>
      <c r="X1026">
        <v>12</v>
      </c>
      <c r="Y1026">
        <f t="shared" si="155"/>
        <v>0</v>
      </c>
      <c r="Z1026">
        <f t="shared" si="156"/>
        <v>0</v>
      </c>
      <c r="AC1026" s="1">
        <v>0</v>
      </c>
      <c r="AF1026">
        <f t="shared" si="165"/>
        <v>12</v>
      </c>
      <c r="AG1026" s="7">
        <v>12</v>
      </c>
      <c r="AH1026">
        <f t="shared" si="157"/>
        <v>12</v>
      </c>
      <c r="AI1026">
        <f t="shared" si="154"/>
        <v>0</v>
      </c>
      <c r="AK1026">
        <f t="shared" si="158"/>
        <v>1</v>
      </c>
      <c r="AL1026">
        <v>13.33</v>
      </c>
      <c r="AM1026" t="s">
        <v>27</v>
      </c>
      <c r="AN1026">
        <v>13.33</v>
      </c>
      <c r="AO1026" t="b">
        <f t="shared" si="159"/>
        <v>1</v>
      </c>
      <c r="AR1026" t="s">
        <v>5061</v>
      </c>
      <c r="AS1026" s="21">
        <v>46276</v>
      </c>
      <c r="AT1026" t="s">
        <v>5062</v>
      </c>
      <c r="AU1026" t="s">
        <v>5078</v>
      </c>
      <c r="AV1026" t="s">
        <v>5062</v>
      </c>
      <c r="AW1026" t="s">
        <v>5086</v>
      </c>
    </row>
    <row r="1027" spans="1:49" x14ac:dyDescent="0.35">
      <c r="A1027" t="s">
        <v>2796</v>
      </c>
      <c r="B1027" t="s">
        <v>872</v>
      </c>
      <c r="C1027" t="s">
        <v>4818</v>
      </c>
      <c r="D1027" t="s">
        <v>18</v>
      </c>
      <c r="E1027" t="s">
        <v>3833</v>
      </c>
      <c r="F1027" t="s">
        <v>3834</v>
      </c>
      <c r="G1027" t="s">
        <v>21</v>
      </c>
      <c r="H1027" t="s">
        <v>4888</v>
      </c>
      <c r="I1027" t="s">
        <v>5003</v>
      </c>
      <c r="J1027" s="4" t="s">
        <v>5004</v>
      </c>
      <c r="K1027" s="4" t="s">
        <v>4904</v>
      </c>
      <c r="L1027" s="4" t="s">
        <v>4920</v>
      </c>
      <c r="M1027" s="4" t="s">
        <v>5035</v>
      </c>
      <c r="N1027" t="s">
        <v>3835</v>
      </c>
      <c r="O1027" t="s">
        <v>3836</v>
      </c>
      <c r="P1027" t="s">
        <v>23</v>
      </c>
      <c r="Q1027" t="s">
        <v>24</v>
      </c>
      <c r="R1027" t="s">
        <v>25</v>
      </c>
      <c r="S1027" t="s">
        <v>26</v>
      </c>
      <c r="T1027" s="6">
        <v>46307</v>
      </c>
      <c r="U1027">
        <v>48</v>
      </c>
      <c r="V1027">
        <v>48</v>
      </c>
      <c r="W1027">
        <v>48</v>
      </c>
      <c r="X1027">
        <v>48</v>
      </c>
      <c r="Y1027">
        <f t="shared" si="155"/>
        <v>0</v>
      </c>
      <c r="Z1027">
        <f t="shared" si="156"/>
        <v>0</v>
      </c>
      <c r="AC1027" s="1">
        <v>0</v>
      </c>
      <c r="AF1027">
        <f t="shared" si="165"/>
        <v>48</v>
      </c>
      <c r="AG1027" s="7">
        <v>12</v>
      </c>
      <c r="AH1027">
        <f t="shared" si="157"/>
        <v>48</v>
      </c>
      <c r="AI1027">
        <f t="shared" ref="AI1027:AI1090" si="166">V1027-AH1027</f>
        <v>0</v>
      </c>
      <c r="AK1027">
        <f t="shared" si="158"/>
        <v>4</v>
      </c>
      <c r="AL1027">
        <v>12.89</v>
      </c>
      <c r="AM1027" t="s">
        <v>27</v>
      </c>
      <c r="AN1027">
        <v>12.89</v>
      </c>
      <c r="AO1027" t="b">
        <f t="shared" si="159"/>
        <v>1</v>
      </c>
      <c r="AR1027" t="s">
        <v>5061</v>
      </c>
      <c r="AS1027" s="21">
        <v>46276</v>
      </c>
      <c r="AT1027" t="s">
        <v>5062</v>
      </c>
      <c r="AU1027" t="s">
        <v>5078</v>
      </c>
      <c r="AV1027" t="s">
        <v>5062</v>
      </c>
      <c r="AW1027" t="s">
        <v>5086</v>
      </c>
    </row>
    <row r="1028" spans="1:49" x14ac:dyDescent="0.35">
      <c r="A1028" t="s">
        <v>2796</v>
      </c>
      <c r="B1028" t="s">
        <v>872</v>
      </c>
      <c r="C1028" t="s">
        <v>4818</v>
      </c>
      <c r="D1028" t="s">
        <v>18</v>
      </c>
      <c r="E1028" t="s">
        <v>3837</v>
      </c>
      <c r="F1028" t="s">
        <v>3838</v>
      </c>
      <c r="G1028" t="s">
        <v>21</v>
      </c>
      <c r="H1028" t="s">
        <v>4888</v>
      </c>
      <c r="I1028" t="s">
        <v>5003</v>
      </c>
      <c r="J1028" s="4" t="s">
        <v>5004</v>
      </c>
      <c r="K1028" s="4" t="s">
        <v>5016</v>
      </c>
      <c r="L1028" s="4" t="s">
        <v>4853</v>
      </c>
      <c r="M1028" s="4" t="s">
        <v>5035</v>
      </c>
      <c r="N1028" t="s">
        <v>3839</v>
      </c>
      <c r="O1028" t="s">
        <v>3840</v>
      </c>
      <c r="P1028" t="s">
        <v>23</v>
      </c>
      <c r="Q1028" t="s">
        <v>24</v>
      </c>
      <c r="R1028" t="s">
        <v>25</v>
      </c>
      <c r="S1028" t="s">
        <v>26</v>
      </c>
      <c r="T1028" s="6">
        <v>46307</v>
      </c>
      <c r="U1028">
        <v>84</v>
      </c>
      <c r="V1028">
        <v>84</v>
      </c>
      <c r="W1028">
        <v>96</v>
      </c>
      <c r="X1028">
        <v>96</v>
      </c>
      <c r="Y1028">
        <f t="shared" ref="Y1028:Y1091" si="167">W1028-X1028</f>
        <v>0</v>
      </c>
      <c r="Z1028">
        <f t="shared" ref="Z1028:Z1091" si="168">V1028-X1028</f>
        <v>-12</v>
      </c>
      <c r="AC1028" s="1">
        <v>0</v>
      </c>
      <c r="AF1028">
        <f t="shared" si="165"/>
        <v>84</v>
      </c>
      <c r="AG1028" s="7">
        <v>12</v>
      </c>
      <c r="AH1028">
        <f t="shared" ref="AH1028:AH1091" si="169">ROUNDUP(AF1028/AG1028,0)*AG1028</f>
        <v>84</v>
      </c>
      <c r="AI1028">
        <f t="shared" si="166"/>
        <v>0</v>
      </c>
      <c r="AK1028">
        <f t="shared" ref="AK1028:AK1091" si="170">AH1028/AG1028</f>
        <v>7</v>
      </c>
      <c r="AL1028">
        <v>13.33</v>
      </c>
      <c r="AM1028" t="s">
        <v>27</v>
      </c>
      <c r="AN1028">
        <v>13.33</v>
      </c>
      <c r="AO1028" t="b">
        <f t="shared" ref="AO1028:AO1091" si="171">AL1028=AN1028</f>
        <v>1</v>
      </c>
      <c r="AR1028" t="s">
        <v>5061</v>
      </c>
      <c r="AS1028" s="21">
        <v>46276</v>
      </c>
      <c r="AT1028" t="s">
        <v>5062</v>
      </c>
      <c r="AU1028" t="s">
        <v>5078</v>
      </c>
      <c r="AV1028" t="s">
        <v>5062</v>
      </c>
      <c r="AW1028" t="s">
        <v>5086</v>
      </c>
    </row>
    <row r="1029" spans="1:49" x14ac:dyDescent="0.35">
      <c r="A1029" t="s">
        <v>2796</v>
      </c>
      <c r="B1029" t="s">
        <v>872</v>
      </c>
      <c r="C1029" t="s">
        <v>4818</v>
      </c>
      <c r="D1029" t="s">
        <v>18</v>
      </c>
      <c r="E1029" t="s">
        <v>3841</v>
      </c>
      <c r="F1029" t="s">
        <v>3842</v>
      </c>
      <c r="G1029" t="s">
        <v>21</v>
      </c>
      <c r="H1029" t="s">
        <v>4888</v>
      </c>
      <c r="I1029" t="s">
        <v>5010</v>
      </c>
      <c r="J1029" s="4" t="s">
        <v>5011</v>
      </c>
      <c r="K1029" s="4" t="s">
        <v>4904</v>
      </c>
      <c r="L1029" s="4" t="s">
        <v>4998</v>
      </c>
      <c r="M1029" s="4" t="s">
        <v>5035</v>
      </c>
      <c r="N1029" t="s">
        <v>3843</v>
      </c>
      <c r="O1029" t="s">
        <v>3844</v>
      </c>
      <c r="P1029" t="s">
        <v>23</v>
      </c>
      <c r="Q1029" t="s">
        <v>24</v>
      </c>
      <c r="R1029" t="s">
        <v>25</v>
      </c>
      <c r="S1029" t="s">
        <v>26</v>
      </c>
      <c r="T1029" s="6">
        <v>46307</v>
      </c>
      <c r="U1029">
        <v>360</v>
      </c>
      <c r="V1029">
        <v>360</v>
      </c>
      <c r="W1029">
        <v>384</v>
      </c>
      <c r="X1029">
        <v>384</v>
      </c>
      <c r="Y1029">
        <f t="shared" si="167"/>
        <v>0</v>
      </c>
      <c r="Z1029">
        <f t="shared" si="168"/>
        <v>-24</v>
      </c>
      <c r="AC1029" s="1"/>
      <c r="AF1029">
        <f t="shared" si="165"/>
        <v>360</v>
      </c>
      <c r="AG1029" s="7">
        <v>24</v>
      </c>
      <c r="AH1029">
        <f t="shared" si="169"/>
        <v>360</v>
      </c>
      <c r="AI1029">
        <f t="shared" si="166"/>
        <v>0</v>
      </c>
      <c r="AK1029">
        <f t="shared" si="170"/>
        <v>15</v>
      </c>
      <c r="AL1029">
        <v>5.03</v>
      </c>
      <c r="AM1029" t="s">
        <v>27</v>
      </c>
      <c r="AN1029">
        <v>5.03</v>
      </c>
      <c r="AO1029" t="b">
        <f t="shared" si="171"/>
        <v>1</v>
      </c>
      <c r="AR1029" t="s">
        <v>5061</v>
      </c>
      <c r="AS1029" s="21">
        <v>46276</v>
      </c>
      <c r="AT1029" t="s">
        <v>5062</v>
      </c>
      <c r="AU1029" t="s">
        <v>5081</v>
      </c>
      <c r="AV1029" t="s">
        <v>5062</v>
      </c>
      <c r="AW1029" t="s">
        <v>5086</v>
      </c>
    </row>
    <row r="1030" spans="1:49" x14ac:dyDescent="0.35">
      <c r="A1030" t="s">
        <v>2796</v>
      </c>
      <c r="B1030" t="s">
        <v>872</v>
      </c>
      <c r="C1030" t="s">
        <v>4818</v>
      </c>
      <c r="D1030" t="s">
        <v>18</v>
      </c>
      <c r="E1030" t="s">
        <v>3845</v>
      </c>
      <c r="F1030" t="s">
        <v>3846</v>
      </c>
      <c r="G1030" t="s">
        <v>21</v>
      </c>
      <c r="H1030" t="s">
        <v>4888</v>
      </c>
      <c r="I1030" t="s">
        <v>5005</v>
      </c>
      <c r="J1030" s="4" t="s">
        <v>5006</v>
      </c>
      <c r="K1030" s="4" t="s">
        <v>5027</v>
      </c>
      <c r="L1030" s="4">
        <v>34</v>
      </c>
      <c r="M1030" s="4" t="s">
        <v>5035</v>
      </c>
      <c r="N1030" t="s">
        <v>3847</v>
      </c>
      <c r="O1030" t="s">
        <v>3848</v>
      </c>
      <c r="P1030" t="s">
        <v>23</v>
      </c>
      <c r="Q1030" t="s">
        <v>24</v>
      </c>
      <c r="R1030" t="s">
        <v>25</v>
      </c>
      <c r="S1030" t="s">
        <v>26</v>
      </c>
      <c r="T1030" s="6">
        <v>46307</v>
      </c>
      <c r="U1030">
        <v>648</v>
      </c>
      <c r="V1030">
        <v>648</v>
      </c>
      <c r="W1030">
        <v>600</v>
      </c>
      <c r="X1030">
        <v>600</v>
      </c>
      <c r="Y1030">
        <f t="shared" si="167"/>
        <v>0</v>
      </c>
      <c r="Z1030">
        <f t="shared" si="168"/>
        <v>48</v>
      </c>
      <c r="AA1030">
        <f>Z1030</f>
        <v>48</v>
      </c>
      <c r="AC1030" s="1">
        <v>0</v>
      </c>
      <c r="AF1030">
        <f>X1030</f>
        <v>600</v>
      </c>
      <c r="AG1030" s="7">
        <v>24</v>
      </c>
      <c r="AH1030">
        <f t="shared" si="169"/>
        <v>600</v>
      </c>
      <c r="AI1030">
        <f t="shared" si="166"/>
        <v>48</v>
      </c>
      <c r="AK1030">
        <f t="shared" si="170"/>
        <v>25</v>
      </c>
      <c r="AL1030">
        <v>10.24</v>
      </c>
      <c r="AM1030" t="s">
        <v>27</v>
      </c>
      <c r="AN1030">
        <v>10.24</v>
      </c>
      <c r="AO1030" t="b">
        <f t="shared" si="171"/>
        <v>1</v>
      </c>
      <c r="AR1030" t="s">
        <v>5061</v>
      </c>
      <c r="AS1030" s="21">
        <v>46276</v>
      </c>
      <c r="AT1030" t="s">
        <v>5062</v>
      </c>
      <c r="AU1030" t="s">
        <v>5079</v>
      </c>
      <c r="AV1030" t="s">
        <v>5062</v>
      </c>
      <c r="AW1030" t="s">
        <v>5086</v>
      </c>
    </row>
    <row r="1031" spans="1:49" x14ac:dyDescent="0.35">
      <c r="A1031" t="s">
        <v>2796</v>
      </c>
      <c r="B1031" t="s">
        <v>872</v>
      </c>
      <c r="C1031" t="s">
        <v>4818</v>
      </c>
      <c r="D1031" t="s">
        <v>18</v>
      </c>
      <c r="E1031" t="s">
        <v>3849</v>
      </c>
      <c r="F1031" t="s">
        <v>3850</v>
      </c>
      <c r="G1031" t="s">
        <v>21</v>
      </c>
      <c r="H1031" t="s">
        <v>4888</v>
      </c>
      <c r="I1031" t="s">
        <v>5008</v>
      </c>
      <c r="J1031" s="4" t="s">
        <v>5009</v>
      </c>
      <c r="K1031" s="4" t="s">
        <v>4904</v>
      </c>
      <c r="L1031" s="4">
        <v>33</v>
      </c>
      <c r="M1031" s="4" t="s">
        <v>5035</v>
      </c>
      <c r="N1031" t="s">
        <v>3851</v>
      </c>
      <c r="O1031" t="s">
        <v>3852</v>
      </c>
      <c r="P1031" t="s">
        <v>23</v>
      </c>
      <c r="Q1031" t="s">
        <v>24</v>
      </c>
      <c r="R1031" t="s">
        <v>25</v>
      </c>
      <c r="S1031" t="s">
        <v>26</v>
      </c>
      <c r="T1031" s="6">
        <v>46307</v>
      </c>
      <c r="U1031">
        <v>360</v>
      </c>
      <c r="V1031">
        <v>360</v>
      </c>
      <c r="W1031">
        <v>384</v>
      </c>
      <c r="X1031">
        <v>384</v>
      </c>
      <c r="Y1031">
        <f t="shared" si="167"/>
        <v>0</v>
      </c>
      <c r="Z1031">
        <f t="shared" si="168"/>
        <v>-24</v>
      </c>
      <c r="AC1031" s="1">
        <v>0</v>
      </c>
      <c r="AF1031">
        <f>V1031</f>
        <v>360</v>
      </c>
      <c r="AG1031" s="7">
        <v>24</v>
      </c>
      <c r="AH1031">
        <f t="shared" si="169"/>
        <v>360</v>
      </c>
      <c r="AI1031">
        <f t="shared" si="166"/>
        <v>0</v>
      </c>
      <c r="AK1031">
        <f t="shared" si="170"/>
        <v>15</v>
      </c>
      <c r="AL1031">
        <v>10.11</v>
      </c>
      <c r="AM1031" t="s">
        <v>27</v>
      </c>
      <c r="AN1031">
        <v>10.11</v>
      </c>
      <c r="AO1031" t="b">
        <f t="shared" si="171"/>
        <v>1</v>
      </c>
      <c r="AR1031" t="s">
        <v>5061</v>
      </c>
      <c r="AS1031" s="21">
        <v>46276</v>
      </c>
      <c r="AT1031" t="s">
        <v>5062</v>
      </c>
      <c r="AU1031" t="s">
        <v>5080</v>
      </c>
      <c r="AV1031" t="s">
        <v>5062</v>
      </c>
      <c r="AW1031" t="s">
        <v>5086</v>
      </c>
    </row>
    <row r="1032" spans="1:49" x14ac:dyDescent="0.35">
      <c r="A1032" t="s">
        <v>2796</v>
      </c>
      <c r="B1032" t="s">
        <v>872</v>
      </c>
      <c r="C1032" t="s">
        <v>4818</v>
      </c>
      <c r="D1032" t="s">
        <v>18</v>
      </c>
      <c r="E1032" t="s">
        <v>3853</v>
      </c>
      <c r="F1032" t="s">
        <v>3854</v>
      </c>
      <c r="G1032" t="s">
        <v>21</v>
      </c>
      <c r="H1032" t="s">
        <v>4888</v>
      </c>
      <c r="I1032" t="s">
        <v>5003</v>
      </c>
      <c r="J1032" s="4" t="s">
        <v>5004</v>
      </c>
      <c r="K1032" s="4" t="s">
        <v>5015</v>
      </c>
      <c r="L1032" s="4" t="s">
        <v>4873</v>
      </c>
      <c r="M1032" s="4" t="s">
        <v>5035</v>
      </c>
      <c r="N1032" t="s">
        <v>3855</v>
      </c>
      <c r="O1032" t="s">
        <v>3856</v>
      </c>
      <c r="P1032" t="s">
        <v>23</v>
      </c>
      <c r="Q1032" t="s">
        <v>24</v>
      </c>
      <c r="R1032" t="s">
        <v>25</v>
      </c>
      <c r="S1032" t="s">
        <v>26</v>
      </c>
      <c r="T1032" s="6">
        <v>46307</v>
      </c>
      <c r="U1032">
        <v>60</v>
      </c>
      <c r="V1032">
        <v>60</v>
      </c>
      <c r="W1032">
        <v>48</v>
      </c>
      <c r="X1032">
        <v>48</v>
      </c>
      <c r="Y1032">
        <f t="shared" si="167"/>
        <v>0</v>
      </c>
      <c r="Z1032">
        <f t="shared" si="168"/>
        <v>12</v>
      </c>
      <c r="AA1032">
        <f>Z1032</f>
        <v>12</v>
      </c>
      <c r="AC1032" s="1">
        <v>0</v>
      </c>
      <c r="AF1032">
        <f>X1032</f>
        <v>48</v>
      </c>
      <c r="AG1032" s="7">
        <v>12</v>
      </c>
      <c r="AH1032">
        <f t="shared" si="169"/>
        <v>48</v>
      </c>
      <c r="AI1032">
        <f t="shared" si="166"/>
        <v>12</v>
      </c>
      <c r="AK1032">
        <f t="shared" si="170"/>
        <v>4</v>
      </c>
      <c r="AL1032">
        <v>13.01</v>
      </c>
      <c r="AM1032" t="s">
        <v>27</v>
      </c>
      <c r="AN1032">
        <v>13.01</v>
      </c>
      <c r="AO1032" t="b">
        <f t="shared" si="171"/>
        <v>1</v>
      </c>
      <c r="AR1032" t="s">
        <v>5061</v>
      </c>
      <c r="AS1032" s="21">
        <v>46276</v>
      </c>
      <c r="AT1032" t="s">
        <v>5062</v>
      </c>
      <c r="AU1032" t="s">
        <v>5078</v>
      </c>
      <c r="AV1032" t="s">
        <v>5062</v>
      </c>
      <c r="AW1032" t="s">
        <v>5086</v>
      </c>
    </row>
    <row r="1033" spans="1:49" x14ac:dyDescent="0.35">
      <c r="A1033" t="s">
        <v>2796</v>
      </c>
      <c r="B1033" t="s">
        <v>872</v>
      </c>
      <c r="C1033" t="s">
        <v>4818</v>
      </c>
      <c r="D1033" t="s">
        <v>18</v>
      </c>
      <c r="E1033" t="s">
        <v>3857</v>
      </c>
      <c r="F1033" t="s">
        <v>3858</v>
      </c>
      <c r="G1033" t="s">
        <v>21</v>
      </c>
      <c r="H1033" t="s">
        <v>4888</v>
      </c>
      <c r="I1033" t="s">
        <v>5003</v>
      </c>
      <c r="J1033" s="4" t="s">
        <v>5004</v>
      </c>
      <c r="K1033" s="4" t="s">
        <v>4837</v>
      </c>
      <c r="L1033" s="4" t="s">
        <v>4930</v>
      </c>
      <c r="M1033" s="4" t="s">
        <v>5035</v>
      </c>
      <c r="N1033" t="s">
        <v>3859</v>
      </c>
      <c r="O1033" t="s">
        <v>3860</v>
      </c>
      <c r="P1033" t="s">
        <v>23</v>
      </c>
      <c r="Q1033" t="s">
        <v>24</v>
      </c>
      <c r="R1033" t="s">
        <v>25</v>
      </c>
      <c r="S1033" t="s">
        <v>26</v>
      </c>
      <c r="T1033" s="6">
        <v>46307</v>
      </c>
      <c r="U1033">
        <v>12</v>
      </c>
      <c r="V1033">
        <v>12</v>
      </c>
      <c r="W1033">
        <v>12</v>
      </c>
      <c r="X1033">
        <v>12</v>
      </c>
      <c r="Y1033">
        <f t="shared" si="167"/>
        <v>0</v>
      </c>
      <c r="Z1033">
        <f t="shared" si="168"/>
        <v>0</v>
      </c>
      <c r="AC1033" s="1">
        <v>0</v>
      </c>
      <c r="AF1033">
        <f>V1033</f>
        <v>12</v>
      </c>
      <c r="AG1033" s="7">
        <v>12</v>
      </c>
      <c r="AH1033">
        <f t="shared" si="169"/>
        <v>12</v>
      </c>
      <c r="AI1033">
        <f t="shared" si="166"/>
        <v>0</v>
      </c>
      <c r="AK1033">
        <f t="shared" si="170"/>
        <v>1</v>
      </c>
      <c r="AL1033">
        <v>12.87</v>
      </c>
      <c r="AM1033" t="s">
        <v>27</v>
      </c>
      <c r="AN1033">
        <v>12.87</v>
      </c>
      <c r="AO1033" t="b">
        <f t="shared" si="171"/>
        <v>1</v>
      </c>
      <c r="AR1033" t="s">
        <v>5061</v>
      </c>
      <c r="AS1033" s="21">
        <v>46276</v>
      </c>
      <c r="AT1033" t="s">
        <v>5062</v>
      </c>
      <c r="AU1033" t="s">
        <v>5078</v>
      </c>
      <c r="AV1033" t="s">
        <v>5062</v>
      </c>
      <c r="AW1033" t="s">
        <v>5086</v>
      </c>
    </row>
    <row r="1034" spans="1:49" x14ac:dyDescent="0.35">
      <c r="A1034" t="s">
        <v>2796</v>
      </c>
      <c r="B1034" t="s">
        <v>872</v>
      </c>
      <c r="C1034" t="s">
        <v>4818</v>
      </c>
      <c r="D1034" t="s">
        <v>18</v>
      </c>
      <c r="E1034" t="s">
        <v>3861</v>
      </c>
      <c r="F1034" t="s">
        <v>3862</v>
      </c>
      <c r="G1034" t="s">
        <v>21</v>
      </c>
      <c r="H1034" t="s">
        <v>4888</v>
      </c>
      <c r="I1034" t="s">
        <v>5012</v>
      </c>
      <c r="J1034" s="4" t="s">
        <v>5013</v>
      </c>
      <c r="K1034" s="4" t="s">
        <v>4904</v>
      </c>
      <c r="L1034" s="4" t="s">
        <v>4988</v>
      </c>
      <c r="M1034" s="4" t="s">
        <v>5035</v>
      </c>
      <c r="N1034" t="s">
        <v>3863</v>
      </c>
      <c r="O1034" t="s">
        <v>3864</v>
      </c>
      <c r="P1034" t="s">
        <v>23</v>
      </c>
      <c r="Q1034" t="s">
        <v>24</v>
      </c>
      <c r="R1034" t="s">
        <v>25</v>
      </c>
      <c r="S1034" t="s">
        <v>26</v>
      </c>
      <c r="T1034" s="6">
        <v>46307</v>
      </c>
      <c r="U1034">
        <v>48</v>
      </c>
      <c r="V1034">
        <v>48</v>
      </c>
      <c r="W1034">
        <v>48</v>
      </c>
      <c r="X1034">
        <v>48</v>
      </c>
      <c r="Y1034">
        <f t="shared" si="167"/>
        <v>0</v>
      </c>
      <c r="Z1034">
        <f t="shared" si="168"/>
        <v>0</v>
      </c>
      <c r="AC1034" s="1">
        <v>0</v>
      </c>
      <c r="AF1034">
        <f>V1034</f>
        <v>48</v>
      </c>
      <c r="AG1034" s="7">
        <v>24</v>
      </c>
      <c r="AH1034">
        <f t="shared" si="169"/>
        <v>48</v>
      </c>
      <c r="AI1034">
        <f t="shared" si="166"/>
        <v>0</v>
      </c>
      <c r="AK1034">
        <f t="shared" si="170"/>
        <v>2</v>
      </c>
      <c r="AL1034">
        <v>6.15</v>
      </c>
      <c r="AM1034" t="s">
        <v>27</v>
      </c>
      <c r="AN1034">
        <v>6.15</v>
      </c>
      <c r="AO1034" t="b">
        <f t="shared" si="171"/>
        <v>1</v>
      </c>
      <c r="AR1034" t="s">
        <v>5061</v>
      </c>
      <c r="AS1034" s="21">
        <v>46276</v>
      </c>
      <c r="AT1034" t="s">
        <v>5062</v>
      </c>
      <c r="AU1034" t="s">
        <v>5081</v>
      </c>
      <c r="AV1034" t="s">
        <v>5062</v>
      </c>
      <c r="AW1034" t="s">
        <v>5086</v>
      </c>
    </row>
    <row r="1035" spans="1:49" x14ac:dyDescent="0.35">
      <c r="A1035" t="s">
        <v>2796</v>
      </c>
      <c r="B1035" t="s">
        <v>872</v>
      </c>
      <c r="C1035" t="s">
        <v>4818</v>
      </c>
      <c r="D1035" t="s">
        <v>18</v>
      </c>
      <c r="E1035" t="s">
        <v>3865</v>
      </c>
      <c r="F1035" t="s">
        <v>3866</v>
      </c>
      <c r="G1035" t="s">
        <v>21</v>
      </c>
      <c r="H1035" t="s">
        <v>4888</v>
      </c>
      <c r="I1035" t="s">
        <v>5003</v>
      </c>
      <c r="J1035" s="4" t="s">
        <v>5004</v>
      </c>
      <c r="K1035" s="4" t="s">
        <v>4837</v>
      </c>
      <c r="L1035" s="4" t="s">
        <v>4885</v>
      </c>
      <c r="M1035" s="4" t="s">
        <v>5035</v>
      </c>
      <c r="N1035" t="s">
        <v>3867</v>
      </c>
      <c r="O1035" t="s">
        <v>3868</v>
      </c>
      <c r="P1035" t="s">
        <v>23</v>
      </c>
      <c r="Q1035" t="s">
        <v>24</v>
      </c>
      <c r="R1035" t="s">
        <v>25</v>
      </c>
      <c r="S1035" t="s">
        <v>26</v>
      </c>
      <c r="T1035" s="6">
        <v>46307</v>
      </c>
      <c r="U1035">
        <v>108</v>
      </c>
      <c r="V1035">
        <v>108</v>
      </c>
      <c r="W1035">
        <v>120</v>
      </c>
      <c r="X1035">
        <v>120</v>
      </c>
      <c r="Y1035">
        <f t="shared" si="167"/>
        <v>0</v>
      </c>
      <c r="Z1035">
        <f t="shared" si="168"/>
        <v>-12</v>
      </c>
      <c r="AC1035" s="1">
        <v>0</v>
      </c>
      <c r="AF1035">
        <f>V1035</f>
        <v>108</v>
      </c>
      <c r="AG1035" s="7">
        <v>12</v>
      </c>
      <c r="AH1035">
        <f t="shared" si="169"/>
        <v>108</v>
      </c>
      <c r="AI1035">
        <f t="shared" si="166"/>
        <v>0</v>
      </c>
      <c r="AK1035">
        <f t="shared" si="170"/>
        <v>9</v>
      </c>
      <c r="AL1035">
        <v>12.87</v>
      </c>
      <c r="AM1035" t="s">
        <v>27</v>
      </c>
      <c r="AN1035">
        <v>12.87</v>
      </c>
      <c r="AO1035" t="b">
        <f t="shared" si="171"/>
        <v>1</v>
      </c>
      <c r="AR1035" t="s">
        <v>5061</v>
      </c>
      <c r="AS1035" s="21">
        <v>46276</v>
      </c>
      <c r="AT1035" t="s">
        <v>5062</v>
      </c>
      <c r="AU1035" t="s">
        <v>5078</v>
      </c>
      <c r="AV1035" t="s">
        <v>5062</v>
      </c>
      <c r="AW1035" t="s">
        <v>5086</v>
      </c>
    </row>
    <row r="1036" spans="1:49" x14ac:dyDescent="0.35">
      <c r="A1036" t="s">
        <v>2796</v>
      </c>
      <c r="B1036" t="s">
        <v>872</v>
      </c>
      <c r="C1036" t="s">
        <v>4818</v>
      </c>
      <c r="D1036" t="s">
        <v>18</v>
      </c>
      <c r="E1036" t="s">
        <v>3869</v>
      </c>
      <c r="F1036" t="s">
        <v>3870</v>
      </c>
      <c r="G1036" t="s">
        <v>21</v>
      </c>
      <c r="H1036" t="s">
        <v>4888</v>
      </c>
      <c r="I1036" t="s">
        <v>5005</v>
      </c>
      <c r="J1036" s="4" t="s">
        <v>5006</v>
      </c>
      <c r="K1036" s="4" t="s">
        <v>5007</v>
      </c>
      <c r="L1036" s="4">
        <v>40</v>
      </c>
      <c r="M1036" s="4" t="s">
        <v>5035</v>
      </c>
      <c r="N1036" t="s">
        <v>3871</v>
      </c>
      <c r="O1036" t="s">
        <v>3872</v>
      </c>
      <c r="P1036" t="s">
        <v>23</v>
      </c>
      <c r="Q1036" t="s">
        <v>24</v>
      </c>
      <c r="R1036" t="s">
        <v>25</v>
      </c>
      <c r="S1036" t="s">
        <v>26</v>
      </c>
      <c r="T1036" s="6">
        <v>46307</v>
      </c>
      <c r="U1036">
        <v>336</v>
      </c>
      <c r="V1036">
        <v>336</v>
      </c>
      <c r="W1036">
        <v>360</v>
      </c>
      <c r="X1036">
        <v>360</v>
      </c>
      <c r="Y1036">
        <f t="shared" si="167"/>
        <v>0</v>
      </c>
      <c r="Z1036">
        <f t="shared" si="168"/>
        <v>-24</v>
      </c>
      <c r="AC1036" s="1">
        <v>0</v>
      </c>
      <c r="AF1036">
        <f>V1036</f>
        <v>336</v>
      </c>
      <c r="AG1036" s="7">
        <v>24</v>
      </c>
      <c r="AH1036">
        <f t="shared" si="169"/>
        <v>336</v>
      </c>
      <c r="AI1036">
        <f t="shared" si="166"/>
        <v>0</v>
      </c>
      <c r="AK1036">
        <f t="shared" si="170"/>
        <v>14</v>
      </c>
      <c r="AL1036">
        <v>10.45</v>
      </c>
      <c r="AM1036" t="s">
        <v>27</v>
      </c>
      <c r="AN1036">
        <v>10.45</v>
      </c>
      <c r="AO1036" t="b">
        <f t="shared" si="171"/>
        <v>1</v>
      </c>
      <c r="AR1036" t="s">
        <v>5061</v>
      </c>
      <c r="AS1036" s="21">
        <v>46276</v>
      </c>
      <c r="AT1036" t="s">
        <v>5062</v>
      </c>
      <c r="AU1036" t="s">
        <v>5079</v>
      </c>
      <c r="AV1036" t="s">
        <v>5062</v>
      </c>
      <c r="AW1036" t="s">
        <v>5086</v>
      </c>
    </row>
    <row r="1037" spans="1:49" x14ac:dyDescent="0.35">
      <c r="A1037" t="s">
        <v>2796</v>
      </c>
      <c r="B1037" t="s">
        <v>872</v>
      </c>
      <c r="C1037" t="s">
        <v>4818</v>
      </c>
      <c r="D1037" t="s">
        <v>18</v>
      </c>
      <c r="E1037" t="s">
        <v>3873</v>
      </c>
      <c r="F1037" t="s">
        <v>3874</v>
      </c>
      <c r="G1037" t="s">
        <v>21</v>
      </c>
      <c r="H1037" t="s">
        <v>4888</v>
      </c>
      <c r="I1037" t="s">
        <v>5005</v>
      </c>
      <c r="J1037" s="4" t="s">
        <v>5006</v>
      </c>
      <c r="K1037" s="4" t="s">
        <v>5027</v>
      </c>
      <c r="L1037" s="4">
        <v>29</v>
      </c>
      <c r="M1037" s="4" t="s">
        <v>5035</v>
      </c>
      <c r="N1037" t="s">
        <v>3875</v>
      </c>
      <c r="O1037" t="s">
        <v>3876</v>
      </c>
      <c r="P1037" t="s">
        <v>23</v>
      </c>
      <c r="Q1037" t="s">
        <v>24</v>
      </c>
      <c r="R1037" t="s">
        <v>25</v>
      </c>
      <c r="S1037" t="s">
        <v>26</v>
      </c>
      <c r="T1037" s="6">
        <v>46307</v>
      </c>
      <c r="U1037">
        <v>120</v>
      </c>
      <c r="V1037">
        <v>120</v>
      </c>
      <c r="W1037">
        <v>96</v>
      </c>
      <c r="X1037">
        <v>96</v>
      </c>
      <c r="Y1037">
        <f t="shared" si="167"/>
        <v>0</v>
      </c>
      <c r="Z1037">
        <f t="shared" si="168"/>
        <v>24</v>
      </c>
      <c r="AA1037">
        <f>Z1037</f>
        <v>24</v>
      </c>
      <c r="AC1037" s="1">
        <v>0</v>
      </c>
      <c r="AF1037">
        <f>X1037</f>
        <v>96</v>
      </c>
      <c r="AG1037" s="7">
        <v>24</v>
      </c>
      <c r="AH1037">
        <f t="shared" si="169"/>
        <v>96</v>
      </c>
      <c r="AI1037">
        <f t="shared" si="166"/>
        <v>24</v>
      </c>
      <c r="AK1037">
        <f t="shared" si="170"/>
        <v>4</v>
      </c>
      <c r="AL1037">
        <v>10.24</v>
      </c>
      <c r="AM1037" t="s">
        <v>27</v>
      </c>
      <c r="AN1037">
        <v>10.24</v>
      </c>
      <c r="AO1037" t="b">
        <f t="shared" si="171"/>
        <v>1</v>
      </c>
      <c r="AR1037" t="s">
        <v>5061</v>
      </c>
      <c r="AS1037" s="21">
        <v>46276</v>
      </c>
      <c r="AT1037" t="s">
        <v>5062</v>
      </c>
      <c r="AU1037" t="s">
        <v>5079</v>
      </c>
      <c r="AV1037" t="s">
        <v>5062</v>
      </c>
      <c r="AW1037" t="s">
        <v>5086</v>
      </c>
    </row>
    <row r="1038" spans="1:49" x14ac:dyDescent="0.35">
      <c r="A1038" t="s">
        <v>2796</v>
      </c>
      <c r="B1038" t="s">
        <v>872</v>
      </c>
      <c r="C1038" t="s">
        <v>4818</v>
      </c>
      <c r="D1038" t="s">
        <v>18</v>
      </c>
      <c r="E1038" t="s">
        <v>3877</v>
      </c>
      <c r="F1038" t="s">
        <v>3878</v>
      </c>
      <c r="G1038" t="s">
        <v>21</v>
      </c>
      <c r="H1038" t="s">
        <v>4888</v>
      </c>
      <c r="I1038" t="s">
        <v>5010</v>
      </c>
      <c r="J1038" s="4" t="s">
        <v>5011</v>
      </c>
      <c r="K1038" s="4" t="s">
        <v>4984</v>
      </c>
      <c r="L1038" s="4" t="s">
        <v>4996</v>
      </c>
      <c r="M1038" s="4" t="s">
        <v>5035</v>
      </c>
      <c r="N1038" t="s">
        <v>3879</v>
      </c>
      <c r="O1038" t="s">
        <v>3880</v>
      </c>
      <c r="P1038" t="s">
        <v>23</v>
      </c>
      <c r="Q1038" t="s">
        <v>24</v>
      </c>
      <c r="R1038" t="s">
        <v>25</v>
      </c>
      <c r="S1038" t="s">
        <v>26</v>
      </c>
      <c r="T1038" s="6">
        <v>46307</v>
      </c>
      <c r="U1038">
        <v>96</v>
      </c>
      <c r="V1038">
        <v>96</v>
      </c>
      <c r="W1038">
        <v>120</v>
      </c>
      <c r="X1038">
        <v>120</v>
      </c>
      <c r="Y1038">
        <f t="shared" si="167"/>
        <v>0</v>
      </c>
      <c r="Z1038">
        <f t="shared" si="168"/>
        <v>-24</v>
      </c>
      <c r="AC1038" s="1">
        <v>0</v>
      </c>
      <c r="AF1038">
        <f>V1038</f>
        <v>96</v>
      </c>
      <c r="AG1038" s="7">
        <v>24</v>
      </c>
      <c r="AH1038">
        <f t="shared" si="169"/>
        <v>96</v>
      </c>
      <c r="AI1038">
        <f t="shared" si="166"/>
        <v>0</v>
      </c>
      <c r="AK1038">
        <f t="shared" si="170"/>
        <v>4</v>
      </c>
      <c r="AL1038">
        <v>4.92</v>
      </c>
      <c r="AM1038" t="s">
        <v>27</v>
      </c>
      <c r="AN1038">
        <v>4.92</v>
      </c>
      <c r="AO1038" t="b">
        <f t="shared" si="171"/>
        <v>1</v>
      </c>
      <c r="AR1038" t="s">
        <v>5061</v>
      </c>
      <c r="AS1038" s="21">
        <v>46276</v>
      </c>
      <c r="AT1038" t="s">
        <v>5062</v>
      </c>
      <c r="AU1038" t="s">
        <v>5081</v>
      </c>
      <c r="AV1038" t="s">
        <v>5062</v>
      </c>
      <c r="AW1038" t="s">
        <v>5086</v>
      </c>
    </row>
    <row r="1039" spans="1:49" x14ac:dyDescent="0.35">
      <c r="A1039" t="s">
        <v>2796</v>
      </c>
      <c r="B1039" t="s">
        <v>872</v>
      </c>
      <c r="C1039" t="s">
        <v>4818</v>
      </c>
      <c r="D1039" t="s">
        <v>18</v>
      </c>
      <c r="E1039" t="s">
        <v>3881</v>
      </c>
      <c r="F1039" t="s">
        <v>3882</v>
      </c>
      <c r="G1039" t="s">
        <v>21</v>
      </c>
      <c r="H1039" t="s">
        <v>4888</v>
      </c>
      <c r="I1039" t="s">
        <v>5008</v>
      </c>
      <c r="J1039" s="4" t="s">
        <v>5009</v>
      </c>
      <c r="K1039" s="4" t="s">
        <v>4904</v>
      </c>
      <c r="L1039" s="4">
        <v>38</v>
      </c>
      <c r="M1039" s="4" t="s">
        <v>5035</v>
      </c>
      <c r="N1039" t="s">
        <v>3883</v>
      </c>
      <c r="O1039" t="s">
        <v>3884</v>
      </c>
      <c r="P1039" t="s">
        <v>23</v>
      </c>
      <c r="Q1039" t="s">
        <v>24</v>
      </c>
      <c r="R1039" t="s">
        <v>25</v>
      </c>
      <c r="S1039" t="s">
        <v>26</v>
      </c>
      <c r="T1039" s="6">
        <v>46307</v>
      </c>
      <c r="U1039">
        <v>624</v>
      </c>
      <c r="V1039">
        <v>624</v>
      </c>
      <c r="W1039">
        <v>672</v>
      </c>
      <c r="X1039">
        <v>672</v>
      </c>
      <c r="Y1039">
        <f t="shared" si="167"/>
        <v>0</v>
      </c>
      <c r="Z1039">
        <f t="shared" si="168"/>
        <v>-48</v>
      </c>
      <c r="AC1039" s="1"/>
      <c r="AF1039">
        <f>V1039</f>
        <v>624</v>
      </c>
      <c r="AG1039" s="7">
        <v>24</v>
      </c>
      <c r="AH1039">
        <f t="shared" si="169"/>
        <v>624</v>
      </c>
      <c r="AI1039">
        <f t="shared" si="166"/>
        <v>0</v>
      </c>
      <c r="AK1039">
        <f t="shared" si="170"/>
        <v>26</v>
      </c>
      <c r="AL1039">
        <v>10.11</v>
      </c>
      <c r="AM1039" t="s">
        <v>27</v>
      </c>
      <c r="AN1039">
        <v>10.11</v>
      </c>
      <c r="AO1039" t="b">
        <f t="shared" si="171"/>
        <v>1</v>
      </c>
      <c r="AR1039" t="s">
        <v>5061</v>
      </c>
      <c r="AS1039" s="21">
        <v>46276</v>
      </c>
      <c r="AT1039" t="s">
        <v>5062</v>
      </c>
      <c r="AU1039" t="s">
        <v>5080</v>
      </c>
      <c r="AV1039" t="s">
        <v>5062</v>
      </c>
      <c r="AW1039" t="s">
        <v>5086</v>
      </c>
    </row>
    <row r="1040" spans="1:49" x14ac:dyDescent="0.35">
      <c r="A1040" t="s">
        <v>2796</v>
      </c>
      <c r="B1040" t="s">
        <v>872</v>
      </c>
      <c r="C1040" t="s">
        <v>4818</v>
      </c>
      <c r="D1040" t="s">
        <v>18</v>
      </c>
      <c r="E1040" t="s">
        <v>3885</v>
      </c>
      <c r="F1040" t="s">
        <v>3886</v>
      </c>
      <c r="G1040" t="s">
        <v>21</v>
      </c>
      <c r="H1040" t="s">
        <v>4888</v>
      </c>
      <c r="I1040" t="s">
        <v>5003</v>
      </c>
      <c r="J1040" s="4" t="s">
        <v>5004</v>
      </c>
      <c r="K1040" s="4" t="s">
        <v>5015</v>
      </c>
      <c r="L1040" s="4" t="s">
        <v>4875</v>
      </c>
      <c r="M1040" s="4" t="s">
        <v>5035</v>
      </c>
      <c r="N1040" t="s">
        <v>3887</v>
      </c>
      <c r="O1040" t="s">
        <v>3888</v>
      </c>
      <c r="P1040" t="s">
        <v>23</v>
      </c>
      <c r="Q1040" t="s">
        <v>24</v>
      </c>
      <c r="R1040" t="s">
        <v>25</v>
      </c>
      <c r="S1040" t="s">
        <v>26</v>
      </c>
      <c r="T1040" s="6">
        <v>46307</v>
      </c>
      <c r="U1040">
        <v>48</v>
      </c>
      <c r="V1040">
        <v>48</v>
      </c>
      <c r="W1040">
        <v>36</v>
      </c>
      <c r="X1040">
        <v>36</v>
      </c>
      <c r="Y1040">
        <f t="shared" si="167"/>
        <v>0</v>
      </c>
      <c r="Z1040">
        <f t="shared" si="168"/>
        <v>12</v>
      </c>
      <c r="AA1040">
        <f>Z1040</f>
        <v>12</v>
      </c>
      <c r="AC1040" s="1">
        <v>0</v>
      </c>
      <c r="AF1040">
        <f>X1040</f>
        <v>36</v>
      </c>
      <c r="AG1040" s="7">
        <v>12</v>
      </c>
      <c r="AH1040">
        <f t="shared" si="169"/>
        <v>36</v>
      </c>
      <c r="AI1040">
        <f t="shared" si="166"/>
        <v>12</v>
      </c>
      <c r="AK1040">
        <f t="shared" si="170"/>
        <v>3</v>
      </c>
      <c r="AL1040">
        <v>13.01</v>
      </c>
      <c r="AM1040" t="s">
        <v>27</v>
      </c>
      <c r="AN1040">
        <v>13.01</v>
      </c>
      <c r="AO1040" t="b">
        <f t="shared" si="171"/>
        <v>1</v>
      </c>
      <c r="AR1040" t="s">
        <v>5061</v>
      </c>
      <c r="AS1040" s="21">
        <v>46276</v>
      </c>
      <c r="AT1040" t="s">
        <v>5062</v>
      </c>
      <c r="AU1040" t="s">
        <v>5078</v>
      </c>
      <c r="AV1040" t="s">
        <v>5062</v>
      </c>
      <c r="AW1040" t="s">
        <v>5086</v>
      </c>
    </row>
    <row r="1041" spans="1:49" x14ac:dyDescent="0.35">
      <c r="A1041" t="s">
        <v>2796</v>
      </c>
      <c r="B1041" t="s">
        <v>872</v>
      </c>
      <c r="C1041" t="s">
        <v>4818</v>
      </c>
      <c r="D1041" t="s">
        <v>18</v>
      </c>
      <c r="E1041" t="s">
        <v>3889</v>
      </c>
      <c r="F1041" t="s">
        <v>3890</v>
      </c>
      <c r="G1041" t="s">
        <v>21</v>
      </c>
      <c r="H1041" t="s">
        <v>4888</v>
      </c>
      <c r="I1041" t="s">
        <v>5012</v>
      </c>
      <c r="J1041" s="4" t="s">
        <v>5013</v>
      </c>
      <c r="K1041" s="4" t="s">
        <v>4984</v>
      </c>
      <c r="L1041" s="4" t="s">
        <v>4990</v>
      </c>
      <c r="M1041" s="4" t="s">
        <v>5035</v>
      </c>
      <c r="N1041" t="s">
        <v>3891</v>
      </c>
      <c r="O1041" t="s">
        <v>3892</v>
      </c>
      <c r="P1041" t="s">
        <v>23</v>
      </c>
      <c r="Q1041" t="s">
        <v>24</v>
      </c>
      <c r="R1041" t="s">
        <v>25</v>
      </c>
      <c r="S1041" t="s">
        <v>26</v>
      </c>
      <c r="T1041" s="6">
        <v>46307</v>
      </c>
      <c r="U1041">
        <v>216</v>
      </c>
      <c r="V1041">
        <v>216</v>
      </c>
      <c r="W1041">
        <v>240</v>
      </c>
      <c r="X1041">
        <v>240</v>
      </c>
      <c r="Y1041">
        <f t="shared" si="167"/>
        <v>0</v>
      </c>
      <c r="Z1041">
        <f t="shared" si="168"/>
        <v>-24</v>
      </c>
      <c r="AC1041" s="1">
        <v>0</v>
      </c>
      <c r="AF1041">
        <f>V1041</f>
        <v>216</v>
      </c>
      <c r="AG1041" s="7">
        <v>24</v>
      </c>
      <c r="AH1041">
        <f t="shared" si="169"/>
        <v>216</v>
      </c>
      <c r="AI1041">
        <f t="shared" si="166"/>
        <v>0</v>
      </c>
      <c r="AK1041">
        <f t="shared" si="170"/>
        <v>9</v>
      </c>
      <c r="AL1041">
        <v>6.05</v>
      </c>
      <c r="AM1041" t="s">
        <v>27</v>
      </c>
      <c r="AN1041">
        <v>6.05</v>
      </c>
      <c r="AO1041" t="b">
        <f t="shared" si="171"/>
        <v>1</v>
      </c>
      <c r="AR1041" t="s">
        <v>5061</v>
      </c>
      <c r="AS1041" s="21">
        <v>46276</v>
      </c>
      <c r="AT1041" t="s">
        <v>5062</v>
      </c>
      <c r="AU1041" t="s">
        <v>5081</v>
      </c>
      <c r="AV1041" t="s">
        <v>5062</v>
      </c>
      <c r="AW1041" t="s">
        <v>5086</v>
      </c>
    </row>
    <row r="1042" spans="1:49" x14ac:dyDescent="0.35">
      <c r="A1042" t="s">
        <v>2796</v>
      </c>
      <c r="B1042" t="s">
        <v>872</v>
      </c>
      <c r="C1042" t="s">
        <v>4818</v>
      </c>
      <c r="D1042" t="s">
        <v>18</v>
      </c>
      <c r="E1042" t="s">
        <v>3893</v>
      </c>
      <c r="F1042" t="s">
        <v>3894</v>
      </c>
      <c r="G1042" t="s">
        <v>21</v>
      </c>
      <c r="H1042" t="s">
        <v>4888</v>
      </c>
      <c r="I1042" t="s">
        <v>5003</v>
      </c>
      <c r="J1042" s="4" t="s">
        <v>5004</v>
      </c>
      <c r="K1042" s="4" t="s">
        <v>5016</v>
      </c>
      <c r="L1042" s="4" t="s">
        <v>4931</v>
      </c>
      <c r="M1042" s="4" t="s">
        <v>5035</v>
      </c>
      <c r="N1042" t="s">
        <v>3895</v>
      </c>
      <c r="O1042" t="s">
        <v>3896</v>
      </c>
      <c r="P1042" t="s">
        <v>23</v>
      </c>
      <c r="Q1042" t="s">
        <v>24</v>
      </c>
      <c r="R1042" t="s">
        <v>25</v>
      </c>
      <c r="S1042" t="s">
        <v>26</v>
      </c>
      <c r="T1042" s="6">
        <v>46307</v>
      </c>
      <c r="U1042">
        <v>12</v>
      </c>
      <c r="V1042">
        <v>12</v>
      </c>
      <c r="W1042">
        <v>12</v>
      </c>
      <c r="X1042">
        <v>12</v>
      </c>
      <c r="Y1042">
        <f t="shared" si="167"/>
        <v>0</v>
      </c>
      <c r="Z1042">
        <f t="shared" si="168"/>
        <v>0</v>
      </c>
      <c r="AC1042" s="1">
        <v>0</v>
      </c>
      <c r="AF1042">
        <f>V1042</f>
        <v>12</v>
      </c>
      <c r="AG1042" s="7">
        <v>12</v>
      </c>
      <c r="AH1042">
        <f t="shared" si="169"/>
        <v>12</v>
      </c>
      <c r="AI1042">
        <f t="shared" si="166"/>
        <v>0</v>
      </c>
      <c r="AK1042">
        <f t="shared" si="170"/>
        <v>1</v>
      </c>
      <c r="AL1042">
        <v>13.33</v>
      </c>
      <c r="AM1042" t="s">
        <v>27</v>
      </c>
      <c r="AN1042">
        <v>13.33</v>
      </c>
      <c r="AO1042" t="b">
        <f t="shared" si="171"/>
        <v>1</v>
      </c>
      <c r="AR1042" t="s">
        <v>5061</v>
      </c>
      <c r="AS1042" s="21">
        <v>46276</v>
      </c>
      <c r="AT1042" t="s">
        <v>5062</v>
      </c>
      <c r="AU1042" t="s">
        <v>5078</v>
      </c>
      <c r="AV1042" t="s">
        <v>5062</v>
      </c>
      <c r="AW1042" t="s">
        <v>5086</v>
      </c>
    </row>
    <row r="1043" spans="1:49" x14ac:dyDescent="0.35">
      <c r="A1043" t="s">
        <v>2796</v>
      </c>
      <c r="B1043" t="s">
        <v>872</v>
      </c>
      <c r="C1043" t="s">
        <v>4818</v>
      </c>
      <c r="D1043" t="s">
        <v>18</v>
      </c>
      <c r="E1043" t="s">
        <v>3897</v>
      </c>
      <c r="F1043" t="s">
        <v>3898</v>
      </c>
      <c r="G1043" t="s">
        <v>21</v>
      </c>
      <c r="H1043" t="s">
        <v>4888</v>
      </c>
      <c r="I1043" t="s">
        <v>5003</v>
      </c>
      <c r="J1043" s="4" t="s">
        <v>5004</v>
      </c>
      <c r="K1043" s="4" t="s">
        <v>5015</v>
      </c>
      <c r="L1043" s="4" t="s">
        <v>4884</v>
      </c>
      <c r="M1043" s="4" t="s">
        <v>5035</v>
      </c>
      <c r="N1043" t="s">
        <v>3899</v>
      </c>
      <c r="O1043" t="s">
        <v>3900</v>
      </c>
      <c r="P1043" t="s">
        <v>23</v>
      </c>
      <c r="Q1043" t="s">
        <v>24</v>
      </c>
      <c r="R1043" t="s">
        <v>25</v>
      </c>
      <c r="S1043" t="s">
        <v>26</v>
      </c>
      <c r="T1043" s="6">
        <v>46307</v>
      </c>
      <c r="U1043">
        <v>36</v>
      </c>
      <c r="V1043">
        <v>36</v>
      </c>
      <c r="W1043">
        <v>36</v>
      </c>
      <c r="X1043">
        <v>36</v>
      </c>
      <c r="Y1043">
        <f t="shared" si="167"/>
        <v>0</v>
      </c>
      <c r="Z1043">
        <f t="shared" si="168"/>
        <v>0</v>
      </c>
      <c r="AC1043" s="1">
        <v>0</v>
      </c>
      <c r="AF1043">
        <f>V1043</f>
        <v>36</v>
      </c>
      <c r="AG1043" s="7">
        <v>12</v>
      </c>
      <c r="AH1043">
        <f t="shared" si="169"/>
        <v>36</v>
      </c>
      <c r="AI1043">
        <f t="shared" si="166"/>
        <v>0</v>
      </c>
      <c r="AK1043">
        <f t="shared" si="170"/>
        <v>3</v>
      </c>
      <c r="AL1043">
        <v>13.01</v>
      </c>
      <c r="AM1043" t="s">
        <v>27</v>
      </c>
      <c r="AN1043">
        <v>13.01</v>
      </c>
      <c r="AO1043" t="b">
        <f t="shared" si="171"/>
        <v>1</v>
      </c>
      <c r="AR1043" t="s">
        <v>5061</v>
      </c>
      <c r="AS1043" s="21">
        <v>46276</v>
      </c>
      <c r="AT1043" t="s">
        <v>5062</v>
      </c>
      <c r="AU1043" t="s">
        <v>5078</v>
      </c>
      <c r="AV1043" t="s">
        <v>5062</v>
      </c>
      <c r="AW1043" t="s">
        <v>5086</v>
      </c>
    </row>
    <row r="1044" spans="1:49" x14ac:dyDescent="0.35">
      <c r="A1044" t="s">
        <v>2796</v>
      </c>
      <c r="B1044" t="s">
        <v>872</v>
      </c>
      <c r="C1044" t="s">
        <v>4818</v>
      </c>
      <c r="D1044" t="s">
        <v>18</v>
      </c>
      <c r="E1044" t="s">
        <v>3901</v>
      </c>
      <c r="F1044" t="s">
        <v>3902</v>
      </c>
      <c r="G1044" t="s">
        <v>21</v>
      </c>
      <c r="H1044" t="s">
        <v>4888</v>
      </c>
      <c r="I1044" t="s">
        <v>5003</v>
      </c>
      <c r="J1044" s="4" t="s">
        <v>5004</v>
      </c>
      <c r="K1044" s="4" t="s">
        <v>5016</v>
      </c>
      <c r="L1044" s="4" t="s">
        <v>4917</v>
      </c>
      <c r="M1044" s="4" t="s">
        <v>5035</v>
      </c>
      <c r="N1044" t="s">
        <v>3903</v>
      </c>
      <c r="O1044" t="s">
        <v>3904</v>
      </c>
      <c r="P1044" t="s">
        <v>23</v>
      </c>
      <c r="Q1044" t="s">
        <v>24</v>
      </c>
      <c r="R1044" t="s">
        <v>25</v>
      </c>
      <c r="S1044" t="s">
        <v>26</v>
      </c>
      <c r="T1044" s="6">
        <v>46307</v>
      </c>
      <c r="U1044">
        <v>48</v>
      </c>
      <c r="V1044">
        <v>48</v>
      </c>
      <c r="W1044">
        <v>48</v>
      </c>
      <c r="X1044">
        <v>48</v>
      </c>
      <c r="Y1044">
        <f t="shared" si="167"/>
        <v>0</v>
      </c>
      <c r="Z1044">
        <f t="shared" si="168"/>
        <v>0</v>
      </c>
      <c r="AC1044" s="1">
        <v>0</v>
      </c>
      <c r="AF1044">
        <f>V1044</f>
        <v>48</v>
      </c>
      <c r="AG1044" s="7">
        <v>12</v>
      </c>
      <c r="AH1044">
        <f t="shared" si="169"/>
        <v>48</v>
      </c>
      <c r="AI1044">
        <f t="shared" si="166"/>
        <v>0</v>
      </c>
      <c r="AK1044">
        <f t="shared" si="170"/>
        <v>4</v>
      </c>
      <c r="AL1044">
        <v>13.33</v>
      </c>
      <c r="AM1044" t="s">
        <v>27</v>
      </c>
      <c r="AN1044">
        <v>13.33</v>
      </c>
      <c r="AO1044" t="b">
        <f t="shared" si="171"/>
        <v>1</v>
      </c>
      <c r="AR1044" t="s">
        <v>5061</v>
      </c>
      <c r="AS1044" s="21">
        <v>46276</v>
      </c>
      <c r="AT1044" t="s">
        <v>5062</v>
      </c>
      <c r="AU1044" t="s">
        <v>5078</v>
      </c>
      <c r="AV1044" t="s">
        <v>5062</v>
      </c>
      <c r="AW1044" t="s">
        <v>5086</v>
      </c>
    </row>
    <row r="1045" spans="1:49" x14ac:dyDescent="0.35">
      <c r="A1045" t="s">
        <v>2796</v>
      </c>
      <c r="B1045" t="s">
        <v>872</v>
      </c>
      <c r="C1045" t="s">
        <v>4818</v>
      </c>
      <c r="D1045" t="s">
        <v>18</v>
      </c>
      <c r="E1045" t="s">
        <v>3905</v>
      </c>
      <c r="F1045" t="s">
        <v>3906</v>
      </c>
      <c r="G1045" t="s">
        <v>21</v>
      </c>
      <c r="H1045" t="s">
        <v>4888</v>
      </c>
      <c r="I1045" t="s">
        <v>5003</v>
      </c>
      <c r="J1045" s="4" t="s">
        <v>5004</v>
      </c>
      <c r="K1045" s="4" t="s">
        <v>5015</v>
      </c>
      <c r="L1045" s="4" t="s">
        <v>4917</v>
      </c>
      <c r="M1045" s="4" t="s">
        <v>5035</v>
      </c>
      <c r="N1045" t="s">
        <v>3907</v>
      </c>
      <c r="O1045" t="s">
        <v>3908</v>
      </c>
      <c r="P1045" t="s">
        <v>23</v>
      </c>
      <c r="Q1045" t="s">
        <v>24</v>
      </c>
      <c r="R1045" t="s">
        <v>25</v>
      </c>
      <c r="S1045" t="s">
        <v>26</v>
      </c>
      <c r="T1045" s="6">
        <v>46307</v>
      </c>
      <c r="U1045">
        <v>36</v>
      </c>
      <c r="V1045">
        <v>36</v>
      </c>
      <c r="W1045">
        <v>36</v>
      </c>
      <c r="X1045">
        <v>36</v>
      </c>
      <c r="Y1045">
        <f t="shared" si="167"/>
        <v>0</v>
      </c>
      <c r="Z1045">
        <f t="shared" si="168"/>
        <v>0</v>
      </c>
      <c r="AC1045" s="1">
        <v>0</v>
      </c>
      <c r="AF1045">
        <f>V1045</f>
        <v>36</v>
      </c>
      <c r="AG1045" s="7">
        <v>12</v>
      </c>
      <c r="AH1045">
        <f t="shared" si="169"/>
        <v>36</v>
      </c>
      <c r="AI1045">
        <f t="shared" si="166"/>
        <v>0</v>
      </c>
      <c r="AK1045">
        <f t="shared" si="170"/>
        <v>3</v>
      </c>
      <c r="AL1045">
        <v>13.01</v>
      </c>
      <c r="AM1045" t="s">
        <v>27</v>
      </c>
      <c r="AN1045">
        <v>13.01</v>
      </c>
      <c r="AO1045" t="b">
        <f t="shared" si="171"/>
        <v>1</v>
      </c>
      <c r="AR1045" t="s">
        <v>5061</v>
      </c>
      <c r="AS1045" s="21">
        <v>46276</v>
      </c>
      <c r="AT1045" t="s">
        <v>5062</v>
      </c>
      <c r="AU1045" t="s">
        <v>5078</v>
      </c>
      <c r="AV1045" t="s">
        <v>5062</v>
      </c>
      <c r="AW1045" t="s">
        <v>5086</v>
      </c>
    </row>
    <row r="1046" spans="1:49" x14ac:dyDescent="0.35">
      <c r="A1046" t="s">
        <v>2796</v>
      </c>
      <c r="B1046" t="s">
        <v>872</v>
      </c>
      <c r="C1046" t="s">
        <v>4818</v>
      </c>
      <c r="D1046" t="s">
        <v>18</v>
      </c>
      <c r="E1046" t="s">
        <v>3909</v>
      </c>
      <c r="F1046" t="s">
        <v>3910</v>
      </c>
      <c r="G1046" t="s">
        <v>21</v>
      </c>
      <c r="H1046" t="s">
        <v>4888</v>
      </c>
      <c r="I1046" t="s">
        <v>5003</v>
      </c>
      <c r="J1046" s="4" t="s">
        <v>5004</v>
      </c>
      <c r="K1046" s="4" t="s">
        <v>5015</v>
      </c>
      <c r="L1046" s="4" t="s">
        <v>4912</v>
      </c>
      <c r="M1046" s="4" t="s">
        <v>5035</v>
      </c>
      <c r="N1046" t="s">
        <v>3911</v>
      </c>
      <c r="O1046" t="s">
        <v>3912</v>
      </c>
      <c r="P1046" t="s">
        <v>23</v>
      </c>
      <c r="Q1046" t="s">
        <v>24</v>
      </c>
      <c r="R1046" t="s">
        <v>25</v>
      </c>
      <c r="S1046" t="s">
        <v>26</v>
      </c>
      <c r="T1046" s="6">
        <v>46307</v>
      </c>
      <c r="U1046">
        <v>48</v>
      </c>
      <c r="V1046">
        <v>48</v>
      </c>
      <c r="W1046">
        <v>36</v>
      </c>
      <c r="X1046">
        <v>36</v>
      </c>
      <c r="Y1046">
        <f t="shared" si="167"/>
        <v>0</v>
      </c>
      <c r="Z1046">
        <f t="shared" si="168"/>
        <v>12</v>
      </c>
      <c r="AA1046">
        <f>Z1046</f>
        <v>12</v>
      </c>
      <c r="AC1046" s="1">
        <v>0</v>
      </c>
      <c r="AF1046">
        <f>X1046</f>
        <v>36</v>
      </c>
      <c r="AG1046" s="7">
        <v>12</v>
      </c>
      <c r="AH1046">
        <f t="shared" si="169"/>
        <v>36</v>
      </c>
      <c r="AI1046">
        <f t="shared" si="166"/>
        <v>12</v>
      </c>
      <c r="AK1046">
        <f t="shared" si="170"/>
        <v>3</v>
      </c>
      <c r="AL1046">
        <v>13.01</v>
      </c>
      <c r="AM1046" t="s">
        <v>27</v>
      </c>
      <c r="AN1046">
        <v>13.01</v>
      </c>
      <c r="AO1046" t="b">
        <f t="shared" si="171"/>
        <v>1</v>
      </c>
      <c r="AR1046" t="s">
        <v>5061</v>
      </c>
      <c r="AS1046" s="21">
        <v>46276</v>
      </c>
      <c r="AT1046" t="s">
        <v>5062</v>
      </c>
      <c r="AU1046" t="s">
        <v>5078</v>
      </c>
      <c r="AV1046" t="s">
        <v>5062</v>
      </c>
      <c r="AW1046" t="s">
        <v>5086</v>
      </c>
    </row>
    <row r="1047" spans="1:49" x14ac:dyDescent="0.35">
      <c r="A1047" t="s">
        <v>2796</v>
      </c>
      <c r="B1047" t="s">
        <v>872</v>
      </c>
      <c r="C1047" t="s">
        <v>4818</v>
      </c>
      <c r="D1047" t="s">
        <v>18</v>
      </c>
      <c r="E1047" t="s">
        <v>3913</v>
      </c>
      <c r="F1047" t="s">
        <v>3914</v>
      </c>
      <c r="G1047" t="s">
        <v>21</v>
      </c>
      <c r="H1047" t="s">
        <v>4888</v>
      </c>
      <c r="I1047" t="s">
        <v>5003</v>
      </c>
      <c r="J1047" s="4" t="s">
        <v>5004</v>
      </c>
      <c r="K1047" s="4" t="s">
        <v>5016</v>
      </c>
      <c r="L1047" s="4" t="s">
        <v>4877</v>
      </c>
      <c r="M1047" s="4" t="s">
        <v>5035</v>
      </c>
      <c r="N1047" t="s">
        <v>3915</v>
      </c>
      <c r="O1047" t="s">
        <v>3916</v>
      </c>
      <c r="P1047" t="s">
        <v>23</v>
      </c>
      <c r="Q1047" t="s">
        <v>24</v>
      </c>
      <c r="R1047" t="s">
        <v>25</v>
      </c>
      <c r="S1047" t="s">
        <v>26</v>
      </c>
      <c r="T1047" s="6">
        <v>46307</v>
      </c>
      <c r="U1047">
        <v>60</v>
      </c>
      <c r="V1047">
        <v>60</v>
      </c>
      <c r="W1047">
        <v>60</v>
      </c>
      <c r="X1047">
        <v>60</v>
      </c>
      <c r="Y1047">
        <f t="shared" si="167"/>
        <v>0</v>
      </c>
      <c r="Z1047">
        <f t="shared" si="168"/>
        <v>0</v>
      </c>
      <c r="AC1047" s="1">
        <v>0</v>
      </c>
      <c r="AF1047">
        <f>V1047</f>
        <v>60</v>
      </c>
      <c r="AG1047" s="7">
        <v>12</v>
      </c>
      <c r="AH1047">
        <f t="shared" si="169"/>
        <v>60</v>
      </c>
      <c r="AI1047">
        <f t="shared" si="166"/>
        <v>0</v>
      </c>
      <c r="AK1047">
        <f t="shared" si="170"/>
        <v>5</v>
      </c>
      <c r="AL1047">
        <v>13.33</v>
      </c>
      <c r="AM1047" t="s">
        <v>27</v>
      </c>
      <c r="AN1047">
        <v>13.33</v>
      </c>
      <c r="AO1047" t="b">
        <f t="shared" si="171"/>
        <v>1</v>
      </c>
      <c r="AR1047" t="s">
        <v>5061</v>
      </c>
      <c r="AS1047" s="21">
        <v>46276</v>
      </c>
      <c r="AT1047" t="s">
        <v>5062</v>
      </c>
      <c r="AU1047" t="s">
        <v>5078</v>
      </c>
      <c r="AV1047" t="s">
        <v>5062</v>
      </c>
      <c r="AW1047" t="s">
        <v>5086</v>
      </c>
    </row>
    <row r="1048" spans="1:49" x14ac:dyDescent="0.35">
      <c r="A1048" t="s">
        <v>2796</v>
      </c>
      <c r="B1048" t="s">
        <v>872</v>
      </c>
      <c r="C1048" t="s">
        <v>4818</v>
      </c>
      <c r="D1048" t="s">
        <v>18</v>
      </c>
      <c r="E1048" t="s">
        <v>3917</v>
      </c>
      <c r="F1048" t="s">
        <v>3918</v>
      </c>
      <c r="G1048" t="s">
        <v>21</v>
      </c>
      <c r="H1048" t="s">
        <v>4888</v>
      </c>
      <c r="I1048" t="s">
        <v>5003</v>
      </c>
      <c r="J1048" s="4" t="s">
        <v>5004</v>
      </c>
      <c r="K1048" s="4" t="s">
        <v>5016</v>
      </c>
      <c r="L1048" s="4" t="s">
        <v>4925</v>
      </c>
      <c r="M1048" s="4" t="s">
        <v>5035</v>
      </c>
      <c r="N1048" t="s">
        <v>3919</v>
      </c>
      <c r="O1048" t="s">
        <v>3920</v>
      </c>
      <c r="P1048" t="s">
        <v>23</v>
      </c>
      <c r="Q1048" t="s">
        <v>24</v>
      </c>
      <c r="R1048" t="s">
        <v>25</v>
      </c>
      <c r="S1048" t="s">
        <v>26</v>
      </c>
      <c r="T1048" s="6">
        <v>46307</v>
      </c>
      <c r="U1048">
        <v>84</v>
      </c>
      <c r="V1048">
        <v>84</v>
      </c>
      <c r="W1048">
        <v>96</v>
      </c>
      <c r="X1048">
        <v>96</v>
      </c>
      <c r="Y1048">
        <f t="shared" si="167"/>
        <v>0</v>
      </c>
      <c r="Z1048">
        <f t="shared" si="168"/>
        <v>-12</v>
      </c>
      <c r="AC1048" s="1">
        <v>0</v>
      </c>
      <c r="AF1048">
        <f>V1048</f>
        <v>84</v>
      </c>
      <c r="AG1048" s="7">
        <v>12</v>
      </c>
      <c r="AH1048">
        <f t="shared" si="169"/>
        <v>84</v>
      </c>
      <c r="AI1048">
        <f t="shared" si="166"/>
        <v>0</v>
      </c>
      <c r="AK1048">
        <f t="shared" si="170"/>
        <v>7</v>
      </c>
      <c r="AL1048">
        <v>13.33</v>
      </c>
      <c r="AM1048" t="s">
        <v>27</v>
      </c>
      <c r="AN1048">
        <v>13.33</v>
      </c>
      <c r="AO1048" t="b">
        <f t="shared" si="171"/>
        <v>1</v>
      </c>
      <c r="AR1048" t="s">
        <v>5061</v>
      </c>
      <c r="AS1048" s="21">
        <v>46276</v>
      </c>
      <c r="AT1048" t="s">
        <v>5062</v>
      </c>
      <c r="AU1048" t="s">
        <v>5078</v>
      </c>
      <c r="AV1048" t="s">
        <v>5062</v>
      </c>
      <c r="AW1048" t="s">
        <v>5086</v>
      </c>
    </row>
    <row r="1049" spans="1:49" x14ac:dyDescent="0.35">
      <c r="A1049" t="s">
        <v>2796</v>
      </c>
      <c r="B1049" t="s">
        <v>872</v>
      </c>
      <c r="C1049" t="s">
        <v>4818</v>
      </c>
      <c r="D1049" t="s">
        <v>18</v>
      </c>
      <c r="E1049" t="s">
        <v>3921</v>
      </c>
      <c r="F1049" t="s">
        <v>3922</v>
      </c>
      <c r="G1049" t="s">
        <v>21</v>
      </c>
      <c r="H1049" t="s">
        <v>4888</v>
      </c>
      <c r="I1049" t="s">
        <v>5003</v>
      </c>
      <c r="J1049" s="4" t="s">
        <v>5004</v>
      </c>
      <c r="K1049" s="4" t="s">
        <v>4904</v>
      </c>
      <c r="L1049" s="4" t="s">
        <v>4875</v>
      </c>
      <c r="M1049" s="4" t="s">
        <v>5035</v>
      </c>
      <c r="N1049" t="s">
        <v>3923</v>
      </c>
      <c r="O1049" t="s">
        <v>3924</v>
      </c>
      <c r="P1049" t="s">
        <v>23</v>
      </c>
      <c r="Q1049" t="s">
        <v>24</v>
      </c>
      <c r="R1049" t="s">
        <v>25</v>
      </c>
      <c r="S1049" t="s">
        <v>26</v>
      </c>
      <c r="T1049" s="6">
        <v>46307</v>
      </c>
      <c r="U1049">
        <v>24</v>
      </c>
      <c r="V1049">
        <v>24</v>
      </c>
      <c r="W1049">
        <v>24</v>
      </c>
      <c r="X1049">
        <v>24</v>
      </c>
      <c r="Y1049">
        <f t="shared" si="167"/>
        <v>0</v>
      </c>
      <c r="Z1049">
        <f t="shared" si="168"/>
        <v>0</v>
      </c>
      <c r="AC1049" s="1">
        <v>0</v>
      </c>
      <c r="AF1049">
        <f>V1049</f>
        <v>24</v>
      </c>
      <c r="AG1049" s="7">
        <v>12</v>
      </c>
      <c r="AH1049">
        <f t="shared" si="169"/>
        <v>24</v>
      </c>
      <c r="AI1049">
        <f t="shared" si="166"/>
        <v>0</v>
      </c>
      <c r="AK1049">
        <f t="shared" si="170"/>
        <v>2</v>
      </c>
      <c r="AL1049">
        <v>12.89</v>
      </c>
      <c r="AM1049" t="s">
        <v>27</v>
      </c>
      <c r="AN1049">
        <v>12.89</v>
      </c>
      <c r="AO1049" t="b">
        <f t="shared" si="171"/>
        <v>1</v>
      </c>
      <c r="AR1049" t="s">
        <v>5061</v>
      </c>
      <c r="AS1049" s="21">
        <v>46276</v>
      </c>
      <c r="AT1049" t="s">
        <v>5062</v>
      </c>
      <c r="AU1049" t="s">
        <v>5078</v>
      </c>
      <c r="AV1049" t="s">
        <v>5062</v>
      </c>
      <c r="AW1049" t="s">
        <v>5086</v>
      </c>
    </row>
    <row r="1050" spans="1:49" x14ac:dyDescent="0.35">
      <c r="A1050" t="s">
        <v>2796</v>
      </c>
      <c r="B1050" t="s">
        <v>872</v>
      </c>
      <c r="C1050" t="s">
        <v>4818</v>
      </c>
      <c r="D1050" t="s">
        <v>18</v>
      </c>
      <c r="E1050" t="s">
        <v>3925</v>
      </c>
      <c r="F1050" t="s">
        <v>3926</v>
      </c>
      <c r="G1050" t="s">
        <v>21</v>
      </c>
      <c r="H1050" t="s">
        <v>4888</v>
      </c>
      <c r="I1050" t="s">
        <v>5003</v>
      </c>
      <c r="J1050" s="4" t="s">
        <v>5004</v>
      </c>
      <c r="K1050" s="4" t="s">
        <v>4837</v>
      </c>
      <c r="L1050" s="4" t="s">
        <v>4914</v>
      </c>
      <c r="M1050" s="4" t="s">
        <v>5035</v>
      </c>
      <c r="N1050" t="s">
        <v>3927</v>
      </c>
      <c r="O1050" t="s">
        <v>3928</v>
      </c>
      <c r="P1050" t="s">
        <v>23</v>
      </c>
      <c r="Q1050" t="s">
        <v>24</v>
      </c>
      <c r="R1050" t="s">
        <v>25</v>
      </c>
      <c r="S1050" t="s">
        <v>26</v>
      </c>
      <c r="T1050" s="6">
        <v>46307</v>
      </c>
      <c r="U1050">
        <v>24</v>
      </c>
      <c r="V1050">
        <v>24</v>
      </c>
      <c r="W1050">
        <v>24</v>
      </c>
      <c r="X1050">
        <v>24</v>
      </c>
      <c r="Y1050">
        <f t="shared" si="167"/>
        <v>0</v>
      </c>
      <c r="Z1050">
        <f t="shared" si="168"/>
        <v>0</v>
      </c>
      <c r="AC1050" s="1">
        <v>0</v>
      </c>
      <c r="AF1050">
        <f>V1050</f>
        <v>24</v>
      </c>
      <c r="AG1050" s="7">
        <v>12</v>
      </c>
      <c r="AH1050">
        <f t="shared" si="169"/>
        <v>24</v>
      </c>
      <c r="AI1050">
        <f t="shared" si="166"/>
        <v>0</v>
      </c>
      <c r="AK1050">
        <f t="shared" si="170"/>
        <v>2</v>
      </c>
      <c r="AL1050">
        <v>12.87</v>
      </c>
      <c r="AM1050" t="s">
        <v>27</v>
      </c>
      <c r="AN1050">
        <v>12.87</v>
      </c>
      <c r="AO1050" t="b">
        <f t="shared" si="171"/>
        <v>1</v>
      </c>
      <c r="AR1050" t="s">
        <v>5061</v>
      </c>
      <c r="AS1050" s="21">
        <v>46276</v>
      </c>
      <c r="AT1050" t="s">
        <v>5062</v>
      </c>
      <c r="AU1050" t="s">
        <v>5078</v>
      </c>
      <c r="AV1050" t="s">
        <v>5062</v>
      </c>
      <c r="AW1050" t="s">
        <v>5086</v>
      </c>
    </row>
    <row r="1051" spans="1:49" x14ac:dyDescent="0.35">
      <c r="A1051" t="s">
        <v>2796</v>
      </c>
      <c r="B1051" t="s">
        <v>872</v>
      </c>
      <c r="C1051" t="s">
        <v>4818</v>
      </c>
      <c r="D1051" t="s">
        <v>18</v>
      </c>
      <c r="E1051" t="s">
        <v>3929</v>
      </c>
      <c r="F1051" t="s">
        <v>3930</v>
      </c>
      <c r="G1051" t="s">
        <v>21</v>
      </c>
      <c r="H1051" t="s">
        <v>4888</v>
      </c>
      <c r="I1051" t="s">
        <v>5003</v>
      </c>
      <c r="J1051" s="4" t="s">
        <v>5004</v>
      </c>
      <c r="K1051" s="4" t="s">
        <v>5015</v>
      </c>
      <c r="L1051" s="4" t="s">
        <v>4931</v>
      </c>
      <c r="M1051" s="4" t="s">
        <v>5035</v>
      </c>
      <c r="N1051" t="s">
        <v>3931</v>
      </c>
      <c r="O1051" t="s">
        <v>3932</v>
      </c>
      <c r="P1051" t="s">
        <v>23</v>
      </c>
      <c r="Q1051" t="s">
        <v>24</v>
      </c>
      <c r="R1051" t="s">
        <v>25</v>
      </c>
      <c r="S1051" t="s">
        <v>26</v>
      </c>
      <c r="T1051" s="6">
        <v>46307</v>
      </c>
      <c r="U1051">
        <v>84</v>
      </c>
      <c r="V1051">
        <v>84</v>
      </c>
      <c r="W1051">
        <v>72</v>
      </c>
      <c r="X1051">
        <v>72</v>
      </c>
      <c r="Y1051">
        <f t="shared" si="167"/>
        <v>0</v>
      </c>
      <c r="Z1051">
        <f t="shared" si="168"/>
        <v>12</v>
      </c>
      <c r="AA1051">
        <f>Z1051</f>
        <v>12</v>
      </c>
      <c r="AC1051" s="1">
        <v>0</v>
      </c>
      <c r="AF1051">
        <f>X1051</f>
        <v>72</v>
      </c>
      <c r="AG1051" s="7">
        <v>12</v>
      </c>
      <c r="AH1051">
        <f t="shared" si="169"/>
        <v>72</v>
      </c>
      <c r="AI1051">
        <f t="shared" si="166"/>
        <v>12</v>
      </c>
      <c r="AK1051">
        <f t="shared" si="170"/>
        <v>6</v>
      </c>
      <c r="AL1051">
        <v>13.01</v>
      </c>
      <c r="AM1051" t="s">
        <v>27</v>
      </c>
      <c r="AN1051">
        <v>13.01</v>
      </c>
      <c r="AO1051" t="b">
        <f t="shared" si="171"/>
        <v>1</v>
      </c>
      <c r="AR1051" t="s">
        <v>5061</v>
      </c>
      <c r="AS1051" s="21">
        <v>46276</v>
      </c>
      <c r="AT1051" t="s">
        <v>5062</v>
      </c>
      <c r="AU1051" t="s">
        <v>5078</v>
      </c>
      <c r="AV1051" t="s">
        <v>5062</v>
      </c>
      <c r="AW1051" t="s">
        <v>5086</v>
      </c>
    </row>
    <row r="1052" spans="1:49" x14ac:dyDescent="0.35">
      <c r="A1052" t="s">
        <v>2796</v>
      </c>
      <c r="B1052" t="s">
        <v>872</v>
      </c>
      <c r="C1052" t="s">
        <v>4818</v>
      </c>
      <c r="D1052" t="s">
        <v>18</v>
      </c>
      <c r="E1052" t="s">
        <v>3933</v>
      </c>
      <c r="F1052" t="s">
        <v>3934</v>
      </c>
      <c r="G1052" t="s">
        <v>21</v>
      </c>
      <c r="H1052" t="s">
        <v>4888</v>
      </c>
      <c r="I1052" t="s">
        <v>5003</v>
      </c>
      <c r="J1052" s="4" t="s">
        <v>5004</v>
      </c>
      <c r="K1052" s="4" t="s">
        <v>4904</v>
      </c>
      <c r="L1052" s="4" t="s">
        <v>4886</v>
      </c>
      <c r="M1052" s="4" t="s">
        <v>5035</v>
      </c>
      <c r="N1052" t="s">
        <v>3935</v>
      </c>
      <c r="O1052" t="s">
        <v>3936</v>
      </c>
      <c r="P1052" t="s">
        <v>23</v>
      </c>
      <c r="Q1052" t="s">
        <v>24</v>
      </c>
      <c r="R1052" t="s">
        <v>25</v>
      </c>
      <c r="S1052" t="s">
        <v>26</v>
      </c>
      <c r="T1052" s="6">
        <v>46307</v>
      </c>
      <c r="U1052">
        <v>72</v>
      </c>
      <c r="V1052">
        <v>72</v>
      </c>
      <c r="W1052">
        <v>84</v>
      </c>
      <c r="X1052">
        <v>84</v>
      </c>
      <c r="Y1052">
        <f t="shared" si="167"/>
        <v>0</v>
      </c>
      <c r="Z1052">
        <f t="shared" si="168"/>
        <v>-12</v>
      </c>
      <c r="AC1052" s="1">
        <v>0</v>
      </c>
      <c r="AF1052">
        <f t="shared" ref="AF1052:AF1058" si="172">V1052</f>
        <v>72</v>
      </c>
      <c r="AG1052" s="7">
        <v>12</v>
      </c>
      <c r="AH1052">
        <f t="shared" si="169"/>
        <v>72</v>
      </c>
      <c r="AI1052">
        <f t="shared" si="166"/>
        <v>0</v>
      </c>
      <c r="AK1052">
        <f t="shared" si="170"/>
        <v>6</v>
      </c>
      <c r="AL1052">
        <v>12.89</v>
      </c>
      <c r="AM1052" t="s">
        <v>27</v>
      </c>
      <c r="AN1052">
        <v>12.89</v>
      </c>
      <c r="AO1052" t="b">
        <f t="shared" si="171"/>
        <v>1</v>
      </c>
      <c r="AR1052" t="s">
        <v>5061</v>
      </c>
      <c r="AS1052" s="21">
        <v>46276</v>
      </c>
      <c r="AT1052" t="s">
        <v>5062</v>
      </c>
      <c r="AU1052" t="s">
        <v>5078</v>
      </c>
      <c r="AV1052" t="s">
        <v>5062</v>
      </c>
      <c r="AW1052" t="s">
        <v>5086</v>
      </c>
    </row>
    <row r="1053" spans="1:49" x14ac:dyDescent="0.35">
      <c r="A1053" t="s">
        <v>2796</v>
      </c>
      <c r="B1053" t="s">
        <v>872</v>
      </c>
      <c r="C1053" t="s">
        <v>4818</v>
      </c>
      <c r="D1053" t="s">
        <v>18</v>
      </c>
      <c r="E1053" t="s">
        <v>3937</v>
      </c>
      <c r="F1053" t="s">
        <v>3938</v>
      </c>
      <c r="G1053" t="s">
        <v>21</v>
      </c>
      <c r="H1053" t="s">
        <v>4888</v>
      </c>
      <c r="I1053" t="s">
        <v>5003</v>
      </c>
      <c r="J1053" s="4" t="s">
        <v>5004</v>
      </c>
      <c r="K1053" s="4" t="s">
        <v>4837</v>
      </c>
      <c r="L1053" s="4" t="s">
        <v>4923</v>
      </c>
      <c r="M1053" s="4" t="s">
        <v>5035</v>
      </c>
      <c r="N1053" t="s">
        <v>3939</v>
      </c>
      <c r="O1053" t="s">
        <v>3940</v>
      </c>
      <c r="P1053" t="s">
        <v>23</v>
      </c>
      <c r="Q1053" t="s">
        <v>24</v>
      </c>
      <c r="R1053" t="s">
        <v>25</v>
      </c>
      <c r="S1053" t="s">
        <v>26</v>
      </c>
      <c r="T1053" s="6">
        <v>46307</v>
      </c>
      <c r="U1053">
        <v>24</v>
      </c>
      <c r="V1053">
        <v>24</v>
      </c>
      <c r="W1053">
        <v>24</v>
      </c>
      <c r="X1053">
        <v>24</v>
      </c>
      <c r="Y1053">
        <f t="shared" si="167"/>
        <v>0</v>
      </c>
      <c r="Z1053">
        <f t="shared" si="168"/>
        <v>0</v>
      </c>
      <c r="AC1053" s="1">
        <v>0</v>
      </c>
      <c r="AF1053">
        <f t="shared" si="172"/>
        <v>24</v>
      </c>
      <c r="AG1053" s="7">
        <v>12</v>
      </c>
      <c r="AH1053">
        <f t="shared" si="169"/>
        <v>24</v>
      </c>
      <c r="AI1053">
        <f t="shared" si="166"/>
        <v>0</v>
      </c>
      <c r="AK1053">
        <f t="shared" si="170"/>
        <v>2</v>
      </c>
      <c r="AL1053">
        <v>12.87</v>
      </c>
      <c r="AM1053" t="s">
        <v>27</v>
      </c>
      <c r="AN1053">
        <v>12.87</v>
      </c>
      <c r="AO1053" t="b">
        <f t="shared" si="171"/>
        <v>1</v>
      </c>
      <c r="AR1053" t="s">
        <v>5061</v>
      </c>
      <c r="AS1053" s="21">
        <v>46276</v>
      </c>
      <c r="AT1053" t="s">
        <v>5062</v>
      </c>
      <c r="AU1053" t="s">
        <v>5078</v>
      </c>
      <c r="AV1053" t="s">
        <v>5062</v>
      </c>
      <c r="AW1053" t="s">
        <v>5086</v>
      </c>
    </row>
    <row r="1054" spans="1:49" x14ac:dyDescent="0.35">
      <c r="A1054" t="s">
        <v>2796</v>
      </c>
      <c r="B1054" t="s">
        <v>872</v>
      </c>
      <c r="C1054" t="s">
        <v>4818</v>
      </c>
      <c r="D1054" t="s">
        <v>18</v>
      </c>
      <c r="E1054" t="s">
        <v>3941</v>
      </c>
      <c r="F1054" t="s">
        <v>3942</v>
      </c>
      <c r="G1054" t="s">
        <v>21</v>
      </c>
      <c r="H1054" t="s">
        <v>4888</v>
      </c>
      <c r="I1054" t="s">
        <v>5012</v>
      </c>
      <c r="J1054" s="4" t="s">
        <v>5013</v>
      </c>
      <c r="K1054" s="4" t="s">
        <v>4904</v>
      </c>
      <c r="L1054" s="4" t="s">
        <v>4987</v>
      </c>
      <c r="M1054" s="4" t="s">
        <v>5035</v>
      </c>
      <c r="N1054" t="s">
        <v>3943</v>
      </c>
      <c r="O1054" t="s">
        <v>3944</v>
      </c>
      <c r="P1054" t="s">
        <v>23</v>
      </c>
      <c r="Q1054" t="s">
        <v>24</v>
      </c>
      <c r="R1054" t="s">
        <v>25</v>
      </c>
      <c r="S1054" t="s">
        <v>26</v>
      </c>
      <c r="T1054" s="6">
        <v>46307</v>
      </c>
      <c r="U1054">
        <v>288</v>
      </c>
      <c r="V1054">
        <v>288</v>
      </c>
      <c r="W1054">
        <v>312</v>
      </c>
      <c r="X1054">
        <v>312</v>
      </c>
      <c r="Y1054">
        <f t="shared" si="167"/>
        <v>0</v>
      </c>
      <c r="Z1054">
        <f t="shared" si="168"/>
        <v>-24</v>
      </c>
      <c r="AC1054" s="1">
        <v>0</v>
      </c>
      <c r="AF1054">
        <f t="shared" si="172"/>
        <v>288</v>
      </c>
      <c r="AG1054" s="7">
        <v>24</v>
      </c>
      <c r="AH1054">
        <f t="shared" si="169"/>
        <v>288</v>
      </c>
      <c r="AI1054">
        <f t="shared" si="166"/>
        <v>0</v>
      </c>
      <c r="AK1054">
        <f t="shared" si="170"/>
        <v>12</v>
      </c>
      <c r="AL1054">
        <v>6.15</v>
      </c>
      <c r="AM1054" t="s">
        <v>27</v>
      </c>
      <c r="AN1054">
        <v>6.15</v>
      </c>
      <c r="AO1054" t="b">
        <f t="shared" si="171"/>
        <v>1</v>
      </c>
      <c r="AR1054" t="s">
        <v>5061</v>
      </c>
      <c r="AS1054" s="21">
        <v>46276</v>
      </c>
      <c r="AT1054" t="s">
        <v>5062</v>
      </c>
      <c r="AU1054" t="s">
        <v>5081</v>
      </c>
      <c r="AV1054" t="s">
        <v>5062</v>
      </c>
      <c r="AW1054" t="s">
        <v>5086</v>
      </c>
    </row>
    <row r="1055" spans="1:49" x14ac:dyDescent="0.35">
      <c r="A1055" t="s">
        <v>2796</v>
      </c>
      <c r="B1055" t="s">
        <v>872</v>
      </c>
      <c r="C1055" t="s">
        <v>4818</v>
      </c>
      <c r="D1055" t="s">
        <v>18</v>
      </c>
      <c r="E1055" t="s">
        <v>3945</v>
      </c>
      <c r="F1055" t="s">
        <v>3946</v>
      </c>
      <c r="G1055" t="s">
        <v>21</v>
      </c>
      <c r="H1055" t="s">
        <v>4888</v>
      </c>
      <c r="I1055" t="s">
        <v>5003</v>
      </c>
      <c r="J1055" s="4" t="s">
        <v>5004</v>
      </c>
      <c r="K1055" s="4" t="s">
        <v>4837</v>
      </c>
      <c r="L1055" s="4" t="s">
        <v>4864</v>
      </c>
      <c r="M1055" s="4" t="s">
        <v>5035</v>
      </c>
      <c r="N1055" t="s">
        <v>3947</v>
      </c>
      <c r="O1055" t="s">
        <v>3948</v>
      </c>
      <c r="P1055" t="s">
        <v>23</v>
      </c>
      <c r="Q1055" t="s">
        <v>24</v>
      </c>
      <c r="R1055" t="s">
        <v>25</v>
      </c>
      <c r="S1055" t="s">
        <v>26</v>
      </c>
      <c r="T1055" s="6">
        <v>46307</v>
      </c>
      <c r="U1055">
        <v>48</v>
      </c>
      <c r="V1055">
        <v>48</v>
      </c>
      <c r="W1055">
        <v>48</v>
      </c>
      <c r="X1055">
        <v>48</v>
      </c>
      <c r="Y1055">
        <f t="shared" si="167"/>
        <v>0</v>
      </c>
      <c r="Z1055">
        <f t="shared" si="168"/>
        <v>0</v>
      </c>
      <c r="AC1055" s="1">
        <v>0</v>
      </c>
      <c r="AF1055">
        <f t="shared" si="172"/>
        <v>48</v>
      </c>
      <c r="AG1055" s="7">
        <v>12</v>
      </c>
      <c r="AH1055">
        <f t="shared" si="169"/>
        <v>48</v>
      </c>
      <c r="AI1055">
        <f t="shared" si="166"/>
        <v>0</v>
      </c>
      <c r="AK1055">
        <f t="shared" si="170"/>
        <v>4</v>
      </c>
      <c r="AL1055">
        <v>12.87</v>
      </c>
      <c r="AM1055" t="s">
        <v>27</v>
      </c>
      <c r="AN1055">
        <v>12.87</v>
      </c>
      <c r="AO1055" t="b">
        <f t="shared" si="171"/>
        <v>1</v>
      </c>
      <c r="AR1055" t="s">
        <v>5061</v>
      </c>
      <c r="AS1055" s="21">
        <v>46276</v>
      </c>
      <c r="AT1055" t="s">
        <v>5062</v>
      </c>
      <c r="AU1055" t="s">
        <v>5078</v>
      </c>
      <c r="AV1055" t="s">
        <v>5062</v>
      </c>
      <c r="AW1055" t="s">
        <v>5086</v>
      </c>
    </row>
    <row r="1056" spans="1:49" x14ac:dyDescent="0.35">
      <c r="A1056" t="s">
        <v>2796</v>
      </c>
      <c r="B1056" t="s">
        <v>872</v>
      </c>
      <c r="C1056" t="s">
        <v>4818</v>
      </c>
      <c r="D1056" t="s">
        <v>18</v>
      </c>
      <c r="E1056" t="s">
        <v>3949</v>
      </c>
      <c r="F1056" t="s">
        <v>3950</v>
      </c>
      <c r="G1056" t="s">
        <v>21</v>
      </c>
      <c r="H1056" t="s">
        <v>4888</v>
      </c>
      <c r="I1056" t="s">
        <v>5003</v>
      </c>
      <c r="J1056" s="4" t="s">
        <v>5004</v>
      </c>
      <c r="K1056" s="4" t="s">
        <v>5015</v>
      </c>
      <c r="L1056" s="4" t="s">
        <v>4855</v>
      </c>
      <c r="M1056" s="4" t="s">
        <v>5035</v>
      </c>
      <c r="N1056" t="s">
        <v>3951</v>
      </c>
      <c r="O1056" t="s">
        <v>3952</v>
      </c>
      <c r="P1056" t="s">
        <v>23</v>
      </c>
      <c r="Q1056" t="s">
        <v>24</v>
      </c>
      <c r="R1056" t="s">
        <v>25</v>
      </c>
      <c r="S1056" t="s">
        <v>26</v>
      </c>
      <c r="T1056" s="6">
        <v>46307</v>
      </c>
      <c r="U1056">
        <v>60</v>
      </c>
      <c r="V1056">
        <v>60</v>
      </c>
      <c r="W1056">
        <v>60</v>
      </c>
      <c r="X1056">
        <v>60</v>
      </c>
      <c r="Y1056">
        <f t="shared" si="167"/>
        <v>0</v>
      </c>
      <c r="Z1056">
        <f t="shared" si="168"/>
        <v>0</v>
      </c>
      <c r="AC1056" s="1">
        <v>0</v>
      </c>
      <c r="AF1056">
        <f t="shared" si="172"/>
        <v>60</v>
      </c>
      <c r="AG1056" s="7">
        <v>12</v>
      </c>
      <c r="AH1056">
        <f t="shared" si="169"/>
        <v>60</v>
      </c>
      <c r="AI1056">
        <f t="shared" si="166"/>
        <v>0</v>
      </c>
      <c r="AK1056">
        <f t="shared" si="170"/>
        <v>5</v>
      </c>
      <c r="AL1056">
        <v>13.01</v>
      </c>
      <c r="AM1056" t="s">
        <v>27</v>
      </c>
      <c r="AN1056">
        <v>13.01</v>
      </c>
      <c r="AO1056" t="b">
        <f t="shared" si="171"/>
        <v>1</v>
      </c>
      <c r="AR1056" t="s">
        <v>5061</v>
      </c>
      <c r="AS1056" s="21">
        <v>46276</v>
      </c>
      <c r="AT1056" t="s">
        <v>5062</v>
      </c>
      <c r="AU1056" t="s">
        <v>5078</v>
      </c>
      <c r="AV1056" t="s">
        <v>5062</v>
      </c>
      <c r="AW1056" t="s">
        <v>5086</v>
      </c>
    </row>
    <row r="1057" spans="1:49" x14ac:dyDescent="0.35">
      <c r="A1057" t="s">
        <v>2796</v>
      </c>
      <c r="B1057" t="s">
        <v>872</v>
      </c>
      <c r="C1057" t="s">
        <v>4818</v>
      </c>
      <c r="D1057" t="s">
        <v>18</v>
      </c>
      <c r="E1057" t="s">
        <v>3953</v>
      </c>
      <c r="F1057" t="s">
        <v>3954</v>
      </c>
      <c r="G1057" t="s">
        <v>21</v>
      </c>
      <c r="H1057" t="s">
        <v>4888</v>
      </c>
      <c r="I1057" t="s">
        <v>5003</v>
      </c>
      <c r="J1057" s="4" t="s">
        <v>5004</v>
      </c>
      <c r="K1057" s="4" t="s">
        <v>5015</v>
      </c>
      <c r="L1057" s="4" t="s">
        <v>4869</v>
      </c>
      <c r="M1057" s="4" t="s">
        <v>5035</v>
      </c>
      <c r="N1057" t="s">
        <v>3955</v>
      </c>
      <c r="O1057" t="s">
        <v>3956</v>
      </c>
      <c r="P1057" t="s">
        <v>23</v>
      </c>
      <c r="Q1057" t="s">
        <v>24</v>
      </c>
      <c r="R1057" t="s">
        <v>25</v>
      </c>
      <c r="S1057" t="s">
        <v>26</v>
      </c>
      <c r="T1057" s="6">
        <v>46307</v>
      </c>
      <c r="U1057">
        <v>60</v>
      </c>
      <c r="V1057">
        <v>60</v>
      </c>
      <c r="W1057">
        <v>60</v>
      </c>
      <c r="X1057">
        <v>60</v>
      </c>
      <c r="Y1057">
        <f t="shared" si="167"/>
        <v>0</v>
      </c>
      <c r="Z1057">
        <f t="shared" si="168"/>
        <v>0</v>
      </c>
      <c r="AC1057" s="1">
        <v>0</v>
      </c>
      <c r="AF1057">
        <f t="shared" si="172"/>
        <v>60</v>
      </c>
      <c r="AG1057" s="7">
        <v>12</v>
      </c>
      <c r="AH1057">
        <f t="shared" si="169"/>
        <v>60</v>
      </c>
      <c r="AI1057">
        <f t="shared" si="166"/>
        <v>0</v>
      </c>
      <c r="AK1057">
        <f t="shared" si="170"/>
        <v>5</v>
      </c>
      <c r="AL1057">
        <v>13.01</v>
      </c>
      <c r="AM1057" t="s">
        <v>27</v>
      </c>
      <c r="AN1057">
        <v>13.01</v>
      </c>
      <c r="AO1057" t="b">
        <f t="shared" si="171"/>
        <v>1</v>
      </c>
      <c r="AR1057" t="s">
        <v>5061</v>
      </c>
      <c r="AS1057" s="21">
        <v>46276</v>
      </c>
      <c r="AT1057" t="s">
        <v>5062</v>
      </c>
      <c r="AU1057" t="s">
        <v>5078</v>
      </c>
      <c r="AV1057" t="s">
        <v>5062</v>
      </c>
      <c r="AW1057" t="s">
        <v>5086</v>
      </c>
    </row>
    <row r="1058" spans="1:49" x14ac:dyDescent="0.35">
      <c r="A1058" t="s">
        <v>2796</v>
      </c>
      <c r="B1058" t="s">
        <v>872</v>
      </c>
      <c r="C1058" t="s">
        <v>4818</v>
      </c>
      <c r="D1058" t="s">
        <v>18</v>
      </c>
      <c r="E1058" t="s">
        <v>3957</v>
      </c>
      <c r="F1058" t="s">
        <v>3958</v>
      </c>
      <c r="G1058" t="s">
        <v>21</v>
      </c>
      <c r="H1058" t="s">
        <v>4888</v>
      </c>
      <c r="I1058" t="s">
        <v>5003</v>
      </c>
      <c r="J1058" s="4" t="s">
        <v>5004</v>
      </c>
      <c r="K1058" s="4" t="s">
        <v>4837</v>
      </c>
      <c r="L1058" s="4" t="s">
        <v>4924</v>
      </c>
      <c r="M1058" s="4" t="s">
        <v>5035</v>
      </c>
      <c r="N1058" t="s">
        <v>3959</v>
      </c>
      <c r="O1058" t="s">
        <v>3960</v>
      </c>
      <c r="P1058" t="s">
        <v>23</v>
      </c>
      <c r="Q1058" t="s">
        <v>24</v>
      </c>
      <c r="R1058" t="s">
        <v>25</v>
      </c>
      <c r="S1058" t="s">
        <v>26</v>
      </c>
      <c r="T1058" s="6">
        <v>46307</v>
      </c>
      <c r="U1058">
        <v>60</v>
      </c>
      <c r="V1058">
        <v>60</v>
      </c>
      <c r="W1058">
        <v>72</v>
      </c>
      <c r="X1058">
        <v>72</v>
      </c>
      <c r="Y1058">
        <f t="shared" si="167"/>
        <v>0</v>
      </c>
      <c r="Z1058">
        <f t="shared" si="168"/>
        <v>-12</v>
      </c>
      <c r="AC1058" s="1">
        <v>0</v>
      </c>
      <c r="AF1058">
        <f t="shared" si="172"/>
        <v>60</v>
      </c>
      <c r="AG1058" s="7">
        <v>12</v>
      </c>
      <c r="AH1058">
        <f t="shared" si="169"/>
        <v>60</v>
      </c>
      <c r="AI1058">
        <f t="shared" si="166"/>
        <v>0</v>
      </c>
      <c r="AK1058">
        <f t="shared" si="170"/>
        <v>5</v>
      </c>
      <c r="AL1058">
        <v>12.87</v>
      </c>
      <c r="AM1058" t="s">
        <v>27</v>
      </c>
      <c r="AN1058">
        <v>12.87</v>
      </c>
      <c r="AO1058" t="b">
        <f t="shared" si="171"/>
        <v>1</v>
      </c>
      <c r="AR1058" t="s">
        <v>5061</v>
      </c>
      <c r="AS1058" s="21">
        <v>46276</v>
      </c>
      <c r="AT1058" t="s">
        <v>5062</v>
      </c>
      <c r="AU1058" t="s">
        <v>5078</v>
      </c>
      <c r="AV1058" t="s">
        <v>5062</v>
      </c>
      <c r="AW1058" t="s">
        <v>5086</v>
      </c>
    </row>
    <row r="1059" spans="1:49" x14ac:dyDescent="0.35">
      <c r="A1059" t="s">
        <v>2796</v>
      </c>
      <c r="B1059" t="s">
        <v>872</v>
      </c>
      <c r="C1059" t="s">
        <v>4818</v>
      </c>
      <c r="D1059" t="s">
        <v>18</v>
      </c>
      <c r="E1059" t="s">
        <v>3961</v>
      </c>
      <c r="F1059" t="s">
        <v>3962</v>
      </c>
      <c r="G1059" t="s">
        <v>21</v>
      </c>
      <c r="H1059" t="s">
        <v>4888</v>
      </c>
      <c r="I1059" t="s">
        <v>5010</v>
      </c>
      <c r="J1059" s="4" t="s">
        <v>5011</v>
      </c>
      <c r="K1059" s="4" t="s">
        <v>4984</v>
      </c>
      <c r="L1059" s="4" t="s">
        <v>4994</v>
      </c>
      <c r="M1059" s="4" t="s">
        <v>5035</v>
      </c>
      <c r="N1059" t="s">
        <v>3963</v>
      </c>
      <c r="O1059" t="s">
        <v>3964</v>
      </c>
      <c r="P1059" t="s">
        <v>23</v>
      </c>
      <c r="Q1059" t="s">
        <v>24</v>
      </c>
      <c r="R1059" t="s">
        <v>25</v>
      </c>
      <c r="S1059" t="s">
        <v>26</v>
      </c>
      <c r="T1059" s="6">
        <v>46307</v>
      </c>
      <c r="U1059">
        <v>72</v>
      </c>
      <c r="V1059">
        <v>72</v>
      </c>
      <c r="W1059">
        <v>48</v>
      </c>
      <c r="X1059">
        <v>48</v>
      </c>
      <c r="Y1059">
        <f t="shared" si="167"/>
        <v>0</v>
      </c>
      <c r="Z1059">
        <f t="shared" si="168"/>
        <v>24</v>
      </c>
      <c r="AA1059">
        <f>Z1059</f>
        <v>24</v>
      </c>
      <c r="AC1059" s="1">
        <v>0</v>
      </c>
      <c r="AF1059">
        <f>X1059</f>
        <v>48</v>
      </c>
      <c r="AG1059" s="7">
        <v>24</v>
      </c>
      <c r="AH1059">
        <f t="shared" si="169"/>
        <v>48</v>
      </c>
      <c r="AI1059">
        <f t="shared" si="166"/>
        <v>24</v>
      </c>
      <c r="AK1059">
        <f t="shared" si="170"/>
        <v>2</v>
      </c>
      <c r="AL1059">
        <v>4.92</v>
      </c>
      <c r="AM1059" t="s">
        <v>27</v>
      </c>
      <c r="AN1059">
        <v>4.92</v>
      </c>
      <c r="AO1059" t="b">
        <f t="shared" si="171"/>
        <v>1</v>
      </c>
      <c r="AR1059" t="s">
        <v>5061</v>
      </c>
      <c r="AS1059" s="21">
        <v>46276</v>
      </c>
      <c r="AT1059" t="s">
        <v>5062</v>
      </c>
      <c r="AU1059" t="s">
        <v>5081</v>
      </c>
      <c r="AV1059" t="s">
        <v>5062</v>
      </c>
      <c r="AW1059" t="s">
        <v>5086</v>
      </c>
    </row>
    <row r="1060" spans="1:49" x14ac:dyDescent="0.35">
      <c r="A1060" t="s">
        <v>2796</v>
      </c>
      <c r="B1060" t="s">
        <v>872</v>
      </c>
      <c r="C1060" t="s">
        <v>4818</v>
      </c>
      <c r="D1060" t="s">
        <v>18</v>
      </c>
      <c r="E1060" t="s">
        <v>3965</v>
      </c>
      <c r="F1060" t="s">
        <v>3966</v>
      </c>
      <c r="G1060" t="s">
        <v>21</v>
      </c>
      <c r="H1060" t="s">
        <v>4888</v>
      </c>
      <c r="I1060" t="s">
        <v>5005</v>
      </c>
      <c r="J1060" s="4" t="s">
        <v>5006</v>
      </c>
      <c r="K1060" s="4" t="s">
        <v>5027</v>
      </c>
      <c r="L1060" s="4">
        <v>40</v>
      </c>
      <c r="M1060" s="4" t="s">
        <v>5035</v>
      </c>
      <c r="N1060" t="s">
        <v>3967</v>
      </c>
      <c r="O1060" t="s">
        <v>3968</v>
      </c>
      <c r="P1060" t="s">
        <v>23</v>
      </c>
      <c r="Q1060" t="s">
        <v>24</v>
      </c>
      <c r="R1060" t="s">
        <v>25</v>
      </c>
      <c r="S1060" t="s">
        <v>26</v>
      </c>
      <c r="T1060" s="6">
        <v>46307</v>
      </c>
      <c r="U1060">
        <v>528</v>
      </c>
      <c r="V1060">
        <v>528</v>
      </c>
      <c r="W1060">
        <v>552</v>
      </c>
      <c r="X1060">
        <v>552</v>
      </c>
      <c r="Y1060">
        <f t="shared" si="167"/>
        <v>0</v>
      </c>
      <c r="Z1060">
        <f t="shared" si="168"/>
        <v>-24</v>
      </c>
      <c r="AC1060" s="1">
        <v>0</v>
      </c>
      <c r="AF1060">
        <f>V1060</f>
        <v>528</v>
      </c>
      <c r="AG1060" s="7">
        <v>24</v>
      </c>
      <c r="AH1060">
        <f t="shared" si="169"/>
        <v>528</v>
      </c>
      <c r="AI1060">
        <f t="shared" si="166"/>
        <v>0</v>
      </c>
      <c r="AK1060">
        <f t="shared" si="170"/>
        <v>22</v>
      </c>
      <c r="AL1060">
        <v>10.24</v>
      </c>
      <c r="AM1060" t="s">
        <v>27</v>
      </c>
      <c r="AN1060">
        <v>10.24</v>
      </c>
      <c r="AO1060" t="b">
        <f t="shared" si="171"/>
        <v>1</v>
      </c>
      <c r="AR1060" t="s">
        <v>5061</v>
      </c>
      <c r="AS1060" s="21">
        <v>46276</v>
      </c>
      <c r="AT1060" t="s">
        <v>5062</v>
      </c>
      <c r="AU1060" t="s">
        <v>5079</v>
      </c>
      <c r="AV1060" t="s">
        <v>5062</v>
      </c>
      <c r="AW1060" t="s">
        <v>5086</v>
      </c>
    </row>
    <row r="1061" spans="1:49" x14ac:dyDescent="0.35">
      <c r="A1061" t="s">
        <v>2796</v>
      </c>
      <c r="B1061" t="s">
        <v>872</v>
      </c>
      <c r="C1061" t="s">
        <v>4818</v>
      </c>
      <c r="D1061" t="s">
        <v>18</v>
      </c>
      <c r="E1061" t="s">
        <v>3969</v>
      </c>
      <c r="F1061" t="s">
        <v>3970</v>
      </c>
      <c r="G1061" t="s">
        <v>21</v>
      </c>
      <c r="H1061" t="s">
        <v>4888</v>
      </c>
      <c r="I1061" t="s">
        <v>5003</v>
      </c>
      <c r="J1061" s="4" t="s">
        <v>5004</v>
      </c>
      <c r="K1061" s="4" t="s">
        <v>5016</v>
      </c>
      <c r="L1061" s="4" t="s">
        <v>4916</v>
      </c>
      <c r="M1061" s="4" t="s">
        <v>5035</v>
      </c>
      <c r="N1061" t="s">
        <v>3971</v>
      </c>
      <c r="O1061" t="s">
        <v>3972</v>
      </c>
      <c r="P1061" t="s">
        <v>23</v>
      </c>
      <c r="Q1061" t="s">
        <v>24</v>
      </c>
      <c r="R1061" t="s">
        <v>25</v>
      </c>
      <c r="S1061" t="s">
        <v>26</v>
      </c>
      <c r="T1061" s="6">
        <v>46307</v>
      </c>
      <c r="U1061">
        <v>48</v>
      </c>
      <c r="V1061">
        <v>48</v>
      </c>
      <c r="W1061">
        <v>48</v>
      </c>
      <c r="X1061">
        <v>48</v>
      </c>
      <c r="Y1061">
        <f t="shared" si="167"/>
        <v>0</v>
      </c>
      <c r="Z1061">
        <f t="shared" si="168"/>
        <v>0</v>
      </c>
      <c r="AC1061" s="1">
        <v>0</v>
      </c>
      <c r="AF1061">
        <f>V1061</f>
        <v>48</v>
      </c>
      <c r="AG1061" s="7">
        <v>12</v>
      </c>
      <c r="AH1061">
        <f t="shared" si="169"/>
        <v>48</v>
      </c>
      <c r="AI1061">
        <f t="shared" si="166"/>
        <v>0</v>
      </c>
      <c r="AK1061">
        <f t="shared" si="170"/>
        <v>4</v>
      </c>
      <c r="AL1061">
        <v>13.33</v>
      </c>
      <c r="AM1061" t="s">
        <v>27</v>
      </c>
      <c r="AN1061">
        <v>13.33</v>
      </c>
      <c r="AO1061" t="b">
        <f t="shared" si="171"/>
        <v>1</v>
      </c>
      <c r="AR1061" t="s">
        <v>5061</v>
      </c>
      <c r="AS1061" s="21">
        <v>46276</v>
      </c>
      <c r="AT1061" t="s">
        <v>5062</v>
      </c>
      <c r="AU1061" t="s">
        <v>5078</v>
      </c>
      <c r="AV1061" t="s">
        <v>5062</v>
      </c>
      <c r="AW1061" t="s">
        <v>5086</v>
      </c>
    </row>
    <row r="1062" spans="1:49" x14ac:dyDescent="0.35">
      <c r="A1062" t="s">
        <v>2796</v>
      </c>
      <c r="B1062" t="s">
        <v>872</v>
      </c>
      <c r="C1062" t="s">
        <v>4818</v>
      </c>
      <c r="D1062" t="s">
        <v>18</v>
      </c>
      <c r="E1062" t="s">
        <v>3973</v>
      </c>
      <c r="F1062" t="s">
        <v>3974</v>
      </c>
      <c r="G1062" t="s">
        <v>21</v>
      </c>
      <c r="H1062" t="s">
        <v>4888</v>
      </c>
      <c r="I1062" t="s">
        <v>5003</v>
      </c>
      <c r="J1062" s="4" t="s">
        <v>5004</v>
      </c>
      <c r="K1062" s="4" t="s">
        <v>5016</v>
      </c>
      <c r="L1062" s="4" t="s">
        <v>4914</v>
      </c>
      <c r="M1062" s="4" t="s">
        <v>5035</v>
      </c>
      <c r="N1062" t="s">
        <v>3975</v>
      </c>
      <c r="O1062" t="s">
        <v>3976</v>
      </c>
      <c r="P1062" t="s">
        <v>23</v>
      </c>
      <c r="Q1062" t="s">
        <v>24</v>
      </c>
      <c r="R1062" t="s">
        <v>25</v>
      </c>
      <c r="S1062" t="s">
        <v>26</v>
      </c>
      <c r="T1062" s="6">
        <v>46307</v>
      </c>
      <c r="U1062">
        <v>84</v>
      </c>
      <c r="V1062">
        <v>84</v>
      </c>
      <c r="W1062">
        <v>72</v>
      </c>
      <c r="X1062">
        <v>72</v>
      </c>
      <c r="Y1062">
        <f t="shared" si="167"/>
        <v>0</v>
      </c>
      <c r="Z1062">
        <f t="shared" si="168"/>
        <v>12</v>
      </c>
      <c r="AA1062">
        <f>Z1062</f>
        <v>12</v>
      </c>
      <c r="AC1062" s="1">
        <v>0</v>
      </c>
      <c r="AF1062">
        <f>X1062</f>
        <v>72</v>
      </c>
      <c r="AG1062" s="7">
        <v>12</v>
      </c>
      <c r="AH1062">
        <f t="shared" si="169"/>
        <v>72</v>
      </c>
      <c r="AI1062">
        <f t="shared" si="166"/>
        <v>12</v>
      </c>
      <c r="AK1062">
        <f t="shared" si="170"/>
        <v>6</v>
      </c>
      <c r="AL1062">
        <v>13.33</v>
      </c>
      <c r="AM1062" t="s">
        <v>27</v>
      </c>
      <c r="AN1062">
        <v>13.33</v>
      </c>
      <c r="AO1062" t="b">
        <f t="shared" si="171"/>
        <v>1</v>
      </c>
      <c r="AR1062" t="s">
        <v>5061</v>
      </c>
      <c r="AS1062" s="21">
        <v>46276</v>
      </c>
      <c r="AT1062" t="s">
        <v>5062</v>
      </c>
      <c r="AU1062" t="s">
        <v>5078</v>
      </c>
      <c r="AV1062" t="s">
        <v>5062</v>
      </c>
      <c r="AW1062" t="s">
        <v>5086</v>
      </c>
    </row>
    <row r="1063" spans="1:49" x14ac:dyDescent="0.35">
      <c r="A1063" t="s">
        <v>2796</v>
      </c>
      <c r="B1063" t="s">
        <v>872</v>
      </c>
      <c r="C1063" t="s">
        <v>4818</v>
      </c>
      <c r="D1063" t="s">
        <v>18</v>
      </c>
      <c r="E1063" t="s">
        <v>3977</v>
      </c>
      <c r="F1063" t="s">
        <v>3978</v>
      </c>
      <c r="G1063" t="s">
        <v>21</v>
      </c>
      <c r="H1063" t="s">
        <v>4888</v>
      </c>
      <c r="I1063" t="s">
        <v>5003</v>
      </c>
      <c r="J1063" s="4" t="s">
        <v>5004</v>
      </c>
      <c r="K1063" s="4" t="s">
        <v>5015</v>
      </c>
      <c r="L1063" s="4" t="s">
        <v>4925</v>
      </c>
      <c r="M1063" s="4" t="s">
        <v>5035</v>
      </c>
      <c r="N1063" t="s">
        <v>3979</v>
      </c>
      <c r="O1063" t="s">
        <v>3980</v>
      </c>
      <c r="P1063" t="s">
        <v>23</v>
      </c>
      <c r="Q1063" t="s">
        <v>24</v>
      </c>
      <c r="R1063" t="s">
        <v>25</v>
      </c>
      <c r="S1063" t="s">
        <v>26</v>
      </c>
      <c r="T1063" s="6">
        <v>46307</v>
      </c>
      <c r="U1063">
        <v>60</v>
      </c>
      <c r="V1063">
        <v>60</v>
      </c>
      <c r="W1063">
        <v>60</v>
      </c>
      <c r="X1063">
        <v>60</v>
      </c>
      <c r="Y1063">
        <f t="shared" si="167"/>
        <v>0</v>
      </c>
      <c r="Z1063">
        <f t="shared" si="168"/>
        <v>0</v>
      </c>
      <c r="AC1063" s="1">
        <v>0</v>
      </c>
      <c r="AF1063">
        <f t="shared" ref="AF1063:AF1070" si="173">V1063</f>
        <v>60</v>
      </c>
      <c r="AG1063" s="7">
        <v>12</v>
      </c>
      <c r="AH1063">
        <f t="shared" si="169"/>
        <v>60</v>
      </c>
      <c r="AI1063">
        <f t="shared" si="166"/>
        <v>0</v>
      </c>
      <c r="AK1063">
        <f t="shared" si="170"/>
        <v>5</v>
      </c>
      <c r="AL1063">
        <v>13.01</v>
      </c>
      <c r="AM1063" t="s">
        <v>27</v>
      </c>
      <c r="AN1063">
        <v>13.01</v>
      </c>
      <c r="AO1063" t="b">
        <f t="shared" si="171"/>
        <v>1</v>
      </c>
      <c r="AR1063" t="s">
        <v>5061</v>
      </c>
      <c r="AS1063" s="21">
        <v>46276</v>
      </c>
      <c r="AT1063" t="s">
        <v>5062</v>
      </c>
      <c r="AU1063" t="s">
        <v>5078</v>
      </c>
      <c r="AV1063" t="s">
        <v>5062</v>
      </c>
      <c r="AW1063" t="s">
        <v>5086</v>
      </c>
    </row>
    <row r="1064" spans="1:49" x14ac:dyDescent="0.35">
      <c r="A1064" t="s">
        <v>2796</v>
      </c>
      <c r="B1064" t="s">
        <v>872</v>
      </c>
      <c r="C1064" t="s">
        <v>4818</v>
      </c>
      <c r="D1064" t="s">
        <v>18</v>
      </c>
      <c r="E1064" t="s">
        <v>3981</v>
      </c>
      <c r="F1064" t="s">
        <v>3982</v>
      </c>
      <c r="G1064" t="s">
        <v>21</v>
      </c>
      <c r="H1064" t="s">
        <v>4888</v>
      </c>
      <c r="I1064" t="s">
        <v>5018</v>
      </c>
      <c r="J1064" s="4" t="s">
        <v>5019</v>
      </c>
      <c r="K1064" s="4" t="s">
        <v>5020</v>
      </c>
      <c r="L1064" s="4">
        <v>14</v>
      </c>
      <c r="M1064" s="4" t="s">
        <v>5035</v>
      </c>
      <c r="N1064" t="s">
        <v>3983</v>
      </c>
      <c r="O1064" t="s">
        <v>3984</v>
      </c>
      <c r="P1064" t="s">
        <v>23</v>
      </c>
      <c r="Q1064" t="s">
        <v>24</v>
      </c>
      <c r="R1064" t="s">
        <v>25</v>
      </c>
      <c r="S1064" t="s">
        <v>26</v>
      </c>
      <c r="T1064" s="6">
        <v>46307</v>
      </c>
      <c r="U1064">
        <v>840</v>
      </c>
      <c r="V1064">
        <v>840</v>
      </c>
      <c r="W1064">
        <v>888</v>
      </c>
      <c r="X1064">
        <v>888</v>
      </c>
      <c r="Y1064">
        <f t="shared" si="167"/>
        <v>0</v>
      </c>
      <c r="Z1064">
        <f t="shared" si="168"/>
        <v>-48</v>
      </c>
      <c r="AC1064" s="1"/>
      <c r="AF1064">
        <f t="shared" si="173"/>
        <v>840</v>
      </c>
      <c r="AG1064" s="7">
        <v>24</v>
      </c>
      <c r="AH1064">
        <f t="shared" si="169"/>
        <v>840</v>
      </c>
      <c r="AI1064">
        <f t="shared" si="166"/>
        <v>0</v>
      </c>
      <c r="AK1064">
        <f t="shared" si="170"/>
        <v>35</v>
      </c>
      <c r="AL1064">
        <v>10.79</v>
      </c>
      <c r="AM1064" t="s">
        <v>27</v>
      </c>
      <c r="AN1064">
        <v>10.79</v>
      </c>
      <c r="AO1064" t="b">
        <f t="shared" si="171"/>
        <v>1</v>
      </c>
      <c r="AR1064" t="s">
        <v>5061</v>
      </c>
      <c r="AS1064" s="21">
        <v>46276</v>
      </c>
      <c r="AT1064" t="s">
        <v>5062</v>
      </c>
      <c r="AU1064" t="s">
        <v>5082</v>
      </c>
      <c r="AV1064" t="s">
        <v>5062</v>
      </c>
      <c r="AW1064" t="s">
        <v>5086</v>
      </c>
    </row>
    <row r="1065" spans="1:49" x14ac:dyDescent="0.35">
      <c r="A1065" t="s">
        <v>2796</v>
      </c>
      <c r="B1065" t="s">
        <v>872</v>
      </c>
      <c r="C1065" t="s">
        <v>4818</v>
      </c>
      <c r="D1065" t="s">
        <v>18</v>
      </c>
      <c r="E1065" t="s">
        <v>3985</v>
      </c>
      <c r="F1065" t="s">
        <v>3986</v>
      </c>
      <c r="G1065" t="s">
        <v>21</v>
      </c>
      <c r="H1065" t="s">
        <v>4888</v>
      </c>
      <c r="I1065" t="s">
        <v>5003</v>
      </c>
      <c r="J1065" s="4" t="s">
        <v>5004</v>
      </c>
      <c r="K1065" s="4" t="s">
        <v>4837</v>
      </c>
      <c r="L1065" s="4" t="s">
        <v>4870</v>
      </c>
      <c r="M1065" s="4" t="s">
        <v>5035</v>
      </c>
      <c r="N1065" t="s">
        <v>3987</v>
      </c>
      <c r="O1065" t="s">
        <v>3988</v>
      </c>
      <c r="P1065" t="s">
        <v>23</v>
      </c>
      <c r="Q1065" t="s">
        <v>24</v>
      </c>
      <c r="R1065" t="s">
        <v>25</v>
      </c>
      <c r="S1065" t="s">
        <v>26</v>
      </c>
      <c r="T1065" s="6">
        <v>46307</v>
      </c>
      <c r="U1065">
        <v>144</v>
      </c>
      <c r="V1065">
        <v>144</v>
      </c>
      <c r="W1065">
        <v>156</v>
      </c>
      <c r="X1065">
        <v>156</v>
      </c>
      <c r="Y1065">
        <f t="shared" si="167"/>
        <v>0</v>
      </c>
      <c r="Z1065">
        <f t="shared" si="168"/>
        <v>-12</v>
      </c>
      <c r="AC1065" s="1">
        <v>0</v>
      </c>
      <c r="AF1065">
        <f t="shared" si="173"/>
        <v>144</v>
      </c>
      <c r="AG1065" s="7">
        <v>12</v>
      </c>
      <c r="AH1065">
        <f t="shared" si="169"/>
        <v>144</v>
      </c>
      <c r="AI1065">
        <f t="shared" si="166"/>
        <v>0</v>
      </c>
      <c r="AK1065">
        <f t="shared" si="170"/>
        <v>12</v>
      </c>
      <c r="AL1065">
        <v>12.87</v>
      </c>
      <c r="AM1065" t="s">
        <v>27</v>
      </c>
      <c r="AN1065">
        <v>12.87</v>
      </c>
      <c r="AO1065" t="b">
        <f t="shared" si="171"/>
        <v>1</v>
      </c>
      <c r="AR1065" t="s">
        <v>5061</v>
      </c>
      <c r="AS1065" s="21">
        <v>46276</v>
      </c>
      <c r="AT1065" t="s">
        <v>5062</v>
      </c>
      <c r="AU1065" t="s">
        <v>5078</v>
      </c>
      <c r="AV1065" t="s">
        <v>5062</v>
      </c>
      <c r="AW1065" t="s">
        <v>5086</v>
      </c>
    </row>
    <row r="1066" spans="1:49" x14ac:dyDescent="0.35">
      <c r="A1066" t="s">
        <v>2796</v>
      </c>
      <c r="B1066" t="s">
        <v>872</v>
      </c>
      <c r="C1066" t="s">
        <v>4818</v>
      </c>
      <c r="D1066" t="s">
        <v>18</v>
      </c>
      <c r="E1066" t="s">
        <v>3989</v>
      </c>
      <c r="F1066" t="s">
        <v>3990</v>
      </c>
      <c r="G1066" t="s">
        <v>21</v>
      </c>
      <c r="H1066" t="s">
        <v>4888</v>
      </c>
      <c r="I1066" t="s">
        <v>5003</v>
      </c>
      <c r="J1066" s="4" t="s">
        <v>5004</v>
      </c>
      <c r="K1066" s="4" t="s">
        <v>5016</v>
      </c>
      <c r="L1066" s="4" t="s">
        <v>4923</v>
      </c>
      <c r="M1066" s="4" t="s">
        <v>5035</v>
      </c>
      <c r="N1066" t="s">
        <v>3991</v>
      </c>
      <c r="O1066" t="s">
        <v>3992</v>
      </c>
      <c r="P1066" t="s">
        <v>23</v>
      </c>
      <c r="Q1066" t="s">
        <v>24</v>
      </c>
      <c r="R1066" t="s">
        <v>25</v>
      </c>
      <c r="S1066" t="s">
        <v>26</v>
      </c>
      <c r="T1066" s="6">
        <v>46307</v>
      </c>
      <c r="U1066">
        <v>12</v>
      </c>
      <c r="V1066">
        <v>12</v>
      </c>
      <c r="W1066">
        <v>12</v>
      </c>
      <c r="X1066">
        <v>12</v>
      </c>
      <c r="Y1066">
        <f t="shared" si="167"/>
        <v>0</v>
      </c>
      <c r="Z1066">
        <f t="shared" si="168"/>
        <v>0</v>
      </c>
      <c r="AC1066" s="1">
        <v>0</v>
      </c>
      <c r="AF1066">
        <f t="shared" si="173"/>
        <v>12</v>
      </c>
      <c r="AG1066" s="7">
        <v>12</v>
      </c>
      <c r="AH1066">
        <f t="shared" si="169"/>
        <v>12</v>
      </c>
      <c r="AI1066">
        <f t="shared" si="166"/>
        <v>0</v>
      </c>
      <c r="AK1066">
        <f t="shared" si="170"/>
        <v>1</v>
      </c>
      <c r="AL1066">
        <v>13.33</v>
      </c>
      <c r="AM1066" t="s">
        <v>27</v>
      </c>
      <c r="AN1066">
        <v>13.33</v>
      </c>
      <c r="AO1066" t="b">
        <f t="shared" si="171"/>
        <v>1</v>
      </c>
      <c r="AR1066" t="s">
        <v>5061</v>
      </c>
      <c r="AS1066" s="21">
        <v>46276</v>
      </c>
      <c r="AT1066" t="s">
        <v>5062</v>
      </c>
      <c r="AU1066" t="s">
        <v>5078</v>
      </c>
      <c r="AV1066" t="s">
        <v>5062</v>
      </c>
      <c r="AW1066" t="s">
        <v>5086</v>
      </c>
    </row>
    <row r="1067" spans="1:49" x14ac:dyDescent="0.35">
      <c r="A1067" t="s">
        <v>2796</v>
      </c>
      <c r="B1067" t="s">
        <v>872</v>
      </c>
      <c r="C1067" t="s">
        <v>4818</v>
      </c>
      <c r="D1067" t="s">
        <v>18</v>
      </c>
      <c r="E1067" t="s">
        <v>3993</v>
      </c>
      <c r="F1067" t="s">
        <v>3994</v>
      </c>
      <c r="G1067" t="s">
        <v>21</v>
      </c>
      <c r="H1067" t="s">
        <v>4888</v>
      </c>
      <c r="I1067" t="s">
        <v>5003</v>
      </c>
      <c r="J1067" s="4" t="s">
        <v>5004</v>
      </c>
      <c r="K1067" s="4" t="s">
        <v>4837</v>
      </c>
      <c r="L1067" s="4" t="s">
        <v>4919</v>
      </c>
      <c r="M1067" s="4" t="s">
        <v>5035</v>
      </c>
      <c r="N1067" t="s">
        <v>3995</v>
      </c>
      <c r="O1067" t="s">
        <v>3996</v>
      </c>
      <c r="P1067" t="s">
        <v>23</v>
      </c>
      <c r="Q1067" t="s">
        <v>24</v>
      </c>
      <c r="R1067" t="s">
        <v>25</v>
      </c>
      <c r="S1067" t="s">
        <v>26</v>
      </c>
      <c r="T1067" s="6">
        <v>46307</v>
      </c>
      <c r="U1067">
        <v>60</v>
      </c>
      <c r="V1067">
        <v>60</v>
      </c>
      <c r="W1067">
        <v>72</v>
      </c>
      <c r="X1067">
        <v>72</v>
      </c>
      <c r="Y1067">
        <f t="shared" si="167"/>
        <v>0</v>
      </c>
      <c r="Z1067">
        <f t="shared" si="168"/>
        <v>-12</v>
      </c>
      <c r="AC1067" s="1">
        <v>0</v>
      </c>
      <c r="AF1067">
        <f t="shared" si="173"/>
        <v>60</v>
      </c>
      <c r="AG1067" s="7">
        <v>12</v>
      </c>
      <c r="AH1067">
        <f t="shared" si="169"/>
        <v>60</v>
      </c>
      <c r="AI1067">
        <f t="shared" si="166"/>
        <v>0</v>
      </c>
      <c r="AK1067">
        <f t="shared" si="170"/>
        <v>5</v>
      </c>
      <c r="AL1067">
        <v>12.87</v>
      </c>
      <c r="AM1067" t="s">
        <v>27</v>
      </c>
      <c r="AN1067">
        <v>12.87</v>
      </c>
      <c r="AO1067" t="b">
        <f t="shared" si="171"/>
        <v>1</v>
      </c>
      <c r="AR1067" t="s">
        <v>5061</v>
      </c>
      <c r="AS1067" s="21">
        <v>46276</v>
      </c>
      <c r="AT1067" t="s">
        <v>5062</v>
      </c>
      <c r="AU1067" t="s">
        <v>5078</v>
      </c>
      <c r="AV1067" t="s">
        <v>5062</v>
      </c>
      <c r="AW1067" t="s">
        <v>5086</v>
      </c>
    </row>
    <row r="1068" spans="1:49" x14ac:dyDescent="0.35">
      <c r="A1068" t="s">
        <v>2796</v>
      </c>
      <c r="B1068" t="s">
        <v>872</v>
      </c>
      <c r="C1068" t="s">
        <v>4818</v>
      </c>
      <c r="D1068" t="s">
        <v>18</v>
      </c>
      <c r="E1068" t="s">
        <v>3997</v>
      </c>
      <c r="F1068" t="s">
        <v>3998</v>
      </c>
      <c r="G1068" t="s">
        <v>21</v>
      </c>
      <c r="H1068" t="s">
        <v>4888</v>
      </c>
      <c r="I1068" t="s">
        <v>5008</v>
      </c>
      <c r="J1068" s="4" t="s">
        <v>5009</v>
      </c>
      <c r="K1068" s="4" t="s">
        <v>5021</v>
      </c>
      <c r="L1068" s="4">
        <v>31</v>
      </c>
      <c r="M1068" s="4" t="s">
        <v>5035</v>
      </c>
      <c r="N1068" t="s">
        <v>3999</v>
      </c>
      <c r="O1068" t="s">
        <v>4000</v>
      </c>
      <c r="P1068" t="s">
        <v>23</v>
      </c>
      <c r="Q1068" t="s">
        <v>24</v>
      </c>
      <c r="R1068" t="s">
        <v>25</v>
      </c>
      <c r="S1068" t="s">
        <v>26</v>
      </c>
      <c r="T1068" s="6">
        <v>46307</v>
      </c>
      <c r="U1068">
        <v>240</v>
      </c>
      <c r="V1068">
        <v>240</v>
      </c>
      <c r="W1068">
        <v>240</v>
      </c>
      <c r="X1068">
        <v>240</v>
      </c>
      <c r="Y1068">
        <f t="shared" si="167"/>
        <v>0</v>
      </c>
      <c r="Z1068">
        <f t="shared" si="168"/>
        <v>0</v>
      </c>
      <c r="AC1068" s="1">
        <v>0</v>
      </c>
      <c r="AF1068">
        <f t="shared" si="173"/>
        <v>240</v>
      </c>
      <c r="AG1068" s="7">
        <v>24</v>
      </c>
      <c r="AH1068">
        <f t="shared" si="169"/>
        <v>240</v>
      </c>
      <c r="AI1068">
        <f t="shared" si="166"/>
        <v>0</v>
      </c>
      <c r="AK1068">
        <f t="shared" si="170"/>
        <v>10</v>
      </c>
      <c r="AL1068">
        <v>10.11</v>
      </c>
      <c r="AM1068" t="s">
        <v>27</v>
      </c>
      <c r="AN1068">
        <v>10.11</v>
      </c>
      <c r="AO1068" t="b">
        <f t="shared" si="171"/>
        <v>1</v>
      </c>
      <c r="AR1068" t="s">
        <v>5061</v>
      </c>
      <c r="AS1068" s="21">
        <v>46276</v>
      </c>
      <c r="AT1068" t="s">
        <v>5062</v>
      </c>
      <c r="AU1068" t="s">
        <v>5080</v>
      </c>
      <c r="AV1068" t="s">
        <v>5062</v>
      </c>
      <c r="AW1068" t="s">
        <v>5086</v>
      </c>
    </row>
    <row r="1069" spans="1:49" x14ac:dyDescent="0.35">
      <c r="A1069" t="s">
        <v>2796</v>
      </c>
      <c r="B1069" t="s">
        <v>872</v>
      </c>
      <c r="C1069" t="s">
        <v>4818</v>
      </c>
      <c r="D1069" t="s">
        <v>18</v>
      </c>
      <c r="E1069" t="s">
        <v>4001</v>
      </c>
      <c r="F1069" t="s">
        <v>4002</v>
      </c>
      <c r="G1069" t="s">
        <v>21</v>
      </c>
      <c r="H1069" t="s">
        <v>4888</v>
      </c>
      <c r="I1069" t="s">
        <v>5003</v>
      </c>
      <c r="J1069" s="4" t="s">
        <v>5004</v>
      </c>
      <c r="K1069" s="4" t="s">
        <v>4904</v>
      </c>
      <c r="L1069" s="4" t="s">
        <v>4855</v>
      </c>
      <c r="M1069" s="4" t="s">
        <v>5035</v>
      </c>
      <c r="N1069" t="s">
        <v>4003</v>
      </c>
      <c r="O1069" t="s">
        <v>4004</v>
      </c>
      <c r="P1069" t="s">
        <v>23</v>
      </c>
      <c r="Q1069" t="s">
        <v>24</v>
      </c>
      <c r="R1069" t="s">
        <v>25</v>
      </c>
      <c r="S1069" t="s">
        <v>26</v>
      </c>
      <c r="T1069" s="6">
        <v>46307</v>
      </c>
      <c r="U1069">
        <v>48</v>
      </c>
      <c r="V1069">
        <v>48</v>
      </c>
      <c r="W1069">
        <v>48</v>
      </c>
      <c r="X1069">
        <v>48</v>
      </c>
      <c r="Y1069">
        <f t="shared" si="167"/>
        <v>0</v>
      </c>
      <c r="Z1069">
        <f t="shared" si="168"/>
        <v>0</v>
      </c>
      <c r="AC1069" s="1">
        <v>0</v>
      </c>
      <c r="AF1069">
        <f t="shared" si="173"/>
        <v>48</v>
      </c>
      <c r="AG1069" s="7">
        <v>12</v>
      </c>
      <c r="AH1069">
        <f t="shared" si="169"/>
        <v>48</v>
      </c>
      <c r="AI1069">
        <f t="shared" si="166"/>
        <v>0</v>
      </c>
      <c r="AK1069">
        <f t="shared" si="170"/>
        <v>4</v>
      </c>
      <c r="AL1069">
        <v>12.89</v>
      </c>
      <c r="AM1069" t="s">
        <v>27</v>
      </c>
      <c r="AN1069">
        <v>12.89</v>
      </c>
      <c r="AO1069" t="b">
        <f t="shared" si="171"/>
        <v>1</v>
      </c>
      <c r="AR1069" t="s">
        <v>5061</v>
      </c>
      <c r="AS1069" s="21">
        <v>46276</v>
      </c>
      <c r="AT1069" t="s">
        <v>5062</v>
      </c>
      <c r="AU1069" t="s">
        <v>5078</v>
      </c>
      <c r="AV1069" t="s">
        <v>5062</v>
      </c>
      <c r="AW1069" t="s">
        <v>5086</v>
      </c>
    </row>
    <row r="1070" spans="1:49" x14ac:dyDescent="0.35">
      <c r="A1070" t="s">
        <v>2796</v>
      </c>
      <c r="B1070" t="s">
        <v>872</v>
      </c>
      <c r="C1070" t="s">
        <v>4818</v>
      </c>
      <c r="D1070" t="s">
        <v>18</v>
      </c>
      <c r="E1070" t="s">
        <v>4005</v>
      </c>
      <c r="F1070" t="s">
        <v>4006</v>
      </c>
      <c r="G1070" t="s">
        <v>21</v>
      </c>
      <c r="H1070" t="s">
        <v>4888</v>
      </c>
      <c r="I1070" t="s">
        <v>5003</v>
      </c>
      <c r="J1070" s="4" t="s">
        <v>5004</v>
      </c>
      <c r="K1070" s="4" t="s">
        <v>4837</v>
      </c>
      <c r="L1070" s="4" t="s">
        <v>4863</v>
      </c>
      <c r="M1070" s="4" t="s">
        <v>5035</v>
      </c>
      <c r="N1070" t="s">
        <v>4007</v>
      </c>
      <c r="O1070" t="s">
        <v>4008</v>
      </c>
      <c r="P1070" t="s">
        <v>23</v>
      </c>
      <c r="Q1070" t="s">
        <v>24</v>
      </c>
      <c r="R1070" t="s">
        <v>25</v>
      </c>
      <c r="S1070" t="s">
        <v>26</v>
      </c>
      <c r="T1070" s="6">
        <v>46307</v>
      </c>
      <c r="U1070">
        <v>60</v>
      </c>
      <c r="V1070">
        <v>60</v>
      </c>
      <c r="W1070">
        <v>72</v>
      </c>
      <c r="X1070">
        <v>72</v>
      </c>
      <c r="Y1070">
        <f t="shared" si="167"/>
        <v>0</v>
      </c>
      <c r="Z1070">
        <f t="shared" si="168"/>
        <v>-12</v>
      </c>
      <c r="AC1070" s="1">
        <v>0</v>
      </c>
      <c r="AF1070">
        <f t="shared" si="173"/>
        <v>60</v>
      </c>
      <c r="AG1070" s="7">
        <v>12</v>
      </c>
      <c r="AH1070">
        <f t="shared" si="169"/>
        <v>60</v>
      </c>
      <c r="AI1070">
        <f t="shared" si="166"/>
        <v>0</v>
      </c>
      <c r="AK1070">
        <f t="shared" si="170"/>
        <v>5</v>
      </c>
      <c r="AL1070">
        <v>12.87</v>
      </c>
      <c r="AM1070" t="s">
        <v>27</v>
      </c>
      <c r="AN1070">
        <v>12.87</v>
      </c>
      <c r="AO1070" t="b">
        <f t="shared" si="171"/>
        <v>1</v>
      </c>
      <c r="AR1070" t="s">
        <v>5061</v>
      </c>
      <c r="AS1070" s="21">
        <v>46276</v>
      </c>
      <c r="AT1070" t="s">
        <v>5062</v>
      </c>
      <c r="AU1070" t="s">
        <v>5078</v>
      </c>
      <c r="AV1070" t="s">
        <v>5062</v>
      </c>
      <c r="AW1070" t="s">
        <v>5086</v>
      </c>
    </row>
    <row r="1071" spans="1:49" x14ac:dyDescent="0.35">
      <c r="A1071" t="s">
        <v>2796</v>
      </c>
      <c r="B1071" t="s">
        <v>872</v>
      </c>
      <c r="C1071" t="s">
        <v>4818</v>
      </c>
      <c r="D1071" t="s">
        <v>18</v>
      </c>
      <c r="E1071" t="s">
        <v>4009</v>
      </c>
      <c r="F1071" t="s">
        <v>4010</v>
      </c>
      <c r="G1071" t="s">
        <v>21</v>
      </c>
      <c r="H1071" t="s">
        <v>4888</v>
      </c>
      <c r="I1071" t="s">
        <v>5025</v>
      </c>
      <c r="J1071" s="4" t="s">
        <v>5026</v>
      </c>
      <c r="K1071" s="4" t="s">
        <v>5020</v>
      </c>
      <c r="L1071" s="4" t="s">
        <v>4990</v>
      </c>
      <c r="M1071" s="4" t="s">
        <v>5035</v>
      </c>
      <c r="N1071" t="s">
        <v>4011</v>
      </c>
      <c r="O1071" t="s">
        <v>4012</v>
      </c>
      <c r="P1071" t="s">
        <v>23</v>
      </c>
      <c r="Q1071" t="s">
        <v>24</v>
      </c>
      <c r="R1071" t="s">
        <v>25</v>
      </c>
      <c r="S1071" t="s">
        <v>26</v>
      </c>
      <c r="T1071" s="6">
        <v>46307</v>
      </c>
      <c r="U1071">
        <v>240</v>
      </c>
      <c r="V1071">
        <v>240</v>
      </c>
      <c r="W1071">
        <v>216</v>
      </c>
      <c r="X1071">
        <v>216</v>
      </c>
      <c r="Y1071">
        <f t="shared" si="167"/>
        <v>0</v>
      </c>
      <c r="Z1071">
        <f t="shared" si="168"/>
        <v>24</v>
      </c>
      <c r="AA1071">
        <f>Z1071</f>
        <v>24</v>
      </c>
      <c r="AC1071" s="1">
        <v>0</v>
      </c>
      <c r="AF1071">
        <f>X1071</f>
        <v>216</v>
      </c>
      <c r="AG1071" s="7">
        <v>24</v>
      </c>
      <c r="AH1071">
        <f t="shared" si="169"/>
        <v>216</v>
      </c>
      <c r="AI1071">
        <f t="shared" si="166"/>
        <v>24</v>
      </c>
      <c r="AK1071">
        <f t="shared" si="170"/>
        <v>9</v>
      </c>
      <c r="AL1071">
        <v>6.2</v>
      </c>
      <c r="AM1071" t="s">
        <v>27</v>
      </c>
      <c r="AN1071">
        <v>6.2</v>
      </c>
      <c r="AO1071" t="b">
        <f t="shared" si="171"/>
        <v>1</v>
      </c>
      <c r="AR1071" t="s">
        <v>5061</v>
      </c>
      <c r="AS1071" s="21">
        <v>46276</v>
      </c>
      <c r="AT1071" t="s">
        <v>5062</v>
      </c>
      <c r="AU1071" t="s">
        <v>5082</v>
      </c>
      <c r="AV1071" t="s">
        <v>5062</v>
      </c>
      <c r="AW1071" t="s">
        <v>5086</v>
      </c>
    </row>
    <row r="1072" spans="1:49" x14ac:dyDescent="0.35">
      <c r="A1072" t="s">
        <v>2796</v>
      </c>
      <c r="B1072" t="s">
        <v>872</v>
      </c>
      <c r="C1072" t="s">
        <v>4818</v>
      </c>
      <c r="D1072" t="s">
        <v>18</v>
      </c>
      <c r="E1072" t="s">
        <v>4013</v>
      </c>
      <c r="F1072" t="s">
        <v>4014</v>
      </c>
      <c r="G1072" t="s">
        <v>21</v>
      </c>
      <c r="H1072" t="s">
        <v>4888</v>
      </c>
      <c r="I1072" t="s">
        <v>5022</v>
      </c>
      <c r="J1072" s="4" t="s">
        <v>5023</v>
      </c>
      <c r="K1072" s="4" t="s">
        <v>5024</v>
      </c>
      <c r="L1072" s="4">
        <v>4</v>
      </c>
      <c r="M1072" s="4" t="s">
        <v>5035</v>
      </c>
      <c r="N1072" t="s">
        <v>4015</v>
      </c>
      <c r="O1072" t="s">
        <v>4016</v>
      </c>
      <c r="P1072" t="s">
        <v>23</v>
      </c>
      <c r="Q1072" t="s">
        <v>24</v>
      </c>
      <c r="R1072" t="s">
        <v>25</v>
      </c>
      <c r="S1072" t="s">
        <v>26</v>
      </c>
      <c r="T1072" s="6">
        <v>46307</v>
      </c>
      <c r="U1072">
        <v>792</v>
      </c>
      <c r="V1072">
        <v>792</v>
      </c>
      <c r="W1072">
        <v>840</v>
      </c>
      <c r="X1072">
        <v>840</v>
      </c>
      <c r="Y1072">
        <f t="shared" si="167"/>
        <v>0</v>
      </c>
      <c r="Z1072">
        <f t="shared" si="168"/>
        <v>-48</v>
      </c>
      <c r="AC1072" s="1"/>
      <c r="AF1072">
        <f>V1072</f>
        <v>792</v>
      </c>
      <c r="AG1072" s="7">
        <v>24</v>
      </c>
      <c r="AH1072">
        <f t="shared" si="169"/>
        <v>792</v>
      </c>
      <c r="AI1072">
        <f t="shared" si="166"/>
        <v>0</v>
      </c>
      <c r="AK1072">
        <f t="shared" si="170"/>
        <v>33</v>
      </c>
      <c r="AL1072">
        <v>6.99</v>
      </c>
      <c r="AM1072" t="s">
        <v>27</v>
      </c>
      <c r="AN1072">
        <v>8.68</v>
      </c>
      <c r="AO1072" t="b">
        <f t="shared" si="171"/>
        <v>0</v>
      </c>
      <c r="AR1072" t="s">
        <v>5061</v>
      </c>
      <c r="AS1072" s="21">
        <v>46276</v>
      </c>
      <c r="AT1072" t="s">
        <v>5062</v>
      </c>
      <c r="AU1072" t="s">
        <v>5083</v>
      </c>
      <c r="AV1072" t="s">
        <v>5062</v>
      </c>
      <c r="AW1072" t="s">
        <v>5086</v>
      </c>
    </row>
    <row r="1073" spans="1:49" x14ac:dyDescent="0.35">
      <c r="A1073" t="s">
        <v>2796</v>
      </c>
      <c r="B1073" t="s">
        <v>872</v>
      </c>
      <c r="C1073" t="s">
        <v>4818</v>
      </c>
      <c r="D1073" t="s">
        <v>18</v>
      </c>
      <c r="E1073" t="s">
        <v>4017</v>
      </c>
      <c r="F1073" t="s">
        <v>4018</v>
      </c>
      <c r="G1073" t="s">
        <v>21</v>
      </c>
      <c r="H1073" t="s">
        <v>4888</v>
      </c>
      <c r="I1073" t="s">
        <v>5003</v>
      </c>
      <c r="J1073" s="4" t="s">
        <v>5004</v>
      </c>
      <c r="K1073" s="4" t="s">
        <v>5015</v>
      </c>
      <c r="L1073" s="4" t="s">
        <v>4877</v>
      </c>
      <c r="M1073" s="4" t="s">
        <v>5035</v>
      </c>
      <c r="N1073" t="s">
        <v>4019</v>
      </c>
      <c r="O1073" t="s">
        <v>4020</v>
      </c>
      <c r="P1073" t="s">
        <v>23</v>
      </c>
      <c r="Q1073" t="s">
        <v>24</v>
      </c>
      <c r="R1073" t="s">
        <v>25</v>
      </c>
      <c r="S1073" t="s">
        <v>26</v>
      </c>
      <c r="T1073" s="6">
        <v>46307</v>
      </c>
      <c r="U1073">
        <v>84</v>
      </c>
      <c r="V1073">
        <v>84</v>
      </c>
      <c r="W1073">
        <v>72</v>
      </c>
      <c r="X1073">
        <v>72</v>
      </c>
      <c r="Y1073">
        <f t="shared" si="167"/>
        <v>0</v>
      </c>
      <c r="Z1073">
        <f t="shared" si="168"/>
        <v>12</v>
      </c>
      <c r="AA1073">
        <f>Z1073</f>
        <v>12</v>
      </c>
      <c r="AC1073" s="1">
        <v>0</v>
      </c>
      <c r="AF1073">
        <f>X1073</f>
        <v>72</v>
      </c>
      <c r="AG1073" s="7">
        <v>12</v>
      </c>
      <c r="AH1073">
        <f t="shared" si="169"/>
        <v>72</v>
      </c>
      <c r="AI1073">
        <f t="shared" si="166"/>
        <v>12</v>
      </c>
      <c r="AK1073">
        <f t="shared" si="170"/>
        <v>6</v>
      </c>
      <c r="AL1073">
        <v>13.01</v>
      </c>
      <c r="AM1073" t="s">
        <v>27</v>
      </c>
      <c r="AN1073">
        <v>13.01</v>
      </c>
      <c r="AO1073" t="b">
        <f t="shared" si="171"/>
        <v>1</v>
      </c>
      <c r="AR1073" t="s">
        <v>5061</v>
      </c>
      <c r="AS1073" s="21">
        <v>46276</v>
      </c>
      <c r="AT1073" t="s">
        <v>5062</v>
      </c>
      <c r="AU1073" t="s">
        <v>5078</v>
      </c>
      <c r="AV1073" t="s">
        <v>5062</v>
      </c>
      <c r="AW1073" t="s">
        <v>5086</v>
      </c>
    </row>
    <row r="1074" spans="1:49" x14ac:dyDescent="0.35">
      <c r="A1074" t="s">
        <v>2796</v>
      </c>
      <c r="B1074" t="s">
        <v>872</v>
      </c>
      <c r="C1074" t="s">
        <v>4818</v>
      </c>
      <c r="D1074" t="s">
        <v>18</v>
      </c>
      <c r="E1074" t="s">
        <v>4021</v>
      </c>
      <c r="F1074" t="s">
        <v>4022</v>
      </c>
      <c r="G1074" t="s">
        <v>21</v>
      </c>
      <c r="H1074" t="s">
        <v>4888</v>
      </c>
      <c r="I1074" t="s">
        <v>5003</v>
      </c>
      <c r="J1074" s="4" t="s">
        <v>5004</v>
      </c>
      <c r="K1074" s="4" t="s">
        <v>4904</v>
      </c>
      <c r="L1074" s="4" t="s">
        <v>4880</v>
      </c>
      <c r="M1074" s="4" t="s">
        <v>5035</v>
      </c>
      <c r="N1074" t="s">
        <v>4023</v>
      </c>
      <c r="O1074" t="s">
        <v>4024</v>
      </c>
      <c r="P1074" t="s">
        <v>23</v>
      </c>
      <c r="Q1074" t="s">
        <v>24</v>
      </c>
      <c r="R1074" t="s">
        <v>25</v>
      </c>
      <c r="S1074" t="s">
        <v>26</v>
      </c>
      <c r="T1074" s="6">
        <v>46307</v>
      </c>
      <c r="U1074">
        <v>36</v>
      </c>
      <c r="V1074">
        <v>36</v>
      </c>
      <c r="W1074">
        <v>36</v>
      </c>
      <c r="X1074">
        <v>36</v>
      </c>
      <c r="Y1074">
        <f t="shared" si="167"/>
        <v>0</v>
      </c>
      <c r="Z1074">
        <f t="shared" si="168"/>
        <v>0</v>
      </c>
      <c r="AC1074" s="1">
        <v>0</v>
      </c>
      <c r="AF1074">
        <f t="shared" ref="AF1074:AF1081" si="174">V1074</f>
        <v>36</v>
      </c>
      <c r="AG1074" s="7">
        <v>12</v>
      </c>
      <c r="AH1074">
        <f t="shared" si="169"/>
        <v>36</v>
      </c>
      <c r="AI1074">
        <f t="shared" si="166"/>
        <v>0</v>
      </c>
      <c r="AK1074">
        <f t="shared" si="170"/>
        <v>3</v>
      </c>
      <c r="AL1074">
        <v>12.89</v>
      </c>
      <c r="AM1074" t="s">
        <v>27</v>
      </c>
      <c r="AN1074">
        <v>12.89</v>
      </c>
      <c r="AO1074" t="b">
        <f t="shared" si="171"/>
        <v>1</v>
      </c>
      <c r="AR1074" t="s">
        <v>5061</v>
      </c>
      <c r="AS1074" s="21">
        <v>46276</v>
      </c>
      <c r="AT1074" t="s">
        <v>5062</v>
      </c>
      <c r="AU1074" t="s">
        <v>5078</v>
      </c>
      <c r="AV1074" t="s">
        <v>5062</v>
      </c>
      <c r="AW1074" t="s">
        <v>5086</v>
      </c>
    </row>
    <row r="1075" spans="1:49" x14ac:dyDescent="0.35">
      <c r="A1075" t="s">
        <v>2796</v>
      </c>
      <c r="B1075" t="s">
        <v>872</v>
      </c>
      <c r="C1075" t="s">
        <v>4818</v>
      </c>
      <c r="D1075" t="s">
        <v>18</v>
      </c>
      <c r="E1075" t="s">
        <v>4025</v>
      </c>
      <c r="F1075" t="s">
        <v>4026</v>
      </c>
      <c r="G1075" t="s">
        <v>21</v>
      </c>
      <c r="H1075" t="s">
        <v>4888</v>
      </c>
      <c r="I1075" t="s">
        <v>5018</v>
      </c>
      <c r="J1075" s="4" t="s">
        <v>5019</v>
      </c>
      <c r="K1075" s="4" t="s">
        <v>5020</v>
      </c>
      <c r="L1075" s="4">
        <v>8</v>
      </c>
      <c r="M1075" s="4" t="s">
        <v>5035</v>
      </c>
      <c r="N1075" t="s">
        <v>4027</v>
      </c>
      <c r="O1075" t="s">
        <v>4028</v>
      </c>
      <c r="P1075" t="s">
        <v>23</v>
      </c>
      <c r="Q1075" t="s">
        <v>24</v>
      </c>
      <c r="R1075" t="s">
        <v>25</v>
      </c>
      <c r="S1075" t="s">
        <v>26</v>
      </c>
      <c r="T1075" s="6">
        <v>46307</v>
      </c>
      <c r="U1075">
        <v>624</v>
      </c>
      <c r="V1075">
        <v>624</v>
      </c>
      <c r="W1075">
        <v>672</v>
      </c>
      <c r="X1075">
        <v>672</v>
      </c>
      <c r="Y1075">
        <f t="shared" si="167"/>
        <v>0</v>
      </c>
      <c r="Z1075">
        <f t="shared" si="168"/>
        <v>-48</v>
      </c>
      <c r="AC1075" s="1"/>
      <c r="AF1075">
        <f t="shared" si="174"/>
        <v>624</v>
      </c>
      <c r="AG1075" s="7">
        <v>24</v>
      </c>
      <c r="AH1075">
        <f t="shared" si="169"/>
        <v>624</v>
      </c>
      <c r="AI1075">
        <f t="shared" si="166"/>
        <v>0</v>
      </c>
      <c r="AK1075">
        <f t="shared" si="170"/>
        <v>26</v>
      </c>
      <c r="AL1075">
        <v>10.79</v>
      </c>
      <c r="AM1075" t="s">
        <v>27</v>
      </c>
      <c r="AN1075">
        <v>10.79</v>
      </c>
      <c r="AO1075" t="b">
        <f t="shared" si="171"/>
        <v>1</v>
      </c>
      <c r="AR1075" t="s">
        <v>5061</v>
      </c>
      <c r="AS1075" s="21">
        <v>46276</v>
      </c>
      <c r="AT1075" t="s">
        <v>5062</v>
      </c>
      <c r="AU1075" t="s">
        <v>5082</v>
      </c>
      <c r="AV1075" t="s">
        <v>5062</v>
      </c>
      <c r="AW1075" t="s">
        <v>5086</v>
      </c>
    </row>
    <row r="1076" spans="1:49" x14ac:dyDescent="0.35">
      <c r="A1076" t="s">
        <v>2796</v>
      </c>
      <c r="B1076" t="s">
        <v>872</v>
      </c>
      <c r="C1076" t="s">
        <v>4818</v>
      </c>
      <c r="D1076" t="s">
        <v>18</v>
      </c>
      <c r="E1076" t="s">
        <v>4029</v>
      </c>
      <c r="F1076" t="s">
        <v>4030</v>
      </c>
      <c r="G1076" t="s">
        <v>21</v>
      </c>
      <c r="H1076" t="s">
        <v>4888</v>
      </c>
      <c r="I1076" t="s">
        <v>5005</v>
      </c>
      <c r="J1076" s="4" t="s">
        <v>5006</v>
      </c>
      <c r="K1076" s="4" t="s">
        <v>5007</v>
      </c>
      <c r="L1076" s="4">
        <v>29</v>
      </c>
      <c r="M1076" s="4" t="s">
        <v>5035</v>
      </c>
      <c r="N1076" t="s">
        <v>4031</v>
      </c>
      <c r="O1076" t="s">
        <v>4032</v>
      </c>
      <c r="P1076" t="s">
        <v>23</v>
      </c>
      <c r="Q1076" t="s">
        <v>24</v>
      </c>
      <c r="R1076" t="s">
        <v>25</v>
      </c>
      <c r="S1076" t="s">
        <v>26</v>
      </c>
      <c r="T1076" s="6">
        <v>46307</v>
      </c>
      <c r="U1076">
        <v>144</v>
      </c>
      <c r="V1076">
        <v>144</v>
      </c>
      <c r="W1076">
        <v>144</v>
      </c>
      <c r="X1076">
        <v>144</v>
      </c>
      <c r="Y1076">
        <f t="shared" si="167"/>
        <v>0</v>
      </c>
      <c r="Z1076">
        <f t="shared" si="168"/>
        <v>0</v>
      </c>
      <c r="AC1076" s="1">
        <v>0</v>
      </c>
      <c r="AF1076">
        <f t="shared" si="174"/>
        <v>144</v>
      </c>
      <c r="AG1076" s="7">
        <v>24</v>
      </c>
      <c r="AH1076">
        <f t="shared" si="169"/>
        <v>144</v>
      </c>
      <c r="AI1076">
        <f t="shared" si="166"/>
        <v>0</v>
      </c>
      <c r="AK1076">
        <f t="shared" si="170"/>
        <v>6</v>
      </c>
      <c r="AL1076">
        <v>10.45</v>
      </c>
      <c r="AM1076" t="s">
        <v>27</v>
      </c>
      <c r="AN1076">
        <v>10.45</v>
      </c>
      <c r="AO1076" t="b">
        <f t="shared" si="171"/>
        <v>1</v>
      </c>
      <c r="AR1076" t="s">
        <v>5061</v>
      </c>
      <c r="AS1076" s="21">
        <v>46276</v>
      </c>
      <c r="AT1076" t="s">
        <v>5062</v>
      </c>
      <c r="AU1076" t="s">
        <v>5079</v>
      </c>
      <c r="AV1076" t="s">
        <v>5062</v>
      </c>
      <c r="AW1076" t="s">
        <v>5086</v>
      </c>
    </row>
    <row r="1077" spans="1:49" x14ac:dyDescent="0.35">
      <c r="A1077" t="s">
        <v>2796</v>
      </c>
      <c r="B1077" t="s">
        <v>872</v>
      </c>
      <c r="C1077" t="s">
        <v>4818</v>
      </c>
      <c r="D1077" t="s">
        <v>18</v>
      </c>
      <c r="E1077" t="s">
        <v>4033</v>
      </c>
      <c r="F1077" t="s">
        <v>4034</v>
      </c>
      <c r="G1077" t="s">
        <v>21</v>
      </c>
      <c r="H1077" t="s">
        <v>4888</v>
      </c>
      <c r="I1077" t="s">
        <v>5005</v>
      </c>
      <c r="J1077" s="4" t="s">
        <v>5006</v>
      </c>
      <c r="K1077" s="4" t="s">
        <v>4899</v>
      </c>
      <c r="L1077" s="4">
        <v>38</v>
      </c>
      <c r="M1077" s="4" t="s">
        <v>5035</v>
      </c>
      <c r="N1077" t="s">
        <v>4035</v>
      </c>
      <c r="O1077" t="s">
        <v>4036</v>
      </c>
      <c r="P1077" t="s">
        <v>23</v>
      </c>
      <c r="Q1077" t="s">
        <v>24</v>
      </c>
      <c r="R1077" t="s">
        <v>25</v>
      </c>
      <c r="S1077" t="s">
        <v>26</v>
      </c>
      <c r="T1077" s="6">
        <v>46307</v>
      </c>
      <c r="U1077">
        <v>600</v>
      </c>
      <c r="V1077">
        <v>600</v>
      </c>
      <c r="W1077">
        <v>648</v>
      </c>
      <c r="X1077">
        <v>648</v>
      </c>
      <c r="Y1077">
        <f t="shared" si="167"/>
        <v>0</v>
      </c>
      <c r="Z1077">
        <f t="shared" si="168"/>
        <v>-48</v>
      </c>
      <c r="AC1077" s="1">
        <v>0</v>
      </c>
      <c r="AF1077">
        <f t="shared" si="174"/>
        <v>600</v>
      </c>
      <c r="AG1077" s="7">
        <v>24</v>
      </c>
      <c r="AH1077">
        <f t="shared" si="169"/>
        <v>600</v>
      </c>
      <c r="AI1077">
        <f t="shared" si="166"/>
        <v>0</v>
      </c>
      <c r="AK1077">
        <f t="shared" si="170"/>
        <v>25</v>
      </c>
      <c r="AL1077">
        <v>10.14</v>
      </c>
      <c r="AM1077" t="s">
        <v>27</v>
      </c>
      <c r="AN1077">
        <v>10.14</v>
      </c>
      <c r="AO1077" t="b">
        <f t="shared" si="171"/>
        <v>1</v>
      </c>
      <c r="AR1077" t="s">
        <v>5061</v>
      </c>
      <c r="AS1077" s="21">
        <v>46276</v>
      </c>
      <c r="AT1077" t="s">
        <v>5062</v>
      </c>
      <c r="AU1077" t="s">
        <v>5079</v>
      </c>
      <c r="AV1077" t="s">
        <v>5062</v>
      </c>
      <c r="AW1077" t="s">
        <v>5086</v>
      </c>
    </row>
    <row r="1078" spans="1:49" x14ac:dyDescent="0.35">
      <c r="A1078" t="s">
        <v>2796</v>
      </c>
      <c r="B1078" t="s">
        <v>872</v>
      </c>
      <c r="C1078" t="s">
        <v>4818</v>
      </c>
      <c r="D1078" t="s">
        <v>18</v>
      </c>
      <c r="E1078" t="s">
        <v>4037</v>
      </c>
      <c r="F1078" t="s">
        <v>4038</v>
      </c>
      <c r="G1078" t="s">
        <v>21</v>
      </c>
      <c r="H1078" t="s">
        <v>4888</v>
      </c>
      <c r="I1078" t="s">
        <v>5003</v>
      </c>
      <c r="J1078" s="4" t="s">
        <v>5004</v>
      </c>
      <c r="K1078" s="4" t="s">
        <v>4904</v>
      </c>
      <c r="L1078" s="4" t="s">
        <v>4901</v>
      </c>
      <c r="M1078" s="4" t="s">
        <v>5035</v>
      </c>
      <c r="N1078" t="s">
        <v>4039</v>
      </c>
      <c r="O1078" t="s">
        <v>4040</v>
      </c>
      <c r="P1078" t="s">
        <v>23</v>
      </c>
      <c r="Q1078" t="s">
        <v>24</v>
      </c>
      <c r="R1078" t="s">
        <v>25</v>
      </c>
      <c r="S1078" t="s">
        <v>26</v>
      </c>
      <c r="T1078" s="6">
        <v>46307</v>
      </c>
      <c r="U1078">
        <v>72</v>
      </c>
      <c r="V1078">
        <v>72</v>
      </c>
      <c r="W1078">
        <v>72</v>
      </c>
      <c r="X1078">
        <v>72</v>
      </c>
      <c r="Y1078">
        <f t="shared" si="167"/>
        <v>0</v>
      </c>
      <c r="Z1078">
        <f t="shared" si="168"/>
        <v>0</v>
      </c>
      <c r="AC1078" s="1">
        <v>0</v>
      </c>
      <c r="AF1078">
        <f t="shared" si="174"/>
        <v>72</v>
      </c>
      <c r="AG1078" s="7">
        <v>12</v>
      </c>
      <c r="AH1078">
        <f t="shared" si="169"/>
        <v>72</v>
      </c>
      <c r="AI1078">
        <f t="shared" si="166"/>
        <v>0</v>
      </c>
      <c r="AK1078">
        <f t="shared" si="170"/>
        <v>6</v>
      </c>
      <c r="AL1078">
        <v>12.89</v>
      </c>
      <c r="AM1078" t="s">
        <v>27</v>
      </c>
      <c r="AN1078">
        <v>12.89</v>
      </c>
      <c r="AO1078" t="b">
        <f t="shared" si="171"/>
        <v>1</v>
      </c>
      <c r="AR1078" t="s">
        <v>5061</v>
      </c>
      <c r="AS1078" s="21">
        <v>46276</v>
      </c>
      <c r="AT1078" t="s">
        <v>5062</v>
      </c>
      <c r="AU1078" t="s">
        <v>5078</v>
      </c>
      <c r="AV1078" t="s">
        <v>5062</v>
      </c>
      <c r="AW1078" t="s">
        <v>5086</v>
      </c>
    </row>
    <row r="1079" spans="1:49" x14ac:dyDescent="0.35">
      <c r="A1079" t="s">
        <v>2796</v>
      </c>
      <c r="B1079" t="s">
        <v>872</v>
      </c>
      <c r="C1079" t="s">
        <v>4818</v>
      </c>
      <c r="D1079" t="s">
        <v>18</v>
      </c>
      <c r="E1079" t="s">
        <v>4041</v>
      </c>
      <c r="F1079" t="s">
        <v>4042</v>
      </c>
      <c r="G1079" t="s">
        <v>21</v>
      </c>
      <c r="H1079" t="s">
        <v>4888</v>
      </c>
      <c r="I1079" t="s">
        <v>5003</v>
      </c>
      <c r="J1079" s="4" t="s">
        <v>5004</v>
      </c>
      <c r="K1079" s="4" t="s">
        <v>4904</v>
      </c>
      <c r="L1079" s="4" t="s">
        <v>4892</v>
      </c>
      <c r="M1079" s="4" t="s">
        <v>5035</v>
      </c>
      <c r="N1079" t="s">
        <v>4043</v>
      </c>
      <c r="O1079" t="s">
        <v>4044</v>
      </c>
      <c r="P1079" t="s">
        <v>23</v>
      </c>
      <c r="Q1079" t="s">
        <v>24</v>
      </c>
      <c r="R1079" t="s">
        <v>25</v>
      </c>
      <c r="S1079" t="s">
        <v>26</v>
      </c>
      <c r="T1079" s="6">
        <v>46307</v>
      </c>
      <c r="U1079">
        <v>48</v>
      </c>
      <c r="V1079">
        <v>48</v>
      </c>
      <c r="W1079">
        <v>48</v>
      </c>
      <c r="X1079">
        <v>48</v>
      </c>
      <c r="Y1079">
        <f t="shared" si="167"/>
        <v>0</v>
      </c>
      <c r="Z1079">
        <f t="shared" si="168"/>
        <v>0</v>
      </c>
      <c r="AC1079" s="1">
        <v>0</v>
      </c>
      <c r="AF1079">
        <f t="shared" si="174"/>
        <v>48</v>
      </c>
      <c r="AG1079" s="7">
        <v>12</v>
      </c>
      <c r="AH1079">
        <f t="shared" si="169"/>
        <v>48</v>
      </c>
      <c r="AI1079">
        <f t="shared" si="166"/>
        <v>0</v>
      </c>
      <c r="AK1079">
        <f t="shared" si="170"/>
        <v>4</v>
      </c>
      <c r="AL1079">
        <v>12.89</v>
      </c>
      <c r="AM1079" t="s">
        <v>27</v>
      </c>
      <c r="AN1079">
        <v>12.89</v>
      </c>
      <c r="AO1079" t="b">
        <f t="shared" si="171"/>
        <v>1</v>
      </c>
      <c r="AR1079" t="s">
        <v>5061</v>
      </c>
      <c r="AS1079" s="21">
        <v>46276</v>
      </c>
      <c r="AT1079" t="s">
        <v>5062</v>
      </c>
      <c r="AU1079" t="s">
        <v>5078</v>
      </c>
      <c r="AV1079" t="s">
        <v>5062</v>
      </c>
      <c r="AW1079" t="s">
        <v>5086</v>
      </c>
    </row>
    <row r="1080" spans="1:49" x14ac:dyDescent="0.35">
      <c r="A1080" t="s">
        <v>2796</v>
      </c>
      <c r="B1080" t="s">
        <v>872</v>
      </c>
      <c r="C1080" t="s">
        <v>4818</v>
      </c>
      <c r="D1080" t="s">
        <v>18</v>
      </c>
      <c r="E1080" t="s">
        <v>4045</v>
      </c>
      <c r="F1080" t="s">
        <v>4046</v>
      </c>
      <c r="G1080" t="s">
        <v>21</v>
      </c>
      <c r="H1080" t="s">
        <v>4888</v>
      </c>
      <c r="I1080" t="s">
        <v>5003</v>
      </c>
      <c r="J1080" s="4" t="s">
        <v>5004</v>
      </c>
      <c r="K1080" s="4" t="s">
        <v>4904</v>
      </c>
      <c r="L1080" s="4" t="s">
        <v>4919</v>
      </c>
      <c r="M1080" s="4" t="s">
        <v>5035</v>
      </c>
      <c r="N1080" t="s">
        <v>4047</v>
      </c>
      <c r="O1080" t="s">
        <v>4048</v>
      </c>
      <c r="P1080" t="s">
        <v>23</v>
      </c>
      <c r="Q1080" t="s">
        <v>24</v>
      </c>
      <c r="R1080" t="s">
        <v>25</v>
      </c>
      <c r="S1080" t="s">
        <v>26</v>
      </c>
      <c r="T1080" s="6">
        <v>46307</v>
      </c>
      <c r="U1080">
        <v>48</v>
      </c>
      <c r="V1080">
        <v>48</v>
      </c>
      <c r="W1080">
        <v>48</v>
      </c>
      <c r="X1080">
        <v>48</v>
      </c>
      <c r="Y1080">
        <f t="shared" si="167"/>
        <v>0</v>
      </c>
      <c r="Z1080">
        <f t="shared" si="168"/>
        <v>0</v>
      </c>
      <c r="AC1080" s="1">
        <v>0</v>
      </c>
      <c r="AF1080">
        <f t="shared" si="174"/>
        <v>48</v>
      </c>
      <c r="AG1080" s="7">
        <v>12</v>
      </c>
      <c r="AH1080">
        <f t="shared" si="169"/>
        <v>48</v>
      </c>
      <c r="AI1080">
        <f t="shared" si="166"/>
        <v>0</v>
      </c>
      <c r="AK1080">
        <f t="shared" si="170"/>
        <v>4</v>
      </c>
      <c r="AL1080">
        <v>12.89</v>
      </c>
      <c r="AM1080" t="s">
        <v>27</v>
      </c>
      <c r="AN1080">
        <v>12.89</v>
      </c>
      <c r="AO1080" t="b">
        <f t="shared" si="171"/>
        <v>1</v>
      </c>
      <c r="AR1080" t="s">
        <v>5061</v>
      </c>
      <c r="AS1080" s="21">
        <v>46276</v>
      </c>
      <c r="AT1080" t="s">
        <v>5062</v>
      </c>
      <c r="AU1080" t="s">
        <v>5078</v>
      </c>
      <c r="AV1080" t="s">
        <v>5062</v>
      </c>
      <c r="AW1080" t="s">
        <v>5086</v>
      </c>
    </row>
    <row r="1081" spans="1:49" x14ac:dyDescent="0.35">
      <c r="A1081" t="s">
        <v>2796</v>
      </c>
      <c r="B1081" t="s">
        <v>872</v>
      </c>
      <c r="C1081" t="s">
        <v>4818</v>
      </c>
      <c r="D1081" t="s">
        <v>18</v>
      </c>
      <c r="E1081" t="s">
        <v>4049</v>
      </c>
      <c r="F1081" t="s">
        <v>4050</v>
      </c>
      <c r="G1081" t="s">
        <v>21</v>
      </c>
      <c r="H1081" t="s">
        <v>4888</v>
      </c>
      <c r="I1081" t="s">
        <v>5010</v>
      </c>
      <c r="J1081" s="4" t="s">
        <v>5011</v>
      </c>
      <c r="K1081" s="4" t="s">
        <v>4904</v>
      </c>
      <c r="L1081" s="4" t="s">
        <v>4996</v>
      </c>
      <c r="M1081" s="4" t="s">
        <v>5035</v>
      </c>
      <c r="N1081" t="s">
        <v>4051</v>
      </c>
      <c r="O1081" t="s">
        <v>4052</v>
      </c>
      <c r="P1081" t="s">
        <v>23</v>
      </c>
      <c r="Q1081" t="s">
        <v>24</v>
      </c>
      <c r="R1081" t="s">
        <v>25</v>
      </c>
      <c r="S1081" t="s">
        <v>26</v>
      </c>
      <c r="T1081" s="6">
        <v>46307</v>
      </c>
      <c r="U1081">
        <v>120</v>
      </c>
      <c r="V1081">
        <v>120</v>
      </c>
      <c r="W1081">
        <v>144</v>
      </c>
      <c r="X1081">
        <v>144</v>
      </c>
      <c r="Y1081">
        <f t="shared" si="167"/>
        <v>0</v>
      </c>
      <c r="Z1081">
        <f t="shared" si="168"/>
        <v>-24</v>
      </c>
      <c r="AC1081" s="1">
        <v>0</v>
      </c>
      <c r="AF1081">
        <f t="shared" si="174"/>
        <v>120</v>
      </c>
      <c r="AG1081" s="7">
        <v>24</v>
      </c>
      <c r="AH1081">
        <f t="shared" si="169"/>
        <v>120</v>
      </c>
      <c r="AI1081">
        <f t="shared" si="166"/>
        <v>0</v>
      </c>
      <c r="AK1081">
        <f t="shared" si="170"/>
        <v>5</v>
      </c>
      <c r="AL1081">
        <v>5.03</v>
      </c>
      <c r="AM1081" t="s">
        <v>27</v>
      </c>
      <c r="AN1081">
        <v>5.03</v>
      </c>
      <c r="AO1081" t="b">
        <f t="shared" si="171"/>
        <v>1</v>
      </c>
      <c r="AR1081" t="s">
        <v>5061</v>
      </c>
      <c r="AS1081" s="21">
        <v>46276</v>
      </c>
      <c r="AT1081" t="s">
        <v>5062</v>
      </c>
      <c r="AU1081" t="s">
        <v>5081</v>
      </c>
      <c r="AV1081" t="s">
        <v>5062</v>
      </c>
      <c r="AW1081" t="s">
        <v>5086</v>
      </c>
    </row>
    <row r="1082" spans="1:49" x14ac:dyDescent="0.35">
      <c r="A1082" t="s">
        <v>2796</v>
      </c>
      <c r="B1082" t="s">
        <v>872</v>
      </c>
      <c r="C1082" t="s">
        <v>4818</v>
      </c>
      <c r="D1082" t="s">
        <v>18</v>
      </c>
      <c r="E1082" t="s">
        <v>4053</v>
      </c>
      <c r="F1082" t="s">
        <v>4054</v>
      </c>
      <c r="G1082" t="s">
        <v>21</v>
      </c>
      <c r="H1082" t="s">
        <v>4888</v>
      </c>
      <c r="I1082" t="s">
        <v>5005</v>
      </c>
      <c r="J1082" s="4" t="s">
        <v>5006</v>
      </c>
      <c r="K1082" s="4" t="s">
        <v>5007</v>
      </c>
      <c r="L1082" s="4">
        <v>33</v>
      </c>
      <c r="M1082" s="4" t="s">
        <v>5035</v>
      </c>
      <c r="N1082" t="s">
        <v>4055</v>
      </c>
      <c r="O1082" t="s">
        <v>4056</v>
      </c>
      <c r="P1082" t="s">
        <v>23</v>
      </c>
      <c r="Q1082" t="s">
        <v>24</v>
      </c>
      <c r="R1082" t="s">
        <v>25</v>
      </c>
      <c r="S1082" t="s">
        <v>26</v>
      </c>
      <c r="T1082" s="6">
        <v>46307</v>
      </c>
      <c r="U1082">
        <v>408</v>
      </c>
      <c r="V1082">
        <v>408</v>
      </c>
      <c r="W1082">
        <v>360</v>
      </c>
      <c r="X1082">
        <v>360</v>
      </c>
      <c r="Y1082">
        <f t="shared" si="167"/>
        <v>0</v>
      </c>
      <c r="Z1082">
        <f t="shared" si="168"/>
        <v>48</v>
      </c>
      <c r="AA1082">
        <f>Z1082</f>
        <v>48</v>
      </c>
      <c r="AC1082" s="1">
        <v>0</v>
      </c>
      <c r="AF1082">
        <f>X1082</f>
        <v>360</v>
      </c>
      <c r="AG1082" s="7">
        <v>24</v>
      </c>
      <c r="AH1082">
        <f t="shared" si="169"/>
        <v>360</v>
      </c>
      <c r="AI1082">
        <f t="shared" si="166"/>
        <v>48</v>
      </c>
      <c r="AK1082">
        <f t="shared" si="170"/>
        <v>15</v>
      </c>
      <c r="AL1082">
        <v>10.45</v>
      </c>
      <c r="AM1082" t="s">
        <v>27</v>
      </c>
      <c r="AN1082">
        <v>10.45</v>
      </c>
      <c r="AO1082" t="b">
        <f t="shared" si="171"/>
        <v>1</v>
      </c>
      <c r="AR1082" t="s">
        <v>5061</v>
      </c>
      <c r="AS1082" s="21">
        <v>46276</v>
      </c>
      <c r="AT1082" t="s">
        <v>5062</v>
      </c>
      <c r="AU1082" t="s">
        <v>5079</v>
      </c>
      <c r="AV1082" t="s">
        <v>5062</v>
      </c>
      <c r="AW1082" t="s">
        <v>5086</v>
      </c>
    </row>
    <row r="1083" spans="1:49" x14ac:dyDescent="0.35">
      <c r="A1083" t="s">
        <v>2796</v>
      </c>
      <c r="B1083" t="s">
        <v>872</v>
      </c>
      <c r="C1083" t="s">
        <v>4818</v>
      </c>
      <c r="D1083" t="s">
        <v>18</v>
      </c>
      <c r="E1083" t="s">
        <v>4057</v>
      </c>
      <c r="F1083" t="s">
        <v>4058</v>
      </c>
      <c r="G1083" t="s">
        <v>21</v>
      </c>
      <c r="H1083" t="s">
        <v>4888</v>
      </c>
      <c r="I1083" t="s">
        <v>5012</v>
      </c>
      <c r="J1083" s="4" t="s">
        <v>5013</v>
      </c>
      <c r="K1083" s="4" t="s">
        <v>4984</v>
      </c>
      <c r="L1083" s="4" t="s">
        <v>5014</v>
      </c>
      <c r="M1083" s="4" t="s">
        <v>5035</v>
      </c>
      <c r="N1083" t="s">
        <v>4059</v>
      </c>
      <c r="O1083" t="s">
        <v>4060</v>
      </c>
      <c r="P1083" t="s">
        <v>23</v>
      </c>
      <c r="Q1083" t="s">
        <v>24</v>
      </c>
      <c r="R1083" t="s">
        <v>25</v>
      </c>
      <c r="S1083" t="s">
        <v>26</v>
      </c>
      <c r="T1083" s="6">
        <v>46307</v>
      </c>
      <c r="U1083">
        <v>96</v>
      </c>
      <c r="V1083">
        <v>96</v>
      </c>
      <c r="W1083">
        <v>120</v>
      </c>
      <c r="X1083">
        <v>120</v>
      </c>
      <c r="Y1083">
        <f t="shared" si="167"/>
        <v>0</v>
      </c>
      <c r="Z1083">
        <f t="shared" si="168"/>
        <v>-24</v>
      </c>
      <c r="AC1083" s="1">
        <v>0</v>
      </c>
      <c r="AF1083">
        <f>V1083</f>
        <v>96</v>
      </c>
      <c r="AG1083" s="7">
        <v>24</v>
      </c>
      <c r="AH1083">
        <f t="shared" si="169"/>
        <v>96</v>
      </c>
      <c r="AI1083">
        <f t="shared" si="166"/>
        <v>0</v>
      </c>
      <c r="AK1083">
        <f t="shared" si="170"/>
        <v>4</v>
      </c>
      <c r="AL1083">
        <v>6.05</v>
      </c>
      <c r="AM1083" t="s">
        <v>27</v>
      </c>
      <c r="AN1083">
        <v>6.05</v>
      </c>
      <c r="AO1083" t="b">
        <f t="shared" si="171"/>
        <v>1</v>
      </c>
      <c r="AR1083" t="s">
        <v>5061</v>
      </c>
      <c r="AS1083" s="21">
        <v>46276</v>
      </c>
      <c r="AT1083" t="s">
        <v>5062</v>
      </c>
      <c r="AU1083" t="s">
        <v>5081</v>
      </c>
      <c r="AV1083" t="s">
        <v>5062</v>
      </c>
      <c r="AW1083" t="s">
        <v>5086</v>
      </c>
    </row>
    <row r="1084" spans="1:49" x14ac:dyDescent="0.35">
      <c r="A1084" t="s">
        <v>2796</v>
      </c>
      <c r="B1084" t="s">
        <v>872</v>
      </c>
      <c r="C1084" t="s">
        <v>4818</v>
      </c>
      <c r="D1084" t="s">
        <v>18</v>
      </c>
      <c r="E1084" t="s">
        <v>4061</v>
      </c>
      <c r="F1084" t="s">
        <v>4062</v>
      </c>
      <c r="G1084" t="s">
        <v>21</v>
      </c>
      <c r="H1084" t="s">
        <v>4888</v>
      </c>
      <c r="I1084" t="s">
        <v>5003</v>
      </c>
      <c r="J1084" s="4" t="s">
        <v>5004</v>
      </c>
      <c r="K1084" s="4" t="s">
        <v>5016</v>
      </c>
      <c r="L1084" s="4" t="s">
        <v>4920</v>
      </c>
      <c r="M1084" s="4" t="s">
        <v>5035</v>
      </c>
      <c r="N1084" t="s">
        <v>4063</v>
      </c>
      <c r="O1084" t="s">
        <v>4064</v>
      </c>
      <c r="P1084" t="s">
        <v>23</v>
      </c>
      <c r="Q1084" t="s">
        <v>24</v>
      </c>
      <c r="R1084" t="s">
        <v>25</v>
      </c>
      <c r="S1084" t="s">
        <v>26</v>
      </c>
      <c r="T1084" s="6">
        <v>46307</v>
      </c>
      <c r="U1084">
        <v>24</v>
      </c>
      <c r="V1084">
        <v>24</v>
      </c>
      <c r="W1084">
        <v>24</v>
      </c>
      <c r="X1084">
        <v>24</v>
      </c>
      <c r="Y1084">
        <f t="shared" si="167"/>
        <v>0</v>
      </c>
      <c r="Z1084">
        <f t="shared" si="168"/>
        <v>0</v>
      </c>
      <c r="AC1084" s="1">
        <v>0</v>
      </c>
      <c r="AF1084">
        <f>V1084</f>
        <v>24</v>
      </c>
      <c r="AG1084" s="7">
        <v>12</v>
      </c>
      <c r="AH1084">
        <f t="shared" si="169"/>
        <v>24</v>
      </c>
      <c r="AI1084">
        <f t="shared" si="166"/>
        <v>0</v>
      </c>
      <c r="AK1084">
        <f t="shared" si="170"/>
        <v>2</v>
      </c>
      <c r="AL1084">
        <v>13.33</v>
      </c>
      <c r="AM1084" t="s">
        <v>27</v>
      </c>
      <c r="AN1084">
        <v>13.33</v>
      </c>
      <c r="AO1084" t="b">
        <f t="shared" si="171"/>
        <v>1</v>
      </c>
      <c r="AR1084" t="s">
        <v>5061</v>
      </c>
      <c r="AS1084" s="21">
        <v>46276</v>
      </c>
      <c r="AT1084" t="s">
        <v>5062</v>
      </c>
      <c r="AU1084" t="s">
        <v>5078</v>
      </c>
      <c r="AV1084" t="s">
        <v>5062</v>
      </c>
      <c r="AW1084" t="s">
        <v>5086</v>
      </c>
    </row>
    <row r="1085" spans="1:49" x14ac:dyDescent="0.35">
      <c r="A1085" t="s">
        <v>2796</v>
      </c>
      <c r="B1085" t="s">
        <v>872</v>
      </c>
      <c r="C1085" t="s">
        <v>4818</v>
      </c>
      <c r="D1085" t="s">
        <v>18</v>
      </c>
      <c r="E1085" t="s">
        <v>4065</v>
      </c>
      <c r="F1085" t="s">
        <v>4066</v>
      </c>
      <c r="G1085" t="s">
        <v>21</v>
      </c>
      <c r="H1085" t="s">
        <v>4888</v>
      </c>
      <c r="I1085" t="s">
        <v>5008</v>
      </c>
      <c r="J1085" s="4" t="s">
        <v>5009</v>
      </c>
      <c r="K1085" s="4" t="s">
        <v>5017</v>
      </c>
      <c r="L1085" s="4">
        <v>30</v>
      </c>
      <c r="M1085" s="4" t="s">
        <v>5035</v>
      </c>
      <c r="N1085" t="s">
        <v>4067</v>
      </c>
      <c r="O1085" t="s">
        <v>4068</v>
      </c>
      <c r="P1085" t="s">
        <v>23</v>
      </c>
      <c r="Q1085" t="s">
        <v>24</v>
      </c>
      <c r="R1085" t="s">
        <v>25</v>
      </c>
      <c r="S1085" t="s">
        <v>26</v>
      </c>
      <c r="T1085" s="6">
        <v>46307</v>
      </c>
      <c r="U1085">
        <v>24</v>
      </c>
      <c r="V1085">
        <v>24</v>
      </c>
      <c r="W1085">
        <v>24</v>
      </c>
      <c r="X1085">
        <v>24</v>
      </c>
      <c r="Y1085">
        <f t="shared" si="167"/>
        <v>0</v>
      </c>
      <c r="Z1085">
        <f t="shared" si="168"/>
        <v>0</v>
      </c>
      <c r="AC1085" s="1">
        <v>0</v>
      </c>
      <c r="AF1085">
        <f>V1085</f>
        <v>24</v>
      </c>
      <c r="AG1085" s="7">
        <v>24</v>
      </c>
      <c r="AH1085">
        <f t="shared" si="169"/>
        <v>24</v>
      </c>
      <c r="AI1085">
        <f t="shared" si="166"/>
        <v>0</v>
      </c>
      <c r="AK1085">
        <f t="shared" si="170"/>
        <v>1</v>
      </c>
      <c r="AL1085">
        <v>10.01</v>
      </c>
      <c r="AM1085" t="s">
        <v>27</v>
      </c>
      <c r="AN1085">
        <v>10.01</v>
      </c>
      <c r="AO1085" t="b">
        <f t="shared" si="171"/>
        <v>1</v>
      </c>
      <c r="AR1085" t="s">
        <v>5061</v>
      </c>
      <c r="AS1085" s="21">
        <v>46276</v>
      </c>
      <c r="AT1085" t="s">
        <v>5062</v>
      </c>
      <c r="AU1085" t="s">
        <v>5080</v>
      </c>
      <c r="AV1085" t="s">
        <v>5062</v>
      </c>
      <c r="AW1085" t="s">
        <v>5086</v>
      </c>
    </row>
    <row r="1086" spans="1:49" x14ac:dyDescent="0.35">
      <c r="A1086" t="s">
        <v>2796</v>
      </c>
      <c r="B1086" t="s">
        <v>872</v>
      </c>
      <c r="C1086" t="s">
        <v>4818</v>
      </c>
      <c r="D1086" t="s">
        <v>18</v>
      </c>
      <c r="E1086" t="s">
        <v>4069</v>
      </c>
      <c r="F1086" t="s">
        <v>4070</v>
      </c>
      <c r="G1086" t="s">
        <v>21</v>
      </c>
      <c r="H1086" t="s">
        <v>4888</v>
      </c>
      <c r="I1086" t="s">
        <v>5003</v>
      </c>
      <c r="J1086" s="4" t="s">
        <v>5004</v>
      </c>
      <c r="K1086" s="4" t="s">
        <v>4904</v>
      </c>
      <c r="L1086" s="4" t="s">
        <v>4895</v>
      </c>
      <c r="M1086" s="4" t="s">
        <v>5035</v>
      </c>
      <c r="N1086" t="s">
        <v>4071</v>
      </c>
      <c r="O1086" t="s">
        <v>4072</v>
      </c>
      <c r="P1086" t="s">
        <v>23</v>
      </c>
      <c r="Q1086" t="s">
        <v>24</v>
      </c>
      <c r="R1086" t="s">
        <v>25</v>
      </c>
      <c r="S1086" t="s">
        <v>26</v>
      </c>
      <c r="T1086" s="6">
        <v>46307</v>
      </c>
      <c r="U1086">
        <v>36</v>
      </c>
      <c r="V1086">
        <v>36</v>
      </c>
      <c r="W1086">
        <v>36</v>
      </c>
      <c r="X1086">
        <v>36</v>
      </c>
      <c r="Y1086">
        <f t="shared" si="167"/>
        <v>0</v>
      </c>
      <c r="Z1086">
        <f t="shared" si="168"/>
        <v>0</v>
      </c>
      <c r="AC1086" s="1">
        <v>0</v>
      </c>
      <c r="AF1086">
        <f>V1086</f>
        <v>36</v>
      </c>
      <c r="AG1086" s="7">
        <v>12</v>
      </c>
      <c r="AH1086">
        <f t="shared" si="169"/>
        <v>36</v>
      </c>
      <c r="AI1086">
        <f t="shared" si="166"/>
        <v>0</v>
      </c>
      <c r="AK1086">
        <f t="shared" si="170"/>
        <v>3</v>
      </c>
      <c r="AL1086">
        <v>12.89</v>
      </c>
      <c r="AM1086" t="s">
        <v>27</v>
      </c>
      <c r="AN1086">
        <v>12.89</v>
      </c>
      <c r="AO1086" t="b">
        <f t="shared" si="171"/>
        <v>1</v>
      </c>
      <c r="AR1086" t="s">
        <v>5061</v>
      </c>
      <c r="AS1086" s="21">
        <v>46276</v>
      </c>
      <c r="AT1086" t="s">
        <v>5062</v>
      </c>
      <c r="AU1086" t="s">
        <v>5078</v>
      </c>
      <c r="AV1086" t="s">
        <v>5062</v>
      </c>
      <c r="AW1086" t="s">
        <v>5086</v>
      </c>
    </row>
    <row r="1087" spans="1:49" x14ac:dyDescent="0.35">
      <c r="A1087" t="s">
        <v>2796</v>
      </c>
      <c r="B1087" t="s">
        <v>872</v>
      </c>
      <c r="C1087" t="s">
        <v>4818</v>
      </c>
      <c r="D1087" t="s">
        <v>18</v>
      </c>
      <c r="E1087" t="s">
        <v>4073</v>
      </c>
      <c r="F1087" t="s">
        <v>4074</v>
      </c>
      <c r="G1087" t="s">
        <v>21</v>
      </c>
      <c r="H1087" t="s">
        <v>4888</v>
      </c>
      <c r="I1087" t="s">
        <v>5003</v>
      </c>
      <c r="J1087" s="4" t="s">
        <v>5004</v>
      </c>
      <c r="K1087" s="4" t="s">
        <v>5015</v>
      </c>
      <c r="L1087" s="4" t="s">
        <v>4933</v>
      </c>
      <c r="M1087" s="4" t="s">
        <v>5035</v>
      </c>
      <c r="N1087" t="s">
        <v>4075</v>
      </c>
      <c r="O1087" t="s">
        <v>4076</v>
      </c>
      <c r="P1087" t="s">
        <v>23</v>
      </c>
      <c r="Q1087" t="s">
        <v>24</v>
      </c>
      <c r="R1087" t="s">
        <v>25</v>
      </c>
      <c r="S1087" t="s">
        <v>26</v>
      </c>
      <c r="T1087" s="6">
        <v>46307</v>
      </c>
      <c r="U1087">
        <v>48</v>
      </c>
      <c r="V1087">
        <v>48</v>
      </c>
      <c r="W1087">
        <v>36</v>
      </c>
      <c r="X1087">
        <v>36</v>
      </c>
      <c r="Y1087">
        <f t="shared" si="167"/>
        <v>0</v>
      </c>
      <c r="Z1087">
        <f t="shared" si="168"/>
        <v>12</v>
      </c>
      <c r="AA1087">
        <f>Z1087</f>
        <v>12</v>
      </c>
      <c r="AC1087" s="1">
        <v>0</v>
      </c>
      <c r="AF1087">
        <f>X1087</f>
        <v>36</v>
      </c>
      <c r="AG1087" s="7">
        <v>12</v>
      </c>
      <c r="AH1087">
        <f t="shared" si="169"/>
        <v>36</v>
      </c>
      <c r="AI1087">
        <f t="shared" si="166"/>
        <v>12</v>
      </c>
      <c r="AK1087">
        <f t="shared" si="170"/>
        <v>3</v>
      </c>
      <c r="AL1087">
        <v>13.01</v>
      </c>
      <c r="AM1087" t="s">
        <v>27</v>
      </c>
      <c r="AN1087">
        <v>13.01</v>
      </c>
      <c r="AO1087" t="b">
        <f t="shared" si="171"/>
        <v>1</v>
      </c>
      <c r="AR1087" t="s">
        <v>5061</v>
      </c>
      <c r="AS1087" s="21">
        <v>46276</v>
      </c>
      <c r="AT1087" t="s">
        <v>5062</v>
      </c>
      <c r="AU1087" t="s">
        <v>5078</v>
      </c>
      <c r="AV1087" t="s">
        <v>5062</v>
      </c>
      <c r="AW1087" t="s">
        <v>5086</v>
      </c>
    </row>
    <row r="1088" spans="1:49" x14ac:dyDescent="0.35">
      <c r="A1088" t="s">
        <v>2796</v>
      </c>
      <c r="B1088" t="s">
        <v>872</v>
      </c>
      <c r="C1088" t="s">
        <v>4818</v>
      </c>
      <c r="D1088" t="s">
        <v>18</v>
      </c>
      <c r="E1088" t="s">
        <v>4077</v>
      </c>
      <c r="F1088" t="s">
        <v>4078</v>
      </c>
      <c r="G1088" t="s">
        <v>21</v>
      </c>
      <c r="H1088" t="s">
        <v>4888</v>
      </c>
      <c r="I1088" t="s">
        <v>5005</v>
      </c>
      <c r="J1088" s="4" t="s">
        <v>5006</v>
      </c>
      <c r="K1088" s="4" t="s">
        <v>5007</v>
      </c>
      <c r="L1088" s="4">
        <v>31</v>
      </c>
      <c r="M1088" s="4" t="s">
        <v>5035</v>
      </c>
      <c r="N1088" t="s">
        <v>4079</v>
      </c>
      <c r="O1088" t="s">
        <v>4080</v>
      </c>
      <c r="P1088" t="s">
        <v>23</v>
      </c>
      <c r="Q1088" t="s">
        <v>24</v>
      </c>
      <c r="R1088" t="s">
        <v>25</v>
      </c>
      <c r="S1088" t="s">
        <v>26</v>
      </c>
      <c r="T1088" s="6">
        <v>46307</v>
      </c>
      <c r="U1088">
        <v>216</v>
      </c>
      <c r="V1088">
        <v>216</v>
      </c>
      <c r="W1088">
        <v>216</v>
      </c>
      <c r="X1088">
        <v>216</v>
      </c>
      <c r="Y1088">
        <f t="shared" si="167"/>
        <v>0</v>
      </c>
      <c r="Z1088">
        <f t="shared" si="168"/>
        <v>0</v>
      </c>
      <c r="AC1088" s="1">
        <v>0</v>
      </c>
      <c r="AF1088">
        <f t="shared" ref="AF1088:AF1093" si="175">V1088</f>
        <v>216</v>
      </c>
      <c r="AG1088" s="7">
        <v>24</v>
      </c>
      <c r="AH1088">
        <f t="shared" si="169"/>
        <v>216</v>
      </c>
      <c r="AI1088">
        <f t="shared" si="166"/>
        <v>0</v>
      </c>
      <c r="AK1088">
        <f t="shared" si="170"/>
        <v>9</v>
      </c>
      <c r="AL1088">
        <v>10.45</v>
      </c>
      <c r="AM1088" t="s">
        <v>27</v>
      </c>
      <c r="AN1088">
        <v>10.45</v>
      </c>
      <c r="AO1088" t="b">
        <f t="shared" si="171"/>
        <v>1</v>
      </c>
      <c r="AR1088" t="s">
        <v>5061</v>
      </c>
      <c r="AS1088" s="21">
        <v>46276</v>
      </c>
      <c r="AT1088" t="s">
        <v>5062</v>
      </c>
      <c r="AU1088" t="s">
        <v>5079</v>
      </c>
      <c r="AV1088" t="s">
        <v>5062</v>
      </c>
      <c r="AW1088" t="s">
        <v>5086</v>
      </c>
    </row>
    <row r="1089" spans="1:49" x14ac:dyDescent="0.35">
      <c r="A1089" t="s">
        <v>2796</v>
      </c>
      <c r="B1089" t="s">
        <v>872</v>
      </c>
      <c r="C1089" t="s">
        <v>4818</v>
      </c>
      <c r="D1089" t="s">
        <v>18</v>
      </c>
      <c r="E1089" t="s">
        <v>4081</v>
      </c>
      <c r="F1089" t="s">
        <v>4082</v>
      </c>
      <c r="G1089" t="s">
        <v>21</v>
      </c>
      <c r="H1089" t="s">
        <v>4888</v>
      </c>
      <c r="I1089" t="s">
        <v>5022</v>
      </c>
      <c r="J1089" s="4" t="s">
        <v>5023</v>
      </c>
      <c r="K1089" s="4" t="s">
        <v>5024</v>
      </c>
      <c r="L1089" s="4">
        <v>8</v>
      </c>
      <c r="M1089" s="4" t="s">
        <v>5035</v>
      </c>
      <c r="N1089" t="s">
        <v>4083</v>
      </c>
      <c r="O1089" t="s">
        <v>4084</v>
      </c>
      <c r="P1089" t="s">
        <v>23</v>
      </c>
      <c r="Q1089" t="s">
        <v>24</v>
      </c>
      <c r="R1089" t="s">
        <v>25</v>
      </c>
      <c r="S1089" t="s">
        <v>26</v>
      </c>
      <c r="T1089" s="6">
        <v>46307</v>
      </c>
      <c r="U1089">
        <v>360</v>
      </c>
      <c r="V1089">
        <v>360</v>
      </c>
      <c r="W1089">
        <v>384</v>
      </c>
      <c r="X1089">
        <v>384</v>
      </c>
      <c r="Y1089">
        <f t="shared" si="167"/>
        <v>0</v>
      </c>
      <c r="Z1089">
        <f t="shared" si="168"/>
        <v>-24</v>
      </c>
      <c r="AC1089" s="1"/>
      <c r="AF1089">
        <f t="shared" si="175"/>
        <v>360</v>
      </c>
      <c r="AG1089" s="7">
        <v>24</v>
      </c>
      <c r="AH1089">
        <f t="shared" si="169"/>
        <v>360</v>
      </c>
      <c r="AI1089">
        <f t="shared" si="166"/>
        <v>0</v>
      </c>
      <c r="AK1089">
        <f t="shared" si="170"/>
        <v>15</v>
      </c>
      <c r="AL1089">
        <v>6.99</v>
      </c>
      <c r="AM1089" t="s">
        <v>27</v>
      </c>
      <c r="AN1089">
        <v>8.68</v>
      </c>
      <c r="AO1089" t="b">
        <f t="shared" si="171"/>
        <v>0</v>
      </c>
      <c r="AR1089" t="s">
        <v>5061</v>
      </c>
      <c r="AS1089" s="21">
        <v>46276</v>
      </c>
      <c r="AT1089" t="s">
        <v>5062</v>
      </c>
      <c r="AU1089" t="s">
        <v>5083</v>
      </c>
      <c r="AV1089" t="s">
        <v>5062</v>
      </c>
      <c r="AW1089" t="s">
        <v>5086</v>
      </c>
    </row>
    <row r="1090" spans="1:49" x14ac:dyDescent="0.35">
      <c r="A1090" t="s">
        <v>2796</v>
      </c>
      <c r="B1090" t="s">
        <v>872</v>
      </c>
      <c r="C1090" t="s">
        <v>4818</v>
      </c>
      <c r="D1090" t="s">
        <v>18</v>
      </c>
      <c r="E1090" t="s">
        <v>4085</v>
      </c>
      <c r="F1090" t="s">
        <v>4086</v>
      </c>
      <c r="G1090" t="s">
        <v>21</v>
      </c>
      <c r="H1090" t="s">
        <v>4888</v>
      </c>
      <c r="I1090" t="s">
        <v>5008</v>
      </c>
      <c r="J1090" s="4" t="s">
        <v>5009</v>
      </c>
      <c r="K1090" s="4" t="s">
        <v>5021</v>
      </c>
      <c r="L1090" s="4">
        <v>32</v>
      </c>
      <c r="M1090" s="4" t="s">
        <v>5035</v>
      </c>
      <c r="N1090" t="s">
        <v>4087</v>
      </c>
      <c r="O1090" t="s">
        <v>4088</v>
      </c>
      <c r="P1090" t="s">
        <v>23</v>
      </c>
      <c r="Q1090" t="s">
        <v>24</v>
      </c>
      <c r="R1090" t="s">
        <v>25</v>
      </c>
      <c r="S1090" t="s">
        <v>26</v>
      </c>
      <c r="T1090" s="6">
        <v>46307</v>
      </c>
      <c r="U1090">
        <v>624</v>
      </c>
      <c r="V1090">
        <v>624</v>
      </c>
      <c r="W1090">
        <v>672</v>
      </c>
      <c r="X1090">
        <v>672</v>
      </c>
      <c r="Y1090">
        <f t="shared" si="167"/>
        <v>0</v>
      </c>
      <c r="Z1090">
        <f t="shared" si="168"/>
        <v>-48</v>
      </c>
      <c r="AC1090" s="1"/>
      <c r="AF1090">
        <f t="shared" si="175"/>
        <v>624</v>
      </c>
      <c r="AG1090" s="7">
        <v>24</v>
      </c>
      <c r="AH1090">
        <f t="shared" si="169"/>
        <v>624</v>
      </c>
      <c r="AI1090">
        <f t="shared" si="166"/>
        <v>0</v>
      </c>
      <c r="AK1090">
        <f t="shared" si="170"/>
        <v>26</v>
      </c>
      <c r="AL1090">
        <v>10.11</v>
      </c>
      <c r="AM1090" t="s">
        <v>27</v>
      </c>
      <c r="AN1090">
        <v>10.11</v>
      </c>
      <c r="AO1090" t="b">
        <f t="shared" si="171"/>
        <v>1</v>
      </c>
      <c r="AR1090" t="s">
        <v>5061</v>
      </c>
      <c r="AS1090" s="21">
        <v>46276</v>
      </c>
      <c r="AT1090" t="s">
        <v>5062</v>
      </c>
      <c r="AU1090" t="s">
        <v>5080</v>
      </c>
      <c r="AV1090" t="s">
        <v>5062</v>
      </c>
      <c r="AW1090" t="s">
        <v>5086</v>
      </c>
    </row>
    <row r="1091" spans="1:49" x14ac:dyDescent="0.35">
      <c r="A1091" t="s">
        <v>2796</v>
      </c>
      <c r="B1091" t="s">
        <v>872</v>
      </c>
      <c r="C1091" t="s">
        <v>4818</v>
      </c>
      <c r="D1091" t="s">
        <v>18</v>
      </c>
      <c r="E1091" t="s">
        <v>4089</v>
      </c>
      <c r="F1091" t="s">
        <v>4090</v>
      </c>
      <c r="G1091" t="s">
        <v>21</v>
      </c>
      <c r="H1091" t="s">
        <v>4888</v>
      </c>
      <c r="I1091" t="s">
        <v>5003</v>
      </c>
      <c r="J1091" s="4" t="s">
        <v>5004</v>
      </c>
      <c r="K1091" s="4" t="s">
        <v>5016</v>
      </c>
      <c r="L1091" s="4" t="s">
        <v>4922</v>
      </c>
      <c r="M1091" s="4" t="s">
        <v>5035</v>
      </c>
      <c r="N1091" t="s">
        <v>4091</v>
      </c>
      <c r="O1091" t="s">
        <v>4092</v>
      </c>
      <c r="P1091" t="s">
        <v>23</v>
      </c>
      <c r="Q1091" t="s">
        <v>24</v>
      </c>
      <c r="R1091" t="s">
        <v>25</v>
      </c>
      <c r="S1091" t="s">
        <v>26</v>
      </c>
      <c r="T1091" s="6">
        <v>46307</v>
      </c>
      <c r="U1091">
        <v>48</v>
      </c>
      <c r="V1091">
        <v>48</v>
      </c>
      <c r="W1091">
        <v>48</v>
      </c>
      <c r="X1091">
        <v>48</v>
      </c>
      <c r="Y1091">
        <f t="shared" si="167"/>
        <v>0</v>
      </c>
      <c r="Z1091">
        <f t="shared" si="168"/>
        <v>0</v>
      </c>
      <c r="AC1091" s="1">
        <v>0</v>
      </c>
      <c r="AF1091">
        <f t="shared" si="175"/>
        <v>48</v>
      </c>
      <c r="AG1091" s="7">
        <v>12</v>
      </c>
      <c r="AH1091">
        <f t="shared" si="169"/>
        <v>48</v>
      </c>
      <c r="AI1091">
        <f t="shared" ref="AI1091:AI1154" si="176">V1091-AH1091</f>
        <v>0</v>
      </c>
      <c r="AK1091">
        <f t="shared" si="170"/>
        <v>4</v>
      </c>
      <c r="AL1091">
        <v>13.33</v>
      </c>
      <c r="AM1091" t="s">
        <v>27</v>
      </c>
      <c r="AN1091">
        <v>13.33</v>
      </c>
      <c r="AO1091" t="b">
        <f t="shared" si="171"/>
        <v>1</v>
      </c>
      <c r="AR1091" t="s">
        <v>5061</v>
      </c>
      <c r="AS1091" s="21">
        <v>46276</v>
      </c>
      <c r="AT1091" t="s">
        <v>5062</v>
      </c>
      <c r="AU1091" t="s">
        <v>5078</v>
      </c>
      <c r="AV1091" t="s">
        <v>5062</v>
      </c>
      <c r="AW1091" t="s">
        <v>5086</v>
      </c>
    </row>
    <row r="1092" spans="1:49" x14ac:dyDescent="0.35">
      <c r="A1092" t="s">
        <v>2796</v>
      </c>
      <c r="B1092" t="s">
        <v>872</v>
      </c>
      <c r="C1092" t="s">
        <v>4818</v>
      </c>
      <c r="D1092" t="s">
        <v>18</v>
      </c>
      <c r="E1092" t="s">
        <v>4093</v>
      </c>
      <c r="F1092" t="s">
        <v>4094</v>
      </c>
      <c r="G1092" t="s">
        <v>21</v>
      </c>
      <c r="H1092" t="s">
        <v>4888</v>
      </c>
      <c r="I1092" t="s">
        <v>5003</v>
      </c>
      <c r="J1092" s="4" t="s">
        <v>5004</v>
      </c>
      <c r="K1092" s="4" t="s">
        <v>5016</v>
      </c>
      <c r="L1092" s="4" t="s">
        <v>4855</v>
      </c>
      <c r="M1092" s="4" t="s">
        <v>5035</v>
      </c>
      <c r="N1092" t="s">
        <v>4095</v>
      </c>
      <c r="O1092" t="s">
        <v>4096</v>
      </c>
      <c r="P1092" t="s">
        <v>23</v>
      </c>
      <c r="Q1092" t="s">
        <v>24</v>
      </c>
      <c r="R1092" t="s">
        <v>25</v>
      </c>
      <c r="S1092" t="s">
        <v>26</v>
      </c>
      <c r="T1092" s="6">
        <v>46307</v>
      </c>
      <c r="U1092">
        <v>60</v>
      </c>
      <c r="V1092">
        <v>60</v>
      </c>
      <c r="W1092">
        <v>60</v>
      </c>
      <c r="X1092">
        <v>60</v>
      </c>
      <c r="Y1092">
        <f t="shared" ref="Y1092:Y1155" si="177">W1092-X1092</f>
        <v>0</v>
      </c>
      <c r="Z1092">
        <f t="shared" ref="Z1092:Z1155" si="178">V1092-X1092</f>
        <v>0</v>
      </c>
      <c r="AC1092" s="1">
        <v>0</v>
      </c>
      <c r="AF1092">
        <f t="shared" si="175"/>
        <v>60</v>
      </c>
      <c r="AG1092" s="7">
        <v>12</v>
      </c>
      <c r="AH1092">
        <f t="shared" ref="AH1092:AH1155" si="179">ROUNDUP(AF1092/AG1092,0)*AG1092</f>
        <v>60</v>
      </c>
      <c r="AI1092">
        <f t="shared" si="176"/>
        <v>0</v>
      </c>
      <c r="AK1092">
        <f t="shared" ref="AK1092:AK1155" si="180">AH1092/AG1092</f>
        <v>5</v>
      </c>
      <c r="AL1092">
        <v>13.33</v>
      </c>
      <c r="AM1092" t="s">
        <v>27</v>
      </c>
      <c r="AN1092">
        <v>13.33</v>
      </c>
      <c r="AO1092" t="b">
        <f t="shared" ref="AO1092:AO1155" si="181">AL1092=AN1092</f>
        <v>1</v>
      </c>
      <c r="AR1092" t="s">
        <v>5061</v>
      </c>
      <c r="AS1092" s="21">
        <v>46276</v>
      </c>
      <c r="AT1092" t="s">
        <v>5062</v>
      </c>
      <c r="AU1092" t="s">
        <v>5078</v>
      </c>
      <c r="AV1092" t="s">
        <v>5062</v>
      </c>
      <c r="AW1092" t="s">
        <v>5086</v>
      </c>
    </row>
    <row r="1093" spans="1:49" x14ac:dyDescent="0.35">
      <c r="A1093" t="s">
        <v>2796</v>
      </c>
      <c r="B1093" t="s">
        <v>872</v>
      </c>
      <c r="C1093" t="s">
        <v>4818</v>
      </c>
      <c r="D1093" t="s">
        <v>18</v>
      </c>
      <c r="E1093" t="s">
        <v>4097</v>
      </c>
      <c r="F1093" t="s">
        <v>4098</v>
      </c>
      <c r="G1093" t="s">
        <v>21</v>
      </c>
      <c r="H1093" t="s">
        <v>4888</v>
      </c>
      <c r="I1093" t="s">
        <v>5003</v>
      </c>
      <c r="J1093" s="4" t="s">
        <v>5004</v>
      </c>
      <c r="K1093" s="4" t="s">
        <v>5016</v>
      </c>
      <c r="L1093" s="4" t="s">
        <v>4900</v>
      </c>
      <c r="M1093" s="4" t="s">
        <v>5035</v>
      </c>
      <c r="N1093" t="s">
        <v>4099</v>
      </c>
      <c r="O1093" t="s">
        <v>4100</v>
      </c>
      <c r="P1093" t="s">
        <v>23</v>
      </c>
      <c r="Q1093" t="s">
        <v>24</v>
      </c>
      <c r="R1093" t="s">
        <v>25</v>
      </c>
      <c r="S1093" t="s">
        <v>26</v>
      </c>
      <c r="T1093" s="6">
        <v>46307</v>
      </c>
      <c r="U1093">
        <v>72</v>
      </c>
      <c r="V1093">
        <v>72</v>
      </c>
      <c r="W1093">
        <v>84</v>
      </c>
      <c r="X1093">
        <v>84</v>
      </c>
      <c r="Y1093">
        <f t="shared" si="177"/>
        <v>0</v>
      </c>
      <c r="Z1093">
        <f t="shared" si="178"/>
        <v>-12</v>
      </c>
      <c r="AC1093" s="1">
        <v>0</v>
      </c>
      <c r="AF1093">
        <f t="shared" si="175"/>
        <v>72</v>
      </c>
      <c r="AG1093" s="7">
        <v>12</v>
      </c>
      <c r="AH1093">
        <f t="shared" si="179"/>
        <v>72</v>
      </c>
      <c r="AI1093">
        <f t="shared" si="176"/>
        <v>0</v>
      </c>
      <c r="AK1093">
        <f t="shared" si="180"/>
        <v>6</v>
      </c>
      <c r="AL1093">
        <v>13.33</v>
      </c>
      <c r="AM1093" t="s">
        <v>27</v>
      </c>
      <c r="AN1093">
        <v>13.33</v>
      </c>
      <c r="AO1093" t="b">
        <f t="shared" si="181"/>
        <v>1</v>
      </c>
      <c r="AR1093" t="s">
        <v>5061</v>
      </c>
      <c r="AS1093" s="21">
        <v>46276</v>
      </c>
      <c r="AT1093" t="s">
        <v>5062</v>
      </c>
      <c r="AU1093" t="s">
        <v>5078</v>
      </c>
      <c r="AV1093" t="s">
        <v>5062</v>
      </c>
      <c r="AW1093" t="s">
        <v>5086</v>
      </c>
    </row>
    <row r="1094" spans="1:49" x14ac:dyDescent="0.35">
      <c r="A1094" t="s">
        <v>2796</v>
      </c>
      <c r="B1094" t="s">
        <v>872</v>
      </c>
      <c r="C1094" t="s">
        <v>4818</v>
      </c>
      <c r="D1094" t="s">
        <v>18</v>
      </c>
      <c r="E1094" t="s">
        <v>4101</v>
      </c>
      <c r="F1094" t="s">
        <v>4102</v>
      </c>
      <c r="G1094" t="s">
        <v>21</v>
      </c>
      <c r="H1094" t="s">
        <v>4888</v>
      </c>
      <c r="I1094" t="s">
        <v>5005</v>
      </c>
      <c r="J1094" s="4" t="s">
        <v>5006</v>
      </c>
      <c r="K1094" s="4" t="s">
        <v>4899</v>
      </c>
      <c r="L1094" s="4">
        <v>40</v>
      </c>
      <c r="M1094" s="4" t="s">
        <v>5035</v>
      </c>
      <c r="N1094" t="s">
        <v>4103</v>
      </c>
      <c r="O1094" t="s">
        <v>4104</v>
      </c>
      <c r="P1094" t="s">
        <v>23</v>
      </c>
      <c r="Q1094" t="s">
        <v>24</v>
      </c>
      <c r="R1094" t="s">
        <v>25</v>
      </c>
      <c r="S1094" t="s">
        <v>26</v>
      </c>
      <c r="T1094" s="6">
        <v>46307</v>
      </c>
      <c r="U1094">
        <v>528</v>
      </c>
      <c r="V1094">
        <v>528</v>
      </c>
      <c r="W1094">
        <v>504</v>
      </c>
      <c r="X1094">
        <v>504</v>
      </c>
      <c r="Y1094">
        <f t="shared" si="177"/>
        <v>0</v>
      </c>
      <c r="Z1094">
        <f t="shared" si="178"/>
        <v>24</v>
      </c>
      <c r="AA1094">
        <f>Z1094</f>
        <v>24</v>
      </c>
      <c r="AC1094" s="1">
        <v>0</v>
      </c>
      <c r="AF1094">
        <f>X1094</f>
        <v>504</v>
      </c>
      <c r="AG1094" s="7">
        <v>24</v>
      </c>
      <c r="AH1094">
        <f t="shared" si="179"/>
        <v>504</v>
      </c>
      <c r="AI1094">
        <f t="shared" si="176"/>
        <v>24</v>
      </c>
      <c r="AK1094">
        <f t="shared" si="180"/>
        <v>21</v>
      </c>
      <c r="AL1094">
        <v>10.14</v>
      </c>
      <c r="AM1094" t="s">
        <v>27</v>
      </c>
      <c r="AN1094">
        <v>10.14</v>
      </c>
      <c r="AO1094" t="b">
        <f t="shared" si="181"/>
        <v>1</v>
      </c>
      <c r="AR1094" t="s">
        <v>5061</v>
      </c>
      <c r="AS1094" s="21">
        <v>46276</v>
      </c>
      <c r="AT1094" t="s">
        <v>5062</v>
      </c>
      <c r="AU1094" t="s">
        <v>5079</v>
      </c>
      <c r="AV1094" t="s">
        <v>5062</v>
      </c>
      <c r="AW1094" t="s">
        <v>5086</v>
      </c>
    </row>
    <row r="1095" spans="1:49" x14ac:dyDescent="0.35">
      <c r="A1095" t="s">
        <v>4105</v>
      </c>
      <c r="B1095" t="s">
        <v>4106</v>
      </c>
      <c r="C1095" t="s">
        <v>4818</v>
      </c>
      <c r="D1095" t="s">
        <v>18</v>
      </c>
      <c r="E1095" t="s">
        <v>4107</v>
      </c>
      <c r="F1095" t="s">
        <v>4108</v>
      </c>
      <c r="G1095" t="s">
        <v>21</v>
      </c>
      <c r="H1095" t="s">
        <v>4826</v>
      </c>
      <c r="I1095" t="s">
        <v>5028</v>
      </c>
      <c r="J1095" s="4" t="s">
        <v>5029</v>
      </c>
      <c r="K1095" s="4" t="s">
        <v>4837</v>
      </c>
      <c r="L1095" s="4" t="s">
        <v>4969</v>
      </c>
      <c r="M1095" s="4" t="s">
        <v>5035</v>
      </c>
      <c r="N1095" t="s">
        <v>15</v>
      </c>
      <c r="O1095" t="s">
        <v>4109</v>
      </c>
      <c r="P1095" t="s">
        <v>23</v>
      </c>
      <c r="Q1095" t="s">
        <v>24</v>
      </c>
      <c r="R1095" t="s">
        <v>25</v>
      </c>
      <c r="S1095" t="s">
        <v>26</v>
      </c>
      <c r="T1095" s="6">
        <v>46307</v>
      </c>
      <c r="U1095">
        <v>36</v>
      </c>
      <c r="V1095">
        <v>36</v>
      </c>
      <c r="W1095">
        <v>36</v>
      </c>
      <c r="X1095">
        <v>36</v>
      </c>
      <c r="Y1095">
        <f t="shared" si="177"/>
        <v>0</v>
      </c>
      <c r="Z1095">
        <f t="shared" si="178"/>
        <v>0</v>
      </c>
      <c r="AC1095" s="1">
        <v>0</v>
      </c>
      <c r="AF1095">
        <f>V1095</f>
        <v>36</v>
      </c>
      <c r="AG1095" s="7">
        <v>12</v>
      </c>
      <c r="AH1095">
        <f t="shared" si="179"/>
        <v>36</v>
      </c>
      <c r="AI1095">
        <f t="shared" si="176"/>
        <v>0</v>
      </c>
      <c r="AK1095">
        <f t="shared" si="180"/>
        <v>3</v>
      </c>
      <c r="AL1095">
        <v>12.09</v>
      </c>
      <c r="AM1095" t="s">
        <v>27</v>
      </c>
      <c r="AN1095">
        <v>12.09</v>
      </c>
      <c r="AO1095" t="b">
        <f t="shared" si="181"/>
        <v>1</v>
      </c>
      <c r="AR1095" t="s">
        <v>5061</v>
      </c>
      <c r="AS1095" s="21">
        <v>46276</v>
      </c>
      <c r="AT1095" t="s">
        <v>5062</v>
      </c>
      <c r="AU1095" t="s">
        <v>5084</v>
      </c>
      <c r="AV1095" t="s">
        <v>5089</v>
      </c>
      <c r="AW1095" t="s">
        <v>5090</v>
      </c>
    </row>
    <row r="1096" spans="1:49" x14ac:dyDescent="0.35">
      <c r="A1096" t="s">
        <v>4105</v>
      </c>
      <c r="B1096" t="s">
        <v>4106</v>
      </c>
      <c r="C1096" t="s">
        <v>4818</v>
      </c>
      <c r="D1096" t="s">
        <v>18</v>
      </c>
      <c r="E1096" t="s">
        <v>4110</v>
      </c>
      <c r="F1096" t="s">
        <v>4111</v>
      </c>
      <c r="G1096" t="s">
        <v>21</v>
      </c>
      <c r="H1096" t="s">
        <v>4826</v>
      </c>
      <c r="I1096" t="s">
        <v>5028</v>
      </c>
      <c r="J1096" s="4" t="s">
        <v>5029</v>
      </c>
      <c r="K1096" s="4" t="s">
        <v>4832</v>
      </c>
      <c r="L1096" s="4" t="s">
        <v>4968</v>
      </c>
      <c r="M1096" s="4" t="s">
        <v>5035</v>
      </c>
      <c r="N1096" t="s">
        <v>15</v>
      </c>
      <c r="O1096" t="s">
        <v>4112</v>
      </c>
      <c r="P1096" t="s">
        <v>23</v>
      </c>
      <c r="Q1096" t="s">
        <v>24</v>
      </c>
      <c r="R1096" t="s">
        <v>25</v>
      </c>
      <c r="S1096" t="s">
        <v>26</v>
      </c>
      <c r="T1096" s="6">
        <v>46307</v>
      </c>
      <c r="U1096">
        <v>60</v>
      </c>
      <c r="V1096">
        <v>60</v>
      </c>
      <c r="W1096">
        <v>60</v>
      </c>
      <c r="X1096">
        <v>60</v>
      </c>
      <c r="Y1096">
        <f t="shared" si="177"/>
        <v>0</v>
      </c>
      <c r="Z1096">
        <f t="shared" si="178"/>
        <v>0</v>
      </c>
      <c r="AC1096" s="1">
        <v>0</v>
      </c>
      <c r="AF1096">
        <f>V1096</f>
        <v>60</v>
      </c>
      <c r="AG1096" s="7">
        <v>12</v>
      </c>
      <c r="AH1096">
        <f t="shared" si="179"/>
        <v>60</v>
      </c>
      <c r="AI1096">
        <f t="shared" si="176"/>
        <v>0</v>
      </c>
      <c r="AK1096">
        <f t="shared" si="180"/>
        <v>5</v>
      </c>
      <c r="AL1096">
        <v>12.09</v>
      </c>
      <c r="AM1096" t="s">
        <v>27</v>
      </c>
      <c r="AN1096">
        <v>12.09</v>
      </c>
      <c r="AO1096" t="b">
        <f t="shared" si="181"/>
        <v>1</v>
      </c>
      <c r="AR1096" t="s">
        <v>5061</v>
      </c>
      <c r="AS1096" s="21">
        <v>46276</v>
      </c>
      <c r="AT1096" t="s">
        <v>5062</v>
      </c>
      <c r="AU1096" t="s">
        <v>5084</v>
      </c>
      <c r="AV1096" t="s">
        <v>5089</v>
      </c>
      <c r="AW1096" t="s">
        <v>5090</v>
      </c>
    </row>
    <row r="1097" spans="1:49" x14ac:dyDescent="0.35">
      <c r="A1097" t="s">
        <v>4105</v>
      </c>
      <c r="B1097" t="s">
        <v>4106</v>
      </c>
      <c r="C1097" t="s">
        <v>4818</v>
      </c>
      <c r="D1097" t="s">
        <v>18</v>
      </c>
      <c r="E1097" t="s">
        <v>4113</v>
      </c>
      <c r="F1097" t="s">
        <v>4114</v>
      </c>
      <c r="G1097" t="s">
        <v>21</v>
      </c>
      <c r="H1097" t="s">
        <v>4826</v>
      </c>
      <c r="I1097" t="s">
        <v>5030</v>
      </c>
      <c r="J1097" s="4" t="s">
        <v>5031</v>
      </c>
      <c r="K1097" s="4" t="s">
        <v>4845</v>
      </c>
      <c r="L1097" s="4" t="s">
        <v>4938</v>
      </c>
      <c r="M1097" s="4" t="s">
        <v>5035</v>
      </c>
      <c r="N1097" t="s">
        <v>15</v>
      </c>
      <c r="O1097" t="s">
        <v>4115</v>
      </c>
      <c r="P1097" t="s">
        <v>23</v>
      </c>
      <c r="Q1097" t="s">
        <v>24</v>
      </c>
      <c r="R1097" t="s">
        <v>25</v>
      </c>
      <c r="S1097" t="s">
        <v>26</v>
      </c>
      <c r="T1097" s="6">
        <v>46307</v>
      </c>
      <c r="U1097">
        <v>84</v>
      </c>
      <c r="V1097">
        <v>84</v>
      </c>
      <c r="W1097">
        <v>84</v>
      </c>
      <c r="X1097">
        <v>84</v>
      </c>
      <c r="Y1097">
        <f t="shared" si="177"/>
        <v>0</v>
      </c>
      <c r="Z1097">
        <f t="shared" si="178"/>
        <v>0</v>
      </c>
      <c r="AC1097" s="1">
        <v>0</v>
      </c>
      <c r="AF1097">
        <f>V1097</f>
        <v>84</v>
      </c>
      <c r="AG1097" s="7">
        <v>12</v>
      </c>
      <c r="AH1097">
        <f t="shared" si="179"/>
        <v>84</v>
      </c>
      <c r="AI1097">
        <f t="shared" si="176"/>
        <v>0</v>
      </c>
      <c r="AK1097">
        <f t="shared" si="180"/>
        <v>7</v>
      </c>
      <c r="AL1097">
        <v>12.02</v>
      </c>
      <c r="AM1097" t="s">
        <v>27</v>
      </c>
      <c r="AN1097">
        <v>12.02</v>
      </c>
      <c r="AO1097" t="b">
        <f t="shared" si="181"/>
        <v>1</v>
      </c>
      <c r="AR1097" t="s">
        <v>5061</v>
      </c>
      <c r="AS1097" s="21">
        <v>46276</v>
      </c>
      <c r="AT1097" t="s">
        <v>5062</v>
      </c>
      <c r="AU1097" t="s">
        <v>5085</v>
      </c>
      <c r="AV1097" t="s">
        <v>5089</v>
      </c>
      <c r="AW1097" t="s">
        <v>5090</v>
      </c>
    </row>
    <row r="1098" spans="1:49" x14ac:dyDescent="0.35">
      <c r="A1098" t="s">
        <v>4105</v>
      </c>
      <c r="B1098" t="s">
        <v>4106</v>
      </c>
      <c r="C1098" t="s">
        <v>4818</v>
      </c>
      <c r="D1098" t="s">
        <v>18</v>
      </c>
      <c r="E1098" t="s">
        <v>4116</v>
      </c>
      <c r="F1098" t="s">
        <v>4117</v>
      </c>
      <c r="G1098" t="s">
        <v>21</v>
      </c>
      <c r="H1098" t="s">
        <v>4826</v>
      </c>
      <c r="I1098" t="s">
        <v>5030</v>
      </c>
      <c r="J1098" s="4" t="s">
        <v>5031</v>
      </c>
      <c r="K1098" s="4" t="s">
        <v>5032</v>
      </c>
      <c r="L1098" s="4" t="s">
        <v>4944</v>
      </c>
      <c r="M1098" s="4" t="s">
        <v>5035</v>
      </c>
      <c r="N1098" t="s">
        <v>15</v>
      </c>
      <c r="O1098" t="s">
        <v>4118</v>
      </c>
      <c r="P1098" t="s">
        <v>23</v>
      </c>
      <c r="Q1098" t="s">
        <v>24</v>
      </c>
      <c r="R1098" t="s">
        <v>25</v>
      </c>
      <c r="S1098" t="s">
        <v>26</v>
      </c>
      <c r="T1098" s="6">
        <v>46307</v>
      </c>
      <c r="U1098">
        <v>60</v>
      </c>
      <c r="V1098">
        <v>60</v>
      </c>
      <c r="W1098">
        <v>72</v>
      </c>
      <c r="X1098">
        <v>72</v>
      </c>
      <c r="Y1098">
        <f t="shared" si="177"/>
        <v>0</v>
      </c>
      <c r="Z1098">
        <f t="shared" si="178"/>
        <v>-12</v>
      </c>
      <c r="AC1098" s="1">
        <v>0</v>
      </c>
      <c r="AF1098">
        <f>V1098</f>
        <v>60</v>
      </c>
      <c r="AG1098" s="7">
        <v>12</v>
      </c>
      <c r="AH1098">
        <f t="shared" si="179"/>
        <v>60</v>
      </c>
      <c r="AI1098">
        <f t="shared" si="176"/>
        <v>0</v>
      </c>
      <c r="AK1098">
        <f t="shared" si="180"/>
        <v>5</v>
      </c>
      <c r="AL1098">
        <v>12.02</v>
      </c>
      <c r="AM1098" t="s">
        <v>27</v>
      </c>
      <c r="AN1098">
        <v>12.02</v>
      </c>
      <c r="AO1098" t="b">
        <f t="shared" si="181"/>
        <v>1</v>
      </c>
      <c r="AR1098" t="s">
        <v>5061</v>
      </c>
      <c r="AS1098" s="21">
        <v>46276</v>
      </c>
      <c r="AT1098" t="s">
        <v>5062</v>
      </c>
      <c r="AU1098" t="s">
        <v>5085</v>
      </c>
      <c r="AV1098" t="s">
        <v>5089</v>
      </c>
      <c r="AW1098" t="s">
        <v>5090</v>
      </c>
    </row>
    <row r="1099" spans="1:49" x14ac:dyDescent="0.35">
      <c r="A1099" t="s">
        <v>4105</v>
      </c>
      <c r="B1099" t="s">
        <v>4106</v>
      </c>
      <c r="C1099" t="s">
        <v>4818</v>
      </c>
      <c r="D1099" t="s">
        <v>18</v>
      </c>
      <c r="E1099" t="s">
        <v>4119</v>
      </c>
      <c r="F1099" t="s">
        <v>4120</v>
      </c>
      <c r="G1099" t="s">
        <v>21</v>
      </c>
      <c r="H1099" t="s">
        <v>4826</v>
      </c>
      <c r="I1099" t="s">
        <v>5030</v>
      </c>
      <c r="J1099" s="4" t="s">
        <v>5031</v>
      </c>
      <c r="K1099" s="4" t="s">
        <v>5032</v>
      </c>
      <c r="L1099" s="4" t="s">
        <v>4953</v>
      </c>
      <c r="M1099" s="4" t="s">
        <v>5035</v>
      </c>
      <c r="N1099" t="s">
        <v>15</v>
      </c>
      <c r="O1099" t="s">
        <v>4121</v>
      </c>
      <c r="P1099" t="s">
        <v>23</v>
      </c>
      <c r="Q1099" t="s">
        <v>24</v>
      </c>
      <c r="R1099" t="s">
        <v>25</v>
      </c>
      <c r="S1099" t="s">
        <v>26</v>
      </c>
      <c r="T1099" s="6">
        <v>46307</v>
      </c>
      <c r="U1099">
        <v>96</v>
      </c>
      <c r="V1099">
        <v>96</v>
      </c>
      <c r="W1099">
        <v>84</v>
      </c>
      <c r="X1099">
        <v>84</v>
      </c>
      <c r="Y1099">
        <f t="shared" si="177"/>
        <v>0</v>
      </c>
      <c r="Z1099">
        <f t="shared" si="178"/>
        <v>12</v>
      </c>
      <c r="AA1099">
        <f>Z1099</f>
        <v>12</v>
      </c>
      <c r="AC1099" s="1">
        <v>0</v>
      </c>
      <c r="AF1099">
        <f>X1099</f>
        <v>84</v>
      </c>
      <c r="AG1099" s="7">
        <v>12</v>
      </c>
      <c r="AH1099">
        <f t="shared" si="179"/>
        <v>84</v>
      </c>
      <c r="AI1099">
        <f t="shared" si="176"/>
        <v>12</v>
      </c>
      <c r="AK1099">
        <f t="shared" si="180"/>
        <v>7</v>
      </c>
      <c r="AL1099">
        <v>12.02</v>
      </c>
      <c r="AM1099" t="s">
        <v>27</v>
      </c>
      <c r="AN1099">
        <v>12.02</v>
      </c>
      <c r="AO1099" t="b">
        <f t="shared" si="181"/>
        <v>1</v>
      </c>
      <c r="AR1099" t="s">
        <v>5061</v>
      </c>
      <c r="AS1099" s="21">
        <v>46276</v>
      </c>
      <c r="AT1099" t="s">
        <v>5062</v>
      </c>
      <c r="AU1099" t="s">
        <v>5085</v>
      </c>
      <c r="AV1099" t="s">
        <v>5089</v>
      </c>
      <c r="AW1099" t="s">
        <v>5090</v>
      </c>
    </row>
    <row r="1100" spans="1:49" x14ac:dyDescent="0.35">
      <c r="A1100" t="s">
        <v>4105</v>
      </c>
      <c r="B1100" t="s">
        <v>4106</v>
      </c>
      <c r="C1100" t="s">
        <v>4818</v>
      </c>
      <c r="D1100" t="s">
        <v>18</v>
      </c>
      <c r="E1100" t="s">
        <v>4122</v>
      </c>
      <c r="F1100" t="s">
        <v>4123</v>
      </c>
      <c r="G1100" t="s">
        <v>21</v>
      </c>
      <c r="H1100" t="s">
        <v>4826</v>
      </c>
      <c r="I1100" t="s">
        <v>5030</v>
      </c>
      <c r="J1100" s="4" t="s">
        <v>5031</v>
      </c>
      <c r="K1100" s="4" t="s">
        <v>5032</v>
      </c>
      <c r="L1100" s="4" t="s">
        <v>4966</v>
      </c>
      <c r="M1100" s="4" t="s">
        <v>5035</v>
      </c>
      <c r="N1100" t="s">
        <v>15</v>
      </c>
      <c r="O1100" t="s">
        <v>4124</v>
      </c>
      <c r="P1100" t="s">
        <v>23</v>
      </c>
      <c r="Q1100" t="s">
        <v>24</v>
      </c>
      <c r="R1100" t="s">
        <v>25</v>
      </c>
      <c r="S1100" t="s">
        <v>26</v>
      </c>
      <c r="T1100" s="6">
        <v>46307</v>
      </c>
      <c r="U1100">
        <v>36</v>
      </c>
      <c r="V1100">
        <v>36</v>
      </c>
      <c r="W1100">
        <v>36</v>
      </c>
      <c r="X1100">
        <v>36</v>
      </c>
      <c r="Y1100">
        <f t="shared" si="177"/>
        <v>0</v>
      </c>
      <c r="Z1100">
        <f t="shared" si="178"/>
        <v>0</v>
      </c>
      <c r="AC1100" s="1">
        <v>0</v>
      </c>
      <c r="AF1100">
        <f>V1100</f>
        <v>36</v>
      </c>
      <c r="AG1100" s="7">
        <v>12</v>
      </c>
      <c r="AH1100">
        <f t="shared" si="179"/>
        <v>36</v>
      </c>
      <c r="AI1100">
        <f t="shared" si="176"/>
        <v>0</v>
      </c>
      <c r="AK1100">
        <f t="shared" si="180"/>
        <v>3</v>
      </c>
      <c r="AL1100">
        <v>12.02</v>
      </c>
      <c r="AM1100" t="s">
        <v>27</v>
      </c>
      <c r="AN1100">
        <v>12.02</v>
      </c>
      <c r="AO1100" t="b">
        <f t="shared" si="181"/>
        <v>1</v>
      </c>
      <c r="AR1100" t="s">
        <v>5061</v>
      </c>
      <c r="AS1100" s="21">
        <v>46276</v>
      </c>
      <c r="AT1100" t="s">
        <v>5062</v>
      </c>
      <c r="AU1100" t="s">
        <v>5085</v>
      </c>
      <c r="AV1100" t="s">
        <v>5089</v>
      </c>
      <c r="AW1100" t="s">
        <v>5090</v>
      </c>
    </row>
    <row r="1101" spans="1:49" x14ac:dyDescent="0.35">
      <c r="A1101" t="s">
        <v>4105</v>
      </c>
      <c r="B1101" t="s">
        <v>4106</v>
      </c>
      <c r="C1101" t="s">
        <v>4818</v>
      </c>
      <c r="D1101" t="s">
        <v>18</v>
      </c>
      <c r="E1101" t="s">
        <v>4125</v>
      </c>
      <c r="F1101" t="s">
        <v>4126</v>
      </c>
      <c r="G1101" t="s">
        <v>21</v>
      </c>
      <c r="H1101" t="s">
        <v>4826</v>
      </c>
      <c r="I1101" t="s">
        <v>5028</v>
      </c>
      <c r="J1101" s="4" t="s">
        <v>5029</v>
      </c>
      <c r="K1101" s="4" t="s">
        <v>4837</v>
      </c>
      <c r="L1101" s="4" t="s">
        <v>4975</v>
      </c>
      <c r="M1101" s="4" t="s">
        <v>5035</v>
      </c>
      <c r="N1101" t="s">
        <v>15</v>
      </c>
      <c r="O1101" t="s">
        <v>4127</v>
      </c>
      <c r="P1101" t="s">
        <v>23</v>
      </c>
      <c r="Q1101" t="s">
        <v>24</v>
      </c>
      <c r="R1101" t="s">
        <v>25</v>
      </c>
      <c r="S1101" t="s">
        <v>26</v>
      </c>
      <c r="T1101" s="6">
        <v>46307</v>
      </c>
      <c r="U1101">
        <v>60</v>
      </c>
      <c r="V1101">
        <v>60</v>
      </c>
      <c r="W1101">
        <v>48</v>
      </c>
      <c r="X1101">
        <v>48</v>
      </c>
      <c r="Y1101">
        <f t="shared" si="177"/>
        <v>0</v>
      </c>
      <c r="Z1101">
        <f t="shared" si="178"/>
        <v>12</v>
      </c>
      <c r="AA1101">
        <f>Z1101</f>
        <v>12</v>
      </c>
      <c r="AC1101" s="1">
        <v>0</v>
      </c>
      <c r="AF1101">
        <f>X1101</f>
        <v>48</v>
      </c>
      <c r="AG1101" s="7">
        <v>12</v>
      </c>
      <c r="AH1101">
        <f t="shared" si="179"/>
        <v>48</v>
      </c>
      <c r="AI1101">
        <f t="shared" si="176"/>
        <v>12</v>
      </c>
      <c r="AK1101">
        <f t="shared" si="180"/>
        <v>4</v>
      </c>
      <c r="AL1101">
        <v>12.09</v>
      </c>
      <c r="AM1101" t="s">
        <v>27</v>
      </c>
      <c r="AN1101">
        <v>12.09</v>
      </c>
      <c r="AO1101" t="b">
        <f t="shared" si="181"/>
        <v>1</v>
      </c>
      <c r="AR1101" t="s">
        <v>5061</v>
      </c>
      <c r="AS1101" s="21">
        <v>46276</v>
      </c>
      <c r="AT1101" t="s">
        <v>5062</v>
      </c>
      <c r="AU1101" t="s">
        <v>5084</v>
      </c>
      <c r="AV1101" t="s">
        <v>5089</v>
      </c>
      <c r="AW1101" t="s">
        <v>5090</v>
      </c>
    </row>
    <row r="1102" spans="1:49" x14ac:dyDescent="0.35">
      <c r="A1102" t="s">
        <v>4105</v>
      </c>
      <c r="B1102" t="s">
        <v>4106</v>
      </c>
      <c r="C1102" t="s">
        <v>4818</v>
      </c>
      <c r="D1102" t="s">
        <v>18</v>
      </c>
      <c r="E1102" t="s">
        <v>4128</v>
      </c>
      <c r="F1102" t="s">
        <v>4129</v>
      </c>
      <c r="G1102" t="s">
        <v>21</v>
      </c>
      <c r="H1102" t="s">
        <v>4826</v>
      </c>
      <c r="I1102" t="s">
        <v>5028</v>
      </c>
      <c r="J1102" s="4" t="s">
        <v>5029</v>
      </c>
      <c r="K1102" s="4" t="s">
        <v>4832</v>
      </c>
      <c r="L1102" s="4" t="s">
        <v>4950</v>
      </c>
      <c r="M1102" s="4" t="s">
        <v>5035</v>
      </c>
      <c r="N1102" t="s">
        <v>15</v>
      </c>
      <c r="O1102" t="s">
        <v>4130</v>
      </c>
      <c r="P1102" t="s">
        <v>23</v>
      </c>
      <c r="Q1102" t="s">
        <v>24</v>
      </c>
      <c r="R1102" t="s">
        <v>25</v>
      </c>
      <c r="S1102" t="s">
        <v>26</v>
      </c>
      <c r="T1102" s="6">
        <v>46307</v>
      </c>
      <c r="U1102">
        <v>24</v>
      </c>
      <c r="V1102">
        <v>24</v>
      </c>
      <c r="W1102">
        <v>24</v>
      </c>
      <c r="X1102">
        <v>24</v>
      </c>
      <c r="Y1102">
        <f t="shared" si="177"/>
        <v>0</v>
      </c>
      <c r="Z1102">
        <f t="shared" si="178"/>
        <v>0</v>
      </c>
      <c r="AC1102" s="1">
        <v>0</v>
      </c>
      <c r="AF1102">
        <f>V1102</f>
        <v>24</v>
      </c>
      <c r="AG1102" s="7">
        <v>12</v>
      </c>
      <c r="AH1102">
        <f t="shared" si="179"/>
        <v>24</v>
      </c>
      <c r="AI1102">
        <f t="shared" si="176"/>
        <v>0</v>
      </c>
      <c r="AK1102">
        <f t="shared" si="180"/>
        <v>2</v>
      </c>
      <c r="AL1102">
        <v>12.09</v>
      </c>
      <c r="AM1102" t="s">
        <v>27</v>
      </c>
      <c r="AN1102">
        <v>12.09</v>
      </c>
      <c r="AO1102" t="b">
        <f t="shared" si="181"/>
        <v>1</v>
      </c>
      <c r="AR1102" t="s">
        <v>5061</v>
      </c>
      <c r="AS1102" s="21">
        <v>46276</v>
      </c>
      <c r="AT1102" t="s">
        <v>5062</v>
      </c>
      <c r="AU1102" t="s">
        <v>5084</v>
      </c>
      <c r="AV1102" t="s">
        <v>5089</v>
      </c>
      <c r="AW1102" t="s">
        <v>5090</v>
      </c>
    </row>
    <row r="1103" spans="1:49" x14ac:dyDescent="0.35">
      <c r="A1103" t="s">
        <v>4105</v>
      </c>
      <c r="B1103" t="s">
        <v>4106</v>
      </c>
      <c r="C1103" t="s">
        <v>4818</v>
      </c>
      <c r="D1103" t="s">
        <v>18</v>
      </c>
      <c r="E1103" t="s">
        <v>4131</v>
      </c>
      <c r="F1103" t="s">
        <v>4132</v>
      </c>
      <c r="G1103" t="s">
        <v>21</v>
      </c>
      <c r="H1103" t="s">
        <v>4826</v>
      </c>
      <c r="I1103" t="s">
        <v>5028</v>
      </c>
      <c r="J1103" s="4" t="s">
        <v>5029</v>
      </c>
      <c r="K1103" s="4" t="s">
        <v>4845</v>
      </c>
      <c r="L1103" s="4" t="s">
        <v>4950</v>
      </c>
      <c r="M1103" s="4" t="s">
        <v>5035</v>
      </c>
      <c r="N1103" t="s">
        <v>15</v>
      </c>
      <c r="O1103" t="s">
        <v>4133</v>
      </c>
      <c r="P1103" t="s">
        <v>23</v>
      </c>
      <c r="Q1103" t="s">
        <v>24</v>
      </c>
      <c r="R1103" t="s">
        <v>25</v>
      </c>
      <c r="S1103" t="s">
        <v>26</v>
      </c>
      <c r="T1103" s="6">
        <v>46307</v>
      </c>
      <c r="U1103">
        <v>12</v>
      </c>
      <c r="V1103">
        <v>12</v>
      </c>
      <c r="W1103">
        <v>12</v>
      </c>
      <c r="X1103">
        <v>12</v>
      </c>
      <c r="Y1103">
        <f t="shared" si="177"/>
        <v>0</v>
      </c>
      <c r="Z1103">
        <f t="shared" si="178"/>
        <v>0</v>
      </c>
      <c r="AC1103" s="1">
        <v>0</v>
      </c>
      <c r="AF1103">
        <f>V1103</f>
        <v>12</v>
      </c>
      <c r="AG1103" s="7">
        <v>12</v>
      </c>
      <c r="AH1103">
        <f t="shared" si="179"/>
        <v>12</v>
      </c>
      <c r="AI1103">
        <f t="shared" si="176"/>
        <v>0</v>
      </c>
      <c r="AK1103">
        <f t="shared" si="180"/>
        <v>1</v>
      </c>
      <c r="AL1103">
        <v>12.09</v>
      </c>
      <c r="AM1103" t="s">
        <v>27</v>
      </c>
      <c r="AN1103">
        <v>12.09</v>
      </c>
      <c r="AO1103" t="b">
        <f t="shared" si="181"/>
        <v>1</v>
      </c>
      <c r="AR1103" t="s">
        <v>5061</v>
      </c>
      <c r="AS1103" s="21">
        <v>46276</v>
      </c>
      <c r="AT1103" t="s">
        <v>5062</v>
      </c>
      <c r="AU1103" t="s">
        <v>5084</v>
      </c>
      <c r="AV1103" t="s">
        <v>5089</v>
      </c>
      <c r="AW1103" t="s">
        <v>5090</v>
      </c>
    </row>
    <row r="1104" spans="1:49" x14ac:dyDescent="0.35">
      <c r="A1104" t="s">
        <v>4105</v>
      </c>
      <c r="B1104" t="s">
        <v>4106</v>
      </c>
      <c r="C1104" t="s">
        <v>4818</v>
      </c>
      <c r="D1104" t="s">
        <v>18</v>
      </c>
      <c r="E1104" t="s">
        <v>4134</v>
      </c>
      <c r="F1104" t="s">
        <v>4135</v>
      </c>
      <c r="G1104" t="s">
        <v>21</v>
      </c>
      <c r="H1104" t="s">
        <v>4826</v>
      </c>
      <c r="I1104" t="s">
        <v>5028</v>
      </c>
      <c r="J1104" s="4" t="s">
        <v>5029</v>
      </c>
      <c r="K1104" s="4" t="s">
        <v>4845</v>
      </c>
      <c r="L1104" s="4" t="s">
        <v>4974</v>
      </c>
      <c r="M1104" s="4" t="s">
        <v>5035</v>
      </c>
      <c r="N1104" t="s">
        <v>15</v>
      </c>
      <c r="O1104" t="s">
        <v>4136</v>
      </c>
      <c r="P1104" t="s">
        <v>23</v>
      </c>
      <c r="Q1104" t="s">
        <v>24</v>
      </c>
      <c r="R1104" t="s">
        <v>25</v>
      </c>
      <c r="S1104" t="s">
        <v>26</v>
      </c>
      <c r="T1104" s="6">
        <v>46307</v>
      </c>
      <c r="U1104">
        <v>192</v>
      </c>
      <c r="V1104">
        <v>192</v>
      </c>
      <c r="W1104">
        <v>168</v>
      </c>
      <c r="X1104">
        <v>168</v>
      </c>
      <c r="Y1104">
        <f t="shared" si="177"/>
        <v>0</v>
      </c>
      <c r="Z1104">
        <f t="shared" si="178"/>
        <v>24</v>
      </c>
      <c r="AA1104">
        <f>Z1104</f>
        <v>24</v>
      </c>
      <c r="AC1104" s="1">
        <v>0</v>
      </c>
      <c r="AF1104">
        <f>X1104</f>
        <v>168</v>
      </c>
      <c r="AG1104" s="7">
        <v>12</v>
      </c>
      <c r="AH1104">
        <f t="shared" si="179"/>
        <v>168</v>
      </c>
      <c r="AI1104">
        <f t="shared" si="176"/>
        <v>24</v>
      </c>
      <c r="AK1104">
        <f t="shared" si="180"/>
        <v>14</v>
      </c>
      <c r="AL1104">
        <v>12.09</v>
      </c>
      <c r="AM1104" t="s">
        <v>27</v>
      </c>
      <c r="AN1104">
        <v>12.09</v>
      </c>
      <c r="AO1104" t="b">
        <f t="shared" si="181"/>
        <v>1</v>
      </c>
      <c r="AR1104" t="s">
        <v>5061</v>
      </c>
      <c r="AS1104" s="21">
        <v>46276</v>
      </c>
      <c r="AT1104" t="s">
        <v>5062</v>
      </c>
      <c r="AU1104" t="s">
        <v>5084</v>
      </c>
      <c r="AV1104" t="s">
        <v>5089</v>
      </c>
      <c r="AW1104" t="s">
        <v>5090</v>
      </c>
    </row>
    <row r="1105" spans="1:49" x14ac:dyDescent="0.35">
      <c r="A1105" t="s">
        <v>4105</v>
      </c>
      <c r="B1105" t="s">
        <v>4106</v>
      </c>
      <c r="C1105" t="s">
        <v>4818</v>
      </c>
      <c r="D1105" t="s">
        <v>18</v>
      </c>
      <c r="E1105" t="s">
        <v>4137</v>
      </c>
      <c r="F1105" t="s">
        <v>4138</v>
      </c>
      <c r="G1105" t="s">
        <v>21</v>
      </c>
      <c r="H1105" t="s">
        <v>4826</v>
      </c>
      <c r="I1105" t="s">
        <v>5028</v>
      </c>
      <c r="J1105" s="4" t="s">
        <v>5029</v>
      </c>
      <c r="K1105" s="4" t="s">
        <v>5033</v>
      </c>
      <c r="L1105" s="4" t="s">
        <v>4943</v>
      </c>
      <c r="M1105" s="4" t="s">
        <v>5035</v>
      </c>
      <c r="N1105" t="s">
        <v>15</v>
      </c>
      <c r="O1105" t="s">
        <v>4139</v>
      </c>
      <c r="P1105" t="s">
        <v>23</v>
      </c>
      <c r="Q1105" t="s">
        <v>24</v>
      </c>
      <c r="R1105" t="s">
        <v>25</v>
      </c>
      <c r="S1105" t="s">
        <v>26</v>
      </c>
      <c r="T1105" s="6">
        <v>46307</v>
      </c>
      <c r="U1105">
        <v>24</v>
      </c>
      <c r="V1105">
        <v>24</v>
      </c>
      <c r="W1105">
        <v>24</v>
      </c>
      <c r="X1105">
        <v>24</v>
      </c>
      <c r="Y1105">
        <f t="shared" si="177"/>
        <v>0</v>
      </c>
      <c r="Z1105">
        <f t="shared" si="178"/>
        <v>0</v>
      </c>
      <c r="AC1105" s="1">
        <v>0</v>
      </c>
      <c r="AF1105">
        <f>V1105</f>
        <v>24</v>
      </c>
      <c r="AG1105" s="7">
        <v>12</v>
      </c>
      <c r="AH1105">
        <f t="shared" si="179"/>
        <v>24</v>
      </c>
      <c r="AI1105">
        <f t="shared" si="176"/>
        <v>0</v>
      </c>
      <c r="AK1105">
        <f t="shared" si="180"/>
        <v>2</v>
      </c>
      <c r="AL1105">
        <v>12.09</v>
      </c>
      <c r="AM1105" t="s">
        <v>27</v>
      </c>
      <c r="AN1105">
        <v>12.09</v>
      </c>
      <c r="AO1105" t="b">
        <f t="shared" si="181"/>
        <v>1</v>
      </c>
      <c r="AR1105" t="s">
        <v>5061</v>
      </c>
      <c r="AS1105" s="21">
        <v>46276</v>
      </c>
      <c r="AT1105" t="s">
        <v>5062</v>
      </c>
      <c r="AU1105" t="s">
        <v>5084</v>
      </c>
      <c r="AV1105" t="s">
        <v>5089</v>
      </c>
      <c r="AW1105" t="s">
        <v>5090</v>
      </c>
    </row>
    <row r="1106" spans="1:49" x14ac:dyDescent="0.35">
      <c r="A1106" t="s">
        <v>4105</v>
      </c>
      <c r="B1106" t="s">
        <v>4106</v>
      </c>
      <c r="C1106" t="s">
        <v>4818</v>
      </c>
      <c r="D1106" t="s">
        <v>18</v>
      </c>
      <c r="E1106" t="s">
        <v>4140</v>
      </c>
      <c r="F1106" t="s">
        <v>4141</v>
      </c>
      <c r="G1106" t="s">
        <v>21</v>
      </c>
      <c r="H1106" t="s">
        <v>4826</v>
      </c>
      <c r="I1106" t="s">
        <v>5028</v>
      </c>
      <c r="J1106" s="4" t="s">
        <v>5029</v>
      </c>
      <c r="K1106" s="4" t="s">
        <v>4837</v>
      </c>
      <c r="L1106" s="4" t="s">
        <v>4973</v>
      </c>
      <c r="M1106" s="4" t="s">
        <v>5035</v>
      </c>
      <c r="N1106" t="s">
        <v>15</v>
      </c>
      <c r="O1106" t="s">
        <v>4142</v>
      </c>
      <c r="P1106" t="s">
        <v>23</v>
      </c>
      <c r="Q1106" t="s">
        <v>24</v>
      </c>
      <c r="R1106" t="s">
        <v>25</v>
      </c>
      <c r="S1106" t="s">
        <v>26</v>
      </c>
      <c r="T1106" s="6">
        <v>46307</v>
      </c>
      <c r="U1106">
        <v>132</v>
      </c>
      <c r="V1106">
        <v>132</v>
      </c>
      <c r="W1106">
        <v>108</v>
      </c>
      <c r="X1106">
        <v>108</v>
      </c>
      <c r="Y1106">
        <f t="shared" si="177"/>
        <v>0</v>
      </c>
      <c r="Z1106">
        <f t="shared" si="178"/>
        <v>24</v>
      </c>
      <c r="AA1106">
        <f>Z1106</f>
        <v>24</v>
      </c>
      <c r="AC1106" s="1">
        <v>0</v>
      </c>
      <c r="AF1106">
        <f>X1106</f>
        <v>108</v>
      </c>
      <c r="AG1106" s="7">
        <v>12</v>
      </c>
      <c r="AH1106">
        <f t="shared" si="179"/>
        <v>108</v>
      </c>
      <c r="AI1106">
        <f t="shared" si="176"/>
        <v>24</v>
      </c>
      <c r="AK1106">
        <f t="shared" si="180"/>
        <v>9</v>
      </c>
      <c r="AL1106">
        <v>12.09</v>
      </c>
      <c r="AM1106" t="s">
        <v>27</v>
      </c>
      <c r="AN1106">
        <v>12.09</v>
      </c>
      <c r="AO1106" t="b">
        <f t="shared" si="181"/>
        <v>1</v>
      </c>
      <c r="AR1106" t="s">
        <v>5061</v>
      </c>
      <c r="AS1106" s="21">
        <v>46276</v>
      </c>
      <c r="AT1106" t="s">
        <v>5062</v>
      </c>
      <c r="AU1106" t="s">
        <v>5084</v>
      </c>
      <c r="AV1106" t="s">
        <v>5089</v>
      </c>
      <c r="AW1106" t="s">
        <v>5090</v>
      </c>
    </row>
    <row r="1107" spans="1:49" x14ac:dyDescent="0.35">
      <c r="A1107" t="s">
        <v>4105</v>
      </c>
      <c r="B1107" t="s">
        <v>4106</v>
      </c>
      <c r="C1107" t="s">
        <v>4818</v>
      </c>
      <c r="D1107" t="s">
        <v>18</v>
      </c>
      <c r="E1107" t="s">
        <v>4143</v>
      </c>
      <c r="F1107" t="s">
        <v>4144</v>
      </c>
      <c r="G1107" t="s">
        <v>21</v>
      </c>
      <c r="H1107" t="s">
        <v>4826</v>
      </c>
      <c r="I1107" t="s">
        <v>5030</v>
      </c>
      <c r="J1107" s="4" t="s">
        <v>5031</v>
      </c>
      <c r="K1107" s="4" t="s">
        <v>5032</v>
      </c>
      <c r="L1107" s="4" t="s">
        <v>4943</v>
      </c>
      <c r="M1107" s="4" t="s">
        <v>5035</v>
      </c>
      <c r="N1107" t="s">
        <v>15</v>
      </c>
      <c r="O1107" t="s">
        <v>4145</v>
      </c>
      <c r="P1107" t="s">
        <v>23</v>
      </c>
      <c r="Q1107" t="s">
        <v>24</v>
      </c>
      <c r="R1107" t="s">
        <v>25</v>
      </c>
      <c r="S1107" t="s">
        <v>26</v>
      </c>
      <c r="T1107" s="6">
        <v>46307</v>
      </c>
      <c r="U1107">
        <v>24</v>
      </c>
      <c r="V1107">
        <v>24</v>
      </c>
      <c r="W1107">
        <v>24</v>
      </c>
      <c r="X1107">
        <v>24</v>
      </c>
      <c r="Y1107">
        <f t="shared" si="177"/>
        <v>0</v>
      </c>
      <c r="Z1107">
        <f t="shared" si="178"/>
        <v>0</v>
      </c>
      <c r="AC1107" s="1">
        <v>0</v>
      </c>
      <c r="AF1107">
        <f>V1107</f>
        <v>24</v>
      </c>
      <c r="AG1107" s="7">
        <v>12</v>
      </c>
      <c r="AH1107">
        <f t="shared" si="179"/>
        <v>24</v>
      </c>
      <c r="AI1107">
        <f t="shared" si="176"/>
        <v>0</v>
      </c>
      <c r="AK1107">
        <f t="shared" si="180"/>
        <v>2</v>
      </c>
      <c r="AL1107">
        <v>12.02</v>
      </c>
      <c r="AM1107" t="s">
        <v>27</v>
      </c>
      <c r="AN1107">
        <v>12.02</v>
      </c>
      <c r="AO1107" t="b">
        <f t="shared" si="181"/>
        <v>1</v>
      </c>
      <c r="AR1107" t="s">
        <v>5061</v>
      </c>
      <c r="AS1107" s="21">
        <v>46276</v>
      </c>
      <c r="AT1107" t="s">
        <v>5062</v>
      </c>
      <c r="AU1107" t="s">
        <v>5085</v>
      </c>
      <c r="AV1107" t="s">
        <v>5089</v>
      </c>
      <c r="AW1107" t="s">
        <v>5090</v>
      </c>
    </row>
    <row r="1108" spans="1:49" x14ac:dyDescent="0.35">
      <c r="A1108" t="s">
        <v>4105</v>
      </c>
      <c r="B1108" t="s">
        <v>4106</v>
      </c>
      <c r="C1108" t="s">
        <v>4818</v>
      </c>
      <c r="D1108" t="s">
        <v>18</v>
      </c>
      <c r="E1108" t="s">
        <v>4146</v>
      </c>
      <c r="F1108" t="s">
        <v>4147</v>
      </c>
      <c r="G1108" t="s">
        <v>21</v>
      </c>
      <c r="H1108" t="s">
        <v>4826</v>
      </c>
      <c r="I1108" t="s">
        <v>5030</v>
      </c>
      <c r="J1108" s="4" t="s">
        <v>5031</v>
      </c>
      <c r="K1108" s="4" t="s">
        <v>4832</v>
      </c>
      <c r="L1108" s="4" t="s">
        <v>4971</v>
      </c>
      <c r="M1108" s="4" t="s">
        <v>5035</v>
      </c>
      <c r="N1108" t="s">
        <v>15</v>
      </c>
      <c r="O1108" t="s">
        <v>4148</v>
      </c>
      <c r="P1108" t="s">
        <v>23</v>
      </c>
      <c r="Q1108" t="s">
        <v>24</v>
      </c>
      <c r="R1108" t="s">
        <v>25</v>
      </c>
      <c r="S1108" t="s">
        <v>26</v>
      </c>
      <c r="T1108" s="6">
        <v>46307</v>
      </c>
      <c r="U1108">
        <v>72</v>
      </c>
      <c r="V1108">
        <v>72</v>
      </c>
      <c r="W1108">
        <v>60</v>
      </c>
      <c r="X1108">
        <v>60</v>
      </c>
      <c r="Y1108">
        <f t="shared" si="177"/>
        <v>0</v>
      </c>
      <c r="Z1108">
        <f t="shared" si="178"/>
        <v>12</v>
      </c>
      <c r="AA1108">
        <f>Z1108</f>
        <v>12</v>
      </c>
      <c r="AC1108" s="1">
        <v>0</v>
      </c>
      <c r="AF1108">
        <f>X1108</f>
        <v>60</v>
      </c>
      <c r="AG1108" s="7">
        <v>12</v>
      </c>
      <c r="AH1108">
        <f t="shared" si="179"/>
        <v>60</v>
      </c>
      <c r="AI1108">
        <f t="shared" si="176"/>
        <v>12</v>
      </c>
      <c r="AK1108">
        <f t="shared" si="180"/>
        <v>5</v>
      </c>
      <c r="AL1108">
        <v>12.02</v>
      </c>
      <c r="AM1108" t="s">
        <v>27</v>
      </c>
      <c r="AN1108">
        <v>12.02</v>
      </c>
      <c r="AO1108" t="b">
        <f t="shared" si="181"/>
        <v>1</v>
      </c>
      <c r="AR1108" t="s">
        <v>5061</v>
      </c>
      <c r="AS1108" s="21">
        <v>46276</v>
      </c>
      <c r="AT1108" t="s">
        <v>5062</v>
      </c>
      <c r="AU1108" t="s">
        <v>5085</v>
      </c>
      <c r="AV1108" t="s">
        <v>5089</v>
      </c>
      <c r="AW1108" t="s">
        <v>5090</v>
      </c>
    </row>
    <row r="1109" spans="1:49" x14ac:dyDescent="0.35">
      <c r="A1109" t="s">
        <v>4105</v>
      </c>
      <c r="B1109" t="s">
        <v>4106</v>
      </c>
      <c r="C1109" t="s">
        <v>4818</v>
      </c>
      <c r="D1109" t="s">
        <v>18</v>
      </c>
      <c r="E1109" t="s">
        <v>4149</v>
      </c>
      <c r="F1109" t="s">
        <v>4150</v>
      </c>
      <c r="G1109" t="s">
        <v>21</v>
      </c>
      <c r="H1109" t="s">
        <v>4826</v>
      </c>
      <c r="I1109" t="s">
        <v>5030</v>
      </c>
      <c r="J1109" s="4" t="s">
        <v>5031</v>
      </c>
      <c r="K1109" s="4" t="s">
        <v>4832</v>
      </c>
      <c r="L1109" s="4" t="s">
        <v>4960</v>
      </c>
      <c r="M1109" s="4" t="s">
        <v>5035</v>
      </c>
      <c r="N1109" t="s">
        <v>15</v>
      </c>
      <c r="O1109" t="s">
        <v>4151</v>
      </c>
      <c r="P1109" t="s">
        <v>23</v>
      </c>
      <c r="Q1109" t="s">
        <v>24</v>
      </c>
      <c r="R1109" t="s">
        <v>25</v>
      </c>
      <c r="S1109" t="s">
        <v>26</v>
      </c>
      <c r="T1109" s="6">
        <v>46307</v>
      </c>
      <c r="U1109">
        <v>168</v>
      </c>
      <c r="V1109">
        <v>168</v>
      </c>
      <c r="W1109">
        <v>180</v>
      </c>
      <c r="X1109">
        <v>180</v>
      </c>
      <c r="Y1109">
        <f t="shared" si="177"/>
        <v>0</v>
      </c>
      <c r="Z1109">
        <f t="shared" si="178"/>
        <v>-12</v>
      </c>
      <c r="AC1109" s="1">
        <v>0</v>
      </c>
      <c r="AF1109">
        <f t="shared" ref="AF1109:AF1121" si="182">V1109</f>
        <v>168</v>
      </c>
      <c r="AG1109" s="7">
        <v>12</v>
      </c>
      <c r="AH1109">
        <f t="shared" si="179"/>
        <v>168</v>
      </c>
      <c r="AI1109">
        <f t="shared" si="176"/>
        <v>0</v>
      </c>
      <c r="AK1109">
        <f t="shared" si="180"/>
        <v>14</v>
      </c>
      <c r="AL1109">
        <v>12.02</v>
      </c>
      <c r="AM1109" t="s">
        <v>27</v>
      </c>
      <c r="AN1109">
        <v>12.02</v>
      </c>
      <c r="AO1109" t="b">
        <f t="shared" si="181"/>
        <v>1</v>
      </c>
      <c r="AR1109" t="s">
        <v>5061</v>
      </c>
      <c r="AS1109" s="21">
        <v>46276</v>
      </c>
      <c r="AT1109" t="s">
        <v>5062</v>
      </c>
      <c r="AU1109" t="s">
        <v>5085</v>
      </c>
      <c r="AV1109" t="s">
        <v>5089</v>
      </c>
      <c r="AW1109" t="s">
        <v>5090</v>
      </c>
    </row>
    <row r="1110" spans="1:49" x14ac:dyDescent="0.35">
      <c r="A1110" t="s">
        <v>4105</v>
      </c>
      <c r="B1110" t="s">
        <v>4106</v>
      </c>
      <c r="C1110" t="s">
        <v>4818</v>
      </c>
      <c r="D1110" t="s">
        <v>18</v>
      </c>
      <c r="E1110" t="s">
        <v>4152</v>
      </c>
      <c r="F1110" t="s">
        <v>4153</v>
      </c>
      <c r="G1110" t="s">
        <v>21</v>
      </c>
      <c r="H1110" t="s">
        <v>4826</v>
      </c>
      <c r="I1110" t="s">
        <v>5028</v>
      </c>
      <c r="J1110" s="4" t="s">
        <v>5029</v>
      </c>
      <c r="K1110" s="4" t="s">
        <v>4837</v>
      </c>
      <c r="L1110" s="4" t="s">
        <v>4944</v>
      </c>
      <c r="M1110" s="4" t="s">
        <v>5035</v>
      </c>
      <c r="N1110" t="s">
        <v>15</v>
      </c>
      <c r="O1110" t="s">
        <v>4154</v>
      </c>
      <c r="P1110" t="s">
        <v>23</v>
      </c>
      <c r="Q1110" t="s">
        <v>24</v>
      </c>
      <c r="R1110" t="s">
        <v>25</v>
      </c>
      <c r="S1110" t="s">
        <v>26</v>
      </c>
      <c r="T1110" s="6">
        <v>46307</v>
      </c>
      <c r="U1110">
        <v>120</v>
      </c>
      <c r="V1110">
        <v>120</v>
      </c>
      <c r="W1110">
        <v>132</v>
      </c>
      <c r="X1110">
        <v>132</v>
      </c>
      <c r="Y1110">
        <f t="shared" si="177"/>
        <v>0</v>
      </c>
      <c r="Z1110">
        <f t="shared" si="178"/>
        <v>-12</v>
      </c>
      <c r="AC1110" s="1"/>
      <c r="AF1110">
        <f t="shared" si="182"/>
        <v>120</v>
      </c>
      <c r="AG1110" s="7">
        <v>12</v>
      </c>
      <c r="AH1110">
        <f t="shared" si="179"/>
        <v>120</v>
      </c>
      <c r="AI1110">
        <f t="shared" si="176"/>
        <v>0</v>
      </c>
      <c r="AK1110">
        <f t="shared" si="180"/>
        <v>10</v>
      </c>
      <c r="AL1110">
        <v>12.09</v>
      </c>
      <c r="AM1110" t="s">
        <v>27</v>
      </c>
      <c r="AN1110">
        <v>12.09</v>
      </c>
      <c r="AO1110" t="b">
        <f t="shared" si="181"/>
        <v>1</v>
      </c>
      <c r="AR1110" t="s">
        <v>5061</v>
      </c>
      <c r="AS1110" s="21">
        <v>46276</v>
      </c>
      <c r="AT1110" t="s">
        <v>5062</v>
      </c>
      <c r="AU1110" t="s">
        <v>5084</v>
      </c>
      <c r="AV1110" t="s">
        <v>5089</v>
      </c>
      <c r="AW1110" t="s">
        <v>5090</v>
      </c>
    </row>
    <row r="1111" spans="1:49" x14ac:dyDescent="0.35">
      <c r="A1111" t="s">
        <v>4105</v>
      </c>
      <c r="B1111" t="s">
        <v>4106</v>
      </c>
      <c r="C1111" t="s">
        <v>4818</v>
      </c>
      <c r="D1111" t="s">
        <v>18</v>
      </c>
      <c r="E1111" t="s">
        <v>4155</v>
      </c>
      <c r="F1111" t="s">
        <v>4156</v>
      </c>
      <c r="G1111" t="s">
        <v>21</v>
      </c>
      <c r="H1111" t="s">
        <v>4826</v>
      </c>
      <c r="I1111" t="s">
        <v>5030</v>
      </c>
      <c r="J1111" s="4" t="s">
        <v>5031</v>
      </c>
      <c r="K1111" s="4" t="s">
        <v>4832</v>
      </c>
      <c r="L1111" s="4" t="s">
        <v>4966</v>
      </c>
      <c r="M1111" s="4" t="s">
        <v>5035</v>
      </c>
      <c r="N1111" t="s">
        <v>15</v>
      </c>
      <c r="O1111" t="s">
        <v>4157</v>
      </c>
      <c r="P1111" t="s">
        <v>23</v>
      </c>
      <c r="Q1111" t="s">
        <v>24</v>
      </c>
      <c r="R1111" t="s">
        <v>25</v>
      </c>
      <c r="S1111" t="s">
        <v>26</v>
      </c>
      <c r="T1111" s="6">
        <v>46307</v>
      </c>
      <c r="U1111">
        <v>60</v>
      </c>
      <c r="V1111">
        <v>60</v>
      </c>
      <c r="W1111">
        <v>60</v>
      </c>
      <c r="X1111">
        <v>60</v>
      </c>
      <c r="Y1111">
        <f t="shared" si="177"/>
        <v>0</v>
      </c>
      <c r="Z1111">
        <f t="shared" si="178"/>
        <v>0</v>
      </c>
      <c r="AC1111" s="1">
        <v>0</v>
      </c>
      <c r="AF1111">
        <f t="shared" si="182"/>
        <v>60</v>
      </c>
      <c r="AG1111" s="7">
        <v>12</v>
      </c>
      <c r="AH1111">
        <f t="shared" si="179"/>
        <v>60</v>
      </c>
      <c r="AI1111">
        <f t="shared" si="176"/>
        <v>0</v>
      </c>
      <c r="AK1111">
        <f t="shared" si="180"/>
        <v>5</v>
      </c>
      <c r="AL1111">
        <v>12.02</v>
      </c>
      <c r="AM1111" t="s">
        <v>27</v>
      </c>
      <c r="AN1111">
        <v>12.02</v>
      </c>
      <c r="AO1111" t="b">
        <f t="shared" si="181"/>
        <v>1</v>
      </c>
      <c r="AR1111" t="s">
        <v>5061</v>
      </c>
      <c r="AS1111" s="21">
        <v>46276</v>
      </c>
      <c r="AT1111" t="s">
        <v>5062</v>
      </c>
      <c r="AU1111" t="s">
        <v>5085</v>
      </c>
      <c r="AV1111" t="s">
        <v>5089</v>
      </c>
      <c r="AW1111" t="s">
        <v>5090</v>
      </c>
    </row>
    <row r="1112" spans="1:49" x14ac:dyDescent="0.35">
      <c r="A1112" t="s">
        <v>4105</v>
      </c>
      <c r="B1112" t="s">
        <v>4106</v>
      </c>
      <c r="C1112" t="s">
        <v>4818</v>
      </c>
      <c r="D1112" t="s">
        <v>18</v>
      </c>
      <c r="E1112" t="s">
        <v>4158</v>
      </c>
      <c r="F1112" t="s">
        <v>4159</v>
      </c>
      <c r="G1112" t="s">
        <v>21</v>
      </c>
      <c r="H1112" t="s">
        <v>4826</v>
      </c>
      <c r="I1112" t="s">
        <v>5030</v>
      </c>
      <c r="J1112" s="4" t="s">
        <v>5031</v>
      </c>
      <c r="K1112" s="4" t="s">
        <v>4832</v>
      </c>
      <c r="L1112" s="4" t="s">
        <v>4962</v>
      </c>
      <c r="M1112" s="4" t="s">
        <v>5035</v>
      </c>
      <c r="N1112" t="s">
        <v>15</v>
      </c>
      <c r="O1112" t="s">
        <v>4160</v>
      </c>
      <c r="P1112" t="s">
        <v>23</v>
      </c>
      <c r="Q1112" t="s">
        <v>24</v>
      </c>
      <c r="R1112" t="s">
        <v>25</v>
      </c>
      <c r="S1112" t="s">
        <v>26</v>
      </c>
      <c r="T1112" s="6">
        <v>46307</v>
      </c>
      <c r="U1112">
        <v>48</v>
      </c>
      <c r="V1112">
        <v>48</v>
      </c>
      <c r="W1112">
        <v>48</v>
      </c>
      <c r="X1112">
        <v>48</v>
      </c>
      <c r="Y1112">
        <f t="shared" si="177"/>
        <v>0</v>
      </c>
      <c r="Z1112">
        <f t="shared" si="178"/>
        <v>0</v>
      </c>
      <c r="AC1112" s="1">
        <v>0</v>
      </c>
      <c r="AF1112">
        <f t="shared" si="182"/>
        <v>48</v>
      </c>
      <c r="AG1112" s="7">
        <v>12</v>
      </c>
      <c r="AH1112">
        <f t="shared" si="179"/>
        <v>48</v>
      </c>
      <c r="AI1112">
        <f t="shared" si="176"/>
        <v>0</v>
      </c>
      <c r="AK1112">
        <f t="shared" si="180"/>
        <v>4</v>
      </c>
      <c r="AL1112">
        <v>12.02</v>
      </c>
      <c r="AM1112" t="s">
        <v>27</v>
      </c>
      <c r="AN1112">
        <v>12.02</v>
      </c>
      <c r="AO1112" t="b">
        <f t="shared" si="181"/>
        <v>1</v>
      </c>
      <c r="AR1112" t="s">
        <v>5061</v>
      </c>
      <c r="AS1112" s="21">
        <v>46276</v>
      </c>
      <c r="AT1112" t="s">
        <v>5062</v>
      </c>
      <c r="AU1112" t="s">
        <v>5085</v>
      </c>
      <c r="AV1112" t="s">
        <v>5089</v>
      </c>
      <c r="AW1112" t="s">
        <v>5090</v>
      </c>
    </row>
    <row r="1113" spans="1:49" x14ac:dyDescent="0.35">
      <c r="A1113" t="s">
        <v>4105</v>
      </c>
      <c r="B1113" t="s">
        <v>4106</v>
      </c>
      <c r="C1113" t="s">
        <v>4818</v>
      </c>
      <c r="D1113" t="s">
        <v>18</v>
      </c>
      <c r="E1113" t="s">
        <v>4161</v>
      </c>
      <c r="F1113" t="s">
        <v>4162</v>
      </c>
      <c r="G1113" t="s">
        <v>21</v>
      </c>
      <c r="H1113" t="s">
        <v>4826</v>
      </c>
      <c r="I1113" t="s">
        <v>5028</v>
      </c>
      <c r="J1113" s="4" t="s">
        <v>5029</v>
      </c>
      <c r="K1113" s="4" t="s">
        <v>4845</v>
      </c>
      <c r="L1113" s="4" t="s">
        <v>4939</v>
      </c>
      <c r="M1113" s="4" t="s">
        <v>5035</v>
      </c>
      <c r="N1113" t="s">
        <v>15</v>
      </c>
      <c r="O1113" t="s">
        <v>4163</v>
      </c>
      <c r="P1113" t="s">
        <v>23</v>
      </c>
      <c r="Q1113" t="s">
        <v>24</v>
      </c>
      <c r="R1113" t="s">
        <v>25</v>
      </c>
      <c r="S1113" t="s">
        <v>26</v>
      </c>
      <c r="T1113" s="6">
        <v>46307</v>
      </c>
      <c r="U1113">
        <v>36</v>
      </c>
      <c r="V1113">
        <v>36</v>
      </c>
      <c r="W1113">
        <v>36</v>
      </c>
      <c r="X1113">
        <v>36</v>
      </c>
      <c r="Y1113">
        <f t="shared" si="177"/>
        <v>0</v>
      </c>
      <c r="Z1113">
        <f t="shared" si="178"/>
        <v>0</v>
      </c>
      <c r="AC1113" s="1">
        <v>0</v>
      </c>
      <c r="AF1113">
        <f t="shared" si="182"/>
        <v>36</v>
      </c>
      <c r="AG1113" s="7">
        <v>12</v>
      </c>
      <c r="AH1113">
        <f t="shared" si="179"/>
        <v>36</v>
      </c>
      <c r="AI1113">
        <f t="shared" si="176"/>
        <v>0</v>
      </c>
      <c r="AK1113">
        <f t="shared" si="180"/>
        <v>3</v>
      </c>
      <c r="AL1113">
        <v>12.09</v>
      </c>
      <c r="AM1113" t="s">
        <v>27</v>
      </c>
      <c r="AN1113">
        <v>12.09</v>
      </c>
      <c r="AO1113" t="b">
        <f t="shared" si="181"/>
        <v>1</v>
      </c>
      <c r="AR1113" t="s">
        <v>5061</v>
      </c>
      <c r="AS1113" s="21">
        <v>46276</v>
      </c>
      <c r="AT1113" t="s">
        <v>5062</v>
      </c>
      <c r="AU1113" t="s">
        <v>5084</v>
      </c>
      <c r="AV1113" t="s">
        <v>5089</v>
      </c>
      <c r="AW1113" t="s">
        <v>5090</v>
      </c>
    </row>
    <row r="1114" spans="1:49" x14ac:dyDescent="0.35">
      <c r="A1114" t="s">
        <v>4105</v>
      </c>
      <c r="B1114" t="s">
        <v>4106</v>
      </c>
      <c r="C1114" t="s">
        <v>4818</v>
      </c>
      <c r="D1114" t="s">
        <v>18</v>
      </c>
      <c r="E1114" t="s">
        <v>4164</v>
      </c>
      <c r="F1114" t="s">
        <v>4165</v>
      </c>
      <c r="G1114" t="s">
        <v>21</v>
      </c>
      <c r="H1114" t="s">
        <v>4826</v>
      </c>
      <c r="I1114" t="s">
        <v>5030</v>
      </c>
      <c r="J1114" s="4" t="s">
        <v>5031</v>
      </c>
      <c r="K1114" s="4" t="s">
        <v>4845</v>
      </c>
      <c r="L1114" s="4" t="s">
        <v>4941</v>
      </c>
      <c r="M1114" s="4" t="s">
        <v>5035</v>
      </c>
      <c r="N1114" t="s">
        <v>15</v>
      </c>
      <c r="O1114" t="s">
        <v>4166</v>
      </c>
      <c r="P1114" t="s">
        <v>23</v>
      </c>
      <c r="Q1114" t="s">
        <v>24</v>
      </c>
      <c r="R1114" t="s">
        <v>25</v>
      </c>
      <c r="S1114" t="s">
        <v>26</v>
      </c>
      <c r="T1114" s="6">
        <v>46307</v>
      </c>
      <c r="U1114">
        <v>24</v>
      </c>
      <c r="V1114">
        <v>24</v>
      </c>
      <c r="W1114">
        <v>24</v>
      </c>
      <c r="X1114">
        <v>24</v>
      </c>
      <c r="Y1114">
        <f t="shared" si="177"/>
        <v>0</v>
      </c>
      <c r="Z1114">
        <f t="shared" si="178"/>
        <v>0</v>
      </c>
      <c r="AC1114" s="1"/>
      <c r="AF1114">
        <f t="shared" si="182"/>
        <v>24</v>
      </c>
      <c r="AG1114" s="7">
        <v>12</v>
      </c>
      <c r="AH1114">
        <f t="shared" si="179"/>
        <v>24</v>
      </c>
      <c r="AI1114">
        <f t="shared" si="176"/>
        <v>0</v>
      </c>
      <c r="AK1114">
        <f t="shared" si="180"/>
        <v>2</v>
      </c>
      <c r="AL1114">
        <v>12.02</v>
      </c>
      <c r="AM1114" t="s">
        <v>27</v>
      </c>
      <c r="AN1114">
        <v>12.02</v>
      </c>
      <c r="AO1114" t="b">
        <f t="shared" si="181"/>
        <v>1</v>
      </c>
      <c r="AR1114" t="s">
        <v>5061</v>
      </c>
      <c r="AS1114" s="21">
        <v>46276</v>
      </c>
      <c r="AT1114" t="s">
        <v>5062</v>
      </c>
      <c r="AU1114" t="s">
        <v>5085</v>
      </c>
      <c r="AV1114" t="s">
        <v>5089</v>
      </c>
      <c r="AW1114" t="s">
        <v>5090</v>
      </c>
    </row>
    <row r="1115" spans="1:49" x14ac:dyDescent="0.35">
      <c r="A1115" t="s">
        <v>4105</v>
      </c>
      <c r="B1115" t="s">
        <v>4106</v>
      </c>
      <c r="C1115" t="s">
        <v>4818</v>
      </c>
      <c r="D1115" t="s">
        <v>18</v>
      </c>
      <c r="E1115" t="s">
        <v>4167</v>
      </c>
      <c r="F1115" t="s">
        <v>4168</v>
      </c>
      <c r="G1115" t="s">
        <v>21</v>
      </c>
      <c r="H1115" t="s">
        <v>4826</v>
      </c>
      <c r="I1115" t="s">
        <v>5030</v>
      </c>
      <c r="J1115" s="4" t="s">
        <v>5031</v>
      </c>
      <c r="K1115" s="4" t="s">
        <v>5033</v>
      </c>
      <c r="L1115" s="4" t="s">
        <v>4962</v>
      </c>
      <c r="M1115" s="4" t="s">
        <v>5035</v>
      </c>
      <c r="N1115" t="s">
        <v>15</v>
      </c>
      <c r="O1115" t="s">
        <v>4169</v>
      </c>
      <c r="P1115" t="s">
        <v>23</v>
      </c>
      <c r="Q1115" t="s">
        <v>24</v>
      </c>
      <c r="R1115" t="s">
        <v>25</v>
      </c>
      <c r="S1115" t="s">
        <v>26</v>
      </c>
      <c r="T1115" s="6">
        <v>46307</v>
      </c>
      <c r="U1115">
        <v>60</v>
      </c>
      <c r="V1115">
        <v>60</v>
      </c>
      <c r="W1115">
        <v>60</v>
      </c>
      <c r="X1115">
        <v>60</v>
      </c>
      <c r="Y1115">
        <f t="shared" si="177"/>
        <v>0</v>
      </c>
      <c r="Z1115">
        <f t="shared" si="178"/>
        <v>0</v>
      </c>
      <c r="AC1115" s="1">
        <v>0</v>
      </c>
      <c r="AF1115">
        <f t="shared" si="182"/>
        <v>60</v>
      </c>
      <c r="AG1115" s="7">
        <v>12</v>
      </c>
      <c r="AH1115">
        <f t="shared" si="179"/>
        <v>60</v>
      </c>
      <c r="AI1115">
        <f t="shared" si="176"/>
        <v>0</v>
      </c>
      <c r="AK1115">
        <f t="shared" si="180"/>
        <v>5</v>
      </c>
      <c r="AL1115">
        <v>12.02</v>
      </c>
      <c r="AM1115" t="s">
        <v>27</v>
      </c>
      <c r="AN1115">
        <v>12.02</v>
      </c>
      <c r="AO1115" t="b">
        <f t="shared" si="181"/>
        <v>1</v>
      </c>
      <c r="AR1115" t="s">
        <v>5061</v>
      </c>
      <c r="AS1115" s="21">
        <v>46276</v>
      </c>
      <c r="AT1115" t="s">
        <v>5062</v>
      </c>
      <c r="AU1115" t="s">
        <v>5085</v>
      </c>
      <c r="AV1115" t="s">
        <v>5089</v>
      </c>
      <c r="AW1115" t="s">
        <v>5090</v>
      </c>
    </row>
    <row r="1116" spans="1:49" x14ac:dyDescent="0.35">
      <c r="A1116" t="s">
        <v>4105</v>
      </c>
      <c r="B1116" t="s">
        <v>4106</v>
      </c>
      <c r="C1116" t="s">
        <v>4818</v>
      </c>
      <c r="D1116" t="s">
        <v>18</v>
      </c>
      <c r="E1116" t="s">
        <v>4170</v>
      </c>
      <c r="F1116" t="s">
        <v>4171</v>
      </c>
      <c r="G1116" t="s">
        <v>21</v>
      </c>
      <c r="H1116" t="s">
        <v>4826</v>
      </c>
      <c r="I1116" t="s">
        <v>5028</v>
      </c>
      <c r="J1116" s="4" t="s">
        <v>5029</v>
      </c>
      <c r="K1116" s="4" t="s">
        <v>5033</v>
      </c>
      <c r="L1116" s="4" t="s">
        <v>4955</v>
      </c>
      <c r="M1116" s="4" t="s">
        <v>5035</v>
      </c>
      <c r="N1116" t="s">
        <v>15</v>
      </c>
      <c r="O1116" t="s">
        <v>4172</v>
      </c>
      <c r="P1116" t="s">
        <v>23</v>
      </c>
      <c r="Q1116" t="s">
        <v>24</v>
      </c>
      <c r="R1116" t="s">
        <v>25</v>
      </c>
      <c r="S1116" t="s">
        <v>26</v>
      </c>
      <c r="T1116" s="6">
        <v>46307</v>
      </c>
      <c r="U1116">
        <v>24</v>
      </c>
      <c r="V1116">
        <v>24</v>
      </c>
      <c r="W1116">
        <v>24</v>
      </c>
      <c r="X1116">
        <v>24</v>
      </c>
      <c r="Y1116">
        <f t="shared" si="177"/>
        <v>0</v>
      </c>
      <c r="Z1116">
        <f t="shared" si="178"/>
        <v>0</v>
      </c>
      <c r="AC1116" s="1">
        <v>0</v>
      </c>
      <c r="AF1116">
        <f t="shared" si="182"/>
        <v>24</v>
      </c>
      <c r="AG1116" s="7">
        <v>12</v>
      </c>
      <c r="AH1116">
        <f t="shared" si="179"/>
        <v>24</v>
      </c>
      <c r="AI1116">
        <f t="shared" si="176"/>
        <v>0</v>
      </c>
      <c r="AK1116">
        <f t="shared" si="180"/>
        <v>2</v>
      </c>
      <c r="AL1116">
        <v>12.09</v>
      </c>
      <c r="AM1116" t="s">
        <v>27</v>
      </c>
      <c r="AN1116">
        <v>12.09</v>
      </c>
      <c r="AO1116" t="b">
        <f t="shared" si="181"/>
        <v>1</v>
      </c>
      <c r="AR1116" t="s">
        <v>5061</v>
      </c>
      <c r="AS1116" s="21">
        <v>46276</v>
      </c>
      <c r="AT1116" t="s">
        <v>5062</v>
      </c>
      <c r="AU1116" t="s">
        <v>5084</v>
      </c>
      <c r="AV1116" t="s">
        <v>5089</v>
      </c>
      <c r="AW1116" t="s">
        <v>5090</v>
      </c>
    </row>
    <row r="1117" spans="1:49" x14ac:dyDescent="0.35">
      <c r="A1117" t="s">
        <v>4105</v>
      </c>
      <c r="B1117" t="s">
        <v>4106</v>
      </c>
      <c r="C1117" t="s">
        <v>4818</v>
      </c>
      <c r="D1117" t="s">
        <v>18</v>
      </c>
      <c r="E1117" t="s">
        <v>4173</v>
      </c>
      <c r="F1117" t="s">
        <v>4174</v>
      </c>
      <c r="G1117" t="s">
        <v>21</v>
      </c>
      <c r="H1117" t="s">
        <v>4826</v>
      </c>
      <c r="I1117" t="s">
        <v>5030</v>
      </c>
      <c r="J1117" s="4" t="s">
        <v>5031</v>
      </c>
      <c r="K1117" s="4" t="s">
        <v>5034</v>
      </c>
      <c r="L1117" s="4" t="s">
        <v>4974</v>
      </c>
      <c r="M1117" s="4" t="s">
        <v>5035</v>
      </c>
      <c r="N1117" t="s">
        <v>15</v>
      </c>
      <c r="O1117" t="s">
        <v>4175</v>
      </c>
      <c r="P1117" t="s">
        <v>23</v>
      </c>
      <c r="Q1117" t="s">
        <v>24</v>
      </c>
      <c r="R1117" t="s">
        <v>25</v>
      </c>
      <c r="S1117" t="s">
        <v>26</v>
      </c>
      <c r="T1117" s="6">
        <v>46307</v>
      </c>
      <c r="U1117">
        <v>216</v>
      </c>
      <c r="V1117">
        <v>216</v>
      </c>
      <c r="W1117">
        <v>228</v>
      </c>
      <c r="X1117">
        <v>228</v>
      </c>
      <c r="Y1117">
        <f t="shared" si="177"/>
        <v>0</v>
      </c>
      <c r="Z1117">
        <f t="shared" si="178"/>
        <v>-12</v>
      </c>
      <c r="AC1117" s="1">
        <v>0</v>
      </c>
      <c r="AF1117">
        <f t="shared" si="182"/>
        <v>216</v>
      </c>
      <c r="AG1117" s="7">
        <v>12</v>
      </c>
      <c r="AH1117">
        <f t="shared" si="179"/>
        <v>216</v>
      </c>
      <c r="AI1117">
        <f t="shared" si="176"/>
        <v>0</v>
      </c>
      <c r="AK1117">
        <f t="shared" si="180"/>
        <v>18</v>
      </c>
      <c r="AL1117">
        <v>12.02</v>
      </c>
      <c r="AM1117" t="s">
        <v>27</v>
      </c>
      <c r="AN1117">
        <v>12.02</v>
      </c>
      <c r="AO1117" t="b">
        <f t="shared" si="181"/>
        <v>1</v>
      </c>
      <c r="AR1117" t="s">
        <v>5061</v>
      </c>
      <c r="AS1117" s="21">
        <v>46276</v>
      </c>
      <c r="AT1117" t="s">
        <v>5062</v>
      </c>
      <c r="AU1117" t="s">
        <v>5085</v>
      </c>
      <c r="AV1117" t="s">
        <v>5089</v>
      </c>
      <c r="AW1117" t="s">
        <v>5090</v>
      </c>
    </row>
    <row r="1118" spans="1:49" x14ac:dyDescent="0.35">
      <c r="A1118" t="s">
        <v>4105</v>
      </c>
      <c r="B1118" t="s">
        <v>4106</v>
      </c>
      <c r="C1118" t="s">
        <v>4818</v>
      </c>
      <c r="D1118" t="s">
        <v>18</v>
      </c>
      <c r="E1118" t="s">
        <v>4176</v>
      </c>
      <c r="F1118" t="s">
        <v>4177</v>
      </c>
      <c r="G1118" t="s">
        <v>21</v>
      </c>
      <c r="H1118" t="s">
        <v>4826</v>
      </c>
      <c r="I1118" t="s">
        <v>5028</v>
      </c>
      <c r="J1118" s="4" t="s">
        <v>5029</v>
      </c>
      <c r="K1118" s="4" t="s">
        <v>5033</v>
      </c>
      <c r="L1118" s="4" t="s">
        <v>4941</v>
      </c>
      <c r="M1118" s="4" t="s">
        <v>5035</v>
      </c>
      <c r="N1118" t="s">
        <v>15</v>
      </c>
      <c r="O1118" t="s">
        <v>4178</v>
      </c>
      <c r="P1118" t="s">
        <v>23</v>
      </c>
      <c r="Q1118" t="s">
        <v>24</v>
      </c>
      <c r="R1118" t="s">
        <v>25</v>
      </c>
      <c r="S1118" t="s">
        <v>26</v>
      </c>
      <c r="T1118" s="6">
        <v>46307</v>
      </c>
      <c r="U1118">
        <v>12</v>
      </c>
      <c r="V1118">
        <v>12</v>
      </c>
      <c r="W1118">
        <v>12</v>
      </c>
      <c r="X1118">
        <v>12</v>
      </c>
      <c r="Y1118">
        <f t="shared" si="177"/>
        <v>0</v>
      </c>
      <c r="Z1118">
        <f t="shared" si="178"/>
        <v>0</v>
      </c>
      <c r="AC1118" s="1">
        <v>0</v>
      </c>
      <c r="AF1118">
        <f t="shared" si="182"/>
        <v>12</v>
      </c>
      <c r="AG1118" s="7">
        <v>12</v>
      </c>
      <c r="AH1118">
        <f t="shared" si="179"/>
        <v>12</v>
      </c>
      <c r="AI1118">
        <f t="shared" si="176"/>
        <v>0</v>
      </c>
      <c r="AK1118">
        <f t="shared" si="180"/>
        <v>1</v>
      </c>
      <c r="AL1118">
        <v>12.09</v>
      </c>
      <c r="AM1118" t="s">
        <v>27</v>
      </c>
      <c r="AN1118">
        <v>12.09</v>
      </c>
      <c r="AO1118" t="b">
        <f t="shared" si="181"/>
        <v>1</v>
      </c>
      <c r="AR1118" t="s">
        <v>5061</v>
      </c>
      <c r="AS1118" s="21">
        <v>46276</v>
      </c>
      <c r="AT1118" t="s">
        <v>5062</v>
      </c>
      <c r="AU1118" t="s">
        <v>5084</v>
      </c>
      <c r="AV1118" t="s">
        <v>5089</v>
      </c>
      <c r="AW1118" t="s">
        <v>5090</v>
      </c>
    </row>
    <row r="1119" spans="1:49" x14ac:dyDescent="0.35">
      <c r="A1119" t="s">
        <v>4105</v>
      </c>
      <c r="B1119" t="s">
        <v>4106</v>
      </c>
      <c r="C1119" t="s">
        <v>4818</v>
      </c>
      <c r="D1119" t="s">
        <v>18</v>
      </c>
      <c r="E1119" t="s">
        <v>4179</v>
      </c>
      <c r="F1119" t="s">
        <v>4180</v>
      </c>
      <c r="G1119" t="s">
        <v>21</v>
      </c>
      <c r="H1119" t="s">
        <v>4826</v>
      </c>
      <c r="I1119" t="s">
        <v>5028</v>
      </c>
      <c r="J1119" s="4" t="s">
        <v>5029</v>
      </c>
      <c r="K1119" s="4" t="s">
        <v>4845</v>
      </c>
      <c r="L1119" s="4" t="s">
        <v>4961</v>
      </c>
      <c r="M1119" s="4" t="s">
        <v>5035</v>
      </c>
      <c r="N1119" t="s">
        <v>15</v>
      </c>
      <c r="O1119" t="s">
        <v>4181</v>
      </c>
      <c r="P1119" t="s">
        <v>23</v>
      </c>
      <c r="Q1119" t="s">
        <v>24</v>
      </c>
      <c r="R1119" t="s">
        <v>25</v>
      </c>
      <c r="S1119" t="s">
        <v>26</v>
      </c>
      <c r="T1119" s="6">
        <v>46307</v>
      </c>
      <c r="U1119">
        <v>48</v>
      </c>
      <c r="V1119">
        <v>48</v>
      </c>
      <c r="W1119">
        <v>48</v>
      </c>
      <c r="X1119">
        <v>48</v>
      </c>
      <c r="Y1119">
        <f t="shared" si="177"/>
        <v>0</v>
      </c>
      <c r="Z1119">
        <f t="shared" si="178"/>
        <v>0</v>
      </c>
      <c r="AC1119" s="1">
        <v>0</v>
      </c>
      <c r="AF1119">
        <f t="shared" si="182"/>
        <v>48</v>
      </c>
      <c r="AG1119" s="7">
        <v>12</v>
      </c>
      <c r="AH1119">
        <f t="shared" si="179"/>
        <v>48</v>
      </c>
      <c r="AI1119">
        <f t="shared" si="176"/>
        <v>0</v>
      </c>
      <c r="AK1119">
        <f t="shared" si="180"/>
        <v>4</v>
      </c>
      <c r="AL1119">
        <v>12.09</v>
      </c>
      <c r="AM1119" t="s">
        <v>27</v>
      </c>
      <c r="AN1119">
        <v>12.09</v>
      </c>
      <c r="AO1119" t="b">
        <f t="shared" si="181"/>
        <v>1</v>
      </c>
      <c r="AR1119" t="s">
        <v>5061</v>
      </c>
      <c r="AS1119" s="21">
        <v>46276</v>
      </c>
      <c r="AT1119" t="s">
        <v>5062</v>
      </c>
      <c r="AU1119" t="s">
        <v>5084</v>
      </c>
      <c r="AV1119" t="s">
        <v>5089</v>
      </c>
      <c r="AW1119" t="s">
        <v>5090</v>
      </c>
    </row>
    <row r="1120" spans="1:49" x14ac:dyDescent="0.35">
      <c r="A1120" t="s">
        <v>4105</v>
      </c>
      <c r="B1120" t="s">
        <v>4106</v>
      </c>
      <c r="C1120" t="s">
        <v>4818</v>
      </c>
      <c r="D1120" t="s">
        <v>18</v>
      </c>
      <c r="E1120" t="s">
        <v>4182</v>
      </c>
      <c r="F1120" t="s">
        <v>4183</v>
      </c>
      <c r="G1120" t="s">
        <v>21</v>
      </c>
      <c r="H1120" t="s">
        <v>4826</v>
      </c>
      <c r="I1120" t="s">
        <v>5028</v>
      </c>
      <c r="J1120" s="4" t="s">
        <v>5029</v>
      </c>
      <c r="K1120" s="4" t="s">
        <v>4845</v>
      </c>
      <c r="L1120" s="4" t="s">
        <v>4960</v>
      </c>
      <c r="M1120" s="4" t="s">
        <v>5035</v>
      </c>
      <c r="N1120" t="s">
        <v>15</v>
      </c>
      <c r="O1120" t="s">
        <v>4184</v>
      </c>
      <c r="P1120" t="s">
        <v>23</v>
      </c>
      <c r="Q1120" t="s">
        <v>24</v>
      </c>
      <c r="R1120" t="s">
        <v>25</v>
      </c>
      <c r="S1120" t="s">
        <v>26</v>
      </c>
      <c r="T1120" s="6">
        <v>46307</v>
      </c>
      <c r="U1120">
        <v>72</v>
      </c>
      <c r="V1120">
        <v>72</v>
      </c>
      <c r="W1120">
        <v>84</v>
      </c>
      <c r="X1120">
        <v>84</v>
      </c>
      <c r="Y1120">
        <f t="shared" si="177"/>
        <v>0</v>
      </c>
      <c r="Z1120">
        <f t="shared" si="178"/>
        <v>-12</v>
      </c>
      <c r="AC1120" s="1">
        <v>0</v>
      </c>
      <c r="AF1120">
        <f t="shared" si="182"/>
        <v>72</v>
      </c>
      <c r="AG1120" s="7">
        <v>12</v>
      </c>
      <c r="AH1120">
        <f t="shared" si="179"/>
        <v>72</v>
      </c>
      <c r="AI1120">
        <f t="shared" si="176"/>
        <v>0</v>
      </c>
      <c r="AK1120">
        <f t="shared" si="180"/>
        <v>6</v>
      </c>
      <c r="AL1120">
        <v>12.09</v>
      </c>
      <c r="AM1120" t="s">
        <v>27</v>
      </c>
      <c r="AN1120">
        <v>12.09</v>
      </c>
      <c r="AO1120" t="b">
        <f t="shared" si="181"/>
        <v>1</v>
      </c>
      <c r="AR1120" t="s">
        <v>5061</v>
      </c>
      <c r="AS1120" s="21">
        <v>46276</v>
      </c>
      <c r="AT1120" t="s">
        <v>5062</v>
      </c>
      <c r="AU1120" t="s">
        <v>5084</v>
      </c>
      <c r="AV1120" t="s">
        <v>5089</v>
      </c>
      <c r="AW1120" t="s">
        <v>5090</v>
      </c>
    </row>
    <row r="1121" spans="1:49" x14ac:dyDescent="0.35">
      <c r="A1121" t="s">
        <v>4105</v>
      </c>
      <c r="B1121" t="s">
        <v>4106</v>
      </c>
      <c r="C1121" t="s">
        <v>4818</v>
      </c>
      <c r="D1121" t="s">
        <v>18</v>
      </c>
      <c r="E1121" t="s">
        <v>4185</v>
      </c>
      <c r="F1121" t="s">
        <v>4186</v>
      </c>
      <c r="G1121" t="s">
        <v>21</v>
      </c>
      <c r="H1121" t="s">
        <v>4826</v>
      </c>
      <c r="I1121" t="s">
        <v>5030</v>
      </c>
      <c r="J1121" s="4" t="s">
        <v>5031</v>
      </c>
      <c r="K1121" s="4" t="s">
        <v>4845</v>
      </c>
      <c r="L1121" s="4" t="s">
        <v>4960</v>
      </c>
      <c r="M1121" s="4" t="s">
        <v>5035</v>
      </c>
      <c r="N1121" t="s">
        <v>15</v>
      </c>
      <c r="O1121" t="s">
        <v>4187</v>
      </c>
      <c r="P1121" t="s">
        <v>23</v>
      </c>
      <c r="Q1121" t="s">
        <v>24</v>
      </c>
      <c r="R1121" t="s">
        <v>25</v>
      </c>
      <c r="S1121" t="s">
        <v>26</v>
      </c>
      <c r="T1121" s="6">
        <v>46307</v>
      </c>
      <c r="U1121">
        <v>12</v>
      </c>
      <c r="V1121">
        <v>12</v>
      </c>
      <c r="W1121">
        <v>12</v>
      </c>
      <c r="X1121">
        <v>12</v>
      </c>
      <c r="Y1121">
        <f t="shared" si="177"/>
        <v>0</v>
      </c>
      <c r="Z1121">
        <f t="shared" si="178"/>
        <v>0</v>
      </c>
      <c r="AC1121" s="1">
        <v>0</v>
      </c>
      <c r="AF1121">
        <f t="shared" si="182"/>
        <v>12</v>
      </c>
      <c r="AG1121" s="7">
        <v>12</v>
      </c>
      <c r="AH1121">
        <f t="shared" si="179"/>
        <v>12</v>
      </c>
      <c r="AI1121">
        <f t="shared" si="176"/>
        <v>0</v>
      </c>
      <c r="AK1121">
        <f t="shared" si="180"/>
        <v>1</v>
      </c>
      <c r="AL1121">
        <v>12.02</v>
      </c>
      <c r="AM1121" t="s">
        <v>27</v>
      </c>
      <c r="AN1121">
        <v>12.02</v>
      </c>
      <c r="AO1121" t="b">
        <f t="shared" si="181"/>
        <v>1</v>
      </c>
      <c r="AR1121" t="s">
        <v>5061</v>
      </c>
      <c r="AS1121" s="21">
        <v>46276</v>
      </c>
      <c r="AT1121" t="s">
        <v>5062</v>
      </c>
      <c r="AU1121" t="s">
        <v>5085</v>
      </c>
      <c r="AV1121" t="s">
        <v>5089</v>
      </c>
      <c r="AW1121" t="s">
        <v>5090</v>
      </c>
    </row>
    <row r="1122" spans="1:49" x14ac:dyDescent="0.35">
      <c r="A1122" t="s">
        <v>4105</v>
      </c>
      <c r="B1122" t="s">
        <v>4106</v>
      </c>
      <c r="C1122" t="s">
        <v>4818</v>
      </c>
      <c r="D1122" t="s">
        <v>18</v>
      </c>
      <c r="E1122" t="s">
        <v>4188</v>
      </c>
      <c r="F1122" t="s">
        <v>4189</v>
      </c>
      <c r="G1122" t="s">
        <v>21</v>
      </c>
      <c r="H1122" t="s">
        <v>4826</v>
      </c>
      <c r="I1122" t="s">
        <v>5028</v>
      </c>
      <c r="J1122" s="4" t="s">
        <v>5029</v>
      </c>
      <c r="K1122" s="4" t="s">
        <v>4837</v>
      </c>
      <c r="L1122" s="4" t="s">
        <v>4949</v>
      </c>
      <c r="M1122" s="4" t="s">
        <v>5035</v>
      </c>
      <c r="N1122" t="s">
        <v>15</v>
      </c>
      <c r="O1122" t="s">
        <v>4190</v>
      </c>
      <c r="P1122" t="s">
        <v>23</v>
      </c>
      <c r="Q1122" t="s">
        <v>24</v>
      </c>
      <c r="R1122" t="s">
        <v>25</v>
      </c>
      <c r="S1122" t="s">
        <v>26</v>
      </c>
      <c r="T1122" s="6">
        <v>46307</v>
      </c>
      <c r="U1122">
        <v>168</v>
      </c>
      <c r="V1122">
        <v>168</v>
      </c>
      <c r="W1122">
        <v>144</v>
      </c>
      <c r="X1122">
        <v>144</v>
      </c>
      <c r="Y1122">
        <f t="shared" si="177"/>
        <v>0</v>
      </c>
      <c r="Z1122">
        <f t="shared" si="178"/>
        <v>24</v>
      </c>
      <c r="AA1122">
        <f>Z1122</f>
        <v>24</v>
      </c>
      <c r="AC1122" s="1">
        <v>0</v>
      </c>
      <c r="AF1122">
        <f>X1122</f>
        <v>144</v>
      </c>
      <c r="AG1122" s="7">
        <v>12</v>
      </c>
      <c r="AH1122">
        <f t="shared" si="179"/>
        <v>144</v>
      </c>
      <c r="AI1122">
        <f t="shared" si="176"/>
        <v>24</v>
      </c>
      <c r="AK1122">
        <f t="shared" si="180"/>
        <v>12</v>
      </c>
      <c r="AL1122">
        <v>12.09</v>
      </c>
      <c r="AM1122" t="s">
        <v>27</v>
      </c>
      <c r="AN1122">
        <v>12.09</v>
      </c>
      <c r="AO1122" t="b">
        <f t="shared" si="181"/>
        <v>1</v>
      </c>
      <c r="AR1122" t="s">
        <v>5061</v>
      </c>
      <c r="AS1122" s="21">
        <v>46276</v>
      </c>
      <c r="AT1122" t="s">
        <v>5062</v>
      </c>
      <c r="AU1122" t="s">
        <v>5084</v>
      </c>
      <c r="AV1122" t="s">
        <v>5089</v>
      </c>
      <c r="AW1122" t="s">
        <v>5090</v>
      </c>
    </row>
    <row r="1123" spans="1:49" x14ac:dyDescent="0.35">
      <c r="A1123" t="s">
        <v>4105</v>
      </c>
      <c r="B1123" t="s">
        <v>4106</v>
      </c>
      <c r="C1123" t="s">
        <v>4818</v>
      </c>
      <c r="D1123" t="s">
        <v>18</v>
      </c>
      <c r="E1123" t="s">
        <v>4191</v>
      </c>
      <c r="F1123" t="s">
        <v>4192</v>
      </c>
      <c r="G1123" t="s">
        <v>21</v>
      </c>
      <c r="H1123" t="s">
        <v>4826</v>
      </c>
      <c r="I1123" t="s">
        <v>5030</v>
      </c>
      <c r="J1123" s="4" t="s">
        <v>5031</v>
      </c>
      <c r="K1123" s="4" t="s">
        <v>5032</v>
      </c>
      <c r="L1123" s="4" t="s">
        <v>4942</v>
      </c>
      <c r="M1123" s="4" t="s">
        <v>5035</v>
      </c>
      <c r="N1123" t="s">
        <v>15</v>
      </c>
      <c r="O1123" t="s">
        <v>4193</v>
      </c>
      <c r="P1123" t="s">
        <v>23</v>
      </c>
      <c r="Q1123" t="s">
        <v>24</v>
      </c>
      <c r="R1123" t="s">
        <v>25</v>
      </c>
      <c r="S1123" t="s">
        <v>26</v>
      </c>
      <c r="T1123" s="6">
        <v>46307</v>
      </c>
      <c r="U1123">
        <v>24</v>
      </c>
      <c r="V1123">
        <v>24</v>
      </c>
      <c r="W1123">
        <v>24</v>
      </c>
      <c r="X1123">
        <v>24</v>
      </c>
      <c r="Y1123">
        <f t="shared" si="177"/>
        <v>0</v>
      </c>
      <c r="Z1123">
        <f t="shared" si="178"/>
        <v>0</v>
      </c>
      <c r="AC1123" s="1">
        <v>0</v>
      </c>
      <c r="AF1123">
        <f>V1123</f>
        <v>24</v>
      </c>
      <c r="AG1123" s="7">
        <v>12</v>
      </c>
      <c r="AH1123">
        <f t="shared" si="179"/>
        <v>24</v>
      </c>
      <c r="AI1123">
        <f t="shared" si="176"/>
        <v>0</v>
      </c>
      <c r="AK1123">
        <f t="shared" si="180"/>
        <v>2</v>
      </c>
      <c r="AL1123">
        <v>12.02</v>
      </c>
      <c r="AM1123" t="s">
        <v>27</v>
      </c>
      <c r="AN1123">
        <v>12.02</v>
      </c>
      <c r="AO1123" t="b">
        <f t="shared" si="181"/>
        <v>1</v>
      </c>
      <c r="AR1123" t="s">
        <v>5061</v>
      </c>
      <c r="AS1123" s="21">
        <v>46276</v>
      </c>
      <c r="AT1123" t="s">
        <v>5062</v>
      </c>
      <c r="AU1123" t="s">
        <v>5085</v>
      </c>
      <c r="AV1123" t="s">
        <v>5089</v>
      </c>
      <c r="AW1123" t="s">
        <v>5090</v>
      </c>
    </row>
    <row r="1124" spans="1:49" x14ac:dyDescent="0.35">
      <c r="A1124" t="s">
        <v>4105</v>
      </c>
      <c r="B1124" t="s">
        <v>4106</v>
      </c>
      <c r="C1124" t="s">
        <v>4818</v>
      </c>
      <c r="D1124" t="s">
        <v>18</v>
      </c>
      <c r="E1124" t="s">
        <v>4194</v>
      </c>
      <c r="F1124" t="s">
        <v>4195</v>
      </c>
      <c r="G1124" t="s">
        <v>21</v>
      </c>
      <c r="H1124" t="s">
        <v>4826</v>
      </c>
      <c r="I1124" t="s">
        <v>5028</v>
      </c>
      <c r="J1124" s="4" t="s">
        <v>5029</v>
      </c>
      <c r="K1124" s="4" t="s">
        <v>5033</v>
      </c>
      <c r="L1124" s="4" t="s">
        <v>4942</v>
      </c>
      <c r="M1124" s="4" t="s">
        <v>5035</v>
      </c>
      <c r="N1124" t="s">
        <v>15</v>
      </c>
      <c r="O1124" t="s">
        <v>4196</v>
      </c>
      <c r="P1124" t="s">
        <v>23</v>
      </c>
      <c r="Q1124" t="s">
        <v>24</v>
      </c>
      <c r="R1124" t="s">
        <v>25</v>
      </c>
      <c r="S1124" t="s">
        <v>26</v>
      </c>
      <c r="T1124" s="6">
        <v>46307</v>
      </c>
      <c r="U1124">
        <v>36</v>
      </c>
      <c r="V1124">
        <v>36</v>
      </c>
      <c r="W1124">
        <v>36</v>
      </c>
      <c r="X1124">
        <v>36</v>
      </c>
      <c r="Y1124">
        <f t="shared" si="177"/>
        <v>0</v>
      </c>
      <c r="Z1124">
        <f t="shared" si="178"/>
        <v>0</v>
      </c>
      <c r="AC1124" s="1">
        <v>0</v>
      </c>
      <c r="AF1124">
        <f>V1124</f>
        <v>36</v>
      </c>
      <c r="AG1124" s="7">
        <v>12</v>
      </c>
      <c r="AH1124">
        <f t="shared" si="179"/>
        <v>36</v>
      </c>
      <c r="AI1124">
        <f t="shared" si="176"/>
        <v>0</v>
      </c>
      <c r="AK1124">
        <f t="shared" si="180"/>
        <v>3</v>
      </c>
      <c r="AL1124">
        <v>12.09</v>
      </c>
      <c r="AM1124" t="s">
        <v>27</v>
      </c>
      <c r="AN1124">
        <v>12.09</v>
      </c>
      <c r="AO1124" t="b">
        <f t="shared" si="181"/>
        <v>1</v>
      </c>
      <c r="AR1124" t="s">
        <v>5061</v>
      </c>
      <c r="AS1124" s="21">
        <v>46276</v>
      </c>
      <c r="AT1124" t="s">
        <v>5062</v>
      </c>
      <c r="AU1124" t="s">
        <v>5084</v>
      </c>
      <c r="AV1124" t="s">
        <v>5089</v>
      </c>
      <c r="AW1124" t="s">
        <v>5090</v>
      </c>
    </row>
    <row r="1125" spans="1:49" x14ac:dyDescent="0.35">
      <c r="A1125" t="s">
        <v>4105</v>
      </c>
      <c r="B1125" t="s">
        <v>4106</v>
      </c>
      <c r="C1125" t="s">
        <v>4818</v>
      </c>
      <c r="D1125" t="s">
        <v>18</v>
      </c>
      <c r="E1125" t="s">
        <v>4197</v>
      </c>
      <c r="F1125" t="s">
        <v>4198</v>
      </c>
      <c r="G1125" t="s">
        <v>21</v>
      </c>
      <c r="H1125" t="s">
        <v>4826</v>
      </c>
      <c r="I1125" t="s">
        <v>5028</v>
      </c>
      <c r="J1125" s="4" t="s">
        <v>5029</v>
      </c>
      <c r="K1125" s="4" t="s">
        <v>4845</v>
      </c>
      <c r="L1125" s="4" t="s">
        <v>4962</v>
      </c>
      <c r="M1125" s="4" t="s">
        <v>5035</v>
      </c>
      <c r="N1125" t="s">
        <v>15</v>
      </c>
      <c r="O1125" t="s">
        <v>4199</v>
      </c>
      <c r="P1125" t="s">
        <v>23</v>
      </c>
      <c r="Q1125" t="s">
        <v>24</v>
      </c>
      <c r="R1125" t="s">
        <v>25</v>
      </c>
      <c r="S1125" t="s">
        <v>26</v>
      </c>
      <c r="T1125" s="6">
        <v>46307</v>
      </c>
      <c r="U1125">
        <v>84</v>
      </c>
      <c r="V1125">
        <v>84</v>
      </c>
      <c r="W1125">
        <v>96</v>
      </c>
      <c r="X1125">
        <v>96</v>
      </c>
      <c r="Y1125">
        <f t="shared" si="177"/>
        <v>0</v>
      </c>
      <c r="Z1125">
        <f t="shared" si="178"/>
        <v>-12</v>
      </c>
      <c r="AC1125" s="1">
        <v>0</v>
      </c>
      <c r="AF1125">
        <f>V1125</f>
        <v>84</v>
      </c>
      <c r="AG1125" s="7">
        <v>12</v>
      </c>
      <c r="AH1125">
        <f t="shared" si="179"/>
        <v>84</v>
      </c>
      <c r="AI1125">
        <f t="shared" si="176"/>
        <v>0</v>
      </c>
      <c r="AK1125">
        <f t="shared" si="180"/>
        <v>7</v>
      </c>
      <c r="AL1125">
        <v>12.09</v>
      </c>
      <c r="AM1125" t="s">
        <v>27</v>
      </c>
      <c r="AN1125">
        <v>12.09</v>
      </c>
      <c r="AO1125" t="b">
        <f t="shared" si="181"/>
        <v>1</v>
      </c>
      <c r="AR1125" t="s">
        <v>5061</v>
      </c>
      <c r="AS1125" s="21">
        <v>46276</v>
      </c>
      <c r="AT1125" t="s">
        <v>5062</v>
      </c>
      <c r="AU1125" t="s">
        <v>5084</v>
      </c>
      <c r="AV1125" t="s">
        <v>5089</v>
      </c>
      <c r="AW1125" t="s">
        <v>5090</v>
      </c>
    </row>
    <row r="1126" spans="1:49" x14ac:dyDescent="0.35">
      <c r="A1126" t="s">
        <v>4105</v>
      </c>
      <c r="B1126" t="s">
        <v>4106</v>
      </c>
      <c r="C1126" t="s">
        <v>4818</v>
      </c>
      <c r="D1126" t="s">
        <v>18</v>
      </c>
      <c r="E1126" t="s">
        <v>4200</v>
      </c>
      <c r="F1126" t="s">
        <v>4201</v>
      </c>
      <c r="G1126" t="s">
        <v>21</v>
      </c>
      <c r="H1126" t="s">
        <v>4826</v>
      </c>
      <c r="I1126" t="s">
        <v>5030</v>
      </c>
      <c r="J1126" s="4" t="s">
        <v>5031</v>
      </c>
      <c r="K1126" s="4" t="s">
        <v>4845</v>
      </c>
      <c r="L1126" s="4" t="s">
        <v>4971</v>
      </c>
      <c r="M1126" s="4" t="s">
        <v>5035</v>
      </c>
      <c r="N1126" t="s">
        <v>15</v>
      </c>
      <c r="O1126" t="s">
        <v>4202</v>
      </c>
      <c r="P1126" t="s">
        <v>23</v>
      </c>
      <c r="Q1126" t="s">
        <v>24</v>
      </c>
      <c r="R1126" t="s">
        <v>25</v>
      </c>
      <c r="S1126" t="s">
        <v>26</v>
      </c>
      <c r="T1126" s="6">
        <v>46307</v>
      </c>
      <c r="U1126">
        <v>36</v>
      </c>
      <c r="V1126">
        <v>36</v>
      </c>
      <c r="W1126">
        <v>36</v>
      </c>
      <c r="X1126">
        <v>36</v>
      </c>
      <c r="Y1126">
        <f t="shared" si="177"/>
        <v>0</v>
      </c>
      <c r="Z1126">
        <f t="shared" si="178"/>
        <v>0</v>
      </c>
      <c r="AC1126" s="1">
        <v>0</v>
      </c>
      <c r="AF1126">
        <f>V1126</f>
        <v>36</v>
      </c>
      <c r="AG1126" s="7">
        <v>12</v>
      </c>
      <c r="AH1126">
        <f t="shared" si="179"/>
        <v>36</v>
      </c>
      <c r="AI1126">
        <f t="shared" si="176"/>
        <v>0</v>
      </c>
      <c r="AK1126">
        <f t="shared" si="180"/>
        <v>3</v>
      </c>
      <c r="AL1126">
        <v>12.02</v>
      </c>
      <c r="AM1126" t="s">
        <v>27</v>
      </c>
      <c r="AN1126">
        <v>12.02</v>
      </c>
      <c r="AO1126" t="b">
        <f t="shared" si="181"/>
        <v>1</v>
      </c>
      <c r="AR1126" t="s">
        <v>5061</v>
      </c>
      <c r="AS1126" s="21">
        <v>46276</v>
      </c>
      <c r="AT1126" t="s">
        <v>5062</v>
      </c>
      <c r="AU1126" t="s">
        <v>5085</v>
      </c>
      <c r="AV1126" t="s">
        <v>5089</v>
      </c>
      <c r="AW1126" t="s">
        <v>5090</v>
      </c>
    </row>
    <row r="1127" spans="1:49" x14ac:dyDescent="0.35">
      <c r="A1127" t="s">
        <v>4105</v>
      </c>
      <c r="B1127" t="s">
        <v>4106</v>
      </c>
      <c r="C1127" t="s">
        <v>4818</v>
      </c>
      <c r="D1127" t="s">
        <v>18</v>
      </c>
      <c r="E1127" t="s">
        <v>4203</v>
      </c>
      <c r="F1127" t="s">
        <v>4204</v>
      </c>
      <c r="G1127" t="s">
        <v>21</v>
      </c>
      <c r="H1127" t="s">
        <v>4826</v>
      </c>
      <c r="I1127" t="s">
        <v>5030</v>
      </c>
      <c r="J1127" s="4" t="s">
        <v>5031</v>
      </c>
      <c r="K1127" s="4" t="s">
        <v>4837</v>
      </c>
      <c r="L1127" s="4" t="s">
        <v>4947</v>
      </c>
      <c r="M1127" s="4" t="s">
        <v>5035</v>
      </c>
      <c r="N1127" t="s">
        <v>15</v>
      </c>
      <c r="O1127" t="s">
        <v>4205</v>
      </c>
      <c r="P1127" t="s">
        <v>23</v>
      </c>
      <c r="Q1127" t="s">
        <v>24</v>
      </c>
      <c r="R1127" t="s">
        <v>25</v>
      </c>
      <c r="S1127" t="s">
        <v>26</v>
      </c>
      <c r="T1127" s="6">
        <v>46307</v>
      </c>
      <c r="U1127">
        <v>24</v>
      </c>
      <c r="V1127">
        <v>24</v>
      </c>
      <c r="W1127">
        <v>24</v>
      </c>
      <c r="X1127">
        <v>24</v>
      </c>
      <c r="Y1127">
        <f t="shared" si="177"/>
        <v>0</v>
      </c>
      <c r="Z1127">
        <f t="shared" si="178"/>
        <v>0</v>
      </c>
      <c r="AC1127" s="1">
        <v>0</v>
      </c>
      <c r="AF1127">
        <f>V1127</f>
        <v>24</v>
      </c>
      <c r="AG1127" s="7">
        <v>12</v>
      </c>
      <c r="AH1127">
        <f t="shared" si="179"/>
        <v>24</v>
      </c>
      <c r="AI1127">
        <f t="shared" si="176"/>
        <v>0</v>
      </c>
      <c r="AK1127">
        <f t="shared" si="180"/>
        <v>2</v>
      </c>
      <c r="AL1127">
        <v>12.02</v>
      </c>
      <c r="AM1127" t="s">
        <v>27</v>
      </c>
      <c r="AN1127">
        <v>12.02</v>
      </c>
      <c r="AO1127" t="b">
        <f t="shared" si="181"/>
        <v>1</v>
      </c>
      <c r="AR1127" t="s">
        <v>5061</v>
      </c>
      <c r="AS1127" s="21">
        <v>46276</v>
      </c>
      <c r="AT1127" t="s">
        <v>5062</v>
      </c>
      <c r="AU1127" t="s">
        <v>5085</v>
      </c>
      <c r="AV1127" t="s">
        <v>5089</v>
      </c>
      <c r="AW1127" t="s">
        <v>5090</v>
      </c>
    </row>
    <row r="1128" spans="1:49" x14ac:dyDescent="0.35">
      <c r="A1128" t="s">
        <v>4105</v>
      </c>
      <c r="B1128" t="s">
        <v>4106</v>
      </c>
      <c r="C1128" t="s">
        <v>4818</v>
      </c>
      <c r="D1128" t="s">
        <v>18</v>
      </c>
      <c r="E1128" t="s">
        <v>4206</v>
      </c>
      <c r="F1128" t="s">
        <v>4207</v>
      </c>
      <c r="G1128" t="s">
        <v>21</v>
      </c>
      <c r="H1128" t="s">
        <v>4826</v>
      </c>
      <c r="I1128" t="s">
        <v>5030</v>
      </c>
      <c r="J1128" s="4" t="s">
        <v>5031</v>
      </c>
      <c r="K1128" s="4" t="s">
        <v>4832</v>
      </c>
      <c r="L1128" s="4" t="s">
        <v>4953</v>
      </c>
      <c r="M1128" s="4" t="s">
        <v>5035</v>
      </c>
      <c r="N1128" t="s">
        <v>15</v>
      </c>
      <c r="O1128" t="s">
        <v>4208</v>
      </c>
      <c r="P1128" t="s">
        <v>23</v>
      </c>
      <c r="Q1128" t="s">
        <v>24</v>
      </c>
      <c r="R1128" t="s">
        <v>25</v>
      </c>
      <c r="S1128" t="s">
        <v>26</v>
      </c>
      <c r="T1128" s="6">
        <v>46307</v>
      </c>
      <c r="U1128">
        <v>132</v>
      </c>
      <c r="V1128">
        <v>132</v>
      </c>
      <c r="W1128">
        <v>120</v>
      </c>
      <c r="X1128">
        <v>120</v>
      </c>
      <c r="Y1128">
        <f t="shared" si="177"/>
        <v>0</v>
      </c>
      <c r="Z1128">
        <f t="shared" si="178"/>
        <v>12</v>
      </c>
      <c r="AA1128">
        <f>Z1128</f>
        <v>12</v>
      </c>
      <c r="AC1128" s="1">
        <v>0</v>
      </c>
      <c r="AF1128">
        <f>X1128</f>
        <v>120</v>
      </c>
      <c r="AG1128" s="7">
        <v>12</v>
      </c>
      <c r="AH1128">
        <f t="shared" si="179"/>
        <v>120</v>
      </c>
      <c r="AI1128">
        <f t="shared" si="176"/>
        <v>12</v>
      </c>
      <c r="AK1128">
        <f t="shared" si="180"/>
        <v>10</v>
      </c>
      <c r="AL1128">
        <v>12.02</v>
      </c>
      <c r="AM1128" t="s">
        <v>27</v>
      </c>
      <c r="AN1128">
        <v>12.02</v>
      </c>
      <c r="AO1128" t="b">
        <f t="shared" si="181"/>
        <v>1</v>
      </c>
      <c r="AR1128" t="s">
        <v>5061</v>
      </c>
      <c r="AS1128" s="21">
        <v>46276</v>
      </c>
      <c r="AT1128" t="s">
        <v>5062</v>
      </c>
      <c r="AU1128" t="s">
        <v>5085</v>
      </c>
      <c r="AV1128" t="s">
        <v>5089</v>
      </c>
      <c r="AW1128" t="s">
        <v>5090</v>
      </c>
    </row>
    <row r="1129" spans="1:49" x14ac:dyDescent="0.35">
      <c r="A1129" t="s">
        <v>4105</v>
      </c>
      <c r="B1129" t="s">
        <v>4106</v>
      </c>
      <c r="C1129" t="s">
        <v>4818</v>
      </c>
      <c r="D1129" t="s">
        <v>18</v>
      </c>
      <c r="E1129" t="s">
        <v>4209</v>
      </c>
      <c r="F1129" t="s">
        <v>4210</v>
      </c>
      <c r="G1129" t="s">
        <v>21</v>
      </c>
      <c r="H1129" t="s">
        <v>4826</v>
      </c>
      <c r="I1129" t="s">
        <v>5028</v>
      </c>
      <c r="J1129" s="4" t="s">
        <v>5029</v>
      </c>
      <c r="K1129" s="4" t="s">
        <v>4845</v>
      </c>
      <c r="L1129" s="4" t="s">
        <v>4967</v>
      </c>
      <c r="M1129" s="4" t="s">
        <v>5035</v>
      </c>
      <c r="N1129" t="s">
        <v>15</v>
      </c>
      <c r="O1129" t="s">
        <v>4211</v>
      </c>
      <c r="P1129" t="s">
        <v>23</v>
      </c>
      <c r="Q1129" t="s">
        <v>24</v>
      </c>
      <c r="R1129" t="s">
        <v>25</v>
      </c>
      <c r="S1129" t="s">
        <v>26</v>
      </c>
      <c r="T1129" s="6">
        <v>46307</v>
      </c>
      <c r="U1129">
        <v>48</v>
      </c>
      <c r="V1129">
        <v>48</v>
      </c>
      <c r="W1129">
        <v>48</v>
      </c>
      <c r="X1129">
        <v>48</v>
      </c>
      <c r="Y1129">
        <f t="shared" si="177"/>
        <v>0</v>
      </c>
      <c r="Z1129">
        <f t="shared" si="178"/>
        <v>0</v>
      </c>
      <c r="AC1129" s="1">
        <v>0</v>
      </c>
      <c r="AF1129">
        <f t="shared" ref="AF1129:AF1139" si="183">V1129</f>
        <v>48</v>
      </c>
      <c r="AG1129" s="7">
        <v>12</v>
      </c>
      <c r="AH1129">
        <f t="shared" si="179"/>
        <v>48</v>
      </c>
      <c r="AI1129">
        <f t="shared" si="176"/>
        <v>0</v>
      </c>
      <c r="AK1129">
        <f t="shared" si="180"/>
        <v>4</v>
      </c>
      <c r="AL1129">
        <v>12.09</v>
      </c>
      <c r="AM1129" t="s">
        <v>27</v>
      </c>
      <c r="AN1129">
        <v>12.09</v>
      </c>
      <c r="AO1129" t="b">
        <f t="shared" si="181"/>
        <v>1</v>
      </c>
      <c r="AR1129" t="s">
        <v>5061</v>
      </c>
      <c r="AS1129" s="21">
        <v>46276</v>
      </c>
      <c r="AT1129" t="s">
        <v>5062</v>
      </c>
      <c r="AU1129" t="s">
        <v>5084</v>
      </c>
      <c r="AV1129" t="s">
        <v>5089</v>
      </c>
      <c r="AW1129" t="s">
        <v>5090</v>
      </c>
    </row>
    <row r="1130" spans="1:49" x14ac:dyDescent="0.35">
      <c r="A1130" t="s">
        <v>4105</v>
      </c>
      <c r="B1130" t="s">
        <v>4106</v>
      </c>
      <c r="C1130" t="s">
        <v>4818</v>
      </c>
      <c r="D1130" t="s">
        <v>18</v>
      </c>
      <c r="E1130" t="s">
        <v>4212</v>
      </c>
      <c r="F1130" t="s">
        <v>4213</v>
      </c>
      <c r="G1130" t="s">
        <v>21</v>
      </c>
      <c r="H1130" t="s">
        <v>4826</v>
      </c>
      <c r="I1130" t="s">
        <v>5028</v>
      </c>
      <c r="J1130" s="4" t="s">
        <v>5029</v>
      </c>
      <c r="K1130" s="4" t="s">
        <v>4832</v>
      </c>
      <c r="L1130" s="4" t="s">
        <v>4951</v>
      </c>
      <c r="M1130" s="4" t="s">
        <v>5035</v>
      </c>
      <c r="N1130" t="s">
        <v>15</v>
      </c>
      <c r="O1130" t="s">
        <v>4214</v>
      </c>
      <c r="P1130" t="s">
        <v>23</v>
      </c>
      <c r="Q1130" t="s">
        <v>24</v>
      </c>
      <c r="R1130" t="s">
        <v>25</v>
      </c>
      <c r="S1130" t="s">
        <v>26</v>
      </c>
      <c r="T1130" s="6">
        <v>46307</v>
      </c>
      <c r="U1130">
        <v>48</v>
      </c>
      <c r="V1130">
        <v>48</v>
      </c>
      <c r="W1130">
        <v>48</v>
      </c>
      <c r="X1130">
        <v>48</v>
      </c>
      <c r="Y1130">
        <f t="shared" si="177"/>
        <v>0</v>
      </c>
      <c r="Z1130">
        <f t="shared" si="178"/>
        <v>0</v>
      </c>
      <c r="AC1130" s="1">
        <v>0</v>
      </c>
      <c r="AF1130">
        <f t="shared" si="183"/>
        <v>48</v>
      </c>
      <c r="AG1130" s="7">
        <v>12</v>
      </c>
      <c r="AH1130">
        <f t="shared" si="179"/>
        <v>48</v>
      </c>
      <c r="AI1130">
        <f t="shared" si="176"/>
        <v>0</v>
      </c>
      <c r="AK1130">
        <f t="shared" si="180"/>
        <v>4</v>
      </c>
      <c r="AL1130">
        <v>12.09</v>
      </c>
      <c r="AM1130" t="s">
        <v>27</v>
      </c>
      <c r="AN1130">
        <v>12.09</v>
      </c>
      <c r="AO1130" t="b">
        <f t="shared" si="181"/>
        <v>1</v>
      </c>
      <c r="AR1130" t="s">
        <v>5061</v>
      </c>
      <c r="AS1130" s="21">
        <v>46276</v>
      </c>
      <c r="AT1130" t="s">
        <v>5062</v>
      </c>
      <c r="AU1130" t="s">
        <v>5084</v>
      </c>
      <c r="AV1130" t="s">
        <v>5089</v>
      </c>
      <c r="AW1130" t="s">
        <v>5090</v>
      </c>
    </row>
    <row r="1131" spans="1:49" x14ac:dyDescent="0.35">
      <c r="A1131" t="s">
        <v>4105</v>
      </c>
      <c r="B1131" t="s">
        <v>4106</v>
      </c>
      <c r="C1131" t="s">
        <v>4818</v>
      </c>
      <c r="D1131" t="s">
        <v>18</v>
      </c>
      <c r="E1131" t="s">
        <v>4215</v>
      </c>
      <c r="F1131" t="s">
        <v>4216</v>
      </c>
      <c r="G1131" t="s">
        <v>21</v>
      </c>
      <c r="H1131" t="s">
        <v>4826</v>
      </c>
      <c r="I1131" t="s">
        <v>5030</v>
      </c>
      <c r="J1131" s="4" t="s">
        <v>5031</v>
      </c>
      <c r="K1131" s="4" t="s">
        <v>5033</v>
      </c>
      <c r="L1131" s="4" t="s">
        <v>4940</v>
      </c>
      <c r="M1131" s="4" t="s">
        <v>5035</v>
      </c>
      <c r="N1131" t="s">
        <v>15</v>
      </c>
      <c r="O1131" t="s">
        <v>4217</v>
      </c>
      <c r="P1131" t="s">
        <v>23</v>
      </c>
      <c r="Q1131" t="s">
        <v>24</v>
      </c>
      <c r="R1131" t="s">
        <v>25</v>
      </c>
      <c r="S1131" t="s">
        <v>26</v>
      </c>
      <c r="T1131" s="6">
        <v>46307</v>
      </c>
      <c r="U1131">
        <v>84</v>
      </c>
      <c r="V1131">
        <v>84</v>
      </c>
      <c r="W1131">
        <v>96</v>
      </c>
      <c r="X1131">
        <v>96</v>
      </c>
      <c r="Y1131">
        <f t="shared" si="177"/>
        <v>0</v>
      </c>
      <c r="Z1131">
        <f t="shared" si="178"/>
        <v>-12</v>
      </c>
      <c r="AC1131" s="1">
        <v>0</v>
      </c>
      <c r="AF1131">
        <f t="shared" si="183"/>
        <v>84</v>
      </c>
      <c r="AG1131" s="7">
        <v>12</v>
      </c>
      <c r="AH1131">
        <f t="shared" si="179"/>
        <v>84</v>
      </c>
      <c r="AI1131">
        <f t="shared" si="176"/>
        <v>0</v>
      </c>
      <c r="AK1131">
        <f t="shared" si="180"/>
        <v>7</v>
      </c>
      <c r="AL1131">
        <v>12.02</v>
      </c>
      <c r="AM1131" t="s">
        <v>27</v>
      </c>
      <c r="AN1131">
        <v>12.02</v>
      </c>
      <c r="AO1131" t="b">
        <f t="shared" si="181"/>
        <v>1</v>
      </c>
      <c r="AR1131" t="s">
        <v>5061</v>
      </c>
      <c r="AS1131" s="21">
        <v>46276</v>
      </c>
      <c r="AT1131" t="s">
        <v>5062</v>
      </c>
      <c r="AU1131" t="s">
        <v>5085</v>
      </c>
      <c r="AV1131" t="s">
        <v>5089</v>
      </c>
      <c r="AW1131" t="s">
        <v>5090</v>
      </c>
    </row>
    <row r="1132" spans="1:49" x14ac:dyDescent="0.35">
      <c r="A1132" t="s">
        <v>4105</v>
      </c>
      <c r="B1132" t="s">
        <v>4106</v>
      </c>
      <c r="C1132" t="s">
        <v>4818</v>
      </c>
      <c r="D1132" t="s">
        <v>18</v>
      </c>
      <c r="E1132" t="s">
        <v>4218</v>
      </c>
      <c r="F1132" t="s">
        <v>4219</v>
      </c>
      <c r="G1132" t="s">
        <v>21</v>
      </c>
      <c r="H1132" t="s">
        <v>4826</v>
      </c>
      <c r="I1132" t="s">
        <v>5030</v>
      </c>
      <c r="J1132" s="4" t="s">
        <v>5031</v>
      </c>
      <c r="K1132" s="4" t="s">
        <v>4837</v>
      </c>
      <c r="L1132" s="4" t="s">
        <v>4950</v>
      </c>
      <c r="M1132" s="4" t="s">
        <v>5035</v>
      </c>
      <c r="N1132" t="s">
        <v>15</v>
      </c>
      <c r="O1132" t="s">
        <v>4220</v>
      </c>
      <c r="P1132" t="s">
        <v>23</v>
      </c>
      <c r="Q1132" t="s">
        <v>24</v>
      </c>
      <c r="R1132" t="s">
        <v>25</v>
      </c>
      <c r="S1132" t="s">
        <v>26</v>
      </c>
      <c r="T1132" s="6">
        <v>46307</v>
      </c>
      <c r="U1132">
        <v>60</v>
      </c>
      <c r="V1132">
        <v>60</v>
      </c>
      <c r="W1132">
        <v>60</v>
      </c>
      <c r="X1132">
        <v>60</v>
      </c>
      <c r="Y1132">
        <f t="shared" si="177"/>
        <v>0</v>
      </c>
      <c r="Z1132">
        <f t="shared" si="178"/>
        <v>0</v>
      </c>
      <c r="AC1132" s="1">
        <v>0</v>
      </c>
      <c r="AF1132">
        <f t="shared" si="183"/>
        <v>60</v>
      </c>
      <c r="AG1132" s="7">
        <v>12</v>
      </c>
      <c r="AH1132">
        <f t="shared" si="179"/>
        <v>60</v>
      </c>
      <c r="AI1132">
        <f t="shared" si="176"/>
        <v>0</v>
      </c>
      <c r="AK1132">
        <f t="shared" si="180"/>
        <v>5</v>
      </c>
      <c r="AL1132">
        <v>12.02</v>
      </c>
      <c r="AM1132" t="s">
        <v>27</v>
      </c>
      <c r="AN1132">
        <v>12.02</v>
      </c>
      <c r="AO1132" t="b">
        <f t="shared" si="181"/>
        <v>1</v>
      </c>
      <c r="AR1132" t="s">
        <v>5061</v>
      </c>
      <c r="AS1132" s="21">
        <v>46276</v>
      </c>
      <c r="AT1132" t="s">
        <v>5062</v>
      </c>
      <c r="AU1132" t="s">
        <v>5085</v>
      </c>
      <c r="AV1132" t="s">
        <v>5089</v>
      </c>
      <c r="AW1132" t="s">
        <v>5090</v>
      </c>
    </row>
    <row r="1133" spans="1:49" x14ac:dyDescent="0.35">
      <c r="A1133" t="s">
        <v>4105</v>
      </c>
      <c r="B1133" t="s">
        <v>4106</v>
      </c>
      <c r="C1133" t="s">
        <v>4818</v>
      </c>
      <c r="D1133" t="s">
        <v>18</v>
      </c>
      <c r="E1133" t="s">
        <v>4221</v>
      </c>
      <c r="F1133" t="s">
        <v>4222</v>
      </c>
      <c r="G1133" t="s">
        <v>21</v>
      </c>
      <c r="H1133" t="s">
        <v>4826</v>
      </c>
      <c r="I1133" t="s">
        <v>5030</v>
      </c>
      <c r="J1133" s="4" t="s">
        <v>5031</v>
      </c>
      <c r="K1133" s="4" t="s">
        <v>5032</v>
      </c>
      <c r="L1133" s="4" t="s">
        <v>4938</v>
      </c>
      <c r="M1133" s="4" t="s">
        <v>5035</v>
      </c>
      <c r="N1133" t="s">
        <v>15</v>
      </c>
      <c r="O1133" t="s">
        <v>4223</v>
      </c>
      <c r="P1133" t="s">
        <v>23</v>
      </c>
      <c r="Q1133" t="s">
        <v>24</v>
      </c>
      <c r="R1133" t="s">
        <v>25</v>
      </c>
      <c r="S1133" t="s">
        <v>26</v>
      </c>
      <c r="T1133" s="6">
        <v>46307</v>
      </c>
      <c r="U1133">
        <v>72</v>
      </c>
      <c r="V1133">
        <v>72</v>
      </c>
      <c r="W1133">
        <v>84</v>
      </c>
      <c r="X1133">
        <v>84</v>
      </c>
      <c r="Y1133">
        <f t="shared" si="177"/>
        <v>0</v>
      </c>
      <c r="Z1133">
        <f t="shared" si="178"/>
        <v>-12</v>
      </c>
      <c r="AC1133" s="1">
        <v>0</v>
      </c>
      <c r="AF1133">
        <f t="shared" si="183"/>
        <v>72</v>
      </c>
      <c r="AG1133" s="7">
        <v>12</v>
      </c>
      <c r="AH1133">
        <f t="shared" si="179"/>
        <v>72</v>
      </c>
      <c r="AI1133">
        <f t="shared" si="176"/>
        <v>0</v>
      </c>
      <c r="AK1133">
        <f t="shared" si="180"/>
        <v>6</v>
      </c>
      <c r="AL1133">
        <v>12.02</v>
      </c>
      <c r="AM1133" t="s">
        <v>27</v>
      </c>
      <c r="AN1133">
        <v>12.02</v>
      </c>
      <c r="AO1133" t="b">
        <f t="shared" si="181"/>
        <v>1</v>
      </c>
      <c r="AR1133" t="s">
        <v>5061</v>
      </c>
      <c r="AS1133" s="21">
        <v>46276</v>
      </c>
      <c r="AT1133" t="s">
        <v>5062</v>
      </c>
      <c r="AU1133" t="s">
        <v>5085</v>
      </c>
      <c r="AV1133" t="s">
        <v>5089</v>
      </c>
      <c r="AW1133" t="s">
        <v>5090</v>
      </c>
    </row>
    <row r="1134" spans="1:49" x14ac:dyDescent="0.35">
      <c r="A1134" t="s">
        <v>4105</v>
      </c>
      <c r="B1134" t="s">
        <v>4106</v>
      </c>
      <c r="C1134" t="s">
        <v>4818</v>
      </c>
      <c r="D1134" t="s">
        <v>18</v>
      </c>
      <c r="E1134" t="s">
        <v>4224</v>
      </c>
      <c r="F1134" t="s">
        <v>4225</v>
      </c>
      <c r="G1134" t="s">
        <v>21</v>
      </c>
      <c r="H1134" t="s">
        <v>4826</v>
      </c>
      <c r="I1134" t="s">
        <v>5030</v>
      </c>
      <c r="J1134" s="4" t="s">
        <v>5031</v>
      </c>
      <c r="K1134" s="4" t="s">
        <v>5033</v>
      </c>
      <c r="L1134" s="4" t="s">
        <v>4938</v>
      </c>
      <c r="M1134" s="4" t="s">
        <v>5035</v>
      </c>
      <c r="N1134" t="s">
        <v>15</v>
      </c>
      <c r="O1134" t="s">
        <v>4226</v>
      </c>
      <c r="P1134" t="s">
        <v>23</v>
      </c>
      <c r="Q1134" t="s">
        <v>24</v>
      </c>
      <c r="R1134" t="s">
        <v>25</v>
      </c>
      <c r="S1134" t="s">
        <v>26</v>
      </c>
      <c r="T1134" s="6">
        <v>46307</v>
      </c>
      <c r="U1134">
        <v>204</v>
      </c>
      <c r="V1134">
        <v>204</v>
      </c>
      <c r="W1134">
        <v>216</v>
      </c>
      <c r="X1134">
        <v>216</v>
      </c>
      <c r="Y1134">
        <f t="shared" si="177"/>
        <v>0</v>
      </c>
      <c r="Z1134">
        <f t="shared" si="178"/>
        <v>-12</v>
      </c>
      <c r="AC1134" s="1"/>
      <c r="AF1134">
        <f t="shared" si="183"/>
        <v>204</v>
      </c>
      <c r="AG1134" s="7">
        <v>12</v>
      </c>
      <c r="AH1134">
        <f t="shared" si="179"/>
        <v>204</v>
      </c>
      <c r="AI1134">
        <f t="shared" si="176"/>
        <v>0</v>
      </c>
      <c r="AK1134">
        <f t="shared" si="180"/>
        <v>17</v>
      </c>
      <c r="AL1134">
        <v>12.02</v>
      </c>
      <c r="AM1134" t="s">
        <v>27</v>
      </c>
      <c r="AN1134">
        <v>12.02</v>
      </c>
      <c r="AO1134" t="b">
        <f t="shared" si="181"/>
        <v>1</v>
      </c>
      <c r="AR1134" t="s">
        <v>5061</v>
      </c>
      <c r="AS1134" s="21">
        <v>46276</v>
      </c>
      <c r="AT1134" t="s">
        <v>5062</v>
      </c>
      <c r="AU1134" t="s">
        <v>5085</v>
      </c>
      <c r="AV1134" t="s">
        <v>5089</v>
      </c>
      <c r="AW1134" t="s">
        <v>5090</v>
      </c>
    </row>
    <row r="1135" spans="1:49" x14ac:dyDescent="0.35">
      <c r="A1135" t="s">
        <v>4105</v>
      </c>
      <c r="B1135" t="s">
        <v>4106</v>
      </c>
      <c r="C1135" t="s">
        <v>4818</v>
      </c>
      <c r="D1135" t="s">
        <v>18</v>
      </c>
      <c r="E1135" t="s">
        <v>4227</v>
      </c>
      <c r="F1135" t="s">
        <v>4228</v>
      </c>
      <c r="G1135" t="s">
        <v>21</v>
      </c>
      <c r="H1135" t="s">
        <v>4826</v>
      </c>
      <c r="I1135" t="s">
        <v>5030</v>
      </c>
      <c r="J1135" s="4" t="s">
        <v>5031</v>
      </c>
      <c r="K1135" s="4" t="s">
        <v>4837</v>
      </c>
      <c r="L1135" s="4" t="s">
        <v>4953</v>
      </c>
      <c r="M1135" s="4" t="s">
        <v>5035</v>
      </c>
      <c r="N1135" t="s">
        <v>15</v>
      </c>
      <c r="O1135" t="s">
        <v>4229</v>
      </c>
      <c r="P1135" t="s">
        <v>23</v>
      </c>
      <c r="Q1135" t="s">
        <v>24</v>
      </c>
      <c r="R1135" t="s">
        <v>25</v>
      </c>
      <c r="S1135" t="s">
        <v>26</v>
      </c>
      <c r="T1135" s="6">
        <v>46307</v>
      </c>
      <c r="U1135">
        <v>144</v>
      </c>
      <c r="V1135">
        <v>144</v>
      </c>
      <c r="W1135">
        <v>156</v>
      </c>
      <c r="X1135">
        <v>156</v>
      </c>
      <c r="Y1135">
        <f t="shared" si="177"/>
        <v>0</v>
      </c>
      <c r="Z1135">
        <f t="shared" si="178"/>
        <v>-12</v>
      </c>
      <c r="AC1135" s="1"/>
      <c r="AF1135">
        <f t="shared" si="183"/>
        <v>144</v>
      </c>
      <c r="AG1135" s="7">
        <v>12</v>
      </c>
      <c r="AH1135">
        <f t="shared" si="179"/>
        <v>144</v>
      </c>
      <c r="AI1135">
        <f t="shared" si="176"/>
        <v>0</v>
      </c>
      <c r="AK1135">
        <f t="shared" si="180"/>
        <v>12</v>
      </c>
      <c r="AL1135">
        <v>12.02</v>
      </c>
      <c r="AM1135" t="s">
        <v>27</v>
      </c>
      <c r="AN1135">
        <v>12.02</v>
      </c>
      <c r="AO1135" t="b">
        <f t="shared" si="181"/>
        <v>1</v>
      </c>
      <c r="AR1135" t="s">
        <v>5061</v>
      </c>
      <c r="AS1135" s="21">
        <v>46276</v>
      </c>
      <c r="AT1135" t="s">
        <v>5062</v>
      </c>
      <c r="AU1135" t="s">
        <v>5085</v>
      </c>
      <c r="AV1135" t="s">
        <v>5089</v>
      </c>
      <c r="AW1135" t="s">
        <v>5090</v>
      </c>
    </row>
    <row r="1136" spans="1:49" x14ac:dyDescent="0.35">
      <c r="A1136" t="s">
        <v>4105</v>
      </c>
      <c r="B1136" t="s">
        <v>4106</v>
      </c>
      <c r="C1136" t="s">
        <v>4818</v>
      </c>
      <c r="D1136" t="s">
        <v>18</v>
      </c>
      <c r="E1136" t="s">
        <v>4230</v>
      </c>
      <c r="F1136" t="s">
        <v>4231</v>
      </c>
      <c r="G1136" t="s">
        <v>21</v>
      </c>
      <c r="H1136" t="s">
        <v>4826</v>
      </c>
      <c r="I1136" t="s">
        <v>5030</v>
      </c>
      <c r="J1136" s="4" t="s">
        <v>5031</v>
      </c>
      <c r="K1136" s="4" t="s">
        <v>4837</v>
      </c>
      <c r="L1136" s="4" t="s">
        <v>4962</v>
      </c>
      <c r="M1136" s="4" t="s">
        <v>5035</v>
      </c>
      <c r="N1136" t="s">
        <v>15</v>
      </c>
      <c r="O1136" t="s">
        <v>4232</v>
      </c>
      <c r="P1136" t="s">
        <v>23</v>
      </c>
      <c r="Q1136" t="s">
        <v>24</v>
      </c>
      <c r="R1136" t="s">
        <v>25</v>
      </c>
      <c r="S1136" t="s">
        <v>26</v>
      </c>
      <c r="T1136" s="6">
        <v>46307</v>
      </c>
      <c r="U1136">
        <v>108</v>
      </c>
      <c r="V1136">
        <v>108</v>
      </c>
      <c r="W1136">
        <v>108</v>
      </c>
      <c r="X1136">
        <v>108</v>
      </c>
      <c r="Y1136">
        <f t="shared" si="177"/>
        <v>0</v>
      </c>
      <c r="Z1136">
        <f t="shared" si="178"/>
        <v>0</v>
      </c>
      <c r="AC1136" s="1">
        <v>0</v>
      </c>
      <c r="AF1136">
        <f t="shared" si="183"/>
        <v>108</v>
      </c>
      <c r="AG1136" s="7">
        <v>12</v>
      </c>
      <c r="AH1136">
        <f t="shared" si="179"/>
        <v>108</v>
      </c>
      <c r="AI1136">
        <f t="shared" si="176"/>
        <v>0</v>
      </c>
      <c r="AK1136">
        <f t="shared" si="180"/>
        <v>9</v>
      </c>
      <c r="AL1136">
        <v>12.02</v>
      </c>
      <c r="AM1136" t="s">
        <v>27</v>
      </c>
      <c r="AN1136">
        <v>12.02</v>
      </c>
      <c r="AO1136" t="b">
        <f t="shared" si="181"/>
        <v>1</v>
      </c>
      <c r="AR1136" t="s">
        <v>5061</v>
      </c>
      <c r="AS1136" s="21">
        <v>46276</v>
      </c>
      <c r="AT1136" t="s">
        <v>5062</v>
      </c>
      <c r="AU1136" t="s">
        <v>5085</v>
      </c>
      <c r="AV1136" t="s">
        <v>5089</v>
      </c>
      <c r="AW1136" t="s">
        <v>5090</v>
      </c>
    </row>
    <row r="1137" spans="1:49" x14ac:dyDescent="0.35">
      <c r="A1137" t="s">
        <v>4105</v>
      </c>
      <c r="B1137" t="s">
        <v>4106</v>
      </c>
      <c r="C1137" t="s">
        <v>4818</v>
      </c>
      <c r="D1137" t="s">
        <v>18</v>
      </c>
      <c r="E1137" t="s">
        <v>4233</v>
      </c>
      <c r="F1137" t="s">
        <v>4234</v>
      </c>
      <c r="G1137" t="s">
        <v>21</v>
      </c>
      <c r="H1137" t="s">
        <v>4826</v>
      </c>
      <c r="I1137" t="s">
        <v>5028</v>
      </c>
      <c r="J1137" s="4" t="s">
        <v>5029</v>
      </c>
      <c r="K1137" s="4" t="s">
        <v>4837</v>
      </c>
      <c r="L1137" s="4" t="s">
        <v>4938</v>
      </c>
      <c r="M1137" s="4" t="s">
        <v>5035</v>
      </c>
      <c r="N1137" t="s">
        <v>15</v>
      </c>
      <c r="O1137" t="s">
        <v>4235</v>
      </c>
      <c r="P1137" t="s">
        <v>23</v>
      </c>
      <c r="Q1137" t="s">
        <v>24</v>
      </c>
      <c r="R1137" t="s">
        <v>25</v>
      </c>
      <c r="S1137" t="s">
        <v>26</v>
      </c>
      <c r="T1137" s="6">
        <v>46307</v>
      </c>
      <c r="U1137">
        <v>132</v>
      </c>
      <c r="V1137">
        <v>132</v>
      </c>
      <c r="W1137">
        <v>144</v>
      </c>
      <c r="X1137">
        <v>144</v>
      </c>
      <c r="Y1137">
        <f t="shared" si="177"/>
        <v>0</v>
      </c>
      <c r="Z1137">
        <f t="shared" si="178"/>
        <v>-12</v>
      </c>
      <c r="AC1137" s="1">
        <v>0</v>
      </c>
      <c r="AF1137">
        <f t="shared" si="183"/>
        <v>132</v>
      </c>
      <c r="AG1137" s="7">
        <v>12</v>
      </c>
      <c r="AH1137">
        <f t="shared" si="179"/>
        <v>132</v>
      </c>
      <c r="AI1137">
        <f t="shared" si="176"/>
        <v>0</v>
      </c>
      <c r="AK1137">
        <f t="shared" si="180"/>
        <v>11</v>
      </c>
      <c r="AL1137">
        <v>12.09</v>
      </c>
      <c r="AM1137" t="s">
        <v>27</v>
      </c>
      <c r="AN1137">
        <v>12.09</v>
      </c>
      <c r="AO1137" t="b">
        <f t="shared" si="181"/>
        <v>1</v>
      </c>
      <c r="AR1137" t="s">
        <v>5061</v>
      </c>
      <c r="AS1137" s="21">
        <v>46276</v>
      </c>
      <c r="AT1137" t="s">
        <v>5062</v>
      </c>
      <c r="AU1137" t="s">
        <v>5084</v>
      </c>
      <c r="AV1137" t="s">
        <v>5089</v>
      </c>
      <c r="AW1137" t="s">
        <v>5090</v>
      </c>
    </row>
    <row r="1138" spans="1:49" x14ac:dyDescent="0.35">
      <c r="A1138" t="s">
        <v>4105</v>
      </c>
      <c r="B1138" t="s">
        <v>4106</v>
      </c>
      <c r="C1138" t="s">
        <v>4818</v>
      </c>
      <c r="D1138" t="s">
        <v>18</v>
      </c>
      <c r="E1138" t="s">
        <v>4236</v>
      </c>
      <c r="F1138" t="s">
        <v>4237</v>
      </c>
      <c r="G1138" t="s">
        <v>21</v>
      </c>
      <c r="H1138" t="s">
        <v>4826</v>
      </c>
      <c r="I1138" t="s">
        <v>5028</v>
      </c>
      <c r="J1138" s="4" t="s">
        <v>5029</v>
      </c>
      <c r="K1138" s="4" t="s">
        <v>4837</v>
      </c>
      <c r="L1138" s="4" t="s">
        <v>4965</v>
      </c>
      <c r="M1138" s="4" t="s">
        <v>5035</v>
      </c>
      <c r="N1138" t="s">
        <v>15</v>
      </c>
      <c r="O1138" t="s">
        <v>4238</v>
      </c>
      <c r="P1138" t="s">
        <v>23</v>
      </c>
      <c r="Q1138" t="s">
        <v>24</v>
      </c>
      <c r="R1138" t="s">
        <v>25</v>
      </c>
      <c r="S1138" t="s">
        <v>26</v>
      </c>
      <c r="T1138" s="6">
        <v>46307</v>
      </c>
      <c r="U1138">
        <v>12</v>
      </c>
      <c r="V1138">
        <v>12</v>
      </c>
      <c r="W1138">
        <v>12</v>
      </c>
      <c r="X1138">
        <v>12</v>
      </c>
      <c r="Y1138">
        <f t="shared" si="177"/>
        <v>0</v>
      </c>
      <c r="Z1138">
        <f t="shared" si="178"/>
        <v>0</v>
      </c>
      <c r="AC1138" s="1">
        <v>0</v>
      </c>
      <c r="AF1138">
        <f t="shared" si="183"/>
        <v>12</v>
      </c>
      <c r="AG1138" s="7">
        <v>12</v>
      </c>
      <c r="AH1138">
        <f t="shared" si="179"/>
        <v>12</v>
      </c>
      <c r="AI1138">
        <f t="shared" si="176"/>
        <v>0</v>
      </c>
      <c r="AK1138">
        <f t="shared" si="180"/>
        <v>1</v>
      </c>
      <c r="AL1138">
        <v>12.09</v>
      </c>
      <c r="AM1138" t="s">
        <v>27</v>
      </c>
      <c r="AN1138">
        <v>12.09</v>
      </c>
      <c r="AO1138" t="b">
        <f t="shared" si="181"/>
        <v>1</v>
      </c>
      <c r="AR1138" t="s">
        <v>5061</v>
      </c>
      <c r="AS1138" s="21">
        <v>46276</v>
      </c>
      <c r="AT1138" t="s">
        <v>5062</v>
      </c>
      <c r="AU1138" t="s">
        <v>5084</v>
      </c>
      <c r="AV1138" t="s">
        <v>5089</v>
      </c>
      <c r="AW1138" t="s">
        <v>5090</v>
      </c>
    </row>
    <row r="1139" spans="1:49" x14ac:dyDescent="0.35">
      <c r="A1139" t="s">
        <v>4105</v>
      </c>
      <c r="B1139" t="s">
        <v>4106</v>
      </c>
      <c r="C1139" t="s">
        <v>4818</v>
      </c>
      <c r="D1139" t="s">
        <v>18</v>
      </c>
      <c r="E1139" t="s">
        <v>4239</v>
      </c>
      <c r="F1139" t="s">
        <v>4240</v>
      </c>
      <c r="G1139" t="s">
        <v>21</v>
      </c>
      <c r="H1139" t="s">
        <v>4826</v>
      </c>
      <c r="I1139" t="s">
        <v>5028</v>
      </c>
      <c r="J1139" s="4" t="s">
        <v>5029</v>
      </c>
      <c r="K1139" s="4" t="s">
        <v>4832</v>
      </c>
      <c r="L1139" s="4" t="s">
        <v>4952</v>
      </c>
      <c r="M1139" s="4" t="s">
        <v>5035</v>
      </c>
      <c r="N1139" t="s">
        <v>15</v>
      </c>
      <c r="O1139" t="s">
        <v>4241</v>
      </c>
      <c r="P1139" t="s">
        <v>23</v>
      </c>
      <c r="Q1139" t="s">
        <v>24</v>
      </c>
      <c r="R1139" t="s">
        <v>25</v>
      </c>
      <c r="S1139" t="s">
        <v>26</v>
      </c>
      <c r="T1139" s="6">
        <v>46307</v>
      </c>
      <c r="U1139">
        <v>24</v>
      </c>
      <c r="V1139">
        <v>24</v>
      </c>
      <c r="W1139">
        <v>24</v>
      </c>
      <c r="X1139">
        <v>24</v>
      </c>
      <c r="Y1139">
        <f t="shared" si="177"/>
        <v>0</v>
      </c>
      <c r="Z1139">
        <f t="shared" si="178"/>
        <v>0</v>
      </c>
      <c r="AC1139" s="1">
        <v>0</v>
      </c>
      <c r="AF1139">
        <f t="shared" si="183"/>
        <v>24</v>
      </c>
      <c r="AG1139" s="7">
        <v>12</v>
      </c>
      <c r="AH1139">
        <f t="shared" si="179"/>
        <v>24</v>
      </c>
      <c r="AI1139">
        <f t="shared" si="176"/>
        <v>0</v>
      </c>
      <c r="AK1139">
        <f t="shared" si="180"/>
        <v>2</v>
      </c>
      <c r="AL1139">
        <v>12.09</v>
      </c>
      <c r="AM1139" t="s">
        <v>27</v>
      </c>
      <c r="AN1139">
        <v>12.09</v>
      </c>
      <c r="AO1139" t="b">
        <f t="shared" si="181"/>
        <v>1</v>
      </c>
      <c r="AR1139" t="s">
        <v>5061</v>
      </c>
      <c r="AS1139" s="21">
        <v>46276</v>
      </c>
      <c r="AT1139" t="s">
        <v>5062</v>
      </c>
      <c r="AU1139" t="s">
        <v>5084</v>
      </c>
      <c r="AV1139" t="s">
        <v>5089</v>
      </c>
      <c r="AW1139" t="s">
        <v>5090</v>
      </c>
    </row>
    <row r="1140" spans="1:49" x14ac:dyDescent="0.35">
      <c r="A1140" t="s">
        <v>4105</v>
      </c>
      <c r="B1140" t="s">
        <v>4106</v>
      </c>
      <c r="C1140" t="s">
        <v>4818</v>
      </c>
      <c r="D1140" t="s">
        <v>18</v>
      </c>
      <c r="E1140" t="s">
        <v>4242</v>
      </c>
      <c r="F1140" t="s">
        <v>4243</v>
      </c>
      <c r="G1140" t="s">
        <v>21</v>
      </c>
      <c r="H1140" t="s">
        <v>4826</v>
      </c>
      <c r="I1140" t="s">
        <v>5028</v>
      </c>
      <c r="J1140" s="4" t="s">
        <v>5029</v>
      </c>
      <c r="K1140" s="4" t="s">
        <v>4837</v>
      </c>
      <c r="L1140" s="4" t="s">
        <v>4939</v>
      </c>
      <c r="M1140" s="4" t="s">
        <v>5035</v>
      </c>
      <c r="N1140" t="s">
        <v>15</v>
      </c>
      <c r="O1140" t="s">
        <v>4244</v>
      </c>
      <c r="P1140" t="s">
        <v>23</v>
      </c>
      <c r="Q1140" t="s">
        <v>24</v>
      </c>
      <c r="R1140" t="s">
        <v>25</v>
      </c>
      <c r="S1140" t="s">
        <v>26</v>
      </c>
      <c r="T1140" s="6">
        <v>46307</v>
      </c>
      <c r="U1140">
        <v>120</v>
      </c>
      <c r="V1140">
        <v>120</v>
      </c>
      <c r="W1140">
        <v>108</v>
      </c>
      <c r="X1140">
        <v>108</v>
      </c>
      <c r="Y1140">
        <f t="shared" si="177"/>
        <v>0</v>
      </c>
      <c r="Z1140">
        <f t="shared" si="178"/>
        <v>12</v>
      </c>
      <c r="AA1140">
        <f>Z1140</f>
        <v>12</v>
      </c>
      <c r="AC1140" s="1">
        <v>0</v>
      </c>
      <c r="AF1140">
        <f>X1140</f>
        <v>108</v>
      </c>
      <c r="AG1140" s="7">
        <v>12</v>
      </c>
      <c r="AH1140">
        <f t="shared" si="179"/>
        <v>108</v>
      </c>
      <c r="AI1140">
        <f t="shared" si="176"/>
        <v>12</v>
      </c>
      <c r="AK1140">
        <f t="shared" si="180"/>
        <v>9</v>
      </c>
      <c r="AL1140">
        <v>12.09</v>
      </c>
      <c r="AM1140" t="s">
        <v>27</v>
      </c>
      <c r="AN1140">
        <v>12.09</v>
      </c>
      <c r="AO1140" t="b">
        <f t="shared" si="181"/>
        <v>1</v>
      </c>
      <c r="AR1140" t="s">
        <v>5061</v>
      </c>
      <c r="AS1140" s="21">
        <v>46276</v>
      </c>
      <c r="AT1140" t="s">
        <v>5062</v>
      </c>
      <c r="AU1140" t="s">
        <v>5084</v>
      </c>
      <c r="AV1140" t="s">
        <v>5089</v>
      </c>
      <c r="AW1140" t="s">
        <v>5090</v>
      </c>
    </row>
    <row r="1141" spans="1:49" x14ac:dyDescent="0.35">
      <c r="A1141" t="s">
        <v>4105</v>
      </c>
      <c r="B1141" t="s">
        <v>4106</v>
      </c>
      <c r="C1141" t="s">
        <v>4818</v>
      </c>
      <c r="D1141" t="s">
        <v>18</v>
      </c>
      <c r="E1141" t="s">
        <v>4245</v>
      </c>
      <c r="F1141" t="s">
        <v>4246</v>
      </c>
      <c r="G1141" t="s">
        <v>21</v>
      </c>
      <c r="H1141" t="s">
        <v>4826</v>
      </c>
      <c r="I1141" t="s">
        <v>5028</v>
      </c>
      <c r="J1141" s="4" t="s">
        <v>5029</v>
      </c>
      <c r="K1141" s="4" t="s">
        <v>4837</v>
      </c>
      <c r="L1141" s="4" t="s">
        <v>4941</v>
      </c>
      <c r="M1141" s="4" t="s">
        <v>5035</v>
      </c>
      <c r="N1141" t="s">
        <v>15</v>
      </c>
      <c r="O1141" t="s">
        <v>4247</v>
      </c>
      <c r="P1141" t="s">
        <v>23</v>
      </c>
      <c r="Q1141" t="s">
        <v>24</v>
      </c>
      <c r="R1141" t="s">
        <v>25</v>
      </c>
      <c r="S1141" t="s">
        <v>26</v>
      </c>
      <c r="T1141" s="6">
        <v>46307</v>
      </c>
      <c r="U1141">
        <v>84</v>
      </c>
      <c r="V1141">
        <v>84</v>
      </c>
      <c r="W1141">
        <v>96</v>
      </c>
      <c r="X1141">
        <v>96</v>
      </c>
      <c r="Y1141">
        <f t="shared" si="177"/>
        <v>0</v>
      </c>
      <c r="Z1141">
        <f t="shared" si="178"/>
        <v>-12</v>
      </c>
      <c r="AC1141" s="1">
        <v>0</v>
      </c>
      <c r="AF1141">
        <f t="shared" ref="AF1141:AF1151" si="184">V1141</f>
        <v>84</v>
      </c>
      <c r="AG1141" s="7">
        <v>12</v>
      </c>
      <c r="AH1141">
        <f t="shared" si="179"/>
        <v>84</v>
      </c>
      <c r="AI1141">
        <f t="shared" si="176"/>
        <v>0</v>
      </c>
      <c r="AK1141">
        <f t="shared" si="180"/>
        <v>7</v>
      </c>
      <c r="AL1141">
        <v>12.09</v>
      </c>
      <c r="AM1141" t="s">
        <v>27</v>
      </c>
      <c r="AN1141">
        <v>12.09</v>
      </c>
      <c r="AO1141" t="b">
        <f t="shared" si="181"/>
        <v>1</v>
      </c>
      <c r="AR1141" t="s">
        <v>5061</v>
      </c>
      <c r="AS1141" s="21">
        <v>46276</v>
      </c>
      <c r="AT1141" t="s">
        <v>5062</v>
      </c>
      <c r="AU1141" t="s">
        <v>5084</v>
      </c>
      <c r="AV1141" t="s">
        <v>5089</v>
      </c>
      <c r="AW1141" t="s">
        <v>5090</v>
      </c>
    </row>
    <row r="1142" spans="1:49" x14ac:dyDescent="0.35">
      <c r="A1142" t="s">
        <v>4105</v>
      </c>
      <c r="B1142" t="s">
        <v>4106</v>
      </c>
      <c r="C1142" t="s">
        <v>4818</v>
      </c>
      <c r="D1142" t="s">
        <v>18</v>
      </c>
      <c r="E1142" t="s">
        <v>4248</v>
      </c>
      <c r="F1142" t="s">
        <v>4249</v>
      </c>
      <c r="G1142" t="s">
        <v>21</v>
      </c>
      <c r="H1142" t="s">
        <v>4826</v>
      </c>
      <c r="I1142" t="s">
        <v>5030</v>
      </c>
      <c r="J1142" s="4" t="s">
        <v>5031</v>
      </c>
      <c r="K1142" s="4" t="s">
        <v>4832</v>
      </c>
      <c r="L1142" s="4" t="s">
        <v>4946</v>
      </c>
      <c r="M1142" s="4" t="s">
        <v>5035</v>
      </c>
      <c r="N1142" t="s">
        <v>15</v>
      </c>
      <c r="O1142" t="s">
        <v>4250</v>
      </c>
      <c r="P1142" t="s">
        <v>23</v>
      </c>
      <c r="Q1142" t="s">
        <v>24</v>
      </c>
      <c r="R1142" t="s">
        <v>25</v>
      </c>
      <c r="S1142" t="s">
        <v>26</v>
      </c>
      <c r="T1142" s="6">
        <v>46307</v>
      </c>
      <c r="U1142">
        <v>180</v>
      </c>
      <c r="V1142">
        <v>180</v>
      </c>
      <c r="W1142">
        <v>192</v>
      </c>
      <c r="X1142">
        <v>192</v>
      </c>
      <c r="Y1142">
        <f t="shared" si="177"/>
        <v>0</v>
      </c>
      <c r="Z1142">
        <f t="shared" si="178"/>
        <v>-12</v>
      </c>
      <c r="AC1142" s="1">
        <v>0</v>
      </c>
      <c r="AF1142">
        <f t="shared" si="184"/>
        <v>180</v>
      </c>
      <c r="AG1142" s="7">
        <v>12</v>
      </c>
      <c r="AH1142">
        <f t="shared" si="179"/>
        <v>180</v>
      </c>
      <c r="AI1142">
        <f t="shared" si="176"/>
        <v>0</v>
      </c>
      <c r="AK1142">
        <f t="shared" si="180"/>
        <v>15</v>
      </c>
      <c r="AL1142">
        <v>12.02</v>
      </c>
      <c r="AM1142" t="s">
        <v>27</v>
      </c>
      <c r="AN1142">
        <v>12.02</v>
      </c>
      <c r="AO1142" t="b">
        <f t="shared" si="181"/>
        <v>1</v>
      </c>
      <c r="AR1142" t="s">
        <v>5061</v>
      </c>
      <c r="AS1142" s="21">
        <v>46276</v>
      </c>
      <c r="AT1142" t="s">
        <v>5062</v>
      </c>
      <c r="AU1142" t="s">
        <v>5085</v>
      </c>
      <c r="AV1142" t="s">
        <v>5089</v>
      </c>
      <c r="AW1142" t="s">
        <v>5090</v>
      </c>
    </row>
    <row r="1143" spans="1:49" x14ac:dyDescent="0.35">
      <c r="A1143" t="s">
        <v>4105</v>
      </c>
      <c r="B1143" t="s">
        <v>4106</v>
      </c>
      <c r="C1143" t="s">
        <v>4818</v>
      </c>
      <c r="D1143" t="s">
        <v>18</v>
      </c>
      <c r="E1143" t="s">
        <v>4251</v>
      </c>
      <c r="F1143" t="s">
        <v>4252</v>
      </c>
      <c r="G1143" t="s">
        <v>21</v>
      </c>
      <c r="H1143" t="s">
        <v>4826</v>
      </c>
      <c r="I1143" t="s">
        <v>5028</v>
      </c>
      <c r="J1143" s="4" t="s">
        <v>5029</v>
      </c>
      <c r="K1143" s="4" t="s">
        <v>4832</v>
      </c>
      <c r="L1143" s="4" t="s">
        <v>4940</v>
      </c>
      <c r="M1143" s="4" t="s">
        <v>5035</v>
      </c>
      <c r="N1143" t="s">
        <v>15</v>
      </c>
      <c r="O1143" t="s">
        <v>4253</v>
      </c>
      <c r="P1143" t="s">
        <v>23</v>
      </c>
      <c r="Q1143" t="s">
        <v>24</v>
      </c>
      <c r="R1143" t="s">
        <v>25</v>
      </c>
      <c r="S1143" t="s">
        <v>26</v>
      </c>
      <c r="T1143" s="6">
        <v>46307</v>
      </c>
      <c r="U1143">
        <v>24</v>
      </c>
      <c r="V1143">
        <v>24</v>
      </c>
      <c r="W1143">
        <v>24</v>
      </c>
      <c r="X1143">
        <v>24</v>
      </c>
      <c r="Y1143">
        <f t="shared" si="177"/>
        <v>0</v>
      </c>
      <c r="Z1143">
        <f t="shared" si="178"/>
        <v>0</v>
      </c>
      <c r="AC1143" s="1">
        <v>0</v>
      </c>
      <c r="AF1143">
        <f t="shared" si="184"/>
        <v>24</v>
      </c>
      <c r="AG1143" s="7">
        <v>12</v>
      </c>
      <c r="AH1143">
        <f t="shared" si="179"/>
        <v>24</v>
      </c>
      <c r="AI1143">
        <f t="shared" si="176"/>
        <v>0</v>
      </c>
      <c r="AK1143">
        <f t="shared" si="180"/>
        <v>2</v>
      </c>
      <c r="AL1143">
        <v>12.09</v>
      </c>
      <c r="AM1143" t="s">
        <v>27</v>
      </c>
      <c r="AN1143">
        <v>12.09</v>
      </c>
      <c r="AO1143" t="b">
        <f t="shared" si="181"/>
        <v>1</v>
      </c>
      <c r="AR1143" t="s">
        <v>5061</v>
      </c>
      <c r="AS1143" s="21">
        <v>46276</v>
      </c>
      <c r="AT1143" t="s">
        <v>5062</v>
      </c>
      <c r="AU1143" t="s">
        <v>5084</v>
      </c>
      <c r="AV1143" t="s">
        <v>5089</v>
      </c>
      <c r="AW1143" t="s">
        <v>5090</v>
      </c>
    </row>
    <row r="1144" spans="1:49" x14ac:dyDescent="0.35">
      <c r="A1144" t="s">
        <v>4105</v>
      </c>
      <c r="B1144" t="s">
        <v>4106</v>
      </c>
      <c r="C1144" t="s">
        <v>4818</v>
      </c>
      <c r="D1144" t="s">
        <v>18</v>
      </c>
      <c r="E1144" t="s">
        <v>4254</v>
      </c>
      <c r="F1144" t="s">
        <v>4255</v>
      </c>
      <c r="G1144" t="s">
        <v>21</v>
      </c>
      <c r="H1144" t="s">
        <v>4826</v>
      </c>
      <c r="I1144" t="s">
        <v>5028</v>
      </c>
      <c r="J1144" s="4" t="s">
        <v>5029</v>
      </c>
      <c r="K1144" s="4" t="s">
        <v>4845</v>
      </c>
      <c r="L1144" s="4" t="s">
        <v>4952</v>
      </c>
      <c r="M1144" s="4" t="s">
        <v>5035</v>
      </c>
      <c r="N1144" t="s">
        <v>15</v>
      </c>
      <c r="O1144" t="s">
        <v>4256</v>
      </c>
      <c r="P1144" t="s">
        <v>23</v>
      </c>
      <c r="Q1144" t="s">
        <v>24</v>
      </c>
      <c r="R1144" t="s">
        <v>25</v>
      </c>
      <c r="S1144" t="s">
        <v>26</v>
      </c>
      <c r="T1144" s="6">
        <v>46307</v>
      </c>
      <c r="U1144">
        <v>36</v>
      </c>
      <c r="V1144">
        <v>36</v>
      </c>
      <c r="W1144">
        <v>36</v>
      </c>
      <c r="X1144">
        <v>36</v>
      </c>
      <c r="Y1144">
        <f t="shared" si="177"/>
        <v>0</v>
      </c>
      <c r="Z1144">
        <f t="shared" si="178"/>
        <v>0</v>
      </c>
      <c r="AC1144" s="1">
        <v>0</v>
      </c>
      <c r="AF1144">
        <f t="shared" si="184"/>
        <v>36</v>
      </c>
      <c r="AG1144" s="7">
        <v>12</v>
      </c>
      <c r="AH1144">
        <f t="shared" si="179"/>
        <v>36</v>
      </c>
      <c r="AI1144">
        <f t="shared" si="176"/>
        <v>0</v>
      </c>
      <c r="AK1144">
        <f t="shared" si="180"/>
        <v>3</v>
      </c>
      <c r="AL1144">
        <v>12.09</v>
      </c>
      <c r="AM1144" t="s">
        <v>27</v>
      </c>
      <c r="AN1144">
        <v>12.09</v>
      </c>
      <c r="AO1144" t="b">
        <f t="shared" si="181"/>
        <v>1</v>
      </c>
      <c r="AR1144" t="s">
        <v>5061</v>
      </c>
      <c r="AS1144" s="21">
        <v>46276</v>
      </c>
      <c r="AT1144" t="s">
        <v>5062</v>
      </c>
      <c r="AU1144" t="s">
        <v>5084</v>
      </c>
      <c r="AV1144" t="s">
        <v>5089</v>
      </c>
      <c r="AW1144" t="s">
        <v>5090</v>
      </c>
    </row>
    <row r="1145" spans="1:49" x14ac:dyDescent="0.35">
      <c r="A1145" t="s">
        <v>4105</v>
      </c>
      <c r="B1145" t="s">
        <v>4106</v>
      </c>
      <c r="C1145" t="s">
        <v>4818</v>
      </c>
      <c r="D1145" t="s">
        <v>18</v>
      </c>
      <c r="E1145" t="s">
        <v>4257</v>
      </c>
      <c r="F1145" t="s">
        <v>4258</v>
      </c>
      <c r="G1145" t="s">
        <v>21</v>
      </c>
      <c r="H1145" t="s">
        <v>4826</v>
      </c>
      <c r="I1145" t="s">
        <v>5030</v>
      </c>
      <c r="J1145" s="4" t="s">
        <v>5031</v>
      </c>
      <c r="K1145" s="4" t="s">
        <v>5033</v>
      </c>
      <c r="L1145" s="4" t="s">
        <v>4939</v>
      </c>
      <c r="M1145" s="4" t="s">
        <v>5035</v>
      </c>
      <c r="N1145" t="s">
        <v>15</v>
      </c>
      <c r="O1145" t="s">
        <v>4259</v>
      </c>
      <c r="P1145" t="s">
        <v>23</v>
      </c>
      <c r="Q1145" t="s">
        <v>24</v>
      </c>
      <c r="R1145" t="s">
        <v>25</v>
      </c>
      <c r="S1145" t="s">
        <v>26</v>
      </c>
      <c r="T1145" s="6">
        <v>46307</v>
      </c>
      <c r="U1145">
        <v>60</v>
      </c>
      <c r="V1145">
        <v>60</v>
      </c>
      <c r="W1145">
        <v>72</v>
      </c>
      <c r="X1145">
        <v>72</v>
      </c>
      <c r="Y1145">
        <f t="shared" si="177"/>
        <v>0</v>
      </c>
      <c r="Z1145">
        <f t="shared" si="178"/>
        <v>-12</v>
      </c>
      <c r="AC1145" s="1">
        <v>0</v>
      </c>
      <c r="AF1145">
        <f t="shared" si="184"/>
        <v>60</v>
      </c>
      <c r="AG1145" s="7">
        <v>12</v>
      </c>
      <c r="AH1145">
        <f t="shared" si="179"/>
        <v>60</v>
      </c>
      <c r="AI1145">
        <f t="shared" si="176"/>
        <v>0</v>
      </c>
      <c r="AK1145">
        <f t="shared" si="180"/>
        <v>5</v>
      </c>
      <c r="AL1145">
        <v>12.02</v>
      </c>
      <c r="AM1145" t="s">
        <v>27</v>
      </c>
      <c r="AN1145">
        <v>12.02</v>
      </c>
      <c r="AO1145" t="b">
        <f t="shared" si="181"/>
        <v>1</v>
      </c>
      <c r="AR1145" t="s">
        <v>5061</v>
      </c>
      <c r="AS1145" s="21">
        <v>46276</v>
      </c>
      <c r="AT1145" t="s">
        <v>5062</v>
      </c>
      <c r="AU1145" t="s">
        <v>5085</v>
      </c>
      <c r="AV1145" t="s">
        <v>5089</v>
      </c>
      <c r="AW1145" t="s">
        <v>5090</v>
      </c>
    </row>
    <row r="1146" spans="1:49" x14ac:dyDescent="0.35">
      <c r="A1146" t="s">
        <v>4105</v>
      </c>
      <c r="B1146" t="s">
        <v>4106</v>
      </c>
      <c r="C1146" t="s">
        <v>4818</v>
      </c>
      <c r="D1146" t="s">
        <v>18</v>
      </c>
      <c r="E1146" t="s">
        <v>4260</v>
      </c>
      <c r="F1146" t="s">
        <v>4261</v>
      </c>
      <c r="G1146" t="s">
        <v>21</v>
      </c>
      <c r="H1146" t="s">
        <v>4826</v>
      </c>
      <c r="I1146" t="s">
        <v>5028</v>
      </c>
      <c r="J1146" s="4" t="s">
        <v>5029</v>
      </c>
      <c r="K1146" s="4" t="s">
        <v>4845</v>
      </c>
      <c r="L1146" s="4" t="s">
        <v>4971</v>
      </c>
      <c r="M1146" s="4" t="s">
        <v>5035</v>
      </c>
      <c r="N1146" t="s">
        <v>15</v>
      </c>
      <c r="O1146" t="s">
        <v>4262</v>
      </c>
      <c r="P1146" t="s">
        <v>23</v>
      </c>
      <c r="Q1146" t="s">
        <v>24</v>
      </c>
      <c r="R1146" t="s">
        <v>25</v>
      </c>
      <c r="S1146" t="s">
        <v>26</v>
      </c>
      <c r="T1146" s="6">
        <v>46307</v>
      </c>
      <c r="U1146">
        <v>168</v>
      </c>
      <c r="V1146">
        <v>168</v>
      </c>
      <c r="W1146">
        <v>180</v>
      </c>
      <c r="X1146">
        <v>180</v>
      </c>
      <c r="Y1146">
        <f t="shared" si="177"/>
        <v>0</v>
      </c>
      <c r="Z1146">
        <f t="shared" si="178"/>
        <v>-12</v>
      </c>
      <c r="AC1146" s="1"/>
      <c r="AF1146">
        <f t="shared" si="184"/>
        <v>168</v>
      </c>
      <c r="AG1146" s="7">
        <v>12</v>
      </c>
      <c r="AH1146">
        <f t="shared" si="179"/>
        <v>168</v>
      </c>
      <c r="AI1146">
        <f t="shared" si="176"/>
        <v>0</v>
      </c>
      <c r="AK1146">
        <f t="shared" si="180"/>
        <v>14</v>
      </c>
      <c r="AL1146">
        <v>12.09</v>
      </c>
      <c r="AM1146" t="s">
        <v>27</v>
      </c>
      <c r="AN1146">
        <v>12.09</v>
      </c>
      <c r="AO1146" t="b">
        <f t="shared" si="181"/>
        <v>1</v>
      </c>
      <c r="AR1146" t="s">
        <v>5061</v>
      </c>
      <c r="AS1146" s="21">
        <v>46276</v>
      </c>
      <c r="AT1146" t="s">
        <v>5062</v>
      </c>
      <c r="AU1146" t="s">
        <v>5084</v>
      </c>
      <c r="AV1146" t="s">
        <v>5089</v>
      </c>
      <c r="AW1146" t="s">
        <v>5090</v>
      </c>
    </row>
    <row r="1147" spans="1:49" x14ac:dyDescent="0.35">
      <c r="A1147" t="s">
        <v>4105</v>
      </c>
      <c r="B1147" t="s">
        <v>4106</v>
      </c>
      <c r="C1147" t="s">
        <v>4818</v>
      </c>
      <c r="D1147" t="s">
        <v>18</v>
      </c>
      <c r="E1147" t="s">
        <v>4263</v>
      </c>
      <c r="F1147" t="s">
        <v>4264</v>
      </c>
      <c r="G1147" t="s">
        <v>21</v>
      </c>
      <c r="H1147" t="s">
        <v>4826</v>
      </c>
      <c r="I1147" t="s">
        <v>5028</v>
      </c>
      <c r="J1147" s="4" t="s">
        <v>5029</v>
      </c>
      <c r="K1147" s="4" t="s">
        <v>4832</v>
      </c>
      <c r="L1147" s="4" t="s">
        <v>4971</v>
      </c>
      <c r="M1147" s="4" t="s">
        <v>5035</v>
      </c>
      <c r="N1147" t="s">
        <v>15</v>
      </c>
      <c r="O1147" t="s">
        <v>4265</v>
      </c>
      <c r="P1147" t="s">
        <v>23</v>
      </c>
      <c r="Q1147" t="s">
        <v>24</v>
      </c>
      <c r="R1147" t="s">
        <v>25</v>
      </c>
      <c r="S1147" t="s">
        <v>26</v>
      </c>
      <c r="T1147" s="6">
        <v>46307</v>
      </c>
      <c r="U1147">
        <v>24</v>
      </c>
      <c r="V1147">
        <v>24</v>
      </c>
      <c r="W1147">
        <v>24</v>
      </c>
      <c r="X1147">
        <v>24</v>
      </c>
      <c r="Y1147">
        <f t="shared" si="177"/>
        <v>0</v>
      </c>
      <c r="Z1147">
        <f t="shared" si="178"/>
        <v>0</v>
      </c>
      <c r="AC1147" s="1">
        <v>0</v>
      </c>
      <c r="AF1147">
        <f t="shared" si="184"/>
        <v>24</v>
      </c>
      <c r="AG1147" s="7">
        <v>12</v>
      </c>
      <c r="AH1147">
        <f t="shared" si="179"/>
        <v>24</v>
      </c>
      <c r="AI1147">
        <f t="shared" si="176"/>
        <v>0</v>
      </c>
      <c r="AK1147">
        <f t="shared" si="180"/>
        <v>2</v>
      </c>
      <c r="AL1147">
        <v>12.09</v>
      </c>
      <c r="AM1147" t="s">
        <v>27</v>
      </c>
      <c r="AN1147">
        <v>12.09</v>
      </c>
      <c r="AO1147" t="b">
        <f t="shared" si="181"/>
        <v>1</v>
      </c>
      <c r="AR1147" t="s">
        <v>5061</v>
      </c>
      <c r="AS1147" s="21">
        <v>46276</v>
      </c>
      <c r="AT1147" t="s">
        <v>5062</v>
      </c>
      <c r="AU1147" t="s">
        <v>5084</v>
      </c>
      <c r="AV1147" t="s">
        <v>5089</v>
      </c>
      <c r="AW1147" t="s">
        <v>5090</v>
      </c>
    </row>
    <row r="1148" spans="1:49" x14ac:dyDescent="0.35">
      <c r="A1148" t="s">
        <v>4105</v>
      </c>
      <c r="B1148" t="s">
        <v>4106</v>
      </c>
      <c r="C1148" t="s">
        <v>4818</v>
      </c>
      <c r="D1148" t="s">
        <v>18</v>
      </c>
      <c r="E1148" t="s">
        <v>4266</v>
      </c>
      <c r="F1148" t="s">
        <v>4267</v>
      </c>
      <c r="G1148" t="s">
        <v>21</v>
      </c>
      <c r="H1148" t="s">
        <v>4826</v>
      </c>
      <c r="I1148" t="s">
        <v>5030</v>
      </c>
      <c r="J1148" s="4" t="s">
        <v>5031</v>
      </c>
      <c r="K1148" s="4" t="s">
        <v>4845</v>
      </c>
      <c r="L1148" s="4" t="s">
        <v>4968</v>
      </c>
      <c r="M1148" s="4" t="s">
        <v>5035</v>
      </c>
      <c r="N1148" t="s">
        <v>15</v>
      </c>
      <c r="O1148" t="s">
        <v>4268</v>
      </c>
      <c r="P1148" t="s">
        <v>23</v>
      </c>
      <c r="Q1148" t="s">
        <v>24</v>
      </c>
      <c r="R1148" t="s">
        <v>25</v>
      </c>
      <c r="S1148" t="s">
        <v>26</v>
      </c>
      <c r="T1148" s="6">
        <v>46307</v>
      </c>
      <c r="U1148">
        <v>60</v>
      </c>
      <c r="V1148">
        <v>60</v>
      </c>
      <c r="W1148">
        <v>72</v>
      </c>
      <c r="X1148">
        <v>72</v>
      </c>
      <c r="Y1148">
        <f t="shared" si="177"/>
        <v>0</v>
      </c>
      <c r="Z1148">
        <f t="shared" si="178"/>
        <v>-12</v>
      </c>
      <c r="AC1148" s="1">
        <v>0</v>
      </c>
      <c r="AF1148">
        <f t="shared" si="184"/>
        <v>60</v>
      </c>
      <c r="AG1148" s="7">
        <v>12</v>
      </c>
      <c r="AH1148">
        <f t="shared" si="179"/>
        <v>60</v>
      </c>
      <c r="AI1148">
        <f t="shared" si="176"/>
        <v>0</v>
      </c>
      <c r="AK1148">
        <f t="shared" si="180"/>
        <v>5</v>
      </c>
      <c r="AL1148">
        <v>12.02</v>
      </c>
      <c r="AM1148" t="s">
        <v>27</v>
      </c>
      <c r="AN1148">
        <v>12.02</v>
      </c>
      <c r="AO1148" t="b">
        <f t="shared" si="181"/>
        <v>1</v>
      </c>
      <c r="AR1148" t="s">
        <v>5061</v>
      </c>
      <c r="AS1148" s="21">
        <v>46276</v>
      </c>
      <c r="AT1148" t="s">
        <v>5062</v>
      </c>
      <c r="AU1148" t="s">
        <v>5085</v>
      </c>
      <c r="AV1148" t="s">
        <v>5089</v>
      </c>
      <c r="AW1148" t="s">
        <v>5090</v>
      </c>
    </row>
    <row r="1149" spans="1:49" x14ac:dyDescent="0.35">
      <c r="A1149" t="s">
        <v>4105</v>
      </c>
      <c r="B1149" t="s">
        <v>4106</v>
      </c>
      <c r="C1149" t="s">
        <v>4818</v>
      </c>
      <c r="D1149" t="s">
        <v>18</v>
      </c>
      <c r="E1149" t="s">
        <v>4269</v>
      </c>
      <c r="F1149" t="s">
        <v>4270</v>
      </c>
      <c r="G1149" t="s">
        <v>21</v>
      </c>
      <c r="H1149" t="s">
        <v>4826</v>
      </c>
      <c r="I1149" t="s">
        <v>5028</v>
      </c>
      <c r="J1149" s="4" t="s">
        <v>5029</v>
      </c>
      <c r="K1149" s="4" t="s">
        <v>4832</v>
      </c>
      <c r="L1149" s="4" t="s">
        <v>4958</v>
      </c>
      <c r="M1149" s="4" t="s">
        <v>5035</v>
      </c>
      <c r="N1149" t="s">
        <v>15</v>
      </c>
      <c r="O1149" t="s">
        <v>4271</v>
      </c>
      <c r="P1149" t="s">
        <v>23</v>
      </c>
      <c r="Q1149" t="s">
        <v>24</v>
      </c>
      <c r="R1149" t="s">
        <v>25</v>
      </c>
      <c r="S1149" t="s">
        <v>26</v>
      </c>
      <c r="T1149" s="6">
        <v>46307</v>
      </c>
      <c r="U1149">
        <v>36</v>
      </c>
      <c r="V1149">
        <v>36</v>
      </c>
      <c r="W1149">
        <v>36</v>
      </c>
      <c r="X1149">
        <v>36</v>
      </c>
      <c r="Y1149">
        <f t="shared" si="177"/>
        <v>0</v>
      </c>
      <c r="Z1149">
        <f t="shared" si="178"/>
        <v>0</v>
      </c>
      <c r="AC1149" s="1">
        <v>0</v>
      </c>
      <c r="AF1149">
        <f t="shared" si="184"/>
        <v>36</v>
      </c>
      <c r="AG1149" s="7">
        <v>12</v>
      </c>
      <c r="AH1149">
        <f t="shared" si="179"/>
        <v>36</v>
      </c>
      <c r="AI1149">
        <f t="shared" si="176"/>
        <v>0</v>
      </c>
      <c r="AK1149">
        <f t="shared" si="180"/>
        <v>3</v>
      </c>
      <c r="AL1149">
        <v>12.09</v>
      </c>
      <c r="AM1149" t="s">
        <v>27</v>
      </c>
      <c r="AN1149">
        <v>12.09</v>
      </c>
      <c r="AO1149" t="b">
        <f t="shared" si="181"/>
        <v>1</v>
      </c>
      <c r="AR1149" t="s">
        <v>5061</v>
      </c>
      <c r="AS1149" s="21">
        <v>46276</v>
      </c>
      <c r="AT1149" t="s">
        <v>5062</v>
      </c>
      <c r="AU1149" t="s">
        <v>5084</v>
      </c>
      <c r="AV1149" t="s">
        <v>5089</v>
      </c>
      <c r="AW1149" t="s">
        <v>5090</v>
      </c>
    </row>
    <row r="1150" spans="1:49" x14ac:dyDescent="0.35">
      <c r="A1150" t="s">
        <v>4105</v>
      </c>
      <c r="B1150" t="s">
        <v>4106</v>
      </c>
      <c r="C1150" t="s">
        <v>4818</v>
      </c>
      <c r="D1150" t="s">
        <v>18</v>
      </c>
      <c r="E1150" t="s">
        <v>4272</v>
      </c>
      <c r="F1150" t="s">
        <v>4273</v>
      </c>
      <c r="G1150" t="s">
        <v>21</v>
      </c>
      <c r="H1150" t="s">
        <v>4826</v>
      </c>
      <c r="I1150" t="s">
        <v>5028</v>
      </c>
      <c r="J1150" s="4" t="s">
        <v>5029</v>
      </c>
      <c r="K1150" s="4" t="s">
        <v>4845</v>
      </c>
      <c r="L1150" s="4" t="s">
        <v>4972</v>
      </c>
      <c r="M1150" s="4" t="s">
        <v>5035</v>
      </c>
      <c r="N1150" t="s">
        <v>15</v>
      </c>
      <c r="O1150" t="s">
        <v>4274</v>
      </c>
      <c r="P1150" t="s">
        <v>23</v>
      </c>
      <c r="Q1150" t="s">
        <v>24</v>
      </c>
      <c r="R1150" t="s">
        <v>25</v>
      </c>
      <c r="S1150" t="s">
        <v>26</v>
      </c>
      <c r="T1150" s="6">
        <v>46307</v>
      </c>
      <c r="U1150">
        <v>120</v>
      </c>
      <c r="V1150">
        <v>120</v>
      </c>
      <c r="W1150">
        <v>132</v>
      </c>
      <c r="X1150">
        <v>132</v>
      </c>
      <c r="Y1150">
        <f t="shared" si="177"/>
        <v>0</v>
      </c>
      <c r="Z1150">
        <f t="shared" si="178"/>
        <v>-12</v>
      </c>
      <c r="AC1150" s="1">
        <v>0</v>
      </c>
      <c r="AF1150">
        <f t="shared" si="184"/>
        <v>120</v>
      </c>
      <c r="AG1150" s="7">
        <v>12</v>
      </c>
      <c r="AH1150">
        <f t="shared" si="179"/>
        <v>120</v>
      </c>
      <c r="AI1150">
        <f t="shared" si="176"/>
        <v>0</v>
      </c>
      <c r="AK1150">
        <f t="shared" si="180"/>
        <v>10</v>
      </c>
      <c r="AL1150">
        <v>12.09</v>
      </c>
      <c r="AM1150" t="s">
        <v>27</v>
      </c>
      <c r="AN1150">
        <v>12.09</v>
      </c>
      <c r="AO1150" t="b">
        <f t="shared" si="181"/>
        <v>1</v>
      </c>
      <c r="AR1150" t="s">
        <v>5061</v>
      </c>
      <c r="AS1150" s="21">
        <v>46276</v>
      </c>
      <c r="AT1150" t="s">
        <v>5062</v>
      </c>
      <c r="AU1150" t="s">
        <v>5084</v>
      </c>
      <c r="AV1150" t="s">
        <v>5089</v>
      </c>
      <c r="AW1150" t="s">
        <v>5090</v>
      </c>
    </row>
    <row r="1151" spans="1:49" x14ac:dyDescent="0.35">
      <c r="A1151" t="s">
        <v>4105</v>
      </c>
      <c r="B1151" t="s">
        <v>4106</v>
      </c>
      <c r="C1151" t="s">
        <v>4818</v>
      </c>
      <c r="D1151" t="s">
        <v>18</v>
      </c>
      <c r="E1151" t="s">
        <v>4275</v>
      </c>
      <c r="F1151" t="s">
        <v>4276</v>
      </c>
      <c r="G1151" t="s">
        <v>21</v>
      </c>
      <c r="H1151" t="s">
        <v>4826</v>
      </c>
      <c r="I1151" t="s">
        <v>5030</v>
      </c>
      <c r="J1151" s="4" t="s">
        <v>5031</v>
      </c>
      <c r="K1151" s="4" t="s">
        <v>4837</v>
      </c>
      <c r="L1151" s="4" t="s">
        <v>4969</v>
      </c>
      <c r="M1151" s="4" t="s">
        <v>5035</v>
      </c>
      <c r="N1151" t="s">
        <v>15</v>
      </c>
      <c r="O1151" t="s">
        <v>4277</v>
      </c>
      <c r="P1151" t="s">
        <v>23</v>
      </c>
      <c r="Q1151" t="s">
        <v>24</v>
      </c>
      <c r="R1151" t="s">
        <v>25</v>
      </c>
      <c r="S1151" t="s">
        <v>26</v>
      </c>
      <c r="T1151" s="6">
        <v>46307</v>
      </c>
      <c r="U1151">
        <v>36</v>
      </c>
      <c r="V1151">
        <v>36</v>
      </c>
      <c r="W1151">
        <v>36</v>
      </c>
      <c r="X1151">
        <v>36</v>
      </c>
      <c r="Y1151">
        <f t="shared" si="177"/>
        <v>0</v>
      </c>
      <c r="Z1151">
        <f t="shared" si="178"/>
        <v>0</v>
      </c>
      <c r="AC1151" s="1">
        <v>0</v>
      </c>
      <c r="AF1151">
        <f t="shared" si="184"/>
        <v>36</v>
      </c>
      <c r="AG1151" s="7">
        <v>12</v>
      </c>
      <c r="AH1151">
        <f t="shared" si="179"/>
        <v>36</v>
      </c>
      <c r="AI1151">
        <f t="shared" si="176"/>
        <v>0</v>
      </c>
      <c r="AK1151">
        <f t="shared" si="180"/>
        <v>3</v>
      </c>
      <c r="AL1151">
        <v>12.02</v>
      </c>
      <c r="AM1151" t="s">
        <v>27</v>
      </c>
      <c r="AN1151">
        <v>12.02</v>
      </c>
      <c r="AO1151" t="b">
        <f t="shared" si="181"/>
        <v>1</v>
      </c>
      <c r="AR1151" t="s">
        <v>5061</v>
      </c>
      <c r="AS1151" s="21">
        <v>46276</v>
      </c>
      <c r="AT1151" t="s">
        <v>5062</v>
      </c>
      <c r="AU1151" t="s">
        <v>5085</v>
      </c>
      <c r="AV1151" t="s">
        <v>5089</v>
      </c>
      <c r="AW1151" t="s">
        <v>5090</v>
      </c>
    </row>
    <row r="1152" spans="1:49" x14ac:dyDescent="0.35">
      <c r="A1152" t="s">
        <v>4105</v>
      </c>
      <c r="B1152" t="s">
        <v>4106</v>
      </c>
      <c r="C1152" t="s">
        <v>4818</v>
      </c>
      <c r="D1152" t="s">
        <v>18</v>
      </c>
      <c r="E1152" t="s">
        <v>4278</v>
      </c>
      <c r="F1152" t="s">
        <v>4279</v>
      </c>
      <c r="G1152" t="s">
        <v>21</v>
      </c>
      <c r="H1152" t="s">
        <v>4826</v>
      </c>
      <c r="I1152" t="s">
        <v>5030</v>
      </c>
      <c r="J1152" s="4" t="s">
        <v>5031</v>
      </c>
      <c r="K1152" s="4" t="s">
        <v>5033</v>
      </c>
      <c r="L1152" s="4" t="s">
        <v>4963</v>
      </c>
      <c r="M1152" s="4" t="s">
        <v>5035</v>
      </c>
      <c r="N1152" t="s">
        <v>15</v>
      </c>
      <c r="O1152" t="s">
        <v>4280</v>
      </c>
      <c r="P1152" t="s">
        <v>23</v>
      </c>
      <c r="Q1152" t="s">
        <v>24</v>
      </c>
      <c r="R1152" t="s">
        <v>25</v>
      </c>
      <c r="S1152" t="s">
        <v>26</v>
      </c>
      <c r="T1152" s="6">
        <v>46307</v>
      </c>
      <c r="U1152">
        <v>72</v>
      </c>
      <c r="V1152">
        <v>72</v>
      </c>
      <c r="W1152">
        <v>60</v>
      </c>
      <c r="X1152">
        <v>60</v>
      </c>
      <c r="Y1152">
        <f t="shared" si="177"/>
        <v>0</v>
      </c>
      <c r="Z1152">
        <f t="shared" si="178"/>
        <v>12</v>
      </c>
      <c r="AA1152">
        <f>Z1152</f>
        <v>12</v>
      </c>
      <c r="AC1152" s="1">
        <v>0</v>
      </c>
      <c r="AF1152">
        <f>X1152</f>
        <v>60</v>
      </c>
      <c r="AG1152" s="7">
        <v>12</v>
      </c>
      <c r="AH1152">
        <f t="shared" si="179"/>
        <v>60</v>
      </c>
      <c r="AI1152">
        <f t="shared" si="176"/>
        <v>12</v>
      </c>
      <c r="AK1152">
        <f t="shared" si="180"/>
        <v>5</v>
      </c>
      <c r="AL1152">
        <v>12.02</v>
      </c>
      <c r="AM1152" t="s">
        <v>27</v>
      </c>
      <c r="AN1152">
        <v>12.02</v>
      </c>
      <c r="AO1152" t="b">
        <f t="shared" si="181"/>
        <v>1</v>
      </c>
      <c r="AR1152" t="s">
        <v>5061</v>
      </c>
      <c r="AS1152" s="21">
        <v>46276</v>
      </c>
      <c r="AT1152" t="s">
        <v>5062</v>
      </c>
      <c r="AU1152" t="s">
        <v>5085</v>
      </c>
      <c r="AV1152" t="s">
        <v>5089</v>
      </c>
      <c r="AW1152" t="s">
        <v>5090</v>
      </c>
    </row>
    <row r="1153" spans="1:49" x14ac:dyDescent="0.35">
      <c r="A1153" t="s">
        <v>4105</v>
      </c>
      <c r="B1153" t="s">
        <v>4106</v>
      </c>
      <c r="C1153" t="s">
        <v>4818</v>
      </c>
      <c r="D1153" t="s">
        <v>18</v>
      </c>
      <c r="E1153" t="s">
        <v>4281</v>
      </c>
      <c r="F1153" t="s">
        <v>4282</v>
      </c>
      <c r="G1153" t="s">
        <v>21</v>
      </c>
      <c r="H1153" t="s">
        <v>4826</v>
      </c>
      <c r="I1153" t="s">
        <v>5030</v>
      </c>
      <c r="J1153" s="4" t="s">
        <v>5031</v>
      </c>
      <c r="K1153" s="4" t="s">
        <v>4832</v>
      </c>
      <c r="L1153" s="4" t="s">
        <v>4938</v>
      </c>
      <c r="M1153" s="4" t="s">
        <v>5035</v>
      </c>
      <c r="N1153" t="s">
        <v>15</v>
      </c>
      <c r="O1153" t="s">
        <v>4283</v>
      </c>
      <c r="P1153" t="s">
        <v>23</v>
      </c>
      <c r="Q1153" t="s">
        <v>24</v>
      </c>
      <c r="R1153" t="s">
        <v>25</v>
      </c>
      <c r="S1153" t="s">
        <v>26</v>
      </c>
      <c r="T1153" s="6">
        <v>46307</v>
      </c>
      <c r="U1153">
        <v>180</v>
      </c>
      <c r="V1153">
        <v>180</v>
      </c>
      <c r="W1153">
        <v>192</v>
      </c>
      <c r="X1153">
        <v>192</v>
      </c>
      <c r="Y1153">
        <f t="shared" si="177"/>
        <v>0</v>
      </c>
      <c r="Z1153">
        <f t="shared" si="178"/>
        <v>-12</v>
      </c>
      <c r="AC1153" s="1">
        <v>0</v>
      </c>
      <c r="AF1153">
        <f>V1153</f>
        <v>180</v>
      </c>
      <c r="AG1153" s="7">
        <v>12</v>
      </c>
      <c r="AH1153">
        <f t="shared" si="179"/>
        <v>180</v>
      </c>
      <c r="AI1153">
        <f t="shared" si="176"/>
        <v>0</v>
      </c>
      <c r="AK1153">
        <f t="shared" si="180"/>
        <v>15</v>
      </c>
      <c r="AL1153">
        <v>12.02</v>
      </c>
      <c r="AM1153" t="s">
        <v>27</v>
      </c>
      <c r="AN1153">
        <v>12.02</v>
      </c>
      <c r="AO1153" t="b">
        <f t="shared" si="181"/>
        <v>1</v>
      </c>
      <c r="AR1153" t="s">
        <v>5061</v>
      </c>
      <c r="AS1153" s="21">
        <v>46276</v>
      </c>
      <c r="AT1153" t="s">
        <v>5062</v>
      </c>
      <c r="AU1153" t="s">
        <v>5085</v>
      </c>
      <c r="AV1153" t="s">
        <v>5089</v>
      </c>
      <c r="AW1153" t="s">
        <v>5090</v>
      </c>
    </row>
    <row r="1154" spans="1:49" x14ac:dyDescent="0.35">
      <c r="A1154" t="s">
        <v>4105</v>
      </c>
      <c r="B1154" t="s">
        <v>4106</v>
      </c>
      <c r="C1154" t="s">
        <v>4818</v>
      </c>
      <c r="D1154" t="s">
        <v>18</v>
      </c>
      <c r="E1154" t="s">
        <v>4284</v>
      </c>
      <c r="F1154" t="s">
        <v>4285</v>
      </c>
      <c r="G1154" t="s">
        <v>21</v>
      </c>
      <c r="H1154" t="s">
        <v>4826</v>
      </c>
      <c r="I1154" t="s">
        <v>5030</v>
      </c>
      <c r="J1154" s="4" t="s">
        <v>5031</v>
      </c>
      <c r="K1154" s="4" t="s">
        <v>4837</v>
      </c>
      <c r="L1154" s="4" t="s">
        <v>4956</v>
      </c>
      <c r="M1154" s="4" t="s">
        <v>5035</v>
      </c>
      <c r="N1154" t="s">
        <v>15</v>
      </c>
      <c r="O1154" t="s">
        <v>4286</v>
      </c>
      <c r="P1154" t="s">
        <v>23</v>
      </c>
      <c r="Q1154" t="s">
        <v>24</v>
      </c>
      <c r="R1154" t="s">
        <v>25</v>
      </c>
      <c r="S1154" t="s">
        <v>26</v>
      </c>
      <c r="T1154" s="6">
        <v>46307</v>
      </c>
      <c r="U1154">
        <v>72</v>
      </c>
      <c r="V1154">
        <v>72</v>
      </c>
      <c r="W1154">
        <v>72</v>
      </c>
      <c r="X1154">
        <v>72</v>
      </c>
      <c r="Y1154">
        <f t="shared" si="177"/>
        <v>0</v>
      </c>
      <c r="Z1154">
        <f t="shared" si="178"/>
        <v>0</v>
      </c>
      <c r="AC1154" s="1">
        <v>0</v>
      </c>
      <c r="AF1154">
        <f>V1154</f>
        <v>72</v>
      </c>
      <c r="AG1154" s="7">
        <v>12</v>
      </c>
      <c r="AH1154">
        <f t="shared" si="179"/>
        <v>72</v>
      </c>
      <c r="AI1154">
        <f t="shared" si="176"/>
        <v>0</v>
      </c>
      <c r="AK1154">
        <f t="shared" si="180"/>
        <v>6</v>
      </c>
      <c r="AL1154">
        <v>12.02</v>
      </c>
      <c r="AM1154" t="s">
        <v>27</v>
      </c>
      <c r="AN1154">
        <v>12.02</v>
      </c>
      <c r="AO1154" t="b">
        <f t="shared" si="181"/>
        <v>1</v>
      </c>
      <c r="AR1154" t="s">
        <v>5061</v>
      </c>
      <c r="AS1154" s="21">
        <v>46276</v>
      </c>
      <c r="AT1154" t="s">
        <v>5062</v>
      </c>
      <c r="AU1154" t="s">
        <v>5085</v>
      </c>
      <c r="AV1154" t="s">
        <v>5089</v>
      </c>
      <c r="AW1154" t="s">
        <v>5090</v>
      </c>
    </row>
    <row r="1155" spans="1:49" x14ac:dyDescent="0.35">
      <c r="A1155" t="s">
        <v>4105</v>
      </c>
      <c r="B1155" t="s">
        <v>4106</v>
      </c>
      <c r="C1155" t="s">
        <v>4818</v>
      </c>
      <c r="D1155" t="s">
        <v>18</v>
      </c>
      <c r="E1155" t="s">
        <v>4287</v>
      </c>
      <c r="F1155" t="s">
        <v>4288</v>
      </c>
      <c r="G1155" t="s">
        <v>21</v>
      </c>
      <c r="H1155" t="s">
        <v>4826</v>
      </c>
      <c r="I1155" t="s">
        <v>5030</v>
      </c>
      <c r="J1155" s="4" t="s">
        <v>5031</v>
      </c>
      <c r="K1155" s="4" t="s">
        <v>4832</v>
      </c>
      <c r="L1155" s="4" t="s">
        <v>4961</v>
      </c>
      <c r="M1155" s="4" t="s">
        <v>5035</v>
      </c>
      <c r="N1155" t="s">
        <v>15</v>
      </c>
      <c r="O1155" t="s">
        <v>4289</v>
      </c>
      <c r="P1155" t="s">
        <v>23</v>
      </c>
      <c r="Q1155" t="s">
        <v>24</v>
      </c>
      <c r="R1155" t="s">
        <v>25</v>
      </c>
      <c r="S1155" t="s">
        <v>26</v>
      </c>
      <c r="T1155" s="6">
        <v>46307</v>
      </c>
      <c r="U1155">
        <v>96</v>
      </c>
      <c r="V1155">
        <v>96</v>
      </c>
      <c r="W1155">
        <v>108</v>
      </c>
      <c r="X1155">
        <v>108</v>
      </c>
      <c r="Y1155">
        <f t="shared" si="177"/>
        <v>0</v>
      </c>
      <c r="Z1155">
        <f t="shared" si="178"/>
        <v>-12</v>
      </c>
      <c r="AC1155" s="1">
        <v>0</v>
      </c>
      <c r="AF1155">
        <f>V1155</f>
        <v>96</v>
      </c>
      <c r="AG1155" s="7">
        <v>12</v>
      </c>
      <c r="AH1155">
        <f t="shared" si="179"/>
        <v>96</v>
      </c>
      <c r="AI1155">
        <f t="shared" ref="AI1155:AI1218" si="185">V1155-AH1155</f>
        <v>0</v>
      </c>
      <c r="AK1155">
        <f t="shared" si="180"/>
        <v>8</v>
      </c>
      <c r="AL1155">
        <v>12.02</v>
      </c>
      <c r="AM1155" t="s">
        <v>27</v>
      </c>
      <c r="AN1155">
        <v>12.02</v>
      </c>
      <c r="AO1155" t="b">
        <f t="shared" si="181"/>
        <v>1</v>
      </c>
      <c r="AR1155" t="s">
        <v>5061</v>
      </c>
      <c r="AS1155" s="21">
        <v>46276</v>
      </c>
      <c r="AT1155" t="s">
        <v>5062</v>
      </c>
      <c r="AU1155" t="s">
        <v>5085</v>
      </c>
      <c r="AV1155" t="s">
        <v>5089</v>
      </c>
      <c r="AW1155" t="s">
        <v>5090</v>
      </c>
    </row>
    <row r="1156" spans="1:49" x14ac:dyDescent="0.35">
      <c r="A1156" t="s">
        <v>4105</v>
      </c>
      <c r="B1156" t="s">
        <v>4106</v>
      </c>
      <c r="C1156" t="s">
        <v>4818</v>
      </c>
      <c r="D1156" t="s">
        <v>18</v>
      </c>
      <c r="E1156" t="s">
        <v>4290</v>
      </c>
      <c r="F1156" t="s">
        <v>4291</v>
      </c>
      <c r="G1156" t="s">
        <v>21</v>
      </c>
      <c r="H1156" t="s">
        <v>4826</v>
      </c>
      <c r="I1156" t="s">
        <v>5028</v>
      </c>
      <c r="J1156" s="4" t="s">
        <v>5029</v>
      </c>
      <c r="K1156" s="4" t="s">
        <v>4845</v>
      </c>
      <c r="L1156" s="4" t="s">
        <v>4970</v>
      </c>
      <c r="M1156" s="4" t="s">
        <v>5035</v>
      </c>
      <c r="N1156" t="s">
        <v>15</v>
      </c>
      <c r="O1156" t="s">
        <v>4292</v>
      </c>
      <c r="P1156" t="s">
        <v>23</v>
      </c>
      <c r="Q1156" t="s">
        <v>24</v>
      </c>
      <c r="R1156" t="s">
        <v>25</v>
      </c>
      <c r="S1156" t="s">
        <v>26</v>
      </c>
      <c r="T1156" s="6">
        <v>46307</v>
      </c>
      <c r="U1156">
        <v>240</v>
      </c>
      <c r="V1156">
        <v>240</v>
      </c>
      <c r="W1156">
        <v>252</v>
      </c>
      <c r="X1156">
        <v>252</v>
      </c>
      <c r="Y1156">
        <f t="shared" ref="Y1156:Y1219" si="186">W1156-X1156</f>
        <v>0</v>
      </c>
      <c r="Z1156">
        <f t="shared" ref="Z1156:Z1219" si="187">V1156-X1156</f>
        <v>-12</v>
      </c>
      <c r="AC1156" s="1">
        <v>0</v>
      </c>
      <c r="AF1156">
        <f>V1156</f>
        <v>240</v>
      </c>
      <c r="AG1156" s="7">
        <v>12</v>
      </c>
      <c r="AH1156">
        <f t="shared" ref="AH1156:AH1219" si="188">ROUNDUP(AF1156/AG1156,0)*AG1156</f>
        <v>240</v>
      </c>
      <c r="AI1156">
        <f t="shared" si="185"/>
        <v>0</v>
      </c>
      <c r="AK1156">
        <f t="shared" ref="AK1156:AK1219" si="189">AH1156/AG1156</f>
        <v>20</v>
      </c>
      <c r="AL1156">
        <v>12.09</v>
      </c>
      <c r="AM1156" t="s">
        <v>27</v>
      </c>
      <c r="AN1156">
        <v>12.09</v>
      </c>
      <c r="AO1156" t="b">
        <f t="shared" ref="AO1156:AO1219" si="190">AL1156=AN1156</f>
        <v>1</v>
      </c>
      <c r="AR1156" t="s">
        <v>5061</v>
      </c>
      <c r="AS1156" s="21">
        <v>46276</v>
      </c>
      <c r="AT1156" t="s">
        <v>5062</v>
      </c>
      <c r="AU1156" t="s">
        <v>5084</v>
      </c>
      <c r="AV1156" t="s">
        <v>5089</v>
      </c>
      <c r="AW1156" t="s">
        <v>5090</v>
      </c>
    </row>
    <row r="1157" spans="1:49" x14ac:dyDescent="0.35">
      <c r="A1157" t="s">
        <v>4105</v>
      </c>
      <c r="B1157" t="s">
        <v>4106</v>
      </c>
      <c r="C1157" t="s">
        <v>4818</v>
      </c>
      <c r="D1157" t="s">
        <v>18</v>
      </c>
      <c r="E1157" t="s">
        <v>4293</v>
      </c>
      <c r="F1157" t="s">
        <v>4294</v>
      </c>
      <c r="G1157" t="s">
        <v>21</v>
      </c>
      <c r="H1157" t="s">
        <v>4826</v>
      </c>
      <c r="I1157" t="s">
        <v>5028</v>
      </c>
      <c r="J1157" s="4" t="s">
        <v>5029</v>
      </c>
      <c r="K1157" s="4" t="s">
        <v>5033</v>
      </c>
      <c r="L1157" s="4" t="s">
        <v>4953</v>
      </c>
      <c r="M1157" s="4" t="s">
        <v>5035</v>
      </c>
      <c r="N1157" t="s">
        <v>15</v>
      </c>
      <c r="O1157" t="s">
        <v>4295</v>
      </c>
      <c r="P1157" t="s">
        <v>23</v>
      </c>
      <c r="Q1157" t="s">
        <v>24</v>
      </c>
      <c r="R1157" t="s">
        <v>25</v>
      </c>
      <c r="S1157" t="s">
        <v>26</v>
      </c>
      <c r="T1157" s="6">
        <v>46307</v>
      </c>
      <c r="U1157">
        <v>72</v>
      </c>
      <c r="V1157">
        <v>72</v>
      </c>
      <c r="W1157">
        <v>60</v>
      </c>
      <c r="X1157">
        <v>60</v>
      </c>
      <c r="Y1157">
        <f t="shared" si="186"/>
        <v>0</v>
      </c>
      <c r="Z1157">
        <f t="shared" si="187"/>
        <v>12</v>
      </c>
      <c r="AA1157">
        <f>Z1157</f>
        <v>12</v>
      </c>
      <c r="AC1157" s="1">
        <v>0</v>
      </c>
      <c r="AF1157">
        <f>X1157</f>
        <v>60</v>
      </c>
      <c r="AG1157" s="7">
        <v>12</v>
      </c>
      <c r="AH1157">
        <f t="shared" si="188"/>
        <v>60</v>
      </c>
      <c r="AI1157">
        <f t="shared" si="185"/>
        <v>12</v>
      </c>
      <c r="AK1157">
        <f t="shared" si="189"/>
        <v>5</v>
      </c>
      <c r="AL1157">
        <v>12.09</v>
      </c>
      <c r="AM1157" t="s">
        <v>27</v>
      </c>
      <c r="AN1157">
        <v>12.09</v>
      </c>
      <c r="AO1157" t="b">
        <f t="shared" si="190"/>
        <v>1</v>
      </c>
      <c r="AR1157" t="s">
        <v>5061</v>
      </c>
      <c r="AS1157" s="21">
        <v>46276</v>
      </c>
      <c r="AT1157" t="s">
        <v>5062</v>
      </c>
      <c r="AU1157" t="s">
        <v>5084</v>
      </c>
      <c r="AV1157" t="s">
        <v>5089</v>
      </c>
      <c r="AW1157" t="s">
        <v>5090</v>
      </c>
    </row>
    <row r="1158" spans="1:49" x14ac:dyDescent="0.35">
      <c r="A1158" t="s">
        <v>4105</v>
      </c>
      <c r="B1158" t="s">
        <v>4106</v>
      </c>
      <c r="C1158" t="s">
        <v>4818</v>
      </c>
      <c r="D1158" t="s">
        <v>18</v>
      </c>
      <c r="E1158" t="s">
        <v>4296</v>
      </c>
      <c r="F1158" t="s">
        <v>4297</v>
      </c>
      <c r="G1158" t="s">
        <v>21</v>
      </c>
      <c r="H1158" t="s">
        <v>4826</v>
      </c>
      <c r="I1158" t="s">
        <v>5030</v>
      </c>
      <c r="J1158" s="4" t="s">
        <v>5031</v>
      </c>
      <c r="K1158" s="4" t="s">
        <v>5034</v>
      </c>
      <c r="L1158" s="4" t="s">
        <v>4952</v>
      </c>
      <c r="M1158" s="4" t="s">
        <v>5035</v>
      </c>
      <c r="N1158" t="s">
        <v>15</v>
      </c>
      <c r="O1158" t="s">
        <v>4298</v>
      </c>
      <c r="P1158" t="s">
        <v>23</v>
      </c>
      <c r="Q1158" t="s">
        <v>24</v>
      </c>
      <c r="R1158" t="s">
        <v>25</v>
      </c>
      <c r="S1158" t="s">
        <v>26</v>
      </c>
      <c r="T1158" s="6">
        <v>46307</v>
      </c>
      <c r="U1158">
        <v>36</v>
      </c>
      <c r="V1158">
        <v>36</v>
      </c>
      <c r="W1158">
        <v>36</v>
      </c>
      <c r="X1158">
        <v>36</v>
      </c>
      <c r="Y1158">
        <f t="shared" si="186"/>
        <v>0</v>
      </c>
      <c r="Z1158">
        <f t="shared" si="187"/>
        <v>0</v>
      </c>
      <c r="AC1158" s="1">
        <v>0</v>
      </c>
      <c r="AF1158">
        <f>V1158</f>
        <v>36</v>
      </c>
      <c r="AG1158" s="7">
        <v>12</v>
      </c>
      <c r="AH1158">
        <f t="shared" si="188"/>
        <v>36</v>
      </c>
      <c r="AI1158">
        <f t="shared" si="185"/>
        <v>0</v>
      </c>
      <c r="AK1158">
        <f t="shared" si="189"/>
        <v>3</v>
      </c>
      <c r="AL1158">
        <v>12.02</v>
      </c>
      <c r="AM1158" t="s">
        <v>27</v>
      </c>
      <c r="AN1158">
        <v>12.02</v>
      </c>
      <c r="AO1158" t="b">
        <f t="shared" si="190"/>
        <v>1</v>
      </c>
      <c r="AR1158" t="s">
        <v>5061</v>
      </c>
      <c r="AS1158" s="21">
        <v>46276</v>
      </c>
      <c r="AT1158" t="s">
        <v>5062</v>
      </c>
      <c r="AU1158" t="s">
        <v>5085</v>
      </c>
      <c r="AV1158" t="s">
        <v>5089</v>
      </c>
      <c r="AW1158" t="s">
        <v>5090</v>
      </c>
    </row>
    <row r="1159" spans="1:49" x14ac:dyDescent="0.35">
      <c r="A1159" t="s">
        <v>4105</v>
      </c>
      <c r="B1159" t="s">
        <v>4106</v>
      </c>
      <c r="C1159" t="s">
        <v>4818</v>
      </c>
      <c r="D1159" t="s">
        <v>18</v>
      </c>
      <c r="E1159" t="s">
        <v>4299</v>
      </c>
      <c r="F1159" t="s">
        <v>4300</v>
      </c>
      <c r="G1159" t="s">
        <v>21</v>
      </c>
      <c r="H1159" t="s">
        <v>4826</v>
      </c>
      <c r="I1159" t="s">
        <v>5030</v>
      </c>
      <c r="J1159" s="4" t="s">
        <v>5031</v>
      </c>
      <c r="K1159" s="4" t="s">
        <v>5032</v>
      </c>
      <c r="L1159" s="4" t="s">
        <v>4971</v>
      </c>
      <c r="M1159" s="4" t="s">
        <v>5035</v>
      </c>
      <c r="N1159" t="s">
        <v>15</v>
      </c>
      <c r="O1159" t="s">
        <v>4301</v>
      </c>
      <c r="P1159" t="s">
        <v>23</v>
      </c>
      <c r="Q1159" t="s">
        <v>24</v>
      </c>
      <c r="R1159" t="s">
        <v>25</v>
      </c>
      <c r="S1159" t="s">
        <v>26</v>
      </c>
      <c r="T1159" s="6">
        <v>46307</v>
      </c>
      <c r="U1159">
        <v>24</v>
      </c>
      <c r="V1159">
        <v>24</v>
      </c>
      <c r="W1159">
        <v>24</v>
      </c>
      <c r="X1159">
        <v>24</v>
      </c>
      <c r="Y1159">
        <f t="shared" si="186"/>
        <v>0</v>
      </c>
      <c r="Z1159">
        <f t="shared" si="187"/>
        <v>0</v>
      </c>
      <c r="AC1159" s="1">
        <v>0</v>
      </c>
      <c r="AF1159">
        <f>V1159</f>
        <v>24</v>
      </c>
      <c r="AG1159" s="7">
        <v>12</v>
      </c>
      <c r="AH1159">
        <f t="shared" si="188"/>
        <v>24</v>
      </c>
      <c r="AI1159">
        <f t="shared" si="185"/>
        <v>0</v>
      </c>
      <c r="AK1159">
        <f t="shared" si="189"/>
        <v>2</v>
      </c>
      <c r="AL1159">
        <v>12.02</v>
      </c>
      <c r="AM1159" t="s">
        <v>27</v>
      </c>
      <c r="AN1159">
        <v>12.02</v>
      </c>
      <c r="AO1159" t="b">
        <f t="shared" si="190"/>
        <v>1</v>
      </c>
      <c r="AR1159" t="s">
        <v>5061</v>
      </c>
      <c r="AS1159" s="21">
        <v>46276</v>
      </c>
      <c r="AT1159" t="s">
        <v>5062</v>
      </c>
      <c r="AU1159" t="s">
        <v>5085</v>
      </c>
      <c r="AV1159" t="s">
        <v>5089</v>
      </c>
      <c r="AW1159" t="s">
        <v>5090</v>
      </c>
    </row>
    <row r="1160" spans="1:49" x14ac:dyDescent="0.35">
      <c r="A1160" t="s">
        <v>4105</v>
      </c>
      <c r="B1160" t="s">
        <v>4106</v>
      </c>
      <c r="C1160" t="s">
        <v>4818</v>
      </c>
      <c r="D1160" t="s">
        <v>18</v>
      </c>
      <c r="E1160" t="s">
        <v>4302</v>
      </c>
      <c r="F1160" t="s">
        <v>4303</v>
      </c>
      <c r="G1160" t="s">
        <v>21</v>
      </c>
      <c r="H1160" t="s">
        <v>4826</v>
      </c>
      <c r="I1160" t="s">
        <v>5030</v>
      </c>
      <c r="J1160" s="4" t="s">
        <v>5031</v>
      </c>
      <c r="K1160" s="4" t="s">
        <v>5032</v>
      </c>
      <c r="L1160" s="4" t="s">
        <v>4964</v>
      </c>
      <c r="M1160" s="4" t="s">
        <v>5035</v>
      </c>
      <c r="N1160" t="s">
        <v>15</v>
      </c>
      <c r="O1160" t="s">
        <v>4304</v>
      </c>
      <c r="P1160" t="s">
        <v>23</v>
      </c>
      <c r="Q1160" t="s">
        <v>24</v>
      </c>
      <c r="R1160" t="s">
        <v>25</v>
      </c>
      <c r="S1160" t="s">
        <v>26</v>
      </c>
      <c r="T1160" s="6">
        <v>46307</v>
      </c>
      <c r="U1160">
        <v>24</v>
      </c>
      <c r="V1160">
        <v>24</v>
      </c>
      <c r="W1160">
        <v>24</v>
      </c>
      <c r="X1160">
        <v>24</v>
      </c>
      <c r="Y1160">
        <f t="shared" si="186"/>
        <v>0</v>
      </c>
      <c r="Z1160">
        <f t="shared" si="187"/>
        <v>0</v>
      </c>
      <c r="AC1160" s="1">
        <v>0</v>
      </c>
      <c r="AF1160">
        <f>V1160</f>
        <v>24</v>
      </c>
      <c r="AG1160" s="7">
        <v>12</v>
      </c>
      <c r="AH1160">
        <f t="shared" si="188"/>
        <v>24</v>
      </c>
      <c r="AI1160">
        <f t="shared" si="185"/>
        <v>0</v>
      </c>
      <c r="AK1160">
        <f t="shared" si="189"/>
        <v>2</v>
      </c>
      <c r="AL1160">
        <v>12.02</v>
      </c>
      <c r="AM1160" t="s">
        <v>27</v>
      </c>
      <c r="AN1160">
        <v>12.02</v>
      </c>
      <c r="AO1160" t="b">
        <f t="shared" si="190"/>
        <v>1</v>
      </c>
      <c r="AR1160" t="s">
        <v>5061</v>
      </c>
      <c r="AS1160" s="21">
        <v>46276</v>
      </c>
      <c r="AT1160" t="s">
        <v>5062</v>
      </c>
      <c r="AU1160" t="s">
        <v>5085</v>
      </c>
      <c r="AV1160" t="s">
        <v>5089</v>
      </c>
      <c r="AW1160" t="s">
        <v>5090</v>
      </c>
    </row>
    <row r="1161" spans="1:49" x14ac:dyDescent="0.35">
      <c r="A1161" t="s">
        <v>4105</v>
      </c>
      <c r="B1161" t="s">
        <v>4106</v>
      </c>
      <c r="C1161" t="s">
        <v>4818</v>
      </c>
      <c r="D1161" t="s">
        <v>18</v>
      </c>
      <c r="E1161" t="s">
        <v>4305</v>
      </c>
      <c r="F1161" t="s">
        <v>4306</v>
      </c>
      <c r="G1161" t="s">
        <v>21</v>
      </c>
      <c r="H1161" t="s">
        <v>4826</v>
      </c>
      <c r="I1161" t="s">
        <v>5028</v>
      </c>
      <c r="J1161" s="4" t="s">
        <v>5029</v>
      </c>
      <c r="K1161" s="4" t="s">
        <v>4832</v>
      </c>
      <c r="L1161" s="4" t="s">
        <v>4962</v>
      </c>
      <c r="M1161" s="4" t="s">
        <v>5035</v>
      </c>
      <c r="N1161" t="s">
        <v>15</v>
      </c>
      <c r="O1161" t="s">
        <v>4307</v>
      </c>
      <c r="P1161" t="s">
        <v>23</v>
      </c>
      <c r="Q1161" t="s">
        <v>24</v>
      </c>
      <c r="R1161" t="s">
        <v>25</v>
      </c>
      <c r="S1161" t="s">
        <v>26</v>
      </c>
      <c r="T1161" s="6">
        <v>46307</v>
      </c>
      <c r="U1161">
        <v>36</v>
      </c>
      <c r="V1161">
        <v>36</v>
      </c>
      <c r="W1161">
        <v>36</v>
      </c>
      <c r="X1161">
        <v>36</v>
      </c>
      <c r="Y1161">
        <f t="shared" si="186"/>
        <v>0</v>
      </c>
      <c r="Z1161">
        <f t="shared" si="187"/>
        <v>0</v>
      </c>
      <c r="AC1161" s="1">
        <v>0</v>
      </c>
      <c r="AF1161">
        <f>V1161</f>
        <v>36</v>
      </c>
      <c r="AG1161" s="7">
        <v>12</v>
      </c>
      <c r="AH1161">
        <f t="shared" si="188"/>
        <v>36</v>
      </c>
      <c r="AI1161">
        <f t="shared" si="185"/>
        <v>0</v>
      </c>
      <c r="AK1161">
        <f t="shared" si="189"/>
        <v>3</v>
      </c>
      <c r="AL1161">
        <v>12.09</v>
      </c>
      <c r="AM1161" t="s">
        <v>27</v>
      </c>
      <c r="AN1161">
        <v>12.09</v>
      </c>
      <c r="AO1161" t="b">
        <f t="shared" si="190"/>
        <v>1</v>
      </c>
      <c r="AR1161" t="s">
        <v>5061</v>
      </c>
      <c r="AS1161" s="21">
        <v>46276</v>
      </c>
      <c r="AT1161" t="s">
        <v>5062</v>
      </c>
      <c r="AU1161" t="s">
        <v>5084</v>
      </c>
      <c r="AV1161" t="s">
        <v>5089</v>
      </c>
      <c r="AW1161" t="s">
        <v>5090</v>
      </c>
    </row>
    <row r="1162" spans="1:49" x14ac:dyDescent="0.35">
      <c r="A1162" t="s">
        <v>4105</v>
      </c>
      <c r="B1162" t="s">
        <v>4106</v>
      </c>
      <c r="C1162" t="s">
        <v>4818</v>
      </c>
      <c r="D1162" t="s">
        <v>18</v>
      </c>
      <c r="E1162" t="s">
        <v>4308</v>
      </c>
      <c r="F1162" t="s">
        <v>4309</v>
      </c>
      <c r="G1162" t="s">
        <v>21</v>
      </c>
      <c r="H1162" t="s">
        <v>4826</v>
      </c>
      <c r="I1162" t="s">
        <v>5030</v>
      </c>
      <c r="J1162" s="4" t="s">
        <v>5031</v>
      </c>
      <c r="K1162" s="4" t="s">
        <v>4845</v>
      </c>
      <c r="L1162" s="4" t="s">
        <v>4946</v>
      </c>
      <c r="M1162" s="4" t="s">
        <v>5035</v>
      </c>
      <c r="N1162" t="s">
        <v>15</v>
      </c>
      <c r="O1162" t="s">
        <v>4310</v>
      </c>
      <c r="P1162" t="s">
        <v>23</v>
      </c>
      <c r="Q1162" t="s">
        <v>24</v>
      </c>
      <c r="R1162" t="s">
        <v>25</v>
      </c>
      <c r="S1162" t="s">
        <v>26</v>
      </c>
      <c r="T1162" s="6">
        <v>46307</v>
      </c>
      <c r="U1162">
        <v>132</v>
      </c>
      <c r="V1162">
        <v>132</v>
      </c>
      <c r="W1162">
        <v>120</v>
      </c>
      <c r="X1162">
        <v>120</v>
      </c>
      <c r="Y1162">
        <f t="shared" si="186"/>
        <v>0</v>
      </c>
      <c r="Z1162">
        <f t="shared" si="187"/>
        <v>12</v>
      </c>
      <c r="AA1162">
        <f t="shared" ref="AA1162:AA1164" si="191">Z1162</f>
        <v>12</v>
      </c>
      <c r="AC1162" s="1">
        <v>0</v>
      </c>
      <c r="AF1162">
        <f>X1162</f>
        <v>120</v>
      </c>
      <c r="AG1162" s="7">
        <v>12</v>
      </c>
      <c r="AH1162">
        <f t="shared" si="188"/>
        <v>120</v>
      </c>
      <c r="AI1162">
        <f t="shared" si="185"/>
        <v>12</v>
      </c>
      <c r="AK1162">
        <f t="shared" si="189"/>
        <v>10</v>
      </c>
      <c r="AL1162">
        <v>12.02</v>
      </c>
      <c r="AM1162" t="s">
        <v>27</v>
      </c>
      <c r="AN1162">
        <v>12.02</v>
      </c>
      <c r="AO1162" t="b">
        <f t="shared" si="190"/>
        <v>1</v>
      </c>
      <c r="AR1162" t="s">
        <v>5061</v>
      </c>
      <c r="AS1162" s="21">
        <v>46276</v>
      </c>
      <c r="AT1162" t="s">
        <v>5062</v>
      </c>
      <c r="AU1162" t="s">
        <v>5085</v>
      </c>
      <c r="AV1162" t="s">
        <v>5089</v>
      </c>
      <c r="AW1162" t="s">
        <v>5090</v>
      </c>
    </row>
    <row r="1163" spans="1:49" x14ac:dyDescent="0.35">
      <c r="A1163" t="s">
        <v>4105</v>
      </c>
      <c r="B1163" t="s">
        <v>4106</v>
      </c>
      <c r="C1163" t="s">
        <v>4818</v>
      </c>
      <c r="D1163" t="s">
        <v>18</v>
      </c>
      <c r="E1163" t="s">
        <v>4311</v>
      </c>
      <c r="F1163" t="s">
        <v>4312</v>
      </c>
      <c r="G1163" t="s">
        <v>21</v>
      </c>
      <c r="H1163" t="s">
        <v>4826</v>
      </c>
      <c r="I1163" t="s">
        <v>5028</v>
      </c>
      <c r="J1163" s="4" t="s">
        <v>5029</v>
      </c>
      <c r="K1163" s="4" t="s">
        <v>4832</v>
      </c>
      <c r="L1163" s="4" t="s">
        <v>4946</v>
      </c>
      <c r="M1163" s="4" t="s">
        <v>5035</v>
      </c>
      <c r="N1163" t="s">
        <v>15</v>
      </c>
      <c r="O1163" t="s">
        <v>4313</v>
      </c>
      <c r="P1163" t="s">
        <v>23</v>
      </c>
      <c r="Q1163" t="s">
        <v>24</v>
      </c>
      <c r="R1163" t="s">
        <v>25</v>
      </c>
      <c r="S1163" t="s">
        <v>26</v>
      </c>
      <c r="T1163" s="6">
        <v>46307</v>
      </c>
      <c r="U1163">
        <v>108</v>
      </c>
      <c r="V1163">
        <v>108</v>
      </c>
      <c r="W1163">
        <v>96</v>
      </c>
      <c r="X1163">
        <v>96</v>
      </c>
      <c r="Y1163">
        <f t="shared" si="186"/>
        <v>0</v>
      </c>
      <c r="Z1163">
        <f t="shared" si="187"/>
        <v>12</v>
      </c>
      <c r="AA1163">
        <f t="shared" si="191"/>
        <v>12</v>
      </c>
      <c r="AC1163" s="1">
        <v>0</v>
      </c>
      <c r="AF1163">
        <f>X1163</f>
        <v>96</v>
      </c>
      <c r="AG1163" s="7">
        <v>12</v>
      </c>
      <c r="AH1163">
        <f t="shared" si="188"/>
        <v>96</v>
      </c>
      <c r="AI1163">
        <f t="shared" si="185"/>
        <v>12</v>
      </c>
      <c r="AK1163">
        <f t="shared" si="189"/>
        <v>8</v>
      </c>
      <c r="AL1163">
        <v>12.09</v>
      </c>
      <c r="AM1163" t="s">
        <v>27</v>
      </c>
      <c r="AN1163">
        <v>12.09</v>
      </c>
      <c r="AO1163" t="b">
        <f t="shared" si="190"/>
        <v>1</v>
      </c>
      <c r="AR1163" t="s">
        <v>5061</v>
      </c>
      <c r="AS1163" s="21">
        <v>46276</v>
      </c>
      <c r="AT1163" t="s">
        <v>5062</v>
      </c>
      <c r="AU1163" t="s">
        <v>5084</v>
      </c>
      <c r="AV1163" t="s">
        <v>5089</v>
      </c>
      <c r="AW1163" t="s">
        <v>5090</v>
      </c>
    </row>
    <row r="1164" spans="1:49" x14ac:dyDescent="0.35">
      <c r="A1164" t="s">
        <v>4105</v>
      </c>
      <c r="B1164" t="s">
        <v>4106</v>
      </c>
      <c r="C1164" t="s">
        <v>4818</v>
      </c>
      <c r="D1164" t="s">
        <v>18</v>
      </c>
      <c r="E1164" t="s">
        <v>4314</v>
      </c>
      <c r="F1164" t="s">
        <v>4315</v>
      </c>
      <c r="G1164" t="s">
        <v>21</v>
      </c>
      <c r="H1164" t="s">
        <v>4826</v>
      </c>
      <c r="I1164" t="s">
        <v>5030</v>
      </c>
      <c r="J1164" s="4" t="s">
        <v>5031</v>
      </c>
      <c r="K1164" s="4" t="s">
        <v>4832</v>
      </c>
      <c r="L1164" s="4" t="s">
        <v>4958</v>
      </c>
      <c r="M1164" s="4" t="s">
        <v>5035</v>
      </c>
      <c r="N1164" t="s">
        <v>15</v>
      </c>
      <c r="O1164" t="s">
        <v>4316</v>
      </c>
      <c r="P1164" t="s">
        <v>23</v>
      </c>
      <c r="Q1164" t="s">
        <v>24</v>
      </c>
      <c r="R1164" t="s">
        <v>25</v>
      </c>
      <c r="S1164" t="s">
        <v>26</v>
      </c>
      <c r="T1164" s="6">
        <v>46307</v>
      </c>
      <c r="U1164">
        <v>144</v>
      </c>
      <c r="V1164">
        <v>144</v>
      </c>
      <c r="W1164">
        <v>120</v>
      </c>
      <c r="X1164">
        <v>120</v>
      </c>
      <c r="Y1164">
        <f t="shared" si="186"/>
        <v>0</v>
      </c>
      <c r="Z1164">
        <f t="shared" si="187"/>
        <v>24</v>
      </c>
      <c r="AA1164">
        <f t="shared" si="191"/>
        <v>24</v>
      </c>
      <c r="AC1164" s="1">
        <v>0</v>
      </c>
      <c r="AF1164">
        <f>X1164</f>
        <v>120</v>
      </c>
      <c r="AG1164" s="7">
        <v>12</v>
      </c>
      <c r="AH1164">
        <f t="shared" si="188"/>
        <v>120</v>
      </c>
      <c r="AI1164">
        <f t="shared" si="185"/>
        <v>24</v>
      </c>
      <c r="AK1164">
        <f t="shared" si="189"/>
        <v>10</v>
      </c>
      <c r="AL1164">
        <v>12.02</v>
      </c>
      <c r="AM1164" t="s">
        <v>27</v>
      </c>
      <c r="AN1164">
        <v>12.02</v>
      </c>
      <c r="AO1164" t="b">
        <f t="shared" si="190"/>
        <v>1</v>
      </c>
      <c r="AR1164" t="s">
        <v>5061</v>
      </c>
      <c r="AS1164" s="21">
        <v>46276</v>
      </c>
      <c r="AT1164" t="s">
        <v>5062</v>
      </c>
      <c r="AU1164" t="s">
        <v>5085</v>
      </c>
      <c r="AV1164" t="s">
        <v>5089</v>
      </c>
      <c r="AW1164" t="s">
        <v>5090</v>
      </c>
    </row>
    <row r="1165" spans="1:49" x14ac:dyDescent="0.35">
      <c r="A1165" t="s">
        <v>4105</v>
      </c>
      <c r="B1165" t="s">
        <v>4106</v>
      </c>
      <c r="C1165" t="s">
        <v>4818</v>
      </c>
      <c r="D1165" t="s">
        <v>18</v>
      </c>
      <c r="E1165" t="s">
        <v>4317</v>
      </c>
      <c r="F1165" t="s">
        <v>4318</v>
      </c>
      <c r="G1165" t="s">
        <v>21</v>
      </c>
      <c r="H1165" t="s">
        <v>4826</v>
      </c>
      <c r="I1165" t="s">
        <v>5028</v>
      </c>
      <c r="J1165" s="4" t="s">
        <v>5029</v>
      </c>
      <c r="K1165" s="4" t="s">
        <v>4837</v>
      </c>
      <c r="L1165" s="4" t="s">
        <v>4942</v>
      </c>
      <c r="M1165" s="4" t="s">
        <v>5035</v>
      </c>
      <c r="N1165" t="s">
        <v>15</v>
      </c>
      <c r="O1165" t="s">
        <v>4319</v>
      </c>
      <c r="P1165" t="s">
        <v>23</v>
      </c>
      <c r="Q1165" t="s">
        <v>24</v>
      </c>
      <c r="R1165" t="s">
        <v>25</v>
      </c>
      <c r="S1165" t="s">
        <v>26</v>
      </c>
      <c r="T1165" s="6">
        <v>46307</v>
      </c>
      <c r="U1165">
        <v>60</v>
      </c>
      <c r="V1165">
        <v>60</v>
      </c>
      <c r="W1165">
        <v>72</v>
      </c>
      <c r="X1165">
        <v>72</v>
      </c>
      <c r="Y1165">
        <f t="shared" si="186"/>
        <v>0</v>
      </c>
      <c r="Z1165">
        <f t="shared" si="187"/>
        <v>-12</v>
      </c>
      <c r="AC1165" s="1">
        <v>0</v>
      </c>
      <c r="AF1165">
        <f>V1165</f>
        <v>60</v>
      </c>
      <c r="AG1165" s="7">
        <v>12</v>
      </c>
      <c r="AH1165">
        <f t="shared" si="188"/>
        <v>60</v>
      </c>
      <c r="AI1165">
        <f t="shared" si="185"/>
        <v>0</v>
      </c>
      <c r="AK1165">
        <f t="shared" si="189"/>
        <v>5</v>
      </c>
      <c r="AL1165">
        <v>12.09</v>
      </c>
      <c r="AM1165" t="s">
        <v>27</v>
      </c>
      <c r="AN1165">
        <v>12.09</v>
      </c>
      <c r="AO1165" t="b">
        <f t="shared" si="190"/>
        <v>1</v>
      </c>
      <c r="AR1165" t="s">
        <v>5061</v>
      </c>
      <c r="AS1165" s="21">
        <v>46276</v>
      </c>
      <c r="AT1165" t="s">
        <v>5062</v>
      </c>
      <c r="AU1165" t="s">
        <v>5084</v>
      </c>
      <c r="AV1165" t="s">
        <v>5089</v>
      </c>
      <c r="AW1165" t="s">
        <v>5090</v>
      </c>
    </row>
    <row r="1166" spans="1:49" x14ac:dyDescent="0.35">
      <c r="A1166" t="s">
        <v>4105</v>
      </c>
      <c r="B1166" t="s">
        <v>4106</v>
      </c>
      <c r="C1166" t="s">
        <v>4818</v>
      </c>
      <c r="D1166" t="s">
        <v>18</v>
      </c>
      <c r="E1166" t="s">
        <v>4320</v>
      </c>
      <c r="F1166" t="s">
        <v>4321</v>
      </c>
      <c r="G1166" t="s">
        <v>21</v>
      </c>
      <c r="H1166" t="s">
        <v>4826</v>
      </c>
      <c r="I1166" t="s">
        <v>5028</v>
      </c>
      <c r="J1166" s="4" t="s">
        <v>5029</v>
      </c>
      <c r="K1166" s="4" t="s">
        <v>4832</v>
      </c>
      <c r="L1166" s="4" t="s">
        <v>4942</v>
      </c>
      <c r="M1166" s="4" t="s">
        <v>5035</v>
      </c>
      <c r="N1166" t="s">
        <v>15</v>
      </c>
      <c r="O1166" t="s">
        <v>4322</v>
      </c>
      <c r="P1166" t="s">
        <v>23</v>
      </c>
      <c r="Q1166" t="s">
        <v>24</v>
      </c>
      <c r="R1166" t="s">
        <v>25</v>
      </c>
      <c r="S1166" t="s">
        <v>26</v>
      </c>
      <c r="T1166" s="6">
        <v>46307</v>
      </c>
      <c r="U1166">
        <v>24</v>
      </c>
      <c r="V1166">
        <v>24</v>
      </c>
      <c r="W1166">
        <v>24</v>
      </c>
      <c r="X1166">
        <v>24</v>
      </c>
      <c r="Y1166">
        <f t="shared" si="186"/>
        <v>0</v>
      </c>
      <c r="Z1166">
        <f t="shared" si="187"/>
        <v>0</v>
      </c>
      <c r="AC1166" s="1">
        <v>0</v>
      </c>
      <c r="AF1166">
        <f>V1166</f>
        <v>24</v>
      </c>
      <c r="AG1166" s="7">
        <v>12</v>
      </c>
      <c r="AH1166">
        <f t="shared" si="188"/>
        <v>24</v>
      </c>
      <c r="AI1166">
        <f t="shared" si="185"/>
        <v>0</v>
      </c>
      <c r="AK1166">
        <f t="shared" si="189"/>
        <v>2</v>
      </c>
      <c r="AL1166">
        <v>12.09</v>
      </c>
      <c r="AM1166" t="s">
        <v>27</v>
      </c>
      <c r="AN1166">
        <v>12.09</v>
      </c>
      <c r="AO1166" t="b">
        <f t="shared" si="190"/>
        <v>1</v>
      </c>
      <c r="AR1166" t="s">
        <v>5061</v>
      </c>
      <c r="AS1166" s="21">
        <v>46276</v>
      </c>
      <c r="AT1166" t="s">
        <v>5062</v>
      </c>
      <c r="AU1166" t="s">
        <v>5084</v>
      </c>
      <c r="AV1166" t="s">
        <v>5089</v>
      </c>
      <c r="AW1166" t="s">
        <v>5090</v>
      </c>
    </row>
    <row r="1167" spans="1:49" x14ac:dyDescent="0.35">
      <c r="A1167" t="s">
        <v>4105</v>
      </c>
      <c r="B1167" t="s">
        <v>4106</v>
      </c>
      <c r="C1167" t="s">
        <v>4818</v>
      </c>
      <c r="D1167" t="s">
        <v>18</v>
      </c>
      <c r="E1167" t="s">
        <v>4323</v>
      </c>
      <c r="F1167" t="s">
        <v>4324</v>
      </c>
      <c r="G1167" t="s">
        <v>21</v>
      </c>
      <c r="H1167" t="s">
        <v>4826</v>
      </c>
      <c r="I1167" t="s">
        <v>5028</v>
      </c>
      <c r="J1167" s="4" t="s">
        <v>5029</v>
      </c>
      <c r="K1167" s="4" t="s">
        <v>4845</v>
      </c>
      <c r="L1167" s="4" t="s">
        <v>4941</v>
      </c>
      <c r="M1167" s="4" t="s">
        <v>5035</v>
      </c>
      <c r="N1167" t="s">
        <v>15</v>
      </c>
      <c r="O1167" t="s">
        <v>4325</v>
      </c>
      <c r="P1167" t="s">
        <v>23</v>
      </c>
      <c r="Q1167" t="s">
        <v>24</v>
      </c>
      <c r="R1167" t="s">
        <v>25</v>
      </c>
      <c r="S1167" t="s">
        <v>26</v>
      </c>
      <c r="T1167" s="6">
        <v>46307</v>
      </c>
      <c r="U1167">
        <v>60</v>
      </c>
      <c r="V1167">
        <v>60</v>
      </c>
      <c r="W1167">
        <v>60</v>
      </c>
      <c r="X1167">
        <v>60</v>
      </c>
      <c r="Y1167">
        <f t="shared" si="186"/>
        <v>0</v>
      </c>
      <c r="Z1167">
        <f t="shared" si="187"/>
        <v>0</v>
      </c>
      <c r="AC1167" s="1">
        <v>0</v>
      </c>
      <c r="AF1167">
        <f>V1167</f>
        <v>60</v>
      </c>
      <c r="AG1167" s="7">
        <v>12</v>
      </c>
      <c r="AH1167">
        <f t="shared" si="188"/>
        <v>60</v>
      </c>
      <c r="AI1167">
        <f t="shared" si="185"/>
        <v>0</v>
      </c>
      <c r="AK1167">
        <f t="shared" si="189"/>
        <v>5</v>
      </c>
      <c r="AL1167">
        <v>12.09</v>
      </c>
      <c r="AM1167" t="s">
        <v>27</v>
      </c>
      <c r="AN1167">
        <v>12.09</v>
      </c>
      <c r="AO1167" t="b">
        <f t="shared" si="190"/>
        <v>1</v>
      </c>
      <c r="AR1167" t="s">
        <v>5061</v>
      </c>
      <c r="AS1167" s="21">
        <v>46276</v>
      </c>
      <c r="AT1167" t="s">
        <v>5062</v>
      </c>
      <c r="AU1167" t="s">
        <v>5084</v>
      </c>
      <c r="AV1167" t="s">
        <v>5089</v>
      </c>
      <c r="AW1167" t="s">
        <v>5090</v>
      </c>
    </row>
    <row r="1168" spans="1:49" x14ac:dyDescent="0.35">
      <c r="A1168" t="s">
        <v>4105</v>
      </c>
      <c r="B1168" t="s">
        <v>4106</v>
      </c>
      <c r="C1168" t="s">
        <v>4818</v>
      </c>
      <c r="D1168" t="s">
        <v>18</v>
      </c>
      <c r="E1168" t="s">
        <v>4326</v>
      </c>
      <c r="F1168" t="s">
        <v>4327</v>
      </c>
      <c r="G1168" t="s">
        <v>21</v>
      </c>
      <c r="H1168" t="s">
        <v>4826</v>
      </c>
      <c r="I1168" t="s">
        <v>5028</v>
      </c>
      <c r="J1168" s="4" t="s">
        <v>5029</v>
      </c>
      <c r="K1168" s="4" t="s">
        <v>4837</v>
      </c>
      <c r="L1168" s="4" t="s">
        <v>4971</v>
      </c>
      <c r="M1168" s="4" t="s">
        <v>5035</v>
      </c>
      <c r="N1168" t="s">
        <v>15</v>
      </c>
      <c r="O1168" t="s">
        <v>4328</v>
      </c>
      <c r="P1168" t="s">
        <v>23</v>
      </c>
      <c r="Q1168" t="s">
        <v>24</v>
      </c>
      <c r="R1168" t="s">
        <v>25</v>
      </c>
      <c r="S1168" t="s">
        <v>26</v>
      </c>
      <c r="T1168" s="6">
        <v>46307</v>
      </c>
      <c r="U1168">
        <v>60</v>
      </c>
      <c r="V1168">
        <v>60</v>
      </c>
      <c r="W1168">
        <v>60</v>
      </c>
      <c r="X1168">
        <v>60</v>
      </c>
      <c r="Y1168">
        <f t="shared" si="186"/>
        <v>0</v>
      </c>
      <c r="Z1168">
        <f t="shared" si="187"/>
        <v>0</v>
      </c>
      <c r="AC1168" s="1">
        <v>0</v>
      </c>
      <c r="AF1168">
        <f>V1168</f>
        <v>60</v>
      </c>
      <c r="AG1168" s="7">
        <v>12</v>
      </c>
      <c r="AH1168">
        <f t="shared" si="188"/>
        <v>60</v>
      </c>
      <c r="AI1168">
        <f t="shared" si="185"/>
        <v>0</v>
      </c>
      <c r="AK1168">
        <f t="shared" si="189"/>
        <v>5</v>
      </c>
      <c r="AL1168">
        <v>12.09</v>
      </c>
      <c r="AM1168" t="s">
        <v>27</v>
      </c>
      <c r="AN1168">
        <v>12.09</v>
      </c>
      <c r="AO1168" t="b">
        <f t="shared" si="190"/>
        <v>1</v>
      </c>
      <c r="AR1168" t="s">
        <v>5061</v>
      </c>
      <c r="AS1168" s="21">
        <v>46276</v>
      </c>
      <c r="AT1168" t="s">
        <v>5062</v>
      </c>
      <c r="AU1168" t="s">
        <v>5084</v>
      </c>
      <c r="AV1168" t="s">
        <v>5089</v>
      </c>
      <c r="AW1168" t="s">
        <v>5090</v>
      </c>
    </row>
    <row r="1169" spans="1:49" x14ac:dyDescent="0.35">
      <c r="A1169" t="s">
        <v>4105</v>
      </c>
      <c r="B1169" t="s">
        <v>4106</v>
      </c>
      <c r="C1169" t="s">
        <v>4818</v>
      </c>
      <c r="D1169" t="s">
        <v>18</v>
      </c>
      <c r="E1169" t="s">
        <v>4329</v>
      </c>
      <c r="F1169" t="s">
        <v>4330</v>
      </c>
      <c r="G1169" t="s">
        <v>21</v>
      </c>
      <c r="H1169" t="s">
        <v>4826</v>
      </c>
      <c r="I1169" t="s">
        <v>5030</v>
      </c>
      <c r="J1169" s="4" t="s">
        <v>5031</v>
      </c>
      <c r="K1169" s="4" t="s">
        <v>5033</v>
      </c>
      <c r="L1169" s="4" t="s">
        <v>4948</v>
      </c>
      <c r="M1169" s="4" t="s">
        <v>5035</v>
      </c>
      <c r="N1169" t="s">
        <v>15</v>
      </c>
      <c r="O1169" t="s">
        <v>4331</v>
      </c>
      <c r="P1169" t="s">
        <v>23</v>
      </c>
      <c r="Q1169" t="s">
        <v>24</v>
      </c>
      <c r="R1169" t="s">
        <v>25</v>
      </c>
      <c r="S1169" t="s">
        <v>26</v>
      </c>
      <c r="T1169" s="6">
        <v>46307</v>
      </c>
      <c r="U1169">
        <v>24</v>
      </c>
      <c r="V1169">
        <v>24</v>
      </c>
      <c r="W1169">
        <v>24</v>
      </c>
      <c r="X1169">
        <v>24</v>
      </c>
      <c r="Y1169">
        <f t="shared" si="186"/>
        <v>0</v>
      </c>
      <c r="Z1169">
        <f t="shared" si="187"/>
        <v>0</v>
      </c>
      <c r="AC1169" s="1">
        <v>0</v>
      </c>
      <c r="AF1169">
        <f>V1169</f>
        <v>24</v>
      </c>
      <c r="AG1169" s="7">
        <v>12</v>
      </c>
      <c r="AH1169">
        <f t="shared" si="188"/>
        <v>24</v>
      </c>
      <c r="AI1169">
        <f t="shared" si="185"/>
        <v>0</v>
      </c>
      <c r="AK1169">
        <f t="shared" si="189"/>
        <v>2</v>
      </c>
      <c r="AL1169">
        <v>12.02</v>
      </c>
      <c r="AM1169" t="s">
        <v>27</v>
      </c>
      <c r="AN1169">
        <v>12.02</v>
      </c>
      <c r="AO1169" t="b">
        <f t="shared" si="190"/>
        <v>1</v>
      </c>
      <c r="AR1169" t="s">
        <v>5061</v>
      </c>
      <c r="AS1169" s="21">
        <v>46276</v>
      </c>
      <c r="AT1169" t="s">
        <v>5062</v>
      </c>
      <c r="AU1169" t="s">
        <v>5085</v>
      </c>
      <c r="AV1169" t="s">
        <v>5089</v>
      </c>
      <c r="AW1169" t="s">
        <v>5090</v>
      </c>
    </row>
    <row r="1170" spans="1:49" x14ac:dyDescent="0.35">
      <c r="A1170" t="s">
        <v>4105</v>
      </c>
      <c r="B1170" t="s">
        <v>4106</v>
      </c>
      <c r="C1170" t="s">
        <v>4818</v>
      </c>
      <c r="D1170" t="s">
        <v>18</v>
      </c>
      <c r="E1170" t="s">
        <v>4332</v>
      </c>
      <c r="F1170" t="s">
        <v>4333</v>
      </c>
      <c r="G1170" t="s">
        <v>21</v>
      </c>
      <c r="H1170" t="s">
        <v>4826</v>
      </c>
      <c r="I1170" t="s">
        <v>5030</v>
      </c>
      <c r="J1170" s="4" t="s">
        <v>5031</v>
      </c>
      <c r="K1170" s="4" t="s">
        <v>4837</v>
      </c>
      <c r="L1170" s="4" t="s">
        <v>4966</v>
      </c>
      <c r="M1170" s="4" t="s">
        <v>5035</v>
      </c>
      <c r="N1170" t="s">
        <v>15</v>
      </c>
      <c r="O1170" t="s">
        <v>4334</v>
      </c>
      <c r="P1170" t="s">
        <v>23</v>
      </c>
      <c r="Q1170" t="s">
        <v>24</v>
      </c>
      <c r="R1170" t="s">
        <v>25</v>
      </c>
      <c r="S1170" t="s">
        <v>26</v>
      </c>
      <c r="T1170" s="6">
        <v>46307</v>
      </c>
      <c r="U1170">
        <v>228</v>
      </c>
      <c r="V1170">
        <v>228</v>
      </c>
      <c r="W1170">
        <v>216</v>
      </c>
      <c r="X1170">
        <v>216</v>
      </c>
      <c r="Y1170">
        <f t="shared" si="186"/>
        <v>0</v>
      </c>
      <c r="Z1170">
        <f t="shared" si="187"/>
        <v>12</v>
      </c>
      <c r="AA1170">
        <f>Z1170</f>
        <v>12</v>
      </c>
      <c r="AC1170" s="1">
        <v>0</v>
      </c>
      <c r="AF1170">
        <f>X1170</f>
        <v>216</v>
      </c>
      <c r="AG1170" s="7">
        <v>12</v>
      </c>
      <c r="AH1170">
        <f t="shared" si="188"/>
        <v>216</v>
      </c>
      <c r="AI1170">
        <f t="shared" si="185"/>
        <v>12</v>
      </c>
      <c r="AK1170">
        <f t="shared" si="189"/>
        <v>18</v>
      </c>
      <c r="AL1170">
        <v>12.02</v>
      </c>
      <c r="AM1170" t="s">
        <v>27</v>
      </c>
      <c r="AN1170">
        <v>12.02</v>
      </c>
      <c r="AO1170" t="b">
        <f t="shared" si="190"/>
        <v>1</v>
      </c>
      <c r="AR1170" t="s">
        <v>5061</v>
      </c>
      <c r="AS1170" s="21">
        <v>46276</v>
      </c>
      <c r="AT1170" t="s">
        <v>5062</v>
      </c>
      <c r="AU1170" t="s">
        <v>5085</v>
      </c>
      <c r="AV1170" t="s">
        <v>5089</v>
      </c>
      <c r="AW1170" t="s">
        <v>5090</v>
      </c>
    </row>
    <row r="1171" spans="1:49" x14ac:dyDescent="0.35">
      <c r="A1171" t="s">
        <v>4105</v>
      </c>
      <c r="B1171" t="s">
        <v>4106</v>
      </c>
      <c r="C1171" t="s">
        <v>4818</v>
      </c>
      <c r="D1171" t="s">
        <v>18</v>
      </c>
      <c r="E1171" t="s">
        <v>4335</v>
      </c>
      <c r="F1171" t="s">
        <v>4336</v>
      </c>
      <c r="G1171" t="s">
        <v>21</v>
      </c>
      <c r="H1171" t="s">
        <v>4826</v>
      </c>
      <c r="I1171" t="s">
        <v>5028</v>
      </c>
      <c r="J1171" s="4" t="s">
        <v>5029</v>
      </c>
      <c r="K1171" s="4" t="s">
        <v>5033</v>
      </c>
      <c r="L1171" s="4" t="s">
        <v>4969</v>
      </c>
      <c r="M1171" s="4" t="s">
        <v>5035</v>
      </c>
      <c r="N1171" t="s">
        <v>15</v>
      </c>
      <c r="O1171" t="s">
        <v>4337</v>
      </c>
      <c r="P1171" t="s">
        <v>23</v>
      </c>
      <c r="Q1171" t="s">
        <v>24</v>
      </c>
      <c r="R1171" t="s">
        <v>25</v>
      </c>
      <c r="S1171" t="s">
        <v>26</v>
      </c>
      <c r="T1171" s="6">
        <v>46307</v>
      </c>
      <c r="U1171">
        <v>24</v>
      </c>
      <c r="V1171">
        <v>24</v>
      </c>
      <c r="W1171">
        <v>24</v>
      </c>
      <c r="X1171">
        <v>24</v>
      </c>
      <c r="Y1171">
        <f t="shared" si="186"/>
        <v>0</v>
      </c>
      <c r="Z1171">
        <f t="shared" si="187"/>
        <v>0</v>
      </c>
      <c r="AC1171" s="1">
        <v>0</v>
      </c>
      <c r="AF1171">
        <f t="shared" ref="AF1171:AF1181" si="192">V1171</f>
        <v>24</v>
      </c>
      <c r="AG1171" s="7">
        <v>12</v>
      </c>
      <c r="AH1171">
        <f t="shared" si="188"/>
        <v>24</v>
      </c>
      <c r="AI1171">
        <f t="shared" si="185"/>
        <v>0</v>
      </c>
      <c r="AK1171">
        <f t="shared" si="189"/>
        <v>2</v>
      </c>
      <c r="AL1171">
        <v>12.09</v>
      </c>
      <c r="AM1171" t="s">
        <v>27</v>
      </c>
      <c r="AN1171">
        <v>12.09</v>
      </c>
      <c r="AO1171" t="b">
        <f t="shared" si="190"/>
        <v>1</v>
      </c>
      <c r="AR1171" t="s">
        <v>5061</v>
      </c>
      <c r="AS1171" s="21">
        <v>46276</v>
      </c>
      <c r="AT1171" t="s">
        <v>5062</v>
      </c>
      <c r="AU1171" t="s">
        <v>5084</v>
      </c>
      <c r="AV1171" t="s">
        <v>5089</v>
      </c>
      <c r="AW1171" t="s">
        <v>5090</v>
      </c>
    </row>
    <row r="1172" spans="1:49" x14ac:dyDescent="0.35">
      <c r="A1172" t="s">
        <v>4105</v>
      </c>
      <c r="B1172" t="s">
        <v>4106</v>
      </c>
      <c r="C1172" t="s">
        <v>4818</v>
      </c>
      <c r="D1172" t="s">
        <v>18</v>
      </c>
      <c r="E1172" t="s">
        <v>4338</v>
      </c>
      <c r="F1172" t="s">
        <v>4339</v>
      </c>
      <c r="G1172" t="s">
        <v>21</v>
      </c>
      <c r="H1172" t="s">
        <v>4826</v>
      </c>
      <c r="I1172" t="s">
        <v>5028</v>
      </c>
      <c r="J1172" s="4" t="s">
        <v>5029</v>
      </c>
      <c r="K1172" s="4" t="s">
        <v>4837</v>
      </c>
      <c r="L1172" s="4" t="s">
        <v>4962</v>
      </c>
      <c r="M1172" s="4" t="s">
        <v>5035</v>
      </c>
      <c r="N1172" t="s">
        <v>15</v>
      </c>
      <c r="O1172" t="s">
        <v>4340</v>
      </c>
      <c r="P1172" t="s">
        <v>23</v>
      </c>
      <c r="Q1172" t="s">
        <v>24</v>
      </c>
      <c r="R1172" t="s">
        <v>25</v>
      </c>
      <c r="S1172" t="s">
        <v>26</v>
      </c>
      <c r="T1172" s="6">
        <v>46307</v>
      </c>
      <c r="U1172">
        <v>144</v>
      </c>
      <c r="V1172">
        <v>144</v>
      </c>
      <c r="W1172">
        <v>144</v>
      </c>
      <c r="X1172">
        <v>144</v>
      </c>
      <c r="Y1172">
        <f t="shared" si="186"/>
        <v>0</v>
      </c>
      <c r="Z1172">
        <f t="shared" si="187"/>
        <v>0</v>
      </c>
      <c r="AC1172" s="1">
        <v>0</v>
      </c>
      <c r="AF1172">
        <f t="shared" si="192"/>
        <v>144</v>
      </c>
      <c r="AG1172" s="7">
        <v>12</v>
      </c>
      <c r="AH1172">
        <f t="shared" si="188"/>
        <v>144</v>
      </c>
      <c r="AI1172">
        <f t="shared" si="185"/>
        <v>0</v>
      </c>
      <c r="AK1172">
        <f t="shared" si="189"/>
        <v>12</v>
      </c>
      <c r="AL1172">
        <v>12.09</v>
      </c>
      <c r="AM1172" t="s">
        <v>27</v>
      </c>
      <c r="AN1172">
        <v>12.09</v>
      </c>
      <c r="AO1172" t="b">
        <f t="shared" si="190"/>
        <v>1</v>
      </c>
      <c r="AR1172" t="s">
        <v>5061</v>
      </c>
      <c r="AS1172" s="21">
        <v>46276</v>
      </c>
      <c r="AT1172" t="s">
        <v>5062</v>
      </c>
      <c r="AU1172" t="s">
        <v>5084</v>
      </c>
      <c r="AV1172" t="s">
        <v>5089</v>
      </c>
      <c r="AW1172" t="s">
        <v>5090</v>
      </c>
    </row>
    <row r="1173" spans="1:49" x14ac:dyDescent="0.35">
      <c r="A1173" t="s">
        <v>4105</v>
      </c>
      <c r="B1173" t="s">
        <v>4106</v>
      </c>
      <c r="C1173" t="s">
        <v>4818</v>
      </c>
      <c r="D1173" t="s">
        <v>18</v>
      </c>
      <c r="E1173" t="s">
        <v>4341</v>
      </c>
      <c r="F1173" t="s">
        <v>4342</v>
      </c>
      <c r="G1173" t="s">
        <v>21</v>
      </c>
      <c r="H1173" t="s">
        <v>4826</v>
      </c>
      <c r="I1173" t="s">
        <v>5028</v>
      </c>
      <c r="J1173" s="4" t="s">
        <v>5029</v>
      </c>
      <c r="K1173" s="4" t="s">
        <v>5033</v>
      </c>
      <c r="L1173" s="4" t="s">
        <v>4944</v>
      </c>
      <c r="M1173" s="4" t="s">
        <v>5035</v>
      </c>
      <c r="N1173" t="s">
        <v>15</v>
      </c>
      <c r="O1173" t="s">
        <v>4343</v>
      </c>
      <c r="P1173" t="s">
        <v>23</v>
      </c>
      <c r="Q1173" t="s">
        <v>24</v>
      </c>
      <c r="R1173" t="s">
        <v>25</v>
      </c>
      <c r="S1173" t="s">
        <v>26</v>
      </c>
      <c r="T1173" s="6">
        <v>46307</v>
      </c>
      <c r="U1173">
        <v>36</v>
      </c>
      <c r="V1173">
        <v>36</v>
      </c>
      <c r="W1173">
        <v>36</v>
      </c>
      <c r="X1173">
        <v>36</v>
      </c>
      <c r="Y1173">
        <f t="shared" si="186"/>
        <v>0</v>
      </c>
      <c r="Z1173">
        <f t="shared" si="187"/>
        <v>0</v>
      </c>
      <c r="AC1173" s="1">
        <v>0</v>
      </c>
      <c r="AF1173">
        <f t="shared" si="192"/>
        <v>36</v>
      </c>
      <c r="AG1173" s="7">
        <v>12</v>
      </c>
      <c r="AH1173">
        <f t="shared" si="188"/>
        <v>36</v>
      </c>
      <c r="AI1173">
        <f t="shared" si="185"/>
        <v>0</v>
      </c>
      <c r="AK1173">
        <f t="shared" si="189"/>
        <v>3</v>
      </c>
      <c r="AL1173">
        <v>12.09</v>
      </c>
      <c r="AM1173" t="s">
        <v>27</v>
      </c>
      <c r="AN1173">
        <v>12.09</v>
      </c>
      <c r="AO1173" t="b">
        <f t="shared" si="190"/>
        <v>1</v>
      </c>
      <c r="AR1173" t="s">
        <v>5061</v>
      </c>
      <c r="AS1173" s="21">
        <v>46276</v>
      </c>
      <c r="AT1173" t="s">
        <v>5062</v>
      </c>
      <c r="AU1173" t="s">
        <v>5084</v>
      </c>
      <c r="AV1173" t="s">
        <v>5089</v>
      </c>
      <c r="AW1173" t="s">
        <v>5090</v>
      </c>
    </row>
    <row r="1174" spans="1:49" x14ac:dyDescent="0.35">
      <c r="A1174" t="s">
        <v>4105</v>
      </c>
      <c r="B1174" t="s">
        <v>4106</v>
      </c>
      <c r="C1174" t="s">
        <v>4818</v>
      </c>
      <c r="D1174" t="s">
        <v>18</v>
      </c>
      <c r="E1174" t="s">
        <v>4344</v>
      </c>
      <c r="F1174" t="s">
        <v>4345</v>
      </c>
      <c r="G1174" t="s">
        <v>21</v>
      </c>
      <c r="H1174" t="s">
        <v>4826</v>
      </c>
      <c r="I1174" t="s">
        <v>5028</v>
      </c>
      <c r="J1174" s="4" t="s">
        <v>5029</v>
      </c>
      <c r="K1174" s="4" t="s">
        <v>5033</v>
      </c>
      <c r="L1174" s="4" t="s">
        <v>4949</v>
      </c>
      <c r="M1174" s="4" t="s">
        <v>5035</v>
      </c>
      <c r="N1174" t="s">
        <v>15</v>
      </c>
      <c r="O1174" t="s">
        <v>4346</v>
      </c>
      <c r="P1174" t="s">
        <v>23</v>
      </c>
      <c r="Q1174" t="s">
        <v>24</v>
      </c>
      <c r="R1174" t="s">
        <v>25</v>
      </c>
      <c r="S1174" t="s">
        <v>26</v>
      </c>
      <c r="T1174" s="6">
        <v>46307</v>
      </c>
      <c r="U1174">
        <v>48</v>
      </c>
      <c r="V1174">
        <v>48</v>
      </c>
      <c r="W1174">
        <v>48</v>
      </c>
      <c r="X1174">
        <v>48</v>
      </c>
      <c r="Y1174">
        <f t="shared" si="186"/>
        <v>0</v>
      </c>
      <c r="Z1174">
        <f t="shared" si="187"/>
        <v>0</v>
      </c>
      <c r="AC1174" s="1">
        <v>0</v>
      </c>
      <c r="AF1174">
        <f t="shared" si="192"/>
        <v>48</v>
      </c>
      <c r="AG1174" s="7">
        <v>12</v>
      </c>
      <c r="AH1174">
        <f t="shared" si="188"/>
        <v>48</v>
      </c>
      <c r="AI1174">
        <f t="shared" si="185"/>
        <v>0</v>
      </c>
      <c r="AK1174">
        <f t="shared" si="189"/>
        <v>4</v>
      </c>
      <c r="AL1174">
        <v>12.09</v>
      </c>
      <c r="AM1174" t="s">
        <v>27</v>
      </c>
      <c r="AN1174">
        <v>12.09</v>
      </c>
      <c r="AO1174" t="b">
        <f t="shared" si="190"/>
        <v>1</v>
      </c>
      <c r="AR1174" t="s">
        <v>5061</v>
      </c>
      <c r="AS1174" s="21">
        <v>46276</v>
      </c>
      <c r="AT1174" t="s">
        <v>5062</v>
      </c>
      <c r="AU1174" t="s">
        <v>5084</v>
      </c>
      <c r="AV1174" t="s">
        <v>5089</v>
      </c>
      <c r="AW1174" t="s">
        <v>5090</v>
      </c>
    </row>
    <row r="1175" spans="1:49" x14ac:dyDescent="0.35">
      <c r="A1175" t="s">
        <v>4105</v>
      </c>
      <c r="B1175" t="s">
        <v>4106</v>
      </c>
      <c r="C1175" t="s">
        <v>4818</v>
      </c>
      <c r="D1175" t="s">
        <v>18</v>
      </c>
      <c r="E1175" t="s">
        <v>4347</v>
      </c>
      <c r="F1175" t="s">
        <v>4348</v>
      </c>
      <c r="G1175" t="s">
        <v>21</v>
      </c>
      <c r="H1175" t="s">
        <v>4826</v>
      </c>
      <c r="I1175" t="s">
        <v>5028</v>
      </c>
      <c r="J1175" s="4" t="s">
        <v>5029</v>
      </c>
      <c r="K1175" s="4" t="s">
        <v>5033</v>
      </c>
      <c r="L1175" s="4" t="s">
        <v>4947</v>
      </c>
      <c r="M1175" s="4" t="s">
        <v>5035</v>
      </c>
      <c r="N1175" t="s">
        <v>15</v>
      </c>
      <c r="O1175" t="s">
        <v>4349</v>
      </c>
      <c r="P1175" t="s">
        <v>23</v>
      </c>
      <c r="Q1175" t="s">
        <v>24</v>
      </c>
      <c r="R1175" t="s">
        <v>25</v>
      </c>
      <c r="S1175" t="s">
        <v>26</v>
      </c>
      <c r="T1175" s="6">
        <v>46307</v>
      </c>
      <c r="U1175">
        <v>12</v>
      </c>
      <c r="V1175">
        <v>12</v>
      </c>
      <c r="W1175">
        <v>12</v>
      </c>
      <c r="X1175">
        <v>12</v>
      </c>
      <c r="Y1175">
        <f t="shared" si="186"/>
        <v>0</v>
      </c>
      <c r="Z1175">
        <f t="shared" si="187"/>
        <v>0</v>
      </c>
      <c r="AC1175" s="1">
        <v>0</v>
      </c>
      <c r="AF1175">
        <f t="shared" si="192"/>
        <v>12</v>
      </c>
      <c r="AG1175" s="7">
        <v>12</v>
      </c>
      <c r="AH1175">
        <f t="shared" si="188"/>
        <v>12</v>
      </c>
      <c r="AI1175">
        <f t="shared" si="185"/>
        <v>0</v>
      </c>
      <c r="AK1175">
        <f t="shared" si="189"/>
        <v>1</v>
      </c>
      <c r="AL1175">
        <v>12.09</v>
      </c>
      <c r="AM1175" t="s">
        <v>27</v>
      </c>
      <c r="AN1175">
        <v>12.09</v>
      </c>
      <c r="AO1175" t="b">
        <f t="shared" si="190"/>
        <v>1</v>
      </c>
      <c r="AR1175" t="s">
        <v>5061</v>
      </c>
      <c r="AS1175" s="21">
        <v>46276</v>
      </c>
      <c r="AT1175" t="s">
        <v>5062</v>
      </c>
      <c r="AU1175" t="s">
        <v>5084</v>
      </c>
      <c r="AV1175" t="s">
        <v>5089</v>
      </c>
      <c r="AW1175" t="s">
        <v>5090</v>
      </c>
    </row>
    <row r="1176" spans="1:49" x14ac:dyDescent="0.35">
      <c r="A1176" t="s">
        <v>4105</v>
      </c>
      <c r="B1176" t="s">
        <v>4106</v>
      </c>
      <c r="C1176" t="s">
        <v>4818</v>
      </c>
      <c r="D1176" t="s">
        <v>18</v>
      </c>
      <c r="E1176" t="s">
        <v>4350</v>
      </c>
      <c r="F1176" t="s">
        <v>4351</v>
      </c>
      <c r="G1176" t="s">
        <v>21</v>
      </c>
      <c r="H1176" t="s">
        <v>4826</v>
      </c>
      <c r="I1176" t="s">
        <v>5030</v>
      </c>
      <c r="J1176" s="4" t="s">
        <v>5031</v>
      </c>
      <c r="K1176" s="4" t="s">
        <v>4845</v>
      </c>
      <c r="L1176" s="4" t="s">
        <v>4965</v>
      </c>
      <c r="M1176" s="4" t="s">
        <v>5035</v>
      </c>
      <c r="N1176" t="s">
        <v>15</v>
      </c>
      <c r="O1176" t="s">
        <v>4352</v>
      </c>
      <c r="P1176" t="s">
        <v>23</v>
      </c>
      <c r="Q1176" t="s">
        <v>24</v>
      </c>
      <c r="R1176" t="s">
        <v>25</v>
      </c>
      <c r="S1176" t="s">
        <v>26</v>
      </c>
      <c r="T1176" s="6">
        <v>46307</v>
      </c>
      <c r="U1176">
        <v>24</v>
      </c>
      <c r="V1176">
        <v>24</v>
      </c>
      <c r="W1176">
        <v>24</v>
      </c>
      <c r="X1176">
        <v>24</v>
      </c>
      <c r="Y1176">
        <f t="shared" si="186"/>
        <v>0</v>
      </c>
      <c r="Z1176">
        <f t="shared" si="187"/>
        <v>0</v>
      </c>
      <c r="AC1176" s="1">
        <v>0</v>
      </c>
      <c r="AF1176">
        <f t="shared" si="192"/>
        <v>24</v>
      </c>
      <c r="AG1176" s="7">
        <v>12</v>
      </c>
      <c r="AH1176">
        <f t="shared" si="188"/>
        <v>24</v>
      </c>
      <c r="AI1176">
        <f t="shared" si="185"/>
        <v>0</v>
      </c>
      <c r="AK1176">
        <f t="shared" si="189"/>
        <v>2</v>
      </c>
      <c r="AL1176">
        <v>12.02</v>
      </c>
      <c r="AM1176" t="s">
        <v>27</v>
      </c>
      <c r="AN1176">
        <v>12.02</v>
      </c>
      <c r="AO1176" t="b">
        <f t="shared" si="190"/>
        <v>1</v>
      </c>
      <c r="AR1176" t="s">
        <v>5061</v>
      </c>
      <c r="AS1176" s="21">
        <v>46276</v>
      </c>
      <c r="AT1176" t="s">
        <v>5062</v>
      </c>
      <c r="AU1176" t="s">
        <v>5085</v>
      </c>
      <c r="AV1176" t="s">
        <v>5089</v>
      </c>
      <c r="AW1176" t="s">
        <v>5090</v>
      </c>
    </row>
    <row r="1177" spans="1:49" x14ac:dyDescent="0.35">
      <c r="A1177" t="s">
        <v>4105</v>
      </c>
      <c r="B1177" t="s">
        <v>4106</v>
      </c>
      <c r="C1177" t="s">
        <v>4818</v>
      </c>
      <c r="D1177" t="s">
        <v>18</v>
      </c>
      <c r="E1177" t="s">
        <v>4353</v>
      </c>
      <c r="F1177" t="s">
        <v>4354</v>
      </c>
      <c r="G1177" t="s">
        <v>21</v>
      </c>
      <c r="H1177" t="s">
        <v>4826</v>
      </c>
      <c r="I1177" t="s">
        <v>5028</v>
      </c>
      <c r="J1177" s="4" t="s">
        <v>5029</v>
      </c>
      <c r="K1177" s="4" t="s">
        <v>4832</v>
      </c>
      <c r="L1177" s="4" t="s">
        <v>4964</v>
      </c>
      <c r="M1177" s="4" t="s">
        <v>5035</v>
      </c>
      <c r="N1177" t="s">
        <v>15</v>
      </c>
      <c r="O1177" t="s">
        <v>4355</v>
      </c>
      <c r="P1177" t="s">
        <v>23</v>
      </c>
      <c r="Q1177" t="s">
        <v>24</v>
      </c>
      <c r="R1177" t="s">
        <v>25</v>
      </c>
      <c r="S1177" t="s">
        <v>26</v>
      </c>
      <c r="T1177" s="6">
        <v>46307</v>
      </c>
      <c r="U1177">
        <v>24</v>
      </c>
      <c r="V1177">
        <v>24</v>
      </c>
      <c r="W1177">
        <v>24</v>
      </c>
      <c r="X1177">
        <v>24</v>
      </c>
      <c r="Y1177">
        <f t="shared" si="186"/>
        <v>0</v>
      </c>
      <c r="Z1177">
        <f t="shared" si="187"/>
        <v>0</v>
      </c>
      <c r="AC1177" s="1">
        <v>0</v>
      </c>
      <c r="AF1177">
        <f t="shared" si="192"/>
        <v>24</v>
      </c>
      <c r="AG1177" s="7">
        <v>12</v>
      </c>
      <c r="AH1177">
        <f t="shared" si="188"/>
        <v>24</v>
      </c>
      <c r="AI1177">
        <f t="shared" si="185"/>
        <v>0</v>
      </c>
      <c r="AK1177">
        <f t="shared" si="189"/>
        <v>2</v>
      </c>
      <c r="AL1177">
        <v>12.09</v>
      </c>
      <c r="AM1177" t="s">
        <v>27</v>
      </c>
      <c r="AN1177">
        <v>12.09</v>
      </c>
      <c r="AO1177" t="b">
        <f t="shared" si="190"/>
        <v>1</v>
      </c>
      <c r="AR1177" t="s">
        <v>5061</v>
      </c>
      <c r="AS1177" s="21">
        <v>46276</v>
      </c>
      <c r="AT1177" t="s">
        <v>5062</v>
      </c>
      <c r="AU1177" t="s">
        <v>5084</v>
      </c>
      <c r="AV1177" t="s">
        <v>5089</v>
      </c>
      <c r="AW1177" t="s">
        <v>5090</v>
      </c>
    </row>
    <row r="1178" spans="1:49" x14ac:dyDescent="0.35">
      <c r="A1178" t="s">
        <v>4105</v>
      </c>
      <c r="B1178" t="s">
        <v>4106</v>
      </c>
      <c r="C1178" t="s">
        <v>4818</v>
      </c>
      <c r="D1178" t="s">
        <v>18</v>
      </c>
      <c r="E1178" t="s">
        <v>4356</v>
      </c>
      <c r="F1178" t="s">
        <v>4357</v>
      </c>
      <c r="G1178" t="s">
        <v>21</v>
      </c>
      <c r="H1178" t="s">
        <v>4826</v>
      </c>
      <c r="I1178" t="s">
        <v>5028</v>
      </c>
      <c r="J1178" s="4" t="s">
        <v>5029</v>
      </c>
      <c r="K1178" s="4" t="s">
        <v>4837</v>
      </c>
      <c r="L1178" s="4" t="s">
        <v>4951</v>
      </c>
      <c r="M1178" s="4" t="s">
        <v>5035</v>
      </c>
      <c r="N1178" t="s">
        <v>15</v>
      </c>
      <c r="O1178" t="s">
        <v>4358</v>
      </c>
      <c r="P1178" t="s">
        <v>23</v>
      </c>
      <c r="Q1178" t="s">
        <v>24</v>
      </c>
      <c r="R1178" t="s">
        <v>25</v>
      </c>
      <c r="S1178" t="s">
        <v>26</v>
      </c>
      <c r="T1178" s="6">
        <v>46307</v>
      </c>
      <c r="U1178">
        <v>156</v>
      </c>
      <c r="V1178">
        <v>156</v>
      </c>
      <c r="W1178">
        <v>168</v>
      </c>
      <c r="X1178">
        <v>168</v>
      </c>
      <c r="Y1178">
        <f t="shared" si="186"/>
        <v>0</v>
      </c>
      <c r="Z1178">
        <f t="shared" si="187"/>
        <v>-12</v>
      </c>
      <c r="AC1178" s="1">
        <v>0</v>
      </c>
      <c r="AF1178">
        <f t="shared" si="192"/>
        <v>156</v>
      </c>
      <c r="AG1178" s="7">
        <v>12</v>
      </c>
      <c r="AH1178">
        <f t="shared" si="188"/>
        <v>156</v>
      </c>
      <c r="AI1178">
        <f t="shared" si="185"/>
        <v>0</v>
      </c>
      <c r="AK1178">
        <f t="shared" si="189"/>
        <v>13</v>
      </c>
      <c r="AL1178">
        <v>12.09</v>
      </c>
      <c r="AM1178" t="s">
        <v>27</v>
      </c>
      <c r="AN1178">
        <v>12.09</v>
      </c>
      <c r="AO1178" t="b">
        <f t="shared" si="190"/>
        <v>1</v>
      </c>
      <c r="AR1178" t="s">
        <v>5061</v>
      </c>
      <c r="AS1178" s="21">
        <v>46276</v>
      </c>
      <c r="AT1178" t="s">
        <v>5062</v>
      </c>
      <c r="AU1178" t="s">
        <v>5084</v>
      </c>
      <c r="AV1178" t="s">
        <v>5089</v>
      </c>
      <c r="AW1178" t="s">
        <v>5090</v>
      </c>
    </row>
    <row r="1179" spans="1:49" x14ac:dyDescent="0.35">
      <c r="A1179" t="s">
        <v>4105</v>
      </c>
      <c r="B1179" t="s">
        <v>4106</v>
      </c>
      <c r="C1179" t="s">
        <v>4818</v>
      </c>
      <c r="D1179" t="s">
        <v>18</v>
      </c>
      <c r="E1179" t="s">
        <v>4359</v>
      </c>
      <c r="F1179" t="s">
        <v>4360</v>
      </c>
      <c r="G1179" t="s">
        <v>21</v>
      </c>
      <c r="H1179" t="s">
        <v>4826</v>
      </c>
      <c r="I1179" t="s">
        <v>5030</v>
      </c>
      <c r="J1179" s="4" t="s">
        <v>5031</v>
      </c>
      <c r="K1179" s="4" t="s">
        <v>4845</v>
      </c>
      <c r="L1179" s="4" t="s">
        <v>4956</v>
      </c>
      <c r="M1179" s="4" t="s">
        <v>5035</v>
      </c>
      <c r="N1179" t="s">
        <v>15</v>
      </c>
      <c r="O1179" t="s">
        <v>4361</v>
      </c>
      <c r="P1179" t="s">
        <v>23</v>
      </c>
      <c r="Q1179" t="s">
        <v>24</v>
      </c>
      <c r="R1179" t="s">
        <v>25</v>
      </c>
      <c r="S1179" t="s">
        <v>26</v>
      </c>
      <c r="T1179" s="6">
        <v>46307</v>
      </c>
      <c r="U1179">
        <v>24</v>
      </c>
      <c r="V1179">
        <v>24</v>
      </c>
      <c r="W1179">
        <v>24</v>
      </c>
      <c r="X1179">
        <v>24</v>
      </c>
      <c r="Y1179">
        <f t="shared" si="186"/>
        <v>0</v>
      </c>
      <c r="Z1179">
        <f t="shared" si="187"/>
        <v>0</v>
      </c>
      <c r="AC1179" s="1">
        <v>0</v>
      </c>
      <c r="AF1179">
        <f t="shared" si="192"/>
        <v>24</v>
      </c>
      <c r="AG1179" s="7">
        <v>12</v>
      </c>
      <c r="AH1179">
        <f t="shared" si="188"/>
        <v>24</v>
      </c>
      <c r="AI1179">
        <f t="shared" si="185"/>
        <v>0</v>
      </c>
      <c r="AK1179">
        <f t="shared" si="189"/>
        <v>2</v>
      </c>
      <c r="AL1179">
        <v>12.02</v>
      </c>
      <c r="AM1179" t="s">
        <v>27</v>
      </c>
      <c r="AN1179">
        <v>12.02</v>
      </c>
      <c r="AO1179" t="b">
        <f t="shared" si="190"/>
        <v>1</v>
      </c>
      <c r="AR1179" t="s">
        <v>5061</v>
      </c>
      <c r="AS1179" s="21">
        <v>46276</v>
      </c>
      <c r="AT1179" t="s">
        <v>5062</v>
      </c>
      <c r="AU1179" t="s">
        <v>5085</v>
      </c>
      <c r="AV1179" t="s">
        <v>5089</v>
      </c>
      <c r="AW1179" t="s">
        <v>5090</v>
      </c>
    </row>
    <row r="1180" spans="1:49" x14ac:dyDescent="0.35">
      <c r="A1180" t="s">
        <v>4105</v>
      </c>
      <c r="B1180" t="s">
        <v>4106</v>
      </c>
      <c r="C1180" t="s">
        <v>4818</v>
      </c>
      <c r="D1180" t="s">
        <v>18</v>
      </c>
      <c r="E1180" t="s">
        <v>4362</v>
      </c>
      <c r="F1180" t="s">
        <v>4363</v>
      </c>
      <c r="G1180" t="s">
        <v>21</v>
      </c>
      <c r="H1180" t="s">
        <v>4826</v>
      </c>
      <c r="I1180" t="s">
        <v>5028</v>
      </c>
      <c r="J1180" s="4" t="s">
        <v>5029</v>
      </c>
      <c r="K1180" s="4" t="s">
        <v>4837</v>
      </c>
      <c r="L1180" s="4" t="s">
        <v>4956</v>
      </c>
      <c r="M1180" s="4" t="s">
        <v>5035</v>
      </c>
      <c r="N1180" t="s">
        <v>15</v>
      </c>
      <c r="O1180" t="s">
        <v>4364</v>
      </c>
      <c r="P1180" t="s">
        <v>23</v>
      </c>
      <c r="Q1180" t="s">
        <v>24</v>
      </c>
      <c r="R1180" t="s">
        <v>25</v>
      </c>
      <c r="S1180" t="s">
        <v>26</v>
      </c>
      <c r="T1180" s="6">
        <v>46307</v>
      </c>
      <c r="U1180">
        <v>48</v>
      </c>
      <c r="V1180">
        <v>48</v>
      </c>
      <c r="W1180">
        <v>48</v>
      </c>
      <c r="X1180">
        <v>48</v>
      </c>
      <c r="Y1180">
        <f t="shared" si="186"/>
        <v>0</v>
      </c>
      <c r="Z1180">
        <f t="shared" si="187"/>
        <v>0</v>
      </c>
      <c r="AC1180" s="1">
        <v>0</v>
      </c>
      <c r="AF1180">
        <f t="shared" si="192"/>
        <v>48</v>
      </c>
      <c r="AG1180" s="7">
        <v>12</v>
      </c>
      <c r="AH1180">
        <f t="shared" si="188"/>
        <v>48</v>
      </c>
      <c r="AI1180">
        <f t="shared" si="185"/>
        <v>0</v>
      </c>
      <c r="AK1180">
        <f t="shared" si="189"/>
        <v>4</v>
      </c>
      <c r="AL1180">
        <v>12.09</v>
      </c>
      <c r="AM1180" t="s">
        <v>27</v>
      </c>
      <c r="AN1180">
        <v>12.09</v>
      </c>
      <c r="AO1180" t="b">
        <f t="shared" si="190"/>
        <v>1</v>
      </c>
      <c r="AR1180" t="s">
        <v>5061</v>
      </c>
      <c r="AS1180" s="21">
        <v>46276</v>
      </c>
      <c r="AT1180" t="s">
        <v>5062</v>
      </c>
      <c r="AU1180" t="s">
        <v>5084</v>
      </c>
      <c r="AV1180" t="s">
        <v>5089</v>
      </c>
      <c r="AW1180" t="s">
        <v>5090</v>
      </c>
    </row>
    <row r="1181" spans="1:49" x14ac:dyDescent="0.35">
      <c r="A1181" t="s">
        <v>4105</v>
      </c>
      <c r="B1181" t="s">
        <v>4106</v>
      </c>
      <c r="C1181" t="s">
        <v>4818</v>
      </c>
      <c r="D1181" t="s">
        <v>18</v>
      </c>
      <c r="E1181" t="s">
        <v>4365</v>
      </c>
      <c r="F1181" t="s">
        <v>4366</v>
      </c>
      <c r="G1181" t="s">
        <v>21</v>
      </c>
      <c r="H1181" t="s">
        <v>4826</v>
      </c>
      <c r="I1181" t="s">
        <v>5028</v>
      </c>
      <c r="J1181" s="4" t="s">
        <v>5029</v>
      </c>
      <c r="K1181" s="4" t="s">
        <v>4845</v>
      </c>
      <c r="L1181" s="4" t="s">
        <v>4953</v>
      </c>
      <c r="M1181" s="4" t="s">
        <v>5035</v>
      </c>
      <c r="N1181" t="s">
        <v>15</v>
      </c>
      <c r="O1181" t="s">
        <v>4367</v>
      </c>
      <c r="P1181" t="s">
        <v>23</v>
      </c>
      <c r="Q1181" t="s">
        <v>24</v>
      </c>
      <c r="R1181" t="s">
        <v>25</v>
      </c>
      <c r="S1181" t="s">
        <v>26</v>
      </c>
      <c r="T1181" s="6">
        <v>46307</v>
      </c>
      <c r="U1181">
        <v>36</v>
      </c>
      <c r="V1181">
        <v>36</v>
      </c>
      <c r="W1181">
        <v>36</v>
      </c>
      <c r="X1181">
        <v>36</v>
      </c>
      <c r="Y1181">
        <f t="shared" si="186"/>
        <v>0</v>
      </c>
      <c r="Z1181">
        <f t="shared" si="187"/>
        <v>0</v>
      </c>
      <c r="AC1181" s="1">
        <v>0</v>
      </c>
      <c r="AF1181">
        <f t="shared" si="192"/>
        <v>36</v>
      </c>
      <c r="AG1181" s="7">
        <v>12</v>
      </c>
      <c r="AH1181">
        <f t="shared" si="188"/>
        <v>36</v>
      </c>
      <c r="AI1181">
        <f t="shared" si="185"/>
        <v>0</v>
      </c>
      <c r="AK1181">
        <f t="shared" si="189"/>
        <v>3</v>
      </c>
      <c r="AL1181">
        <v>12.09</v>
      </c>
      <c r="AM1181" t="s">
        <v>27</v>
      </c>
      <c r="AN1181">
        <v>12.09</v>
      </c>
      <c r="AO1181" t="b">
        <f t="shared" si="190"/>
        <v>1</v>
      </c>
      <c r="AR1181" t="s">
        <v>5061</v>
      </c>
      <c r="AS1181" s="21">
        <v>46276</v>
      </c>
      <c r="AT1181" t="s">
        <v>5062</v>
      </c>
      <c r="AU1181" t="s">
        <v>5084</v>
      </c>
      <c r="AV1181" t="s">
        <v>5089</v>
      </c>
      <c r="AW1181" t="s">
        <v>5090</v>
      </c>
    </row>
    <row r="1182" spans="1:49" x14ac:dyDescent="0.35">
      <c r="A1182" t="s">
        <v>4105</v>
      </c>
      <c r="B1182" t="s">
        <v>4106</v>
      </c>
      <c r="C1182" t="s">
        <v>4818</v>
      </c>
      <c r="D1182" t="s">
        <v>18</v>
      </c>
      <c r="E1182" t="s">
        <v>4368</v>
      </c>
      <c r="F1182" t="s">
        <v>4369</v>
      </c>
      <c r="G1182" t="s">
        <v>21</v>
      </c>
      <c r="H1182" t="s">
        <v>4826</v>
      </c>
      <c r="I1182" t="s">
        <v>5028</v>
      </c>
      <c r="J1182" s="4" t="s">
        <v>5029</v>
      </c>
      <c r="K1182" s="4" t="s">
        <v>4837</v>
      </c>
      <c r="L1182" s="4" t="s">
        <v>4948</v>
      </c>
      <c r="M1182" s="4" t="s">
        <v>5035</v>
      </c>
      <c r="N1182" t="s">
        <v>15</v>
      </c>
      <c r="O1182" t="s">
        <v>4370</v>
      </c>
      <c r="P1182" t="s">
        <v>23</v>
      </c>
      <c r="Q1182" t="s">
        <v>24</v>
      </c>
      <c r="R1182" t="s">
        <v>25</v>
      </c>
      <c r="S1182" t="s">
        <v>26</v>
      </c>
      <c r="T1182" s="6">
        <v>46307</v>
      </c>
      <c r="U1182">
        <v>108</v>
      </c>
      <c r="V1182">
        <v>108</v>
      </c>
      <c r="W1182">
        <v>96</v>
      </c>
      <c r="X1182">
        <v>96</v>
      </c>
      <c r="Y1182">
        <f t="shared" si="186"/>
        <v>0</v>
      </c>
      <c r="Z1182">
        <f t="shared" si="187"/>
        <v>12</v>
      </c>
      <c r="AA1182">
        <f>Z1182</f>
        <v>12</v>
      </c>
      <c r="AC1182" s="1">
        <v>0</v>
      </c>
      <c r="AF1182">
        <f>X1182</f>
        <v>96</v>
      </c>
      <c r="AG1182" s="7">
        <v>12</v>
      </c>
      <c r="AH1182">
        <f t="shared" si="188"/>
        <v>96</v>
      </c>
      <c r="AI1182">
        <f t="shared" si="185"/>
        <v>12</v>
      </c>
      <c r="AK1182">
        <f t="shared" si="189"/>
        <v>8</v>
      </c>
      <c r="AL1182">
        <v>12.09</v>
      </c>
      <c r="AM1182" t="s">
        <v>27</v>
      </c>
      <c r="AN1182">
        <v>12.09</v>
      </c>
      <c r="AO1182" t="b">
        <f t="shared" si="190"/>
        <v>1</v>
      </c>
      <c r="AR1182" t="s">
        <v>5061</v>
      </c>
      <c r="AS1182" s="21">
        <v>46276</v>
      </c>
      <c r="AT1182" t="s">
        <v>5062</v>
      </c>
      <c r="AU1182" t="s">
        <v>5084</v>
      </c>
      <c r="AV1182" t="s">
        <v>5089</v>
      </c>
      <c r="AW1182" t="s">
        <v>5090</v>
      </c>
    </row>
    <row r="1183" spans="1:49" x14ac:dyDescent="0.35">
      <c r="A1183" t="s">
        <v>4105</v>
      </c>
      <c r="B1183" t="s">
        <v>4106</v>
      </c>
      <c r="C1183" t="s">
        <v>4818</v>
      </c>
      <c r="D1183" t="s">
        <v>18</v>
      </c>
      <c r="E1183" t="s">
        <v>4371</v>
      </c>
      <c r="F1183" t="s">
        <v>4372</v>
      </c>
      <c r="G1183" t="s">
        <v>21</v>
      </c>
      <c r="H1183" t="s">
        <v>4826</v>
      </c>
      <c r="I1183" t="s">
        <v>5030</v>
      </c>
      <c r="J1183" s="4" t="s">
        <v>5031</v>
      </c>
      <c r="K1183" s="4" t="s">
        <v>4837</v>
      </c>
      <c r="L1183" s="4" t="s">
        <v>4940</v>
      </c>
      <c r="M1183" s="4" t="s">
        <v>5035</v>
      </c>
      <c r="N1183" t="s">
        <v>15</v>
      </c>
      <c r="O1183" t="s">
        <v>4373</v>
      </c>
      <c r="P1183" t="s">
        <v>23</v>
      </c>
      <c r="Q1183" t="s">
        <v>24</v>
      </c>
      <c r="R1183" t="s">
        <v>25</v>
      </c>
      <c r="S1183" t="s">
        <v>26</v>
      </c>
      <c r="T1183" s="6">
        <v>46307</v>
      </c>
      <c r="U1183">
        <v>120</v>
      </c>
      <c r="V1183">
        <v>120</v>
      </c>
      <c r="W1183">
        <v>132</v>
      </c>
      <c r="X1183">
        <v>132</v>
      </c>
      <c r="Y1183">
        <f t="shared" si="186"/>
        <v>0</v>
      </c>
      <c r="Z1183">
        <f t="shared" si="187"/>
        <v>-12</v>
      </c>
      <c r="AC1183" s="1">
        <v>0</v>
      </c>
      <c r="AF1183">
        <f t="shared" ref="AF1183:AF1192" si="193">V1183</f>
        <v>120</v>
      </c>
      <c r="AG1183" s="7">
        <v>12</v>
      </c>
      <c r="AH1183">
        <f t="shared" si="188"/>
        <v>120</v>
      </c>
      <c r="AI1183">
        <f t="shared" si="185"/>
        <v>0</v>
      </c>
      <c r="AK1183">
        <f t="shared" si="189"/>
        <v>10</v>
      </c>
      <c r="AL1183">
        <v>12.02</v>
      </c>
      <c r="AM1183" t="s">
        <v>27</v>
      </c>
      <c r="AN1183">
        <v>12.02</v>
      </c>
      <c r="AO1183" t="b">
        <f t="shared" si="190"/>
        <v>1</v>
      </c>
      <c r="AR1183" t="s">
        <v>5061</v>
      </c>
      <c r="AS1183" s="21">
        <v>46276</v>
      </c>
      <c r="AT1183" t="s">
        <v>5062</v>
      </c>
      <c r="AU1183" t="s">
        <v>5085</v>
      </c>
      <c r="AV1183" t="s">
        <v>5089</v>
      </c>
      <c r="AW1183" t="s">
        <v>5090</v>
      </c>
    </row>
    <row r="1184" spans="1:49" x14ac:dyDescent="0.35">
      <c r="A1184" t="s">
        <v>4105</v>
      </c>
      <c r="B1184" t="s">
        <v>4106</v>
      </c>
      <c r="C1184" t="s">
        <v>4818</v>
      </c>
      <c r="D1184" t="s">
        <v>18</v>
      </c>
      <c r="E1184" t="s">
        <v>4374</v>
      </c>
      <c r="F1184" t="s">
        <v>4375</v>
      </c>
      <c r="G1184" t="s">
        <v>21</v>
      </c>
      <c r="H1184" t="s">
        <v>4826</v>
      </c>
      <c r="I1184" t="s">
        <v>5030</v>
      </c>
      <c r="J1184" s="4" t="s">
        <v>5031</v>
      </c>
      <c r="K1184" s="4" t="s">
        <v>5032</v>
      </c>
      <c r="L1184" s="4" t="s">
        <v>4973</v>
      </c>
      <c r="M1184" s="4" t="s">
        <v>5035</v>
      </c>
      <c r="N1184" t="s">
        <v>15</v>
      </c>
      <c r="O1184" t="s">
        <v>4376</v>
      </c>
      <c r="P1184" t="s">
        <v>23</v>
      </c>
      <c r="Q1184" t="s">
        <v>24</v>
      </c>
      <c r="R1184" t="s">
        <v>25</v>
      </c>
      <c r="S1184" t="s">
        <v>26</v>
      </c>
      <c r="T1184" s="6">
        <v>46307</v>
      </c>
      <c r="U1184">
        <v>36</v>
      </c>
      <c r="V1184">
        <v>36</v>
      </c>
      <c r="W1184">
        <v>36</v>
      </c>
      <c r="X1184">
        <v>36</v>
      </c>
      <c r="Y1184">
        <f t="shared" si="186"/>
        <v>0</v>
      </c>
      <c r="Z1184">
        <f t="shared" si="187"/>
        <v>0</v>
      </c>
      <c r="AC1184" s="1">
        <v>0</v>
      </c>
      <c r="AF1184">
        <f t="shared" si="193"/>
        <v>36</v>
      </c>
      <c r="AG1184" s="7">
        <v>12</v>
      </c>
      <c r="AH1184">
        <f t="shared" si="188"/>
        <v>36</v>
      </c>
      <c r="AI1184">
        <f t="shared" si="185"/>
        <v>0</v>
      </c>
      <c r="AK1184">
        <f t="shared" si="189"/>
        <v>3</v>
      </c>
      <c r="AL1184">
        <v>12.02</v>
      </c>
      <c r="AM1184" t="s">
        <v>27</v>
      </c>
      <c r="AN1184">
        <v>12.02</v>
      </c>
      <c r="AO1184" t="b">
        <f t="shared" si="190"/>
        <v>1</v>
      </c>
      <c r="AR1184" t="s">
        <v>5061</v>
      </c>
      <c r="AS1184" s="21">
        <v>46276</v>
      </c>
      <c r="AT1184" t="s">
        <v>5062</v>
      </c>
      <c r="AU1184" t="s">
        <v>5085</v>
      </c>
      <c r="AV1184" t="s">
        <v>5089</v>
      </c>
      <c r="AW1184" t="s">
        <v>5090</v>
      </c>
    </row>
    <row r="1185" spans="1:49" x14ac:dyDescent="0.35">
      <c r="A1185" t="s">
        <v>4105</v>
      </c>
      <c r="B1185" t="s">
        <v>4106</v>
      </c>
      <c r="C1185" t="s">
        <v>4818</v>
      </c>
      <c r="D1185" t="s">
        <v>18</v>
      </c>
      <c r="E1185" t="s">
        <v>4377</v>
      </c>
      <c r="F1185" t="s">
        <v>4378</v>
      </c>
      <c r="G1185" t="s">
        <v>21</v>
      </c>
      <c r="H1185" t="s">
        <v>4826</v>
      </c>
      <c r="I1185" t="s">
        <v>5030</v>
      </c>
      <c r="J1185" s="4" t="s">
        <v>5031</v>
      </c>
      <c r="K1185" s="4" t="s">
        <v>5033</v>
      </c>
      <c r="L1185" s="4" t="s">
        <v>4954</v>
      </c>
      <c r="M1185" s="4" t="s">
        <v>5035</v>
      </c>
      <c r="N1185" t="s">
        <v>15</v>
      </c>
      <c r="O1185" t="s">
        <v>4379</v>
      </c>
      <c r="P1185" t="s">
        <v>23</v>
      </c>
      <c r="Q1185" t="s">
        <v>24</v>
      </c>
      <c r="R1185" t="s">
        <v>25</v>
      </c>
      <c r="S1185" t="s">
        <v>26</v>
      </c>
      <c r="T1185" s="6">
        <v>46307</v>
      </c>
      <c r="U1185">
        <v>36</v>
      </c>
      <c r="V1185">
        <v>36</v>
      </c>
      <c r="W1185">
        <v>36</v>
      </c>
      <c r="X1185">
        <v>36</v>
      </c>
      <c r="Y1185">
        <f t="shared" si="186"/>
        <v>0</v>
      </c>
      <c r="Z1185">
        <f t="shared" si="187"/>
        <v>0</v>
      </c>
      <c r="AC1185" s="1">
        <v>0</v>
      </c>
      <c r="AF1185">
        <f t="shared" si="193"/>
        <v>36</v>
      </c>
      <c r="AG1185" s="7">
        <v>12</v>
      </c>
      <c r="AH1185">
        <f t="shared" si="188"/>
        <v>36</v>
      </c>
      <c r="AI1185">
        <f t="shared" si="185"/>
        <v>0</v>
      </c>
      <c r="AK1185">
        <f t="shared" si="189"/>
        <v>3</v>
      </c>
      <c r="AL1185">
        <v>12.02</v>
      </c>
      <c r="AM1185" t="s">
        <v>27</v>
      </c>
      <c r="AN1185">
        <v>12.02</v>
      </c>
      <c r="AO1185" t="b">
        <f t="shared" si="190"/>
        <v>1</v>
      </c>
      <c r="AR1185" t="s">
        <v>5061</v>
      </c>
      <c r="AS1185" s="21">
        <v>46276</v>
      </c>
      <c r="AT1185" t="s">
        <v>5062</v>
      </c>
      <c r="AU1185" t="s">
        <v>5085</v>
      </c>
      <c r="AV1185" t="s">
        <v>5089</v>
      </c>
      <c r="AW1185" t="s">
        <v>5090</v>
      </c>
    </row>
    <row r="1186" spans="1:49" x14ac:dyDescent="0.35">
      <c r="A1186" t="s">
        <v>4105</v>
      </c>
      <c r="B1186" t="s">
        <v>4106</v>
      </c>
      <c r="C1186" t="s">
        <v>4818</v>
      </c>
      <c r="D1186" t="s">
        <v>18</v>
      </c>
      <c r="E1186" t="s">
        <v>4380</v>
      </c>
      <c r="F1186" t="s">
        <v>4381</v>
      </c>
      <c r="G1186" t="s">
        <v>21</v>
      </c>
      <c r="H1186" t="s">
        <v>4826</v>
      </c>
      <c r="I1186" t="s">
        <v>5028</v>
      </c>
      <c r="J1186" s="4" t="s">
        <v>5029</v>
      </c>
      <c r="K1186" s="4" t="s">
        <v>4832</v>
      </c>
      <c r="L1186" s="4" t="s">
        <v>4963</v>
      </c>
      <c r="M1186" s="4" t="s">
        <v>5035</v>
      </c>
      <c r="N1186" t="s">
        <v>15</v>
      </c>
      <c r="O1186" t="s">
        <v>4382</v>
      </c>
      <c r="P1186" t="s">
        <v>23</v>
      </c>
      <c r="Q1186" t="s">
        <v>24</v>
      </c>
      <c r="R1186" t="s">
        <v>25</v>
      </c>
      <c r="S1186" t="s">
        <v>26</v>
      </c>
      <c r="T1186" s="6">
        <v>46307</v>
      </c>
      <c r="U1186">
        <v>12</v>
      </c>
      <c r="V1186">
        <v>12</v>
      </c>
      <c r="W1186">
        <v>12</v>
      </c>
      <c r="X1186">
        <v>12</v>
      </c>
      <c r="Y1186">
        <f t="shared" si="186"/>
        <v>0</v>
      </c>
      <c r="Z1186">
        <f t="shared" si="187"/>
        <v>0</v>
      </c>
      <c r="AC1186" s="1">
        <v>0</v>
      </c>
      <c r="AF1186">
        <f t="shared" si="193"/>
        <v>12</v>
      </c>
      <c r="AG1186" s="7">
        <v>12</v>
      </c>
      <c r="AH1186">
        <f t="shared" si="188"/>
        <v>12</v>
      </c>
      <c r="AI1186">
        <f t="shared" si="185"/>
        <v>0</v>
      </c>
      <c r="AK1186">
        <f t="shared" si="189"/>
        <v>1</v>
      </c>
      <c r="AL1186">
        <v>12.09</v>
      </c>
      <c r="AM1186" t="s">
        <v>27</v>
      </c>
      <c r="AN1186">
        <v>12.09</v>
      </c>
      <c r="AO1186" t="b">
        <f t="shared" si="190"/>
        <v>1</v>
      </c>
      <c r="AR1186" t="s">
        <v>5061</v>
      </c>
      <c r="AS1186" s="21">
        <v>46276</v>
      </c>
      <c r="AT1186" t="s">
        <v>5062</v>
      </c>
      <c r="AU1186" t="s">
        <v>5084</v>
      </c>
      <c r="AV1186" t="s">
        <v>5089</v>
      </c>
      <c r="AW1186" t="s">
        <v>5090</v>
      </c>
    </row>
    <row r="1187" spans="1:49" x14ac:dyDescent="0.35">
      <c r="A1187" t="s">
        <v>4105</v>
      </c>
      <c r="B1187" t="s">
        <v>4106</v>
      </c>
      <c r="C1187" t="s">
        <v>4818</v>
      </c>
      <c r="D1187" t="s">
        <v>18</v>
      </c>
      <c r="E1187" t="s">
        <v>4383</v>
      </c>
      <c r="F1187" t="s">
        <v>4384</v>
      </c>
      <c r="G1187" t="s">
        <v>21</v>
      </c>
      <c r="H1187" t="s">
        <v>4826</v>
      </c>
      <c r="I1187" t="s">
        <v>5030</v>
      </c>
      <c r="J1187" s="4" t="s">
        <v>5031</v>
      </c>
      <c r="K1187" s="4" t="s">
        <v>5033</v>
      </c>
      <c r="L1187" s="4" t="s">
        <v>4960</v>
      </c>
      <c r="M1187" s="4" t="s">
        <v>5035</v>
      </c>
      <c r="N1187" t="s">
        <v>15</v>
      </c>
      <c r="O1187" t="s">
        <v>4385</v>
      </c>
      <c r="P1187" t="s">
        <v>23</v>
      </c>
      <c r="Q1187" t="s">
        <v>24</v>
      </c>
      <c r="R1187" t="s">
        <v>25</v>
      </c>
      <c r="S1187" t="s">
        <v>26</v>
      </c>
      <c r="T1187" s="6">
        <v>46307</v>
      </c>
      <c r="U1187">
        <v>156</v>
      </c>
      <c r="V1187">
        <v>156</v>
      </c>
      <c r="W1187">
        <v>168</v>
      </c>
      <c r="X1187">
        <v>168</v>
      </c>
      <c r="Y1187">
        <f t="shared" si="186"/>
        <v>0</v>
      </c>
      <c r="Z1187">
        <f t="shared" si="187"/>
        <v>-12</v>
      </c>
      <c r="AC1187" s="1">
        <v>0</v>
      </c>
      <c r="AF1187">
        <f t="shared" si="193"/>
        <v>156</v>
      </c>
      <c r="AG1187" s="7">
        <v>12</v>
      </c>
      <c r="AH1187">
        <f t="shared" si="188"/>
        <v>156</v>
      </c>
      <c r="AI1187">
        <f t="shared" si="185"/>
        <v>0</v>
      </c>
      <c r="AK1187">
        <f t="shared" si="189"/>
        <v>13</v>
      </c>
      <c r="AL1187">
        <v>12.02</v>
      </c>
      <c r="AM1187" t="s">
        <v>27</v>
      </c>
      <c r="AN1187">
        <v>12.02</v>
      </c>
      <c r="AO1187" t="b">
        <f t="shared" si="190"/>
        <v>1</v>
      </c>
      <c r="AR1187" t="s">
        <v>5061</v>
      </c>
      <c r="AS1187" s="21">
        <v>46276</v>
      </c>
      <c r="AT1187" t="s">
        <v>5062</v>
      </c>
      <c r="AU1187" t="s">
        <v>5085</v>
      </c>
      <c r="AV1187" t="s">
        <v>5089</v>
      </c>
      <c r="AW1187" t="s">
        <v>5090</v>
      </c>
    </row>
    <row r="1188" spans="1:49" x14ac:dyDescent="0.35">
      <c r="A1188" t="s">
        <v>4105</v>
      </c>
      <c r="B1188" t="s">
        <v>4106</v>
      </c>
      <c r="C1188" t="s">
        <v>4818</v>
      </c>
      <c r="D1188" t="s">
        <v>18</v>
      </c>
      <c r="E1188" t="s">
        <v>4386</v>
      </c>
      <c r="F1188" t="s">
        <v>4387</v>
      </c>
      <c r="G1188" t="s">
        <v>21</v>
      </c>
      <c r="H1188" t="s">
        <v>4826</v>
      </c>
      <c r="I1188" t="s">
        <v>5030</v>
      </c>
      <c r="J1188" s="4" t="s">
        <v>5031</v>
      </c>
      <c r="K1188" s="4" t="s">
        <v>4837</v>
      </c>
      <c r="L1188" s="4" t="s">
        <v>4941</v>
      </c>
      <c r="M1188" s="4" t="s">
        <v>5035</v>
      </c>
      <c r="N1188" t="s">
        <v>15</v>
      </c>
      <c r="O1188" t="s">
        <v>4388</v>
      </c>
      <c r="P1188" t="s">
        <v>23</v>
      </c>
      <c r="Q1188" t="s">
        <v>24</v>
      </c>
      <c r="R1188" t="s">
        <v>25</v>
      </c>
      <c r="S1188" t="s">
        <v>26</v>
      </c>
      <c r="T1188" s="6">
        <v>46307</v>
      </c>
      <c r="U1188">
        <v>120</v>
      </c>
      <c r="V1188">
        <v>120</v>
      </c>
      <c r="W1188">
        <v>132</v>
      </c>
      <c r="X1188">
        <v>132</v>
      </c>
      <c r="Y1188">
        <f t="shared" si="186"/>
        <v>0</v>
      </c>
      <c r="Z1188">
        <f t="shared" si="187"/>
        <v>-12</v>
      </c>
      <c r="AC1188" s="1">
        <v>0</v>
      </c>
      <c r="AF1188">
        <f t="shared" si="193"/>
        <v>120</v>
      </c>
      <c r="AG1188" s="7">
        <v>12</v>
      </c>
      <c r="AH1188">
        <f t="shared" si="188"/>
        <v>120</v>
      </c>
      <c r="AI1188">
        <f t="shared" si="185"/>
        <v>0</v>
      </c>
      <c r="AK1188">
        <f t="shared" si="189"/>
        <v>10</v>
      </c>
      <c r="AL1188">
        <v>12.02</v>
      </c>
      <c r="AM1188" t="s">
        <v>27</v>
      </c>
      <c r="AN1188">
        <v>12.02</v>
      </c>
      <c r="AO1188" t="b">
        <f t="shared" si="190"/>
        <v>1</v>
      </c>
      <c r="AR1188" t="s">
        <v>5061</v>
      </c>
      <c r="AS1188" s="21">
        <v>46276</v>
      </c>
      <c r="AT1188" t="s">
        <v>5062</v>
      </c>
      <c r="AU1188" t="s">
        <v>5085</v>
      </c>
      <c r="AV1188" t="s">
        <v>5089</v>
      </c>
      <c r="AW1188" t="s">
        <v>5090</v>
      </c>
    </row>
    <row r="1189" spans="1:49" x14ac:dyDescent="0.35">
      <c r="A1189" t="s">
        <v>4105</v>
      </c>
      <c r="B1189" t="s">
        <v>4106</v>
      </c>
      <c r="C1189" t="s">
        <v>4818</v>
      </c>
      <c r="D1189" t="s">
        <v>18</v>
      </c>
      <c r="E1189" t="s">
        <v>4389</v>
      </c>
      <c r="F1189" t="s">
        <v>4390</v>
      </c>
      <c r="G1189" t="s">
        <v>21</v>
      </c>
      <c r="H1189" t="s">
        <v>4826</v>
      </c>
      <c r="I1189" t="s">
        <v>5030</v>
      </c>
      <c r="J1189" s="4" t="s">
        <v>5031</v>
      </c>
      <c r="K1189" s="4" t="s">
        <v>4837</v>
      </c>
      <c r="L1189" s="4" t="s">
        <v>4964</v>
      </c>
      <c r="M1189" s="4" t="s">
        <v>5035</v>
      </c>
      <c r="N1189" t="s">
        <v>15</v>
      </c>
      <c r="O1189" t="s">
        <v>4391</v>
      </c>
      <c r="P1189" t="s">
        <v>23</v>
      </c>
      <c r="Q1189" t="s">
        <v>24</v>
      </c>
      <c r="R1189" t="s">
        <v>25</v>
      </c>
      <c r="S1189" t="s">
        <v>26</v>
      </c>
      <c r="T1189" s="6">
        <v>46307</v>
      </c>
      <c r="U1189">
        <v>72</v>
      </c>
      <c r="V1189">
        <v>72</v>
      </c>
      <c r="W1189">
        <v>72</v>
      </c>
      <c r="X1189">
        <v>72</v>
      </c>
      <c r="Y1189">
        <f t="shared" si="186"/>
        <v>0</v>
      </c>
      <c r="Z1189">
        <f t="shared" si="187"/>
        <v>0</v>
      </c>
      <c r="AC1189" s="1">
        <v>0</v>
      </c>
      <c r="AF1189">
        <f t="shared" si="193"/>
        <v>72</v>
      </c>
      <c r="AG1189" s="7">
        <v>12</v>
      </c>
      <c r="AH1189">
        <f t="shared" si="188"/>
        <v>72</v>
      </c>
      <c r="AI1189">
        <f t="shared" si="185"/>
        <v>0</v>
      </c>
      <c r="AK1189">
        <f t="shared" si="189"/>
        <v>6</v>
      </c>
      <c r="AL1189">
        <v>12.02</v>
      </c>
      <c r="AM1189" t="s">
        <v>27</v>
      </c>
      <c r="AN1189">
        <v>12.02</v>
      </c>
      <c r="AO1189" t="b">
        <f t="shared" si="190"/>
        <v>1</v>
      </c>
      <c r="AR1189" t="s">
        <v>5061</v>
      </c>
      <c r="AS1189" s="21">
        <v>46276</v>
      </c>
      <c r="AT1189" t="s">
        <v>5062</v>
      </c>
      <c r="AU1189" t="s">
        <v>5085</v>
      </c>
      <c r="AV1189" t="s">
        <v>5089</v>
      </c>
      <c r="AW1189" t="s">
        <v>5090</v>
      </c>
    </row>
    <row r="1190" spans="1:49" x14ac:dyDescent="0.35">
      <c r="A1190" t="s">
        <v>4105</v>
      </c>
      <c r="B1190" t="s">
        <v>4106</v>
      </c>
      <c r="C1190" t="s">
        <v>4818</v>
      </c>
      <c r="D1190" t="s">
        <v>18</v>
      </c>
      <c r="E1190" t="s">
        <v>4392</v>
      </c>
      <c r="F1190" t="s">
        <v>4393</v>
      </c>
      <c r="G1190" t="s">
        <v>21</v>
      </c>
      <c r="H1190" t="s">
        <v>4826</v>
      </c>
      <c r="I1190" t="s">
        <v>5030</v>
      </c>
      <c r="J1190" s="4" t="s">
        <v>5031</v>
      </c>
      <c r="K1190" s="4" t="s">
        <v>5033</v>
      </c>
      <c r="L1190" s="4" t="s">
        <v>4953</v>
      </c>
      <c r="M1190" s="4" t="s">
        <v>5035</v>
      </c>
      <c r="N1190" t="s">
        <v>15</v>
      </c>
      <c r="O1190" t="s">
        <v>4394</v>
      </c>
      <c r="P1190" t="s">
        <v>23</v>
      </c>
      <c r="Q1190" t="s">
        <v>24</v>
      </c>
      <c r="R1190" t="s">
        <v>25</v>
      </c>
      <c r="S1190" t="s">
        <v>26</v>
      </c>
      <c r="T1190" s="6">
        <v>46307</v>
      </c>
      <c r="U1190">
        <v>132</v>
      </c>
      <c r="V1190">
        <v>132</v>
      </c>
      <c r="W1190">
        <v>132</v>
      </c>
      <c r="X1190">
        <v>132</v>
      </c>
      <c r="Y1190">
        <f t="shared" si="186"/>
        <v>0</v>
      </c>
      <c r="Z1190">
        <f t="shared" si="187"/>
        <v>0</v>
      </c>
      <c r="AC1190" s="1">
        <v>0</v>
      </c>
      <c r="AF1190">
        <f t="shared" si="193"/>
        <v>132</v>
      </c>
      <c r="AG1190" s="7">
        <v>12</v>
      </c>
      <c r="AH1190">
        <f t="shared" si="188"/>
        <v>132</v>
      </c>
      <c r="AI1190">
        <f t="shared" si="185"/>
        <v>0</v>
      </c>
      <c r="AK1190">
        <f t="shared" si="189"/>
        <v>11</v>
      </c>
      <c r="AL1190">
        <v>12.02</v>
      </c>
      <c r="AM1190" t="s">
        <v>27</v>
      </c>
      <c r="AN1190">
        <v>12.02</v>
      </c>
      <c r="AO1190" t="b">
        <f t="shared" si="190"/>
        <v>1</v>
      </c>
      <c r="AR1190" t="s">
        <v>5061</v>
      </c>
      <c r="AS1190" s="21">
        <v>46276</v>
      </c>
      <c r="AT1190" t="s">
        <v>5062</v>
      </c>
      <c r="AU1190" t="s">
        <v>5085</v>
      </c>
      <c r="AV1190" t="s">
        <v>5089</v>
      </c>
      <c r="AW1190" t="s">
        <v>5090</v>
      </c>
    </row>
    <row r="1191" spans="1:49" x14ac:dyDescent="0.35">
      <c r="A1191" t="s">
        <v>4105</v>
      </c>
      <c r="B1191" t="s">
        <v>4106</v>
      </c>
      <c r="C1191" t="s">
        <v>4818</v>
      </c>
      <c r="D1191" t="s">
        <v>18</v>
      </c>
      <c r="E1191" t="s">
        <v>4395</v>
      </c>
      <c r="F1191" t="s">
        <v>4396</v>
      </c>
      <c r="G1191" t="s">
        <v>21</v>
      </c>
      <c r="H1191" t="s">
        <v>4826</v>
      </c>
      <c r="I1191" t="s">
        <v>5030</v>
      </c>
      <c r="J1191" s="4" t="s">
        <v>5031</v>
      </c>
      <c r="K1191" s="4" t="s">
        <v>4837</v>
      </c>
      <c r="L1191" s="4" t="s">
        <v>4952</v>
      </c>
      <c r="M1191" s="4" t="s">
        <v>5035</v>
      </c>
      <c r="N1191" t="s">
        <v>15</v>
      </c>
      <c r="O1191" t="s">
        <v>4397</v>
      </c>
      <c r="P1191" t="s">
        <v>23</v>
      </c>
      <c r="Q1191" t="s">
        <v>24</v>
      </c>
      <c r="R1191" t="s">
        <v>25</v>
      </c>
      <c r="S1191" t="s">
        <v>26</v>
      </c>
      <c r="T1191" s="6">
        <v>46307</v>
      </c>
      <c r="U1191">
        <v>60</v>
      </c>
      <c r="V1191">
        <v>60</v>
      </c>
      <c r="W1191">
        <v>60</v>
      </c>
      <c r="X1191">
        <v>60</v>
      </c>
      <c r="Y1191">
        <f t="shared" si="186"/>
        <v>0</v>
      </c>
      <c r="Z1191">
        <f t="shared" si="187"/>
        <v>0</v>
      </c>
      <c r="AC1191" s="1">
        <v>0</v>
      </c>
      <c r="AF1191">
        <f t="shared" si="193"/>
        <v>60</v>
      </c>
      <c r="AG1191" s="7">
        <v>12</v>
      </c>
      <c r="AH1191">
        <f t="shared" si="188"/>
        <v>60</v>
      </c>
      <c r="AI1191">
        <f t="shared" si="185"/>
        <v>0</v>
      </c>
      <c r="AK1191">
        <f t="shared" si="189"/>
        <v>5</v>
      </c>
      <c r="AL1191">
        <v>12.02</v>
      </c>
      <c r="AM1191" t="s">
        <v>27</v>
      </c>
      <c r="AN1191">
        <v>12.02</v>
      </c>
      <c r="AO1191" t="b">
        <f t="shared" si="190"/>
        <v>1</v>
      </c>
      <c r="AR1191" t="s">
        <v>5061</v>
      </c>
      <c r="AS1191" s="21">
        <v>46276</v>
      </c>
      <c r="AT1191" t="s">
        <v>5062</v>
      </c>
      <c r="AU1191" t="s">
        <v>5085</v>
      </c>
      <c r="AV1191" t="s">
        <v>5089</v>
      </c>
      <c r="AW1191" t="s">
        <v>5090</v>
      </c>
    </row>
    <row r="1192" spans="1:49" x14ac:dyDescent="0.35">
      <c r="A1192" t="s">
        <v>4105</v>
      </c>
      <c r="B1192" t="s">
        <v>4106</v>
      </c>
      <c r="C1192" t="s">
        <v>4818</v>
      </c>
      <c r="D1192" t="s">
        <v>18</v>
      </c>
      <c r="E1192" t="s">
        <v>4398</v>
      </c>
      <c r="F1192" t="s">
        <v>4399</v>
      </c>
      <c r="G1192" t="s">
        <v>21</v>
      </c>
      <c r="H1192" t="s">
        <v>4826</v>
      </c>
      <c r="I1192" t="s">
        <v>5030</v>
      </c>
      <c r="J1192" s="4" t="s">
        <v>5031</v>
      </c>
      <c r="K1192" s="4" t="s">
        <v>5033</v>
      </c>
      <c r="L1192" s="4" t="s">
        <v>4973</v>
      </c>
      <c r="M1192" s="4" t="s">
        <v>5035</v>
      </c>
      <c r="N1192" t="s">
        <v>15</v>
      </c>
      <c r="O1192" t="s">
        <v>4400</v>
      </c>
      <c r="P1192" t="s">
        <v>23</v>
      </c>
      <c r="Q1192" t="s">
        <v>24</v>
      </c>
      <c r="R1192" t="s">
        <v>25</v>
      </c>
      <c r="S1192" t="s">
        <v>26</v>
      </c>
      <c r="T1192" s="6">
        <v>46307</v>
      </c>
      <c r="U1192">
        <v>60</v>
      </c>
      <c r="V1192">
        <v>60</v>
      </c>
      <c r="W1192">
        <v>72</v>
      </c>
      <c r="X1192">
        <v>72</v>
      </c>
      <c r="Y1192">
        <f t="shared" si="186"/>
        <v>0</v>
      </c>
      <c r="Z1192">
        <f t="shared" si="187"/>
        <v>-12</v>
      </c>
      <c r="AC1192" s="1">
        <v>0</v>
      </c>
      <c r="AF1192">
        <f t="shared" si="193"/>
        <v>60</v>
      </c>
      <c r="AG1192" s="7">
        <v>12</v>
      </c>
      <c r="AH1192">
        <f t="shared" si="188"/>
        <v>60</v>
      </c>
      <c r="AI1192">
        <f t="shared" si="185"/>
        <v>0</v>
      </c>
      <c r="AK1192">
        <f t="shared" si="189"/>
        <v>5</v>
      </c>
      <c r="AL1192">
        <v>12.02</v>
      </c>
      <c r="AM1192" t="s">
        <v>27</v>
      </c>
      <c r="AN1192">
        <v>12.02</v>
      </c>
      <c r="AO1192" t="b">
        <f t="shared" si="190"/>
        <v>1</v>
      </c>
      <c r="AR1192" t="s">
        <v>5061</v>
      </c>
      <c r="AS1192" s="21">
        <v>46276</v>
      </c>
      <c r="AT1192" t="s">
        <v>5062</v>
      </c>
      <c r="AU1192" t="s">
        <v>5085</v>
      </c>
      <c r="AV1192" t="s">
        <v>5089</v>
      </c>
      <c r="AW1192" t="s">
        <v>5090</v>
      </c>
    </row>
    <row r="1193" spans="1:49" x14ac:dyDescent="0.35">
      <c r="A1193" t="s">
        <v>4105</v>
      </c>
      <c r="B1193" t="s">
        <v>4106</v>
      </c>
      <c r="C1193" t="s">
        <v>4818</v>
      </c>
      <c r="D1193" t="s">
        <v>18</v>
      </c>
      <c r="E1193" t="s">
        <v>4401</v>
      </c>
      <c r="F1193" t="s">
        <v>4402</v>
      </c>
      <c r="G1193" t="s">
        <v>21</v>
      </c>
      <c r="H1193" t="s">
        <v>4826</v>
      </c>
      <c r="I1193" t="s">
        <v>5030</v>
      </c>
      <c r="J1193" s="4" t="s">
        <v>5031</v>
      </c>
      <c r="K1193" s="4" t="s">
        <v>4837</v>
      </c>
      <c r="L1193" s="4" t="s">
        <v>4971</v>
      </c>
      <c r="M1193" s="4" t="s">
        <v>5035</v>
      </c>
      <c r="N1193" t="s">
        <v>15</v>
      </c>
      <c r="O1193" t="s">
        <v>4403</v>
      </c>
      <c r="P1193" t="s">
        <v>23</v>
      </c>
      <c r="Q1193" t="s">
        <v>24</v>
      </c>
      <c r="R1193" t="s">
        <v>25</v>
      </c>
      <c r="S1193" t="s">
        <v>26</v>
      </c>
      <c r="T1193" s="6">
        <v>46307</v>
      </c>
      <c r="U1193">
        <v>156</v>
      </c>
      <c r="V1193">
        <v>156</v>
      </c>
      <c r="W1193">
        <v>144</v>
      </c>
      <c r="X1193">
        <v>144</v>
      </c>
      <c r="Y1193">
        <f t="shared" si="186"/>
        <v>0</v>
      </c>
      <c r="Z1193">
        <f t="shared" si="187"/>
        <v>12</v>
      </c>
      <c r="AA1193">
        <f t="shared" ref="AA1193:AA1194" si="194">Z1193</f>
        <v>12</v>
      </c>
      <c r="AC1193" s="1">
        <v>0</v>
      </c>
      <c r="AF1193">
        <f>X1193</f>
        <v>144</v>
      </c>
      <c r="AG1193" s="7">
        <v>12</v>
      </c>
      <c r="AH1193">
        <f t="shared" si="188"/>
        <v>144</v>
      </c>
      <c r="AI1193">
        <f t="shared" si="185"/>
        <v>12</v>
      </c>
      <c r="AK1193">
        <f t="shared" si="189"/>
        <v>12</v>
      </c>
      <c r="AL1193">
        <v>12.02</v>
      </c>
      <c r="AM1193" t="s">
        <v>27</v>
      </c>
      <c r="AN1193">
        <v>12.02</v>
      </c>
      <c r="AO1193" t="b">
        <f t="shared" si="190"/>
        <v>1</v>
      </c>
      <c r="AR1193" t="s">
        <v>5061</v>
      </c>
      <c r="AS1193" s="21">
        <v>46276</v>
      </c>
      <c r="AT1193" t="s">
        <v>5062</v>
      </c>
      <c r="AU1193" t="s">
        <v>5085</v>
      </c>
      <c r="AV1193" t="s">
        <v>5089</v>
      </c>
      <c r="AW1193" t="s">
        <v>5090</v>
      </c>
    </row>
    <row r="1194" spans="1:49" x14ac:dyDescent="0.35">
      <c r="A1194" t="s">
        <v>4105</v>
      </c>
      <c r="B1194" t="s">
        <v>4106</v>
      </c>
      <c r="C1194" t="s">
        <v>4818</v>
      </c>
      <c r="D1194" t="s">
        <v>18</v>
      </c>
      <c r="E1194" t="s">
        <v>4404</v>
      </c>
      <c r="F1194" t="s">
        <v>4405</v>
      </c>
      <c r="G1194" t="s">
        <v>21</v>
      </c>
      <c r="H1194" t="s">
        <v>4826</v>
      </c>
      <c r="I1194" t="s">
        <v>5030</v>
      </c>
      <c r="J1194" s="4" t="s">
        <v>5031</v>
      </c>
      <c r="K1194" s="4" t="s">
        <v>5034</v>
      </c>
      <c r="L1194" s="4" t="s">
        <v>4946</v>
      </c>
      <c r="M1194" s="4" t="s">
        <v>5035</v>
      </c>
      <c r="N1194" t="s">
        <v>15</v>
      </c>
      <c r="O1194" t="s">
        <v>4406</v>
      </c>
      <c r="P1194" t="s">
        <v>23</v>
      </c>
      <c r="Q1194" t="s">
        <v>24</v>
      </c>
      <c r="R1194" t="s">
        <v>25</v>
      </c>
      <c r="S1194" t="s">
        <v>26</v>
      </c>
      <c r="T1194" s="6">
        <v>46307</v>
      </c>
      <c r="U1194">
        <v>48</v>
      </c>
      <c r="V1194">
        <v>48</v>
      </c>
      <c r="W1194">
        <v>36</v>
      </c>
      <c r="X1194">
        <v>36</v>
      </c>
      <c r="Y1194">
        <f t="shared" si="186"/>
        <v>0</v>
      </c>
      <c r="Z1194">
        <f t="shared" si="187"/>
        <v>12</v>
      </c>
      <c r="AA1194">
        <f t="shared" si="194"/>
        <v>12</v>
      </c>
      <c r="AC1194" s="1">
        <v>0</v>
      </c>
      <c r="AF1194">
        <f>X1194</f>
        <v>36</v>
      </c>
      <c r="AG1194" s="7">
        <v>12</v>
      </c>
      <c r="AH1194">
        <f t="shared" si="188"/>
        <v>36</v>
      </c>
      <c r="AI1194">
        <f t="shared" si="185"/>
        <v>12</v>
      </c>
      <c r="AK1194">
        <f t="shared" si="189"/>
        <v>3</v>
      </c>
      <c r="AL1194">
        <v>12.02</v>
      </c>
      <c r="AM1194" t="s">
        <v>27</v>
      </c>
      <c r="AN1194">
        <v>12.02</v>
      </c>
      <c r="AO1194" t="b">
        <f t="shared" si="190"/>
        <v>1</v>
      </c>
      <c r="AR1194" t="s">
        <v>5061</v>
      </c>
      <c r="AS1194" s="21">
        <v>46276</v>
      </c>
      <c r="AT1194" t="s">
        <v>5062</v>
      </c>
      <c r="AU1194" t="s">
        <v>5085</v>
      </c>
      <c r="AV1194" t="s">
        <v>5089</v>
      </c>
      <c r="AW1194" t="s">
        <v>5090</v>
      </c>
    </row>
    <row r="1195" spans="1:49" x14ac:dyDescent="0.35">
      <c r="A1195" t="s">
        <v>4105</v>
      </c>
      <c r="B1195" t="s">
        <v>4106</v>
      </c>
      <c r="C1195" t="s">
        <v>4818</v>
      </c>
      <c r="D1195" t="s">
        <v>18</v>
      </c>
      <c r="E1195" t="s">
        <v>4407</v>
      </c>
      <c r="F1195" t="s">
        <v>4408</v>
      </c>
      <c r="G1195" t="s">
        <v>21</v>
      </c>
      <c r="H1195" t="s">
        <v>4826</v>
      </c>
      <c r="I1195" t="s">
        <v>5030</v>
      </c>
      <c r="J1195" s="4" t="s">
        <v>5031</v>
      </c>
      <c r="K1195" s="4" t="s">
        <v>5032</v>
      </c>
      <c r="L1195" s="4" t="s">
        <v>4961</v>
      </c>
      <c r="M1195" s="4" t="s">
        <v>5035</v>
      </c>
      <c r="N1195" t="s">
        <v>15</v>
      </c>
      <c r="O1195" t="s">
        <v>4409</v>
      </c>
      <c r="P1195" t="s">
        <v>23</v>
      </c>
      <c r="Q1195" t="s">
        <v>24</v>
      </c>
      <c r="R1195" t="s">
        <v>25</v>
      </c>
      <c r="S1195" t="s">
        <v>26</v>
      </c>
      <c r="T1195" s="6">
        <v>46307</v>
      </c>
      <c r="U1195">
        <v>60</v>
      </c>
      <c r="V1195">
        <v>60</v>
      </c>
      <c r="W1195">
        <v>60</v>
      </c>
      <c r="X1195">
        <v>60</v>
      </c>
      <c r="Y1195">
        <f t="shared" si="186"/>
        <v>0</v>
      </c>
      <c r="Z1195">
        <f t="shared" si="187"/>
        <v>0</v>
      </c>
      <c r="AC1195" s="1">
        <v>0</v>
      </c>
      <c r="AF1195">
        <f t="shared" ref="AF1195:AF1228" si="195">V1195</f>
        <v>60</v>
      </c>
      <c r="AG1195" s="7">
        <v>12</v>
      </c>
      <c r="AH1195">
        <f t="shared" si="188"/>
        <v>60</v>
      </c>
      <c r="AI1195">
        <f t="shared" si="185"/>
        <v>0</v>
      </c>
      <c r="AK1195">
        <f t="shared" si="189"/>
        <v>5</v>
      </c>
      <c r="AL1195">
        <v>12.02</v>
      </c>
      <c r="AM1195" t="s">
        <v>27</v>
      </c>
      <c r="AN1195">
        <v>12.02</v>
      </c>
      <c r="AO1195" t="b">
        <f t="shared" si="190"/>
        <v>1</v>
      </c>
      <c r="AR1195" t="s">
        <v>5061</v>
      </c>
      <c r="AS1195" s="21">
        <v>46276</v>
      </c>
      <c r="AT1195" t="s">
        <v>5062</v>
      </c>
      <c r="AU1195" t="s">
        <v>5085</v>
      </c>
      <c r="AV1195" t="s">
        <v>5089</v>
      </c>
      <c r="AW1195" t="s">
        <v>5090</v>
      </c>
    </row>
    <row r="1196" spans="1:49" x14ac:dyDescent="0.35">
      <c r="A1196" t="s">
        <v>4105</v>
      </c>
      <c r="B1196" t="s">
        <v>4106</v>
      </c>
      <c r="C1196" t="s">
        <v>4818</v>
      </c>
      <c r="D1196" t="s">
        <v>18</v>
      </c>
      <c r="E1196" t="s">
        <v>4410</v>
      </c>
      <c r="F1196" t="s">
        <v>4411</v>
      </c>
      <c r="G1196" t="s">
        <v>21</v>
      </c>
      <c r="H1196" t="s">
        <v>4826</v>
      </c>
      <c r="I1196" t="s">
        <v>5030</v>
      </c>
      <c r="J1196" s="4" t="s">
        <v>5031</v>
      </c>
      <c r="K1196" s="4" t="s">
        <v>5032</v>
      </c>
      <c r="L1196" s="4" t="s">
        <v>4947</v>
      </c>
      <c r="M1196" s="4" t="s">
        <v>5035</v>
      </c>
      <c r="N1196" t="s">
        <v>15</v>
      </c>
      <c r="O1196" t="s">
        <v>4412</v>
      </c>
      <c r="P1196" t="s">
        <v>23</v>
      </c>
      <c r="Q1196" t="s">
        <v>24</v>
      </c>
      <c r="R1196" t="s">
        <v>25</v>
      </c>
      <c r="S1196" t="s">
        <v>26</v>
      </c>
      <c r="T1196" s="6">
        <v>46307</v>
      </c>
      <c r="U1196">
        <v>12</v>
      </c>
      <c r="V1196">
        <v>12</v>
      </c>
      <c r="W1196">
        <v>12</v>
      </c>
      <c r="X1196">
        <v>12</v>
      </c>
      <c r="Y1196">
        <f t="shared" si="186"/>
        <v>0</v>
      </c>
      <c r="Z1196">
        <f t="shared" si="187"/>
        <v>0</v>
      </c>
      <c r="AC1196" s="1">
        <v>0</v>
      </c>
      <c r="AF1196">
        <f t="shared" si="195"/>
        <v>12</v>
      </c>
      <c r="AG1196" s="7">
        <v>12</v>
      </c>
      <c r="AH1196">
        <f t="shared" si="188"/>
        <v>12</v>
      </c>
      <c r="AI1196">
        <f t="shared" si="185"/>
        <v>0</v>
      </c>
      <c r="AK1196">
        <f t="shared" si="189"/>
        <v>1</v>
      </c>
      <c r="AL1196">
        <v>12.02</v>
      </c>
      <c r="AM1196" t="s">
        <v>27</v>
      </c>
      <c r="AN1196">
        <v>12.02</v>
      </c>
      <c r="AO1196" t="b">
        <f t="shared" si="190"/>
        <v>1</v>
      </c>
      <c r="AR1196" t="s">
        <v>5061</v>
      </c>
      <c r="AS1196" s="21">
        <v>46276</v>
      </c>
      <c r="AT1196" t="s">
        <v>5062</v>
      </c>
      <c r="AU1196" t="s">
        <v>5085</v>
      </c>
      <c r="AV1196" t="s">
        <v>5089</v>
      </c>
      <c r="AW1196" t="s">
        <v>5090</v>
      </c>
    </row>
    <row r="1197" spans="1:49" x14ac:dyDescent="0.35">
      <c r="A1197" t="s">
        <v>4105</v>
      </c>
      <c r="B1197" t="s">
        <v>4106</v>
      </c>
      <c r="C1197" t="s">
        <v>4818</v>
      </c>
      <c r="D1197" t="s">
        <v>18</v>
      </c>
      <c r="E1197" t="s">
        <v>4413</v>
      </c>
      <c r="F1197" t="s">
        <v>4414</v>
      </c>
      <c r="G1197" t="s">
        <v>21</v>
      </c>
      <c r="H1197" t="s">
        <v>4826</v>
      </c>
      <c r="I1197" t="s">
        <v>5030</v>
      </c>
      <c r="J1197" s="4" t="s">
        <v>5031</v>
      </c>
      <c r="K1197" s="4" t="s">
        <v>4837</v>
      </c>
      <c r="L1197" s="4" t="s">
        <v>4943</v>
      </c>
      <c r="M1197" s="4" t="s">
        <v>5035</v>
      </c>
      <c r="N1197" t="s">
        <v>15</v>
      </c>
      <c r="O1197" t="s">
        <v>4415</v>
      </c>
      <c r="P1197" t="s">
        <v>23</v>
      </c>
      <c r="Q1197" t="s">
        <v>24</v>
      </c>
      <c r="R1197" t="s">
        <v>25</v>
      </c>
      <c r="S1197" t="s">
        <v>26</v>
      </c>
      <c r="T1197" s="6">
        <v>46307</v>
      </c>
      <c r="U1197">
        <v>96</v>
      </c>
      <c r="V1197">
        <v>96</v>
      </c>
      <c r="W1197">
        <v>108</v>
      </c>
      <c r="X1197">
        <v>108</v>
      </c>
      <c r="Y1197">
        <f t="shared" si="186"/>
        <v>0</v>
      </c>
      <c r="Z1197">
        <f t="shared" si="187"/>
        <v>-12</v>
      </c>
      <c r="AC1197" s="1">
        <v>0</v>
      </c>
      <c r="AF1197">
        <f t="shared" si="195"/>
        <v>96</v>
      </c>
      <c r="AG1197" s="7">
        <v>12</v>
      </c>
      <c r="AH1197">
        <f t="shared" si="188"/>
        <v>96</v>
      </c>
      <c r="AI1197">
        <f t="shared" si="185"/>
        <v>0</v>
      </c>
      <c r="AK1197">
        <f t="shared" si="189"/>
        <v>8</v>
      </c>
      <c r="AL1197">
        <v>12.02</v>
      </c>
      <c r="AM1197" t="s">
        <v>27</v>
      </c>
      <c r="AN1197">
        <v>12.02</v>
      </c>
      <c r="AO1197" t="b">
        <f t="shared" si="190"/>
        <v>1</v>
      </c>
      <c r="AR1197" t="s">
        <v>5061</v>
      </c>
      <c r="AS1197" s="21">
        <v>46276</v>
      </c>
      <c r="AT1197" t="s">
        <v>5062</v>
      </c>
      <c r="AU1197" t="s">
        <v>5085</v>
      </c>
      <c r="AV1197" t="s">
        <v>5089</v>
      </c>
      <c r="AW1197" t="s">
        <v>5090</v>
      </c>
    </row>
    <row r="1198" spans="1:49" x14ac:dyDescent="0.35">
      <c r="A1198" t="s">
        <v>4105</v>
      </c>
      <c r="B1198" t="s">
        <v>4106</v>
      </c>
      <c r="C1198" t="s">
        <v>4818</v>
      </c>
      <c r="D1198" t="s">
        <v>18</v>
      </c>
      <c r="E1198" t="s">
        <v>4416</v>
      </c>
      <c r="F1198" t="s">
        <v>4417</v>
      </c>
      <c r="G1198" t="s">
        <v>21</v>
      </c>
      <c r="H1198" t="s">
        <v>4826</v>
      </c>
      <c r="I1198" t="s">
        <v>5028</v>
      </c>
      <c r="J1198" s="4" t="s">
        <v>5029</v>
      </c>
      <c r="K1198" s="4" t="s">
        <v>4845</v>
      </c>
      <c r="L1198" s="4" t="s">
        <v>4964</v>
      </c>
      <c r="M1198" s="4" t="s">
        <v>5035</v>
      </c>
      <c r="N1198" t="s">
        <v>15</v>
      </c>
      <c r="O1198" t="s">
        <v>4418</v>
      </c>
      <c r="P1198" t="s">
        <v>23</v>
      </c>
      <c r="Q1198" t="s">
        <v>24</v>
      </c>
      <c r="R1198" t="s">
        <v>25</v>
      </c>
      <c r="S1198" t="s">
        <v>26</v>
      </c>
      <c r="T1198" s="6">
        <v>46307</v>
      </c>
      <c r="U1198">
        <v>48</v>
      </c>
      <c r="V1198">
        <v>48</v>
      </c>
      <c r="W1198">
        <v>48</v>
      </c>
      <c r="X1198">
        <v>48</v>
      </c>
      <c r="Y1198">
        <f t="shared" si="186"/>
        <v>0</v>
      </c>
      <c r="Z1198">
        <f t="shared" si="187"/>
        <v>0</v>
      </c>
      <c r="AC1198" s="1">
        <v>0</v>
      </c>
      <c r="AF1198">
        <f t="shared" si="195"/>
        <v>48</v>
      </c>
      <c r="AG1198" s="7">
        <v>12</v>
      </c>
      <c r="AH1198">
        <f t="shared" si="188"/>
        <v>48</v>
      </c>
      <c r="AI1198">
        <f t="shared" si="185"/>
        <v>0</v>
      </c>
      <c r="AK1198">
        <f t="shared" si="189"/>
        <v>4</v>
      </c>
      <c r="AL1198">
        <v>12.09</v>
      </c>
      <c r="AM1198" t="s">
        <v>27</v>
      </c>
      <c r="AN1198">
        <v>12.09</v>
      </c>
      <c r="AO1198" t="b">
        <f t="shared" si="190"/>
        <v>1</v>
      </c>
      <c r="AR1198" t="s">
        <v>5061</v>
      </c>
      <c r="AS1198" s="21">
        <v>46276</v>
      </c>
      <c r="AT1198" t="s">
        <v>5062</v>
      </c>
      <c r="AU1198" t="s">
        <v>5084</v>
      </c>
      <c r="AV1198" t="s">
        <v>5089</v>
      </c>
      <c r="AW1198" t="s">
        <v>5090</v>
      </c>
    </row>
    <row r="1199" spans="1:49" x14ac:dyDescent="0.35">
      <c r="A1199" t="s">
        <v>4105</v>
      </c>
      <c r="B1199" t="s">
        <v>4106</v>
      </c>
      <c r="C1199" t="s">
        <v>4818</v>
      </c>
      <c r="D1199" t="s">
        <v>18</v>
      </c>
      <c r="E1199" t="s">
        <v>4419</v>
      </c>
      <c r="F1199" t="s">
        <v>4420</v>
      </c>
      <c r="G1199" t="s">
        <v>21</v>
      </c>
      <c r="H1199" t="s">
        <v>4826</v>
      </c>
      <c r="I1199" t="s">
        <v>5030</v>
      </c>
      <c r="J1199" s="4" t="s">
        <v>5031</v>
      </c>
      <c r="K1199" s="4" t="s">
        <v>5033</v>
      </c>
      <c r="L1199" s="4" t="s">
        <v>4961</v>
      </c>
      <c r="M1199" s="4" t="s">
        <v>5035</v>
      </c>
      <c r="N1199" t="s">
        <v>15</v>
      </c>
      <c r="O1199" t="s">
        <v>4421</v>
      </c>
      <c r="P1199" t="s">
        <v>23</v>
      </c>
      <c r="Q1199" t="s">
        <v>24</v>
      </c>
      <c r="R1199" t="s">
        <v>25</v>
      </c>
      <c r="S1199" t="s">
        <v>26</v>
      </c>
      <c r="T1199" s="6">
        <v>46307</v>
      </c>
      <c r="U1199">
        <v>108</v>
      </c>
      <c r="V1199">
        <v>108</v>
      </c>
      <c r="W1199">
        <v>120</v>
      </c>
      <c r="X1199">
        <v>120</v>
      </c>
      <c r="Y1199">
        <f t="shared" si="186"/>
        <v>0</v>
      </c>
      <c r="Z1199">
        <f t="shared" si="187"/>
        <v>-12</v>
      </c>
      <c r="AC1199" s="1">
        <v>0</v>
      </c>
      <c r="AF1199">
        <f t="shared" si="195"/>
        <v>108</v>
      </c>
      <c r="AG1199" s="7">
        <v>12</v>
      </c>
      <c r="AH1199">
        <f t="shared" si="188"/>
        <v>108</v>
      </c>
      <c r="AI1199">
        <f t="shared" si="185"/>
        <v>0</v>
      </c>
      <c r="AK1199">
        <f t="shared" si="189"/>
        <v>9</v>
      </c>
      <c r="AL1199">
        <v>12.02</v>
      </c>
      <c r="AM1199" t="s">
        <v>27</v>
      </c>
      <c r="AN1199">
        <v>12.02</v>
      </c>
      <c r="AO1199" t="b">
        <f t="shared" si="190"/>
        <v>1</v>
      </c>
      <c r="AR1199" t="s">
        <v>5061</v>
      </c>
      <c r="AS1199" s="21">
        <v>46276</v>
      </c>
      <c r="AT1199" t="s">
        <v>5062</v>
      </c>
      <c r="AU1199" t="s">
        <v>5085</v>
      </c>
      <c r="AV1199" t="s">
        <v>5089</v>
      </c>
      <c r="AW1199" t="s">
        <v>5090</v>
      </c>
    </row>
    <row r="1200" spans="1:49" x14ac:dyDescent="0.35">
      <c r="A1200" t="s">
        <v>4105</v>
      </c>
      <c r="B1200" t="s">
        <v>4106</v>
      </c>
      <c r="C1200" t="s">
        <v>4818</v>
      </c>
      <c r="D1200" t="s">
        <v>18</v>
      </c>
      <c r="E1200" t="s">
        <v>4422</v>
      </c>
      <c r="F1200" t="s">
        <v>4423</v>
      </c>
      <c r="G1200" t="s">
        <v>21</v>
      </c>
      <c r="H1200" t="s">
        <v>4826</v>
      </c>
      <c r="I1200" t="s">
        <v>5028</v>
      </c>
      <c r="J1200" s="4" t="s">
        <v>5029</v>
      </c>
      <c r="K1200" s="4" t="s">
        <v>5033</v>
      </c>
      <c r="L1200" s="4" t="s">
        <v>4959</v>
      </c>
      <c r="M1200" s="4" t="s">
        <v>5035</v>
      </c>
      <c r="N1200" t="s">
        <v>15</v>
      </c>
      <c r="O1200" t="s">
        <v>4424</v>
      </c>
      <c r="P1200" t="s">
        <v>23</v>
      </c>
      <c r="Q1200" t="s">
        <v>24</v>
      </c>
      <c r="R1200" t="s">
        <v>25</v>
      </c>
      <c r="S1200" t="s">
        <v>26</v>
      </c>
      <c r="T1200" s="6">
        <v>46307</v>
      </c>
      <c r="U1200">
        <v>12</v>
      </c>
      <c r="V1200">
        <v>12</v>
      </c>
      <c r="W1200">
        <v>12</v>
      </c>
      <c r="X1200">
        <v>12</v>
      </c>
      <c r="Y1200">
        <f t="shared" si="186"/>
        <v>0</v>
      </c>
      <c r="Z1200">
        <f t="shared" si="187"/>
        <v>0</v>
      </c>
      <c r="AC1200" s="1">
        <v>0</v>
      </c>
      <c r="AF1200">
        <f t="shared" si="195"/>
        <v>12</v>
      </c>
      <c r="AG1200" s="7">
        <v>12</v>
      </c>
      <c r="AH1200">
        <f t="shared" si="188"/>
        <v>12</v>
      </c>
      <c r="AI1200">
        <f t="shared" si="185"/>
        <v>0</v>
      </c>
      <c r="AK1200">
        <f t="shared" si="189"/>
        <v>1</v>
      </c>
      <c r="AL1200">
        <v>12.09</v>
      </c>
      <c r="AM1200" t="s">
        <v>27</v>
      </c>
      <c r="AN1200">
        <v>12.09</v>
      </c>
      <c r="AO1200" t="b">
        <f t="shared" si="190"/>
        <v>1</v>
      </c>
      <c r="AR1200" t="s">
        <v>5061</v>
      </c>
      <c r="AS1200" s="21">
        <v>46276</v>
      </c>
      <c r="AT1200" t="s">
        <v>5062</v>
      </c>
      <c r="AU1200" t="s">
        <v>5084</v>
      </c>
      <c r="AV1200" t="s">
        <v>5089</v>
      </c>
      <c r="AW1200" t="s">
        <v>5090</v>
      </c>
    </row>
    <row r="1201" spans="1:49" x14ac:dyDescent="0.35">
      <c r="A1201" t="s">
        <v>4105</v>
      </c>
      <c r="B1201" t="s">
        <v>4106</v>
      </c>
      <c r="C1201" t="s">
        <v>4818</v>
      </c>
      <c r="D1201" t="s">
        <v>18</v>
      </c>
      <c r="E1201" t="s">
        <v>4425</v>
      </c>
      <c r="F1201" t="s">
        <v>4426</v>
      </c>
      <c r="G1201" t="s">
        <v>21</v>
      </c>
      <c r="H1201" t="s">
        <v>4826</v>
      </c>
      <c r="I1201" t="s">
        <v>5030</v>
      </c>
      <c r="J1201" s="4" t="s">
        <v>5031</v>
      </c>
      <c r="K1201" s="4" t="s">
        <v>5034</v>
      </c>
      <c r="L1201" s="4" t="s">
        <v>4966</v>
      </c>
      <c r="M1201" s="4" t="s">
        <v>5035</v>
      </c>
      <c r="N1201" t="s">
        <v>15</v>
      </c>
      <c r="O1201" t="s">
        <v>4427</v>
      </c>
      <c r="P1201" t="s">
        <v>23</v>
      </c>
      <c r="Q1201" t="s">
        <v>24</v>
      </c>
      <c r="R1201" t="s">
        <v>25</v>
      </c>
      <c r="S1201" t="s">
        <v>26</v>
      </c>
      <c r="T1201" s="6">
        <v>46307</v>
      </c>
      <c r="U1201">
        <v>12</v>
      </c>
      <c r="V1201">
        <v>12</v>
      </c>
      <c r="W1201">
        <v>12</v>
      </c>
      <c r="X1201">
        <v>12</v>
      </c>
      <c r="Y1201">
        <f t="shared" si="186"/>
        <v>0</v>
      </c>
      <c r="Z1201">
        <f t="shared" si="187"/>
        <v>0</v>
      </c>
      <c r="AC1201" s="1">
        <v>0</v>
      </c>
      <c r="AF1201">
        <f t="shared" si="195"/>
        <v>12</v>
      </c>
      <c r="AG1201" s="7">
        <v>12</v>
      </c>
      <c r="AH1201">
        <f t="shared" si="188"/>
        <v>12</v>
      </c>
      <c r="AI1201">
        <f t="shared" si="185"/>
        <v>0</v>
      </c>
      <c r="AK1201">
        <f t="shared" si="189"/>
        <v>1</v>
      </c>
      <c r="AL1201">
        <v>12.02</v>
      </c>
      <c r="AM1201" t="s">
        <v>27</v>
      </c>
      <c r="AN1201">
        <v>12.02</v>
      </c>
      <c r="AO1201" t="b">
        <f t="shared" si="190"/>
        <v>1</v>
      </c>
      <c r="AR1201" t="s">
        <v>5061</v>
      </c>
      <c r="AS1201" s="21">
        <v>46276</v>
      </c>
      <c r="AT1201" t="s">
        <v>5062</v>
      </c>
      <c r="AU1201" t="s">
        <v>5085</v>
      </c>
      <c r="AV1201" t="s">
        <v>5089</v>
      </c>
      <c r="AW1201" t="s">
        <v>5090</v>
      </c>
    </row>
    <row r="1202" spans="1:49" x14ac:dyDescent="0.35">
      <c r="A1202" t="s">
        <v>4105</v>
      </c>
      <c r="B1202" t="s">
        <v>4106</v>
      </c>
      <c r="C1202" t="s">
        <v>4818</v>
      </c>
      <c r="D1202" t="s">
        <v>18</v>
      </c>
      <c r="E1202" t="s">
        <v>4428</v>
      </c>
      <c r="F1202" t="s">
        <v>4429</v>
      </c>
      <c r="G1202" t="s">
        <v>21</v>
      </c>
      <c r="H1202" t="s">
        <v>4826</v>
      </c>
      <c r="I1202" t="s">
        <v>5028</v>
      </c>
      <c r="J1202" s="4" t="s">
        <v>5029</v>
      </c>
      <c r="K1202" s="4" t="s">
        <v>4837</v>
      </c>
      <c r="L1202" s="4" t="s">
        <v>4968</v>
      </c>
      <c r="M1202" s="4" t="s">
        <v>5035</v>
      </c>
      <c r="N1202" t="s">
        <v>15</v>
      </c>
      <c r="O1202" t="s">
        <v>4430</v>
      </c>
      <c r="P1202" t="s">
        <v>23</v>
      </c>
      <c r="Q1202" t="s">
        <v>24</v>
      </c>
      <c r="R1202" t="s">
        <v>25</v>
      </c>
      <c r="S1202" t="s">
        <v>26</v>
      </c>
      <c r="T1202" s="6">
        <v>46307</v>
      </c>
      <c r="U1202">
        <v>96</v>
      </c>
      <c r="V1202">
        <v>96</v>
      </c>
      <c r="W1202">
        <v>108</v>
      </c>
      <c r="X1202">
        <v>108</v>
      </c>
      <c r="Y1202">
        <f t="shared" si="186"/>
        <v>0</v>
      </c>
      <c r="Z1202">
        <f t="shared" si="187"/>
        <v>-12</v>
      </c>
      <c r="AC1202" s="1">
        <v>0</v>
      </c>
      <c r="AF1202">
        <f t="shared" si="195"/>
        <v>96</v>
      </c>
      <c r="AG1202" s="7">
        <v>12</v>
      </c>
      <c r="AH1202">
        <f t="shared" si="188"/>
        <v>96</v>
      </c>
      <c r="AI1202">
        <f t="shared" si="185"/>
        <v>0</v>
      </c>
      <c r="AK1202">
        <f t="shared" si="189"/>
        <v>8</v>
      </c>
      <c r="AL1202">
        <v>12.09</v>
      </c>
      <c r="AM1202" t="s">
        <v>27</v>
      </c>
      <c r="AN1202">
        <v>12.09</v>
      </c>
      <c r="AO1202" t="b">
        <f t="shared" si="190"/>
        <v>1</v>
      </c>
      <c r="AR1202" t="s">
        <v>5061</v>
      </c>
      <c r="AS1202" s="21">
        <v>46276</v>
      </c>
      <c r="AT1202" t="s">
        <v>5062</v>
      </c>
      <c r="AU1202" t="s">
        <v>5084</v>
      </c>
      <c r="AV1202" t="s">
        <v>5089</v>
      </c>
      <c r="AW1202" t="s">
        <v>5090</v>
      </c>
    </row>
    <row r="1203" spans="1:49" x14ac:dyDescent="0.35">
      <c r="A1203" t="s">
        <v>4105</v>
      </c>
      <c r="B1203" t="s">
        <v>4106</v>
      </c>
      <c r="C1203" t="s">
        <v>4818</v>
      </c>
      <c r="D1203" t="s">
        <v>18</v>
      </c>
      <c r="E1203" t="s">
        <v>4431</v>
      </c>
      <c r="F1203" t="s">
        <v>4432</v>
      </c>
      <c r="G1203" t="s">
        <v>21</v>
      </c>
      <c r="H1203" t="s">
        <v>4826</v>
      </c>
      <c r="I1203" t="s">
        <v>5030</v>
      </c>
      <c r="J1203" s="4" t="s">
        <v>5031</v>
      </c>
      <c r="K1203" s="4" t="s">
        <v>4845</v>
      </c>
      <c r="L1203" s="4" t="s">
        <v>4939</v>
      </c>
      <c r="M1203" s="4" t="s">
        <v>5035</v>
      </c>
      <c r="N1203" t="s">
        <v>15</v>
      </c>
      <c r="O1203" t="s">
        <v>4433</v>
      </c>
      <c r="P1203" t="s">
        <v>23</v>
      </c>
      <c r="Q1203" t="s">
        <v>24</v>
      </c>
      <c r="R1203" t="s">
        <v>25</v>
      </c>
      <c r="S1203" t="s">
        <v>26</v>
      </c>
      <c r="T1203" s="6">
        <v>46307</v>
      </c>
      <c r="U1203">
        <v>24</v>
      </c>
      <c r="V1203">
        <v>24</v>
      </c>
      <c r="W1203">
        <v>24</v>
      </c>
      <c r="X1203">
        <v>24</v>
      </c>
      <c r="Y1203">
        <f t="shared" si="186"/>
        <v>0</v>
      </c>
      <c r="Z1203">
        <f t="shared" si="187"/>
        <v>0</v>
      </c>
      <c r="AC1203" s="1">
        <v>0</v>
      </c>
      <c r="AF1203">
        <f t="shared" si="195"/>
        <v>24</v>
      </c>
      <c r="AG1203" s="7">
        <v>12</v>
      </c>
      <c r="AH1203">
        <f t="shared" si="188"/>
        <v>24</v>
      </c>
      <c r="AI1203">
        <f t="shared" si="185"/>
        <v>0</v>
      </c>
      <c r="AK1203">
        <f t="shared" si="189"/>
        <v>2</v>
      </c>
      <c r="AL1203">
        <v>12.02</v>
      </c>
      <c r="AM1203" t="s">
        <v>27</v>
      </c>
      <c r="AN1203">
        <v>12.02</v>
      </c>
      <c r="AO1203" t="b">
        <f t="shared" si="190"/>
        <v>1</v>
      </c>
      <c r="AR1203" t="s">
        <v>5061</v>
      </c>
      <c r="AS1203" s="21">
        <v>46276</v>
      </c>
      <c r="AT1203" t="s">
        <v>5062</v>
      </c>
      <c r="AU1203" t="s">
        <v>5085</v>
      </c>
      <c r="AV1203" t="s">
        <v>5089</v>
      </c>
      <c r="AW1203" t="s">
        <v>5090</v>
      </c>
    </row>
    <row r="1204" spans="1:49" x14ac:dyDescent="0.35">
      <c r="A1204" t="s">
        <v>4105</v>
      </c>
      <c r="B1204" t="s">
        <v>4106</v>
      </c>
      <c r="C1204" t="s">
        <v>4818</v>
      </c>
      <c r="D1204" t="s">
        <v>18</v>
      </c>
      <c r="E1204" t="s">
        <v>4434</v>
      </c>
      <c r="F1204" t="s">
        <v>4435</v>
      </c>
      <c r="G1204" t="s">
        <v>21</v>
      </c>
      <c r="H1204" t="s">
        <v>4826</v>
      </c>
      <c r="I1204" t="s">
        <v>5030</v>
      </c>
      <c r="J1204" s="4" t="s">
        <v>5031</v>
      </c>
      <c r="K1204" s="4" t="s">
        <v>5034</v>
      </c>
      <c r="L1204" s="4" t="s">
        <v>4938</v>
      </c>
      <c r="M1204" s="4" t="s">
        <v>5035</v>
      </c>
      <c r="N1204" t="s">
        <v>15</v>
      </c>
      <c r="O1204" t="s">
        <v>4436</v>
      </c>
      <c r="P1204" t="s">
        <v>23</v>
      </c>
      <c r="Q1204" t="s">
        <v>24</v>
      </c>
      <c r="R1204" t="s">
        <v>25</v>
      </c>
      <c r="S1204" t="s">
        <v>26</v>
      </c>
      <c r="T1204" s="6">
        <v>46307</v>
      </c>
      <c r="U1204">
        <v>180</v>
      </c>
      <c r="V1204">
        <v>180</v>
      </c>
      <c r="W1204">
        <v>180</v>
      </c>
      <c r="X1204">
        <v>180</v>
      </c>
      <c r="Y1204">
        <f t="shared" si="186"/>
        <v>0</v>
      </c>
      <c r="Z1204">
        <f t="shared" si="187"/>
        <v>0</v>
      </c>
      <c r="AC1204" s="1">
        <v>0</v>
      </c>
      <c r="AF1204">
        <f t="shared" si="195"/>
        <v>180</v>
      </c>
      <c r="AG1204" s="7">
        <v>12</v>
      </c>
      <c r="AH1204">
        <f t="shared" si="188"/>
        <v>180</v>
      </c>
      <c r="AI1204">
        <f t="shared" si="185"/>
        <v>0</v>
      </c>
      <c r="AK1204">
        <f t="shared" si="189"/>
        <v>15</v>
      </c>
      <c r="AL1204">
        <v>12.02</v>
      </c>
      <c r="AM1204" t="s">
        <v>27</v>
      </c>
      <c r="AN1204">
        <v>12.02</v>
      </c>
      <c r="AO1204" t="b">
        <f t="shared" si="190"/>
        <v>1</v>
      </c>
      <c r="AR1204" t="s">
        <v>5061</v>
      </c>
      <c r="AS1204" s="21">
        <v>46276</v>
      </c>
      <c r="AT1204" t="s">
        <v>5062</v>
      </c>
      <c r="AU1204" t="s">
        <v>5085</v>
      </c>
      <c r="AV1204" t="s">
        <v>5089</v>
      </c>
      <c r="AW1204" t="s">
        <v>5090</v>
      </c>
    </row>
    <row r="1205" spans="1:49" x14ac:dyDescent="0.35">
      <c r="A1205" t="s">
        <v>4105</v>
      </c>
      <c r="B1205" t="s">
        <v>4106</v>
      </c>
      <c r="C1205" t="s">
        <v>4818</v>
      </c>
      <c r="D1205" t="s">
        <v>18</v>
      </c>
      <c r="E1205" t="s">
        <v>4437</v>
      </c>
      <c r="F1205" t="s">
        <v>4438</v>
      </c>
      <c r="G1205" t="s">
        <v>21</v>
      </c>
      <c r="H1205" t="s">
        <v>4826</v>
      </c>
      <c r="I1205" t="s">
        <v>5028</v>
      </c>
      <c r="J1205" s="4" t="s">
        <v>5029</v>
      </c>
      <c r="K1205" s="4" t="s">
        <v>4845</v>
      </c>
      <c r="L1205" s="4" t="s">
        <v>4956</v>
      </c>
      <c r="M1205" s="4" t="s">
        <v>5035</v>
      </c>
      <c r="N1205" t="s">
        <v>15</v>
      </c>
      <c r="O1205" t="s">
        <v>4439</v>
      </c>
      <c r="P1205" t="s">
        <v>23</v>
      </c>
      <c r="Q1205" t="s">
        <v>24</v>
      </c>
      <c r="R1205" t="s">
        <v>25</v>
      </c>
      <c r="S1205" t="s">
        <v>26</v>
      </c>
      <c r="T1205" s="6">
        <v>46307</v>
      </c>
      <c r="U1205">
        <v>24</v>
      </c>
      <c r="V1205">
        <v>24</v>
      </c>
      <c r="W1205">
        <v>24</v>
      </c>
      <c r="X1205">
        <v>24</v>
      </c>
      <c r="Y1205">
        <f t="shared" si="186"/>
        <v>0</v>
      </c>
      <c r="Z1205">
        <f t="shared" si="187"/>
        <v>0</v>
      </c>
      <c r="AC1205" s="1">
        <v>0</v>
      </c>
      <c r="AF1205">
        <f t="shared" si="195"/>
        <v>24</v>
      </c>
      <c r="AG1205" s="7">
        <v>12</v>
      </c>
      <c r="AH1205">
        <f t="shared" si="188"/>
        <v>24</v>
      </c>
      <c r="AI1205">
        <f t="shared" si="185"/>
        <v>0</v>
      </c>
      <c r="AK1205">
        <f t="shared" si="189"/>
        <v>2</v>
      </c>
      <c r="AL1205">
        <v>12.09</v>
      </c>
      <c r="AM1205" t="s">
        <v>27</v>
      </c>
      <c r="AN1205">
        <v>12.09</v>
      </c>
      <c r="AO1205" t="b">
        <f t="shared" si="190"/>
        <v>1</v>
      </c>
      <c r="AR1205" t="s">
        <v>5061</v>
      </c>
      <c r="AS1205" s="21">
        <v>46276</v>
      </c>
      <c r="AT1205" t="s">
        <v>5062</v>
      </c>
      <c r="AU1205" t="s">
        <v>5084</v>
      </c>
      <c r="AV1205" t="s">
        <v>5089</v>
      </c>
      <c r="AW1205" t="s">
        <v>5090</v>
      </c>
    </row>
    <row r="1206" spans="1:49" x14ac:dyDescent="0.35">
      <c r="A1206" t="s">
        <v>4105</v>
      </c>
      <c r="B1206" t="s">
        <v>4106</v>
      </c>
      <c r="C1206" t="s">
        <v>4818</v>
      </c>
      <c r="D1206" t="s">
        <v>18</v>
      </c>
      <c r="E1206" t="s">
        <v>4440</v>
      </c>
      <c r="F1206" t="s">
        <v>4441</v>
      </c>
      <c r="G1206" t="s">
        <v>21</v>
      </c>
      <c r="H1206" t="s">
        <v>4826</v>
      </c>
      <c r="I1206" t="s">
        <v>5028</v>
      </c>
      <c r="J1206" s="4" t="s">
        <v>5029</v>
      </c>
      <c r="K1206" s="4" t="s">
        <v>4837</v>
      </c>
      <c r="L1206" s="4" t="s">
        <v>4967</v>
      </c>
      <c r="M1206" s="4" t="s">
        <v>5035</v>
      </c>
      <c r="N1206" t="s">
        <v>15</v>
      </c>
      <c r="O1206" t="s">
        <v>4442</v>
      </c>
      <c r="P1206" t="s">
        <v>23</v>
      </c>
      <c r="Q1206" t="s">
        <v>24</v>
      </c>
      <c r="R1206" t="s">
        <v>25</v>
      </c>
      <c r="S1206" t="s">
        <v>26</v>
      </c>
      <c r="T1206" s="6">
        <v>46307</v>
      </c>
      <c r="U1206">
        <v>132</v>
      </c>
      <c r="V1206">
        <v>132</v>
      </c>
      <c r="W1206">
        <v>144</v>
      </c>
      <c r="X1206">
        <v>144</v>
      </c>
      <c r="Y1206">
        <f t="shared" si="186"/>
        <v>0</v>
      </c>
      <c r="Z1206">
        <f t="shared" si="187"/>
        <v>-12</v>
      </c>
      <c r="AC1206" s="1">
        <v>0</v>
      </c>
      <c r="AF1206">
        <f t="shared" si="195"/>
        <v>132</v>
      </c>
      <c r="AG1206" s="7">
        <v>12</v>
      </c>
      <c r="AH1206">
        <f t="shared" si="188"/>
        <v>132</v>
      </c>
      <c r="AI1206">
        <f t="shared" si="185"/>
        <v>0</v>
      </c>
      <c r="AK1206">
        <f t="shared" si="189"/>
        <v>11</v>
      </c>
      <c r="AL1206">
        <v>12.09</v>
      </c>
      <c r="AM1206" t="s">
        <v>27</v>
      </c>
      <c r="AN1206">
        <v>12.09</v>
      </c>
      <c r="AO1206" t="b">
        <f t="shared" si="190"/>
        <v>1</v>
      </c>
      <c r="AR1206" t="s">
        <v>5061</v>
      </c>
      <c r="AS1206" s="21">
        <v>46276</v>
      </c>
      <c r="AT1206" t="s">
        <v>5062</v>
      </c>
      <c r="AU1206" t="s">
        <v>5084</v>
      </c>
      <c r="AV1206" t="s">
        <v>5089</v>
      </c>
      <c r="AW1206" t="s">
        <v>5090</v>
      </c>
    </row>
    <row r="1207" spans="1:49" x14ac:dyDescent="0.35">
      <c r="A1207" t="s">
        <v>4105</v>
      </c>
      <c r="B1207" t="s">
        <v>4106</v>
      </c>
      <c r="C1207" t="s">
        <v>4818</v>
      </c>
      <c r="D1207" t="s">
        <v>18</v>
      </c>
      <c r="E1207" t="s">
        <v>4443</v>
      </c>
      <c r="F1207" t="s">
        <v>4444</v>
      </c>
      <c r="G1207" t="s">
        <v>21</v>
      </c>
      <c r="H1207" t="s">
        <v>4826</v>
      </c>
      <c r="I1207" t="s">
        <v>5028</v>
      </c>
      <c r="J1207" s="4" t="s">
        <v>5029</v>
      </c>
      <c r="K1207" s="4" t="s">
        <v>4837</v>
      </c>
      <c r="L1207" s="4" t="s">
        <v>4952</v>
      </c>
      <c r="M1207" s="4" t="s">
        <v>5035</v>
      </c>
      <c r="N1207" t="s">
        <v>15</v>
      </c>
      <c r="O1207" t="s">
        <v>4445</v>
      </c>
      <c r="P1207" t="s">
        <v>23</v>
      </c>
      <c r="Q1207" t="s">
        <v>24</v>
      </c>
      <c r="R1207" t="s">
        <v>25</v>
      </c>
      <c r="S1207" t="s">
        <v>26</v>
      </c>
      <c r="T1207" s="6">
        <v>46307</v>
      </c>
      <c r="U1207">
        <v>24</v>
      </c>
      <c r="V1207">
        <v>24</v>
      </c>
      <c r="W1207">
        <v>24</v>
      </c>
      <c r="X1207">
        <v>24</v>
      </c>
      <c r="Y1207">
        <f t="shared" si="186"/>
        <v>0</v>
      </c>
      <c r="Z1207">
        <f t="shared" si="187"/>
        <v>0</v>
      </c>
      <c r="AC1207" s="1">
        <v>0</v>
      </c>
      <c r="AF1207">
        <f t="shared" si="195"/>
        <v>24</v>
      </c>
      <c r="AG1207" s="7">
        <v>12</v>
      </c>
      <c r="AH1207">
        <f t="shared" si="188"/>
        <v>24</v>
      </c>
      <c r="AI1207">
        <f t="shared" si="185"/>
        <v>0</v>
      </c>
      <c r="AK1207">
        <f t="shared" si="189"/>
        <v>2</v>
      </c>
      <c r="AL1207">
        <v>12.09</v>
      </c>
      <c r="AM1207" t="s">
        <v>27</v>
      </c>
      <c r="AN1207">
        <v>12.09</v>
      </c>
      <c r="AO1207" t="b">
        <f t="shared" si="190"/>
        <v>1</v>
      </c>
      <c r="AR1207" t="s">
        <v>5061</v>
      </c>
      <c r="AS1207" s="21">
        <v>46276</v>
      </c>
      <c r="AT1207" t="s">
        <v>5062</v>
      </c>
      <c r="AU1207" t="s">
        <v>5084</v>
      </c>
      <c r="AV1207" t="s">
        <v>5089</v>
      </c>
      <c r="AW1207" t="s">
        <v>5090</v>
      </c>
    </row>
    <row r="1208" spans="1:49" x14ac:dyDescent="0.35">
      <c r="A1208" t="s">
        <v>4105</v>
      </c>
      <c r="B1208" t="s">
        <v>4106</v>
      </c>
      <c r="C1208" t="s">
        <v>4818</v>
      </c>
      <c r="D1208" t="s">
        <v>18</v>
      </c>
      <c r="E1208" t="s">
        <v>4446</v>
      </c>
      <c r="F1208" t="s">
        <v>4447</v>
      </c>
      <c r="G1208" t="s">
        <v>21</v>
      </c>
      <c r="H1208" t="s">
        <v>4826</v>
      </c>
      <c r="I1208" t="s">
        <v>5030</v>
      </c>
      <c r="J1208" s="4" t="s">
        <v>5031</v>
      </c>
      <c r="K1208" s="4" t="s">
        <v>5033</v>
      </c>
      <c r="L1208" s="4" t="s">
        <v>4950</v>
      </c>
      <c r="M1208" s="4" t="s">
        <v>5035</v>
      </c>
      <c r="N1208" t="s">
        <v>15</v>
      </c>
      <c r="O1208" t="s">
        <v>4448</v>
      </c>
      <c r="P1208" t="s">
        <v>23</v>
      </c>
      <c r="Q1208" t="s">
        <v>24</v>
      </c>
      <c r="R1208" t="s">
        <v>25</v>
      </c>
      <c r="S1208" t="s">
        <v>26</v>
      </c>
      <c r="T1208" s="6">
        <v>46307</v>
      </c>
      <c r="U1208">
        <v>24</v>
      </c>
      <c r="V1208">
        <v>24</v>
      </c>
      <c r="W1208">
        <v>24</v>
      </c>
      <c r="X1208">
        <v>24</v>
      </c>
      <c r="Y1208">
        <f t="shared" si="186"/>
        <v>0</v>
      </c>
      <c r="Z1208">
        <f t="shared" si="187"/>
        <v>0</v>
      </c>
      <c r="AC1208" s="1">
        <v>0</v>
      </c>
      <c r="AF1208">
        <f t="shared" si="195"/>
        <v>24</v>
      </c>
      <c r="AG1208" s="7">
        <v>12</v>
      </c>
      <c r="AH1208">
        <f t="shared" si="188"/>
        <v>24</v>
      </c>
      <c r="AI1208">
        <f t="shared" si="185"/>
        <v>0</v>
      </c>
      <c r="AK1208">
        <f t="shared" si="189"/>
        <v>2</v>
      </c>
      <c r="AL1208">
        <v>12.02</v>
      </c>
      <c r="AM1208" t="s">
        <v>27</v>
      </c>
      <c r="AN1208">
        <v>12.02</v>
      </c>
      <c r="AO1208" t="b">
        <f t="shared" si="190"/>
        <v>1</v>
      </c>
      <c r="AR1208" t="s">
        <v>5061</v>
      </c>
      <c r="AS1208" s="21">
        <v>46276</v>
      </c>
      <c r="AT1208" t="s">
        <v>5062</v>
      </c>
      <c r="AU1208" t="s">
        <v>5085</v>
      </c>
      <c r="AV1208" t="s">
        <v>5089</v>
      </c>
      <c r="AW1208" t="s">
        <v>5090</v>
      </c>
    </row>
    <row r="1209" spans="1:49" x14ac:dyDescent="0.35">
      <c r="A1209" t="s">
        <v>4105</v>
      </c>
      <c r="B1209" t="s">
        <v>4106</v>
      </c>
      <c r="C1209" t="s">
        <v>4818</v>
      </c>
      <c r="D1209" t="s">
        <v>18</v>
      </c>
      <c r="E1209" t="s">
        <v>4449</v>
      </c>
      <c r="F1209" t="s">
        <v>4450</v>
      </c>
      <c r="G1209" t="s">
        <v>21</v>
      </c>
      <c r="H1209" t="s">
        <v>4826</v>
      </c>
      <c r="I1209" t="s">
        <v>5030</v>
      </c>
      <c r="J1209" s="4" t="s">
        <v>5031</v>
      </c>
      <c r="K1209" s="4" t="s">
        <v>5033</v>
      </c>
      <c r="L1209" s="4" t="s">
        <v>4966</v>
      </c>
      <c r="M1209" s="4" t="s">
        <v>5035</v>
      </c>
      <c r="N1209" t="s">
        <v>15</v>
      </c>
      <c r="O1209" t="s">
        <v>4451</v>
      </c>
      <c r="P1209" t="s">
        <v>23</v>
      </c>
      <c r="Q1209" t="s">
        <v>24</v>
      </c>
      <c r="R1209" t="s">
        <v>25</v>
      </c>
      <c r="S1209" t="s">
        <v>26</v>
      </c>
      <c r="T1209" s="6">
        <v>46307</v>
      </c>
      <c r="U1209">
        <v>120</v>
      </c>
      <c r="V1209">
        <v>120</v>
      </c>
      <c r="W1209">
        <v>132</v>
      </c>
      <c r="X1209">
        <v>132</v>
      </c>
      <c r="Y1209">
        <f t="shared" si="186"/>
        <v>0</v>
      </c>
      <c r="Z1209">
        <f t="shared" si="187"/>
        <v>-12</v>
      </c>
      <c r="AC1209" s="1">
        <v>0</v>
      </c>
      <c r="AF1209">
        <f t="shared" si="195"/>
        <v>120</v>
      </c>
      <c r="AG1209" s="7">
        <v>12</v>
      </c>
      <c r="AH1209">
        <f t="shared" si="188"/>
        <v>120</v>
      </c>
      <c r="AI1209">
        <f t="shared" si="185"/>
        <v>0</v>
      </c>
      <c r="AK1209">
        <f t="shared" si="189"/>
        <v>10</v>
      </c>
      <c r="AL1209">
        <v>12.02</v>
      </c>
      <c r="AM1209" t="s">
        <v>27</v>
      </c>
      <c r="AN1209">
        <v>12.02</v>
      </c>
      <c r="AO1209" t="b">
        <f t="shared" si="190"/>
        <v>1</v>
      </c>
      <c r="AR1209" t="s">
        <v>5061</v>
      </c>
      <c r="AS1209" s="21">
        <v>46276</v>
      </c>
      <c r="AT1209" t="s">
        <v>5062</v>
      </c>
      <c r="AU1209" t="s">
        <v>5085</v>
      </c>
      <c r="AV1209" t="s">
        <v>5089</v>
      </c>
      <c r="AW1209" t="s">
        <v>5090</v>
      </c>
    </row>
    <row r="1210" spans="1:49" x14ac:dyDescent="0.35">
      <c r="A1210" t="s">
        <v>4105</v>
      </c>
      <c r="B1210" t="s">
        <v>4106</v>
      </c>
      <c r="C1210" t="s">
        <v>4818</v>
      </c>
      <c r="D1210" t="s">
        <v>18</v>
      </c>
      <c r="E1210" t="s">
        <v>4452</v>
      </c>
      <c r="F1210" t="s">
        <v>4453</v>
      </c>
      <c r="G1210" t="s">
        <v>21</v>
      </c>
      <c r="H1210" t="s">
        <v>4826</v>
      </c>
      <c r="I1210" t="s">
        <v>5030</v>
      </c>
      <c r="J1210" s="4" t="s">
        <v>5031</v>
      </c>
      <c r="K1210" s="4" t="s">
        <v>4845</v>
      </c>
      <c r="L1210" s="4" t="s">
        <v>4949</v>
      </c>
      <c r="M1210" s="4" t="s">
        <v>5035</v>
      </c>
      <c r="N1210" t="s">
        <v>15</v>
      </c>
      <c r="O1210" t="s">
        <v>4454</v>
      </c>
      <c r="P1210" t="s">
        <v>23</v>
      </c>
      <c r="Q1210" t="s">
        <v>24</v>
      </c>
      <c r="R1210" t="s">
        <v>25</v>
      </c>
      <c r="S1210" t="s">
        <v>26</v>
      </c>
      <c r="T1210" s="6">
        <v>46307</v>
      </c>
      <c r="U1210">
        <v>48</v>
      </c>
      <c r="V1210">
        <v>48</v>
      </c>
      <c r="W1210">
        <v>48</v>
      </c>
      <c r="X1210">
        <v>48</v>
      </c>
      <c r="Y1210">
        <f t="shared" si="186"/>
        <v>0</v>
      </c>
      <c r="Z1210">
        <f t="shared" si="187"/>
        <v>0</v>
      </c>
      <c r="AC1210" s="1">
        <v>0</v>
      </c>
      <c r="AF1210">
        <f t="shared" si="195"/>
        <v>48</v>
      </c>
      <c r="AG1210" s="7">
        <v>12</v>
      </c>
      <c r="AH1210">
        <f t="shared" si="188"/>
        <v>48</v>
      </c>
      <c r="AI1210">
        <f t="shared" si="185"/>
        <v>0</v>
      </c>
      <c r="AK1210">
        <f t="shared" si="189"/>
        <v>4</v>
      </c>
      <c r="AL1210">
        <v>12.02</v>
      </c>
      <c r="AM1210" t="s">
        <v>27</v>
      </c>
      <c r="AN1210">
        <v>12.02</v>
      </c>
      <c r="AO1210" t="b">
        <f t="shared" si="190"/>
        <v>1</v>
      </c>
      <c r="AR1210" t="s">
        <v>5061</v>
      </c>
      <c r="AS1210" s="21">
        <v>46276</v>
      </c>
      <c r="AT1210" t="s">
        <v>5062</v>
      </c>
      <c r="AU1210" t="s">
        <v>5085</v>
      </c>
      <c r="AV1210" t="s">
        <v>5089</v>
      </c>
      <c r="AW1210" t="s">
        <v>5090</v>
      </c>
    </row>
    <row r="1211" spans="1:49" x14ac:dyDescent="0.35">
      <c r="A1211" t="s">
        <v>4105</v>
      </c>
      <c r="B1211" t="s">
        <v>4106</v>
      </c>
      <c r="C1211" t="s">
        <v>4818</v>
      </c>
      <c r="D1211" t="s">
        <v>18</v>
      </c>
      <c r="E1211" t="s">
        <v>4455</v>
      </c>
      <c r="F1211" t="s">
        <v>4456</v>
      </c>
      <c r="G1211" t="s">
        <v>21</v>
      </c>
      <c r="H1211" t="s">
        <v>4826</v>
      </c>
      <c r="I1211" t="s">
        <v>5030</v>
      </c>
      <c r="J1211" s="4" t="s">
        <v>5031</v>
      </c>
      <c r="K1211" s="4" t="s">
        <v>5033</v>
      </c>
      <c r="L1211" s="4" t="s">
        <v>4974</v>
      </c>
      <c r="M1211" s="4" t="s">
        <v>5035</v>
      </c>
      <c r="N1211" t="s">
        <v>15</v>
      </c>
      <c r="O1211" t="s">
        <v>4457</v>
      </c>
      <c r="P1211" t="s">
        <v>23</v>
      </c>
      <c r="Q1211" t="s">
        <v>24</v>
      </c>
      <c r="R1211" t="s">
        <v>25</v>
      </c>
      <c r="S1211" t="s">
        <v>26</v>
      </c>
      <c r="T1211" s="6">
        <v>46307</v>
      </c>
      <c r="U1211">
        <v>108</v>
      </c>
      <c r="V1211">
        <v>108</v>
      </c>
      <c r="W1211">
        <v>120</v>
      </c>
      <c r="X1211">
        <v>120</v>
      </c>
      <c r="Y1211">
        <f t="shared" si="186"/>
        <v>0</v>
      </c>
      <c r="Z1211">
        <f t="shared" si="187"/>
        <v>-12</v>
      </c>
      <c r="AC1211" s="1">
        <v>0</v>
      </c>
      <c r="AF1211">
        <f t="shared" si="195"/>
        <v>108</v>
      </c>
      <c r="AG1211" s="7">
        <v>12</v>
      </c>
      <c r="AH1211">
        <f t="shared" si="188"/>
        <v>108</v>
      </c>
      <c r="AI1211">
        <f t="shared" si="185"/>
        <v>0</v>
      </c>
      <c r="AK1211">
        <f t="shared" si="189"/>
        <v>9</v>
      </c>
      <c r="AL1211">
        <v>12.02</v>
      </c>
      <c r="AM1211" t="s">
        <v>27</v>
      </c>
      <c r="AN1211">
        <v>12.02</v>
      </c>
      <c r="AO1211" t="b">
        <f t="shared" si="190"/>
        <v>1</v>
      </c>
      <c r="AR1211" t="s">
        <v>5061</v>
      </c>
      <c r="AS1211" s="21">
        <v>46276</v>
      </c>
      <c r="AT1211" t="s">
        <v>5062</v>
      </c>
      <c r="AU1211" t="s">
        <v>5085</v>
      </c>
      <c r="AV1211" t="s">
        <v>5089</v>
      </c>
      <c r="AW1211" t="s">
        <v>5090</v>
      </c>
    </row>
    <row r="1212" spans="1:49" x14ac:dyDescent="0.35">
      <c r="A1212" t="s">
        <v>4105</v>
      </c>
      <c r="B1212" t="s">
        <v>4106</v>
      </c>
      <c r="C1212" t="s">
        <v>4818</v>
      </c>
      <c r="D1212" t="s">
        <v>18</v>
      </c>
      <c r="E1212" t="s">
        <v>4458</v>
      </c>
      <c r="F1212" t="s">
        <v>4459</v>
      </c>
      <c r="G1212" t="s">
        <v>21</v>
      </c>
      <c r="H1212" t="s">
        <v>4826</v>
      </c>
      <c r="I1212" t="s">
        <v>5030</v>
      </c>
      <c r="J1212" s="4" t="s">
        <v>5031</v>
      </c>
      <c r="K1212" s="4" t="s">
        <v>5033</v>
      </c>
      <c r="L1212" s="4" t="s">
        <v>4972</v>
      </c>
      <c r="M1212" s="4" t="s">
        <v>5035</v>
      </c>
      <c r="N1212" t="s">
        <v>15</v>
      </c>
      <c r="O1212" t="s">
        <v>4460</v>
      </c>
      <c r="P1212" t="s">
        <v>23</v>
      </c>
      <c r="Q1212" t="s">
        <v>24</v>
      </c>
      <c r="R1212" t="s">
        <v>25</v>
      </c>
      <c r="S1212" t="s">
        <v>26</v>
      </c>
      <c r="T1212" s="6">
        <v>46307</v>
      </c>
      <c r="U1212">
        <v>144</v>
      </c>
      <c r="V1212">
        <v>144</v>
      </c>
      <c r="W1212">
        <v>156</v>
      </c>
      <c r="X1212">
        <v>156</v>
      </c>
      <c r="Y1212">
        <f t="shared" si="186"/>
        <v>0</v>
      </c>
      <c r="Z1212">
        <f t="shared" si="187"/>
        <v>-12</v>
      </c>
      <c r="AC1212" s="1">
        <v>0</v>
      </c>
      <c r="AF1212">
        <f t="shared" si="195"/>
        <v>144</v>
      </c>
      <c r="AG1212" s="7">
        <v>12</v>
      </c>
      <c r="AH1212">
        <f t="shared" si="188"/>
        <v>144</v>
      </c>
      <c r="AI1212">
        <f t="shared" si="185"/>
        <v>0</v>
      </c>
      <c r="AK1212">
        <f t="shared" si="189"/>
        <v>12</v>
      </c>
      <c r="AL1212">
        <v>12.02</v>
      </c>
      <c r="AM1212" t="s">
        <v>27</v>
      </c>
      <c r="AN1212">
        <v>12.02</v>
      </c>
      <c r="AO1212" t="b">
        <f t="shared" si="190"/>
        <v>1</v>
      </c>
      <c r="AR1212" t="s">
        <v>5061</v>
      </c>
      <c r="AS1212" s="21">
        <v>46276</v>
      </c>
      <c r="AT1212" t="s">
        <v>5062</v>
      </c>
      <c r="AU1212" t="s">
        <v>5085</v>
      </c>
      <c r="AV1212" t="s">
        <v>5089</v>
      </c>
      <c r="AW1212" t="s">
        <v>5090</v>
      </c>
    </row>
    <row r="1213" spans="1:49" x14ac:dyDescent="0.35">
      <c r="A1213" t="s">
        <v>4105</v>
      </c>
      <c r="B1213" t="s">
        <v>4106</v>
      </c>
      <c r="C1213" t="s">
        <v>4818</v>
      </c>
      <c r="D1213" t="s">
        <v>18</v>
      </c>
      <c r="E1213" t="s">
        <v>4461</v>
      </c>
      <c r="F1213" t="s">
        <v>4462</v>
      </c>
      <c r="G1213" t="s">
        <v>21</v>
      </c>
      <c r="H1213" t="s">
        <v>4826</v>
      </c>
      <c r="I1213" t="s">
        <v>5030</v>
      </c>
      <c r="J1213" s="4" t="s">
        <v>5031</v>
      </c>
      <c r="K1213" s="4" t="s">
        <v>4837</v>
      </c>
      <c r="L1213" s="4" t="s">
        <v>4968</v>
      </c>
      <c r="M1213" s="4" t="s">
        <v>5035</v>
      </c>
      <c r="N1213" t="s">
        <v>15</v>
      </c>
      <c r="O1213" t="s">
        <v>4463</v>
      </c>
      <c r="P1213" t="s">
        <v>23</v>
      </c>
      <c r="Q1213" t="s">
        <v>24</v>
      </c>
      <c r="R1213" t="s">
        <v>25</v>
      </c>
      <c r="S1213" t="s">
        <v>26</v>
      </c>
      <c r="T1213" s="6">
        <v>46307</v>
      </c>
      <c r="U1213">
        <v>216</v>
      </c>
      <c r="V1213">
        <v>216</v>
      </c>
      <c r="W1213">
        <v>240</v>
      </c>
      <c r="X1213">
        <v>240</v>
      </c>
      <c r="Y1213">
        <f t="shared" si="186"/>
        <v>0</v>
      </c>
      <c r="Z1213">
        <f t="shared" si="187"/>
        <v>-24</v>
      </c>
      <c r="AC1213" s="1">
        <v>0</v>
      </c>
      <c r="AF1213">
        <f t="shared" si="195"/>
        <v>216</v>
      </c>
      <c r="AG1213" s="7">
        <v>12</v>
      </c>
      <c r="AH1213">
        <f t="shared" si="188"/>
        <v>216</v>
      </c>
      <c r="AI1213">
        <f t="shared" si="185"/>
        <v>0</v>
      </c>
      <c r="AK1213">
        <f t="shared" si="189"/>
        <v>18</v>
      </c>
      <c r="AL1213">
        <v>12.02</v>
      </c>
      <c r="AM1213" t="s">
        <v>27</v>
      </c>
      <c r="AN1213">
        <v>12.02</v>
      </c>
      <c r="AO1213" t="b">
        <f t="shared" si="190"/>
        <v>1</v>
      </c>
      <c r="AR1213" t="s">
        <v>5061</v>
      </c>
      <c r="AS1213" s="21">
        <v>46276</v>
      </c>
      <c r="AT1213" t="s">
        <v>5062</v>
      </c>
      <c r="AU1213" t="s">
        <v>5085</v>
      </c>
      <c r="AV1213" t="s">
        <v>5089</v>
      </c>
      <c r="AW1213" t="s">
        <v>5090</v>
      </c>
    </row>
    <row r="1214" spans="1:49" x14ac:dyDescent="0.35">
      <c r="A1214" t="s">
        <v>4105</v>
      </c>
      <c r="B1214" t="s">
        <v>4106</v>
      </c>
      <c r="C1214" t="s">
        <v>4818</v>
      </c>
      <c r="D1214" t="s">
        <v>18</v>
      </c>
      <c r="E1214" t="s">
        <v>4464</v>
      </c>
      <c r="F1214" t="s">
        <v>4465</v>
      </c>
      <c r="G1214" t="s">
        <v>21</v>
      </c>
      <c r="H1214" t="s">
        <v>4826</v>
      </c>
      <c r="I1214" t="s">
        <v>5030</v>
      </c>
      <c r="J1214" s="4" t="s">
        <v>5031</v>
      </c>
      <c r="K1214" s="4" t="s">
        <v>4832</v>
      </c>
      <c r="L1214" s="4" t="s">
        <v>4941</v>
      </c>
      <c r="M1214" s="4" t="s">
        <v>5035</v>
      </c>
      <c r="N1214" t="s">
        <v>15</v>
      </c>
      <c r="O1214" t="s">
        <v>4466</v>
      </c>
      <c r="P1214" t="s">
        <v>23</v>
      </c>
      <c r="Q1214" t="s">
        <v>24</v>
      </c>
      <c r="R1214" t="s">
        <v>25</v>
      </c>
      <c r="S1214" t="s">
        <v>26</v>
      </c>
      <c r="T1214" s="6">
        <v>46307</v>
      </c>
      <c r="U1214">
        <v>48</v>
      </c>
      <c r="V1214">
        <v>48</v>
      </c>
      <c r="W1214">
        <v>48</v>
      </c>
      <c r="X1214">
        <v>48</v>
      </c>
      <c r="Y1214">
        <f t="shared" si="186"/>
        <v>0</v>
      </c>
      <c r="Z1214">
        <f t="shared" si="187"/>
        <v>0</v>
      </c>
      <c r="AC1214" s="1">
        <v>0</v>
      </c>
      <c r="AF1214">
        <f t="shared" si="195"/>
        <v>48</v>
      </c>
      <c r="AG1214" s="7">
        <v>12</v>
      </c>
      <c r="AH1214">
        <f t="shared" si="188"/>
        <v>48</v>
      </c>
      <c r="AI1214">
        <f t="shared" si="185"/>
        <v>0</v>
      </c>
      <c r="AK1214">
        <f t="shared" si="189"/>
        <v>4</v>
      </c>
      <c r="AL1214">
        <v>12.02</v>
      </c>
      <c r="AM1214" t="s">
        <v>27</v>
      </c>
      <c r="AN1214">
        <v>12.02</v>
      </c>
      <c r="AO1214" t="b">
        <f t="shared" si="190"/>
        <v>1</v>
      </c>
      <c r="AR1214" t="s">
        <v>5061</v>
      </c>
      <c r="AS1214" s="21">
        <v>46276</v>
      </c>
      <c r="AT1214" t="s">
        <v>5062</v>
      </c>
      <c r="AU1214" t="s">
        <v>5085</v>
      </c>
      <c r="AV1214" t="s">
        <v>5089</v>
      </c>
      <c r="AW1214" t="s">
        <v>5090</v>
      </c>
    </row>
    <row r="1215" spans="1:49" x14ac:dyDescent="0.35">
      <c r="A1215" t="s">
        <v>4105</v>
      </c>
      <c r="B1215" t="s">
        <v>4106</v>
      </c>
      <c r="C1215" t="s">
        <v>4818</v>
      </c>
      <c r="D1215" t="s">
        <v>18</v>
      </c>
      <c r="E1215" t="s">
        <v>4467</v>
      </c>
      <c r="F1215" t="s">
        <v>4468</v>
      </c>
      <c r="G1215" t="s">
        <v>21</v>
      </c>
      <c r="H1215" t="s">
        <v>4826</v>
      </c>
      <c r="I1215" t="s">
        <v>5028</v>
      </c>
      <c r="J1215" s="4" t="s">
        <v>5029</v>
      </c>
      <c r="K1215" s="4" t="s">
        <v>4832</v>
      </c>
      <c r="L1215" s="4" t="s">
        <v>4967</v>
      </c>
      <c r="M1215" s="4" t="s">
        <v>5035</v>
      </c>
      <c r="N1215" t="s">
        <v>15</v>
      </c>
      <c r="O1215" t="s">
        <v>4469</v>
      </c>
      <c r="P1215" t="s">
        <v>23</v>
      </c>
      <c r="Q1215" t="s">
        <v>24</v>
      </c>
      <c r="R1215" t="s">
        <v>25</v>
      </c>
      <c r="S1215" t="s">
        <v>26</v>
      </c>
      <c r="T1215" s="6">
        <v>46307</v>
      </c>
      <c r="U1215">
        <v>12</v>
      </c>
      <c r="V1215">
        <v>12</v>
      </c>
      <c r="W1215">
        <v>12</v>
      </c>
      <c r="X1215">
        <v>12</v>
      </c>
      <c r="Y1215">
        <f t="shared" si="186"/>
        <v>0</v>
      </c>
      <c r="Z1215">
        <f t="shared" si="187"/>
        <v>0</v>
      </c>
      <c r="AC1215" s="1">
        <v>0</v>
      </c>
      <c r="AF1215">
        <f t="shared" si="195"/>
        <v>12</v>
      </c>
      <c r="AG1215" s="7">
        <v>12</v>
      </c>
      <c r="AH1215">
        <f t="shared" si="188"/>
        <v>12</v>
      </c>
      <c r="AI1215">
        <f t="shared" si="185"/>
        <v>0</v>
      </c>
      <c r="AK1215">
        <f t="shared" si="189"/>
        <v>1</v>
      </c>
      <c r="AL1215">
        <v>12.09</v>
      </c>
      <c r="AM1215" t="s">
        <v>27</v>
      </c>
      <c r="AN1215">
        <v>12.09</v>
      </c>
      <c r="AO1215" t="b">
        <f t="shared" si="190"/>
        <v>1</v>
      </c>
      <c r="AR1215" t="s">
        <v>5061</v>
      </c>
      <c r="AS1215" s="21">
        <v>46276</v>
      </c>
      <c r="AT1215" t="s">
        <v>5062</v>
      </c>
      <c r="AU1215" t="s">
        <v>5084</v>
      </c>
      <c r="AV1215" t="s">
        <v>5089</v>
      </c>
      <c r="AW1215" t="s">
        <v>5090</v>
      </c>
    </row>
    <row r="1216" spans="1:49" x14ac:dyDescent="0.35">
      <c r="A1216" t="s">
        <v>4105</v>
      </c>
      <c r="B1216" t="s">
        <v>4106</v>
      </c>
      <c r="C1216" t="s">
        <v>4818</v>
      </c>
      <c r="D1216" t="s">
        <v>18</v>
      </c>
      <c r="E1216" t="s">
        <v>4470</v>
      </c>
      <c r="F1216" t="s">
        <v>4471</v>
      </c>
      <c r="G1216" t="s">
        <v>21</v>
      </c>
      <c r="H1216" t="s">
        <v>4826</v>
      </c>
      <c r="I1216" t="s">
        <v>5028</v>
      </c>
      <c r="J1216" s="4" t="s">
        <v>5029</v>
      </c>
      <c r="K1216" s="4" t="s">
        <v>5033</v>
      </c>
      <c r="L1216" s="4" t="s">
        <v>4948</v>
      </c>
      <c r="M1216" s="4" t="s">
        <v>5035</v>
      </c>
      <c r="N1216" t="s">
        <v>15</v>
      </c>
      <c r="O1216" t="s">
        <v>4472</v>
      </c>
      <c r="P1216" t="s">
        <v>23</v>
      </c>
      <c r="Q1216" t="s">
        <v>24</v>
      </c>
      <c r="R1216" t="s">
        <v>25</v>
      </c>
      <c r="S1216" t="s">
        <v>26</v>
      </c>
      <c r="T1216" s="6">
        <v>46307</v>
      </c>
      <c r="U1216">
        <v>12</v>
      </c>
      <c r="V1216">
        <v>12</v>
      </c>
      <c r="W1216">
        <v>12</v>
      </c>
      <c r="X1216">
        <v>12</v>
      </c>
      <c r="Y1216">
        <f t="shared" si="186"/>
        <v>0</v>
      </c>
      <c r="Z1216">
        <f t="shared" si="187"/>
        <v>0</v>
      </c>
      <c r="AC1216" s="1">
        <v>0</v>
      </c>
      <c r="AF1216">
        <f t="shared" si="195"/>
        <v>12</v>
      </c>
      <c r="AG1216" s="7">
        <v>12</v>
      </c>
      <c r="AH1216">
        <f t="shared" si="188"/>
        <v>12</v>
      </c>
      <c r="AI1216">
        <f t="shared" si="185"/>
        <v>0</v>
      </c>
      <c r="AK1216">
        <f t="shared" si="189"/>
        <v>1</v>
      </c>
      <c r="AL1216">
        <v>12.09</v>
      </c>
      <c r="AM1216" t="s">
        <v>27</v>
      </c>
      <c r="AN1216">
        <v>12.09</v>
      </c>
      <c r="AO1216" t="b">
        <f t="shared" si="190"/>
        <v>1</v>
      </c>
      <c r="AR1216" t="s">
        <v>5061</v>
      </c>
      <c r="AS1216" s="21">
        <v>46276</v>
      </c>
      <c r="AT1216" t="s">
        <v>5062</v>
      </c>
      <c r="AU1216" t="s">
        <v>5084</v>
      </c>
      <c r="AV1216" t="s">
        <v>5089</v>
      </c>
      <c r="AW1216" t="s">
        <v>5090</v>
      </c>
    </row>
    <row r="1217" spans="1:49" x14ac:dyDescent="0.35">
      <c r="A1217" t="s">
        <v>4105</v>
      </c>
      <c r="B1217" t="s">
        <v>4106</v>
      </c>
      <c r="C1217" t="s">
        <v>4818</v>
      </c>
      <c r="D1217" t="s">
        <v>18</v>
      </c>
      <c r="E1217" t="s">
        <v>4473</v>
      </c>
      <c r="F1217" t="s">
        <v>4474</v>
      </c>
      <c r="G1217" t="s">
        <v>21</v>
      </c>
      <c r="H1217" t="s">
        <v>4826</v>
      </c>
      <c r="I1217" t="s">
        <v>5028</v>
      </c>
      <c r="J1217" s="4" t="s">
        <v>5029</v>
      </c>
      <c r="K1217" s="4" t="s">
        <v>4832</v>
      </c>
      <c r="L1217" s="4" t="s">
        <v>4939</v>
      </c>
      <c r="M1217" s="4" t="s">
        <v>5035</v>
      </c>
      <c r="N1217" t="s">
        <v>15</v>
      </c>
      <c r="O1217" t="s">
        <v>4475</v>
      </c>
      <c r="P1217" t="s">
        <v>23</v>
      </c>
      <c r="Q1217" t="s">
        <v>24</v>
      </c>
      <c r="R1217" t="s">
        <v>25</v>
      </c>
      <c r="S1217" t="s">
        <v>26</v>
      </c>
      <c r="T1217" s="6">
        <v>46307</v>
      </c>
      <c r="U1217">
        <v>48</v>
      </c>
      <c r="V1217">
        <v>48</v>
      </c>
      <c r="W1217">
        <v>48</v>
      </c>
      <c r="X1217">
        <v>48</v>
      </c>
      <c r="Y1217">
        <f t="shared" si="186"/>
        <v>0</v>
      </c>
      <c r="Z1217">
        <f t="shared" si="187"/>
        <v>0</v>
      </c>
      <c r="AC1217" s="1">
        <v>0</v>
      </c>
      <c r="AF1217">
        <f t="shared" si="195"/>
        <v>48</v>
      </c>
      <c r="AG1217" s="7">
        <v>12</v>
      </c>
      <c r="AH1217">
        <f t="shared" si="188"/>
        <v>48</v>
      </c>
      <c r="AI1217">
        <f t="shared" si="185"/>
        <v>0</v>
      </c>
      <c r="AK1217">
        <f t="shared" si="189"/>
        <v>4</v>
      </c>
      <c r="AL1217">
        <v>12.09</v>
      </c>
      <c r="AM1217" t="s">
        <v>27</v>
      </c>
      <c r="AN1217">
        <v>12.09</v>
      </c>
      <c r="AO1217" t="b">
        <f t="shared" si="190"/>
        <v>1</v>
      </c>
      <c r="AR1217" t="s">
        <v>5061</v>
      </c>
      <c r="AS1217" s="21">
        <v>46276</v>
      </c>
      <c r="AT1217" t="s">
        <v>5062</v>
      </c>
      <c r="AU1217" t="s">
        <v>5084</v>
      </c>
      <c r="AV1217" t="s">
        <v>5089</v>
      </c>
      <c r="AW1217" t="s">
        <v>5090</v>
      </c>
    </row>
    <row r="1218" spans="1:49" x14ac:dyDescent="0.35">
      <c r="A1218" t="s">
        <v>4105</v>
      </c>
      <c r="B1218" t="s">
        <v>4106</v>
      </c>
      <c r="C1218" t="s">
        <v>4818</v>
      </c>
      <c r="D1218" t="s">
        <v>18</v>
      </c>
      <c r="E1218" t="s">
        <v>4476</v>
      </c>
      <c r="F1218" t="s">
        <v>4477</v>
      </c>
      <c r="G1218" t="s">
        <v>21</v>
      </c>
      <c r="H1218" t="s">
        <v>4826</v>
      </c>
      <c r="I1218" t="s">
        <v>5030</v>
      </c>
      <c r="J1218" s="4" t="s">
        <v>5031</v>
      </c>
      <c r="K1218" s="4" t="s">
        <v>5033</v>
      </c>
      <c r="L1218" s="4" t="s">
        <v>4964</v>
      </c>
      <c r="M1218" s="4" t="s">
        <v>5035</v>
      </c>
      <c r="N1218" t="s">
        <v>15</v>
      </c>
      <c r="O1218" t="s">
        <v>4478</v>
      </c>
      <c r="P1218" t="s">
        <v>23</v>
      </c>
      <c r="Q1218" t="s">
        <v>24</v>
      </c>
      <c r="R1218" t="s">
        <v>25</v>
      </c>
      <c r="S1218" t="s">
        <v>26</v>
      </c>
      <c r="T1218" s="6">
        <v>46307</v>
      </c>
      <c r="U1218">
        <v>36</v>
      </c>
      <c r="V1218">
        <v>36</v>
      </c>
      <c r="W1218">
        <v>36</v>
      </c>
      <c r="X1218">
        <v>36</v>
      </c>
      <c r="Y1218">
        <f t="shared" si="186"/>
        <v>0</v>
      </c>
      <c r="Z1218">
        <f t="shared" si="187"/>
        <v>0</v>
      </c>
      <c r="AC1218" s="1">
        <v>0</v>
      </c>
      <c r="AF1218">
        <f t="shared" si="195"/>
        <v>36</v>
      </c>
      <c r="AG1218" s="7">
        <v>12</v>
      </c>
      <c r="AH1218">
        <f t="shared" si="188"/>
        <v>36</v>
      </c>
      <c r="AI1218">
        <f t="shared" si="185"/>
        <v>0</v>
      </c>
      <c r="AK1218">
        <f t="shared" si="189"/>
        <v>3</v>
      </c>
      <c r="AL1218">
        <v>12.02</v>
      </c>
      <c r="AM1218" t="s">
        <v>27</v>
      </c>
      <c r="AN1218">
        <v>12.02</v>
      </c>
      <c r="AO1218" t="b">
        <f t="shared" si="190"/>
        <v>1</v>
      </c>
      <c r="AR1218" t="s">
        <v>5061</v>
      </c>
      <c r="AS1218" s="21">
        <v>46276</v>
      </c>
      <c r="AT1218" t="s">
        <v>5062</v>
      </c>
      <c r="AU1218" t="s">
        <v>5085</v>
      </c>
      <c r="AV1218" t="s">
        <v>5089</v>
      </c>
      <c r="AW1218" t="s">
        <v>5090</v>
      </c>
    </row>
    <row r="1219" spans="1:49" x14ac:dyDescent="0.35">
      <c r="A1219" t="s">
        <v>4105</v>
      </c>
      <c r="B1219" t="s">
        <v>4106</v>
      </c>
      <c r="C1219" t="s">
        <v>4818</v>
      </c>
      <c r="D1219" t="s">
        <v>18</v>
      </c>
      <c r="E1219" t="s">
        <v>4479</v>
      </c>
      <c r="F1219" t="s">
        <v>4480</v>
      </c>
      <c r="G1219" t="s">
        <v>21</v>
      </c>
      <c r="H1219" t="s">
        <v>4826</v>
      </c>
      <c r="I1219" t="s">
        <v>5028</v>
      </c>
      <c r="J1219" s="4" t="s">
        <v>5029</v>
      </c>
      <c r="K1219" s="4" t="s">
        <v>5033</v>
      </c>
      <c r="L1219" s="4" t="s">
        <v>4961</v>
      </c>
      <c r="M1219" s="4" t="s">
        <v>5035</v>
      </c>
      <c r="N1219" t="s">
        <v>15</v>
      </c>
      <c r="O1219" t="s">
        <v>4481</v>
      </c>
      <c r="P1219" t="s">
        <v>23</v>
      </c>
      <c r="Q1219" t="s">
        <v>24</v>
      </c>
      <c r="R1219" t="s">
        <v>25</v>
      </c>
      <c r="S1219" t="s">
        <v>26</v>
      </c>
      <c r="T1219" s="6">
        <v>46307</v>
      </c>
      <c r="U1219">
        <v>120</v>
      </c>
      <c r="V1219">
        <v>120</v>
      </c>
      <c r="W1219">
        <v>132</v>
      </c>
      <c r="X1219">
        <v>132</v>
      </c>
      <c r="Y1219">
        <f t="shared" si="186"/>
        <v>0</v>
      </c>
      <c r="Z1219">
        <f t="shared" si="187"/>
        <v>-12</v>
      </c>
      <c r="AC1219" s="1">
        <v>0</v>
      </c>
      <c r="AF1219">
        <f t="shared" si="195"/>
        <v>120</v>
      </c>
      <c r="AG1219" s="7">
        <v>12</v>
      </c>
      <c r="AH1219">
        <f t="shared" si="188"/>
        <v>120</v>
      </c>
      <c r="AI1219">
        <f t="shared" ref="AI1219:AI1282" si="196">V1219-AH1219</f>
        <v>0</v>
      </c>
      <c r="AK1219">
        <f t="shared" si="189"/>
        <v>10</v>
      </c>
      <c r="AL1219">
        <v>12.09</v>
      </c>
      <c r="AM1219" t="s">
        <v>27</v>
      </c>
      <c r="AN1219">
        <v>12.09</v>
      </c>
      <c r="AO1219" t="b">
        <f t="shared" si="190"/>
        <v>1</v>
      </c>
      <c r="AR1219" t="s">
        <v>5061</v>
      </c>
      <c r="AS1219" s="21">
        <v>46276</v>
      </c>
      <c r="AT1219" t="s">
        <v>5062</v>
      </c>
      <c r="AU1219" t="s">
        <v>5084</v>
      </c>
      <c r="AV1219" t="s">
        <v>5089</v>
      </c>
      <c r="AW1219" t="s">
        <v>5090</v>
      </c>
    </row>
    <row r="1220" spans="1:49" x14ac:dyDescent="0.35">
      <c r="A1220" t="s">
        <v>4105</v>
      </c>
      <c r="B1220" t="s">
        <v>4106</v>
      </c>
      <c r="C1220" t="s">
        <v>4818</v>
      </c>
      <c r="D1220" t="s">
        <v>18</v>
      </c>
      <c r="E1220" t="s">
        <v>4482</v>
      </c>
      <c r="F1220" t="s">
        <v>4483</v>
      </c>
      <c r="G1220" t="s">
        <v>21</v>
      </c>
      <c r="H1220" t="s">
        <v>4826</v>
      </c>
      <c r="I1220" t="s">
        <v>5028</v>
      </c>
      <c r="J1220" s="4" t="s">
        <v>5029</v>
      </c>
      <c r="K1220" s="4" t="s">
        <v>4837</v>
      </c>
      <c r="L1220" s="4" t="s">
        <v>4964</v>
      </c>
      <c r="M1220" s="4" t="s">
        <v>5035</v>
      </c>
      <c r="N1220" t="s">
        <v>15</v>
      </c>
      <c r="O1220" t="s">
        <v>4484</v>
      </c>
      <c r="P1220" t="s">
        <v>23</v>
      </c>
      <c r="Q1220" t="s">
        <v>24</v>
      </c>
      <c r="R1220" t="s">
        <v>25</v>
      </c>
      <c r="S1220" t="s">
        <v>26</v>
      </c>
      <c r="T1220" s="6">
        <v>46307</v>
      </c>
      <c r="U1220">
        <v>48</v>
      </c>
      <c r="V1220">
        <v>48</v>
      </c>
      <c r="W1220">
        <v>48</v>
      </c>
      <c r="X1220">
        <v>48</v>
      </c>
      <c r="Y1220">
        <f t="shared" ref="Y1220:Y1283" si="197">W1220-X1220</f>
        <v>0</v>
      </c>
      <c r="Z1220">
        <f t="shared" ref="Z1220:Z1283" si="198">V1220-X1220</f>
        <v>0</v>
      </c>
      <c r="AC1220" s="1">
        <v>0</v>
      </c>
      <c r="AF1220">
        <f t="shared" si="195"/>
        <v>48</v>
      </c>
      <c r="AG1220" s="7">
        <v>12</v>
      </c>
      <c r="AH1220">
        <f t="shared" ref="AH1220:AH1283" si="199">ROUNDUP(AF1220/AG1220,0)*AG1220</f>
        <v>48</v>
      </c>
      <c r="AI1220">
        <f t="shared" si="196"/>
        <v>0</v>
      </c>
      <c r="AK1220">
        <f t="shared" ref="AK1220:AK1283" si="200">AH1220/AG1220</f>
        <v>4</v>
      </c>
      <c r="AL1220">
        <v>12.09</v>
      </c>
      <c r="AM1220" t="s">
        <v>27</v>
      </c>
      <c r="AN1220">
        <v>12.09</v>
      </c>
      <c r="AO1220" t="b">
        <f t="shared" ref="AO1220:AO1283" si="201">AL1220=AN1220</f>
        <v>1</v>
      </c>
      <c r="AR1220" t="s">
        <v>5061</v>
      </c>
      <c r="AS1220" s="21">
        <v>46276</v>
      </c>
      <c r="AT1220" t="s">
        <v>5062</v>
      </c>
      <c r="AU1220" t="s">
        <v>5084</v>
      </c>
      <c r="AV1220" t="s">
        <v>5089</v>
      </c>
      <c r="AW1220" t="s">
        <v>5090</v>
      </c>
    </row>
    <row r="1221" spans="1:49" x14ac:dyDescent="0.35">
      <c r="A1221" t="s">
        <v>4105</v>
      </c>
      <c r="B1221" t="s">
        <v>4106</v>
      </c>
      <c r="C1221" t="s">
        <v>4818</v>
      </c>
      <c r="D1221" t="s">
        <v>18</v>
      </c>
      <c r="E1221" t="s">
        <v>4485</v>
      </c>
      <c r="F1221" t="s">
        <v>4486</v>
      </c>
      <c r="G1221" t="s">
        <v>21</v>
      </c>
      <c r="H1221" t="s">
        <v>4826</v>
      </c>
      <c r="I1221" t="s">
        <v>5028</v>
      </c>
      <c r="J1221" s="4" t="s">
        <v>5029</v>
      </c>
      <c r="K1221" s="4" t="s">
        <v>4832</v>
      </c>
      <c r="L1221" s="4" t="s">
        <v>4956</v>
      </c>
      <c r="M1221" s="4" t="s">
        <v>5035</v>
      </c>
      <c r="N1221" t="s">
        <v>15</v>
      </c>
      <c r="O1221" t="s">
        <v>4487</v>
      </c>
      <c r="P1221" t="s">
        <v>23</v>
      </c>
      <c r="Q1221" t="s">
        <v>24</v>
      </c>
      <c r="R1221" t="s">
        <v>25</v>
      </c>
      <c r="S1221" t="s">
        <v>26</v>
      </c>
      <c r="T1221" s="6">
        <v>46307</v>
      </c>
      <c r="U1221">
        <v>24</v>
      </c>
      <c r="V1221">
        <v>24</v>
      </c>
      <c r="W1221">
        <v>24</v>
      </c>
      <c r="X1221">
        <v>24</v>
      </c>
      <c r="Y1221">
        <f t="shared" si="197"/>
        <v>0</v>
      </c>
      <c r="Z1221">
        <f t="shared" si="198"/>
        <v>0</v>
      </c>
      <c r="AC1221" s="1">
        <v>0</v>
      </c>
      <c r="AF1221">
        <f t="shared" si="195"/>
        <v>24</v>
      </c>
      <c r="AG1221" s="7">
        <v>12</v>
      </c>
      <c r="AH1221">
        <f t="shared" si="199"/>
        <v>24</v>
      </c>
      <c r="AI1221">
        <f t="shared" si="196"/>
        <v>0</v>
      </c>
      <c r="AK1221">
        <f t="shared" si="200"/>
        <v>2</v>
      </c>
      <c r="AL1221">
        <v>12.09</v>
      </c>
      <c r="AM1221" t="s">
        <v>27</v>
      </c>
      <c r="AN1221">
        <v>12.09</v>
      </c>
      <c r="AO1221" t="b">
        <f t="shared" si="201"/>
        <v>1</v>
      </c>
      <c r="AR1221" t="s">
        <v>5061</v>
      </c>
      <c r="AS1221" s="21">
        <v>46276</v>
      </c>
      <c r="AT1221" t="s">
        <v>5062</v>
      </c>
      <c r="AU1221" t="s">
        <v>5084</v>
      </c>
      <c r="AV1221" t="s">
        <v>5089</v>
      </c>
      <c r="AW1221" t="s">
        <v>5090</v>
      </c>
    </row>
    <row r="1222" spans="1:49" x14ac:dyDescent="0.35">
      <c r="A1222" t="s">
        <v>4105</v>
      </c>
      <c r="B1222" t="s">
        <v>4106</v>
      </c>
      <c r="C1222" t="s">
        <v>4818</v>
      </c>
      <c r="D1222" t="s">
        <v>18</v>
      </c>
      <c r="E1222" t="s">
        <v>4488</v>
      </c>
      <c r="F1222" t="s">
        <v>4489</v>
      </c>
      <c r="G1222" t="s">
        <v>21</v>
      </c>
      <c r="H1222" t="s">
        <v>4826</v>
      </c>
      <c r="I1222" t="s">
        <v>5028</v>
      </c>
      <c r="J1222" s="4" t="s">
        <v>5029</v>
      </c>
      <c r="K1222" s="4" t="s">
        <v>4837</v>
      </c>
      <c r="L1222" s="4" t="s">
        <v>4958</v>
      </c>
      <c r="M1222" s="4" t="s">
        <v>5035</v>
      </c>
      <c r="N1222" t="s">
        <v>15</v>
      </c>
      <c r="O1222" t="s">
        <v>4490</v>
      </c>
      <c r="P1222" t="s">
        <v>23</v>
      </c>
      <c r="Q1222" t="s">
        <v>24</v>
      </c>
      <c r="R1222" t="s">
        <v>25</v>
      </c>
      <c r="S1222" t="s">
        <v>26</v>
      </c>
      <c r="T1222" s="6">
        <v>46307</v>
      </c>
      <c r="U1222">
        <v>120</v>
      </c>
      <c r="V1222">
        <v>120</v>
      </c>
      <c r="W1222">
        <v>120</v>
      </c>
      <c r="X1222">
        <v>120</v>
      </c>
      <c r="Y1222">
        <f t="shared" si="197"/>
        <v>0</v>
      </c>
      <c r="Z1222">
        <f t="shared" si="198"/>
        <v>0</v>
      </c>
      <c r="AC1222" s="1">
        <v>0</v>
      </c>
      <c r="AF1222">
        <f t="shared" si="195"/>
        <v>120</v>
      </c>
      <c r="AG1222" s="7">
        <v>12</v>
      </c>
      <c r="AH1222">
        <f t="shared" si="199"/>
        <v>120</v>
      </c>
      <c r="AI1222">
        <f t="shared" si="196"/>
        <v>0</v>
      </c>
      <c r="AK1222">
        <f t="shared" si="200"/>
        <v>10</v>
      </c>
      <c r="AL1222">
        <v>12.09</v>
      </c>
      <c r="AM1222" t="s">
        <v>27</v>
      </c>
      <c r="AN1222">
        <v>12.09</v>
      </c>
      <c r="AO1222" t="b">
        <f t="shared" si="201"/>
        <v>1</v>
      </c>
      <c r="AR1222" t="s">
        <v>5061</v>
      </c>
      <c r="AS1222" s="21">
        <v>46276</v>
      </c>
      <c r="AT1222" t="s">
        <v>5062</v>
      </c>
      <c r="AU1222" t="s">
        <v>5084</v>
      </c>
      <c r="AV1222" t="s">
        <v>5089</v>
      </c>
      <c r="AW1222" t="s">
        <v>5090</v>
      </c>
    </row>
    <row r="1223" spans="1:49" x14ac:dyDescent="0.35">
      <c r="A1223" t="s">
        <v>4105</v>
      </c>
      <c r="B1223" t="s">
        <v>4106</v>
      </c>
      <c r="C1223" t="s">
        <v>4818</v>
      </c>
      <c r="D1223" t="s">
        <v>18</v>
      </c>
      <c r="E1223" t="s">
        <v>4491</v>
      </c>
      <c r="F1223" t="s">
        <v>4492</v>
      </c>
      <c r="G1223" t="s">
        <v>21</v>
      </c>
      <c r="H1223" t="s">
        <v>4826</v>
      </c>
      <c r="I1223" t="s">
        <v>5028</v>
      </c>
      <c r="J1223" s="4" t="s">
        <v>5029</v>
      </c>
      <c r="K1223" s="4" t="s">
        <v>4837</v>
      </c>
      <c r="L1223" s="4" t="s">
        <v>4966</v>
      </c>
      <c r="M1223" s="4" t="s">
        <v>5035</v>
      </c>
      <c r="N1223" t="s">
        <v>15</v>
      </c>
      <c r="O1223" t="s">
        <v>4493</v>
      </c>
      <c r="P1223" t="s">
        <v>23</v>
      </c>
      <c r="Q1223" t="s">
        <v>24</v>
      </c>
      <c r="R1223" t="s">
        <v>25</v>
      </c>
      <c r="S1223" t="s">
        <v>26</v>
      </c>
      <c r="T1223" s="6">
        <v>46307</v>
      </c>
      <c r="U1223">
        <v>72</v>
      </c>
      <c r="V1223">
        <v>72</v>
      </c>
      <c r="W1223">
        <v>72</v>
      </c>
      <c r="X1223">
        <v>72</v>
      </c>
      <c r="Y1223">
        <f t="shared" si="197"/>
        <v>0</v>
      </c>
      <c r="Z1223">
        <f t="shared" si="198"/>
        <v>0</v>
      </c>
      <c r="AC1223" s="1">
        <v>0</v>
      </c>
      <c r="AF1223">
        <f t="shared" si="195"/>
        <v>72</v>
      </c>
      <c r="AG1223" s="7">
        <v>12</v>
      </c>
      <c r="AH1223">
        <f t="shared" si="199"/>
        <v>72</v>
      </c>
      <c r="AI1223">
        <f t="shared" si="196"/>
        <v>0</v>
      </c>
      <c r="AK1223">
        <f t="shared" si="200"/>
        <v>6</v>
      </c>
      <c r="AL1223">
        <v>12.09</v>
      </c>
      <c r="AM1223" t="s">
        <v>27</v>
      </c>
      <c r="AN1223">
        <v>12.09</v>
      </c>
      <c r="AO1223" t="b">
        <f t="shared" si="201"/>
        <v>1</v>
      </c>
      <c r="AR1223" t="s">
        <v>5061</v>
      </c>
      <c r="AS1223" s="21">
        <v>46276</v>
      </c>
      <c r="AT1223" t="s">
        <v>5062</v>
      </c>
      <c r="AU1223" t="s">
        <v>5084</v>
      </c>
      <c r="AV1223" t="s">
        <v>5089</v>
      </c>
      <c r="AW1223" t="s">
        <v>5090</v>
      </c>
    </row>
    <row r="1224" spans="1:49" x14ac:dyDescent="0.35">
      <c r="A1224" t="s">
        <v>4105</v>
      </c>
      <c r="B1224" t="s">
        <v>4106</v>
      </c>
      <c r="C1224" t="s">
        <v>4818</v>
      </c>
      <c r="D1224" t="s">
        <v>18</v>
      </c>
      <c r="E1224" t="s">
        <v>4494</v>
      </c>
      <c r="F1224" t="s">
        <v>4495</v>
      </c>
      <c r="G1224" t="s">
        <v>21</v>
      </c>
      <c r="H1224" t="s">
        <v>4826</v>
      </c>
      <c r="I1224" t="s">
        <v>5028</v>
      </c>
      <c r="J1224" s="4" t="s">
        <v>5029</v>
      </c>
      <c r="K1224" s="4" t="s">
        <v>4837</v>
      </c>
      <c r="L1224" s="4" t="s">
        <v>4960</v>
      </c>
      <c r="M1224" s="4" t="s">
        <v>5035</v>
      </c>
      <c r="N1224" t="s">
        <v>15</v>
      </c>
      <c r="O1224" t="s">
        <v>4496</v>
      </c>
      <c r="P1224" t="s">
        <v>23</v>
      </c>
      <c r="Q1224" t="s">
        <v>24</v>
      </c>
      <c r="R1224" t="s">
        <v>25</v>
      </c>
      <c r="S1224" t="s">
        <v>26</v>
      </c>
      <c r="T1224" s="6">
        <v>46307</v>
      </c>
      <c r="U1224">
        <v>180</v>
      </c>
      <c r="V1224">
        <v>180</v>
      </c>
      <c r="W1224">
        <v>192</v>
      </c>
      <c r="X1224">
        <v>192</v>
      </c>
      <c r="Y1224">
        <f t="shared" si="197"/>
        <v>0</v>
      </c>
      <c r="Z1224">
        <f t="shared" si="198"/>
        <v>-12</v>
      </c>
      <c r="AC1224" s="1">
        <v>0</v>
      </c>
      <c r="AF1224">
        <f t="shared" si="195"/>
        <v>180</v>
      </c>
      <c r="AG1224" s="7">
        <v>12</v>
      </c>
      <c r="AH1224">
        <f t="shared" si="199"/>
        <v>180</v>
      </c>
      <c r="AI1224">
        <f t="shared" si="196"/>
        <v>0</v>
      </c>
      <c r="AK1224">
        <f t="shared" si="200"/>
        <v>15</v>
      </c>
      <c r="AL1224">
        <v>12.09</v>
      </c>
      <c r="AM1224" t="s">
        <v>27</v>
      </c>
      <c r="AN1224">
        <v>12.09</v>
      </c>
      <c r="AO1224" t="b">
        <f t="shared" si="201"/>
        <v>1</v>
      </c>
      <c r="AR1224" t="s">
        <v>5061</v>
      </c>
      <c r="AS1224" s="21">
        <v>46276</v>
      </c>
      <c r="AT1224" t="s">
        <v>5062</v>
      </c>
      <c r="AU1224" t="s">
        <v>5084</v>
      </c>
      <c r="AV1224" t="s">
        <v>5089</v>
      </c>
      <c r="AW1224" t="s">
        <v>5090</v>
      </c>
    </row>
    <row r="1225" spans="1:49" x14ac:dyDescent="0.35">
      <c r="A1225" t="s">
        <v>4105</v>
      </c>
      <c r="B1225" t="s">
        <v>4106</v>
      </c>
      <c r="C1225" t="s">
        <v>4818</v>
      </c>
      <c r="D1225" t="s">
        <v>18</v>
      </c>
      <c r="E1225" t="s">
        <v>4497</v>
      </c>
      <c r="F1225" t="s">
        <v>4498</v>
      </c>
      <c r="G1225" t="s">
        <v>21</v>
      </c>
      <c r="H1225" t="s">
        <v>4826</v>
      </c>
      <c r="I1225" t="s">
        <v>5030</v>
      </c>
      <c r="J1225" s="4" t="s">
        <v>5031</v>
      </c>
      <c r="K1225" s="4" t="s">
        <v>4845</v>
      </c>
      <c r="L1225" s="4" t="s">
        <v>4972</v>
      </c>
      <c r="M1225" s="4" t="s">
        <v>5035</v>
      </c>
      <c r="N1225" t="s">
        <v>15</v>
      </c>
      <c r="O1225" t="s">
        <v>4499</v>
      </c>
      <c r="P1225" t="s">
        <v>23</v>
      </c>
      <c r="Q1225" t="s">
        <v>24</v>
      </c>
      <c r="R1225" t="s">
        <v>25</v>
      </c>
      <c r="S1225" t="s">
        <v>26</v>
      </c>
      <c r="T1225" s="6">
        <v>46307</v>
      </c>
      <c r="U1225">
        <v>72</v>
      </c>
      <c r="V1225">
        <v>72</v>
      </c>
      <c r="W1225">
        <v>72</v>
      </c>
      <c r="X1225">
        <v>72</v>
      </c>
      <c r="Y1225">
        <f t="shared" si="197"/>
        <v>0</v>
      </c>
      <c r="Z1225">
        <f t="shared" si="198"/>
        <v>0</v>
      </c>
      <c r="AC1225" s="1">
        <v>0</v>
      </c>
      <c r="AF1225">
        <f t="shared" si="195"/>
        <v>72</v>
      </c>
      <c r="AG1225" s="7">
        <v>12</v>
      </c>
      <c r="AH1225">
        <f t="shared" si="199"/>
        <v>72</v>
      </c>
      <c r="AI1225">
        <f t="shared" si="196"/>
        <v>0</v>
      </c>
      <c r="AK1225">
        <f t="shared" si="200"/>
        <v>6</v>
      </c>
      <c r="AL1225">
        <v>12.02</v>
      </c>
      <c r="AM1225" t="s">
        <v>27</v>
      </c>
      <c r="AN1225">
        <v>12.02</v>
      </c>
      <c r="AO1225" t="b">
        <f t="shared" si="201"/>
        <v>1</v>
      </c>
      <c r="AR1225" t="s">
        <v>5061</v>
      </c>
      <c r="AS1225" s="21">
        <v>46276</v>
      </c>
      <c r="AT1225" t="s">
        <v>5062</v>
      </c>
      <c r="AU1225" t="s">
        <v>5085</v>
      </c>
      <c r="AV1225" t="s">
        <v>5089</v>
      </c>
      <c r="AW1225" t="s">
        <v>5090</v>
      </c>
    </row>
    <row r="1226" spans="1:49" x14ac:dyDescent="0.35">
      <c r="A1226" t="s">
        <v>4105</v>
      </c>
      <c r="B1226" t="s">
        <v>4106</v>
      </c>
      <c r="C1226" t="s">
        <v>4818</v>
      </c>
      <c r="D1226" t="s">
        <v>18</v>
      </c>
      <c r="E1226" t="s">
        <v>4500</v>
      </c>
      <c r="F1226" t="s">
        <v>4501</v>
      </c>
      <c r="G1226" t="s">
        <v>21</v>
      </c>
      <c r="H1226" t="s">
        <v>4826</v>
      </c>
      <c r="I1226" t="s">
        <v>5030</v>
      </c>
      <c r="J1226" s="4" t="s">
        <v>5031</v>
      </c>
      <c r="K1226" s="4" t="s">
        <v>4837</v>
      </c>
      <c r="L1226" s="4" t="s">
        <v>4958</v>
      </c>
      <c r="M1226" s="4" t="s">
        <v>5035</v>
      </c>
      <c r="N1226" t="s">
        <v>15</v>
      </c>
      <c r="O1226" t="s">
        <v>4502</v>
      </c>
      <c r="P1226" t="s">
        <v>23</v>
      </c>
      <c r="Q1226" t="s">
        <v>24</v>
      </c>
      <c r="R1226" t="s">
        <v>25</v>
      </c>
      <c r="S1226" t="s">
        <v>26</v>
      </c>
      <c r="T1226" s="6">
        <v>46307</v>
      </c>
      <c r="U1226">
        <v>276</v>
      </c>
      <c r="V1226">
        <v>276</v>
      </c>
      <c r="W1226">
        <v>300</v>
      </c>
      <c r="X1226">
        <v>300</v>
      </c>
      <c r="Y1226">
        <f t="shared" si="197"/>
        <v>0</v>
      </c>
      <c r="Z1226">
        <f t="shared" si="198"/>
        <v>-24</v>
      </c>
      <c r="AC1226" s="1"/>
      <c r="AF1226">
        <f t="shared" si="195"/>
        <v>276</v>
      </c>
      <c r="AG1226" s="7">
        <v>12</v>
      </c>
      <c r="AH1226">
        <f t="shared" si="199"/>
        <v>276</v>
      </c>
      <c r="AI1226">
        <f t="shared" si="196"/>
        <v>0</v>
      </c>
      <c r="AK1226">
        <f t="shared" si="200"/>
        <v>23</v>
      </c>
      <c r="AL1226">
        <v>12.02</v>
      </c>
      <c r="AM1226" t="s">
        <v>27</v>
      </c>
      <c r="AN1226">
        <v>12.02</v>
      </c>
      <c r="AO1226" t="b">
        <f t="shared" si="201"/>
        <v>1</v>
      </c>
      <c r="AR1226" t="s">
        <v>5061</v>
      </c>
      <c r="AS1226" s="21">
        <v>46276</v>
      </c>
      <c r="AT1226" t="s">
        <v>5062</v>
      </c>
      <c r="AU1226" t="s">
        <v>5085</v>
      </c>
      <c r="AV1226" t="s">
        <v>5089</v>
      </c>
      <c r="AW1226" t="s">
        <v>5090</v>
      </c>
    </row>
    <row r="1227" spans="1:49" x14ac:dyDescent="0.35">
      <c r="A1227" t="s">
        <v>4105</v>
      </c>
      <c r="B1227" t="s">
        <v>4106</v>
      </c>
      <c r="C1227" t="s">
        <v>4818</v>
      </c>
      <c r="D1227" t="s">
        <v>18</v>
      </c>
      <c r="E1227" t="s">
        <v>4503</v>
      </c>
      <c r="F1227" t="s">
        <v>4504</v>
      </c>
      <c r="G1227" t="s">
        <v>21</v>
      </c>
      <c r="H1227" t="s">
        <v>4826</v>
      </c>
      <c r="I1227" t="s">
        <v>5028</v>
      </c>
      <c r="J1227" s="4" t="s">
        <v>5029</v>
      </c>
      <c r="K1227" s="4" t="s">
        <v>4832</v>
      </c>
      <c r="L1227" s="4" t="s">
        <v>4972</v>
      </c>
      <c r="M1227" s="4" t="s">
        <v>5035</v>
      </c>
      <c r="N1227" t="s">
        <v>15</v>
      </c>
      <c r="O1227" t="s">
        <v>4505</v>
      </c>
      <c r="P1227" t="s">
        <v>23</v>
      </c>
      <c r="Q1227" t="s">
        <v>24</v>
      </c>
      <c r="R1227" t="s">
        <v>25</v>
      </c>
      <c r="S1227" t="s">
        <v>26</v>
      </c>
      <c r="T1227" s="6">
        <v>46307</v>
      </c>
      <c r="U1227">
        <v>48</v>
      </c>
      <c r="V1227">
        <v>48</v>
      </c>
      <c r="W1227">
        <v>48</v>
      </c>
      <c r="X1227">
        <v>48</v>
      </c>
      <c r="Y1227">
        <f t="shared" si="197"/>
        <v>0</v>
      </c>
      <c r="Z1227">
        <f t="shared" si="198"/>
        <v>0</v>
      </c>
      <c r="AC1227" s="1">
        <v>0</v>
      </c>
      <c r="AF1227">
        <f t="shared" si="195"/>
        <v>48</v>
      </c>
      <c r="AG1227" s="7">
        <v>12</v>
      </c>
      <c r="AH1227">
        <f t="shared" si="199"/>
        <v>48</v>
      </c>
      <c r="AI1227">
        <f t="shared" si="196"/>
        <v>0</v>
      </c>
      <c r="AK1227">
        <f t="shared" si="200"/>
        <v>4</v>
      </c>
      <c r="AL1227">
        <v>12.09</v>
      </c>
      <c r="AM1227" t="s">
        <v>27</v>
      </c>
      <c r="AN1227">
        <v>12.09</v>
      </c>
      <c r="AO1227" t="b">
        <f t="shared" si="201"/>
        <v>1</v>
      </c>
      <c r="AR1227" t="s">
        <v>5061</v>
      </c>
      <c r="AS1227" s="21">
        <v>46276</v>
      </c>
      <c r="AT1227" t="s">
        <v>5062</v>
      </c>
      <c r="AU1227" t="s">
        <v>5084</v>
      </c>
      <c r="AV1227" t="s">
        <v>5089</v>
      </c>
      <c r="AW1227" t="s">
        <v>5090</v>
      </c>
    </row>
    <row r="1228" spans="1:49" x14ac:dyDescent="0.35">
      <c r="A1228" t="s">
        <v>4105</v>
      </c>
      <c r="B1228" t="s">
        <v>4106</v>
      </c>
      <c r="C1228" t="s">
        <v>4818</v>
      </c>
      <c r="D1228" t="s">
        <v>18</v>
      </c>
      <c r="E1228" t="s">
        <v>4506</v>
      </c>
      <c r="F1228" t="s">
        <v>4507</v>
      </c>
      <c r="G1228" t="s">
        <v>21</v>
      </c>
      <c r="H1228" t="s">
        <v>4826</v>
      </c>
      <c r="I1228" t="s">
        <v>5028</v>
      </c>
      <c r="J1228" s="4" t="s">
        <v>5029</v>
      </c>
      <c r="K1228" s="4" t="s">
        <v>4845</v>
      </c>
      <c r="L1228" s="4" t="s">
        <v>4938</v>
      </c>
      <c r="M1228" s="4" t="s">
        <v>5035</v>
      </c>
      <c r="N1228" t="s">
        <v>15</v>
      </c>
      <c r="O1228" t="s">
        <v>4508</v>
      </c>
      <c r="P1228" t="s">
        <v>23</v>
      </c>
      <c r="Q1228" t="s">
        <v>24</v>
      </c>
      <c r="R1228" t="s">
        <v>25</v>
      </c>
      <c r="S1228" t="s">
        <v>26</v>
      </c>
      <c r="T1228" s="6">
        <v>46307</v>
      </c>
      <c r="U1228">
        <v>132</v>
      </c>
      <c r="V1228">
        <v>132</v>
      </c>
      <c r="W1228">
        <v>144</v>
      </c>
      <c r="X1228">
        <v>144</v>
      </c>
      <c r="Y1228">
        <f t="shared" si="197"/>
        <v>0</v>
      </c>
      <c r="Z1228">
        <f t="shared" si="198"/>
        <v>-12</v>
      </c>
      <c r="AC1228" s="1">
        <v>0</v>
      </c>
      <c r="AF1228">
        <f t="shared" si="195"/>
        <v>132</v>
      </c>
      <c r="AG1228" s="7">
        <v>12</v>
      </c>
      <c r="AH1228">
        <f t="shared" si="199"/>
        <v>132</v>
      </c>
      <c r="AI1228">
        <f t="shared" si="196"/>
        <v>0</v>
      </c>
      <c r="AK1228">
        <f t="shared" si="200"/>
        <v>11</v>
      </c>
      <c r="AL1228">
        <v>12.09</v>
      </c>
      <c r="AM1228" t="s">
        <v>27</v>
      </c>
      <c r="AN1228">
        <v>12.09</v>
      </c>
      <c r="AO1228" t="b">
        <f t="shared" si="201"/>
        <v>1</v>
      </c>
      <c r="AR1228" t="s">
        <v>5061</v>
      </c>
      <c r="AS1228" s="21">
        <v>46276</v>
      </c>
      <c r="AT1228" t="s">
        <v>5062</v>
      </c>
      <c r="AU1228" t="s">
        <v>5084</v>
      </c>
      <c r="AV1228" t="s">
        <v>5089</v>
      </c>
      <c r="AW1228" t="s">
        <v>5090</v>
      </c>
    </row>
    <row r="1229" spans="1:49" x14ac:dyDescent="0.35">
      <c r="A1229" t="s">
        <v>4105</v>
      </c>
      <c r="B1229" t="s">
        <v>4106</v>
      </c>
      <c r="C1229" t="s">
        <v>4818</v>
      </c>
      <c r="D1229" t="s">
        <v>18</v>
      </c>
      <c r="E1229" t="s">
        <v>4509</v>
      </c>
      <c r="F1229" t="s">
        <v>4510</v>
      </c>
      <c r="G1229" t="s">
        <v>21</v>
      </c>
      <c r="H1229" t="s">
        <v>4826</v>
      </c>
      <c r="I1229" t="s">
        <v>5028</v>
      </c>
      <c r="J1229" s="4" t="s">
        <v>5029</v>
      </c>
      <c r="K1229" s="4" t="s">
        <v>4837</v>
      </c>
      <c r="L1229" s="4" t="s">
        <v>4940</v>
      </c>
      <c r="M1229" s="4" t="s">
        <v>5035</v>
      </c>
      <c r="N1229" t="s">
        <v>15</v>
      </c>
      <c r="O1229" t="s">
        <v>4511</v>
      </c>
      <c r="P1229" t="s">
        <v>23</v>
      </c>
      <c r="Q1229" t="s">
        <v>24</v>
      </c>
      <c r="R1229" t="s">
        <v>25</v>
      </c>
      <c r="S1229" t="s">
        <v>26</v>
      </c>
      <c r="T1229" s="6">
        <v>46307</v>
      </c>
      <c r="U1229">
        <v>132</v>
      </c>
      <c r="V1229">
        <v>132</v>
      </c>
      <c r="W1229">
        <v>120</v>
      </c>
      <c r="X1229">
        <v>120</v>
      </c>
      <c r="Y1229">
        <f t="shared" si="197"/>
        <v>0</v>
      </c>
      <c r="Z1229">
        <f t="shared" si="198"/>
        <v>12</v>
      </c>
      <c r="AA1229">
        <f>Z1229</f>
        <v>12</v>
      </c>
      <c r="AC1229" s="1">
        <v>0</v>
      </c>
      <c r="AF1229">
        <f>X1229</f>
        <v>120</v>
      </c>
      <c r="AG1229" s="7">
        <v>12</v>
      </c>
      <c r="AH1229">
        <f t="shared" si="199"/>
        <v>120</v>
      </c>
      <c r="AI1229">
        <f t="shared" si="196"/>
        <v>12</v>
      </c>
      <c r="AK1229">
        <f t="shared" si="200"/>
        <v>10</v>
      </c>
      <c r="AL1229">
        <v>12.09</v>
      </c>
      <c r="AM1229" t="s">
        <v>27</v>
      </c>
      <c r="AN1229">
        <v>12.09</v>
      </c>
      <c r="AO1229" t="b">
        <f t="shared" si="201"/>
        <v>1</v>
      </c>
      <c r="AR1229" t="s">
        <v>5061</v>
      </c>
      <c r="AS1229" s="21">
        <v>46276</v>
      </c>
      <c r="AT1229" t="s">
        <v>5062</v>
      </c>
      <c r="AU1229" t="s">
        <v>5084</v>
      </c>
      <c r="AV1229" t="s">
        <v>5089</v>
      </c>
      <c r="AW1229" t="s">
        <v>5090</v>
      </c>
    </row>
    <row r="1230" spans="1:49" x14ac:dyDescent="0.35">
      <c r="A1230" t="s">
        <v>4105</v>
      </c>
      <c r="B1230" t="s">
        <v>4106</v>
      </c>
      <c r="C1230" t="s">
        <v>4818</v>
      </c>
      <c r="D1230" t="s">
        <v>18</v>
      </c>
      <c r="E1230" t="s">
        <v>4512</v>
      </c>
      <c r="F1230" t="s">
        <v>4513</v>
      </c>
      <c r="G1230" t="s">
        <v>21</v>
      </c>
      <c r="H1230" t="s">
        <v>4826</v>
      </c>
      <c r="I1230" t="s">
        <v>5028</v>
      </c>
      <c r="J1230" s="4" t="s">
        <v>5029</v>
      </c>
      <c r="K1230" s="4" t="s">
        <v>5033</v>
      </c>
      <c r="L1230" s="4" t="s">
        <v>4963</v>
      </c>
      <c r="M1230" s="4" t="s">
        <v>5035</v>
      </c>
      <c r="N1230" t="s">
        <v>15</v>
      </c>
      <c r="O1230" t="s">
        <v>4514</v>
      </c>
      <c r="P1230" t="s">
        <v>23</v>
      </c>
      <c r="Q1230" t="s">
        <v>24</v>
      </c>
      <c r="R1230" t="s">
        <v>25</v>
      </c>
      <c r="S1230" t="s">
        <v>26</v>
      </c>
      <c r="T1230" s="6">
        <v>46307</v>
      </c>
      <c r="U1230">
        <v>24</v>
      </c>
      <c r="V1230">
        <v>24</v>
      </c>
      <c r="W1230">
        <v>24</v>
      </c>
      <c r="X1230">
        <v>24</v>
      </c>
      <c r="Y1230">
        <f t="shared" si="197"/>
        <v>0</v>
      </c>
      <c r="Z1230">
        <f t="shared" si="198"/>
        <v>0</v>
      </c>
      <c r="AC1230" s="1">
        <v>0</v>
      </c>
      <c r="AF1230">
        <f t="shared" ref="AF1230:AF1238" si="202">V1230</f>
        <v>24</v>
      </c>
      <c r="AG1230" s="7">
        <v>12</v>
      </c>
      <c r="AH1230">
        <f t="shared" si="199"/>
        <v>24</v>
      </c>
      <c r="AI1230">
        <f t="shared" si="196"/>
        <v>0</v>
      </c>
      <c r="AK1230">
        <f t="shared" si="200"/>
        <v>2</v>
      </c>
      <c r="AL1230">
        <v>12.09</v>
      </c>
      <c r="AM1230" t="s">
        <v>27</v>
      </c>
      <c r="AN1230">
        <v>12.09</v>
      </c>
      <c r="AO1230" t="b">
        <f t="shared" si="201"/>
        <v>1</v>
      </c>
      <c r="AR1230" t="s">
        <v>5061</v>
      </c>
      <c r="AS1230" s="21">
        <v>46276</v>
      </c>
      <c r="AT1230" t="s">
        <v>5062</v>
      </c>
      <c r="AU1230" t="s">
        <v>5084</v>
      </c>
      <c r="AV1230" t="s">
        <v>5089</v>
      </c>
      <c r="AW1230" t="s">
        <v>5090</v>
      </c>
    </row>
    <row r="1231" spans="1:49" x14ac:dyDescent="0.35">
      <c r="A1231" t="s">
        <v>4105</v>
      </c>
      <c r="B1231" t="s">
        <v>4106</v>
      </c>
      <c r="C1231" t="s">
        <v>4818</v>
      </c>
      <c r="D1231" t="s">
        <v>18</v>
      </c>
      <c r="E1231" t="s">
        <v>4515</v>
      </c>
      <c r="F1231" t="s">
        <v>4516</v>
      </c>
      <c r="G1231" t="s">
        <v>21</v>
      </c>
      <c r="H1231" t="s">
        <v>4826</v>
      </c>
      <c r="I1231" t="s">
        <v>5028</v>
      </c>
      <c r="J1231" s="4" t="s">
        <v>5029</v>
      </c>
      <c r="K1231" s="4" t="s">
        <v>4837</v>
      </c>
      <c r="L1231" s="4" t="s">
        <v>4950</v>
      </c>
      <c r="M1231" s="4" t="s">
        <v>5035</v>
      </c>
      <c r="N1231" t="s">
        <v>15</v>
      </c>
      <c r="O1231" t="s">
        <v>4517</v>
      </c>
      <c r="P1231" t="s">
        <v>23</v>
      </c>
      <c r="Q1231" t="s">
        <v>24</v>
      </c>
      <c r="R1231" t="s">
        <v>25</v>
      </c>
      <c r="S1231" t="s">
        <v>26</v>
      </c>
      <c r="T1231" s="6">
        <v>46307</v>
      </c>
      <c r="U1231">
        <v>24</v>
      </c>
      <c r="V1231">
        <v>24</v>
      </c>
      <c r="W1231">
        <v>24</v>
      </c>
      <c r="X1231">
        <v>24</v>
      </c>
      <c r="Y1231">
        <f t="shared" si="197"/>
        <v>0</v>
      </c>
      <c r="Z1231">
        <f t="shared" si="198"/>
        <v>0</v>
      </c>
      <c r="AC1231" s="1">
        <v>0</v>
      </c>
      <c r="AF1231">
        <f t="shared" si="202"/>
        <v>24</v>
      </c>
      <c r="AG1231" s="7">
        <v>12</v>
      </c>
      <c r="AH1231">
        <f t="shared" si="199"/>
        <v>24</v>
      </c>
      <c r="AI1231">
        <f t="shared" si="196"/>
        <v>0</v>
      </c>
      <c r="AK1231">
        <f t="shared" si="200"/>
        <v>2</v>
      </c>
      <c r="AL1231">
        <v>12.09</v>
      </c>
      <c r="AM1231" t="s">
        <v>27</v>
      </c>
      <c r="AN1231">
        <v>12.09</v>
      </c>
      <c r="AO1231" t="b">
        <f t="shared" si="201"/>
        <v>1</v>
      </c>
      <c r="AR1231" t="s">
        <v>5061</v>
      </c>
      <c r="AS1231" s="21">
        <v>46276</v>
      </c>
      <c r="AT1231" t="s">
        <v>5062</v>
      </c>
      <c r="AU1231" t="s">
        <v>5084</v>
      </c>
      <c r="AV1231" t="s">
        <v>5089</v>
      </c>
      <c r="AW1231" t="s">
        <v>5090</v>
      </c>
    </row>
    <row r="1232" spans="1:49" x14ac:dyDescent="0.35">
      <c r="A1232" t="s">
        <v>4105</v>
      </c>
      <c r="B1232" t="s">
        <v>4106</v>
      </c>
      <c r="C1232" t="s">
        <v>4818</v>
      </c>
      <c r="D1232" t="s">
        <v>18</v>
      </c>
      <c r="E1232" t="s">
        <v>4518</v>
      </c>
      <c r="F1232" t="s">
        <v>4519</v>
      </c>
      <c r="G1232" t="s">
        <v>21</v>
      </c>
      <c r="H1232" t="s">
        <v>4826</v>
      </c>
      <c r="I1232" t="s">
        <v>5028</v>
      </c>
      <c r="J1232" s="4" t="s">
        <v>5029</v>
      </c>
      <c r="K1232" s="4" t="s">
        <v>4845</v>
      </c>
      <c r="L1232" s="4" t="s">
        <v>4973</v>
      </c>
      <c r="M1232" s="4" t="s">
        <v>5035</v>
      </c>
      <c r="N1232" t="s">
        <v>15</v>
      </c>
      <c r="O1232" t="s">
        <v>4520</v>
      </c>
      <c r="P1232" t="s">
        <v>23</v>
      </c>
      <c r="Q1232" t="s">
        <v>24</v>
      </c>
      <c r="R1232" t="s">
        <v>25</v>
      </c>
      <c r="S1232" t="s">
        <v>26</v>
      </c>
      <c r="T1232" s="6">
        <v>46307</v>
      </c>
      <c r="U1232">
        <v>48</v>
      </c>
      <c r="V1232">
        <v>48</v>
      </c>
      <c r="W1232">
        <v>48</v>
      </c>
      <c r="X1232">
        <v>48</v>
      </c>
      <c r="Y1232">
        <f t="shared" si="197"/>
        <v>0</v>
      </c>
      <c r="Z1232">
        <f t="shared" si="198"/>
        <v>0</v>
      </c>
      <c r="AC1232" s="1">
        <v>0</v>
      </c>
      <c r="AF1232">
        <f t="shared" si="202"/>
        <v>48</v>
      </c>
      <c r="AG1232" s="7">
        <v>12</v>
      </c>
      <c r="AH1232">
        <f t="shared" si="199"/>
        <v>48</v>
      </c>
      <c r="AI1232">
        <f t="shared" si="196"/>
        <v>0</v>
      </c>
      <c r="AK1232">
        <f t="shared" si="200"/>
        <v>4</v>
      </c>
      <c r="AL1232">
        <v>12.09</v>
      </c>
      <c r="AM1232" t="s">
        <v>27</v>
      </c>
      <c r="AN1232">
        <v>12.09</v>
      </c>
      <c r="AO1232" t="b">
        <f t="shared" si="201"/>
        <v>1</v>
      </c>
      <c r="AR1232" t="s">
        <v>5061</v>
      </c>
      <c r="AS1232" s="21">
        <v>46276</v>
      </c>
      <c r="AT1232" t="s">
        <v>5062</v>
      </c>
      <c r="AU1232" t="s">
        <v>5084</v>
      </c>
      <c r="AV1232" t="s">
        <v>5089</v>
      </c>
      <c r="AW1232" t="s">
        <v>5090</v>
      </c>
    </row>
    <row r="1233" spans="1:49" x14ac:dyDescent="0.35">
      <c r="A1233" t="s">
        <v>4105</v>
      </c>
      <c r="B1233" t="s">
        <v>4106</v>
      </c>
      <c r="C1233" t="s">
        <v>4818</v>
      </c>
      <c r="D1233" t="s">
        <v>18</v>
      </c>
      <c r="E1233" t="s">
        <v>4521</v>
      </c>
      <c r="F1233" t="s">
        <v>4522</v>
      </c>
      <c r="G1233" t="s">
        <v>21</v>
      </c>
      <c r="H1233" t="s">
        <v>4826</v>
      </c>
      <c r="I1233" t="s">
        <v>5028</v>
      </c>
      <c r="J1233" s="4" t="s">
        <v>5029</v>
      </c>
      <c r="K1233" s="4" t="s">
        <v>5033</v>
      </c>
      <c r="L1233" s="4" t="s">
        <v>4975</v>
      </c>
      <c r="M1233" s="4" t="s">
        <v>5035</v>
      </c>
      <c r="N1233" t="s">
        <v>15</v>
      </c>
      <c r="O1233" t="s">
        <v>4523</v>
      </c>
      <c r="P1233" t="s">
        <v>23</v>
      </c>
      <c r="Q1233" t="s">
        <v>24</v>
      </c>
      <c r="R1233" t="s">
        <v>25</v>
      </c>
      <c r="S1233" t="s">
        <v>26</v>
      </c>
      <c r="T1233" s="6">
        <v>46307</v>
      </c>
      <c r="U1233">
        <v>48</v>
      </c>
      <c r="V1233">
        <v>48</v>
      </c>
      <c r="W1233">
        <v>48</v>
      </c>
      <c r="X1233">
        <v>48</v>
      </c>
      <c r="Y1233">
        <f t="shared" si="197"/>
        <v>0</v>
      </c>
      <c r="Z1233">
        <f t="shared" si="198"/>
        <v>0</v>
      </c>
      <c r="AC1233" s="1">
        <v>0</v>
      </c>
      <c r="AF1233">
        <f t="shared" si="202"/>
        <v>48</v>
      </c>
      <c r="AG1233" s="7">
        <v>12</v>
      </c>
      <c r="AH1233">
        <f t="shared" si="199"/>
        <v>48</v>
      </c>
      <c r="AI1233">
        <f t="shared" si="196"/>
        <v>0</v>
      </c>
      <c r="AK1233">
        <f t="shared" si="200"/>
        <v>4</v>
      </c>
      <c r="AL1233">
        <v>12.09</v>
      </c>
      <c r="AM1233" t="s">
        <v>27</v>
      </c>
      <c r="AN1233">
        <v>12.09</v>
      </c>
      <c r="AO1233" t="b">
        <f t="shared" si="201"/>
        <v>1</v>
      </c>
      <c r="AR1233" t="s">
        <v>5061</v>
      </c>
      <c r="AS1233" s="21">
        <v>46276</v>
      </c>
      <c r="AT1233" t="s">
        <v>5062</v>
      </c>
      <c r="AU1233" t="s">
        <v>5084</v>
      </c>
      <c r="AV1233" t="s">
        <v>5089</v>
      </c>
      <c r="AW1233" t="s">
        <v>5090</v>
      </c>
    </row>
    <row r="1234" spans="1:49" x14ac:dyDescent="0.35">
      <c r="A1234" t="s">
        <v>4105</v>
      </c>
      <c r="B1234" t="s">
        <v>4106</v>
      </c>
      <c r="C1234" t="s">
        <v>4818</v>
      </c>
      <c r="D1234" t="s">
        <v>18</v>
      </c>
      <c r="E1234" t="s">
        <v>4524</v>
      </c>
      <c r="F1234" t="s">
        <v>4525</v>
      </c>
      <c r="G1234" t="s">
        <v>21</v>
      </c>
      <c r="H1234" t="s">
        <v>4826</v>
      </c>
      <c r="I1234" t="s">
        <v>5030</v>
      </c>
      <c r="J1234" s="4" t="s">
        <v>5031</v>
      </c>
      <c r="K1234" s="4" t="s">
        <v>5033</v>
      </c>
      <c r="L1234" s="4" t="s">
        <v>4970</v>
      </c>
      <c r="M1234" s="4" t="s">
        <v>5035</v>
      </c>
      <c r="N1234" t="s">
        <v>15</v>
      </c>
      <c r="O1234" t="s">
        <v>4526</v>
      </c>
      <c r="P1234" t="s">
        <v>23</v>
      </c>
      <c r="Q1234" t="s">
        <v>24</v>
      </c>
      <c r="R1234" t="s">
        <v>25</v>
      </c>
      <c r="S1234" t="s">
        <v>26</v>
      </c>
      <c r="T1234" s="6">
        <v>46307</v>
      </c>
      <c r="U1234">
        <v>120</v>
      </c>
      <c r="V1234">
        <v>120</v>
      </c>
      <c r="W1234">
        <v>132</v>
      </c>
      <c r="X1234">
        <v>132</v>
      </c>
      <c r="Y1234">
        <f t="shared" si="197"/>
        <v>0</v>
      </c>
      <c r="Z1234">
        <f t="shared" si="198"/>
        <v>-12</v>
      </c>
      <c r="AC1234" s="1">
        <v>0</v>
      </c>
      <c r="AF1234">
        <f t="shared" si="202"/>
        <v>120</v>
      </c>
      <c r="AG1234" s="7">
        <v>12</v>
      </c>
      <c r="AH1234">
        <f t="shared" si="199"/>
        <v>120</v>
      </c>
      <c r="AI1234">
        <f t="shared" si="196"/>
        <v>0</v>
      </c>
      <c r="AK1234">
        <f t="shared" si="200"/>
        <v>10</v>
      </c>
      <c r="AL1234">
        <v>12.02</v>
      </c>
      <c r="AM1234" t="s">
        <v>27</v>
      </c>
      <c r="AN1234">
        <v>12.02</v>
      </c>
      <c r="AO1234" t="b">
        <f t="shared" si="201"/>
        <v>1</v>
      </c>
      <c r="AR1234" t="s">
        <v>5061</v>
      </c>
      <c r="AS1234" s="21">
        <v>46276</v>
      </c>
      <c r="AT1234" t="s">
        <v>5062</v>
      </c>
      <c r="AU1234" t="s">
        <v>5085</v>
      </c>
      <c r="AV1234" t="s">
        <v>5089</v>
      </c>
      <c r="AW1234" t="s">
        <v>5090</v>
      </c>
    </row>
    <row r="1235" spans="1:49" x14ac:dyDescent="0.35">
      <c r="A1235" t="s">
        <v>4105</v>
      </c>
      <c r="B1235" t="s">
        <v>4106</v>
      </c>
      <c r="C1235" t="s">
        <v>4818</v>
      </c>
      <c r="D1235" t="s">
        <v>18</v>
      </c>
      <c r="E1235" t="s">
        <v>4527</v>
      </c>
      <c r="F1235" t="s">
        <v>4528</v>
      </c>
      <c r="G1235" t="s">
        <v>21</v>
      </c>
      <c r="H1235" t="s">
        <v>4826</v>
      </c>
      <c r="I1235" t="s">
        <v>5030</v>
      </c>
      <c r="J1235" s="4" t="s">
        <v>5031</v>
      </c>
      <c r="K1235" s="4" t="s">
        <v>4837</v>
      </c>
      <c r="L1235" s="4" t="s">
        <v>4972</v>
      </c>
      <c r="M1235" s="4" t="s">
        <v>5035</v>
      </c>
      <c r="N1235" t="s">
        <v>15</v>
      </c>
      <c r="O1235" t="s">
        <v>4529</v>
      </c>
      <c r="P1235" t="s">
        <v>23</v>
      </c>
      <c r="Q1235" t="s">
        <v>24</v>
      </c>
      <c r="R1235" t="s">
        <v>25</v>
      </c>
      <c r="S1235" t="s">
        <v>26</v>
      </c>
      <c r="T1235" s="6">
        <v>46307</v>
      </c>
      <c r="U1235">
        <v>132</v>
      </c>
      <c r="V1235">
        <v>132</v>
      </c>
      <c r="W1235">
        <v>144</v>
      </c>
      <c r="X1235">
        <v>144</v>
      </c>
      <c r="Y1235">
        <f t="shared" si="197"/>
        <v>0</v>
      </c>
      <c r="Z1235">
        <f t="shared" si="198"/>
        <v>-12</v>
      </c>
      <c r="AC1235" s="1">
        <v>0</v>
      </c>
      <c r="AF1235">
        <f t="shared" si="202"/>
        <v>132</v>
      </c>
      <c r="AG1235" s="7">
        <v>12</v>
      </c>
      <c r="AH1235">
        <f t="shared" si="199"/>
        <v>132</v>
      </c>
      <c r="AI1235">
        <f t="shared" si="196"/>
        <v>0</v>
      </c>
      <c r="AK1235">
        <f t="shared" si="200"/>
        <v>11</v>
      </c>
      <c r="AL1235">
        <v>12.02</v>
      </c>
      <c r="AM1235" t="s">
        <v>27</v>
      </c>
      <c r="AN1235">
        <v>12.02</v>
      </c>
      <c r="AO1235" t="b">
        <f t="shared" si="201"/>
        <v>1</v>
      </c>
      <c r="AR1235" t="s">
        <v>5061</v>
      </c>
      <c r="AS1235" s="21">
        <v>46276</v>
      </c>
      <c r="AT1235" t="s">
        <v>5062</v>
      </c>
      <c r="AU1235" t="s">
        <v>5085</v>
      </c>
      <c r="AV1235" t="s">
        <v>5089</v>
      </c>
      <c r="AW1235" t="s">
        <v>5090</v>
      </c>
    </row>
    <row r="1236" spans="1:49" x14ac:dyDescent="0.35">
      <c r="A1236" t="s">
        <v>4105</v>
      </c>
      <c r="B1236" t="s">
        <v>4106</v>
      </c>
      <c r="C1236" t="s">
        <v>4818</v>
      </c>
      <c r="D1236" t="s">
        <v>18</v>
      </c>
      <c r="E1236" t="s">
        <v>4530</v>
      </c>
      <c r="F1236" t="s">
        <v>4531</v>
      </c>
      <c r="G1236" t="s">
        <v>21</v>
      </c>
      <c r="H1236" t="s">
        <v>4826</v>
      </c>
      <c r="I1236" t="s">
        <v>5030</v>
      </c>
      <c r="J1236" s="4" t="s">
        <v>5031</v>
      </c>
      <c r="K1236" s="4" t="s">
        <v>4832</v>
      </c>
      <c r="L1236" s="4" t="s">
        <v>4940</v>
      </c>
      <c r="M1236" s="4" t="s">
        <v>5035</v>
      </c>
      <c r="N1236" t="s">
        <v>15</v>
      </c>
      <c r="O1236" t="s">
        <v>4532</v>
      </c>
      <c r="P1236" t="s">
        <v>23</v>
      </c>
      <c r="Q1236" t="s">
        <v>24</v>
      </c>
      <c r="R1236" t="s">
        <v>25</v>
      </c>
      <c r="S1236" t="s">
        <v>26</v>
      </c>
      <c r="T1236" s="6">
        <v>46307</v>
      </c>
      <c r="U1236">
        <v>72</v>
      </c>
      <c r="V1236">
        <v>72</v>
      </c>
      <c r="W1236">
        <v>72</v>
      </c>
      <c r="X1236">
        <v>72</v>
      </c>
      <c r="Y1236">
        <f t="shared" si="197"/>
        <v>0</v>
      </c>
      <c r="Z1236">
        <f t="shared" si="198"/>
        <v>0</v>
      </c>
      <c r="AC1236" s="1">
        <v>0</v>
      </c>
      <c r="AF1236">
        <f t="shared" si="202"/>
        <v>72</v>
      </c>
      <c r="AG1236" s="7">
        <v>12</v>
      </c>
      <c r="AH1236">
        <f t="shared" si="199"/>
        <v>72</v>
      </c>
      <c r="AI1236">
        <f t="shared" si="196"/>
        <v>0</v>
      </c>
      <c r="AK1236">
        <f t="shared" si="200"/>
        <v>6</v>
      </c>
      <c r="AL1236">
        <v>12.02</v>
      </c>
      <c r="AM1236" t="s">
        <v>27</v>
      </c>
      <c r="AN1236">
        <v>12.02</v>
      </c>
      <c r="AO1236" t="b">
        <f t="shared" si="201"/>
        <v>1</v>
      </c>
      <c r="AR1236" t="s">
        <v>5061</v>
      </c>
      <c r="AS1236" s="21">
        <v>46276</v>
      </c>
      <c r="AT1236" t="s">
        <v>5062</v>
      </c>
      <c r="AU1236" t="s">
        <v>5085</v>
      </c>
      <c r="AV1236" t="s">
        <v>5089</v>
      </c>
      <c r="AW1236" t="s">
        <v>5090</v>
      </c>
    </row>
    <row r="1237" spans="1:49" x14ac:dyDescent="0.35">
      <c r="A1237" t="s">
        <v>4105</v>
      </c>
      <c r="B1237" t="s">
        <v>4106</v>
      </c>
      <c r="C1237" t="s">
        <v>4818</v>
      </c>
      <c r="D1237" t="s">
        <v>18</v>
      </c>
      <c r="E1237" t="s">
        <v>4533</v>
      </c>
      <c r="F1237" t="s">
        <v>4534</v>
      </c>
      <c r="G1237" t="s">
        <v>21</v>
      </c>
      <c r="H1237" t="s">
        <v>4826</v>
      </c>
      <c r="I1237" t="s">
        <v>5028</v>
      </c>
      <c r="J1237" s="4" t="s">
        <v>5029</v>
      </c>
      <c r="K1237" s="4" t="s">
        <v>4837</v>
      </c>
      <c r="L1237" s="4" t="s">
        <v>4959</v>
      </c>
      <c r="M1237" s="4" t="s">
        <v>5035</v>
      </c>
      <c r="N1237" t="s">
        <v>15</v>
      </c>
      <c r="O1237" t="s">
        <v>4535</v>
      </c>
      <c r="P1237" t="s">
        <v>23</v>
      </c>
      <c r="Q1237" t="s">
        <v>24</v>
      </c>
      <c r="R1237" t="s">
        <v>25</v>
      </c>
      <c r="S1237" t="s">
        <v>26</v>
      </c>
      <c r="T1237" s="6">
        <v>46307</v>
      </c>
      <c r="U1237">
        <v>24</v>
      </c>
      <c r="V1237">
        <v>24</v>
      </c>
      <c r="W1237">
        <v>24</v>
      </c>
      <c r="X1237">
        <v>24</v>
      </c>
      <c r="Y1237">
        <f t="shared" si="197"/>
        <v>0</v>
      </c>
      <c r="Z1237">
        <f t="shared" si="198"/>
        <v>0</v>
      </c>
      <c r="AC1237" s="1">
        <v>0</v>
      </c>
      <c r="AF1237">
        <f t="shared" si="202"/>
        <v>24</v>
      </c>
      <c r="AG1237" s="7">
        <v>12</v>
      </c>
      <c r="AH1237">
        <f t="shared" si="199"/>
        <v>24</v>
      </c>
      <c r="AI1237">
        <f t="shared" si="196"/>
        <v>0</v>
      </c>
      <c r="AK1237">
        <f t="shared" si="200"/>
        <v>2</v>
      </c>
      <c r="AL1237">
        <v>12.09</v>
      </c>
      <c r="AM1237" t="s">
        <v>27</v>
      </c>
      <c r="AN1237">
        <v>12.09</v>
      </c>
      <c r="AO1237" t="b">
        <f t="shared" si="201"/>
        <v>1</v>
      </c>
      <c r="AR1237" t="s">
        <v>5061</v>
      </c>
      <c r="AS1237" s="21">
        <v>46276</v>
      </c>
      <c r="AT1237" t="s">
        <v>5062</v>
      </c>
      <c r="AU1237" t="s">
        <v>5084</v>
      </c>
      <c r="AV1237" t="s">
        <v>5089</v>
      </c>
      <c r="AW1237" t="s">
        <v>5090</v>
      </c>
    </row>
    <row r="1238" spans="1:49" x14ac:dyDescent="0.35">
      <c r="A1238" t="s">
        <v>4105</v>
      </c>
      <c r="B1238" t="s">
        <v>4106</v>
      </c>
      <c r="C1238" t="s">
        <v>4818</v>
      </c>
      <c r="D1238" t="s">
        <v>18</v>
      </c>
      <c r="E1238" t="s">
        <v>4536</v>
      </c>
      <c r="F1238" t="s">
        <v>4537</v>
      </c>
      <c r="G1238" t="s">
        <v>21</v>
      </c>
      <c r="H1238" t="s">
        <v>4826</v>
      </c>
      <c r="I1238" t="s">
        <v>5030</v>
      </c>
      <c r="J1238" s="4" t="s">
        <v>5031</v>
      </c>
      <c r="K1238" s="4" t="s">
        <v>4845</v>
      </c>
      <c r="L1238" s="4" t="s">
        <v>4970</v>
      </c>
      <c r="M1238" s="4" t="s">
        <v>5035</v>
      </c>
      <c r="N1238" t="s">
        <v>15</v>
      </c>
      <c r="O1238" t="s">
        <v>4538</v>
      </c>
      <c r="P1238" t="s">
        <v>23</v>
      </c>
      <c r="Q1238" t="s">
        <v>24</v>
      </c>
      <c r="R1238" t="s">
        <v>25</v>
      </c>
      <c r="S1238" t="s">
        <v>26</v>
      </c>
      <c r="T1238" s="6">
        <v>46307</v>
      </c>
      <c r="U1238">
        <v>108</v>
      </c>
      <c r="V1238">
        <v>108</v>
      </c>
      <c r="W1238">
        <v>108</v>
      </c>
      <c r="X1238">
        <v>108</v>
      </c>
      <c r="Y1238">
        <f t="shared" si="197"/>
        <v>0</v>
      </c>
      <c r="Z1238">
        <f t="shared" si="198"/>
        <v>0</v>
      </c>
      <c r="AC1238" s="1">
        <v>0</v>
      </c>
      <c r="AF1238">
        <f t="shared" si="202"/>
        <v>108</v>
      </c>
      <c r="AG1238" s="7">
        <v>12</v>
      </c>
      <c r="AH1238">
        <f t="shared" si="199"/>
        <v>108</v>
      </c>
      <c r="AI1238">
        <f t="shared" si="196"/>
        <v>0</v>
      </c>
      <c r="AK1238">
        <f t="shared" si="200"/>
        <v>9</v>
      </c>
      <c r="AL1238">
        <v>12.02</v>
      </c>
      <c r="AM1238" t="s">
        <v>27</v>
      </c>
      <c r="AN1238">
        <v>12.02</v>
      </c>
      <c r="AO1238" t="b">
        <f t="shared" si="201"/>
        <v>1</v>
      </c>
      <c r="AR1238" t="s">
        <v>5061</v>
      </c>
      <c r="AS1238" s="21">
        <v>46276</v>
      </c>
      <c r="AT1238" t="s">
        <v>5062</v>
      </c>
      <c r="AU1238" t="s">
        <v>5085</v>
      </c>
      <c r="AV1238" t="s">
        <v>5089</v>
      </c>
      <c r="AW1238" t="s">
        <v>5090</v>
      </c>
    </row>
    <row r="1239" spans="1:49" x14ac:dyDescent="0.35">
      <c r="A1239" t="s">
        <v>4105</v>
      </c>
      <c r="B1239" t="s">
        <v>4106</v>
      </c>
      <c r="C1239" t="s">
        <v>4818</v>
      </c>
      <c r="D1239" t="s">
        <v>18</v>
      </c>
      <c r="E1239" t="s">
        <v>4539</v>
      </c>
      <c r="F1239" t="s">
        <v>4540</v>
      </c>
      <c r="G1239" t="s">
        <v>21</v>
      </c>
      <c r="H1239" t="s">
        <v>4826</v>
      </c>
      <c r="I1239" t="s">
        <v>5030</v>
      </c>
      <c r="J1239" s="4" t="s">
        <v>5031</v>
      </c>
      <c r="K1239" s="4" t="s">
        <v>5034</v>
      </c>
      <c r="L1239" s="4" t="s">
        <v>4958</v>
      </c>
      <c r="M1239" s="4" t="s">
        <v>5035</v>
      </c>
      <c r="N1239" t="s">
        <v>15</v>
      </c>
      <c r="O1239" t="s">
        <v>4541</v>
      </c>
      <c r="P1239" t="s">
        <v>23</v>
      </c>
      <c r="Q1239" t="s">
        <v>24</v>
      </c>
      <c r="R1239" t="s">
        <v>25</v>
      </c>
      <c r="S1239" t="s">
        <v>26</v>
      </c>
      <c r="T1239" s="6">
        <v>46307</v>
      </c>
      <c r="U1239">
        <v>168</v>
      </c>
      <c r="V1239">
        <v>168</v>
      </c>
      <c r="W1239">
        <v>156</v>
      </c>
      <c r="X1239">
        <v>156</v>
      </c>
      <c r="Y1239">
        <f t="shared" si="197"/>
        <v>0</v>
      </c>
      <c r="Z1239">
        <f t="shared" si="198"/>
        <v>12</v>
      </c>
      <c r="AA1239">
        <f>Z1239</f>
        <v>12</v>
      </c>
      <c r="AC1239" s="1">
        <v>0</v>
      </c>
      <c r="AF1239">
        <f>X1239</f>
        <v>156</v>
      </c>
      <c r="AG1239" s="7">
        <v>12</v>
      </c>
      <c r="AH1239">
        <f t="shared" si="199"/>
        <v>156</v>
      </c>
      <c r="AI1239">
        <f t="shared" si="196"/>
        <v>12</v>
      </c>
      <c r="AK1239">
        <f t="shared" si="200"/>
        <v>13</v>
      </c>
      <c r="AL1239">
        <v>12.02</v>
      </c>
      <c r="AM1239" t="s">
        <v>27</v>
      </c>
      <c r="AN1239">
        <v>12.02</v>
      </c>
      <c r="AO1239" t="b">
        <f t="shared" si="201"/>
        <v>1</v>
      </c>
      <c r="AR1239" t="s">
        <v>5061</v>
      </c>
      <c r="AS1239" s="21">
        <v>46276</v>
      </c>
      <c r="AT1239" t="s">
        <v>5062</v>
      </c>
      <c r="AU1239" t="s">
        <v>5085</v>
      </c>
      <c r="AV1239" t="s">
        <v>5089</v>
      </c>
      <c r="AW1239" t="s">
        <v>5090</v>
      </c>
    </row>
    <row r="1240" spans="1:49" x14ac:dyDescent="0.35">
      <c r="A1240" t="s">
        <v>4105</v>
      </c>
      <c r="B1240" t="s">
        <v>4106</v>
      </c>
      <c r="C1240" t="s">
        <v>4818</v>
      </c>
      <c r="D1240" t="s">
        <v>18</v>
      </c>
      <c r="E1240" t="s">
        <v>4542</v>
      </c>
      <c r="F1240" t="s">
        <v>4543</v>
      </c>
      <c r="G1240" t="s">
        <v>21</v>
      </c>
      <c r="H1240" t="s">
        <v>4826</v>
      </c>
      <c r="I1240" t="s">
        <v>5030</v>
      </c>
      <c r="J1240" s="4" t="s">
        <v>5031</v>
      </c>
      <c r="K1240" s="4" t="s">
        <v>4837</v>
      </c>
      <c r="L1240" s="4" t="s">
        <v>4946</v>
      </c>
      <c r="M1240" s="4" t="s">
        <v>5035</v>
      </c>
      <c r="N1240" t="s">
        <v>15</v>
      </c>
      <c r="O1240" t="s">
        <v>4544</v>
      </c>
      <c r="P1240" t="s">
        <v>23</v>
      </c>
      <c r="Q1240" t="s">
        <v>24</v>
      </c>
      <c r="R1240" t="s">
        <v>25</v>
      </c>
      <c r="S1240" t="s">
        <v>26</v>
      </c>
      <c r="T1240" s="6">
        <v>46307</v>
      </c>
      <c r="U1240">
        <v>84</v>
      </c>
      <c r="V1240">
        <v>84</v>
      </c>
      <c r="W1240">
        <v>96</v>
      </c>
      <c r="X1240">
        <v>96</v>
      </c>
      <c r="Y1240">
        <f t="shared" si="197"/>
        <v>0</v>
      </c>
      <c r="Z1240">
        <f t="shared" si="198"/>
        <v>-12</v>
      </c>
      <c r="AC1240" s="1">
        <v>0</v>
      </c>
      <c r="AF1240">
        <f>V1240</f>
        <v>84</v>
      </c>
      <c r="AG1240" s="7">
        <v>12</v>
      </c>
      <c r="AH1240">
        <f t="shared" si="199"/>
        <v>84</v>
      </c>
      <c r="AI1240">
        <f t="shared" si="196"/>
        <v>0</v>
      </c>
      <c r="AK1240">
        <f t="shared" si="200"/>
        <v>7</v>
      </c>
      <c r="AL1240">
        <v>12.02</v>
      </c>
      <c r="AM1240" t="s">
        <v>27</v>
      </c>
      <c r="AN1240">
        <v>12.02</v>
      </c>
      <c r="AO1240" t="b">
        <f t="shared" si="201"/>
        <v>1</v>
      </c>
      <c r="AR1240" t="s">
        <v>5061</v>
      </c>
      <c r="AS1240" s="21">
        <v>46276</v>
      </c>
      <c r="AT1240" t="s">
        <v>5062</v>
      </c>
      <c r="AU1240" t="s">
        <v>5085</v>
      </c>
      <c r="AV1240" t="s">
        <v>5089</v>
      </c>
      <c r="AW1240" t="s">
        <v>5090</v>
      </c>
    </row>
    <row r="1241" spans="1:49" x14ac:dyDescent="0.35">
      <c r="A1241" t="s">
        <v>4105</v>
      </c>
      <c r="B1241" t="s">
        <v>4106</v>
      </c>
      <c r="C1241" t="s">
        <v>4818</v>
      </c>
      <c r="D1241" t="s">
        <v>18</v>
      </c>
      <c r="E1241" t="s">
        <v>4545</v>
      </c>
      <c r="F1241" t="s">
        <v>4546</v>
      </c>
      <c r="G1241" t="s">
        <v>21</v>
      </c>
      <c r="H1241" t="s">
        <v>4826</v>
      </c>
      <c r="I1241" t="s">
        <v>5028</v>
      </c>
      <c r="J1241" s="4" t="s">
        <v>5029</v>
      </c>
      <c r="K1241" s="4" t="s">
        <v>4845</v>
      </c>
      <c r="L1241" s="4" t="s">
        <v>4951</v>
      </c>
      <c r="M1241" s="4" t="s">
        <v>5035</v>
      </c>
      <c r="N1241" t="s">
        <v>15</v>
      </c>
      <c r="O1241" t="s">
        <v>4547</v>
      </c>
      <c r="P1241" t="s">
        <v>23</v>
      </c>
      <c r="Q1241" t="s">
        <v>24</v>
      </c>
      <c r="R1241" t="s">
        <v>25</v>
      </c>
      <c r="S1241" t="s">
        <v>26</v>
      </c>
      <c r="T1241" s="6">
        <v>46307</v>
      </c>
      <c r="U1241">
        <v>168</v>
      </c>
      <c r="V1241">
        <v>168</v>
      </c>
      <c r="W1241">
        <v>180</v>
      </c>
      <c r="X1241">
        <v>180</v>
      </c>
      <c r="Y1241">
        <f t="shared" si="197"/>
        <v>0</v>
      </c>
      <c r="Z1241">
        <f t="shared" si="198"/>
        <v>-12</v>
      </c>
      <c r="AC1241" s="1">
        <v>0</v>
      </c>
      <c r="AF1241">
        <f>V1241</f>
        <v>168</v>
      </c>
      <c r="AG1241" s="7">
        <v>12</v>
      </c>
      <c r="AH1241">
        <f t="shared" si="199"/>
        <v>168</v>
      </c>
      <c r="AI1241">
        <f t="shared" si="196"/>
        <v>0</v>
      </c>
      <c r="AK1241">
        <f t="shared" si="200"/>
        <v>14</v>
      </c>
      <c r="AL1241">
        <v>12.09</v>
      </c>
      <c r="AM1241" t="s">
        <v>27</v>
      </c>
      <c r="AN1241">
        <v>12.09</v>
      </c>
      <c r="AO1241" t="b">
        <f t="shared" si="201"/>
        <v>1</v>
      </c>
      <c r="AR1241" t="s">
        <v>5061</v>
      </c>
      <c r="AS1241" s="21">
        <v>46276</v>
      </c>
      <c r="AT1241" t="s">
        <v>5062</v>
      </c>
      <c r="AU1241" t="s">
        <v>5084</v>
      </c>
      <c r="AV1241" t="s">
        <v>5089</v>
      </c>
      <c r="AW1241" t="s">
        <v>5090</v>
      </c>
    </row>
    <row r="1242" spans="1:49" x14ac:dyDescent="0.35">
      <c r="A1242" t="s">
        <v>4105</v>
      </c>
      <c r="B1242" t="s">
        <v>4106</v>
      </c>
      <c r="C1242" t="s">
        <v>4818</v>
      </c>
      <c r="D1242" t="s">
        <v>18</v>
      </c>
      <c r="E1242" t="s">
        <v>4548</v>
      </c>
      <c r="F1242" t="s">
        <v>4549</v>
      </c>
      <c r="G1242" t="s">
        <v>21</v>
      </c>
      <c r="H1242" t="s">
        <v>4826</v>
      </c>
      <c r="I1242" t="s">
        <v>5028</v>
      </c>
      <c r="J1242" s="4" t="s">
        <v>5029</v>
      </c>
      <c r="K1242" s="4" t="s">
        <v>4845</v>
      </c>
      <c r="L1242" s="4" t="s">
        <v>4949</v>
      </c>
      <c r="M1242" s="4" t="s">
        <v>5035</v>
      </c>
      <c r="N1242" t="s">
        <v>15</v>
      </c>
      <c r="O1242" t="s">
        <v>4550</v>
      </c>
      <c r="P1242" t="s">
        <v>23</v>
      </c>
      <c r="Q1242" t="s">
        <v>24</v>
      </c>
      <c r="R1242" t="s">
        <v>25</v>
      </c>
      <c r="S1242" t="s">
        <v>26</v>
      </c>
      <c r="T1242" s="6">
        <v>46307</v>
      </c>
      <c r="U1242">
        <v>12</v>
      </c>
      <c r="V1242">
        <v>12</v>
      </c>
      <c r="W1242">
        <v>12</v>
      </c>
      <c r="X1242">
        <v>12</v>
      </c>
      <c r="Y1242">
        <f t="shared" si="197"/>
        <v>0</v>
      </c>
      <c r="Z1242">
        <f t="shared" si="198"/>
        <v>0</v>
      </c>
      <c r="AC1242" s="1">
        <v>0</v>
      </c>
      <c r="AF1242">
        <f>V1242</f>
        <v>12</v>
      </c>
      <c r="AG1242" s="7">
        <v>12</v>
      </c>
      <c r="AH1242">
        <f t="shared" si="199"/>
        <v>12</v>
      </c>
      <c r="AI1242">
        <f t="shared" si="196"/>
        <v>0</v>
      </c>
      <c r="AK1242">
        <f t="shared" si="200"/>
        <v>1</v>
      </c>
      <c r="AL1242">
        <v>12.09</v>
      </c>
      <c r="AM1242" t="s">
        <v>27</v>
      </c>
      <c r="AN1242">
        <v>12.09</v>
      </c>
      <c r="AO1242" t="b">
        <f t="shared" si="201"/>
        <v>1</v>
      </c>
      <c r="AR1242" t="s">
        <v>5061</v>
      </c>
      <c r="AS1242" s="21">
        <v>46276</v>
      </c>
      <c r="AT1242" t="s">
        <v>5062</v>
      </c>
      <c r="AU1242" t="s">
        <v>5084</v>
      </c>
      <c r="AV1242" t="s">
        <v>5089</v>
      </c>
      <c r="AW1242" t="s">
        <v>5090</v>
      </c>
    </row>
    <row r="1243" spans="1:49" x14ac:dyDescent="0.35">
      <c r="A1243" t="s">
        <v>4105</v>
      </c>
      <c r="B1243" t="s">
        <v>4106</v>
      </c>
      <c r="C1243" t="s">
        <v>4818</v>
      </c>
      <c r="D1243" t="s">
        <v>18</v>
      </c>
      <c r="E1243" t="s">
        <v>4551</v>
      </c>
      <c r="F1243" t="s">
        <v>4552</v>
      </c>
      <c r="G1243" t="s">
        <v>21</v>
      </c>
      <c r="H1243" t="s">
        <v>4826</v>
      </c>
      <c r="I1243" t="s">
        <v>5030</v>
      </c>
      <c r="J1243" s="4" t="s">
        <v>5031</v>
      </c>
      <c r="K1243" s="4" t="s">
        <v>4837</v>
      </c>
      <c r="L1243" s="4" t="s">
        <v>4965</v>
      </c>
      <c r="M1243" s="4" t="s">
        <v>5035</v>
      </c>
      <c r="N1243" t="s">
        <v>15</v>
      </c>
      <c r="O1243" t="s">
        <v>4553</v>
      </c>
      <c r="P1243" t="s">
        <v>23</v>
      </c>
      <c r="Q1243" t="s">
        <v>24</v>
      </c>
      <c r="R1243" t="s">
        <v>25</v>
      </c>
      <c r="S1243" t="s">
        <v>26</v>
      </c>
      <c r="T1243" s="6">
        <v>46307</v>
      </c>
      <c r="U1243">
        <v>72</v>
      </c>
      <c r="V1243">
        <v>72</v>
      </c>
      <c r="W1243">
        <v>84</v>
      </c>
      <c r="X1243">
        <v>84</v>
      </c>
      <c r="Y1243">
        <f t="shared" si="197"/>
        <v>0</v>
      </c>
      <c r="Z1243">
        <f t="shared" si="198"/>
        <v>-12</v>
      </c>
      <c r="AC1243" s="1">
        <v>0</v>
      </c>
      <c r="AF1243">
        <f>V1243</f>
        <v>72</v>
      </c>
      <c r="AG1243" s="7">
        <v>12</v>
      </c>
      <c r="AH1243">
        <f t="shared" si="199"/>
        <v>72</v>
      </c>
      <c r="AI1243">
        <f t="shared" si="196"/>
        <v>0</v>
      </c>
      <c r="AK1243">
        <f t="shared" si="200"/>
        <v>6</v>
      </c>
      <c r="AL1243">
        <v>12.02</v>
      </c>
      <c r="AM1243" t="s">
        <v>27</v>
      </c>
      <c r="AN1243">
        <v>12.02</v>
      </c>
      <c r="AO1243" t="b">
        <f t="shared" si="201"/>
        <v>1</v>
      </c>
      <c r="AR1243" t="s">
        <v>5061</v>
      </c>
      <c r="AS1243" s="21">
        <v>46276</v>
      </c>
      <c r="AT1243" t="s">
        <v>5062</v>
      </c>
      <c r="AU1243" t="s">
        <v>5085</v>
      </c>
      <c r="AV1243" t="s">
        <v>5089</v>
      </c>
      <c r="AW1243" t="s">
        <v>5090</v>
      </c>
    </row>
    <row r="1244" spans="1:49" x14ac:dyDescent="0.35">
      <c r="A1244" t="s">
        <v>4105</v>
      </c>
      <c r="B1244" t="s">
        <v>4106</v>
      </c>
      <c r="C1244" t="s">
        <v>4818</v>
      </c>
      <c r="D1244" t="s">
        <v>18</v>
      </c>
      <c r="E1244" t="s">
        <v>4554</v>
      </c>
      <c r="F1244" t="s">
        <v>4555</v>
      </c>
      <c r="G1244" t="s">
        <v>21</v>
      </c>
      <c r="H1244" t="s">
        <v>4826</v>
      </c>
      <c r="I1244" t="s">
        <v>5030</v>
      </c>
      <c r="J1244" s="4" t="s">
        <v>5031</v>
      </c>
      <c r="K1244" s="4" t="s">
        <v>4837</v>
      </c>
      <c r="L1244" s="4" t="s">
        <v>4942</v>
      </c>
      <c r="M1244" s="4" t="s">
        <v>5035</v>
      </c>
      <c r="N1244" t="s">
        <v>15</v>
      </c>
      <c r="O1244" t="s">
        <v>4556</v>
      </c>
      <c r="P1244" t="s">
        <v>23</v>
      </c>
      <c r="Q1244" t="s">
        <v>24</v>
      </c>
      <c r="R1244" t="s">
        <v>25</v>
      </c>
      <c r="S1244" t="s">
        <v>26</v>
      </c>
      <c r="T1244" s="6">
        <v>46307</v>
      </c>
      <c r="U1244">
        <v>24</v>
      </c>
      <c r="V1244">
        <v>24</v>
      </c>
      <c r="W1244">
        <v>12</v>
      </c>
      <c r="X1244">
        <v>12</v>
      </c>
      <c r="Y1244">
        <f t="shared" si="197"/>
        <v>0</v>
      </c>
      <c r="Z1244">
        <f t="shared" si="198"/>
        <v>12</v>
      </c>
      <c r="AA1244">
        <f>Z1244</f>
        <v>12</v>
      </c>
      <c r="AC1244" s="1">
        <v>0</v>
      </c>
      <c r="AF1244">
        <f>X1244</f>
        <v>12</v>
      </c>
      <c r="AG1244" s="7">
        <v>12</v>
      </c>
      <c r="AH1244">
        <f t="shared" si="199"/>
        <v>12</v>
      </c>
      <c r="AI1244">
        <f t="shared" si="196"/>
        <v>12</v>
      </c>
      <c r="AK1244">
        <f t="shared" si="200"/>
        <v>1</v>
      </c>
      <c r="AL1244">
        <v>12.02</v>
      </c>
      <c r="AM1244" t="s">
        <v>27</v>
      </c>
      <c r="AN1244">
        <v>12.02</v>
      </c>
      <c r="AO1244" t="b">
        <f t="shared" si="201"/>
        <v>1</v>
      </c>
      <c r="AR1244" t="s">
        <v>5061</v>
      </c>
      <c r="AS1244" s="21">
        <v>46276</v>
      </c>
      <c r="AT1244" t="s">
        <v>5062</v>
      </c>
      <c r="AU1244" t="s">
        <v>5085</v>
      </c>
      <c r="AV1244" t="s">
        <v>5089</v>
      </c>
      <c r="AW1244" t="s">
        <v>5090</v>
      </c>
    </row>
    <row r="1245" spans="1:49" x14ac:dyDescent="0.35">
      <c r="A1245" t="s">
        <v>4105</v>
      </c>
      <c r="B1245" t="s">
        <v>4106</v>
      </c>
      <c r="C1245" t="s">
        <v>4818</v>
      </c>
      <c r="D1245" t="s">
        <v>18</v>
      </c>
      <c r="E1245" t="s">
        <v>4557</v>
      </c>
      <c r="F1245" t="s">
        <v>4558</v>
      </c>
      <c r="G1245" t="s">
        <v>21</v>
      </c>
      <c r="H1245" t="s">
        <v>4826</v>
      </c>
      <c r="I1245" t="s">
        <v>5030</v>
      </c>
      <c r="J1245" s="4" t="s">
        <v>5031</v>
      </c>
      <c r="K1245" s="4" t="s">
        <v>4832</v>
      </c>
      <c r="L1245" s="4" t="s">
        <v>4939</v>
      </c>
      <c r="M1245" s="4" t="s">
        <v>5035</v>
      </c>
      <c r="N1245" t="s">
        <v>15</v>
      </c>
      <c r="O1245" t="s">
        <v>4559</v>
      </c>
      <c r="P1245" t="s">
        <v>23</v>
      </c>
      <c r="Q1245" t="s">
        <v>24</v>
      </c>
      <c r="R1245" t="s">
        <v>25</v>
      </c>
      <c r="S1245" t="s">
        <v>26</v>
      </c>
      <c r="T1245" s="6">
        <v>46307</v>
      </c>
      <c r="U1245">
        <v>60</v>
      </c>
      <c r="V1245">
        <v>60</v>
      </c>
      <c r="W1245">
        <v>72</v>
      </c>
      <c r="X1245">
        <v>72</v>
      </c>
      <c r="Y1245">
        <f t="shared" si="197"/>
        <v>0</v>
      </c>
      <c r="Z1245">
        <f t="shared" si="198"/>
        <v>-12</v>
      </c>
      <c r="AC1245" s="1">
        <v>0</v>
      </c>
      <c r="AF1245">
        <f t="shared" ref="AF1245:AF1259" si="203">V1245</f>
        <v>60</v>
      </c>
      <c r="AG1245" s="7">
        <v>12</v>
      </c>
      <c r="AH1245">
        <f t="shared" si="199"/>
        <v>60</v>
      </c>
      <c r="AI1245">
        <f t="shared" si="196"/>
        <v>0</v>
      </c>
      <c r="AK1245">
        <f t="shared" si="200"/>
        <v>5</v>
      </c>
      <c r="AL1245">
        <v>12.02</v>
      </c>
      <c r="AM1245" t="s">
        <v>27</v>
      </c>
      <c r="AN1245">
        <v>12.02</v>
      </c>
      <c r="AO1245" t="b">
        <f t="shared" si="201"/>
        <v>1</v>
      </c>
      <c r="AR1245" t="s">
        <v>5061</v>
      </c>
      <c r="AS1245" s="21">
        <v>46276</v>
      </c>
      <c r="AT1245" t="s">
        <v>5062</v>
      </c>
      <c r="AU1245" t="s">
        <v>5085</v>
      </c>
      <c r="AV1245" t="s">
        <v>5089</v>
      </c>
      <c r="AW1245" t="s">
        <v>5090</v>
      </c>
    </row>
    <row r="1246" spans="1:49" x14ac:dyDescent="0.35">
      <c r="A1246" t="s">
        <v>4105</v>
      </c>
      <c r="B1246" t="s">
        <v>4106</v>
      </c>
      <c r="C1246" t="s">
        <v>4818</v>
      </c>
      <c r="D1246" t="s">
        <v>18</v>
      </c>
      <c r="E1246" t="s">
        <v>4560</v>
      </c>
      <c r="F1246" t="s">
        <v>4561</v>
      </c>
      <c r="G1246" t="s">
        <v>21</v>
      </c>
      <c r="H1246" t="s">
        <v>4826</v>
      </c>
      <c r="I1246" t="s">
        <v>5028</v>
      </c>
      <c r="J1246" s="4" t="s">
        <v>5029</v>
      </c>
      <c r="K1246" s="4" t="s">
        <v>4837</v>
      </c>
      <c r="L1246" s="4" t="s">
        <v>4955</v>
      </c>
      <c r="M1246" s="4" t="s">
        <v>5035</v>
      </c>
      <c r="N1246" t="s">
        <v>15</v>
      </c>
      <c r="O1246" t="s">
        <v>4562</v>
      </c>
      <c r="P1246" t="s">
        <v>23</v>
      </c>
      <c r="Q1246" t="s">
        <v>24</v>
      </c>
      <c r="R1246" t="s">
        <v>25</v>
      </c>
      <c r="S1246" t="s">
        <v>26</v>
      </c>
      <c r="T1246" s="6">
        <v>46307</v>
      </c>
      <c r="U1246">
        <v>12</v>
      </c>
      <c r="V1246">
        <v>12</v>
      </c>
      <c r="W1246">
        <v>12</v>
      </c>
      <c r="X1246">
        <v>12</v>
      </c>
      <c r="Y1246">
        <f t="shared" si="197"/>
        <v>0</v>
      </c>
      <c r="Z1246">
        <f t="shared" si="198"/>
        <v>0</v>
      </c>
      <c r="AC1246" s="1">
        <v>0</v>
      </c>
      <c r="AF1246">
        <f t="shared" si="203"/>
        <v>12</v>
      </c>
      <c r="AG1246" s="7">
        <v>12</v>
      </c>
      <c r="AH1246">
        <f t="shared" si="199"/>
        <v>12</v>
      </c>
      <c r="AI1246">
        <f t="shared" si="196"/>
        <v>0</v>
      </c>
      <c r="AK1246">
        <f t="shared" si="200"/>
        <v>1</v>
      </c>
      <c r="AL1246">
        <v>12.09</v>
      </c>
      <c r="AM1246" t="s">
        <v>27</v>
      </c>
      <c r="AN1246">
        <v>12.09</v>
      </c>
      <c r="AO1246" t="b">
        <f t="shared" si="201"/>
        <v>1</v>
      </c>
      <c r="AR1246" t="s">
        <v>5061</v>
      </c>
      <c r="AS1246" s="21">
        <v>46276</v>
      </c>
      <c r="AT1246" t="s">
        <v>5062</v>
      </c>
      <c r="AU1246" t="s">
        <v>5084</v>
      </c>
      <c r="AV1246" t="s">
        <v>5089</v>
      </c>
      <c r="AW1246" t="s">
        <v>5090</v>
      </c>
    </row>
    <row r="1247" spans="1:49" x14ac:dyDescent="0.35">
      <c r="A1247" t="s">
        <v>4105</v>
      </c>
      <c r="B1247" t="s">
        <v>4106</v>
      </c>
      <c r="C1247" t="s">
        <v>4818</v>
      </c>
      <c r="D1247" t="s">
        <v>18</v>
      </c>
      <c r="E1247" t="s">
        <v>4563</v>
      </c>
      <c r="F1247" t="s">
        <v>4564</v>
      </c>
      <c r="G1247" t="s">
        <v>21</v>
      </c>
      <c r="H1247" t="s">
        <v>4826</v>
      </c>
      <c r="I1247" t="s">
        <v>5028</v>
      </c>
      <c r="J1247" s="4" t="s">
        <v>5029</v>
      </c>
      <c r="K1247" s="4" t="s">
        <v>4837</v>
      </c>
      <c r="L1247" s="4" t="s">
        <v>4970</v>
      </c>
      <c r="M1247" s="4" t="s">
        <v>5035</v>
      </c>
      <c r="N1247" t="s">
        <v>15</v>
      </c>
      <c r="O1247" t="s">
        <v>4565</v>
      </c>
      <c r="P1247" t="s">
        <v>23</v>
      </c>
      <c r="Q1247" t="s">
        <v>24</v>
      </c>
      <c r="R1247" t="s">
        <v>25</v>
      </c>
      <c r="S1247" t="s">
        <v>26</v>
      </c>
      <c r="T1247" s="6">
        <v>46307</v>
      </c>
      <c r="U1247">
        <v>228</v>
      </c>
      <c r="V1247">
        <v>228</v>
      </c>
      <c r="W1247">
        <v>252</v>
      </c>
      <c r="X1247">
        <v>252</v>
      </c>
      <c r="Y1247">
        <f t="shared" si="197"/>
        <v>0</v>
      </c>
      <c r="Z1247">
        <f t="shared" si="198"/>
        <v>-24</v>
      </c>
      <c r="AC1247" s="1">
        <v>0</v>
      </c>
      <c r="AF1247">
        <f t="shared" si="203"/>
        <v>228</v>
      </c>
      <c r="AG1247" s="7">
        <v>12</v>
      </c>
      <c r="AH1247">
        <f t="shared" si="199"/>
        <v>228</v>
      </c>
      <c r="AI1247">
        <f t="shared" si="196"/>
        <v>0</v>
      </c>
      <c r="AK1247">
        <f t="shared" si="200"/>
        <v>19</v>
      </c>
      <c r="AL1247">
        <v>12.09</v>
      </c>
      <c r="AM1247" t="s">
        <v>27</v>
      </c>
      <c r="AN1247">
        <v>12.09</v>
      </c>
      <c r="AO1247" t="b">
        <f t="shared" si="201"/>
        <v>1</v>
      </c>
      <c r="AR1247" t="s">
        <v>5061</v>
      </c>
      <c r="AS1247" s="21">
        <v>46276</v>
      </c>
      <c r="AT1247" t="s">
        <v>5062</v>
      </c>
      <c r="AU1247" t="s">
        <v>5084</v>
      </c>
      <c r="AV1247" t="s">
        <v>5089</v>
      </c>
      <c r="AW1247" t="s">
        <v>5090</v>
      </c>
    </row>
    <row r="1248" spans="1:49" x14ac:dyDescent="0.35">
      <c r="A1248" t="s">
        <v>4105</v>
      </c>
      <c r="B1248" t="s">
        <v>4106</v>
      </c>
      <c r="C1248" t="s">
        <v>4818</v>
      </c>
      <c r="D1248" t="s">
        <v>18</v>
      </c>
      <c r="E1248" t="s">
        <v>4566</v>
      </c>
      <c r="F1248" t="s">
        <v>4567</v>
      </c>
      <c r="G1248" t="s">
        <v>21</v>
      </c>
      <c r="H1248" t="s">
        <v>4826</v>
      </c>
      <c r="I1248" t="s">
        <v>5028</v>
      </c>
      <c r="J1248" s="4" t="s">
        <v>5029</v>
      </c>
      <c r="K1248" s="4" t="s">
        <v>4837</v>
      </c>
      <c r="L1248" s="4" t="s">
        <v>4954</v>
      </c>
      <c r="M1248" s="4" t="s">
        <v>5035</v>
      </c>
      <c r="N1248" t="s">
        <v>15</v>
      </c>
      <c r="O1248" t="s">
        <v>4568</v>
      </c>
      <c r="P1248" t="s">
        <v>23</v>
      </c>
      <c r="Q1248" t="s">
        <v>24</v>
      </c>
      <c r="R1248" t="s">
        <v>25</v>
      </c>
      <c r="S1248" t="s">
        <v>26</v>
      </c>
      <c r="T1248" s="6">
        <v>46307</v>
      </c>
      <c r="U1248">
        <v>72</v>
      </c>
      <c r="V1248">
        <v>72</v>
      </c>
      <c r="W1248">
        <v>84</v>
      </c>
      <c r="X1248">
        <v>84</v>
      </c>
      <c r="Y1248">
        <f t="shared" si="197"/>
        <v>0</v>
      </c>
      <c r="Z1248">
        <f t="shared" si="198"/>
        <v>-12</v>
      </c>
      <c r="AC1248" s="1">
        <v>0</v>
      </c>
      <c r="AF1248">
        <f t="shared" si="203"/>
        <v>72</v>
      </c>
      <c r="AG1248" s="7">
        <v>12</v>
      </c>
      <c r="AH1248">
        <f t="shared" si="199"/>
        <v>72</v>
      </c>
      <c r="AI1248">
        <f t="shared" si="196"/>
        <v>0</v>
      </c>
      <c r="AK1248">
        <f t="shared" si="200"/>
        <v>6</v>
      </c>
      <c r="AL1248">
        <v>12.09</v>
      </c>
      <c r="AM1248" t="s">
        <v>27</v>
      </c>
      <c r="AN1248">
        <v>12.09</v>
      </c>
      <c r="AO1248" t="b">
        <f t="shared" si="201"/>
        <v>1</v>
      </c>
      <c r="AR1248" t="s">
        <v>5061</v>
      </c>
      <c r="AS1248" s="21">
        <v>46276</v>
      </c>
      <c r="AT1248" t="s">
        <v>5062</v>
      </c>
      <c r="AU1248" t="s">
        <v>5084</v>
      </c>
      <c r="AV1248" t="s">
        <v>5089</v>
      </c>
      <c r="AW1248" t="s">
        <v>5090</v>
      </c>
    </row>
    <row r="1249" spans="1:49" x14ac:dyDescent="0.35">
      <c r="A1249" t="s">
        <v>4105</v>
      </c>
      <c r="B1249" t="s">
        <v>4106</v>
      </c>
      <c r="C1249" t="s">
        <v>4818</v>
      </c>
      <c r="D1249" t="s">
        <v>18</v>
      </c>
      <c r="E1249" t="s">
        <v>4569</v>
      </c>
      <c r="F1249" t="s">
        <v>4570</v>
      </c>
      <c r="G1249" t="s">
        <v>21</v>
      </c>
      <c r="H1249" t="s">
        <v>4826</v>
      </c>
      <c r="I1249" t="s">
        <v>5028</v>
      </c>
      <c r="J1249" s="4" t="s">
        <v>5029</v>
      </c>
      <c r="K1249" s="4" t="s">
        <v>4832</v>
      </c>
      <c r="L1249" s="4" t="s">
        <v>4949</v>
      </c>
      <c r="M1249" s="4" t="s">
        <v>5035</v>
      </c>
      <c r="N1249" t="s">
        <v>15</v>
      </c>
      <c r="O1249" t="s">
        <v>4571</v>
      </c>
      <c r="P1249" t="s">
        <v>23</v>
      </c>
      <c r="Q1249" t="s">
        <v>24</v>
      </c>
      <c r="R1249" t="s">
        <v>25</v>
      </c>
      <c r="S1249" t="s">
        <v>26</v>
      </c>
      <c r="T1249" s="6">
        <v>46307</v>
      </c>
      <c r="U1249">
        <v>36</v>
      </c>
      <c r="V1249">
        <v>36</v>
      </c>
      <c r="W1249">
        <v>36</v>
      </c>
      <c r="X1249">
        <v>36</v>
      </c>
      <c r="Y1249">
        <f t="shared" si="197"/>
        <v>0</v>
      </c>
      <c r="Z1249">
        <f t="shared" si="198"/>
        <v>0</v>
      </c>
      <c r="AC1249" s="1">
        <v>0</v>
      </c>
      <c r="AF1249">
        <f t="shared" si="203"/>
        <v>36</v>
      </c>
      <c r="AG1249" s="7">
        <v>12</v>
      </c>
      <c r="AH1249">
        <f t="shared" si="199"/>
        <v>36</v>
      </c>
      <c r="AI1249">
        <f t="shared" si="196"/>
        <v>0</v>
      </c>
      <c r="AK1249">
        <f t="shared" si="200"/>
        <v>3</v>
      </c>
      <c r="AL1249">
        <v>12.09</v>
      </c>
      <c r="AM1249" t="s">
        <v>27</v>
      </c>
      <c r="AN1249">
        <v>12.09</v>
      </c>
      <c r="AO1249" t="b">
        <f t="shared" si="201"/>
        <v>1</v>
      </c>
      <c r="AR1249" t="s">
        <v>5061</v>
      </c>
      <c r="AS1249" s="21">
        <v>46276</v>
      </c>
      <c r="AT1249" t="s">
        <v>5062</v>
      </c>
      <c r="AU1249" t="s">
        <v>5084</v>
      </c>
      <c r="AV1249" t="s">
        <v>5089</v>
      </c>
      <c r="AW1249" t="s">
        <v>5090</v>
      </c>
    </row>
    <row r="1250" spans="1:49" x14ac:dyDescent="0.35">
      <c r="A1250" t="s">
        <v>4105</v>
      </c>
      <c r="B1250" t="s">
        <v>4106</v>
      </c>
      <c r="C1250" t="s">
        <v>4818</v>
      </c>
      <c r="D1250" t="s">
        <v>18</v>
      </c>
      <c r="E1250" t="s">
        <v>4572</v>
      </c>
      <c r="F1250" t="s">
        <v>4573</v>
      </c>
      <c r="G1250" t="s">
        <v>21</v>
      </c>
      <c r="H1250" t="s">
        <v>4826</v>
      </c>
      <c r="I1250" t="s">
        <v>5028</v>
      </c>
      <c r="J1250" s="4" t="s">
        <v>5029</v>
      </c>
      <c r="K1250" s="4" t="s">
        <v>4832</v>
      </c>
      <c r="L1250" s="4" t="s">
        <v>4966</v>
      </c>
      <c r="M1250" s="4" t="s">
        <v>5035</v>
      </c>
      <c r="N1250" t="s">
        <v>15</v>
      </c>
      <c r="O1250" t="s">
        <v>4574</v>
      </c>
      <c r="P1250" t="s">
        <v>23</v>
      </c>
      <c r="Q1250" t="s">
        <v>24</v>
      </c>
      <c r="R1250" t="s">
        <v>25</v>
      </c>
      <c r="S1250" t="s">
        <v>26</v>
      </c>
      <c r="T1250" s="6">
        <v>46307</v>
      </c>
      <c r="U1250">
        <v>60</v>
      </c>
      <c r="V1250">
        <v>60</v>
      </c>
      <c r="W1250">
        <v>60</v>
      </c>
      <c r="X1250">
        <v>60</v>
      </c>
      <c r="Y1250">
        <f t="shared" si="197"/>
        <v>0</v>
      </c>
      <c r="Z1250">
        <f t="shared" si="198"/>
        <v>0</v>
      </c>
      <c r="AC1250" s="1">
        <v>0</v>
      </c>
      <c r="AF1250">
        <f t="shared" si="203"/>
        <v>60</v>
      </c>
      <c r="AG1250" s="7">
        <v>12</v>
      </c>
      <c r="AH1250">
        <f t="shared" si="199"/>
        <v>60</v>
      </c>
      <c r="AI1250">
        <f t="shared" si="196"/>
        <v>0</v>
      </c>
      <c r="AK1250">
        <f t="shared" si="200"/>
        <v>5</v>
      </c>
      <c r="AL1250">
        <v>12.09</v>
      </c>
      <c r="AM1250" t="s">
        <v>27</v>
      </c>
      <c r="AN1250">
        <v>12.09</v>
      </c>
      <c r="AO1250" t="b">
        <f t="shared" si="201"/>
        <v>1</v>
      </c>
      <c r="AR1250" t="s">
        <v>5061</v>
      </c>
      <c r="AS1250" s="21">
        <v>46276</v>
      </c>
      <c r="AT1250" t="s">
        <v>5062</v>
      </c>
      <c r="AU1250" t="s">
        <v>5084</v>
      </c>
      <c r="AV1250" t="s">
        <v>5089</v>
      </c>
      <c r="AW1250" t="s">
        <v>5090</v>
      </c>
    </row>
    <row r="1251" spans="1:49" x14ac:dyDescent="0.35">
      <c r="A1251" t="s">
        <v>4105</v>
      </c>
      <c r="B1251" t="s">
        <v>4106</v>
      </c>
      <c r="C1251" t="s">
        <v>4818</v>
      </c>
      <c r="D1251" t="s">
        <v>18</v>
      </c>
      <c r="E1251" t="s">
        <v>4575</v>
      </c>
      <c r="F1251" t="s">
        <v>4576</v>
      </c>
      <c r="G1251" t="s">
        <v>21</v>
      </c>
      <c r="H1251" t="s">
        <v>4826</v>
      </c>
      <c r="I1251" t="s">
        <v>5028</v>
      </c>
      <c r="J1251" s="4" t="s">
        <v>5029</v>
      </c>
      <c r="K1251" s="4" t="s">
        <v>5033</v>
      </c>
      <c r="L1251" s="4" t="s">
        <v>4966</v>
      </c>
      <c r="M1251" s="4" t="s">
        <v>5035</v>
      </c>
      <c r="N1251" t="s">
        <v>15</v>
      </c>
      <c r="O1251" t="s">
        <v>4577</v>
      </c>
      <c r="P1251" t="s">
        <v>23</v>
      </c>
      <c r="Q1251" t="s">
        <v>24</v>
      </c>
      <c r="R1251" t="s">
        <v>25</v>
      </c>
      <c r="S1251" t="s">
        <v>26</v>
      </c>
      <c r="T1251" s="6">
        <v>46307</v>
      </c>
      <c r="U1251">
        <v>228</v>
      </c>
      <c r="V1251">
        <v>228</v>
      </c>
      <c r="W1251">
        <v>252</v>
      </c>
      <c r="X1251">
        <v>252</v>
      </c>
      <c r="Y1251">
        <f t="shared" si="197"/>
        <v>0</v>
      </c>
      <c r="Z1251">
        <f t="shared" si="198"/>
        <v>-24</v>
      </c>
      <c r="AC1251" s="1">
        <v>0</v>
      </c>
      <c r="AF1251">
        <f t="shared" si="203"/>
        <v>228</v>
      </c>
      <c r="AG1251" s="7">
        <v>12</v>
      </c>
      <c r="AH1251">
        <f t="shared" si="199"/>
        <v>228</v>
      </c>
      <c r="AI1251">
        <f t="shared" si="196"/>
        <v>0</v>
      </c>
      <c r="AK1251">
        <f t="shared" si="200"/>
        <v>19</v>
      </c>
      <c r="AL1251">
        <v>12.09</v>
      </c>
      <c r="AM1251" t="s">
        <v>27</v>
      </c>
      <c r="AN1251">
        <v>12.09</v>
      </c>
      <c r="AO1251" t="b">
        <f t="shared" si="201"/>
        <v>1</v>
      </c>
      <c r="AR1251" t="s">
        <v>5061</v>
      </c>
      <c r="AS1251" s="21">
        <v>46276</v>
      </c>
      <c r="AT1251" t="s">
        <v>5062</v>
      </c>
      <c r="AU1251" t="s">
        <v>5084</v>
      </c>
      <c r="AV1251" t="s">
        <v>5089</v>
      </c>
      <c r="AW1251" t="s">
        <v>5090</v>
      </c>
    </row>
    <row r="1252" spans="1:49" x14ac:dyDescent="0.35">
      <c r="A1252" t="s">
        <v>4105</v>
      </c>
      <c r="B1252" t="s">
        <v>4106</v>
      </c>
      <c r="C1252" t="s">
        <v>4818</v>
      </c>
      <c r="D1252" t="s">
        <v>18</v>
      </c>
      <c r="E1252" t="s">
        <v>4578</v>
      </c>
      <c r="F1252" t="s">
        <v>4579</v>
      </c>
      <c r="G1252" t="s">
        <v>21</v>
      </c>
      <c r="H1252" t="s">
        <v>4826</v>
      </c>
      <c r="I1252" t="s">
        <v>5028</v>
      </c>
      <c r="J1252" s="4" t="s">
        <v>5029</v>
      </c>
      <c r="K1252" s="4" t="s">
        <v>4845</v>
      </c>
      <c r="L1252" s="4" t="s">
        <v>4955</v>
      </c>
      <c r="M1252" s="4" t="s">
        <v>5035</v>
      </c>
      <c r="N1252" t="s">
        <v>15</v>
      </c>
      <c r="O1252" t="s">
        <v>4580</v>
      </c>
      <c r="P1252" t="s">
        <v>23</v>
      </c>
      <c r="Q1252" t="s">
        <v>24</v>
      </c>
      <c r="R1252" t="s">
        <v>25</v>
      </c>
      <c r="S1252" t="s">
        <v>26</v>
      </c>
      <c r="T1252" s="6">
        <v>46307</v>
      </c>
      <c r="U1252">
        <v>48</v>
      </c>
      <c r="V1252">
        <v>48</v>
      </c>
      <c r="W1252">
        <v>48</v>
      </c>
      <c r="X1252">
        <v>48</v>
      </c>
      <c r="Y1252">
        <f t="shared" si="197"/>
        <v>0</v>
      </c>
      <c r="Z1252">
        <f t="shared" si="198"/>
        <v>0</v>
      </c>
      <c r="AC1252" s="1">
        <v>0</v>
      </c>
      <c r="AF1252">
        <f t="shared" si="203"/>
        <v>48</v>
      </c>
      <c r="AG1252" s="7">
        <v>12</v>
      </c>
      <c r="AH1252">
        <f t="shared" si="199"/>
        <v>48</v>
      </c>
      <c r="AI1252">
        <f t="shared" si="196"/>
        <v>0</v>
      </c>
      <c r="AK1252">
        <f t="shared" si="200"/>
        <v>4</v>
      </c>
      <c r="AL1252">
        <v>12.09</v>
      </c>
      <c r="AM1252" t="s">
        <v>27</v>
      </c>
      <c r="AN1252">
        <v>12.09</v>
      </c>
      <c r="AO1252" t="b">
        <f t="shared" si="201"/>
        <v>1</v>
      </c>
      <c r="AR1252" t="s">
        <v>5061</v>
      </c>
      <c r="AS1252" s="21">
        <v>46276</v>
      </c>
      <c r="AT1252" t="s">
        <v>5062</v>
      </c>
      <c r="AU1252" t="s">
        <v>5084</v>
      </c>
      <c r="AV1252" t="s">
        <v>5089</v>
      </c>
      <c r="AW1252" t="s">
        <v>5090</v>
      </c>
    </row>
    <row r="1253" spans="1:49" x14ac:dyDescent="0.35">
      <c r="A1253" t="s">
        <v>4105</v>
      </c>
      <c r="B1253" t="s">
        <v>4106</v>
      </c>
      <c r="C1253" t="s">
        <v>4818</v>
      </c>
      <c r="D1253" t="s">
        <v>18</v>
      </c>
      <c r="E1253" t="s">
        <v>4581</v>
      </c>
      <c r="F1253" t="s">
        <v>4582</v>
      </c>
      <c r="G1253" t="s">
        <v>21</v>
      </c>
      <c r="H1253" t="s">
        <v>4826</v>
      </c>
      <c r="I1253" t="s">
        <v>5028</v>
      </c>
      <c r="J1253" s="4" t="s">
        <v>5029</v>
      </c>
      <c r="K1253" s="4" t="s">
        <v>4845</v>
      </c>
      <c r="L1253" s="4" t="s">
        <v>4940</v>
      </c>
      <c r="M1253" s="4" t="s">
        <v>5035</v>
      </c>
      <c r="N1253" t="s">
        <v>15</v>
      </c>
      <c r="O1253" t="s">
        <v>4583</v>
      </c>
      <c r="P1253" t="s">
        <v>23</v>
      </c>
      <c r="Q1253" t="s">
        <v>24</v>
      </c>
      <c r="R1253" t="s">
        <v>25</v>
      </c>
      <c r="S1253" t="s">
        <v>26</v>
      </c>
      <c r="T1253" s="6">
        <v>46307</v>
      </c>
      <c r="U1253">
        <v>60</v>
      </c>
      <c r="V1253">
        <v>60</v>
      </c>
      <c r="W1253">
        <v>72</v>
      </c>
      <c r="X1253">
        <v>72</v>
      </c>
      <c r="Y1253">
        <f t="shared" si="197"/>
        <v>0</v>
      </c>
      <c r="Z1253">
        <f t="shared" si="198"/>
        <v>-12</v>
      </c>
      <c r="AC1253" s="1">
        <v>0</v>
      </c>
      <c r="AF1253">
        <f t="shared" si="203"/>
        <v>60</v>
      </c>
      <c r="AG1253" s="7">
        <v>12</v>
      </c>
      <c r="AH1253">
        <f t="shared" si="199"/>
        <v>60</v>
      </c>
      <c r="AI1253">
        <f t="shared" si="196"/>
        <v>0</v>
      </c>
      <c r="AK1253">
        <f t="shared" si="200"/>
        <v>5</v>
      </c>
      <c r="AL1253">
        <v>12.09</v>
      </c>
      <c r="AM1253" t="s">
        <v>27</v>
      </c>
      <c r="AN1253">
        <v>12.09</v>
      </c>
      <c r="AO1253" t="b">
        <f t="shared" si="201"/>
        <v>1</v>
      </c>
      <c r="AR1253" t="s">
        <v>5061</v>
      </c>
      <c r="AS1253" s="21">
        <v>46276</v>
      </c>
      <c r="AT1253" t="s">
        <v>5062</v>
      </c>
      <c r="AU1253" t="s">
        <v>5084</v>
      </c>
      <c r="AV1253" t="s">
        <v>5089</v>
      </c>
      <c r="AW1253" t="s">
        <v>5090</v>
      </c>
    </row>
    <row r="1254" spans="1:49" x14ac:dyDescent="0.35">
      <c r="A1254" t="s">
        <v>4105</v>
      </c>
      <c r="B1254" t="s">
        <v>4106</v>
      </c>
      <c r="C1254" t="s">
        <v>4818</v>
      </c>
      <c r="D1254" t="s">
        <v>18</v>
      </c>
      <c r="E1254" t="s">
        <v>4584</v>
      </c>
      <c r="F1254" t="s">
        <v>4585</v>
      </c>
      <c r="G1254" t="s">
        <v>21</v>
      </c>
      <c r="H1254" t="s">
        <v>4826</v>
      </c>
      <c r="I1254" t="s">
        <v>5030</v>
      </c>
      <c r="J1254" s="4" t="s">
        <v>5031</v>
      </c>
      <c r="K1254" s="4" t="s">
        <v>5032</v>
      </c>
      <c r="L1254" s="4" t="s">
        <v>4940</v>
      </c>
      <c r="M1254" s="4" t="s">
        <v>5035</v>
      </c>
      <c r="N1254" t="s">
        <v>15</v>
      </c>
      <c r="O1254" t="s">
        <v>4586</v>
      </c>
      <c r="P1254" t="s">
        <v>23</v>
      </c>
      <c r="Q1254" t="s">
        <v>24</v>
      </c>
      <c r="R1254" t="s">
        <v>25</v>
      </c>
      <c r="S1254" t="s">
        <v>26</v>
      </c>
      <c r="T1254" s="6">
        <v>46307</v>
      </c>
      <c r="U1254">
        <v>36</v>
      </c>
      <c r="V1254">
        <v>36</v>
      </c>
      <c r="W1254">
        <v>36</v>
      </c>
      <c r="X1254">
        <v>36</v>
      </c>
      <c r="Y1254">
        <f t="shared" si="197"/>
        <v>0</v>
      </c>
      <c r="Z1254">
        <f t="shared" si="198"/>
        <v>0</v>
      </c>
      <c r="AC1254" s="1">
        <v>0</v>
      </c>
      <c r="AF1254">
        <f t="shared" si="203"/>
        <v>36</v>
      </c>
      <c r="AG1254" s="7">
        <v>12</v>
      </c>
      <c r="AH1254">
        <f t="shared" si="199"/>
        <v>36</v>
      </c>
      <c r="AI1254">
        <f t="shared" si="196"/>
        <v>0</v>
      </c>
      <c r="AK1254">
        <f t="shared" si="200"/>
        <v>3</v>
      </c>
      <c r="AL1254">
        <v>12.02</v>
      </c>
      <c r="AM1254" t="s">
        <v>27</v>
      </c>
      <c r="AN1254">
        <v>12.02</v>
      </c>
      <c r="AO1254" t="b">
        <f t="shared" si="201"/>
        <v>1</v>
      </c>
      <c r="AR1254" t="s">
        <v>5061</v>
      </c>
      <c r="AS1254" s="21">
        <v>46276</v>
      </c>
      <c r="AT1254" t="s">
        <v>5062</v>
      </c>
      <c r="AU1254" t="s">
        <v>5085</v>
      </c>
      <c r="AV1254" t="s">
        <v>5089</v>
      </c>
      <c r="AW1254" t="s">
        <v>5090</v>
      </c>
    </row>
    <row r="1255" spans="1:49" x14ac:dyDescent="0.35">
      <c r="A1255" t="s">
        <v>4105</v>
      </c>
      <c r="B1255" t="s">
        <v>4106</v>
      </c>
      <c r="C1255" t="s">
        <v>4818</v>
      </c>
      <c r="D1255" t="s">
        <v>18</v>
      </c>
      <c r="E1255" t="s">
        <v>4587</v>
      </c>
      <c r="F1255" t="s">
        <v>4588</v>
      </c>
      <c r="G1255" t="s">
        <v>21</v>
      </c>
      <c r="H1255" t="s">
        <v>4826</v>
      </c>
      <c r="I1255" t="s">
        <v>5028</v>
      </c>
      <c r="J1255" s="4" t="s">
        <v>5029</v>
      </c>
      <c r="K1255" s="4" t="s">
        <v>4845</v>
      </c>
      <c r="L1255" s="4" t="s">
        <v>4968</v>
      </c>
      <c r="M1255" s="4" t="s">
        <v>5035</v>
      </c>
      <c r="N1255" t="s">
        <v>15</v>
      </c>
      <c r="O1255" t="s">
        <v>4589</v>
      </c>
      <c r="P1255" t="s">
        <v>23</v>
      </c>
      <c r="Q1255" t="s">
        <v>24</v>
      </c>
      <c r="R1255" t="s">
        <v>25</v>
      </c>
      <c r="S1255" t="s">
        <v>26</v>
      </c>
      <c r="T1255" s="6">
        <v>46307</v>
      </c>
      <c r="U1255">
        <v>60</v>
      </c>
      <c r="V1255">
        <v>60</v>
      </c>
      <c r="W1255">
        <v>60</v>
      </c>
      <c r="X1255">
        <v>60</v>
      </c>
      <c r="Y1255">
        <f t="shared" si="197"/>
        <v>0</v>
      </c>
      <c r="Z1255">
        <f t="shared" si="198"/>
        <v>0</v>
      </c>
      <c r="AC1255" s="1">
        <v>0</v>
      </c>
      <c r="AF1255">
        <f t="shared" si="203"/>
        <v>60</v>
      </c>
      <c r="AG1255" s="7">
        <v>12</v>
      </c>
      <c r="AH1255">
        <f t="shared" si="199"/>
        <v>60</v>
      </c>
      <c r="AI1255">
        <f t="shared" si="196"/>
        <v>0</v>
      </c>
      <c r="AK1255">
        <f t="shared" si="200"/>
        <v>5</v>
      </c>
      <c r="AL1255">
        <v>12.09</v>
      </c>
      <c r="AM1255" t="s">
        <v>27</v>
      </c>
      <c r="AN1255">
        <v>12.09</v>
      </c>
      <c r="AO1255" t="b">
        <f t="shared" si="201"/>
        <v>1</v>
      </c>
      <c r="AR1255" t="s">
        <v>5061</v>
      </c>
      <c r="AS1255" s="21">
        <v>46276</v>
      </c>
      <c r="AT1255" t="s">
        <v>5062</v>
      </c>
      <c r="AU1255" t="s">
        <v>5084</v>
      </c>
      <c r="AV1255" t="s">
        <v>5089</v>
      </c>
      <c r="AW1255" t="s">
        <v>5090</v>
      </c>
    </row>
    <row r="1256" spans="1:49" x14ac:dyDescent="0.35">
      <c r="A1256" t="s">
        <v>4105</v>
      </c>
      <c r="B1256" t="s">
        <v>4106</v>
      </c>
      <c r="C1256" t="s">
        <v>4818</v>
      </c>
      <c r="D1256" t="s">
        <v>18</v>
      </c>
      <c r="E1256" t="s">
        <v>4590</v>
      </c>
      <c r="F1256" t="s">
        <v>4591</v>
      </c>
      <c r="G1256" t="s">
        <v>21</v>
      </c>
      <c r="H1256" t="s">
        <v>4826</v>
      </c>
      <c r="I1256" t="s">
        <v>5028</v>
      </c>
      <c r="J1256" s="4" t="s">
        <v>5029</v>
      </c>
      <c r="K1256" s="4" t="s">
        <v>4845</v>
      </c>
      <c r="L1256" s="4" t="s">
        <v>4965</v>
      </c>
      <c r="M1256" s="4" t="s">
        <v>5035</v>
      </c>
      <c r="N1256" t="s">
        <v>15</v>
      </c>
      <c r="O1256" t="s">
        <v>4592</v>
      </c>
      <c r="P1256" t="s">
        <v>23</v>
      </c>
      <c r="Q1256" t="s">
        <v>24</v>
      </c>
      <c r="R1256" t="s">
        <v>25</v>
      </c>
      <c r="S1256" t="s">
        <v>26</v>
      </c>
      <c r="T1256" s="6">
        <v>46307</v>
      </c>
      <c r="U1256">
        <v>48</v>
      </c>
      <c r="V1256">
        <v>48</v>
      </c>
      <c r="W1256">
        <v>48</v>
      </c>
      <c r="X1256">
        <v>48</v>
      </c>
      <c r="Y1256">
        <f t="shared" si="197"/>
        <v>0</v>
      </c>
      <c r="Z1256">
        <f t="shared" si="198"/>
        <v>0</v>
      </c>
      <c r="AC1256" s="1">
        <v>0</v>
      </c>
      <c r="AF1256">
        <f t="shared" si="203"/>
        <v>48</v>
      </c>
      <c r="AG1256" s="7">
        <v>12</v>
      </c>
      <c r="AH1256">
        <f t="shared" si="199"/>
        <v>48</v>
      </c>
      <c r="AI1256">
        <f t="shared" si="196"/>
        <v>0</v>
      </c>
      <c r="AK1256">
        <f t="shared" si="200"/>
        <v>4</v>
      </c>
      <c r="AL1256">
        <v>12.09</v>
      </c>
      <c r="AM1256" t="s">
        <v>27</v>
      </c>
      <c r="AN1256">
        <v>12.09</v>
      </c>
      <c r="AO1256" t="b">
        <f t="shared" si="201"/>
        <v>1</v>
      </c>
      <c r="AR1256" t="s">
        <v>5061</v>
      </c>
      <c r="AS1256" s="21">
        <v>46276</v>
      </c>
      <c r="AT1256" t="s">
        <v>5062</v>
      </c>
      <c r="AU1256" t="s">
        <v>5084</v>
      </c>
      <c r="AV1256" t="s">
        <v>5089</v>
      </c>
      <c r="AW1256" t="s">
        <v>5090</v>
      </c>
    </row>
    <row r="1257" spans="1:49" x14ac:dyDescent="0.35">
      <c r="A1257" t="s">
        <v>4105</v>
      </c>
      <c r="B1257" t="s">
        <v>4106</v>
      </c>
      <c r="C1257" t="s">
        <v>4818</v>
      </c>
      <c r="D1257" t="s">
        <v>18</v>
      </c>
      <c r="E1257" t="s">
        <v>4593</v>
      </c>
      <c r="F1257" t="s">
        <v>4594</v>
      </c>
      <c r="G1257" t="s">
        <v>21</v>
      </c>
      <c r="H1257" t="s">
        <v>4826</v>
      </c>
      <c r="I1257" t="s">
        <v>5028</v>
      </c>
      <c r="J1257" s="4" t="s">
        <v>5029</v>
      </c>
      <c r="K1257" s="4" t="s">
        <v>4837</v>
      </c>
      <c r="L1257" s="4" t="s">
        <v>4961</v>
      </c>
      <c r="M1257" s="4" t="s">
        <v>5035</v>
      </c>
      <c r="N1257" t="s">
        <v>15</v>
      </c>
      <c r="O1257" t="s">
        <v>4595</v>
      </c>
      <c r="P1257" t="s">
        <v>23</v>
      </c>
      <c r="Q1257" t="s">
        <v>24</v>
      </c>
      <c r="R1257" t="s">
        <v>25</v>
      </c>
      <c r="S1257" t="s">
        <v>26</v>
      </c>
      <c r="T1257" s="6">
        <v>46307</v>
      </c>
      <c r="U1257">
        <v>156</v>
      </c>
      <c r="V1257">
        <v>156</v>
      </c>
      <c r="W1257">
        <v>168</v>
      </c>
      <c r="X1257">
        <v>168</v>
      </c>
      <c r="Y1257">
        <f t="shared" si="197"/>
        <v>0</v>
      </c>
      <c r="Z1257">
        <f t="shared" si="198"/>
        <v>-12</v>
      </c>
      <c r="AC1257" s="1">
        <v>0</v>
      </c>
      <c r="AF1257">
        <f t="shared" si="203"/>
        <v>156</v>
      </c>
      <c r="AG1257" s="7">
        <v>12</v>
      </c>
      <c r="AH1257">
        <f t="shared" si="199"/>
        <v>156</v>
      </c>
      <c r="AI1257">
        <f t="shared" si="196"/>
        <v>0</v>
      </c>
      <c r="AK1257">
        <f t="shared" si="200"/>
        <v>13</v>
      </c>
      <c r="AL1257">
        <v>12.09</v>
      </c>
      <c r="AM1257" t="s">
        <v>27</v>
      </c>
      <c r="AN1257">
        <v>12.09</v>
      </c>
      <c r="AO1257" t="b">
        <f t="shared" si="201"/>
        <v>1</v>
      </c>
      <c r="AR1257" t="s">
        <v>5061</v>
      </c>
      <c r="AS1257" s="21">
        <v>46276</v>
      </c>
      <c r="AT1257" t="s">
        <v>5062</v>
      </c>
      <c r="AU1257" t="s">
        <v>5084</v>
      </c>
      <c r="AV1257" t="s">
        <v>5089</v>
      </c>
      <c r="AW1257" t="s">
        <v>5090</v>
      </c>
    </row>
    <row r="1258" spans="1:49" x14ac:dyDescent="0.35">
      <c r="A1258" t="s">
        <v>4105</v>
      </c>
      <c r="B1258" t="s">
        <v>4106</v>
      </c>
      <c r="C1258" t="s">
        <v>4818</v>
      </c>
      <c r="D1258" t="s">
        <v>18</v>
      </c>
      <c r="E1258" t="s">
        <v>4596</v>
      </c>
      <c r="F1258" t="s">
        <v>4597</v>
      </c>
      <c r="G1258" t="s">
        <v>21</v>
      </c>
      <c r="H1258" t="s">
        <v>4826</v>
      </c>
      <c r="I1258" t="s">
        <v>5028</v>
      </c>
      <c r="J1258" s="4" t="s">
        <v>5029</v>
      </c>
      <c r="K1258" s="4" t="s">
        <v>4845</v>
      </c>
      <c r="L1258" s="4" t="s">
        <v>4966</v>
      </c>
      <c r="M1258" s="4" t="s">
        <v>5035</v>
      </c>
      <c r="N1258" t="s">
        <v>15</v>
      </c>
      <c r="O1258" t="s">
        <v>4598</v>
      </c>
      <c r="P1258" t="s">
        <v>23</v>
      </c>
      <c r="Q1258" t="s">
        <v>24</v>
      </c>
      <c r="R1258" t="s">
        <v>25</v>
      </c>
      <c r="S1258" t="s">
        <v>26</v>
      </c>
      <c r="T1258" s="6">
        <v>46307</v>
      </c>
      <c r="U1258">
        <v>48</v>
      </c>
      <c r="V1258">
        <v>48</v>
      </c>
      <c r="W1258">
        <v>48</v>
      </c>
      <c r="X1258">
        <v>48</v>
      </c>
      <c r="Y1258">
        <f t="shared" si="197"/>
        <v>0</v>
      </c>
      <c r="Z1258">
        <f t="shared" si="198"/>
        <v>0</v>
      </c>
      <c r="AC1258" s="1">
        <v>0</v>
      </c>
      <c r="AF1258">
        <f t="shared" si="203"/>
        <v>48</v>
      </c>
      <c r="AG1258" s="7">
        <v>12</v>
      </c>
      <c r="AH1258">
        <f t="shared" si="199"/>
        <v>48</v>
      </c>
      <c r="AI1258">
        <f t="shared" si="196"/>
        <v>0</v>
      </c>
      <c r="AK1258">
        <f t="shared" si="200"/>
        <v>4</v>
      </c>
      <c r="AL1258">
        <v>12.09</v>
      </c>
      <c r="AM1258" t="s">
        <v>27</v>
      </c>
      <c r="AN1258">
        <v>12.09</v>
      </c>
      <c r="AO1258" t="b">
        <f t="shared" si="201"/>
        <v>1</v>
      </c>
      <c r="AR1258" t="s">
        <v>5061</v>
      </c>
      <c r="AS1258" s="21">
        <v>46276</v>
      </c>
      <c r="AT1258" t="s">
        <v>5062</v>
      </c>
      <c r="AU1258" t="s">
        <v>5084</v>
      </c>
      <c r="AV1258" t="s">
        <v>5089</v>
      </c>
      <c r="AW1258" t="s">
        <v>5090</v>
      </c>
    </row>
    <row r="1259" spans="1:49" x14ac:dyDescent="0.35">
      <c r="A1259" t="s">
        <v>4105</v>
      </c>
      <c r="B1259" t="s">
        <v>4106</v>
      </c>
      <c r="C1259" t="s">
        <v>4818</v>
      </c>
      <c r="D1259" t="s">
        <v>18</v>
      </c>
      <c r="E1259" t="s">
        <v>4599</v>
      </c>
      <c r="F1259" t="s">
        <v>4600</v>
      </c>
      <c r="G1259" t="s">
        <v>21</v>
      </c>
      <c r="H1259" t="s">
        <v>4826</v>
      </c>
      <c r="I1259" t="s">
        <v>5028</v>
      </c>
      <c r="J1259" s="4" t="s">
        <v>5029</v>
      </c>
      <c r="K1259" s="4" t="s">
        <v>5033</v>
      </c>
      <c r="L1259" s="4" t="s">
        <v>4958</v>
      </c>
      <c r="M1259" s="4" t="s">
        <v>5035</v>
      </c>
      <c r="N1259" t="s">
        <v>15</v>
      </c>
      <c r="O1259" t="s">
        <v>4601</v>
      </c>
      <c r="P1259" t="s">
        <v>23</v>
      </c>
      <c r="Q1259" t="s">
        <v>24</v>
      </c>
      <c r="R1259" t="s">
        <v>25</v>
      </c>
      <c r="S1259" t="s">
        <v>26</v>
      </c>
      <c r="T1259" s="6">
        <v>46307</v>
      </c>
      <c r="U1259">
        <v>60</v>
      </c>
      <c r="V1259">
        <v>60</v>
      </c>
      <c r="W1259">
        <v>60</v>
      </c>
      <c r="X1259">
        <v>60</v>
      </c>
      <c r="Y1259">
        <f t="shared" si="197"/>
        <v>0</v>
      </c>
      <c r="Z1259">
        <f t="shared" si="198"/>
        <v>0</v>
      </c>
      <c r="AC1259" s="1">
        <v>0</v>
      </c>
      <c r="AF1259">
        <f t="shared" si="203"/>
        <v>60</v>
      </c>
      <c r="AG1259" s="7">
        <v>12</v>
      </c>
      <c r="AH1259">
        <f t="shared" si="199"/>
        <v>60</v>
      </c>
      <c r="AI1259">
        <f t="shared" si="196"/>
        <v>0</v>
      </c>
      <c r="AK1259">
        <f t="shared" si="200"/>
        <v>5</v>
      </c>
      <c r="AL1259">
        <v>12.09</v>
      </c>
      <c r="AM1259" t="s">
        <v>27</v>
      </c>
      <c r="AN1259">
        <v>12.09</v>
      </c>
      <c r="AO1259" t="b">
        <f t="shared" si="201"/>
        <v>1</v>
      </c>
      <c r="AR1259" t="s">
        <v>5061</v>
      </c>
      <c r="AS1259" s="21">
        <v>46276</v>
      </c>
      <c r="AT1259" t="s">
        <v>5062</v>
      </c>
      <c r="AU1259" t="s">
        <v>5084</v>
      </c>
      <c r="AV1259" t="s">
        <v>5089</v>
      </c>
      <c r="AW1259" t="s">
        <v>5090</v>
      </c>
    </row>
    <row r="1260" spans="1:49" x14ac:dyDescent="0.35">
      <c r="A1260" t="s">
        <v>4105</v>
      </c>
      <c r="B1260" t="s">
        <v>4106</v>
      </c>
      <c r="C1260" t="s">
        <v>4818</v>
      </c>
      <c r="D1260" t="s">
        <v>18</v>
      </c>
      <c r="E1260" t="s">
        <v>4602</v>
      </c>
      <c r="F1260" t="s">
        <v>4603</v>
      </c>
      <c r="G1260" t="s">
        <v>21</v>
      </c>
      <c r="H1260" t="s">
        <v>4826</v>
      </c>
      <c r="I1260" t="s">
        <v>5028</v>
      </c>
      <c r="J1260" s="4" t="s">
        <v>5029</v>
      </c>
      <c r="K1260" s="4" t="s">
        <v>4837</v>
      </c>
      <c r="L1260" s="4" t="s">
        <v>4943</v>
      </c>
      <c r="M1260" s="4" t="s">
        <v>5035</v>
      </c>
      <c r="N1260" t="s">
        <v>15</v>
      </c>
      <c r="O1260" t="s">
        <v>4604</v>
      </c>
      <c r="P1260" t="s">
        <v>23</v>
      </c>
      <c r="Q1260" t="s">
        <v>24</v>
      </c>
      <c r="R1260" t="s">
        <v>25</v>
      </c>
      <c r="S1260" t="s">
        <v>26</v>
      </c>
      <c r="T1260" s="6">
        <v>46307</v>
      </c>
      <c r="U1260">
        <v>96</v>
      </c>
      <c r="V1260">
        <v>96</v>
      </c>
      <c r="W1260">
        <v>84</v>
      </c>
      <c r="X1260">
        <v>84</v>
      </c>
      <c r="Y1260">
        <f t="shared" si="197"/>
        <v>0</v>
      </c>
      <c r="Z1260">
        <f t="shared" si="198"/>
        <v>12</v>
      </c>
      <c r="AA1260">
        <f>Z1260</f>
        <v>12</v>
      </c>
      <c r="AC1260" s="1">
        <v>0</v>
      </c>
      <c r="AF1260">
        <f>X1260</f>
        <v>84</v>
      </c>
      <c r="AG1260" s="7">
        <v>12</v>
      </c>
      <c r="AH1260">
        <f t="shared" si="199"/>
        <v>84</v>
      </c>
      <c r="AI1260">
        <f t="shared" si="196"/>
        <v>12</v>
      </c>
      <c r="AK1260">
        <f t="shared" si="200"/>
        <v>7</v>
      </c>
      <c r="AL1260">
        <v>12.09</v>
      </c>
      <c r="AM1260" t="s">
        <v>27</v>
      </c>
      <c r="AN1260">
        <v>12.09</v>
      </c>
      <c r="AO1260" t="b">
        <f t="shared" si="201"/>
        <v>1</v>
      </c>
      <c r="AR1260" t="s">
        <v>5061</v>
      </c>
      <c r="AS1260" s="21">
        <v>46276</v>
      </c>
      <c r="AT1260" t="s">
        <v>5062</v>
      </c>
      <c r="AU1260" t="s">
        <v>5084</v>
      </c>
      <c r="AV1260" t="s">
        <v>5089</v>
      </c>
      <c r="AW1260" t="s">
        <v>5090</v>
      </c>
    </row>
    <row r="1261" spans="1:49" x14ac:dyDescent="0.35">
      <c r="A1261" t="s">
        <v>4105</v>
      </c>
      <c r="B1261" t="s">
        <v>4106</v>
      </c>
      <c r="C1261" t="s">
        <v>4818</v>
      </c>
      <c r="D1261" t="s">
        <v>18</v>
      </c>
      <c r="E1261" t="s">
        <v>4605</v>
      </c>
      <c r="F1261" t="s">
        <v>4606</v>
      </c>
      <c r="G1261" t="s">
        <v>21</v>
      </c>
      <c r="H1261" t="s">
        <v>4826</v>
      </c>
      <c r="I1261" t="s">
        <v>5030</v>
      </c>
      <c r="J1261" s="4" t="s">
        <v>5031</v>
      </c>
      <c r="K1261" s="4" t="s">
        <v>4832</v>
      </c>
      <c r="L1261" s="4" t="s">
        <v>4972</v>
      </c>
      <c r="M1261" s="4" t="s">
        <v>5035</v>
      </c>
      <c r="N1261" t="s">
        <v>15</v>
      </c>
      <c r="O1261" t="s">
        <v>4607</v>
      </c>
      <c r="P1261" t="s">
        <v>23</v>
      </c>
      <c r="Q1261" t="s">
        <v>24</v>
      </c>
      <c r="R1261" t="s">
        <v>25</v>
      </c>
      <c r="S1261" t="s">
        <v>26</v>
      </c>
      <c r="T1261" s="6">
        <v>46307</v>
      </c>
      <c r="U1261">
        <v>96</v>
      </c>
      <c r="V1261">
        <v>96</v>
      </c>
      <c r="W1261">
        <v>108</v>
      </c>
      <c r="X1261">
        <v>108</v>
      </c>
      <c r="Y1261">
        <f t="shared" si="197"/>
        <v>0</v>
      </c>
      <c r="Z1261">
        <f t="shared" si="198"/>
        <v>-12</v>
      </c>
      <c r="AC1261" s="1">
        <v>0</v>
      </c>
      <c r="AF1261">
        <f>V1261</f>
        <v>96</v>
      </c>
      <c r="AG1261" s="7">
        <v>12</v>
      </c>
      <c r="AH1261">
        <f t="shared" si="199"/>
        <v>96</v>
      </c>
      <c r="AI1261">
        <f t="shared" si="196"/>
        <v>0</v>
      </c>
      <c r="AK1261">
        <f t="shared" si="200"/>
        <v>8</v>
      </c>
      <c r="AL1261">
        <v>12.02</v>
      </c>
      <c r="AM1261" t="s">
        <v>27</v>
      </c>
      <c r="AN1261">
        <v>12.02</v>
      </c>
      <c r="AO1261" t="b">
        <f t="shared" si="201"/>
        <v>1</v>
      </c>
      <c r="AR1261" t="s">
        <v>5061</v>
      </c>
      <c r="AS1261" s="21">
        <v>46276</v>
      </c>
      <c r="AT1261" t="s">
        <v>5062</v>
      </c>
      <c r="AU1261" t="s">
        <v>5085</v>
      </c>
      <c r="AV1261" t="s">
        <v>5089</v>
      </c>
      <c r="AW1261" t="s">
        <v>5090</v>
      </c>
    </row>
    <row r="1262" spans="1:49" x14ac:dyDescent="0.35">
      <c r="A1262" t="s">
        <v>4105</v>
      </c>
      <c r="B1262" t="s">
        <v>4106</v>
      </c>
      <c r="C1262" t="s">
        <v>4818</v>
      </c>
      <c r="D1262" t="s">
        <v>18</v>
      </c>
      <c r="E1262" t="s">
        <v>4608</v>
      </c>
      <c r="F1262" t="s">
        <v>4609</v>
      </c>
      <c r="G1262" t="s">
        <v>21</v>
      </c>
      <c r="H1262" t="s">
        <v>4826</v>
      </c>
      <c r="I1262" t="s">
        <v>5030</v>
      </c>
      <c r="J1262" s="4" t="s">
        <v>5031</v>
      </c>
      <c r="K1262" s="4" t="s">
        <v>5032</v>
      </c>
      <c r="L1262" s="4" t="s">
        <v>4968</v>
      </c>
      <c r="M1262" s="4" t="s">
        <v>5035</v>
      </c>
      <c r="N1262" t="s">
        <v>15</v>
      </c>
      <c r="O1262" t="s">
        <v>4610</v>
      </c>
      <c r="P1262" t="s">
        <v>23</v>
      </c>
      <c r="Q1262" t="s">
        <v>24</v>
      </c>
      <c r="R1262" t="s">
        <v>25</v>
      </c>
      <c r="S1262" t="s">
        <v>26</v>
      </c>
      <c r="T1262" s="6">
        <v>46307</v>
      </c>
      <c r="U1262">
        <v>48</v>
      </c>
      <c r="V1262">
        <v>48</v>
      </c>
      <c r="W1262">
        <v>48</v>
      </c>
      <c r="X1262">
        <v>48</v>
      </c>
      <c r="Y1262">
        <f t="shared" si="197"/>
        <v>0</v>
      </c>
      <c r="Z1262">
        <f t="shared" si="198"/>
        <v>0</v>
      </c>
      <c r="AC1262" s="1">
        <v>0</v>
      </c>
      <c r="AF1262">
        <f>V1262</f>
        <v>48</v>
      </c>
      <c r="AG1262" s="7">
        <v>12</v>
      </c>
      <c r="AH1262">
        <f t="shared" si="199"/>
        <v>48</v>
      </c>
      <c r="AI1262">
        <f t="shared" si="196"/>
        <v>0</v>
      </c>
      <c r="AK1262">
        <f t="shared" si="200"/>
        <v>4</v>
      </c>
      <c r="AL1262">
        <v>12.02</v>
      </c>
      <c r="AM1262" t="s">
        <v>27</v>
      </c>
      <c r="AN1262">
        <v>12.02</v>
      </c>
      <c r="AO1262" t="b">
        <f t="shared" si="201"/>
        <v>1</v>
      </c>
      <c r="AR1262" t="s">
        <v>5061</v>
      </c>
      <c r="AS1262" s="21">
        <v>46276</v>
      </c>
      <c r="AT1262" t="s">
        <v>5062</v>
      </c>
      <c r="AU1262" t="s">
        <v>5085</v>
      </c>
      <c r="AV1262" t="s">
        <v>5089</v>
      </c>
      <c r="AW1262" t="s">
        <v>5090</v>
      </c>
    </row>
    <row r="1263" spans="1:49" x14ac:dyDescent="0.35">
      <c r="A1263" t="s">
        <v>4105</v>
      </c>
      <c r="B1263" t="s">
        <v>4106</v>
      </c>
      <c r="C1263" t="s">
        <v>4818</v>
      </c>
      <c r="D1263" t="s">
        <v>18</v>
      </c>
      <c r="E1263" t="s">
        <v>4611</v>
      </c>
      <c r="F1263" t="s">
        <v>4612</v>
      </c>
      <c r="G1263" t="s">
        <v>21</v>
      </c>
      <c r="H1263" t="s">
        <v>4826</v>
      </c>
      <c r="I1263" t="s">
        <v>5030</v>
      </c>
      <c r="J1263" s="4" t="s">
        <v>5031</v>
      </c>
      <c r="K1263" s="4" t="s">
        <v>5032</v>
      </c>
      <c r="L1263" s="4" t="s">
        <v>4970</v>
      </c>
      <c r="M1263" s="4" t="s">
        <v>5035</v>
      </c>
      <c r="N1263" t="s">
        <v>15</v>
      </c>
      <c r="O1263" t="s">
        <v>4613</v>
      </c>
      <c r="P1263" t="s">
        <v>23</v>
      </c>
      <c r="Q1263" t="s">
        <v>24</v>
      </c>
      <c r="R1263" t="s">
        <v>25</v>
      </c>
      <c r="S1263" t="s">
        <v>26</v>
      </c>
      <c r="T1263" s="6">
        <v>46307</v>
      </c>
      <c r="U1263">
        <v>192</v>
      </c>
      <c r="V1263">
        <v>192</v>
      </c>
      <c r="W1263">
        <v>168</v>
      </c>
      <c r="X1263">
        <v>168</v>
      </c>
      <c r="Y1263">
        <f t="shared" si="197"/>
        <v>0</v>
      </c>
      <c r="Z1263">
        <f t="shared" si="198"/>
        <v>24</v>
      </c>
      <c r="AA1263">
        <f>Z1263</f>
        <v>24</v>
      </c>
      <c r="AC1263" s="1">
        <v>0</v>
      </c>
      <c r="AF1263">
        <f>X1263</f>
        <v>168</v>
      </c>
      <c r="AG1263" s="7">
        <v>12</v>
      </c>
      <c r="AH1263">
        <f t="shared" si="199"/>
        <v>168</v>
      </c>
      <c r="AI1263">
        <f t="shared" si="196"/>
        <v>24</v>
      </c>
      <c r="AK1263">
        <f t="shared" si="200"/>
        <v>14</v>
      </c>
      <c r="AL1263">
        <v>12.02</v>
      </c>
      <c r="AM1263" t="s">
        <v>27</v>
      </c>
      <c r="AN1263">
        <v>12.02</v>
      </c>
      <c r="AO1263" t="b">
        <f t="shared" si="201"/>
        <v>1</v>
      </c>
      <c r="AR1263" t="s">
        <v>5061</v>
      </c>
      <c r="AS1263" s="21">
        <v>46276</v>
      </c>
      <c r="AT1263" t="s">
        <v>5062</v>
      </c>
      <c r="AU1263" t="s">
        <v>5085</v>
      </c>
      <c r="AV1263" t="s">
        <v>5089</v>
      </c>
      <c r="AW1263" t="s">
        <v>5090</v>
      </c>
    </row>
    <row r="1264" spans="1:49" x14ac:dyDescent="0.35">
      <c r="A1264" t="s">
        <v>4105</v>
      </c>
      <c r="B1264" t="s">
        <v>4106</v>
      </c>
      <c r="C1264" t="s">
        <v>4818</v>
      </c>
      <c r="D1264" t="s">
        <v>18</v>
      </c>
      <c r="E1264" t="s">
        <v>4614</v>
      </c>
      <c r="F1264" t="s">
        <v>4615</v>
      </c>
      <c r="G1264" t="s">
        <v>21</v>
      </c>
      <c r="H1264" t="s">
        <v>4826</v>
      </c>
      <c r="I1264" t="s">
        <v>5030</v>
      </c>
      <c r="J1264" s="4" t="s">
        <v>5031</v>
      </c>
      <c r="K1264" s="4" t="s">
        <v>5033</v>
      </c>
      <c r="L1264" s="4" t="s">
        <v>4949</v>
      </c>
      <c r="M1264" s="4" t="s">
        <v>5035</v>
      </c>
      <c r="N1264" t="s">
        <v>15</v>
      </c>
      <c r="O1264" t="s">
        <v>4616</v>
      </c>
      <c r="P1264" t="s">
        <v>23</v>
      </c>
      <c r="Q1264" t="s">
        <v>24</v>
      </c>
      <c r="R1264" t="s">
        <v>25</v>
      </c>
      <c r="S1264" t="s">
        <v>26</v>
      </c>
      <c r="T1264" s="6">
        <v>46307</v>
      </c>
      <c r="U1264">
        <v>72</v>
      </c>
      <c r="V1264">
        <v>72</v>
      </c>
      <c r="W1264">
        <v>84</v>
      </c>
      <c r="X1264">
        <v>84</v>
      </c>
      <c r="Y1264">
        <f t="shared" si="197"/>
        <v>0</v>
      </c>
      <c r="Z1264">
        <f t="shared" si="198"/>
        <v>-12</v>
      </c>
      <c r="AC1264" s="1">
        <v>0</v>
      </c>
      <c r="AF1264">
        <f t="shared" ref="AF1264:AF1269" si="204">V1264</f>
        <v>72</v>
      </c>
      <c r="AG1264" s="7">
        <v>12</v>
      </c>
      <c r="AH1264">
        <f t="shared" si="199"/>
        <v>72</v>
      </c>
      <c r="AI1264">
        <f t="shared" si="196"/>
        <v>0</v>
      </c>
      <c r="AK1264">
        <f t="shared" si="200"/>
        <v>6</v>
      </c>
      <c r="AL1264">
        <v>12.02</v>
      </c>
      <c r="AM1264" t="s">
        <v>27</v>
      </c>
      <c r="AN1264">
        <v>12.02</v>
      </c>
      <c r="AO1264" t="b">
        <f t="shared" si="201"/>
        <v>1</v>
      </c>
      <c r="AR1264" t="s">
        <v>5061</v>
      </c>
      <c r="AS1264" s="21">
        <v>46276</v>
      </c>
      <c r="AT1264" t="s">
        <v>5062</v>
      </c>
      <c r="AU1264" t="s">
        <v>5085</v>
      </c>
      <c r="AV1264" t="s">
        <v>5089</v>
      </c>
      <c r="AW1264" t="s">
        <v>5090</v>
      </c>
    </row>
    <row r="1265" spans="1:49" x14ac:dyDescent="0.35">
      <c r="A1265" t="s">
        <v>4105</v>
      </c>
      <c r="B1265" t="s">
        <v>4106</v>
      </c>
      <c r="C1265" t="s">
        <v>4818</v>
      </c>
      <c r="D1265" t="s">
        <v>18</v>
      </c>
      <c r="E1265" t="s">
        <v>4617</v>
      </c>
      <c r="F1265" t="s">
        <v>4618</v>
      </c>
      <c r="G1265" t="s">
        <v>21</v>
      </c>
      <c r="H1265" t="s">
        <v>4826</v>
      </c>
      <c r="I1265" t="s">
        <v>5030</v>
      </c>
      <c r="J1265" s="4" t="s">
        <v>5031</v>
      </c>
      <c r="K1265" s="4" t="s">
        <v>4837</v>
      </c>
      <c r="L1265" s="4" t="s">
        <v>4973</v>
      </c>
      <c r="M1265" s="4" t="s">
        <v>5035</v>
      </c>
      <c r="N1265" t="s">
        <v>15</v>
      </c>
      <c r="O1265" t="s">
        <v>4619</v>
      </c>
      <c r="P1265" t="s">
        <v>23</v>
      </c>
      <c r="Q1265" t="s">
        <v>24</v>
      </c>
      <c r="R1265" t="s">
        <v>25</v>
      </c>
      <c r="S1265" t="s">
        <v>26</v>
      </c>
      <c r="T1265" s="6">
        <v>46307</v>
      </c>
      <c r="U1265">
        <v>144</v>
      </c>
      <c r="V1265">
        <v>144</v>
      </c>
      <c r="W1265">
        <v>144</v>
      </c>
      <c r="X1265">
        <v>144</v>
      </c>
      <c r="Y1265">
        <f t="shared" si="197"/>
        <v>0</v>
      </c>
      <c r="Z1265">
        <f t="shared" si="198"/>
        <v>0</v>
      </c>
      <c r="AC1265" s="1">
        <v>0</v>
      </c>
      <c r="AF1265">
        <f t="shared" si="204"/>
        <v>144</v>
      </c>
      <c r="AG1265" s="7">
        <v>12</v>
      </c>
      <c r="AH1265">
        <f t="shared" si="199"/>
        <v>144</v>
      </c>
      <c r="AI1265">
        <f t="shared" si="196"/>
        <v>0</v>
      </c>
      <c r="AK1265">
        <f t="shared" si="200"/>
        <v>12</v>
      </c>
      <c r="AL1265">
        <v>12.02</v>
      </c>
      <c r="AM1265" t="s">
        <v>27</v>
      </c>
      <c r="AN1265">
        <v>12.02</v>
      </c>
      <c r="AO1265" t="b">
        <f t="shared" si="201"/>
        <v>1</v>
      </c>
      <c r="AR1265" t="s">
        <v>5061</v>
      </c>
      <c r="AS1265" s="21">
        <v>46276</v>
      </c>
      <c r="AT1265" t="s">
        <v>5062</v>
      </c>
      <c r="AU1265" t="s">
        <v>5085</v>
      </c>
      <c r="AV1265" t="s">
        <v>5089</v>
      </c>
      <c r="AW1265" t="s">
        <v>5090</v>
      </c>
    </row>
    <row r="1266" spans="1:49" x14ac:dyDescent="0.35">
      <c r="A1266" t="s">
        <v>4105</v>
      </c>
      <c r="B1266" t="s">
        <v>4106</v>
      </c>
      <c r="C1266" t="s">
        <v>4818</v>
      </c>
      <c r="D1266" t="s">
        <v>18</v>
      </c>
      <c r="E1266" t="s">
        <v>4620</v>
      </c>
      <c r="F1266" t="s">
        <v>4621</v>
      </c>
      <c r="G1266" t="s">
        <v>21</v>
      </c>
      <c r="H1266" t="s">
        <v>4826</v>
      </c>
      <c r="I1266" t="s">
        <v>5030</v>
      </c>
      <c r="J1266" s="4" t="s">
        <v>5031</v>
      </c>
      <c r="K1266" s="4" t="s">
        <v>4837</v>
      </c>
      <c r="L1266" s="4" t="s">
        <v>4960</v>
      </c>
      <c r="M1266" s="4" t="s">
        <v>5035</v>
      </c>
      <c r="N1266" t="s">
        <v>15</v>
      </c>
      <c r="O1266" t="s">
        <v>4622</v>
      </c>
      <c r="P1266" t="s">
        <v>23</v>
      </c>
      <c r="Q1266" t="s">
        <v>24</v>
      </c>
      <c r="R1266" t="s">
        <v>25</v>
      </c>
      <c r="S1266" t="s">
        <v>26</v>
      </c>
      <c r="T1266" s="6">
        <v>46307</v>
      </c>
      <c r="U1266">
        <v>240</v>
      </c>
      <c r="V1266">
        <v>240</v>
      </c>
      <c r="W1266">
        <v>264</v>
      </c>
      <c r="X1266">
        <v>264</v>
      </c>
      <c r="Y1266">
        <f t="shared" si="197"/>
        <v>0</v>
      </c>
      <c r="Z1266">
        <f t="shared" si="198"/>
        <v>-24</v>
      </c>
      <c r="AC1266" s="1">
        <v>0</v>
      </c>
      <c r="AF1266">
        <f t="shared" si="204"/>
        <v>240</v>
      </c>
      <c r="AG1266" s="7">
        <v>12</v>
      </c>
      <c r="AH1266">
        <f t="shared" si="199"/>
        <v>240</v>
      </c>
      <c r="AI1266">
        <f t="shared" si="196"/>
        <v>0</v>
      </c>
      <c r="AK1266">
        <f t="shared" si="200"/>
        <v>20</v>
      </c>
      <c r="AL1266">
        <v>12.02</v>
      </c>
      <c r="AM1266" t="s">
        <v>27</v>
      </c>
      <c r="AN1266">
        <v>12.02</v>
      </c>
      <c r="AO1266" t="b">
        <f t="shared" si="201"/>
        <v>1</v>
      </c>
      <c r="AR1266" t="s">
        <v>5061</v>
      </c>
      <c r="AS1266" s="21">
        <v>46276</v>
      </c>
      <c r="AT1266" t="s">
        <v>5062</v>
      </c>
      <c r="AU1266" t="s">
        <v>5085</v>
      </c>
      <c r="AV1266" t="s">
        <v>5089</v>
      </c>
      <c r="AW1266" t="s">
        <v>5090</v>
      </c>
    </row>
    <row r="1267" spans="1:49" x14ac:dyDescent="0.35">
      <c r="A1267" t="s">
        <v>4105</v>
      </c>
      <c r="B1267" t="s">
        <v>4106</v>
      </c>
      <c r="C1267" t="s">
        <v>4818</v>
      </c>
      <c r="D1267" t="s">
        <v>18</v>
      </c>
      <c r="E1267" t="s">
        <v>4623</v>
      </c>
      <c r="F1267" t="s">
        <v>4624</v>
      </c>
      <c r="G1267" t="s">
        <v>21</v>
      </c>
      <c r="H1267" t="s">
        <v>4826</v>
      </c>
      <c r="I1267" t="s">
        <v>5030</v>
      </c>
      <c r="J1267" s="4" t="s">
        <v>5031</v>
      </c>
      <c r="K1267" s="4" t="s">
        <v>4832</v>
      </c>
      <c r="L1267" s="4" t="s">
        <v>4974</v>
      </c>
      <c r="M1267" s="4" t="s">
        <v>5035</v>
      </c>
      <c r="N1267" t="s">
        <v>15</v>
      </c>
      <c r="O1267" t="s">
        <v>4625</v>
      </c>
      <c r="P1267" t="s">
        <v>23</v>
      </c>
      <c r="Q1267" t="s">
        <v>24</v>
      </c>
      <c r="R1267" t="s">
        <v>25</v>
      </c>
      <c r="S1267" t="s">
        <v>26</v>
      </c>
      <c r="T1267" s="6">
        <v>46307</v>
      </c>
      <c r="U1267">
        <v>156</v>
      </c>
      <c r="V1267">
        <v>156</v>
      </c>
      <c r="W1267">
        <v>168</v>
      </c>
      <c r="X1267">
        <v>168</v>
      </c>
      <c r="Y1267">
        <f t="shared" si="197"/>
        <v>0</v>
      </c>
      <c r="Z1267">
        <f t="shared" si="198"/>
        <v>-12</v>
      </c>
      <c r="AC1267" s="1">
        <v>0</v>
      </c>
      <c r="AF1267">
        <f t="shared" si="204"/>
        <v>156</v>
      </c>
      <c r="AG1267" s="7">
        <v>12</v>
      </c>
      <c r="AH1267">
        <f t="shared" si="199"/>
        <v>156</v>
      </c>
      <c r="AI1267">
        <f t="shared" si="196"/>
        <v>0</v>
      </c>
      <c r="AK1267">
        <f t="shared" si="200"/>
        <v>13</v>
      </c>
      <c r="AL1267">
        <v>12.02</v>
      </c>
      <c r="AM1267" t="s">
        <v>27</v>
      </c>
      <c r="AN1267">
        <v>12.02</v>
      </c>
      <c r="AO1267" t="b">
        <f t="shared" si="201"/>
        <v>1</v>
      </c>
      <c r="AR1267" t="s">
        <v>5061</v>
      </c>
      <c r="AS1267" s="21">
        <v>46276</v>
      </c>
      <c r="AT1267" t="s">
        <v>5062</v>
      </c>
      <c r="AU1267" t="s">
        <v>5085</v>
      </c>
      <c r="AV1267" t="s">
        <v>5089</v>
      </c>
      <c r="AW1267" t="s">
        <v>5090</v>
      </c>
    </row>
    <row r="1268" spans="1:49" x14ac:dyDescent="0.35">
      <c r="A1268" t="s">
        <v>4105</v>
      </c>
      <c r="B1268" t="s">
        <v>4106</v>
      </c>
      <c r="C1268" t="s">
        <v>4818</v>
      </c>
      <c r="D1268" t="s">
        <v>18</v>
      </c>
      <c r="E1268" t="s">
        <v>4626</v>
      </c>
      <c r="F1268" t="s">
        <v>4627</v>
      </c>
      <c r="G1268" t="s">
        <v>21</v>
      </c>
      <c r="H1268" t="s">
        <v>4826</v>
      </c>
      <c r="I1268" t="s">
        <v>5030</v>
      </c>
      <c r="J1268" s="4" t="s">
        <v>5031</v>
      </c>
      <c r="K1268" s="4" t="s">
        <v>5034</v>
      </c>
      <c r="L1268" s="4" t="s">
        <v>4951</v>
      </c>
      <c r="M1268" s="4" t="s">
        <v>5035</v>
      </c>
      <c r="N1268" t="s">
        <v>15</v>
      </c>
      <c r="O1268" t="s">
        <v>4628</v>
      </c>
      <c r="P1268" t="s">
        <v>23</v>
      </c>
      <c r="Q1268" t="s">
        <v>24</v>
      </c>
      <c r="R1268" t="s">
        <v>25</v>
      </c>
      <c r="S1268" t="s">
        <v>26</v>
      </c>
      <c r="T1268" s="6">
        <v>46307</v>
      </c>
      <c r="U1268">
        <v>48</v>
      </c>
      <c r="V1268">
        <v>48</v>
      </c>
      <c r="W1268">
        <v>48</v>
      </c>
      <c r="X1268">
        <v>48</v>
      </c>
      <c r="Y1268">
        <f t="shared" si="197"/>
        <v>0</v>
      </c>
      <c r="Z1268">
        <f t="shared" si="198"/>
        <v>0</v>
      </c>
      <c r="AC1268" s="1">
        <v>0</v>
      </c>
      <c r="AF1268">
        <f t="shared" si="204"/>
        <v>48</v>
      </c>
      <c r="AG1268" s="7">
        <v>12</v>
      </c>
      <c r="AH1268">
        <f t="shared" si="199"/>
        <v>48</v>
      </c>
      <c r="AI1268">
        <f t="shared" si="196"/>
        <v>0</v>
      </c>
      <c r="AK1268">
        <f t="shared" si="200"/>
        <v>4</v>
      </c>
      <c r="AL1268">
        <v>12.02</v>
      </c>
      <c r="AM1268" t="s">
        <v>27</v>
      </c>
      <c r="AN1268">
        <v>12.02</v>
      </c>
      <c r="AO1268" t="b">
        <f t="shared" si="201"/>
        <v>1</v>
      </c>
      <c r="AR1268" t="s">
        <v>5061</v>
      </c>
      <c r="AS1268" s="21">
        <v>46276</v>
      </c>
      <c r="AT1268" t="s">
        <v>5062</v>
      </c>
      <c r="AU1268" t="s">
        <v>5085</v>
      </c>
      <c r="AV1268" t="s">
        <v>5089</v>
      </c>
      <c r="AW1268" t="s">
        <v>5090</v>
      </c>
    </row>
    <row r="1269" spans="1:49" x14ac:dyDescent="0.35">
      <c r="A1269" t="s">
        <v>4105</v>
      </c>
      <c r="B1269" t="s">
        <v>4106</v>
      </c>
      <c r="C1269" t="s">
        <v>4818</v>
      </c>
      <c r="D1269" t="s">
        <v>18</v>
      </c>
      <c r="E1269" t="s">
        <v>4629</v>
      </c>
      <c r="F1269" t="s">
        <v>4630</v>
      </c>
      <c r="G1269" t="s">
        <v>21</v>
      </c>
      <c r="H1269" t="s">
        <v>4826</v>
      </c>
      <c r="I1269" t="s">
        <v>5028</v>
      </c>
      <c r="J1269" s="4" t="s">
        <v>5029</v>
      </c>
      <c r="K1269" s="4" t="s">
        <v>5033</v>
      </c>
      <c r="L1269" s="4" t="s">
        <v>4972</v>
      </c>
      <c r="M1269" s="4" t="s">
        <v>5035</v>
      </c>
      <c r="N1269" t="s">
        <v>15</v>
      </c>
      <c r="O1269" t="s">
        <v>4631</v>
      </c>
      <c r="P1269" t="s">
        <v>23</v>
      </c>
      <c r="Q1269" t="s">
        <v>24</v>
      </c>
      <c r="R1269" t="s">
        <v>25</v>
      </c>
      <c r="S1269" t="s">
        <v>26</v>
      </c>
      <c r="T1269" s="6">
        <v>46307</v>
      </c>
      <c r="U1269">
        <v>216</v>
      </c>
      <c r="V1269">
        <v>216</v>
      </c>
      <c r="W1269">
        <v>240</v>
      </c>
      <c r="X1269">
        <v>240</v>
      </c>
      <c r="Y1269">
        <f t="shared" si="197"/>
        <v>0</v>
      </c>
      <c r="Z1269">
        <f t="shared" si="198"/>
        <v>-24</v>
      </c>
      <c r="AC1269" s="1">
        <v>0</v>
      </c>
      <c r="AF1269">
        <f t="shared" si="204"/>
        <v>216</v>
      </c>
      <c r="AG1269" s="7">
        <v>12</v>
      </c>
      <c r="AH1269">
        <f t="shared" si="199"/>
        <v>216</v>
      </c>
      <c r="AI1269">
        <f t="shared" si="196"/>
        <v>0</v>
      </c>
      <c r="AK1269">
        <f t="shared" si="200"/>
        <v>18</v>
      </c>
      <c r="AL1269">
        <v>12.09</v>
      </c>
      <c r="AM1269" t="s">
        <v>27</v>
      </c>
      <c r="AN1269">
        <v>12.09</v>
      </c>
      <c r="AO1269" t="b">
        <f t="shared" si="201"/>
        <v>1</v>
      </c>
      <c r="AR1269" t="s">
        <v>5061</v>
      </c>
      <c r="AS1269" s="21">
        <v>46276</v>
      </c>
      <c r="AT1269" t="s">
        <v>5062</v>
      </c>
      <c r="AU1269" t="s">
        <v>5084</v>
      </c>
      <c r="AV1269" t="s">
        <v>5089</v>
      </c>
      <c r="AW1269" t="s">
        <v>5090</v>
      </c>
    </row>
    <row r="1270" spans="1:49" x14ac:dyDescent="0.35">
      <c r="A1270" t="s">
        <v>4105</v>
      </c>
      <c r="B1270" t="s">
        <v>4106</v>
      </c>
      <c r="C1270" t="s">
        <v>4818</v>
      </c>
      <c r="D1270" t="s">
        <v>18</v>
      </c>
      <c r="E1270" t="s">
        <v>4632</v>
      </c>
      <c r="F1270" t="s">
        <v>4633</v>
      </c>
      <c r="G1270" t="s">
        <v>21</v>
      </c>
      <c r="H1270" t="s">
        <v>4826</v>
      </c>
      <c r="I1270" t="s">
        <v>5030</v>
      </c>
      <c r="J1270" s="4" t="s">
        <v>5031</v>
      </c>
      <c r="K1270" s="4" t="s">
        <v>5032</v>
      </c>
      <c r="L1270" s="4" t="s">
        <v>4958</v>
      </c>
      <c r="M1270" s="4" t="s">
        <v>5035</v>
      </c>
      <c r="N1270" t="s">
        <v>15</v>
      </c>
      <c r="O1270" t="s">
        <v>4634</v>
      </c>
      <c r="P1270" t="s">
        <v>23</v>
      </c>
      <c r="Q1270" t="s">
        <v>24</v>
      </c>
      <c r="R1270" t="s">
        <v>25</v>
      </c>
      <c r="S1270" t="s">
        <v>26</v>
      </c>
      <c r="T1270" s="6">
        <v>46307</v>
      </c>
      <c r="U1270">
        <v>96</v>
      </c>
      <c r="V1270">
        <v>96</v>
      </c>
      <c r="W1270">
        <v>84</v>
      </c>
      <c r="X1270">
        <v>84</v>
      </c>
      <c r="Y1270">
        <f t="shared" si="197"/>
        <v>0</v>
      </c>
      <c r="Z1270">
        <f t="shared" si="198"/>
        <v>12</v>
      </c>
      <c r="AA1270">
        <f>Z1270</f>
        <v>12</v>
      </c>
      <c r="AC1270" s="1">
        <v>0</v>
      </c>
      <c r="AF1270">
        <f>X1270</f>
        <v>84</v>
      </c>
      <c r="AG1270" s="7">
        <v>12</v>
      </c>
      <c r="AH1270">
        <f t="shared" si="199"/>
        <v>84</v>
      </c>
      <c r="AI1270">
        <f t="shared" si="196"/>
        <v>12</v>
      </c>
      <c r="AK1270">
        <f t="shared" si="200"/>
        <v>7</v>
      </c>
      <c r="AL1270">
        <v>12.02</v>
      </c>
      <c r="AM1270" t="s">
        <v>27</v>
      </c>
      <c r="AN1270">
        <v>12.02</v>
      </c>
      <c r="AO1270" t="b">
        <f t="shared" si="201"/>
        <v>1</v>
      </c>
      <c r="AR1270" t="s">
        <v>5061</v>
      </c>
      <c r="AS1270" s="21">
        <v>46276</v>
      </c>
      <c r="AT1270" t="s">
        <v>5062</v>
      </c>
      <c r="AU1270" t="s">
        <v>5085</v>
      </c>
      <c r="AV1270" t="s">
        <v>5089</v>
      </c>
      <c r="AW1270" t="s">
        <v>5090</v>
      </c>
    </row>
    <row r="1271" spans="1:49" x14ac:dyDescent="0.35">
      <c r="A1271" t="s">
        <v>4105</v>
      </c>
      <c r="B1271" t="s">
        <v>4106</v>
      </c>
      <c r="C1271" t="s">
        <v>4818</v>
      </c>
      <c r="D1271" t="s">
        <v>18</v>
      </c>
      <c r="E1271" t="s">
        <v>4635</v>
      </c>
      <c r="F1271" t="s">
        <v>4636</v>
      </c>
      <c r="G1271" t="s">
        <v>21</v>
      </c>
      <c r="H1271" t="s">
        <v>4826</v>
      </c>
      <c r="I1271" t="s">
        <v>5030</v>
      </c>
      <c r="J1271" s="4" t="s">
        <v>5031</v>
      </c>
      <c r="K1271" s="4" t="s">
        <v>5033</v>
      </c>
      <c r="L1271" s="4" t="s">
        <v>4941</v>
      </c>
      <c r="M1271" s="4" t="s">
        <v>5035</v>
      </c>
      <c r="N1271" t="s">
        <v>15</v>
      </c>
      <c r="O1271" t="s">
        <v>4637</v>
      </c>
      <c r="P1271" t="s">
        <v>23</v>
      </c>
      <c r="Q1271" t="s">
        <v>24</v>
      </c>
      <c r="R1271" t="s">
        <v>25</v>
      </c>
      <c r="S1271" t="s">
        <v>26</v>
      </c>
      <c r="T1271" s="6">
        <v>46307</v>
      </c>
      <c r="U1271">
        <v>84</v>
      </c>
      <c r="V1271">
        <v>84</v>
      </c>
      <c r="W1271">
        <v>84</v>
      </c>
      <c r="X1271">
        <v>84</v>
      </c>
      <c r="Y1271">
        <f t="shared" si="197"/>
        <v>0</v>
      </c>
      <c r="Z1271">
        <f t="shared" si="198"/>
        <v>0</v>
      </c>
      <c r="AC1271" s="1">
        <v>0</v>
      </c>
      <c r="AF1271">
        <f>V1271</f>
        <v>84</v>
      </c>
      <c r="AG1271" s="7">
        <v>12</v>
      </c>
      <c r="AH1271">
        <f t="shared" si="199"/>
        <v>84</v>
      </c>
      <c r="AI1271">
        <f t="shared" si="196"/>
        <v>0</v>
      </c>
      <c r="AK1271">
        <f t="shared" si="200"/>
        <v>7</v>
      </c>
      <c r="AL1271">
        <v>12.02</v>
      </c>
      <c r="AM1271" t="s">
        <v>27</v>
      </c>
      <c r="AN1271">
        <v>12.02</v>
      </c>
      <c r="AO1271" t="b">
        <f t="shared" si="201"/>
        <v>1</v>
      </c>
      <c r="AR1271" t="s">
        <v>5061</v>
      </c>
      <c r="AS1271" s="21">
        <v>46276</v>
      </c>
      <c r="AT1271" t="s">
        <v>5062</v>
      </c>
      <c r="AU1271" t="s">
        <v>5085</v>
      </c>
      <c r="AV1271" t="s">
        <v>5089</v>
      </c>
      <c r="AW1271" t="s">
        <v>5090</v>
      </c>
    </row>
    <row r="1272" spans="1:49" x14ac:dyDescent="0.35">
      <c r="A1272" t="s">
        <v>4105</v>
      </c>
      <c r="B1272" t="s">
        <v>4106</v>
      </c>
      <c r="C1272" t="s">
        <v>4818</v>
      </c>
      <c r="D1272" t="s">
        <v>18</v>
      </c>
      <c r="E1272" t="s">
        <v>4638</v>
      </c>
      <c r="F1272" t="s">
        <v>4639</v>
      </c>
      <c r="G1272" t="s">
        <v>21</v>
      </c>
      <c r="H1272" t="s">
        <v>4826</v>
      </c>
      <c r="I1272" t="s">
        <v>5030</v>
      </c>
      <c r="J1272" s="4" t="s">
        <v>5031</v>
      </c>
      <c r="K1272" s="4" t="s">
        <v>4837</v>
      </c>
      <c r="L1272" s="4" t="s">
        <v>4939</v>
      </c>
      <c r="M1272" s="4" t="s">
        <v>5035</v>
      </c>
      <c r="N1272" t="s">
        <v>15</v>
      </c>
      <c r="O1272" t="s">
        <v>4640</v>
      </c>
      <c r="P1272" t="s">
        <v>23</v>
      </c>
      <c r="Q1272" t="s">
        <v>24</v>
      </c>
      <c r="R1272" t="s">
        <v>25</v>
      </c>
      <c r="S1272" t="s">
        <v>26</v>
      </c>
      <c r="T1272" s="6">
        <v>46307</v>
      </c>
      <c r="U1272">
        <v>252</v>
      </c>
      <c r="V1272">
        <v>252</v>
      </c>
      <c r="W1272">
        <v>216</v>
      </c>
      <c r="X1272">
        <v>216</v>
      </c>
      <c r="Y1272">
        <f t="shared" si="197"/>
        <v>0</v>
      </c>
      <c r="Z1272">
        <f t="shared" si="198"/>
        <v>36</v>
      </c>
      <c r="AA1272">
        <f>Z1272</f>
        <v>36</v>
      </c>
      <c r="AC1272" s="1">
        <v>0</v>
      </c>
      <c r="AF1272">
        <f>X1272</f>
        <v>216</v>
      </c>
      <c r="AG1272" s="7">
        <v>12</v>
      </c>
      <c r="AH1272">
        <f t="shared" si="199"/>
        <v>216</v>
      </c>
      <c r="AI1272">
        <f t="shared" si="196"/>
        <v>36</v>
      </c>
      <c r="AK1272">
        <f t="shared" si="200"/>
        <v>18</v>
      </c>
      <c r="AL1272">
        <v>12.02</v>
      </c>
      <c r="AM1272" t="s">
        <v>27</v>
      </c>
      <c r="AN1272">
        <v>12.02</v>
      </c>
      <c r="AO1272" t="b">
        <f t="shared" si="201"/>
        <v>1</v>
      </c>
      <c r="AR1272" t="s">
        <v>5061</v>
      </c>
      <c r="AS1272" s="21">
        <v>46276</v>
      </c>
      <c r="AT1272" t="s">
        <v>5062</v>
      </c>
      <c r="AU1272" t="s">
        <v>5085</v>
      </c>
      <c r="AV1272" t="s">
        <v>5089</v>
      </c>
      <c r="AW1272" t="s">
        <v>5090</v>
      </c>
    </row>
    <row r="1273" spans="1:49" x14ac:dyDescent="0.35">
      <c r="A1273" t="s">
        <v>4105</v>
      </c>
      <c r="B1273" t="s">
        <v>4106</v>
      </c>
      <c r="C1273" t="s">
        <v>4818</v>
      </c>
      <c r="D1273" t="s">
        <v>18</v>
      </c>
      <c r="E1273" t="s">
        <v>4641</v>
      </c>
      <c r="F1273" t="s">
        <v>4642</v>
      </c>
      <c r="G1273" t="s">
        <v>21</v>
      </c>
      <c r="H1273" t="s">
        <v>4826</v>
      </c>
      <c r="I1273" t="s">
        <v>5030</v>
      </c>
      <c r="J1273" s="4" t="s">
        <v>5031</v>
      </c>
      <c r="K1273" s="4" t="s">
        <v>4845</v>
      </c>
      <c r="L1273" s="4" t="s">
        <v>4963</v>
      </c>
      <c r="M1273" s="4" t="s">
        <v>5035</v>
      </c>
      <c r="N1273" t="s">
        <v>15</v>
      </c>
      <c r="O1273" t="s">
        <v>4643</v>
      </c>
      <c r="P1273" t="s">
        <v>23</v>
      </c>
      <c r="Q1273" t="s">
        <v>24</v>
      </c>
      <c r="R1273" t="s">
        <v>25</v>
      </c>
      <c r="S1273" t="s">
        <v>26</v>
      </c>
      <c r="T1273" s="6">
        <v>46307</v>
      </c>
      <c r="U1273">
        <v>36</v>
      </c>
      <c r="V1273">
        <v>36</v>
      </c>
      <c r="W1273">
        <v>36</v>
      </c>
      <c r="X1273">
        <v>36</v>
      </c>
      <c r="Y1273">
        <f t="shared" si="197"/>
        <v>0</v>
      </c>
      <c r="Z1273">
        <f t="shared" si="198"/>
        <v>0</v>
      </c>
      <c r="AC1273" s="1">
        <v>0</v>
      </c>
      <c r="AF1273">
        <f t="shared" ref="AF1273:AF1280" si="205">V1273</f>
        <v>36</v>
      </c>
      <c r="AG1273" s="7">
        <v>12</v>
      </c>
      <c r="AH1273">
        <f t="shared" si="199"/>
        <v>36</v>
      </c>
      <c r="AI1273">
        <f t="shared" si="196"/>
        <v>0</v>
      </c>
      <c r="AK1273">
        <f t="shared" si="200"/>
        <v>3</v>
      </c>
      <c r="AL1273">
        <v>12.02</v>
      </c>
      <c r="AM1273" t="s">
        <v>27</v>
      </c>
      <c r="AN1273">
        <v>12.02</v>
      </c>
      <c r="AO1273" t="b">
        <f t="shared" si="201"/>
        <v>1</v>
      </c>
      <c r="AR1273" t="s">
        <v>5061</v>
      </c>
      <c r="AS1273" s="21">
        <v>46276</v>
      </c>
      <c r="AT1273" t="s">
        <v>5062</v>
      </c>
      <c r="AU1273" t="s">
        <v>5085</v>
      </c>
      <c r="AV1273" t="s">
        <v>5089</v>
      </c>
      <c r="AW1273" t="s">
        <v>5090</v>
      </c>
    </row>
    <row r="1274" spans="1:49" x14ac:dyDescent="0.35">
      <c r="A1274" t="s">
        <v>4105</v>
      </c>
      <c r="B1274" t="s">
        <v>4106</v>
      </c>
      <c r="C1274" t="s">
        <v>4818</v>
      </c>
      <c r="D1274" t="s">
        <v>18</v>
      </c>
      <c r="E1274" t="s">
        <v>4644</v>
      </c>
      <c r="F1274" t="s">
        <v>4645</v>
      </c>
      <c r="G1274" t="s">
        <v>21</v>
      </c>
      <c r="H1274" t="s">
        <v>4826</v>
      </c>
      <c r="I1274" t="s">
        <v>5030</v>
      </c>
      <c r="J1274" s="4" t="s">
        <v>5031</v>
      </c>
      <c r="K1274" s="4" t="s">
        <v>5032</v>
      </c>
      <c r="L1274" s="4" t="s">
        <v>4939</v>
      </c>
      <c r="M1274" s="4" t="s">
        <v>5035</v>
      </c>
      <c r="N1274" t="s">
        <v>15</v>
      </c>
      <c r="O1274" t="s">
        <v>4646</v>
      </c>
      <c r="P1274" t="s">
        <v>23</v>
      </c>
      <c r="Q1274" t="s">
        <v>24</v>
      </c>
      <c r="R1274" t="s">
        <v>25</v>
      </c>
      <c r="S1274" t="s">
        <v>26</v>
      </c>
      <c r="T1274" s="6">
        <v>46307</v>
      </c>
      <c r="U1274">
        <v>24</v>
      </c>
      <c r="V1274">
        <v>24</v>
      </c>
      <c r="W1274">
        <v>24</v>
      </c>
      <c r="X1274">
        <v>24</v>
      </c>
      <c r="Y1274">
        <f t="shared" si="197"/>
        <v>0</v>
      </c>
      <c r="Z1274">
        <f t="shared" si="198"/>
        <v>0</v>
      </c>
      <c r="AC1274" s="1">
        <v>0</v>
      </c>
      <c r="AF1274">
        <f t="shared" si="205"/>
        <v>24</v>
      </c>
      <c r="AG1274" s="7">
        <v>12</v>
      </c>
      <c r="AH1274">
        <f t="shared" si="199"/>
        <v>24</v>
      </c>
      <c r="AI1274">
        <f t="shared" si="196"/>
        <v>0</v>
      </c>
      <c r="AK1274">
        <f t="shared" si="200"/>
        <v>2</v>
      </c>
      <c r="AL1274">
        <v>12.02</v>
      </c>
      <c r="AM1274" t="s">
        <v>27</v>
      </c>
      <c r="AN1274">
        <v>12.02</v>
      </c>
      <c r="AO1274" t="b">
        <f t="shared" si="201"/>
        <v>1</v>
      </c>
      <c r="AR1274" t="s">
        <v>5061</v>
      </c>
      <c r="AS1274" s="21">
        <v>46276</v>
      </c>
      <c r="AT1274" t="s">
        <v>5062</v>
      </c>
      <c r="AU1274" t="s">
        <v>5085</v>
      </c>
      <c r="AV1274" t="s">
        <v>5089</v>
      </c>
      <c r="AW1274" t="s">
        <v>5090</v>
      </c>
    </row>
    <row r="1275" spans="1:49" x14ac:dyDescent="0.35">
      <c r="A1275" t="s">
        <v>4105</v>
      </c>
      <c r="B1275" t="s">
        <v>4106</v>
      </c>
      <c r="C1275" t="s">
        <v>4818</v>
      </c>
      <c r="D1275" t="s">
        <v>18</v>
      </c>
      <c r="E1275" t="s">
        <v>4647</v>
      </c>
      <c r="F1275" t="s">
        <v>4648</v>
      </c>
      <c r="G1275" t="s">
        <v>21</v>
      </c>
      <c r="H1275" t="s">
        <v>4826</v>
      </c>
      <c r="I1275" t="s">
        <v>5030</v>
      </c>
      <c r="J1275" s="4" t="s">
        <v>5031</v>
      </c>
      <c r="K1275" s="4" t="s">
        <v>5033</v>
      </c>
      <c r="L1275" s="4" t="s">
        <v>4958</v>
      </c>
      <c r="M1275" s="4" t="s">
        <v>5035</v>
      </c>
      <c r="N1275" t="s">
        <v>15</v>
      </c>
      <c r="O1275" t="s">
        <v>4649</v>
      </c>
      <c r="P1275" t="s">
        <v>23</v>
      </c>
      <c r="Q1275" t="s">
        <v>24</v>
      </c>
      <c r="R1275" t="s">
        <v>25</v>
      </c>
      <c r="S1275" t="s">
        <v>26</v>
      </c>
      <c r="T1275" s="6">
        <v>46307</v>
      </c>
      <c r="U1275">
        <v>192</v>
      </c>
      <c r="V1275">
        <v>192</v>
      </c>
      <c r="W1275">
        <v>204</v>
      </c>
      <c r="X1275">
        <v>204</v>
      </c>
      <c r="Y1275">
        <f t="shared" si="197"/>
        <v>0</v>
      </c>
      <c r="Z1275">
        <f t="shared" si="198"/>
        <v>-12</v>
      </c>
      <c r="AC1275" s="1"/>
      <c r="AF1275">
        <f t="shared" si="205"/>
        <v>192</v>
      </c>
      <c r="AG1275" s="7">
        <v>12</v>
      </c>
      <c r="AH1275">
        <f t="shared" si="199"/>
        <v>192</v>
      </c>
      <c r="AI1275">
        <f t="shared" si="196"/>
        <v>0</v>
      </c>
      <c r="AK1275">
        <f t="shared" si="200"/>
        <v>16</v>
      </c>
      <c r="AL1275">
        <v>12.02</v>
      </c>
      <c r="AM1275" t="s">
        <v>27</v>
      </c>
      <c r="AN1275">
        <v>12.02</v>
      </c>
      <c r="AO1275" t="b">
        <f t="shared" si="201"/>
        <v>1</v>
      </c>
      <c r="AR1275" t="s">
        <v>5061</v>
      </c>
      <c r="AS1275" s="21">
        <v>46276</v>
      </c>
      <c r="AT1275" t="s">
        <v>5062</v>
      </c>
      <c r="AU1275" t="s">
        <v>5085</v>
      </c>
      <c r="AV1275" t="s">
        <v>5089</v>
      </c>
      <c r="AW1275" t="s">
        <v>5090</v>
      </c>
    </row>
    <row r="1276" spans="1:49" x14ac:dyDescent="0.35">
      <c r="A1276" t="s">
        <v>4105</v>
      </c>
      <c r="B1276" t="s">
        <v>4106</v>
      </c>
      <c r="C1276" t="s">
        <v>4818</v>
      </c>
      <c r="D1276" t="s">
        <v>18</v>
      </c>
      <c r="E1276" t="s">
        <v>4650</v>
      </c>
      <c r="F1276" t="s">
        <v>4651</v>
      </c>
      <c r="G1276" t="s">
        <v>21</v>
      </c>
      <c r="H1276" t="s">
        <v>4826</v>
      </c>
      <c r="I1276" t="s">
        <v>5030</v>
      </c>
      <c r="J1276" s="4" t="s">
        <v>5031</v>
      </c>
      <c r="K1276" s="4" t="s">
        <v>4845</v>
      </c>
      <c r="L1276" s="4" t="s">
        <v>4951</v>
      </c>
      <c r="M1276" s="4" t="s">
        <v>5035</v>
      </c>
      <c r="N1276" t="s">
        <v>15</v>
      </c>
      <c r="O1276" t="s">
        <v>4652</v>
      </c>
      <c r="P1276" t="s">
        <v>23</v>
      </c>
      <c r="Q1276" t="s">
        <v>24</v>
      </c>
      <c r="R1276" t="s">
        <v>25</v>
      </c>
      <c r="S1276" t="s">
        <v>26</v>
      </c>
      <c r="T1276" s="6">
        <v>46307</v>
      </c>
      <c r="U1276">
        <v>96</v>
      </c>
      <c r="V1276">
        <v>96</v>
      </c>
      <c r="W1276">
        <v>96</v>
      </c>
      <c r="X1276">
        <v>96</v>
      </c>
      <c r="Y1276">
        <f t="shared" si="197"/>
        <v>0</v>
      </c>
      <c r="Z1276">
        <f t="shared" si="198"/>
        <v>0</v>
      </c>
      <c r="AC1276" s="1">
        <v>0</v>
      </c>
      <c r="AF1276">
        <f t="shared" si="205"/>
        <v>96</v>
      </c>
      <c r="AG1276" s="7">
        <v>12</v>
      </c>
      <c r="AH1276">
        <f t="shared" si="199"/>
        <v>96</v>
      </c>
      <c r="AI1276">
        <f t="shared" si="196"/>
        <v>0</v>
      </c>
      <c r="AK1276">
        <f t="shared" si="200"/>
        <v>8</v>
      </c>
      <c r="AL1276">
        <v>12.02</v>
      </c>
      <c r="AM1276" t="s">
        <v>27</v>
      </c>
      <c r="AN1276">
        <v>12.02</v>
      </c>
      <c r="AO1276" t="b">
        <f t="shared" si="201"/>
        <v>1</v>
      </c>
      <c r="AR1276" t="s">
        <v>5061</v>
      </c>
      <c r="AS1276" s="21">
        <v>46276</v>
      </c>
      <c r="AT1276" t="s">
        <v>5062</v>
      </c>
      <c r="AU1276" t="s">
        <v>5085</v>
      </c>
      <c r="AV1276" t="s">
        <v>5089</v>
      </c>
      <c r="AW1276" t="s">
        <v>5090</v>
      </c>
    </row>
    <row r="1277" spans="1:49" x14ac:dyDescent="0.35">
      <c r="A1277" t="s">
        <v>4105</v>
      </c>
      <c r="B1277" t="s">
        <v>4106</v>
      </c>
      <c r="C1277" t="s">
        <v>4818</v>
      </c>
      <c r="D1277" t="s">
        <v>18</v>
      </c>
      <c r="E1277" t="s">
        <v>4653</v>
      </c>
      <c r="F1277" t="s">
        <v>4654</v>
      </c>
      <c r="G1277" t="s">
        <v>21</v>
      </c>
      <c r="H1277" t="s">
        <v>4826</v>
      </c>
      <c r="I1277" t="s">
        <v>5030</v>
      </c>
      <c r="J1277" s="4" t="s">
        <v>5031</v>
      </c>
      <c r="K1277" s="4" t="s">
        <v>5032</v>
      </c>
      <c r="L1277" s="4" t="s">
        <v>4941</v>
      </c>
      <c r="M1277" s="4" t="s">
        <v>5035</v>
      </c>
      <c r="N1277" t="s">
        <v>15</v>
      </c>
      <c r="O1277" t="s">
        <v>4655</v>
      </c>
      <c r="P1277" t="s">
        <v>23</v>
      </c>
      <c r="Q1277" t="s">
        <v>24</v>
      </c>
      <c r="R1277" t="s">
        <v>25</v>
      </c>
      <c r="S1277" t="s">
        <v>26</v>
      </c>
      <c r="T1277" s="6">
        <v>46307</v>
      </c>
      <c r="U1277">
        <v>36</v>
      </c>
      <c r="V1277">
        <v>36</v>
      </c>
      <c r="W1277">
        <v>36</v>
      </c>
      <c r="X1277">
        <v>36</v>
      </c>
      <c r="Y1277">
        <f t="shared" si="197"/>
        <v>0</v>
      </c>
      <c r="Z1277">
        <f t="shared" si="198"/>
        <v>0</v>
      </c>
      <c r="AC1277" s="1">
        <v>0</v>
      </c>
      <c r="AF1277">
        <f t="shared" si="205"/>
        <v>36</v>
      </c>
      <c r="AG1277" s="7">
        <v>12</v>
      </c>
      <c r="AH1277">
        <f t="shared" si="199"/>
        <v>36</v>
      </c>
      <c r="AI1277">
        <f t="shared" si="196"/>
        <v>0</v>
      </c>
      <c r="AK1277">
        <f t="shared" si="200"/>
        <v>3</v>
      </c>
      <c r="AL1277">
        <v>12.02</v>
      </c>
      <c r="AM1277" t="s">
        <v>27</v>
      </c>
      <c r="AN1277">
        <v>12.02</v>
      </c>
      <c r="AO1277" t="b">
        <f t="shared" si="201"/>
        <v>1</v>
      </c>
      <c r="AR1277" t="s">
        <v>5061</v>
      </c>
      <c r="AS1277" s="21">
        <v>46276</v>
      </c>
      <c r="AT1277" t="s">
        <v>5062</v>
      </c>
      <c r="AU1277" t="s">
        <v>5085</v>
      </c>
      <c r="AV1277" t="s">
        <v>5089</v>
      </c>
      <c r="AW1277" t="s">
        <v>5090</v>
      </c>
    </row>
    <row r="1278" spans="1:49" x14ac:dyDescent="0.35">
      <c r="A1278" t="s">
        <v>4105</v>
      </c>
      <c r="B1278" t="s">
        <v>4106</v>
      </c>
      <c r="C1278" t="s">
        <v>4818</v>
      </c>
      <c r="D1278" t="s">
        <v>18</v>
      </c>
      <c r="E1278" t="s">
        <v>4656</v>
      </c>
      <c r="F1278" t="s">
        <v>4657</v>
      </c>
      <c r="G1278" t="s">
        <v>21</v>
      </c>
      <c r="H1278" t="s">
        <v>4826</v>
      </c>
      <c r="I1278" t="s">
        <v>5030</v>
      </c>
      <c r="J1278" s="4" t="s">
        <v>5031</v>
      </c>
      <c r="K1278" s="4" t="s">
        <v>4832</v>
      </c>
      <c r="L1278" s="4" t="s">
        <v>4948</v>
      </c>
      <c r="M1278" s="4" t="s">
        <v>5035</v>
      </c>
      <c r="N1278" t="s">
        <v>15</v>
      </c>
      <c r="O1278" t="s">
        <v>4658</v>
      </c>
      <c r="P1278" t="s">
        <v>23</v>
      </c>
      <c r="Q1278" t="s">
        <v>24</v>
      </c>
      <c r="R1278" t="s">
        <v>25</v>
      </c>
      <c r="S1278" t="s">
        <v>26</v>
      </c>
      <c r="T1278" s="6">
        <v>46307</v>
      </c>
      <c r="U1278">
        <v>48</v>
      </c>
      <c r="V1278">
        <v>48</v>
      </c>
      <c r="W1278">
        <v>48</v>
      </c>
      <c r="X1278">
        <v>48</v>
      </c>
      <c r="Y1278">
        <f t="shared" si="197"/>
        <v>0</v>
      </c>
      <c r="Z1278">
        <f t="shared" si="198"/>
        <v>0</v>
      </c>
      <c r="AC1278" s="1">
        <v>0</v>
      </c>
      <c r="AF1278">
        <f t="shared" si="205"/>
        <v>48</v>
      </c>
      <c r="AG1278" s="7">
        <v>12</v>
      </c>
      <c r="AH1278">
        <f t="shared" si="199"/>
        <v>48</v>
      </c>
      <c r="AI1278">
        <f t="shared" si="196"/>
        <v>0</v>
      </c>
      <c r="AK1278">
        <f t="shared" si="200"/>
        <v>4</v>
      </c>
      <c r="AL1278">
        <v>12.02</v>
      </c>
      <c r="AM1278" t="s">
        <v>27</v>
      </c>
      <c r="AN1278">
        <v>12.02</v>
      </c>
      <c r="AO1278" t="b">
        <f t="shared" si="201"/>
        <v>1</v>
      </c>
      <c r="AR1278" t="s">
        <v>5061</v>
      </c>
      <c r="AS1278" s="21">
        <v>46276</v>
      </c>
      <c r="AT1278" t="s">
        <v>5062</v>
      </c>
      <c r="AU1278" t="s">
        <v>5085</v>
      </c>
      <c r="AV1278" t="s">
        <v>5089</v>
      </c>
      <c r="AW1278" t="s">
        <v>5090</v>
      </c>
    </row>
    <row r="1279" spans="1:49" x14ac:dyDescent="0.35">
      <c r="A1279" t="s">
        <v>4105</v>
      </c>
      <c r="B1279" t="s">
        <v>4106</v>
      </c>
      <c r="C1279" t="s">
        <v>4818</v>
      </c>
      <c r="D1279" t="s">
        <v>18</v>
      </c>
      <c r="E1279" t="s">
        <v>4659</v>
      </c>
      <c r="F1279" t="s">
        <v>4660</v>
      </c>
      <c r="G1279" t="s">
        <v>21</v>
      </c>
      <c r="H1279" t="s">
        <v>4826</v>
      </c>
      <c r="I1279" t="s">
        <v>5030</v>
      </c>
      <c r="J1279" s="4" t="s">
        <v>5031</v>
      </c>
      <c r="K1279" s="4" t="s">
        <v>4837</v>
      </c>
      <c r="L1279" s="4" t="s">
        <v>4961</v>
      </c>
      <c r="M1279" s="4" t="s">
        <v>5035</v>
      </c>
      <c r="N1279" t="s">
        <v>15</v>
      </c>
      <c r="O1279" t="s">
        <v>4661</v>
      </c>
      <c r="P1279" t="s">
        <v>23</v>
      </c>
      <c r="Q1279" t="s">
        <v>24</v>
      </c>
      <c r="R1279" t="s">
        <v>25</v>
      </c>
      <c r="S1279" t="s">
        <v>26</v>
      </c>
      <c r="T1279" s="6">
        <v>46307</v>
      </c>
      <c r="U1279">
        <v>216</v>
      </c>
      <c r="V1279">
        <v>216</v>
      </c>
      <c r="W1279">
        <v>240</v>
      </c>
      <c r="X1279">
        <v>240</v>
      </c>
      <c r="Y1279">
        <f t="shared" si="197"/>
        <v>0</v>
      </c>
      <c r="Z1279">
        <f t="shared" si="198"/>
        <v>-24</v>
      </c>
      <c r="AC1279" s="1">
        <v>0</v>
      </c>
      <c r="AF1279">
        <f t="shared" si="205"/>
        <v>216</v>
      </c>
      <c r="AG1279" s="7">
        <v>12</v>
      </c>
      <c r="AH1279">
        <f t="shared" si="199"/>
        <v>216</v>
      </c>
      <c r="AI1279">
        <f t="shared" si="196"/>
        <v>0</v>
      </c>
      <c r="AK1279">
        <f t="shared" si="200"/>
        <v>18</v>
      </c>
      <c r="AL1279">
        <v>12.02</v>
      </c>
      <c r="AM1279" t="s">
        <v>27</v>
      </c>
      <c r="AN1279">
        <v>12.02</v>
      </c>
      <c r="AO1279" t="b">
        <f t="shared" si="201"/>
        <v>1</v>
      </c>
      <c r="AR1279" t="s">
        <v>5061</v>
      </c>
      <c r="AS1279" s="21">
        <v>46276</v>
      </c>
      <c r="AT1279" t="s">
        <v>5062</v>
      </c>
      <c r="AU1279" t="s">
        <v>5085</v>
      </c>
      <c r="AV1279" t="s">
        <v>5089</v>
      </c>
      <c r="AW1279" t="s">
        <v>5090</v>
      </c>
    </row>
    <row r="1280" spans="1:49" x14ac:dyDescent="0.35">
      <c r="A1280" t="s">
        <v>4105</v>
      </c>
      <c r="B1280" t="s">
        <v>4106</v>
      </c>
      <c r="C1280" t="s">
        <v>4818</v>
      </c>
      <c r="D1280" t="s">
        <v>18</v>
      </c>
      <c r="E1280" t="s">
        <v>4662</v>
      </c>
      <c r="F1280" t="s">
        <v>4663</v>
      </c>
      <c r="G1280" t="s">
        <v>21</v>
      </c>
      <c r="H1280" t="s">
        <v>4826</v>
      </c>
      <c r="I1280" t="s">
        <v>5028</v>
      </c>
      <c r="J1280" s="4" t="s">
        <v>5029</v>
      </c>
      <c r="K1280" s="4" t="s">
        <v>4845</v>
      </c>
      <c r="L1280" s="4" t="s">
        <v>4944</v>
      </c>
      <c r="M1280" s="4" t="s">
        <v>5035</v>
      </c>
      <c r="N1280" t="s">
        <v>15</v>
      </c>
      <c r="O1280" t="s">
        <v>4664</v>
      </c>
      <c r="P1280" t="s">
        <v>23</v>
      </c>
      <c r="Q1280" t="s">
        <v>24</v>
      </c>
      <c r="R1280" t="s">
        <v>25</v>
      </c>
      <c r="S1280" t="s">
        <v>26</v>
      </c>
      <c r="T1280" s="6">
        <v>46307</v>
      </c>
      <c r="U1280">
        <v>108</v>
      </c>
      <c r="V1280">
        <v>108</v>
      </c>
      <c r="W1280">
        <v>120</v>
      </c>
      <c r="X1280">
        <v>120</v>
      </c>
      <c r="Y1280">
        <f t="shared" si="197"/>
        <v>0</v>
      </c>
      <c r="Z1280">
        <f t="shared" si="198"/>
        <v>-12</v>
      </c>
      <c r="AC1280" s="1">
        <v>0</v>
      </c>
      <c r="AF1280">
        <f t="shared" si="205"/>
        <v>108</v>
      </c>
      <c r="AG1280" s="7">
        <v>12</v>
      </c>
      <c r="AH1280">
        <f t="shared" si="199"/>
        <v>108</v>
      </c>
      <c r="AI1280">
        <f t="shared" si="196"/>
        <v>0</v>
      </c>
      <c r="AK1280">
        <f t="shared" si="200"/>
        <v>9</v>
      </c>
      <c r="AL1280">
        <v>12.09</v>
      </c>
      <c r="AM1280" t="s">
        <v>27</v>
      </c>
      <c r="AN1280">
        <v>12.09</v>
      </c>
      <c r="AO1280" t="b">
        <f t="shared" si="201"/>
        <v>1</v>
      </c>
      <c r="AR1280" t="s">
        <v>5061</v>
      </c>
      <c r="AS1280" s="21">
        <v>46276</v>
      </c>
      <c r="AT1280" t="s">
        <v>5062</v>
      </c>
      <c r="AU1280" t="s">
        <v>5084</v>
      </c>
      <c r="AV1280" t="s">
        <v>5089</v>
      </c>
      <c r="AW1280" t="s">
        <v>5090</v>
      </c>
    </row>
    <row r="1281" spans="1:49" x14ac:dyDescent="0.35">
      <c r="A1281" t="s">
        <v>4105</v>
      </c>
      <c r="B1281" t="s">
        <v>4106</v>
      </c>
      <c r="C1281" t="s">
        <v>4818</v>
      </c>
      <c r="D1281" t="s">
        <v>18</v>
      </c>
      <c r="E1281" t="s">
        <v>4665</v>
      </c>
      <c r="F1281" t="s">
        <v>4666</v>
      </c>
      <c r="G1281" t="s">
        <v>21</v>
      </c>
      <c r="H1281" t="s">
        <v>4826</v>
      </c>
      <c r="I1281" t="s">
        <v>5030</v>
      </c>
      <c r="J1281" s="4" t="s">
        <v>5031</v>
      </c>
      <c r="K1281" s="4" t="s">
        <v>4845</v>
      </c>
      <c r="L1281" s="4" t="s">
        <v>4958</v>
      </c>
      <c r="M1281" s="4" t="s">
        <v>5035</v>
      </c>
      <c r="N1281" t="s">
        <v>15</v>
      </c>
      <c r="O1281" t="s">
        <v>4667</v>
      </c>
      <c r="P1281" t="s">
        <v>23</v>
      </c>
      <c r="Q1281" t="s">
        <v>24</v>
      </c>
      <c r="R1281" t="s">
        <v>25</v>
      </c>
      <c r="S1281" t="s">
        <v>26</v>
      </c>
      <c r="T1281" s="6">
        <v>46307</v>
      </c>
      <c r="U1281">
        <v>120</v>
      </c>
      <c r="V1281">
        <v>120</v>
      </c>
      <c r="W1281">
        <v>96</v>
      </c>
      <c r="X1281">
        <v>96</v>
      </c>
      <c r="Y1281">
        <f t="shared" si="197"/>
        <v>0</v>
      </c>
      <c r="Z1281">
        <f t="shared" si="198"/>
        <v>24</v>
      </c>
      <c r="AA1281">
        <f>Z1281</f>
        <v>24</v>
      </c>
      <c r="AC1281" s="1">
        <v>0</v>
      </c>
      <c r="AF1281">
        <f>X1281</f>
        <v>96</v>
      </c>
      <c r="AG1281" s="7">
        <v>12</v>
      </c>
      <c r="AH1281">
        <f t="shared" si="199"/>
        <v>96</v>
      </c>
      <c r="AI1281">
        <f t="shared" si="196"/>
        <v>24</v>
      </c>
      <c r="AK1281">
        <f t="shared" si="200"/>
        <v>8</v>
      </c>
      <c r="AL1281">
        <v>12.02</v>
      </c>
      <c r="AM1281" t="s">
        <v>27</v>
      </c>
      <c r="AN1281">
        <v>12.02</v>
      </c>
      <c r="AO1281" t="b">
        <f t="shared" si="201"/>
        <v>1</v>
      </c>
      <c r="AR1281" t="s">
        <v>5061</v>
      </c>
      <c r="AS1281" s="21">
        <v>46276</v>
      </c>
      <c r="AT1281" t="s">
        <v>5062</v>
      </c>
      <c r="AU1281" t="s">
        <v>5085</v>
      </c>
      <c r="AV1281" t="s">
        <v>5089</v>
      </c>
      <c r="AW1281" t="s">
        <v>5090</v>
      </c>
    </row>
    <row r="1282" spans="1:49" x14ac:dyDescent="0.35">
      <c r="A1282" t="s">
        <v>4105</v>
      </c>
      <c r="B1282" t="s">
        <v>4106</v>
      </c>
      <c r="C1282" t="s">
        <v>4818</v>
      </c>
      <c r="D1282" t="s">
        <v>18</v>
      </c>
      <c r="E1282" t="s">
        <v>4668</v>
      </c>
      <c r="F1282" t="s">
        <v>4669</v>
      </c>
      <c r="G1282" t="s">
        <v>21</v>
      </c>
      <c r="H1282" t="s">
        <v>4826</v>
      </c>
      <c r="I1282" t="s">
        <v>5028</v>
      </c>
      <c r="J1282" s="4" t="s">
        <v>5029</v>
      </c>
      <c r="K1282" s="4" t="s">
        <v>4845</v>
      </c>
      <c r="L1282" s="4" t="s">
        <v>4948</v>
      </c>
      <c r="M1282" s="4" t="s">
        <v>5035</v>
      </c>
      <c r="N1282" t="s">
        <v>15</v>
      </c>
      <c r="O1282" t="s">
        <v>4670</v>
      </c>
      <c r="P1282" t="s">
        <v>23</v>
      </c>
      <c r="Q1282" t="s">
        <v>24</v>
      </c>
      <c r="R1282" t="s">
        <v>25</v>
      </c>
      <c r="S1282" t="s">
        <v>26</v>
      </c>
      <c r="T1282" s="6">
        <v>46307</v>
      </c>
      <c r="U1282">
        <v>60</v>
      </c>
      <c r="V1282">
        <v>60</v>
      </c>
      <c r="W1282">
        <v>60</v>
      </c>
      <c r="X1282">
        <v>60</v>
      </c>
      <c r="Y1282">
        <f t="shared" si="197"/>
        <v>0</v>
      </c>
      <c r="Z1282">
        <f t="shared" si="198"/>
        <v>0</v>
      </c>
      <c r="AC1282" s="1">
        <v>0</v>
      </c>
      <c r="AF1282">
        <f t="shared" ref="AF1282:AF1297" si="206">V1282</f>
        <v>60</v>
      </c>
      <c r="AG1282" s="7">
        <v>12</v>
      </c>
      <c r="AH1282">
        <f t="shared" si="199"/>
        <v>60</v>
      </c>
      <c r="AI1282">
        <f t="shared" si="196"/>
        <v>0</v>
      </c>
      <c r="AK1282">
        <f t="shared" si="200"/>
        <v>5</v>
      </c>
      <c r="AL1282">
        <v>12.09</v>
      </c>
      <c r="AM1282" t="s">
        <v>27</v>
      </c>
      <c r="AN1282">
        <v>12.09</v>
      </c>
      <c r="AO1282" t="b">
        <f t="shared" si="201"/>
        <v>1</v>
      </c>
      <c r="AR1282" t="s">
        <v>5061</v>
      </c>
      <c r="AS1282" s="21">
        <v>46276</v>
      </c>
      <c r="AT1282" t="s">
        <v>5062</v>
      </c>
      <c r="AU1282" t="s">
        <v>5084</v>
      </c>
      <c r="AV1282" t="s">
        <v>5089</v>
      </c>
      <c r="AW1282" t="s">
        <v>5090</v>
      </c>
    </row>
    <row r="1283" spans="1:49" x14ac:dyDescent="0.35">
      <c r="A1283" t="s">
        <v>4105</v>
      </c>
      <c r="B1283" t="s">
        <v>4106</v>
      </c>
      <c r="C1283" t="s">
        <v>4818</v>
      </c>
      <c r="D1283" t="s">
        <v>18</v>
      </c>
      <c r="E1283" t="s">
        <v>4671</v>
      </c>
      <c r="F1283" t="s">
        <v>4672</v>
      </c>
      <c r="G1283" t="s">
        <v>21</v>
      </c>
      <c r="H1283" t="s">
        <v>4826</v>
      </c>
      <c r="I1283" t="s">
        <v>5028</v>
      </c>
      <c r="J1283" s="4" t="s">
        <v>5029</v>
      </c>
      <c r="K1283" s="4" t="s">
        <v>5033</v>
      </c>
      <c r="L1283" s="4" t="s">
        <v>4939</v>
      </c>
      <c r="M1283" s="4" t="s">
        <v>5035</v>
      </c>
      <c r="N1283" t="s">
        <v>15</v>
      </c>
      <c r="O1283" t="s">
        <v>4673</v>
      </c>
      <c r="P1283" t="s">
        <v>23</v>
      </c>
      <c r="Q1283" t="s">
        <v>24</v>
      </c>
      <c r="R1283" t="s">
        <v>25</v>
      </c>
      <c r="S1283" t="s">
        <v>26</v>
      </c>
      <c r="T1283" s="6">
        <v>46307</v>
      </c>
      <c r="U1283">
        <v>36</v>
      </c>
      <c r="V1283">
        <v>36</v>
      </c>
      <c r="W1283">
        <v>36</v>
      </c>
      <c r="X1283">
        <v>36</v>
      </c>
      <c r="Y1283">
        <f t="shared" si="197"/>
        <v>0</v>
      </c>
      <c r="Z1283">
        <f t="shared" si="198"/>
        <v>0</v>
      </c>
      <c r="AC1283" s="1">
        <v>0</v>
      </c>
      <c r="AF1283">
        <f t="shared" si="206"/>
        <v>36</v>
      </c>
      <c r="AG1283" s="7">
        <v>12</v>
      </c>
      <c r="AH1283">
        <f t="shared" si="199"/>
        <v>36</v>
      </c>
      <c r="AI1283">
        <f t="shared" ref="AI1283:AI1346" si="207">V1283-AH1283</f>
        <v>0</v>
      </c>
      <c r="AK1283">
        <f t="shared" si="200"/>
        <v>3</v>
      </c>
      <c r="AL1283">
        <v>12.09</v>
      </c>
      <c r="AM1283" t="s">
        <v>27</v>
      </c>
      <c r="AN1283">
        <v>12.09</v>
      </c>
      <c r="AO1283" t="b">
        <f t="shared" si="201"/>
        <v>1</v>
      </c>
      <c r="AR1283" t="s">
        <v>5061</v>
      </c>
      <c r="AS1283" s="21">
        <v>46276</v>
      </c>
      <c r="AT1283" t="s">
        <v>5062</v>
      </c>
      <c r="AU1283" t="s">
        <v>5084</v>
      </c>
      <c r="AV1283" t="s">
        <v>5089</v>
      </c>
      <c r="AW1283" t="s">
        <v>5090</v>
      </c>
    </row>
    <row r="1284" spans="1:49" x14ac:dyDescent="0.35">
      <c r="A1284" t="s">
        <v>4105</v>
      </c>
      <c r="B1284" t="s">
        <v>4106</v>
      </c>
      <c r="C1284" t="s">
        <v>4818</v>
      </c>
      <c r="D1284" t="s">
        <v>18</v>
      </c>
      <c r="E1284" t="s">
        <v>4674</v>
      </c>
      <c r="F1284" t="s">
        <v>4675</v>
      </c>
      <c r="G1284" t="s">
        <v>21</v>
      </c>
      <c r="H1284" t="s">
        <v>4826</v>
      </c>
      <c r="I1284" t="s">
        <v>5028</v>
      </c>
      <c r="J1284" s="4" t="s">
        <v>5029</v>
      </c>
      <c r="K1284" s="4" t="s">
        <v>4837</v>
      </c>
      <c r="L1284" s="4" t="s">
        <v>4963</v>
      </c>
      <c r="M1284" s="4" t="s">
        <v>5035</v>
      </c>
      <c r="N1284" t="s">
        <v>15</v>
      </c>
      <c r="O1284" t="s">
        <v>4676</v>
      </c>
      <c r="P1284" t="s">
        <v>23</v>
      </c>
      <c r="Q1284" t="s">
        <v>24</v>
      </c>
      <c r="R1284" t="s">
        <v>25</v>
      </c>
      <c r="S1284" t="s">
        <v>26</v>
      </c>
      <c r="T1284" s="6">
        <v>46307</v>
      </c>
      <c r="U1284">
        <v>84</v>
      </c>
      <c r="V1284">
        <v>84</v>
      </c>
      <c r="W1284">
        <v>84</v>
      </c>
      <c r="X1284">
        <v>84</v>
      </c>
      <c r="Y1284">
        <f t="shared" ref="Y1284:Y1347" si="208">W1284-X1284</f>
        <v>0</v>
      </c>
      <c r="Z1284">
        <f t="shared" ref="Z1284:Z1331" si="209">V1284-X1284</f>
        <v>0</v>
      </c>
      <c r="AC1284" s="1">
        <v>0</v>
      </c>
      <c r="AF1284">
        <f t="shared" si="206"/>
        <v>84</v>
      </c>
      <c r="AG1284" s="7">
        <v>12</v>
      </c>
      <c r="AH1284">
        <f t="shared" ref="AH1284:AH1331" si="210">ROUNDUP(AF1284/AG1284,0)*AG1284</f>
        <v>84</v>
      </c>
      <c r="AI1284">
        <f t="shared" si="207"/>
        <v>0</v>
      </c>
      <c r="AK1284">
        <f t="shared" ref="AK1284:AK1347" si="211">AH1284/AG1284</f>
        <v>7</v>
      </c>
      <c r="AL1284">
        <v>12.09</v>
      </c>
      <c r="AM1284" t="s">
        <v>27</v>
      </c>
      <c r="AN1284">
        <v>12.09</v>
      </c>
      <c r="AO1284" t="b">
        <f t="shared" ref="AO1284:AO1347" si="212">AL1284=AN1284</f>
        <v>1</v>
      </c>
      <c r="AR1284" t="s">
        <v>5061</v>
      </c>
      <c r="AS1284" s="21">
        <v>46276</v>
      </c>
      <c r="AT1284" t="s">
        <v>5062</v>
      </c>
      <c r="AU1284" t="s">
        <v>5084</v>
      </c>
      <c r="AV1284" t="s">
        <v>5089</v>
      </c>
      <c r="AW1284" t="s">
        <v>5090</v>
      </c>
    </row>
    <row r="1285" spans="1:49" x14ac:dyDescent="0.35">
      <c r="A1285" t="s">
        <v>4105</v>
      </c>
      <c r="B1285" t="s">
        <v>4106</v>
      </c>
      <c r="C1285" t="s">
        <v>4818</v>
      </c>
      <c r="D1285" t="s">
        <v>18</v>
      </c>
      <c r="E1285" t="s">
        <v>4677</v>
      </c>
      <c r="F1285" t="s">
        <v>4678</v>
      </c>
      <c r="G1285" t="s">
        <v>21</v>
      </c>
      <c r="H1285" t="s">
        <v>4826</v>
      </c>
      <c r="I1285" t="s">
        <v>5028</v>
      </c>
      <c r="J1285" s="4" t="s">
        <v>5029</v>
      </c>
      <c r="K1285" s="4" t="s">
        <v>4845</v>
      </c>
      <c r="L1285" s="4" t="s">
        <v>4959</v>
      </c>
      <c r="M1285" s="4" t="s">
        <v>5035</v>
      </c>
      <c r="N1285" t="s">
        <v>15</v>
      </c>
      <c r="O1285" t="s">
        <v>4679</v>
      </c>
      <c r="P1285" t="s">
        <v>23</v>
      </c>
      <c r="Q1285" t="s">
        <v>24</v>
      </c>
      <c r="R1285" t="s">
        <v>25</v>
      </c>
      <c r="S1285" t="s">
        <v>26</v>
      </c>
      <c r="T1285" s="6">
        <v>46307</v>
      </c>
      <c r="U1285">
        <v>60</v>
      </c>
      <c r="V1285">
        <v>60</v>
      </c>
      <c r="W1285">
        <v>60</v>
      </c>
      <c r="X1285">
        <v>60</v>
      </c>
      <c r="Y1285">
        <f t="shared" si="208"/>
        <v>0</v>
      </c>
      <c r="Z1285">
        <f t="shared" si="209"/>
        <v>0</v>
      </c>
      <c r="AC1285" s="1">
        <v>0</v>
      </c>
      <c r="AF1285">
        <f t="shared" si="206"/>
        <v>60</v>
      </c>
      <c r="AG1285" s="7">
        <v>12</v>
      </c>
      <c r="AH1285">
        <f t="shared" si="210"/>
        <v>60</v>
      </c>
      <c r="AI1285">
        <f t="shared" si="207"/>
        <v>0</v>
      </c>
      <c r="AK1285">
        <f t="shared" si="211"/>
        <v>5</v>
      </c>
      <c r="AL1285">
        <v>12.09</v>
      </c>
      <c r="AM1285" t="s">
        <v>27</v>
      </c>
      <c r="AN1285">
        <v>12.09</v>
      </c>
      <c r="AO1285" t="b">
        <f t="shared" si="212"/>
        <v>1</v>
      </c>
      <c r="AR1285" t="s">
        <v>5061</v>
      </c>
      <c r="AS1285" s="21">
        <v>46276</v>
      </c>
      <c r="AT1285" t="s">
        <v>5062</v>
      </c>
      <c r="AU1285" t="s">
        <v>5084</v>
      </c>
      <c r="AV1285" t="s">
        <v>5089</v>
      </c>
      <c r="AW1285" t="s">
        <v>5090</v>
      </c>
    </row>
    <row r="1286" spans="1:49" x14ac:dyDescent="0.35">
      <c r="A1286" t="s">
        <v>4105</v>
      </c>
      <c r="B1286" t="s">
        <v>4106</v>
      </c>
      <c r="C1286" t="s">
        <v>4818</v>
      </c>
      <c r="D1286" t="s">
        <v>18</v>
      </c>
      <c r="E1286" t="s">
        <v>4680</v>
      </c>
      <c r="F1286" t="s">
        <v>4681</v>
      </c>
      <c r="G1286" t="s">
        <v>21</v>
      </c>
      <c r="H1286" t="s">
        <v>4826</v>
      </c>
      <c r="I1286" t="s">
        <v>5030</v>
      </c>
      <c r="J1286" s="4" t="s">
        <v>5031</v>
      </c>
      <c r="K1286" s="4" t="s">
        <v>4845</v>
      </c>
      <c r="L1286" s="4" t="s">
        <v>4961</v>
      </c>
      <c r="M1286" s="4" t="s">
        <v>5035</v>
      </c>
      <c r="N1286" t="s">
        <v>15</v>
      </c>
      <c r="O1286" t="s">
        <v>4682</v>
      </c>
      <c r="P1286" t="s">
        <v>23</v>
      </c>
      <c r="Q1286" t="s">
        <v>24</v>
      </c>
      <c r="R1286" t="s">
        <v>25</v>
      </c>
      <c r="S1286" t="s">
        <v>26</v>
      </c>
      <c r="T1286" s="6">
        <v>46307</v>
      </c>
      <c r="U1286">
        <v>72</v>
      </c>
      <c r="V1286">
        <v>72</v>
      </c>
      <c r="W1286">
        <v>72</v>
      </c>
      <c r="X1286">
        <v>72</v>
      </c>
      <c r="Y1286">
        <f t="shared" si="208"/>
        <v>0</v>
      </c>
      <c r="Z1286">
        <f t="shared" si="209"/>
        <v>0</v>
      </c>
      <c r="AC1286" s="1">
        <v>0</v>
      </c>
      <c r="AF1286">
        <f t="shared" si="206"/>
        <v>72</v>
      </c>
      <c r="AG1286" s="7">
        <v>12</v>
      </c>
      <c r="AH1286">
        <f t="shared" si="210"/>
        <v>72</v>
      </c>
      <c r="AI1286">
        <f t="shared" si="207"/>
        <v>0</v>
      </c>
      <c r="AK1286">
        <f t="shared" si="211"/>
        <v>6</v>
      </c>
      <c r="AL1286">
        <v>12.02</v>
      </c>
      <c r="AM1286" t="s">
        <v>27</v>
      </c>
      <c r="AN1286">
        <v>12.02</v>
      </c>
      <c r="AO1286" t="b">
        <f t="shared" si="212"/>
        <v>1</v>
      </c>
      <c r="AR1286" t="s">
        <v>5061</v>
      </c>
      <c r="AS1286" s="21">
        <v>46276</v>
      </c>
      <c r="AT1286" t="s">
        <v>5062</v>
      </c>
      <c r="AU1286" t="s">
        <v>5085</v>
      </c>
      <c r="AV1286" t="s">
        <v>5089</v>
      </c>
      <c r="AW1286" t="s">
        <v>5090</v>
      </c>
    </row>
    <row r="1287" spans="1:49" x14ac:dyDescent="0.35">
      <c r="A1287" t="s">
        <v>4105</v>
      </c>
      <c r="B1287" t="s">
        <v>4106</v>
      </c>
      <c r="C1287" t="s">
        <v>4818</v>
      </c>
      <c r="D1287" t="s">
        <v>18</v>
      </c>
      <c r="E1287" t="s">
        <v>4683</v>
      </c>
      <c r="F1287" t="s">
        <v>4684</v>
      </c>
      <c r="G1287" t="s">
        <v>21</v>
      </c>
      <c r="H1287" t="s">
        <v>4826</v>
      </c>
      <c r="I1287" t="s">
        <v>5030</v>
      </c>
      <c r="J1287" s="4" t="s">
        <v>5031</v>
      </c>
      <c r="K1287" s="4" t="s">
        <v>4832</v>
      </c>
      <c r="L1287" s="4" t="s">
        <v>4944</v>
      </c>
      <c r="M1287" s="4" t="s">
        <v>5035</v>
      </c>
      <c r="N1287" t="s">
        <v>15</v>
      </c>
      <c r="O1287" t="s">
        <v>4685</v>
      </c>
      <c r="P1287" t="s">
        <v>23</v>
      </c>
      <c r="Q1287" t="s">
        <v>24</v>
      </c>
      <c r="R1287" t="s">
        <v>25</v>
      </c>
      <c r="S1287" t="s">
        <v>26</v>
      </c>
      <c r="T1287" s="6">
        <v>46307</v>
      </c>
      <c r="U1287">
        <v>72</v>
      </c>
      <c r="V1287">
        <v>72</v>
      </c>
      <c r="W1287">
        <v>84</v>
      </c>
      <c r="X1287">
        <v>84</v>
      </c>
      <c r="Y1287">
        <f t="shared" si="208"/>
        <v>0</v>
      </c>
      <c r="Z1287">
        <f t="shared" si="209"/>
        <v>-12</v>
      </c>
      <c r="AC1287" s="1">
        <v>0</v>
      </c>
      <c r="AF1287">
        <f t="shared" si="206"/>
        <v>72</v>
      </c>
      <c r="AG1287" s="7">
        <v>12</v>
      </c>
      <c r="AH1287">
        <f t="shared" si="210"/>
        <v>72</v>
      </c>
      <c r="AI1287">
        <f t="shared" si="207"/>
        <v>0</v>
      </c>
      <c r="AK1287">
        <f t="shared" si="211"/>
        <v>6</v>
      </c>
      <c r="AL1287">
        <v>12.02</v>
      </c>
      <c r="AM1287" t="s">
        <v>27</v>
      </c>
      <c r="AN1287">
        <v>12.02</v>
      </c>
      <c r="AO1287" t="b">
        <f t="shared" si="212"/>
        <v>1</v>
      </c>
      <c r="AR1287" t="s">
        <v>5061</v>
      </c>
      <c r="AS1287" s="21">
        <v>46276</v>
      </c>
      <c r="AT1287" t="s">
        <v>5062</v>
      </c>
      <c r="AU1287" t="s">
        <v>5085</v>
      </c>
      <c r="AV1287" t="s">
        <v>5089</v>
      </c>
      <c r="AW1287" t="s">
        <v>5090</v>
      </c>
    </row>
    <row r="1288" spans="1:49" x14ac:dyDescent="0.35">
      <c r="A1288" t="s">
        <v>4105</v>
      </c>
      <c r="B1288" t="s">
        <v>4106</v>
      </c>
      <c r="C1288" t="s">
        <v>4818</v>
      </c>
      <c r="D1288" t="s">
        <v>18</v>
      </c>
      <c r="E1288" t="s">
        <v>4686</v>
      </c>
      <c r="F1288" t="s">
        <v>4687</v>
      </c>
      <c r="G1288" t="s">
        <v>21</v>
      </c>
      <c r="H1288" t="s">
        <v>4826</v>
      </c>
      <c r="I1288" t="s">
        <v>5030</v>
      </c>
      <c r="J1288" s="4" t="s">
        <v>5031</v>
      </c>
      <c r="K1288" s="4" t="s">
        <v>5033</v>
      </c>
      <c r="L1288" s="4" t="s">
        <v>4965</v>
      </c>
      <c r="M1288" s="4" t="s">
        <v>5035</v>
      </c>
      <c r="N1288" t="s">
        <v>15</v>
      </c>
      <c r="O1288" t="s">
        <v>4688</v>
      </c>
      <c r="P1288" t="s">
        <v>23</v>
      </c>
      <c r="Q1288" t="s">
        <v>24</v>
      </c>
      <c r="R1288" t="s">
        <v>25</v>
      </c>
      <c r="S1288" t="s">
        <v>26</v>
      </c>
      <c r="T1288" s="6">
        <v>46307</v>
      </c>
      <c r="U1288">
        <v>12</v>
      </c>
      <c r="V1288">
        <v>12</v>
      </c>
      <c r="W1288">
        <v>12</v>
      </c>
      <c r="X1288">
        <v>12</v>
      </c>
      <c r="Y1288">
        <f t="shared" si="208"/>
        <v>0</v>
      </c>
      <c r="Z1288">
        <f t="shared" si="209"/>
        <v>0</v>
      </c>
      <c r="AC1288" s="1">
        <v>0</v>
      </c>
      <c r="AF1288">
        <f t="shared" si="206"/>
        <v>12</v>
      </c>
      <c r="AG1288" s="7">
        <v>12</v>
      </c>
      <c r="AH1288">
        <f t="shared" si="210"/>
        <v>12</v>
      </c>
      <c r="AI1288">
        <f t="shared" si="207"/>
        <v>0</v>
      </c>
      <c r="AK1288">
        <f t="shared" si="211"/>
        <v>1</v>
      </c>
      <c r="AL1288">
        <v>12.02</v>
      </c>
      <c r="AM1288" t="s">
        <v>27</v>
      </c>
      <c r="AN1288">
        <v>12.02</v>
      </c>
      <c r="AO1288" t="b">
        <f t="shared" si="212"/>
        <v>1</v>
      </c>
      <c r="AR1288" t="s">
        <v>5061</v>
      </c>
      <c r="AS1288" s="21">
        <v>46276</v>
      </c>
      <c r="AT1288" t="s">
        <v>5062</v>
      </c>
      <c r="AU1288" t="s">
        <v>5085</v>
      </c>
      <c r="AV1288" t="s">
        <v>5089</v>
      </c>
      <c r="AW1288" t="s">
        <v>5090</v>
      </c>
    </row>
    <row r="1289" spans="1:49" x14ac:dyDescent="0.35">
      <c r="A1289" t="s">
        <v>4105</v>
      </c>
      <c r="B1289" t="s">
        <v>4106</v>
      </c>
      <c r="C1289" t="s">
        <v>4818</v>
      </c>
      <c r="D1289" t="s">
        <v>18</v>
      </c>
      <c r="E1289" t="s">
        <v>4689</v>
      </c>
      <c r="F1289" t="s">
        <v>4690</v>
      </c>
      <c r="G1289" t="s">
        <v>21</v>
      </c>
      <c r="H1289" t="s">
        <v>4826</v>
      </c>
      <c r="I1289" t="s">
        <v>5030</v>
      </c>
      <c r="J1289" s="4" t="s">
        <v>5031</v>
      </c>
      <c r="K1289" s="4" t="s">
        <v>4837</v>
      </c>
      <c r="L1289" s="4" t="s">
        <v>4954</v>
      </c>
      <c r="M1289" s="4" t="s">
        <v>5035</v>
      </c>
      <c r="N1289" t="s">
        <v>15</v>
      </c>
      <c r="O1289" t="s">
        <v>4691</v>
      </c>
      <c r="P1289" t="s">
        <v>23</v>
      </c>
      <c r="Q1289" t="s">
        <v>24</v>
      </c>
      <c r="R1289" t="s">
        <v>25</v>
      </c>
      <c r="S1289" t="s">
        <v>26</v>
      </c>
      <c r="T1289" s="6">
        <v>46307</v>
      </c>
      <c r="U1289">
        <v>84</v>
      </c>
      <c r="V1289">
        <v>84</v>
      </c>
      <c r="W1289">
        <v>84</v>
      </c>
      <c r="X1289">
        <v>84</v>
      </c>
      <c r="Y1289">
        <f t="shared" si="208"/>
        <v>0</v>
      </c>
      <c r="Z1289">
        <f t="shared" si="209"/>
        <v>0</v>
      </c>
      <c r="AC1289" s="1">
        <v>0</v>
      </c>
      <c r="AF1289">
        <f t="shared" si="206"/>
        <v>84</v>
      </c>
      <c r="AG1289" s="7">
        <v>12</v>
      </c>
      <c r="AH1289">
        <f t="shared" si="210"/>
        <v>84</v>
      </c>
      <c r="AI1289">
        <f t="shared" si="207"/>
        <v>0</v>
      </c>
      <c r="AK1289">
        <f t="shared" si="211"/>
        <v>7</v>
      </c>
      <c r="AL1289">
        <v>12.02</v>
      </c>
      <c r="AM1289" t="s">
        <v>27</v>
      </c>
      <c r="AN1289">
        <v>12.02</v>
      </c>
      <c r="AO1289" t="b">
        <f t="shared" si="212"/>
        <v>1</v>
      </c>
      <c r="AR1289" t="s">
        <v>5061</v>
      </c>
      <c r="AS1289" s="21">
        <v>46276</v>
      </c>
      <c r="AT1289" t="s">
        <v>5062</v>
      </c>
      <c r="AU1289" t="s">
        <v>5085</v>
      </c>
      <c r="AV1289" t="s">
        <v>5089</v>
      </c>
      <c r="AW1289" t="s">
        <v>5090</v>
      </c>
    </row>
    <row r="1290" spans="1:49" x14ac:dyDescent="0.35">
      <c r="A1290" t="s">
        <v>4105</v>
      </c>
      <c r="B1290" t="s">
        <v>4106</v>
      </c>
      <c r="C1290" t="s">
        <v>4818</v>
      </c>
      <c r="D1290" t="s">
        <v>18</v>
      </c>
      <c r="E1290" t="s">
        <v>4692</v>
      </c>
      <c r="F1290" t="s">
        <v>4693</v>
      </c>
      <c r="G1290" t="s">
        <v>21</v>
      </c>
      <c r="H1290" t="s">
        <v>4826</v>
      </c>
      <c r="I1290" t="s">
        <v>5030</v>
      </c>
      <c r="J1290" s="4" t="s">
        <v>5031</v>
      </c>
      <c r="K1290" s="4" t="s">
        <v>4837</v>
      </c>
      <c r="L1290" s="4" t="s">
        <v>4967</v>
      </c>
      <c r="M1290" s="4" t="s">
        <v>5035</v>
      </c>
      <c r="N1290" t="s">
        <v>15</v>
      </c>
      <c r="O1290" t="s">
        <v>4694</v>
      </c>
      <c r="P1290" t="s">
        <v>23</v>
      </c>
      <c r="Q1290" t="s">
        <v>24</v>
      </c>
      <c r="R1290" t="s">
        <v>25</v>
      </c>
      <c r="S1290" t="s">
        <v>26</v>
      </c>
      <c r="T1290" s="6">
        <v>46307</v>
      </c>
      <c r="U1290">
        <v>36</v>
      </c>
      <c r="V1290">
        <v>36</v>
      </c>
      <c r="W1290">
        <v>36</v>
      </c>
      <c r="X1290">
        <v>36</v>
      </c>
      <c r="Y1290">
        <f t="shared" si="208"/>
        <v>0</v>
      </c>
      <c r="Z1290">
        <f t="shared" si="209"/>
        <v>0</v>
      </c>
      <c r="AC1290" s="1"/>
      <c r="AF1290">
        <f t="shared" si="206"/>
        <v>36</v>
      </c>
      <c r="AG1290" s="7">
        <v>12</v>
      </c>
      <c r="AH1290">
        <f t="shared" si="210"/>
        <v>36</v>
      </c>
      <c r="AI1290">
        <f t="shared" si="207"/>
        <v>0</v>
      </c>
      <c r="AK1290">
        <f t="shared" si="211"/>
        <v>3</v>
      </c>
      <c r="AL1290">
        <v>12.02</v>
      </c>
      <c r="AM1290" t="s">
        <v>27</v>
      </c>
      <c r="AN1290">
        <v>12.02</v>
      </c>
      <c r="AO1290" t="b">
        <f t="shared" si="212"/>
        <v>1</v>
      </c>
      <c r="AR1290" t="s">
        <v>5061</v>
      </c>
      <c r="AS1290" s="21">
        <v>46276</v>
      </c>
      <c r="AT1290" t="s">
        <v>5062</v>
      </c>
      <c r="AU1290" t="s">
        <v>5085</v>
      </c>
      <c r="AV1290" t="s">
        <v>5089</v>
      </c>
      <c r="AW1290" t="s">
        <v>5090</v>
      </c>
    </row>
    <row r="1291" spans="1:49" x14ac:dyDescent="0.35">
      <c r="A1291" t="s">
        <v>4105</v>
      </c>
      <c r="B1291" t="s">
        <v>4106</v>
      </c>
      <c r="C1291" t="s">
        <v>4818</v>
      </c>
      <c r="D1291" t="s">
        <v>18</v>
      </c>
      <c r="E1291" t="s">
        <v>4695</v>
      </c>
      <c r="F1291" t="s">
        <v>4696</v>
      </c>
      <c r="G1291" t="s">
        <v>21</v>
      </c>
      <c r="H1291" t="s">
        <v>4826</v>
      </c>
      <c r="I1291" t="s">
        <v>5028</v>
      </c>
      <c r="J1291" s="4" t="s">
        <v>5029</v>
      </c>
      <c r="K1291" s="4" t="s">
        <v>4845</v>
      </c>
      <c r="L1291" s="4" t="s">
        <v>4942</v>
      </c>
      <c r="M1291" s="4" t="s">
        <v>5035</v>
      </c>
      <c r="N1291" t="s">
        <v>15</v>
      </c>
      <c r="O1291" t="s">
        <v>4697</v>
      </c>
      <c r="P1291" t="s">
        <v>23</v>
      </c>
      <c r="Q1291" t="s">
        <v>24</v>
      </c>
      <c r="R1291" t="s">
        <v>25</v>
      </c>
      <c r="S1291" t="s">
        <v>26</v>
      </c>
      <c r="T1291" s="6">
        <v>46307</v>
      </c>
      <c r="U1291">
        <v>12</v>
      </c>
      <c r="V1291">
        <v>12</v>
      </c>
      <c r="W1291">
        <v>12</v>
      </c>
      <c r="X1291">
        <v>12</v>
      </c>
      <c r="Y1291">
        <f t="shared" si="208"/>
        <v>0</v>
      </c>
      <c r="Z1291">
        <f t="shared" si="209"/>
        <v>0</v>
      </c>
      <c r="AC1291" s="1">
        <v>0</v>
      </c>
      <c r="AF1291">
        <f t="shared" si="206"/>
        <v>12</v>
      </c>
      <c r="AG1291" s="7">
        <v>12</v>
      </c>
      <c r="AH1291">
        <f t="shared" si="210"/>
        <v>12</v>
      </c>
      <c r="AI1291">
        <f t="shared" si="207"/>
        <v>0</v>
      </c>
      <c r="AK1291">
        <f t="shared" si="211"/>
        <v>1</v>
      </c>
      <c r="AL1291">
        <v>12.09</v>
      </c>
      <c r="AM1291" t="s">
        <v>27</v>
      </c>
      <c r="AN1291">
        <v>12.09</v>
      </c>
      <c r="AO1291" t="b">
        <f t="shared" si="212"/>
        <v>1</v>
      </c>
      <c r="AR1291" t="s">
        <v>5061</v>
      </c>
      <c r="AS1291" s="21">
        <v>46276</v>
      </c>
      <c r="AT1291" t="s">
        <v>5062</v>
      </c>
      <c r="AU1291" t="s">
        <v>5084</v>
      </c>
      <c r="AV1291" t="s">
        <v>5089</v>
      </c>
      <c r="AW1291" t="s">
        <v>5090</v>
      </c>
    </row>
    <row r="1292" spans="1:49" x14ac:dyDescent="0.35">
      <c r="A1292" t="s">
        <v>4105</v>
      </c>
      <c r="B1292" t="s">
        <v>4106</v>
      </c>
      <c r="C1292" t="s">
        <v>4818</v>
      </c>
      <c r="D1292" t="s">
        <v>18</v>
      </c>
      <c r="E1292" t="s">
        <v>4698</v>
      </c>
      <c r="F1292" t="s">
        <v>4699</v>
      </c>
      <c r="G1292" t="s">
        <v>21</v>
      </c>
      <c r="H1292" t="s">
        <v>4826</v>
      </c>
      <c r="I1292" t="s">
        <v>5028</v>
      </c>
      <c r="J1292" s="4" t="s">
        <v>5029</v>
      </c>
      <c r="K1292" s="4" t="s">
        <v>4832</v>
      </c>
      <c r="L1292" s="4" t="s">
        <v>4960</v>
      </c>
      <c r="M1292" s="4" t="s">
        <v>5035</v>
      </c>
      <c r="N1292" t="s">
        <v>15</v>
      </c>
      <c r="O1292" t="s">
        <v>4700</v>
      </c>
      <c r="P1292" t="s">
        <v>23</v>
      </c>
      <c r="Q1292" t="s">
        <v>24</v>
      </c>
      <c r="R1292" t="s">
        <v>25</v>
      </c>
      <c r="S1292" t="s">
        <v>26</v>
      </c>
      <c r="T1292" s="6">
        <v>46307</v>
      </c>
      <c r="U1292">
        <v>36</v>
      </c>
      <c r="V1292">
        <v>36</v>
      </c>
      <c r="W1292">
        <v>36</v>
      </c>
      <c r="X1292">
        <v>36</v>
      </c>
      <c r="Y1292">
        <f t="shared" si="208"/>
        <v>0</v>
      </c>
      <c r="Z1292">
        <f t="shared" si="209"/>
        <v>0</v>
      </c>
      <c r="AC1292" s="1">
        <v>0</v>
      </c>
      <c r="AF1292">
        <f t="shared" si="206"/>
        <v>36</v>
      </c>
      <c r="AG1292" s="7">
        <v>12</v>
      </c>
      <c r="AH1292">
        <f t="shared" si="210"/>
        <v>36</v>
      </c>
      <c r="AI1292">
        <f t="shared" si="207"/>
        <v>0</v>
      </c>
      <c r="AK1292">
        <f t="shared" si="211"/>
        <v>3</v>
      </c>
      <c r="AL1292">
        <v>12.09</v>
      </c>
      <c r="AM1292" t="s">
        <v>27</v>
      </c>
      <c r="AN1292">
        <v>12.09</v>
      </c>
      <c r="AO1292" t="b">
        <f t="shared" si="212"/>
        <v>1</v>
      </c>
      <c r="AR1292" t="s">
        <v>5061</v>
      </c>
      <c r="AS1292" s="21">
        <v>46276</v>
      </c>
      <c r="AT1292" t="s">
        <v>5062</v>
      </c>
      <c r="AU1292" t="s">
        <v>5084</v>
      </c>
      <c r="AV1292" t="s">
        <v>5089</v>
      </c>
      <c r="AW1292" t="s">
        <v>5090</v>
      </c>
    </row>
    <row r="1293" spans="1:49" x14ac:dyDescent="0.35">
      <c r="A1293" t="s">
        <v>4105</v>
      </c>
      <c r="B1293" t="s">
        <v>4106</v>
      </c>
      <c r="C1293" t="s">
        <v>4818</v>
      </c>
      <c r="D1293" t="s">
        <v>18</v>
      </c>
      <c r="E1293" t="s">
        <v>4701</v>
      </c>
      <c r="F1293" t="s">
        <v>4702</v>
      </c>
      <c r="G1293" t="s">
        <v>21</v>
      </c>
      <c r="H1293" t="s">
        <v>4826</v>
      </c>
      <c r="I1293" t="s">
        <v>5030</v>
      </c>
      <c r="J1293" s="4" t="s">
        <v>5031</v>
      </c>
      <c r="K1293" s="4" t="s">
        <v>5034</v>
      </c>
      <c r="L1293" s="4" t="s">
        <v>4973</v>
      </c>
      <c r="M1293" s="4" t="s">
        <v>5035</v>
      </c>
      <c r="N1293" t="s">
        <v>15</v>
      </c>
      <c r="O1293" t="s">
        <v>4703</v>
      </c>
      <c r="P1293" t="s">
        <v>23</v>
      </c>
      <c r="Q1293" t="s">
        <v>24</v>
      </c>
      <c r="R1293" t="s">
        <v>25</v>
      </c>
      <c r="S1293" t="s">
        <v>26</v>
      </c>
      <c r="T1293" s="6">
        <v>46307</v>
      </c>
      <c r="U1293">
        <v>60</v>
      </c>
      <c r="V1293">
        <v>60</v>
      </c>
      <c r="W1293">
        <v>60</v>
      </c>
      <c r="X1293">
        <v>60</v>
      </c>
      <c r="Y1293">
        <f t="shared" si="208"/>
        <v>0</v>
      </c>
      <c r="Z1293">
        <f t="shared" si="209"/>
        <v>0</v>
      </c>
      <c r="AC1293" s="1">
        <v>0</v>
      </c>
      <c r="AF1293">
        <f t="shared" si="206"/>
        <v>60</v>
      </c>
      <c r="AG1293" s="7">
        <v>12</v>
      </c>
      <c r="AH1293">
        <f t="shared" si="210"/>
        <v>60</v>
      </c>
      <c r="AI1293">
        <f t="shared" si="207"/>
        <v>0</v>
      </c>
      <c r="AK1293">
        <f t="shared" si="211"/>
        <v>5</v>
      </c>
      <c r="AL1293">
        <v>12.02</v>
      </c>
      <c r="AM1293" t="s">
        <v>27</v>
      </c>
      <c r="AN1293">
        <v>12.02</v>
      </c>
      <c r="AO1293" t="b">
        <f t="shared" si="212"/>
        <v>1</v>
      </c>
      <c r="AR1293" t="s">
        <v>5061</v>
      </c>
      <c r="AS1293" s="21">
        <v>46276</v>
      </c>
      <c r="AT1293" t="s">
        <v>5062</v>
      </c>
      <c r="AU1293" t="s">
        <v>5085</v>
      </c>
      <c r="AV1293" t="s">
        <v>5089</v>
      </c>
      <c r="AW1293" t="s">
        <v>5090</v>
      </c>
    </row>
    <row r="1294" spans="1:49" x14ac:dyDescent="0.35">
      <c r="A1294" t="s">
        <v>4105</v>
      </c>
      <c r="B1294" t="s">
        <v>4106</v>
      </c>
      <c r="C1294" t="s">
        <v>4818</v>
      </c>
      <c r="D1294" t="s">
        <v>18</v>
      </c>
      <c r="E1294" t="s">
        <v>4704</v>
      </c>
      <c r="F1294" t="s">
        <v>4705</v>
      </c>
      <c r="G1294" t="s">
        <v>21</v>
      </c>
      <c r="H1294" t="s">
        <v>4826</v>
      </c>
      <c r="I1294" t="s">
        <v>5030</v>
      </c>
      <c r="J1294" s="4" t="s">
        <v>5031</v>
      </c>
      <c r="K1294" s="4" t="s">
        <v>5034</v>
      </c>
      <c r="L1294" s="4" t="s">
        <v>4960</v>
      </c>
      <c r="M1294" s="4" t="s">
        <v>5035</v>
      </c>
      <c r="N1294" t="s">
        <v>15</v>
      </c>
      <c r="O1294" t="s">
        <v>4706</v>
      </c>
      <c r="P1294" t="s">
        <v>23</v>
      </c>
      <c r="Q1294" t="s">
        <v>24</v>
      </c>
      <c r="R1294" t="s">
        <v>25</v>
      </c>
      <c r="S1294" t="s">
        <v>26</v>
      </c>
      <c r="T1294" s="6">
        <v>46307</v>
      </c>
      <c r="U1294">
        <v>36</v>
      </c>
      <c r="V1294">
        <v>36</v>
      </c>
      <c r="W1294">
        <v>36</v>
      </c>
      <c r="X1294">
        <v>36</v>
      </c>
      <c r="Y1294">
        <f t="shared" si="208"/>
        <v>0</v>
      </c>
      <c r="Z1294">
        <f t="shared" si="209"/>
        <v>0</v>
      </c>
      <c r="AC1294" s="1">
        <v>0</v>
      </c>
      <c r="AF1294">
        <f t="shared" si="206"/>
        <v>36</v>
      </c>
      <c r="AG1294" s="7">
        <v>12</v>
      </c>
      <c r="AH1294">
        <f t="shared" si="210"/>
        <v>36</v>
      </c>
      <c r="AI1294">
        <f t="shared" si="207"/>
        <v>0</v>
      </c>
      <c r="AK1294">
        <f t="shared" si="211"/>
        <v>3</v>
      </c>
      <c r="AL1294">
        <v>12.02</v>
      </c>
      <c r="AM1294" t="s">
        <v>27</v>
      </c>
      <c r="AN1294">
        <v>12.02</v>
      </c>
      <c r="AO1294" t="b">
        <f t="shared" si="212"/>
        <v>1</v>
      </c>
      <c r="AR1294" t="s">
        <v>5061</v>
      </c>
      <c r="AS1294" s="21">
        <v>46276</v>
      </c>
      <c r="AT1294" t="s">
        <v>5062</v>
      </c>
      <c r="AU1294" t="s">
        <v>5085</v>
      </c>
      <c r="AV1294" t="s">
        <v>5089</v>
      </c>
      <c r="AW1294" t="s">
        <v>5090</v>
      </c>
    </row>
    <row r="1295" spans="1:49" x14ac:dyDescent="0.35">
      <c r="A1295" t="s">
        <v>4105</v>
      </c>
      <c r="B1295" t="s">
        <v>4106</v>
      </c>
      <c r="C1295" t="s">
        <v>4818</v>
      </c>
      <c r="D1295" t="s">
        <v>18</v>
      </c>
      <c r="E1295" t="s">
        <v>4707</v>
      </c>
      <c r="F1295" t="s">
        <v>4708</v>
      </c>
      <c r="G1295" t="s">
        <v>21</v>
      </c>
      <c r="H1295" t="s">
        <v>4826</v>
      </c>
      <c r="I1295" t="s">
        <v>5030</v>
      </c>
      <c r="J1295" s="4" t="s">
        <v>5031</v>
      </c>
      <c r="K1295" s="4" t="s">
        <v>4837</v>
      </c>
      <c r="L1295" s="4" t="s">
        <v>4938</v>
      </c>
      <c r="M1295" s="4" t="s">
        <v>5035</v>
      </c>
      <c r="N1295" t="s">
        <v>15</v>
      </c>
      <c r="O1295" t="s">
        <v>4709</v>
      </c>
      <c r="P1295" t="s">
        <v>23</v>
      </c>
      <c r="Q1295" t="s">
        <v>24</v>
      </c>
      <c r="R1295" t="s">
        <v>25</v>
      </c>
      <c r="S1295" t="s">
        <v>26</v>
      </c>
      <c r="T1295" s="6">
        <v>46307</v>
      </c>
      <c r="U1295">
        <v>48</v>
      </c>
      <c r="V1295">
        <v>48</v>
      </c>
      <c r="W1295">
        <v>60</v>
      </c>
      <c r="X1295">
        <v>60</v>
      </c>
      <c r="Y1295">
        <f t="shared" si="208"/>
        <v>0</v>
      </c>
      <c r="Z1295">
        <f t="shared" si="209"/>
        <v>-12</v>
      </c>
      <c r="AC1295" s="1">
        <v>0</v>
      </c>
      <c r="AF1295">
        <f t="shared" si="206"/>
        <v>48</v>
      </c>
      <c r="AG1295" s="7">
        <v>12</v>
      </c>
      <c r="AH1295">
        <f t="shared" si="210"/>
        <v>48</v>
      </c>
      <c r="AI1295">
        <f t="shared" si="207"/>
        <v>0</v>
      </c>
      <c r="AK1295">
        <f t="shared" si="211"/>
        <v>4</v>
      </c>
      <c r="AL1295">
        <v>12.02</v>
      </c>
      <c r="AM1295" t="s">
        <v>27</v>
      </c>
      <c r="AN1295">
        <v>12.02</v>
      </c>
      <c r="AO1295" t="b">
        <f t="shared" si="212"/>
        <v>1</v>
      </c>
      <c r="AR1295" t="s">
        <v>5061</v>
      </c>
      <c r="AS1295" s="21">
        <v>46276</v>
      </c>
      <c r="AT1295" t="s">
        <v>5062</v>
      </c>
      <c r="AU1295" t="s">
        <v>5085</v>
      </c>
      <c r="AV1295" t="s">
        <v>5089</v>
      </c>
      <c r="AW1295" t="s">
        <v>5090</v>
      </c>
    </row>
    <row r="1296" spans="1:49" x14ac:dyDescent="0.35">
      <c r="A1296" t="s">
        <v>4105</v>
      </c>
      <c r="B1296" t="s">
        <v>4106</v>
      </c>
      <c r="C1296" t="s">
        <v>4818</v>
      </c>
      <c r="D1296" t="s">
        <v>18</v>
      </c>
      <c r="E1296" t="s">
        <v>4710</v>
      </c>
      <c r="F1296" t="s">
        <v>4711</v>
      </c>
      <c r="G1296" t="s">
        <v>21</v>
      </c>
      <c r="H1296" t="s">
        <v>4826</v>
      </c>
      <c r="I1296" t="s">
        <v>5030</v>
      </c>
      <c r="J1296" s="4" t="s">
        <v>5031</v>
      </c>
      <c r="K1296" s="4" t="s">
        <v>4837</v>
      </c>
      <c r="L1296" s="4" t="s">
        <v>4951</v>
      </c>
      <c r="M1296" s="4" t="s">
        <v>5035</v>
      </c>
      <c r="N1296" t="s">
        <v>15</v>
      </c>
      <c r="O1296" t="s">
        <v>4712</v>
      </c>
      <c r="P1296" t="s">
        <v>23</v>
      </c>
      <c r="Q1296" t="s">
        <v>24</v>
      </c>
      <c r="R1296" t="s">
        <v>25</v>
      </c>
      <c r="S1296" t="s">
        <v>26</v>
      </c>
      <c r="T1296" s="6">
        <v>46307</v>
      </c>
      <c r="U1296">
        <v>192</v>
      </c>
      <c r="V1296">
        <v>192</v>
      </c>
      <c r="W1296">
        <v>204</v>
      </c>
      <c r="X1296">
        <v>204</v>
      </c>
      <c r="Y1296">
        <f t="shared" si="208"/>
        <v>0</v>
      </c>
      <c r="Z1296">
        <f t="shared" si="209"/>
        <v>-12</v>
      </c>
      <c r="AC1296" s="1">
        <v>0</v>
      </c>
      <c r="AF1296">
        <f t="shared" si="206"/>
        <v>192</v>
      </c>
      <c r="AG1296" s="7">
        <v>12</v>
      </c>
      <c r="AH1296">
        <f t="shared" si="210"/>
        <v>192</v>
      </c>
      <c r="AI1296">
        <f t="shared" si="207"/>
        <v>0</v>
      </c>
      <c r="AK1296">
        <f t="shared" si="211"/>
        <v>16</v>
      </c>
      <c r="AL1296">
        <v>12.02</v>
      </c>
      <c r="AM1296" t="s">
        <v>27</v>
      </c>
      <c r="AN1296">
        <v>12.02</v>
      </c>
      <c r="AO1296" t="b">
        <f t="shared" si="212"/>
        <v>1</v>
      </c>
      <c r="AR1296" t="s">
        <v>5061</v>
      </c>
      <c r="AS1296" s="21">
        <v>46276</v>
      </c>
      <c r="AT1296" t="s">
        <v>5062</v>
      </c>
      <c r="AU1296" t="s">
        <v>5085</v>
      </c>
      <c r="AV1296" t="s">
        <v>5089</v>
      </c>
      <c r="AW1296" t="s">
        <v>5090</v>
      </c>
    </row>
    <row r="1297" spans="1:49" x14ac:dyDescent="0.35">
      <c r="A1297" t="s">
        <v>4105</v>
      </c>
      <c r="B1297" t="s">
        <v>4106</v>
      </c>
      <c r="C1297" t="s">
        <v>4818</v>
      </c>
      <c r="D1297" t="s">
        <v>18</v>
      </c>
      <c r="E1297" t="s">
        <v>4713</v>
      </c>
      <c r="F1297" t="s">
        <v>4714</v>
      </c>
      <c r="G1297" t="s">
        <v>21</v>
      </c>
      <c r="H1297" t="s">
        <v>4826</v>
      </c>
      <c r="I1297" t="s">
        <v>5028</v>
      </c>
      <c r="J1297" s="4" t="s">
        <v>5029</v>
      </c>
      <c r="K1297" s="4" t="s">
        <v>4845</v>
      </c>
      <c r="L1297" s="4" t="s">
        <v>4958</v>
      </c>
      <c r="M1297" s="4" t="s">
        <v>5035</v>
      </c>
      <c r="N1297" t="s">
        <v>15</v>
      </c>
      <c r="O1297" t="s">
        <v>4715</v>
      </c>
      <c r="P1297" t="s">
        <v>23</v>
      </c>
      <c r="Q1297" t="s">
        <v>24</v>
      </c>
      <c r="R1297" t="s">
        <v>25</v>
      </c>
      <c r="S1297" t="s">
        <v>26</v>
      </c>
      <c r="T1297" s="6">
        <v>46307</v>
      </c>
      <c r="U1297">
        <v>132</v>
      </c>
      <c r="V1297">
        <v>132</v>
      </c>
      <c r="W1297">
        <v>144</v>
      </c>
      <c r="X1297">
        <v>144</v>
      </c>
      <c r="Y1297">
        <f t="shared" si="208"/>
        <v>0</v>
      </c>
      <c r="Z1297">
        <f t="shared" si="209"/>
        <v>-12</v>
      </c>
      <c r="AC1297" s="1">
        <v>0</v>
      </c>
      <c r="AF1297">
        <f t="shared" si="206"/>
        <v>132</v>
      </c>
      <c r="AG1297" s="7">
        <v>12</v>
      </c>
      <c r="AH1297">
        <f t="shared" si="210"/>
        <v>132</v>
      </c>
      <c r="AI1297">
        <f t="shared" si="207"/>
        <v>0</v>
      </c>
      <c r="AK1297">
        <f t="shared" si="211"/>
        <v>11</v>
      </c>
      <c r="AL1297">
        <v>12.09</v>
      </c>
      <c r="AM1297" t="s">
        <v>27</v>
      </c>
      <c r="AN1297">
        <v>12.09</v>
      </c>
      <c r="AO1297" t="b">
        <f t="shared" si="212"/>
        <v>1</v>
      </c>
      <c r="AR1297" t="s">
        <v>5061</v>
      </c>
      <c r="AS1297" s="21">
        <v>46276</v>
      </c>
      <c r="AT1297" t="s">
        <v>5062</v>
      </c>
      <c r="AU1297" t="s">
        <v>5084</v>
      </c>
      <c r="AV1297" t="s">
        <v>5089</v>
      </c>
      <c r="AW1297" t="s">
        <v>5090</v>
      </c>
    </row>
    <row r="1298" spans="1:49" x14ac:dyDescent="0.35">
      <c r="A1298" t="s">
        <v>4105</v>
      </c>
      <c r="B1298" t="s">
        <v>4106</v>
      </c>
      <c r="C1298" t="s">
        <v>4818</v>
      </c>
      <c r="D1298" t="s">
        <v>18</v>
      </c>
      <c r="E1298" t="s">
        <v>4716</v>
      </c>
      <c r="F1298" t="s">
        <v>4717</v>
      </c>
      <c r="G1298" t="s">
        <v>21</v>
      </c>
      <c r="H1298" t="s">
        <v>4826</v>
      </c>
      <c r="I1298" t="s">
        <v>5028</v>
      </c>
      <c r="J1298" s="4" t="s">
        <v>5029</v>
      </c>
      <c r="K1298" s="4" t="s">
        <v>4837</v>
      </c>
      <c r="L1298" s="4" t="s">
        <v>4972</v>
      </c>
      <c r="M1298" s="4" t="s">
        <v>5035</v>
      </c>
      <c r="N1298" t="s">
        <v>15</v>
      </c>
      <c r="O1298" t="s">
        <v>4718</v>
      </c>
      <c r="P1298" t="s">
        <v>23</v>
      </c>
      <c r="Q1298" t="s">
        <v>24</v>
      </c>
      <c r="R1298" t="s">
        <v>25</v>
      </c>
      <c r="S1298" t="s">
        <v>26</v>
      </c>
      <c r="T1298" s="6">
        <v>46307</v>
      </c>
      <c r="U1298">
        <v>120</v>
      </c>
      <c r="V1298">
        <v>120</v>
      </c>
      <c r="W1298">
        <v>108</v>
      </c>
      <c r="X1298">
        <v>108</v>
      </c>
      <c r="Y1298">
        <f t="shared" si="208"/>
        <v>0</v>
      </c>
      <c r="Z1298">
        <f t="shared" si="209"/>
        <v>12</v>
      </c>
      <c r="AA1298">
        <f>Z1298</f>
        <v>12</v>
      </c>
      <c r="AC1298" s="1">
        <v>0</v>
      </c>
      <c r="AF1298">
        <f>X1298</f>
        <v>108</v>
      </c>
      <c r="AG1298" s="7">
        <v>12</v>
      </c>
      <c r="AH1298">
        <f t="shared" si="210"/>
        <v>108</v>
      </c>
      <c r="AI1298">
        <f t="shared" si="207"/>
        <v>12</v>
      </c>
      <c r="AK1298">
        <f t="shared" si="211"/>
        <v>9</v>
      </c>
      <c r="AL1298">
        <v>12.09</v>
      </c>
      <c r="AM1298" t="s">
        <v>27</v>
      </c>
      <c r="AN1298">
        <v>12.09</v>
      </c>
      <c r="AO1298" t="b">
        <f t="shared" si="212"/>
        <v>1</v>
      </c>
      <c r="AR1298" t="s">
        <v>5061</v>
      </c>
      <c r="AS1298" s="21">
        <v>46276</v>
      </c>
      <c r="AT1298" t="s">
        <v>5062</v>
      </c>
      <c r="AU1298" t="s">
        <v>5084</v>
      </c>
      <c r="AV1298" t="s">
        <v>5089</v>
      </c>
      <c r="AW1298" t="s">
        <v>5090</v>
      </c>
    </row>
    <row r="1299" spans="1:49" x14ac:dyDescent="0.35">
      <c r="A1299" t="s">
        <v>4105</v>
      </c>
      <c r="B1299" t="s">
        <v>4106</v>
      </c>
      <c r="C1299" t="s">
        <v>4818</v>
      </c>
      <c r="D1299" t="s">
        <v>18</v>
      </c>
      <c r="E1299" t="s">
        <v>4719</v>
      </c>
      <c r="F1299" t="s">
        <v>4720</v>
      </c>
      <c r="G1299" t="s">
        <v>21</v>
      </c>
      <c r="H1299" t="s">
        <v>4826</v>
      </c>
      <c r="I1299" t="s">
        <v>5028</v>
      </c>
      <c r="J1299" s="4" t="s">
        <v>5029</v>
      </c>
      <c r="K1299" s="4" t="s">
        <v>4832</v>
      </c>
      <c r="L1299" s="4" t="s">
        <v>4941</v>
      </c>
      <c r="M1299" s="4" t="s">
        <v>5035</v>
      </c>
      <c r="N1299" t="s">
        <v>15</v>
      </c>
      <c r="O1299" t="s">
        <v>4721</v>
      </c>
      <c r="P1299" t="s">
        <v>23</v>
      </c>
      <c r="Q1299" t="s">
        <v>24</v>
      </c>
      <c r="R1299" t="s">
        <v>25</v>
      </c>
      <c r="S1299" t="s">
        <v>26</v>
      </c>
      <c r="T1299" s="6">
        <v>46307</v>
      </c>
      <c r="U1299">
        <v>24</v>
      </c>
      <c r="V1299">
        <v>24</v>
      </c>
      <c r="W1299">
        <v>24</v>
      </c>
      <c r="X1299">
        <v>24</v>
      </c>
      <c r="Y1299">
        <f t="shared" si="208"/>
        <v>0</v>
      </c>
      <c r="Z1299">
        <f t="shared" si="209"/>
        <v>0</v>
      </c>
      <c r="AC1299" s="1">
        <v>0</v>
      </c>
      <c r="AF1299">
        <f t="shared" ref="AF1299:AF1312" si="213">V1299</f>
        <v>24</v>
      </c>
      <c r="AG1299" s="7">
        <v>12</v>
      </c>
      <c r="AH1299">
        <f t="shared" si="210"/>
        <v>24</v>
      </c>
      <c r="AI1299">
        <f t="shared" si="207"/>
        <v>0</v>
      </c>
      <c r="AK1299">
        <f t="shared" si="211"/>
        <v>2</v>
      </c>
      <c r="AL1299">
        <v>12.09</v>
      </c>
      <c r="AM1299" t="s">
        <v>27</v>
      </c>
      <c r="AN1299">
        <v>12.09</v>
      </c>
      <c r="AO1299" t="b">
        <f t="shared" si="212"/>
        <v>1</v>
      </c>
      <c r="AR1299" t="s">
        <v>5061</v>
      </c>
      <c r="AS1299" s="21">
        <v>46276</v>
      </c>
      <c r="AT1299" t="s">
        <v>5062</v>
      </c>
      <c r="AU1299" t="s">
        <v>5084</v>
      </c>
      <c r="AV1299" t="s">
        <v>5089</v>
      </c>
      <c r="AW1299" t="s">
        <v>5090</v>
      </c>
    </row>
    <row r="1300" spans="1:49" x14ac:dyDescent="0.35">
      <c r="A1300" t="s">
        <v>4105</v>
      </c>
      <c r="B1300" t="s">
        <v>4106</v>
      </c>
      <c r="C1300" t="s">
        <v>4818</v>
      </c>
      <c r="D1300" t="s">
        <v>18</v>
      </c>
      <c r="E1300" t="s">
        <v>4722</v>
      </c>
      <c r="F1300" t="s">
        <v>4723</v>
      </c>
      <c r="G1300" t="s">
        <v>21</v>
      </c>
      <c r="H1300" t="s">
        <v>4826</v>
      </c>
      <c r="I1300" t="s">
        <v>5028</v>
      </c>
      <c r="J1300" s="4" t="s">
        <v>5029</v>
      </c>
      <c r="K1300" s="4" t="s">
        <v>5033</v>
      </c>
      <c r="L1300" s="4" t="s">
        <v>4946</v>
      </c>
      <c r="M1300" s="4" t="s">
        <v>5035</v>
      </c>
      <c r="N1300" t="s">
        <v>15</v>
      </c>
      <c r="O1300" t="s">
        <v>4724</v>
      </c>
      <c r="P1300" t="s">
        <v>23</v>
      </c>
      <c r="Q1300" t="s">
        <v>24</v>
      </c>
      <c r="R1300" t="s">
        <v>25</v>
      </c>
      <c r="S1300" t="s">
        <v>26</v>
      </c>
      <c r="T1300" s="6">
        <v>46307</v>
      </c>
      <c r="U1300">
        <v>312</v>
      </c>
      <c r="V1300">
        <v>312</v>
      </c>
      <c r="W1300">
        <v>312</v>
      </c>
      <c r="X1300">
        <v>312</v>
      </c>
      <c r="Y1300">
        <f t="shared" si="208"/>
        <v>0</v>
      </c>
      <c r="Z1300">
        <f t="shared" si="209"/>
        <v>0</v>
      </c>
      <c r="AC1300" s="1">
        <v>0</v>
      </c>
      <c r="AF1300">
        <f t="shared" si="213"/>
        <v>312</v>
      </c>
      <c r="AG1300" s="7">
        <v>12</v>
      </c>
      <c r="AH1300">
        <f t="shared" si="210"/>
        <v>312</v>
      </c>
      <c r="AI1300">
        <f t="shared" si="207"/>
        <v>0</v>
      </c>
      <c r="AK1300">
        <f t="shared" si="211"/>
        <v>26</v>
      </c>
      <c r="AL1300">
        <v>12.09</v>
      </c>
      <c r="AM1300" t="s">
        <v>27</v>
      </c>
      <c r="AN1300">
        <v>12.09</v>
      </c>
      <c r="AO1300" t="b">
        <f t="shared" si="212"/>
        <v>1</v>
      </c>
      <c r="AR1300" t="s">
        <v>5061</v>
      </c>
      <c r="AS1300" s="21">
        <v>46276</v>
      </c>
      <c r="AT1300" t="s">
        <v>5062</v>
      </c>
      <c r="AU1300" t="s">
        <v>5084</v>
      </c>
      <c r="AV1300" t="s">
        <v>5089</v>
      </c>
      <c r="AW1300" t="s">
        <v>5090</v>
      </c>
    </row>
    <row r="1301" spans="1:49" x14ac:dyDescent="0.35">
      <c r="A1301" t="s">
        <v>4105</v>
      </c>
      <c r="B1301" t="s">
        <v>4106</v>
      </c>
      <c r="C1301" t="s">
        <v>4818</v>
      </c>
      <c r="D1301" t="s">
        <v>18</v>
      </c>
      <c r="E1301" t="s">
        <v>4725</v>
      </c>
      <c r="F1301" t="s">
        <v>4726</v>
      </c>
      <c r="G1301" t="s">
        <v>21</v>
      </c>
      <c r="H1301" t="s">
        <v>4826</v>
      </c>
      <c r="I1301" t="s">
        <v>5030</v>
      </c>
      <c r="J1301" s="4" t="s">
        <v>5031</v>
      </c>
      <c r="K1301" s="4" t="s">
        <v>5032</v>
      </c>
      <c r="L1301" s="4" t="s">
        <v>4967</v>
      </c>
      <c r="M1301" s="4" t="s">
        <v>5035</v>
      </c>
      <c r="N1301" t="s">
        <v>15</v>
      </c>
      <c r="O1301" t="s">
        <v>4727</v>
      </c>
      <c r="P1301" t="s">
        <v>23</v>
      </c>
      <c r="Q1301" t="s">
        <v>24</v>
      </c>
      <c r="R1301" t="s">
        <v>25</v>
      </c>
      <c r="S1301" t="s">
        <v>26</v>
      </c>
      <c r="T1301" s="6">
        <v>46307</v>
      </c>
      <c r="U1301">
        <v>12</v>
      </c>
      <c r="V1301">
        <v>12</v>
      </c>
      <c r="W1301">
        <v>12</v>
      </c>
      <c r="X1301">
        <v>12</v>
      </c>
      <c r="Y1301">
        <f t="shared" si="208"/>
        <v>0</v>
      </c>
      <c r="Z1301">
        <f t="shared" si="209"/>
        <v>0</v>
      </c>
      <c r="AC1301" s="1">
        <v>0</v>
      </c>
      <c r="AF1301">
        <f t="shared" si="213"/>
        <v>12</v>
      </c>
      <c r="AG1301" s="7">
        <v>12</v>
      </c>
      <c r="AH1301">
        <f t="shared" si="210"/>
        <v>12</v>
      </c>
      <c r="AI1301">
        <f t="shared" si="207"/>
        <v>0</v>
      </c>
      <c r="AK1301">
        <f t="shared" si="211"/>
        <v>1</v>
      </c>
      <c r="AL1301">
        <v>12.02</v>
      </c>
      <c r="AM1301" t="s">
        <v>27</v>
      </c>
      <c r="AN1301">
        <v>12.02</v>
      </c>
      <c r="AO1301" t="b">
        <f t="shared" si="212"/>
        <v>1</v>
      </c>
      <c r="AR1301" t="s">
        <v>5061</v>
      </c>
      <c r="AS1301" s="21">
        <v>46276</v>
      </c>
      <c r="AT1301" t="s">
        <v>5062</v>
      </c>
      <c r="AU1301" t="s">
        <v>5085</v>
      </c>
      <c r="AV1301" t="s">
        <v>5089</v>
      </c>
      <c r="AW1301" t="s">
        <v>5090</v>
      </c>
    </row>
    <row r="1302" spans="1:49" x14ac:dyDescent="0.35">
      <c r="A1302" t="s">
        <v>4105</v>
      </c>
      <c r="B1302" t="s">
        <v>4106</v>
      </c>
      <c r="C1302" t="s">
        <v>4818</v>
      </c>
      <c r="D1302" t="s">
        <v>18</v>
      </c>
      <c r="E1302" t="s">
        <v>4728</v>
      </c>
      <c r="F1302" t="s">
        <v>4729</v>
      </c>
      <c r="G1302" t="s">
        <v>21</v>
      </c>
      <c r="H1302" t="s">
        <v>4826</v>
      </c>
      <c r="I1302" t="s">
        <v>5030</v>
      </c>
      <c r="J1302" s="4" t="s">
        <v>5031</v>
      </c>
      <c r="K1302" s="4" t="s">
        <v>5033</v>
      </c>
      <c r="L1302" s="4" t="s">
        <v>4971</v>
      </c>
      <c r="M1302" s="4" t="s">
        <v>5035</v>
      </c>
      <c r="N1302" t="s">
        <v>15</v>
      </c>
      <c r="O1302" t="s">
        <v>4730</v>
      </c>
      <c r="P1302" t="s">
        <v>23</v>
      </c>
      <c r="Q1302" t="s">
        <v>24</v>
      </c>
      <c r="R1302" t="s">
        <v>25</v>
      </c>
      <c r="S1302" t="s">
        <v>26</v>
      </c>
      <c r="T1302" s="6">
        <v>46307</v>
      </c>
      <c r="U1302">
        <v>60</v>
      </c>
      <c r="V1302">
        <v>60</v>
      </c>
      <c r="W1302">
        <v>60</v>
      </c>
      <c r="X1302">
        <v>60</v>
      </c>
      <c r="Y1302">
        <f t="shared" si="208"/>
        <v>0</v>
      </c>
      <c r="Z1302">
        <f t="shared" si="209"/>
        <v>0</v>
      </c>
      <c r="AC1302" s="1">
        <v>0</v>
      </c>
      <c r="AF1302">
        <f t="shared" si="213"/>
        <v>60</v>
      </c>
      <c r="AG1302" s="7">
        <v>12</v>
      </c>
      <c r="AH1302">
        <f t="shared" si="210"/>
        <v>60</v>
      </c>
      <c r="AI1302">
        <f t="shared" si="207"/>
        <v>0</v>
      </c>
      <c r="AK1302">
        <f t="shared" si="211"/>
        <v>5</v>
      </c>
      <c r="AL1302">
        <v>12.02</v>
      </c>
      <c r="AM1302" t="s">
        <v>27</v>
      </c>
      <c r="AN1302">
        <v>12.02</v>
      </c>
      <c r="AO1302" t="b">
        <f t="shared" si="212"/>
        <v>1</v>
      </c>
      <c r="AR1302" t="s">
        <v>5061</v>
      </c>
      <c r="AS1302" s="21">
        <v>46276</v>
      </c>
      <c r="AT1302" t="s">
        <v>5062</v>
      </c>
      <c r="AU1302" t="s">
        <v>5085</v>
      </c>
      <c r="AV1302" t="s">
        <v>5089</v>
      </c>
      <c r="AW1302" t="s">
        <v>5090</v>
      </c>
    </row>
    <row r="1303" spans="1:49" x14ac:dyDescent="0.35">
      <c r="A1303" t="s">
        <v>4105</v>
      </c>
      <c r="B1303" t="s">
        <v>4106</v>
      </c>
      <c r="C1303" t="s">
        <v>4818</v>
      </c>
      <c r="D1303" t="s">
        <v>18</v>
      </c>
      <c r="E1303" t="s">
        <v>4731</v>
      </c>
      <c r="F1303" t="s">
        <v>4732</v>
      </c>
      <c r="G1303" t="s">
        <v>21</v>
      </c>
      <c r="H1303" t="s">
        <v>4826</v>
      </c>
      <c r="I1303" t="s">
        <v>5030</v>
      </c>
      <c r="J1303" s="4" t="s">
        <v>5031</v>
      </c>
      <c r="K1303" s="4" t="s">
        <v>4832</v>
      </c>
      <c r="L1303" s="4" t="s">
        <v>4949</v>
      </c>
      <c r="M1303" s="4" t="s">
        <v>5035</v>
      </c>
      <c r="N1303" t="s">
        <v>15</v>
      </c>
      <c r="O1303" t="s">
        <v>4733</v>
      </c>
      <c r="P1303" t="s">
        <v>23</v>
      </c>
      <c r="Q1303" t="s">
        <v>24</v>
      </c>
      <c r="R1303" t="s">
        <v>25</v>
      </c>
      <c r="S1303" t="s">
        <v>26</v>
      </c>
      <c r="T1303" s="6">
        <v>46307</v>
      </c>
      <c r="U1303">
        <v>48</v>
      </c>
      <c r="V1303">
        <v>48</v>
      </c>
      <c r="W1303">
        <v>48</v>
      </c>
      <c r="X1303">
        <v>48</v>
      </c>
      <c r="Y1303">
        <f t="shared" si="208"/>
        <v>0</v>
      </c>
      <c r="Z1303">
        <f t="shared" si="209"/>
        <v>0</v>
      </c>
      <c r="AC1303" s="1">
        <v>0</v>
      </c>
      <c r="AF1303">
        <f t="shared" si="213"/>
        <v>48</v>
      </c>
      <c r="AG1303" s="7">
        <v>12</v>
      </c>
      <c r="AH1303">
        <f t="shared" si="210"/>
        <v>48</v>
      </c>
      <c r="AI1303">
        <f t="shared" si="207"/>
        <v>0</v>
      </c>
      <c r="AK1303">
        <f t="shared" si="211"/>
        <v>4</v>
      </c>
      <c r="AL1303">
        <v>12.02</v>
      </c>
      <c r="AM1303" t="s">
        <v>27</v>
      </c>
      <c r="AN1303">
        <v>12.02</v>
      </c>
      <c r="AO1303" t="b">
        <f t="shared" si="212"/>
        <v>1</v>
      </c>
      <c r="AR1303" t="s">
        <v>5061</v>
      </c>
      <c r="AS1303" s="21">
        <v>46276</v>
      </c>
      <c r="AT1303" t="s">
        <v>5062</v>
      </c>
      <c r="AU1303" t="s">
        <v>5085</v>
      </c>
      <c r="AV1303" t="s">
        <v>5089</v>
      </c>
      <c r="AW1303" t="s">
        <v>5090</v>
      </c>
    </row>
    <row r="1304" spans="1:49" x14ac:dyDescent="0.35">
      <c r="A1304" t="s">
        <v>4105</v>
      </c>
      <c r="B1304" t="s">
        <v>4106</v>
      </c>
      <c r="C1304" t="s">
        <v>4818</v>
      </c>
      <c r="D1304" t="s">
        <v>18</v>
      </c>
      <c r="E1304" t="s">
        <v>4734</v>
      </c>
      <c r="F1304" t="s">
        <v>4735</v>
      </c>
      <c r="G1304" t="s">
        <v>21</v>
      </c>
      <c r="H1304" t="s">
        <v>4826</v>
      </c>
      <c r="I1304" t="s">
        <v>5030</v>
      </c>
      <c r="J1304" s="4" t="s">
        <v>5031</v>
      </c>
      <c r="K1304" s="4" t="s">
        <v>5034</v>
      </c>
      <c r="L1304" s="4" t="s">
        <v>4948</v>
      </c>
      <c r="M1304" s="4" t="s">
        <v>5035</v>
      </c>
      <c r="N1304" t="s">
        <v>15</v>
      </c>
      <c r="O1304" t="s">
        <v>4736</v>
      </c>
      <c r="P1304" t="s">
        <v>23</v>
      </c>
      <c r="Q1304" t="s">
        <v>24</v>
      </c>
      <c r="R1304" t="s">
        <v>25</v>
      </c>
      <c r="S1304" t="s">
        <v>26</v>
      </c>
      <c r="T1304" s="6">
        <v>46307</v>
      </c>
      <c r="U1304">
        <v>24</v>
      </c>
      <c r="V1304">
        <v>24</v>
      </c>
      <c r="W1304">
        <v>24</v>
      </c>
      <c r="X1304">
        <v>24</v>
      </c>
      <c r="Y1304">
        <f t="shared" si="208"/>
        <v>0</v>
      </c>
      <c r="Z1304">
        <f t="shared" si="209"/>
        <v>0</v>
      </c>
      <c r="AC1304" s="1">
        <v>0</v>
      </c>
      <c r="AF1304">
        <f t="shared" si="213"/>
        <v>24</v>
      </c>
      <c r="AG1304" s="7">
        <v>12</v>
      </c>
      <c r="AH1304">
        <f t="shared" si="210"/>
        <v>24</v>
      </c>
      <c r="AI1304">
        <f t="shared" si="207"/>
        <v>0</v>
      </c>
      <c r="AK1304">
        <f t="shared" si="211"/>
        <v>2</v>
      </c>
      <c r="AL1304">
        <v>12.02</v>
      </c>
      <c r="AM1304" t="s">
        <v>27</v>
      </c>
      <c r="AN1304">
        <v>12.02</v>
      </c>
      <c r="AO1304" t="b">
        <f t="shared" si="212"/>
        <v>1</v>
      </c>
      <c r="AR1304" t="s">
        <v>5061</v>
      </c>
      <c r="AS1304" s="21">
        <v>46276</v>
      </c>
      <c r="AT1304" t="s">
        <v>5062</v>
      </c>
      <c r="AU1304" t="s">
        <v>5085</v>
      </c>
      <c r="AV1304" t="s">
        <v>5089</v>
      </c>
      <c r="AW1304" t="s">
        <v>5090</v>
      </c>
    </row>
    <row r="1305" spans="1:49" x14ac:dyDescent="0.35">
      <c r="A1305" t="s">
        <v>4105</v>
      </c>
      <c r="B1305" t="s">
        <v>4106</v>
      </c>
      <c r="C1305" t="s">
        <v>4818</v>
      </c>
      <c r="D1305" t="s">
        <v>18</v>
      </c>
      <c r="E1305" t="s">
        <v>4737</v>
      </c>
      <c r="F1305" t="s">
        <v>4738</v>
      </c>
      <c r="G1305" t="s">
        <v>21</v>
      </c>
      <c r="H1305" t="s">
        <v>4826</v>
      </c>
      <c r="I1305" t="s">
        <v>5028</v>
      </c>
      <c r="J1305" s="4" t="s">
        <v>5029</v>
      </c>
      <c r="K1305" s="4" t="s">
        <v>4832</v>
      </c>
      <c r="L1305" s="4" t="s">
        <v>4953</v>
      </c>
      <c r="M1305" s="4" t="s">
        <v>5035</v>
      </c>
      <c r="N1305" t="s">
        <v>15</v>
      </c>
      <c r="O1305" t="s">
        <v>4739</v>
      </c>
      <c r="P1305" t="s">
        <v>23</v>
      </c>
      <c r="Q1305" t="s">
        <v>24</v>
      </c>
      <c r="R1305" t="s">
        <v>25</v>
      </c>
      <c r="S1305" t="s">
        <v>26</v>
      </c>
      <c r="T1305" s="6">
        <v>46307</v>
      </c>
      <c r="U1305">
        <v>24</v>
      </c>
      <c r="V1305">
        <v>24</v>
      </c>
      <c r="W1305">
        <v>24</v>
      </c>
      <c r="X1305">
        <v>24</v>
      </c>
      <c r="Y1305">
        <f t="shared" si="208"/>
        <v>0</v>
      </c>
      <c r="Z1305">
        <f t="shared" si="209"/>
        <v>0</v>
      </c>
      <c r="AC1305" s="1">
        <v>0</v>
      </c>
      <c r="AF1305">
        <f t="shared" si="213"/>
        <v>24</v>
      </c>
      <c r="AG1305" s="7">
        <v>12</v>
      </c>
      <c r="AH1305">
        <f t="shared" si="210"/>
        <v>24</v>
      </c>
      <c r="AI1305">
        <f t="shared" si="207"/>
        <v>0</v>
      </c>
      <c r="AK1305">
        <f t="shared" si="211"/>
        <v>2</v>
      </c>
      <c r="AL1305">
        <v>12.09</v>
      </c>
      <c r="AM1305" t="s">
        <v>27</v>
      </c>
      <c r="AN1305">
        <v>12.09</v>
      </c>
      <c r="AO1305" t="b">
        <f t="shared" si="212"/>
        <v>1</v>
      </c>
      <c r="AR1305" t="s">
        <v>5061</v>
      </c>
      <c r="AS1305" s="21">
        <v>46276</v>
      </c>
      <c r="AT1305" t="s">
        <v>5062</v>
      </c>
      <c r="AU1305" t="s">
        <v>5084</v>
      </c>
      <c r="AV1305" t="s">
        <v>5089</v>
      </c>
      <c r="AW1305" t="s">
        <v>5090</v>
      </c>
    </row>
    <row r="1306" spans="1:49" x14ac:dyDescent="0.35">
      <c r="A1306" t="s">
        <v>4105</v>
      </c>
      <c r="B1306" t="s">
        <v>4106</v>
      </c>
      <c r="C1306" t="s">
        <v>4818</v>
      </c>
      <c r="D1306" t="s">
        <v>18</v>
      </c>
      <c r="E1306" t="s">
        <v>4740</v>
      </c>
      <c r="F1306" t="s">
        <v>4741</v>
      </c>
      <c r="G1306" t="s">
        <v>21</v>
      </c>
      <c r="H1306" t="s">
        <v>4826</v>
      </c>
      <c r="I1306" t="s">
        <v>5030</v>
      </c>
      <c r="J1306" s="4" t="s">
        <v>5031</v>
      </c>
      <c r="K1306" s="4" t="s">
        <v>5034</v>
      </c>
      <c r="L1306" s="4" t="s">
        <v>4940</v>
      </c>
      <c r="M1306" s="4" t="s">
        <v>5035</v>
      </c>
      <c r="N1306" t="s">
        <v>15</v>
      </c>
      <c r="O1306" t="s">
        <v>4742</v>
      </c>
      <c r="P1306" t="s">
        <v>23</v>
      </c>
      <c r="Q1306" t="s">
        <v>24</v>
      </c>
      <c r="R1306" t="s">
        <v>25</v>
      </c>
      <c r="S1306" t="s">
        <v>26</v>
      </c>
      <c r="T1306" s="6">
        <v>46307</v>
      </c>
      <c r="U1306">
        <v>60</v>
      </c>
      <c r="V1306">
        <v>60</v>
      </c>
      <c r="W1306">
        <v>72</v>
      </c>
      <c r="X1306">
        <v>72</v>
      </c>
      <c r="Y1306">
        <f t="shared" si="208"/>
        <v>0</v>
      </c>
      <c r="Z1306">
        <f t="shared" si="209"/>
        <v>-12</v>
      </c>
      <c r="AC1306" s="1">
        <v>0</v>
      </c>
      <c r="AF1306">
        <f t="shared" si="213"/>
        <v>60</v>
      </c>
      <c r="AG1306" s="7">
        <v>12</v>
      </c>
      <c r="AH1306">
        <f t="shared" si="210"/>
        <v>60</v>
      </c>
      <c r="AI1306">
        <f t="shared" si="207"/>
        <v>0</v>
      </c>
      <c r="AK1306">
        <f t="shared" si="211"/>
        <v>5</v>
      </c>
      <c r="AL1306">
        <v>12.02</v>
      </c>
      <c r="AM1306" t="s">
        <v>27</v>
      </c>
      <c r="AN1306">
        <v>12.02</v>
      </c>
      <c r="AO1306" t="b">
        <f t="shared" si="212"/>
        <v>1</v>
      </c>
      <c r="AR1306" t="s">
        <v>5061</v>
      </c>
      <c r="AS1306" s="21">
        <v>46276</v>
      </c>
      <c r="AT1306" t="s">
        <v>5062</v>
      </c>
      <c r="AU1306" t="s">
        <v>5085</v>
      </c>
      <c r="AV1306" t="s">
        <v>5089</v>
      </c>
      <c r="AW1306" t="s">
        <v>5090</v>
      </c>
    </row>
    <row r="1307" spans="1:49" x14ac:dyDescent="0.35">
      <c r="A1307" t="s">
        <v>4105</v>
      </c>
      <c r="B1307" t="s">
        <v>4106</v>
      </c>
      <c r="C1307" t="s">
        <v>4818</v>
      </c>
      <c r="D1307" t="s">
        <v>18</v>
      </c>
      <c r="E1307" t="s">
        <v>4743</v>
      </c>
      <c r="F1307" t="s">
        <v>4744</v>
      </c>
      <c r="G1307" t="s">
        <v>21</v>
      </c>
      <c r="H1307" t="s">
        <v>4826</v>
      </c>
      <c r="I1307" t="s">
        <v>5030</v>
      </c>
      <c r="J1307" s="4" t="s">
        <v>5031</v>
      </c>
      <c r="K1307" s="4" t="s">
        <v>5032</v>
      </c>
      <c r="L1307" s="4" t="s">
        <v>4948</v>
      </c>
      <c r="M1307" s="4" t="s">
        <v>5035</v>
      </c>
      <c r="N1307" t="s">
        <v>15</v>
      </c>
      <c r="O1307" t="s">
        <v>4745</v>
      </c>
      <c r="P1307" t="s">
        <v>23</v>
      </c>
      <c r="Q1307" t="s">
        <v>24</v>
      </c>
      <c r="R1307" t="s">
        <v>25</v>
      </c>
      <c r="S1307" t="s">
        <v>26</v>
      </c>
      <c r="T1307" s="6">
        <v>46307</v>
      </c>
      <c r="U1307">
        <v>24</v>
      </c>
      <c r="V1307">
        <v>24</v>
      </c>
      <c r="W1307">
        <v>24</v>
      </c>
      <c r="X1307">
        <v>24</v>
      </c>
      <c r="Y1307">
        <f t="shared" si="208"/>
        <v>0</v>
      </c>
      <c r="Z1307">
        <f t="shared" si="209"/>
        <v>0</v>
      </c>
      <c r="AC1307" s="1">
        <v>0</v>
      </c>
      <c r="AF1307">
        <f t="shared" si="213"/>
        <v>24</v>
      </c>
      <c r="AG1307" s="7">
        <v>12</v>
      </c>
      <c r="AH1307">
        <f t="shared" si="210"/>
        <v>24</v>
      </c>
      <c r="AI1307">
        <f t="shared" si="207"/>
        <v>0</v>
      </c>
      <c r="AK1307">
        <f t="shared" si="211"/>
        <v>2</v>
      </c>
      <c r="AL1307">
        <v>12.02</v>
      </c>
      <c r="AM1307" t="s">
        <v>27</v>
      </c>
      <c r="AN1307">
        <v>12.02</v>
      </c>
      <c r="AO1307" t="b">
        <f t="shared" si="212"/>
        <v>1</v>
      </c>
      <c r="AR1307" t="s">
        <v>5061</v>
      </c>
      <c r="AS1307" s="21">
        <v>46276</v>
      </c>
      <c r="AT1307" t="s">
        <v>5062</v>
      </c>
      <c r="AU1307" t="s">
        <v>5085</v>
      </c>
      <c r="AV1307" t="s">
        <v>5089</v>
      </c>
      <c r="AW1307" t="s">
        <v>5090</v>
      </c>
    </row>
    <row r="1308" spans="1:49" x14ac:dyDescent="0.35">
      <c r="A1308" t="s">
        <v>4105</v>
      </c>
      <c r="B1308" t="s">
        <v>4106</v>
      </c>
      <c r="C1308" t="s">
        <v>4818</v>
      </c>
      <c r="D1308" t="s">
        <v>18</v>
      </c>
      <c r="E1308" t="s">
        <v>4746</v>
      </c>
      <c r="F1308" t="s">
        <v>4747</v>
      </c>
      <c r="G1308" t="s">
        <v>21</v>
      </c>
      <c r="H1308" t="s">
        <v>4826</v>
      </c>
      <c r="I1308" t="s">
        <v>5030</v>
      </c>
      <c r="J1308" s="4" t="s">
        <v>5031</v>
      </c>
      <c r="K1308" s="4" t="s">
        <v>4837</v>
      </c>
      <c r="L1308" s="4" t="s">
        <v>4949</v>
      </c>
      <c r="M1308" s="4" t="s">
        <v>5035</v>
      </c>
      <c r="N1308" t="s">
        <v>15</v>
      </c>
      <c r="O1308" t="s">
        <v>4748</v>
      </c>
      <c r="P1308" t="s">
        <v>23</v>
      </c>
      <c r="Q1308" t="s">
        <v>24</v>
      </c>
      <c r="R1308" t="s">
        <v>25</v>
      </c>
      <c r="S1308" t="s">
        <v>26</v>
      </c>
      <c r="T1308" s="6">
        <v>46307</v>
      </c>
      <c r="U1308">
        <v>168</v>
      </c>
      <c r="V1308">
        <v>168</v>
      </c>
      <c r="W1308">
        <v>180</v>
      </c>
      <c r="X1308">
        <v>180</v>
      </c>
      <c r="Y1308">
        <f t="shared" si="208"/>
        <v>0</v>
      </c>
      <c r="Z1308">
        <f t="shared" si="209"/>
        <v>-12</v>
      </c>
      <c r="AC1308" s="1"/>
      <c r="AF1308">
        <f t="shared" si="213"/>
        <v>168</v>
      </c>
      <c r="AG1308" s="7">
        <v>12</v>
      </c>
      <c r="AH1308">
        <f t="shared" si="210"/>
        <v>168</v>
      </c>
      <c r="AI1308">
        <f t="shared" si="207"/>
        <v>0</v>
      </c>
      <c r="AK1308">
        <f t="shared" si="211"/>
        <v>14</v>
      </c>
      <c r="AL1308">
        <v>12.02</v>
      </c>
      <c r="AM1308" t="s">
        <v>27</v>
      </c>
      <c r="AN1308">
        <v>12.02</v>
      </c>
      <c r="AO1308" t="b">
        <f t="shared" si="212"/>
        <v>1</v>
      </c>
      <c r="AR1308" t="s">
        <v>5061</v>
      </c>
      <c r="AS1308" s="21">
        <v>46276</v>
      </c>
      <c r="AT1308" t="s">
        <v>5062</v>
      </c>
      <c r="AU1308" t="s">
        <v>5085</v>
      </c>
      <c r="AV1308" t="s">
        <v>5089</v>
      </c>
      <c r="AW1308" t="s">
        <v>5090</v>
      </c>
    </row>
    <row r="1309" spans="1:49" x14ac:dyDescent="0.35">
      <c r="A1309" t="s">
        <v>4105</v>
      </c>
      <c r="B1309" t="s">
        <v>4106</v>
      </c>
      <c r="C1309" t="s">
        <v>4818</v>
      </c>
      <c r="D1309" t="s">
        <v>18</v>
      </c>
      <c r="E1309" t="s">
        <v>4749</v>
      </c>
      <c r="F1309" t="s">
        <v>4750</v>
      </c>
      <c r="G1309" t="s">
        <v>21</v>
      </c>
      <c r="H1309" t="s">
        <v>4826</v>
      </c>
      <c r="I1309" t="s">
        <v>5028</v>
      </c>
      <c r="J1309" s="4" t="s">
        <v>5029</v>
      </c>
      <c r="K1309" s="4" t="s">
        <v>4832</v>
      </c>
      <c r="L1309" s="4" t="s">
        <v>4970</v>
      </c>
      <c r="M1309" s="4" t="s">
        <v>5035</v>
      </c>
      <c r="N1309" t="s">
        <v>15</v>
      </c>
      <c r="O1309" t="s">
        <v>4751</v>
      </c>
      <c r="P1309" t="s">
        <v>23</v>
      </c>
      <c r="Q1309" t="s">
        <v>24</v>
      </c>
      <c r="R1309" t="s">
        <v>25</v>
      </c>
      <c r="S1309" t="s">
        <v>26</v>
      </c>
      <c r="T1309" s="6">
        <v>46307</v>
      </c>
      <c r="U1309">
        <v>48</v>
      </c>
      <c r="V1309">
        <v>48</v>
      </c>
      <c r="W1309">
        <v>48</v>
      </c>
      <c r="X1309">
        <v>48</v>
      </c>
      <c r="Y1309">
        <f t="shared" si="208"/>
        <v>0</v>
      </c>
      <c r="Z1309">
        <f t="shared" si="209"/>
        <v>0</v>
      </c>
      <c r="AC1309" s="1">
        <v>0</v>
      </c>
      <c r="AF1309">
        <f t="shared" si="213"/>
        <v>48</v>
      </c>
      <c r="AG1309" s="7">
        <v>12</v>
      </c>
      <c r="AH1309">
        <f t="shared" si="210"/>
        <v>48</v>
      </c>
      <c r="AI1309">
        <f t="shared" si="207"/>
        <v>0</v>
      </c>
      <c r="AK1309">
        <f t="shared" si="211"/>
        <v>4</v>
      </c>
      <c r="AL1309">
        <v>12.09</v>
      </c>
      <c r="AM1309" t="s">
        <v>27</v>
      </c>
      <c r="AN1309">
        <v>12.09</v>
      </c>
      <c r="AO1309" t="b">
        <f t="shared" si="212"/>
        <v>1</v>
      </c>
      <c r="AR1309" t="s">
        <v>5061</v>
      </c>
      <c r="AS1309" s="21">
        <v>46276</v>
      </c>
      <c r="AT1309" t="s">
        <v>5062</v>
      </c>
      <c r="AU1309" t="s">
        <v>5084</v>
      </c>
      <c r="AV1309" t="s">
        <v>5089</v>
      </c>
      <c r="AW1309" t="s">
        <v>5090</v>
      </c>
    </row>
    <row r="1310" spans="1:49" x14ac:dyDescent="0.35">
      <c r="A1310" t="s">
        <v>4105</v>
      </c>
      <c r="B1310" t="s">
        <v>4106</v>
      </c>
      <c r="C1310" t="s">
        <v>4818</v>
      </c>
      <c r="D1310" t="s">
        <v>18</v>
      </c>
      <c r="E1310" t="s">
        <v>4752</v>
      </c>
      <c r="F1310" t="s">
        <v>4753</v>
      </c>
      <c r="G1310" t="s">
        <v>21</v>
      </c>
      <c r="H1310" t="s">
        <v>4826</v>
      </c>
      <c r="I1310" t="s">
        <v>5030</v>
      </c>
      <c r="J1310" s="4" t="s">
        <v>5031</v>
      </c>
      <c r="K1310" s="4" t="s">
        <v>4845</v>
      </c>
      <c r="L1310" s="4" t="s">
        <v>4959</v>
      </c>
      <c r="M1310" s="4" t="s">
        <v>5035</v>
      </c>
      <c r="N1310" t="s">
        <v>15</v>
      </c>
      <c r="O1310" t="s">
        <v>4754</v>
      </c>
      <c r="P1310" t="s">
        <v>23</v>
      </c>
      <c r="Q1310" t="s">
        <v>24</v>
      </c>
      <c r="R1310" t="s">
        <v>25</v>
      </c>
      <c r="S1310" t="s">
        <v>26</v>
      </c>
      <c r="T1310" s="6">
        <v>46307</v>
      </c>
      <c r="U1310">
        <v>24</v>
      </c>
      <c r="V1310">
        <v>24</v>
      </c>
      <c r="W1310">
        <v>24</v>
      </c>
      <c r="X1310">
        <v>24</v>
      </c>
      <c r="Y1310">
        <f t="shared" si="208"/>
        <v>0</v>
      </c>
      <c r="Z1310">
        <f t="shared" si="209"/>
        <v>0</v>
      </c>
      <c r="AC1310" s="1">
        <v>0</v>
      </c>
      <c r="AF1310">
        <f t="shared" si="213"/>
        <v>24</v>
      </c>
      <c r="AG1310" s="7">
        <v>12</v>
      </c>
      <c r="AH1310">
        <f t="shared" si="210"/>
        <v>24</v>
      </c>
      <c r="AI1310">
        <f t="shared" si="207"/>
        <v>0</v>
      </c>
      <c r="AK1310">
        <f t="shared" si="211"/>
        <v>2</v>
      </c>
      <c r="AL1310">
        <v>12.02</v>
      </c>
      <c r="AM1310" t="s">
        <v>27</v>
      </c>
      <c r="AN1310">
        <v>12.02</v>
      </c>
      <c r="AO1310" t="b">
        <f t="shared" si="212"/>
        <v>1</v>
      </c>
      <c r="AR1310" t="s">
        <v>5061</v>
      </c>
      <c r="AS1310" s="21">
        <v>46276</v>
      </c>
      <c r="AT1310" t="s">
        <v>5062</v>
      </c>
      <c r="AU1310" t="s">
        <v>5085</v>
      </c>
      <c r="AV1310" t="s">
        <v>5089</v>
      </c>
      <c r="AW1310" t="s">
        <v>5090</v>
      </c>
    </row>
    <row r="1311" spans="1:49" x14ac:dyDescent="0.35">
      <c r="A1311" t="s">
        <v>4105</v>
      </c>
      <c r="B1311" t="s">
        <v>4106</v>
      </c>
      <c r="C1311" t="s">
        <v>4818</v>
      </c>
      <c r="D1311" t="s">
        <v>18</v>
      </c>
      <c r="E1311" t="s">
        <v>4755</v>
      </c>
      <c r="F1311" t="s">
        <v>4756</v>
      </c>
      <c r="G1311" t="s">
        <v>21</v>
      </c>
      <c r="H1311" t="s">
        <v>4826</v>
      </c>
      <c r="I1311" t="s">
        <v>5028</v>
      </c>
      <c r="J1311" s="4" t="s">
        <v>5029</v>
      </c>
      <c r="K1311" s="4" t="s">
        <v>5033</v>
      </c>
      <c r="L1311" s="4" t="s">
        <v>4940</v>
      </c>
      <c r="M1311" s="4" t="s">
        <v>5035</v>
      </c>
      <c r="N1311" t="s">
        <v>15</v>
      </c>
      <c r="O1311" t="s">
        <v>4757</v>
      </c>
      <c r="P1311" t="s">
        <v>23</v>
      </c>
      <c r="Q1311" t="s">
        <v>24</v>
      </c>
      <c r="R1311" t="s">
        <v>25</v>
      </c>
      <c r="S1311" t="s">
        <v>26</v>
      </c>
      <c r="T1311" s="6">
        <v>46307</v>
      </c>
      <c r="U1311">
        <v>60</v>
      </c>
      <c r="V1311">
        <v>60</v>
      </c>
      <c r="W1311">
        <v>72</v>
      </c>
      <c r="X1311">
        <v>72</v>
      </c>
      <c r="Y1311">
        <f t="shared" si="208"/>
        <v>0</v>
      </c>
      <c r="Z1311">
        <f t="shared" si="209"/>
        <v>-12</v>
      </c>
      <c r="AC1311" s="1">
        <v>0</v>
      </c>
      <c r="AF1311">
        <f t="shared" si="213"/>
        <v>60</v>
      </c>
      <c r="AG1311" s="7">
        <v>12</v>
      </c>
      <c r="AH1311">
        <f t="shared" si="210"/>
        <v>60</v>
      </c>
      <c r="AI1311">
        <f t="shared" si="207"/>
        <v>0</v>
      </c>
      <c r="AK1311">
        <f t="shared" si="211"/>
        <v>5</v>
      </c>
      <c r="AL1311">
        <v>12.09</v>
      </c>
      <c r="AM1311" t="s">
        <v>27</v>
      </c>
      <c r="AN1311">
        <v>12.09</v>
      </c>
      <c r="AO1311" t="b">
        <f t="shared" si="212"/>
        <v>1</v>
      </c>
      <c r="AR1311" t="s">
        <v>5061</v>
      </c>
      <c r="AS1311" s="21">
        <v>46276</v>
      </c>
      <c r="AT1311" t="s">
        <v>5062</v>
      </c>
      <c r="AU1311" t="s">
        <v>5084</v>
      </c>
      <c r="AV1311" t="s">
        <v>5089</v>
      </c>
      <c r="AW1311" t="s">
        <v>5090</v>
      </c>
    </row>
    <row r="1312" spans="1:49" x14ac:dyDescent="0.35">
      <c r="A1312" t="s">
        <v>4105</v>
      </c>
      <c r="B1312" t="s">
        <v>4106</v>
      </c>
      <c r="C1312" t="s">
        <v>4818</v>
      </c>
      <c r="D1312" t="s">
        <v>18</v>
      </c>
      <c r="E1312" t="s">
        <v>4758</v>
      </c>
      <c r="F1312" t="s">
        <v>4759</v>
      </c>
      <c r="G1312" t="s">
        <v>21</v>
      </c>
      <c r="H1312" t="s">
        <v>4826</v>
      </c>
      <c r="I1312" t="s">
        <v>5030</v>
      </c>
      <c r="J1312" s="4" t="s">
        <v>5031</v>
      </c>
      <c r="K1312" s="4" t="s">
        <v>5034</v>
      </c>
      <c r="L1312" s="4" t="s">
        <v>4962</v>
      </c>
      <c r="M1312" s="4" t="s">
        <v>5035</v>
      </c>
      <c r="N1312" t="s">
        <v>15</v>
      </c>
      <c r="O1312" t="s">
        <v>4760</v>
      </c>
      <c r="P1312" t="s">
        <v>23</v>
      </c>
      <c r="Q1312" t="s">
        <v>24</v>
      </c>
      <c r="R1312" t="s">
        <v>25</v>
      </c>
      <c r="S1312" t="s">
        <v>26</v>
      </c>
      <c r="T1312" s="6">
        <v>46307</v>
      </c>
      <c r="U1312">
        <v>12</v>
      </c>
      <c r="V1312">
        <v>12</v>
      </c>
      <c r="W1312">
        <v>12</v>
      </c>
      <c r="X1312">
        <v>12</v>
      </c>
      <c r="Y1312">
        <f t="shared" si="208"/>
        <v>0</v>
      </c>
      <c r="Z1312">
        <f t="shared" si="209"/>
        <v>0</v>
      </c>
      <c r="AC1312" s="1">
        <v>0</v>
      </c>
      <c r="AF1312">
        <f t="shared" si="213"/>
        <v>12</v>
      </c>
      <c r="AG1312" s="7">
        <v>12</v>
      </c>
      <c r="AH1312">
        <f t="shared" si="210"/>
        <v>12</v>
      </c>
      <c r="AI1312">
        <f t="shared" si="207"/>
        <v>0</v>
      </c>
      <c r="AK1312">
        <f t="shared" si="211"/>
        <v>1</v>
      </c>
      <c r="AL1312">
        <v>12.02</v>
      </c>
      <c r="AM1312" t="s">
        <v>27</v>
      </c>
      <c r="AN1312">
        <v>12.02</v>
      </c>
      <c r="AO1312" t="b">
        <f t="shared" si="212"/>
        <v>1</v>
      </c>
      <c r="AR1312" t="s">
        <v>5061</v>
      </c>
      <c r="AS1312" s="21">
        <v>46276</v>
      </c>
      <c r="AT1312" t="s">
        <v>5062</v>
      </c>
      <c r="AU1312" t="s">
        <v>5085</v>
      </c>
      <c r="AV1312" t="s">
        <v>5089</v>
      </c>
      <c r="AW1312" t="s">
        <v>5090</v>
      </c>
    </row>
    <row r="1313" spans="1:49" x14ac:dyDescent="0.35">
      <c r="A1313" t="s">
        <v>4105</v>
      </c>
      <c r="B1313" t="s">
        <v>4106</v>
      </c>
      <c r="C1313" t="s">
        <v>4818</v>
      </c>
      <c r="D1313" t="s">
        <v>18</v>
      </c>
      <c r="E1313" t="s">
        <v>4761</v>
      </c>
      <c r="F1313" t="s">
        <v>4762</v>
      </c>
      <c r="G1313" t="s">
        <v>21</v>
      </c>
      <c r="H1313" t="s">
        <v>4826</v>
      </c>
      <c r="I1313" t="s">
        <v>5030</v>
      </c>
      <c r="J1313" s="4" t="s">
        <v>5031</v>
      </c>
      <c r="K1313" s="4" t="s">
        <v>5034</v>
      </c>
      <c r="L1313" s="4" t="s">
        <v>4968</v>
      </c>
      <c r="M1313" s="4" t="s">
        <v>5035</v>
      </c>
      <c r="N1313" t="s">
        <v>15</v>
      </c>
      <c r="O1313" t="s">
        <v>4763</v>
      </c>
      <c r="P1313" t="s">
        <v>23</v>
      </c>
      <c r="Q1313" t="s">
        <v>24</v>
      </c>
      <c r="R1313" t="s">
        <v>25</v>
      </c>
      <c r="S1313" t="s">
        <v>26</v>
      </c>
      <c r="T1313" s="6">
        <v>46307</v>
      </c>
      <c r="U1313">
        <v>132</v>
      </c>
      <c r="V1313">
        <v>132</v>
      </c>
      <c r="W1313">
        <v>120</v>
      </c>
      <c r="X1313">
        <v>120</v>
      </c>
      <c r="Y1313">
        <f t="shared" si="208"/>
        <v>0</v>
      </c>
      <c r="Z1313">
        <f t="shared" si="209"/>
        <v>12</v>
      </c>
      <c r="AA1313">
        <f t="shared" ref="AA1313:AA1314" si="214">Z1313</f>
        <v>12</v>
      </c>
      <c r="AC1313" s="1">
        <v>0</v>
      </c>
      <c r="AF1313">
        <f>X1313</f>
        <v>120</v>
      </c>
      <c r="AG1313" s="7">
        <v>12</v>
      </c>
      <c r="AH1313">
        <f t="shared" si="210"/>
        <v>120</v>
      </c>
      <c r="AI1313">
        <f t="shared" si="207"/>
        <v>12</v>
      </c>
      <c r="AK1313">
        <f t="shared" si="211"/>
        <v>10</v>
      </c>
      <c r="AL1313">
        <v>12.02</v>
      </c>
      <c r="AM1313" t="s">
        <v>27</v>
      </c>
      <c r="AN1313">
        <v>12.02</v>
      </c>
      <c r="AO1313" t="b">
        <f t="shared" si="212"/>
        <v>1</v>
      </c>
      <c r="AR1313" t="s">
        <v>5061</v>
      </c>
      <c r="AS1313" s="21">
        <v>46276</v>
      </c>
      <c r="AT1313" t="s">
        <v>5062</v>
      </c>
      <c r="AU1313" t="s">
        <v>5085</v>
      </c>
      <c r="AV1313" t="s">
        <v>5089</v>
      </c>
      <c r="AW1313" t="s">
        <v>5090</v>
      </c>
    </row>
    <row r="1314" spans="1:49" x14ac:dyDescent="0.35">
      <c r="A1314" t="s">
        <v>4105</v>
      </c>
      <c r="B1314" t="s">
        <v>4106</v>
      </c>
      <c r="C1314" t="s">
        <v>4818</v>
      </c>
      <c r="D1314" t="s">
        <v>18</v>
      </c>
      <c r="E1314" t="s">
        <v>4764</v>
      </c>
      <c r="F1314" t="s">
        <v>4765</v>
      </c>
      <c r="G1314" t="s">
        <v>21</v>
      </c>
      <c r="H1314" t="s">
        <v>4826</v>
      </c>
      <c r="I1314" t="s">
        <v>5030</v>
      </c>
      <c r="J1314" s="4" t="s">
        <v>5031</v>
      </c>
      <c r="K1314" s="4" t="s">
        <v>5032</v>
      </c>
      <c r="L1314" s="4" t="s">
        <v>4963</v>
      </c>
      <c r="M1314" s="4" t="s">
        <v>5035</v>
      </c>
      <c r="N1314" t="s">
        <v>15</v>
      </c>
      <c r="O1314" t="s">
        <v>4766</v>
      </c>
      <c r="P1314" t="s">
        <v>23</v>
      </c>
      <c r="Q1314" t="s">
        <v>24</v>
      </c>
      <c r="R1314" t="s">
        <v>25</v>
      </c>
      <c r="S1314" t="s">
        <v>26</v>
      </c>
      <c r="T1314" s="6">
        <v>46307</v>
      </c>
      <c r="U1314">
        <v>72</v>
      </c>
      <c r="V1314">
        <v>72</v>
      </c>
      <c r="W1314">
        <v>60</v>
      </c>
      <c r="X1314">
        <v>60</v>
      </c>
      <c r="Y1314">
        <f t="shared" si="208"/>
        <v>0</v>
      </c>
      <c r="Z1314">
        <f t="shared" si="209"/>
        <v>12</v>
      </c>
      <c r="AA1314">
        <f t="shared" si="214"/>
        <v>12</v>
      </c>
      <c r="AC1314" s="1">
        <v>0</v>
      </c>
      <c r="AF1314">
        <f>X1314</f>
        <v>60</v>
      </c>
      <c r="AG1314" s="7">
        <v>12</v>
      </c>
      <c r="AH1314">
        <f t="shared" si="210"/>
        <v>60</v>
      </c>
      <c r="AI1314">
        <f t="shared" si="207"/>
        <v>12</v>
      </c>
      <c r="AK1314">
        <f t="shared" si="211"/>
        <v>5</v>
      </c>
      <c r="AL1314">
        <v>12.02</v>
      </c>
      <c r="AM1314" t="s">
        <v>27</v>
      </c>
      <c r="AN1314">
        <v>12.02</v>
      </c>
      <c r="AO1314" t="b">
        <f t="shared" si="212"/>
        <v>1</v>
      </c>
      <c r="AR1314" t="s">
        <v>5061</v>
      </c>
      <c r="AS1314" s="21">
        <v>46276</v>
      </c>
      <c r="AT1314" t="s">
        <v>5062</v>
      </c>
      <c r="AU1314" t="s">
        <v>5085</v>
      </c>
      <c r="AV1314" t="s">
        <v>5089</v>
      </c>
      <c r="AW1314" t="s">
        <v>5090</v>
      </c>
    </row>
    <row r="1315" spans="1:49" x14ac:dyDescent="0.35">
      <c r="A1315" t="s">
        <v>4105</v>
      </c>
      <c r="B1315" t="s">
        <v>4106</v>
      </c>
      <c r="C1315" t="s">
        <v>4818</v>
      </c>
      <c r="D1315" t="s">
        <v>18</v>
      </c>
      <c r="E1315" t="s">
        <v>4767</v>
      </c>
      <c r="F1315" t="s">
        <v>4768</v>
      </c>
      <c r="G1315" t="s">
        <v>21</v>
      </c>
      <c r="H1315" t="s">
        <v>4826</v>
      </c>
      <c r="I1315" t="s">
        <v>5028</v>
      </c>
      <c r="J1315" s="4" t="s">
        <v>5029</v>
      </c>
      <c r="K1315" s="4" t="s">
        <v>4832</v>
      </c>
      <c r="L1315" s="4" t="s">
        <v>4965</v>
      </c>
      <c r="M1315" s="4" t="s">
        <v>5035</v>
      </c>
      <c r="N1315" t="s">
        <v>15</v>
      </c>
      <c r="O1315" t="s">
        <v>4769</v>
      </c>
      <c r="P1315" t="s">
        <v>23</v>
      </c>
      <c r="Q1315" t="s">
        <v>24</v>
      </c>
      <c r="R1315" t="s">
        <v>25</v>
      </c>
      <c r="S1315" t="s">
        <v>26</v>
      </c>
      <c r="T1315" s="6">
        <v>46307</v>
      </c>
      <c r="U1315">
        <v>24</v>
      </c>
      <c r="V1315">
        <v>24</v>
      </c>
      <c r="W1315">
        <v>24</v>
      </c>
      <c r="X1315">
        <v>24</v>
      </c>
      <c r="Y1315">
        <f t="shared" si="208"/>
        <v>0</v>
      </c>
      <c r="Z1315">
        <f t="shared" si="209"/>
        <v>0</v>
      </c>
      <c r="AC1315" s="1">
        <v>0</v>
      </c>
      <c r="AF1315">
        <f>V1315</f>
        <v>24</v>
      </c>
      <c r="AG1315" s="7">
        <v>12</v>
      </c>
      <c r="AH1315">
        <f t="shared" si="210"/>
        <v>24</v>
      </c>
      <c r="AI1315">
        <f t="shared" si="207"/>
        <v>0</v>
      </c>
      <c r="AK1315">
        <f t="shared" si="211"/>
        <v>2</v>
      </c>
      <c r="AL1315">
        <v>12.09</v>
      </c>
      <c r="AM1315" t="s">
        <v>27</v>
      </c>
      <c r="AN1315">
        <v>12.09</v>
      </c>
      <c r="AO1315" t="b">
        <f t="shared" si="212"/>
        <v>1</v>
      </c>
      <c r="AR1315" t="s">
        <v>5061</v>
      </c>
      <c r="AS1315" s="21">
        <v>46276</v>
      </c>
      <c r="AT1315" t="s">
        <v>5062</v>
      </c>
      <c r="AU1315" t="s">
        <v>5084</v>
      </c>
      <c r="AV1315" t="s">
        <v>5089</v>
      </c>
      <c r="AW1315" t="s">
        <v>5090</v>
      </c>
    </row>
    <row r="1316" spans="1:49" x14ac:dyDescent="0.35">
      <c r="A1316" t="s">
        <v>4105</v>
      </c>
      <c r="B1316" t="s">
        <v>4106</v>
      </c>
      <c r="C1316" t="s">
        <v>4818</v>
      </c>
      <c r="D1316" t="s">
        <v>18</v>
      </c>
      <c r="E1316" t="s">
        <v>4770</v>
      </c>
      <c r="F1316" t="s">
        <v>4771</v>
      </c>
      <c r="G1316" t="s">
        <v>21</v>
      </c>
      <c r="H1316" t="s">
        <v>4826</v>
      </c>
      <c r="I1316" t="s">
        <v>5028</v>
      </c>
      <c r="J1316" s="4" t="s">
        <v>5029</v>
      </c>
      <c r="K1316" s="4" t="s">
        <v>4837</v>
      </c>
      <c r="L1316" s="4" t="s">
        <v>4953</v>
      </c>
      <c r="M1316" s="4" t="s">
        <v>5035</v>
      </c>
      <c r="N1316" t="s">
        <v>15</v>
      </c>
      <c r="O1316" t="s">
        <v>4772</v>
      </c>
      <c r="P1316" t="s">
        <v>23</v>
      </c>
      <c r="Q1316" t="s">
        <v>24</v>
      </c>
      <c r="R1316" t="s">
        <v>25</v>
      </c>
      <c r="S1316" t="s">
        <v>26</v>
      </c>
      <c r="T1316" s="6">
        <v>46307</v>
      </c>
      <c r="U1316">
        <v>84</v>
      </c>
      <c r="V1316">
        <v>84</v>
      </c>
      <c r="W1316">
        <v>84</v>
      </c>
      <c r="X1316">
        <v>84</v>
      </c>
      <c r="Y1316">
        <f t="shared" si="208"/>
        <v>0</v>
      </c>
      <c r="Z1316">
        <f t="shared" si="209"/>
        <v>0</v>
      </c>
      <c r="AC1316" s="1">
        <v>0</v>
      </c>
      <c r="AF1316">
        <f>V1316</f>
        <v>84</v>
      </c>
      <c r="AG1316" s="7">
        <v>12</v>
      </c>
      <c r="AH1316">
        <f t="shared" si="210"/>
        <v>84</v>
      </c>
      <c r="AI1316">
        <f t="shared" si="207"/>
        <v>0</v>
      </c>
      <c r="AK1316">
        <f t="shared" si="211"/>
        <v>7</v>
      </c>
      <c r="AL1316">
        <v>12.09</v>
      </c>
      <c r="AM1316" t="s">
        <v>27</v>
      </c>
      <c r="AN1316">
        <v>12.09</v>
      </c>
      <c r="AO1316" t="b">
        <f t="shared" si="212"/>
        <v>1</v>
      </c>
      <c r="AR1316" t="s">
        <v>5061</v>
      </c>
      <c r="AS1316" s="21">
        <v>46276</v>
      </c>
      <c r="AT1316" t="s">
        <v>5062</v>
      </c>
      <c r="AU1316" t="s">
        <v>5084</v>
      </c>
      <c r="AV1316" t="s">
        <v>5089</v>
      </c>
      <c r="AW1316" t="s">
        <v>5090</v>
      </c>
    </row>
    <row r="1317" spans="1:49" x14ac:dyDescent="0.35">
      <c r="A1317" t="s">
        <v>4105</v>
      </c>
      <c r="B1317" t="s">
        <v>4106</v>
      </c>
      <c r="C1317" t="s">
        <v>4818</v>
      </c>
      <c r="D1317" t="s">
        <v>18</v>
      </c>
      <c r="E1317" t="s">
        <v>4773</v>
      </c>
      <c r="F1317" t="s">
        <v>4774</v>
      </c>
      <c r="G1317" t="s">
        <v>21</v>
      </c>
      <c r="H1317" t="s">
        <v>4826</v>
      </c>
      <c r="I1317" t="s">
        <v>5030</v>
      </c>
      <c r="J1317" s="4" t="s">
        <v>5031</v>
      </c>
      <c r="K1317" s="4" t="s">
        <v>4845</v>
      </c>
      <c r="L1317" s="4" t="s">
        <v>4953</v>
      </c>
      <c r="M1317" s="4" t="s">
        <v>5035</v>
      </c>
      <c r="N1317" t="s">
        <v>15</v>
      </c>
      <c r="O1317" t="s">
        <v>4775</v>
      </c>
      <c r="P1317" t="s">
        <v>23</v>
      </c>
      <c r="Q1317" t="s">
        <v>24</v>
      </c>
      <c r="R1317" t="s">
        <v>25</v>
      </c>
      <c r="S1317" t="s">
        <v>26</v>
      </c>
      <c r="T1317" s="6">
        <v>46307</v>
      </c>
      <c r="U1317">
        <v>96</v>
      </c>
      <c r="V1317">
        <v>96</v>
      </c>
      <c r="W1317">
        <v>84</v>
      </c>
      <c r="X1317">
        <v>84</v>
      </c>
      <c r="Y1317">
        <f t="shared" si="208"/>
        <v>0</v>
      </c>
      <c r="Z1317">
        <f t="shared" si="209"/>
        <v>12</v>
      </c>
      <c r="AA1317">
        <f>Z1317</f>
        <v>12</v>
      </c>
      <c r="AC1317" s="1">
        <v>0</v>
      </c>
      <c r="AF1317">
        <f>X1317</f>
        <v>84</v>
      </c>
      <c r="AG1317" s="7">
        <v>12</v>
      </c>
      <c r="AH1317">
        <f t="shared" si="210"/>
        <v>84</v>
      </c>
      <c r="AI1317">
        <f t="shared" si="207"/>
        <v>12</v>
      </c>
      <c r="AK1317">
        <f t="shared" si="211"/>
        <v>7</v>
      </c>
      <c r="AL1317">
        <v>12.02</v>
      </c>
      <c r="AM1317" t="s">
        <v>27</v>
      </c>
      <c r="AN1317">
        <v>12.02</v>
      </c>
      <c r="AO1317" t="b">
        <f t="shared" si="212"/>
        <v>1</v>
      </c>
      <c r="AR1317" t="s">
        <v>5061</v>
      </c>
      <c r="AS1317" s="21">
        <v>46276</v>
      </c>
      <c r="AT1317" t="s">
        <v>5062</v>
      </c>
      <c r="AU1317" t="s">
        <v>5085</v>
      </c>
      <c r="AV1317" t="s">
        <v>5089</v>
      </c>
      <c r="AW1317" t="s">
        <v>5090</v>
      </c>
    </row>
    <row r="1318" spans="1:49" x14ac:dyDescent="0.35">
      <c r="A1318" t="s">
        <v>4105</v>
      </c>
      <c r="B1318" t="s">
        <v>4106</v>
      </c>
      <c r="C1318" t="s">
        <v>4818</v>
      </c>
      <c r="D1318" t="s">
        <v>18</v>
      </c>
      <c r="E1318" t="s">
        <v>4776</v>
      </c>
      <c r="F1318" t="s">
        <v>4777</v>
      </c>
      <c r="G1318" t="s">
        <v>21</v>
      </c>
      <c r="H1318" t="s">
        <v>4826</v>
      </c>
      <c r="I1318" t="s">
        <v>5030</v>
      </c>
      <c r="J1318" s="4" t="s">
        <v>5031</v>
      </c>
      <c r="K1318" s="4" t="s">
        <v>5032</v>
      </c>
      <c r="L1318" s="4" t="s">
        <v>4949</v>
      </c>
      <c r="M1318" s="4" t="s">
        <v>5035</v>
      </c>
      <c r="N1318" t="s">
        <v>15</v>
      </c>
      <c r="O1318" t="s">
        <v>4778</v>
      </c>
      <c r="P1318" t="s">
        <v>23</v>
      </c>
      <c r="Q1318" t="s">
        <v>24</v>
      </c>
      <c r="R1318" t="s">
        <v>25</v>
      </c>
      <c r="S1318" t="s">
        <v>26</v>
      </c>
      <c r="T1318" s="6">
        <v>46307</v>
      </c>
      <c r="U1318">
        <v>48</v>
      </c>
      <c r="V1318">
        <v>48</v>
      </c>
      <c r="W1318">
        <v>48</v>
      </c>
      <c r="X1318">
        <v>48</v>
      </c>
      <c r="Y1318">
        <f t="shared" si="208"/>
        <v>0</v>
      </c>
      <c r="Z1318">
        <f t="shared" si="209"/>
        <v>0</v>
      </c>
      <c r="AC1318" s="1">
        <v>0</v>
      </c>
      <c r="AF1318">
        <f t="shared" ref="AF1318:AF1323" si="215">V1318</f>
        <v>48</v>
      </c>
      <c r="AG1318" s="7">
        <v>12</v>
      </c>
      <c r="AH1318">
        <f t="shared" si="210"/>
        <v>48</v>
      </c>
      <c r="AI1318">
        <f t="shared" si="207"/>
        <v>0</v>
      </c>
      <c r="AK1318">
        <f t="shared" si="211"/>
        <v>4</v>
      </c>
      <c r="AL1318">
        <v>12.02</v>
      </c>
      <c r="AM1318" t="s">
        <v>27</v>
      </c>
      <c r="AN1318">
        <v>12.02</v>
      </c>
      <c r="AO1318" t="b">
        <f t="shared" si="212"/>
        <v>1</v>
      </c>
      <c r="AR1318" t="s">
        <v>5061</v>
      </c>
      <c r="AS1318" s="21">
        <v>46276</v>
      </c>
      <c r="AT1318" t="s">
        <v>5062</v>
      </c>
      <c r="AU1318" t="s">
        <v>5085</v>
      </c>
      <c r="AV1318" t="s">
        <v>5089</v>
      </c>
      <c r="AW1318" t="s">
        <v>5090</v>
      </c>
    </row>
    <row r="1319" spans="1:49" x14ac:dyDescent="0.35">
      <c r="A1319" t="s">
        <v>4105</v>
      </c>
      <c r="B1319" t="s">
        <v>4106</v>
      </c>
      <c r="C1319" t="s">
        <v>4818</v>
      </c>
      <c r="D1319" t="s">
        <v>18</v>
      </c>
      <c r="E1319" t="s">
        <v>4779</v>
      </c>
      <c r="F1319" t="s">
        <v>4780</v>
      </c>
      <c r="G1319" t="s">
        <v>21</v>
      </c>
      <c r="H1319" t="s">
        <v>4826</v>
      </c>
      <c r="I1319" t="s">
        <v>5030</v>
      </c>
      <c r="J1319" s="4" t="s">
        <v>5031</v>
      </c>
      <c r="K1319" s="4" t="s">
        <v>4837</v>
      </c>
      <c r="L1319" s="4" t="s">
        <v>4944</v>
      </c>
      <c r="M1319" s="4" t="s">
        <v>5035</v>
      </c>
      <c r="N1319" t="s">
        <v>15</v>
      </c>
      <c r="O1319" t="s">
        <v>4781</v>
      </c>
      <c r="P1319" t="s">
        <v>23</v>
      </c>
      <c r="Q1319" t="s">
        <v>24</v>
      </c>
      <c r="R1319" t="s">
        <v>25</v>
      </c>
      <c r="S1319" t="s">
        <v>26</v>
      </c>
      <c r="T1319" s="6">
        <v>46307</v>
      </c>
      <c r="U1319">
        <v>252</v>
      </c>
      <c r="V1319">
        <v>252</v>
      </c>
      <c r="W1319">
        <v>276</v>
      </c>
      <c r="X1319">
        <v>276</v>
      </c>
      <c r="Y1319">
        <f t="shared" si="208"/>
        <v>0</v>
      </c>
      <c r="Z1319">
        <f t="shared" si="209"/>
        <v>-24</v>
      </c>
      <c r="AC1319" s="1"/>
      <c r="AF1319">
        <f t="shared" si="215"/>
        <v>252</v>
      </c>
      <c r="AG1319" s="7">
        <v>12</v>
      </c>
      <c r="AH1319">
        <f t="shared" si="210"/>
        <v>252</v>
      </c>
      <c r="AI1319">
        <f t="shared" si="207"/>
        <v>0</v>
      </c>
      <c r="AK1319">
        <f t="shared" si="211"/>
        <v>21</v>
      </c>
      <c r="AL1319">
        <v>12.02</v>
      </c>
      <c r="AM1319" t="s">
        <v>27</v>
      </c>
      <c r="AN1319">
        <v>12.02</v>
      </c>
      <c r="AO1319" t="b">
        <f t="shared" si="212"/>
        <v>1</v>
      </c>
      <c r="AR1319" t="s">
        <v>5061</v>
      </c>
      <c r="AS1319" s="21">
        <v>46276</v>
      </c>
      <c r="AT1319" t="s">
        <v>5062</v>
      </c>
      <c r="AU1319" t="s">
        <v>5085</v>
      </c>
      <c r="AV1319" t="s">
        <v>5089</v>
      </c>
      <c r="AW1319" t="s">
        <v>5090</v>
      </c>
    </row>
    <row r="1320" spans="1:49" x14ac:dyDescent="0.35">
      <c r="A1320" t="s">
        <v>4105</v>
      </c>
      <c r="B1320" t="s">
        <v>4106</v>
      </c>
      <c r="C1320" t="s">
        <v>4818</v>
      </c>
      <c r="D1320" t="s">
        <v>18</v>
      </c>
      <c r="E1320" t="s">
        <v>4782</v>
      </c>
      <c r="F1320" t="s">
        <v>4783</v>
      </c>
      <c r="G1320" t="s">
        <v>21</v>
      </c>
      <c r="H1320" t="s">
        <v>4826</v>
      </c>
      <c r="I1320" t="s">
        <v>5028</v>
      </c>
      <c r="J1320" s="4" t="s">
        <v>5029</v>
      </c>
      <c r="K1320" s="4" t="s">
        <v>4832</v>
      </c>
      <c r="L1320" s="4" t="s">
        <v>4955</v>
      </c>
      <c r="M1320" s="4" t="s">
        <v>5035</v>
      </c>
      <c r="N1320" t="s">
        <v>15</v>
      </c>
      <c r="O1320" t="s">
        <v>4784</v>
      </c>
      <c r="P1320" t="s">
        <v>23</v>
      </c>
      <c r="Q1320" t="s">
        <v>24</v>
      </c>
      <c r="R1320" t="s">
        <v>25</v>
      </c>
      <c r="S1320" t="s">
        <v>26</v>
      </c>
      <c r="T1320" s="6">
        <v>46307</v>
      </c>
      <c r="U1320">
        <v>12</v>
      </c>
      <c r="V1320">
        <v>12</v>
      </c>
      <c r="W1320">
        <v>12</v>
      </c>
      <c r="X1320">
        <v>12</v>
      </c>
      <c r="Y1320">
        <f t="shared" si="208"/>
        <v>0</v>
      </c>
      <c r="Z1320">
        <f t="shared" si="209"/>
        <v>0</v>
      </c>
      <c r="AC1320" s="1">
        <v>0</v>
      </c>
      <c r="AF1320">
        <f t="shared" si="215"/>
        <v>12</v>
      </c>
      <c r="AG1320" s="7">
        <v>12</v>
      </c>
      <c r="AH1320">
        <f t="shared" si="210"/>
        <v>12</v>
      </c>
      <c r="AI1320">
        <f t="shared" si="207"/>
        <v>0</v>
      </c>
      <c r="AK1320">
        <f t="shared" si="211"/>
        <v>1</v>
      </c>
      <c r="AL1320">
        <v>12.09</v>
      </c>
      <c r="AM1320" t="s">
        <v>27</v>
      </c>
      <c r="AN1320">
        <v>12.09</v>
      </c>
      <c r="AO1320" t="b">
        <f t="shared" si="212"/>
        <v>1</v>
      </c>
      <c r="AR1320" t="s">
        <v>5061</v>
      </c>
      <c r="AS1320" s="21">
        <v>46276</v>
      </c>
      <c r="AT1320" t="s">
        <v>5062</v>
      </c>
      <c r="AU1320" t="s">
        <v>5084</v>
      </c>
      <c r="AV1320" t="s">
        <v>5089</v>
      </c>
      <c r="AW1320" t="s">
        <v>5090</v>
      </c>
    </row>
    <row r="1321" spans="1:49" x14ac:dyDescent="0.35">
      <c r="A1321" t="s">
        <v>4105</v>
      </c>
      <c r="B1321" t="s">
        <v>4106</v>
      </c>
      <c r="C1321" t="s">
        <v>4818</v>
      </c>
      <c r="D1321" t="s">
        <v>18</v>
      </c>
      <c r="E1321" t="s">
        <v>4785</v>
      </c>
      <c r="F1321" t="s">
        <v>4786</v>
      </c>
      <c r="G1321" t="s">
        <v>21</v>
      </c>
      <c r="H1321" t="s">
        <v>4826</v>
      </c>
      <c r="I1321" t="s">
        <v>5028</v>
      </c>
      <c r="J1321" s="4" t="s">
        <v>5029</v>
      </c>
      <c r="K1321" s="4" t="s">
        <v>5033</v>
      </c>
      <c r="L1321" s="4" t="s">
        <v>4950</v>
      </c>
      <c r="M1321" s="4" t="s">
        <v>5035</v>
      </c>
      <c r="N1321" t="s">
        <v>15</v>
      </c>
      <c r="O1321" t="s">
        <v>4787</v>
      </c>
      <c r="P1321" t="s">
        <v>23</v>
      </c>
      <c r="Q1321" t="s">
        <v>24</v>
      </c>
      <c r="R1321" t="s">
        <v>25</v>
      </c>
      <c r="S1321" t="s">
        <v>26</v>
      </c>
      <c r="T1321" s="6">
        <v>46307</v>
      </c>
      <c r="U1321">
        <v>36</v>
      </c>
      <c r="V1321">
        <v>36</v>
      </c>
      <c r="W1321">
        <v>36</v>
      </c>
      <c r="X1321">
        <v>36</v>
      </c>
      <c r="Y1321">
        <f t="shared" si="208"/>
        <v>0</v>
      </c>
      <c r="Z1321">
        <f t="shared" si="209"/>
        <v>0</v>
      </c>
      <c r="AC1321" s="1">
        <v>0</v>
      </c>
      <c r="AF1321">
        <f t="shared" si="215"/>
        <v>36</v>
      </c>
      <c r="AG1321" s="7">
        <v>12</v>
      </c>
      <c r="AH1321">
        <f t="shared" si="210"/>
        <v>36</v>
      </c>
      <c r="AI1321">
        <f t="shared" si="207"/>
        <v>0</v>
      </c>
      <c r="AK1321">
        <f t="shared" si="211"/>
        <v>3</v>
      </c>
      <c r="AL1321">
        <v>12.09</v>
      </c>
      <c r="AM1321" t="s">
        <v>27</v>
      </c>
      <c r="AN1321">
        <v>12.09</v>
      </c>
      <c r="AO1321" t="b">
        <f t="shared" si="212"/>
        <v>1</v>
      </c>
      <c r="AR1321" t="s">
        <v>5061</v>
      </c>
      <c r="AS1321" s="21">
        <v>46276</v>
      </c>
      <c r="AT1321" t="s">
        <v>5062</v>
      </c>
      <c r="AU1321" t="s">
        <v>5084</v>
      </c>
      <c r="AV1321" t="s">
        <v>5089</v>
      </c>
      <c r="AW1321" t="s">
        <v>5090</v>
      </c>
    </row>
    <row r="1322" spans="1:49" x14ac:dyDescent="0.35">
      <c r="A1322" t="s">
        <v>4105</v>
      </c>
      <c r="B1322" t="s">
        <v>4106</v>
      </c>
      <c r="C1322" t="s">
        <v>4818</v>
      </c>
      <c r="D1322" t="s">
        <v>18</v>
      </c>
      <c r="E1322" t="s">
        <v>4788</v>
      </c>
      <c r="F1322" t="s">
        <v>4789</v>
      </c>
      <c r="G1322" t="s">
        <v>21</v>
      </c>
      <c r="H1322" t="s">
        <v>4826</v>
      </c>
      <c r="I1322" t="s">
        <v>5030</v>
      </c>
      <c r="J1322" s="4" t="s">
        <v>5031</v>
      </c>
      <c r="K1322" s="4" t="s">
        <v>5034</v>
      </c>
      <c r="L1322" s="4" t="s">
        <v>4943</v>
      </c>
      <c r="M1322" s="4" t="s">
        <v>5035</v>
      </c>
      <c r="N1322" t="s">
        <v>15</v>
      </c>
      <c r="O1322" t="s">
        <v>4790</v>
      </c>
      <c r="P1322" t="s">
        <v>23</v>
      </c>
      <c r="Q1322" t="s">
        <v>24</v>
      </c>
      <c r="R1322" t="s">
        <v>25</v>
      </c>
      <c r="S1322" t="s">
        <v>26</v>
      </c>
      <c r="T1322" s="6">
        <v>46307</v>
      </c>
      <c r="U1322">
        <v>12</v>
      </c>
      <c r="V1322">
        <v>12</v>
      </c>
      <c r="W1322">
        <v>12</v>
      </c>
      <c r="X1322">
        <v>12</v>
      </c>
      <c r="Y1322">
        <f t="shared" si="208"/>
        <v>0</v>
      </c>
      <c r="Z1322">
        <f t="shared" si="209"/>
        <v>0</v>
      </c>
      <c r="AC1322" s="1">
        <v>0</v>
      </c>
      <c r="AF1322">
        <f t="shared" si="215"/>
        <v>12</v>
      </c>
      <c r="AG1322" s="7">
        <v>12</v>
      </c>
      <c r="AH1322">
        <f t="shared" si="210"/>
        <v>12</v>
      </c>
      <c r="AI1322">
        <f t="shared" si="207"/>
        <v>0</v>
      </c>
      <c r="AK1322">
        <f t="shared" si="211"/>
        <v>1</v>
      </c>
      <c r="AL1322">
        <v>12.02</v>
      </c>
      <c r="AM1322" t="s">
        <v>27</v>
      </c>
      <c r="AN1322">
        <v>12.02</v>
      </c>
      <c r="AO1322" t="b">
        <f t="shared" si="212"/>
        <v>1</v>
      </c>
      <c r="AR1322" t="s">
        <v>5061</v>
      </c>
      <c r="AS1322" s="21">
        <v>46276</v>
      </c>
      <c r="AT1322" t="s">
        <v>5062</v>
      </c>
      <c r="AU1322" t="s">
        <v>5085</v>
      </c>
      <c r="AV1322" t="s">
        <v>5089</v>
      </c>
      <c r="AW1322" t="s">
        <v>5090</v>
      </c>
    </row>
    <row r="1323" spans="1:49" x14ac:dyDescent="0.35">
      <c r="A1323" t="s">
        <v>4105</v>
      </c>
      <c r="B1323" t="s">
        <v>4106</v>
      </c>
      <c r="C1323" t="s">
        <v>4818</v>
      </c>
      <c r="D1323" t="s">
        <v>18</v>
      </c>
      <c r="E1323" t="s">
        <v>4791</v>
      </c>
      <c r="F1323" t="s">
        <v>4792</v>
      </c>
      <c r="G1323" t="s">
        <v>21</v>
      </c>
      <c r="H1323" t="s">
        <v>4826</v>
      </c>
      <c r="I1323" t="s">
        <v>5030</v>
      </c>
      <c r="J1323" s="4" t="s">
        <v>5031</v>
      </c>
      <c r="K1323" s="4" t="s">
        <v>5032</v>
      </c>
      <c r="L1323" s="4" t="s">
        <v>4962</v>
      </c>
      <c r="M1323" s="4" t="s">
        <v>5035</v>
      </c>
      <c r="N1323" t="s">
        <v>15</v>
      </c>
      <c r="O1323" t="s">
        <v>4793</v>
      </c>
      <c r="P1323" t="s">
        <v>23</v>
      </c>
      <c r="Q1323" t="s">
        <v>24</v>
      </c>
      <c r="R1323" t="s">
        <v>25</v>
      </c>
      <c r="S1323" t="s">
        <v>26</v>
      </c>
      <c r="T1323" s="6">
        <v>46307</v>
      </c>
      <c r="U1323">
        <v>36</v>
      </c>
      <c r="V1323">
        <v>36</v>
      </c>
      <c r="W1323">
        <v>36</v>
      </c>
      <c r="X1323">
        <v>36</v>
      </c>
      <c r="Y1323">
        <f t="shared" si="208"/>
        <v>0</v>
      </c>
      <c r="Z1323">
        <f t="shared" si="209"/>
        <v>0</v>
      </c>
      <c r="AC1323" s="1">
        <v>0</v>
      </c>
      <c r="AF1323">
        <f t="shared" si="215"/>
        <v>36</v>
      </c>
      <c r="AG1323" s="7">
        <v>12</v>
      </c>
      <c r="AH1323">
        <f t="shared" si="210"/>
        <v>36</v>
      </c>
      <c r="AI1323">
        <f t="shared" si="207"/>
        <v>0</v>
      </c>
      <c r="AK1323">
        <f t="shared" si="211"/>
        <v>3</v>
      </c>
      <c r="AL1323">
        <v>12.02</v>
      </c>
      <c r="AM1323" t="s">
        <v>27</v>
      </c>
      <c r="AN1323">
        <v>12.02</v>
      </c>
      <c r="AO1323" t="b">
        <f t="shared" si="212"/>
        <v>1</v>
      </c>
      <c r="AR1323" t="s">
        <v>5061</v>
      </c>
      <c r="AS1323" s="21">
        <v>46276</v>
      </c>
      <c r="AT1323" t="s">
        <v>5062</v>
      </c>
      <c r="AU1323" t="s">
        <v>5085</v>
      </c>
      <c r="AV1323" t="s">
        <v>5089</v>
      </c>
      <c r="AW1323" t="s">
        <v>5090</v>
      </c>
    </row>
    <row r="1324" spans="1:49" x14ac:dyDescent="0.35">
      <c r="A1324" t="s">
        <v>4105</v>
      </c>
      <c r="B1324" t="s">
        <v>4106</v>
      </c>
      <c r="C1324" t="s">
        <v>4818</v>
      </c>
      <c r="D1324" t="s">
        <v>18</v>
      </c>
      <c r="E1324" t="s">
        <v>4794</v>
      </c>
      <c r="F1324" t="s">
        <v>4795</v>
      </c>
      <c r="G1324" t="s">
        <v>21</v>
      </c>
      <c r="H1324" t="s">
        <v>4826</v>
      </c>
      <c r="I1324" t="s">
        <v>5030</v>
      </c>
      <c r="J1324" s="4" t="s">
        <v>5031</v>
      </c>
      <c r="K1324" s="4" t="s">
        <v>5033</v>
      </c>
      <c r="L1324" s="4" t="s">
        <v>4944</v>
      </c>
      <c r="M1324" s="4" t="s">
        <v>5035</v>
      </c>
      <c r="N1324" t="s">
        <v>15</v>
      </c>
      <c r="O1324" t="s">
        <v>4796</v>
      </c>
      <c r="P1324" t="s">
        <v>23</v>
      </c>
      <c r="Q1324" t="s">
        <v>24</v>
      </c>
      <c r="R1324" t="s">
        <v>25</v>
      </c>
      <c r="S1324" t="s">
        <v>26</v>
      </c>
      <c r="T1324" s="6">
        <v>46307</v>
      </c>
      <c r="U1324">
        <v>216</v>
      </c>
      <c r="V1324">
        <v>216</v>
      </c>
      <c r="W1324">
        <v>192</v>
      </c>
      <c r="X1324">
        <v>192</v>
      </c>
      <c r="Y1324">
        <f t="shared" si="208"/>
        <v>0</v>
      </c>
      <c r="Z1324">
        <f t="shared" si="209"/>
        <v>24</v>
      </c>
      <c r="AA1324">
        <f>Z1324</f>
        <v>24</v>
      </c>
      <c r="AC1324" s="1">
        <v>0</v>
      </c>
      <c r="AF1324">
        <f>X1324</f>
        <v>192</v>
      </c>
      <c r="AG1324" s="7">
        <v>12</v>
      </c>
      <c r="AH1324">
        <f t="shared" si="210"/>
        <v>192</v>
      </c>
      <c r="AI1324">
        <f t="shared" si="207"/>
        <v>24</v>
      </c>
      <c r="AK1324">
        <f t="shared" si="211"/>
        <v>16</v>
      </c>
      <c r="AL1324">
        <v>12.02</v>
      </c>
      <c r="AM1324" t="s">
        <v>27</v>
      </c>
      <c r="AN1324">
        <v>12.02</v>
      </c>
      <c r="AO1324" t="b">
        <f t="shared" si="212"/>
        <v>1</v>
      </c>
      <c r="AR1324" t="s">
        <v>5061</v>
      </c>
      <c r="AS1324" s="21">
        <v>46276</v>
      </c>
      <c r="AT1324" t="s">
        <v>5062</v>
      </c>
      <c r="AU1324" t="s">
        <v>5085</v>
      </c>
      <c r="AV1324" t="s">
        <v>5089</v>
      </c>
      <c r="AW1324" t="s">
        <v>5090</v>
      </c>
    </row>
    <row r="1325" spans="1:49" x14ac:dyDescent="0.35">
      <c r="A1325" t="s">
        <v>4105</v>
      </c>
      <c r="B1325" t="s">
        <v>4106</v>
      </c>
      <c r="C1325" t="s">
        <v>4818</v>
      </c>
      <c r="D1325" t="s">
        <v>18</v>
      </c>
      <c r="E1325" t="s">
        <v>4797</v>
      </c>
      <c r="F1325" t="s">
        <v>4798</v>
      </c>
      <c r="G1325" t="s">
        <v>21</v>
      </c>
      <c r="H1325" t="s">
        <v>4826</v>
      </c>
      <c r="I1325" t="s">
        <v>5030</v>
      </c>
      <c r="J1325" s="4" t="s">
        <v>5031</v>
      </c>
      <c r="K1325" s="4" t="s">
        <v>5033</v>
      </c>
      <c r="L1325" s="4" t="s">
        <v>4967</v>
      </c>
      <c r="M1325" s="4" t="s">
        <v>5035</v>
      </c>
      <c r="N1325" t="s">
        <v>15</v>
      </c>
      <c r="O1325" t="s">
        <v>4799</v>
      </c>
      <c r="P1325" t="s">
        <v>23</v>
      </c>
      <c r="Q1325" t="s">
        <v>24</v>
      </c>
      <c r="R1325" t="s">
        <v>25</v>
      </c>
      <c r="S1325" t="s">
        <v>26</v>
      </c>
      <c r="T1325" s="6">
        <v>46307</v>
      </c>
      <c r="U1325">
        <v>12</v>
      </c>
      <c r="V1325">
        <v>12</v>
      </c>
      <c r="W1325">
        <v>12</v>
      </c>
      <c r="X1325">
        <v>12</v>
      </c>
      <c r="Y1325">
        <f t="shared" si="208"/>
        <v>0</v>
      </c>
      <c r="Z1325">
        <f t="shared" si="209"/>
        <v>0</v>
      </c>
      <c r="AC1325" s="1">
        <v>0</v>
      </c>
      <c r="AF1325">
        <f>V1325</f>
        <v>12</v>
      </c>
      <c r="AG1325" s="7">
        <v>12</v>
      </c>
      <c r="AH1325">
        <f t="shared" si="210"/>
        <v>12</v>
      </c>
      <c r="AI1325">
        <f t="shared" si="207"/>
        <v>0</v>
      </c>
      <c r="AK1325">
        <f t="shared" si="211"/>
        <v>1</v>
      </c>
      <c r="AL1325">
        <v>12.02</v>
      </c>
      <c r="AM1325" t="s">
        <v>27</v>
      </c>
      <c r="AN1325">
        <v>12.02</v>
      </c>
      <c r="AO1325" t="b">
        <f t="shared" si="212"/>
        <v>1</v>
      </c>
      <c r="AR1325" t="s">
        <v>5061</v>
      </c>
      <c r="AS1325" s="21">
        <v>46276</v>
      </c>
      <c r="AT1325" t="s">
        <v>5062</v>
      </c>
      <c r="AU1325" t="s">
        <v>5085</v>
      </c>
      <c r="AV1325" t="s">
        <v>5089</v>
      </c>
      <c r="AW1325" t="s">
        <v>5090</v>
      </c>
    </row>
    <row r="1326" spans="1:49" x14ac:dyDescent="0.35">
      <c r="A1326" t="s">
        <v>4105</v>
      </c>
      <c r="B1326" t="s">
        <v>4106</v>
      </c>
      <c r="C1326" t="s">
        <v>4818</v>
      </c>
      <c r="D1326" t="s">
        <v>18</v>
      </c>
      <c r="E1326" t="s">
        <v>4800</v>
      </c>
      <c r="F1326" t="s">
        <v>4801</v>
      </c>
      <c r="G1326" t="s">
        <v>21</v>
      </c>
      <c r="H1326" t="s">
        <v>4826</v>
      </c>
      <c r="I1326" t="s">
        <v>5030</v>
      </c>
      <c r="J1326" s="4" t="s">
        <v>5031</v>
      </c>
      <c r="K1326" s="4" t="s">
        <v>4832</v>
      </c>
      <c r="L1326" s="4" t="s">
        <v>4963</v>
      </c>
      <c r="M1326" s="4" t="s">
        <v>5035</v>
      </c>
      <c r="N1326" t="s">
        <v>15</v>
      </c>
      <c r="O1326" t="s">
        <v>4802</v>
      </c>
      <c r="P1326" t="s">
        <v>23</v>
      </c>
      <c r="Q1326" t="s">
        <v>24</v>
      </c>
      <c r="R1326" t="s">
        <v>25</v>
      </c>
      <c r="S1326" t="s">
        <v>26</v>
      </c>
      <c r="T1326" s="6">
        <v>46307</v>
      </c>
      <c r="U1326">
        <v>36</v>
      </c>
      <c r="V1326">
        <v>36</v>
      </c>
      <c r="W1326">
        <v>24</v>
      </c>
      <c r="X1326">
        <v>24</v>
      </c>
      <c r="Y1326">
        <f t="shared" si="208"/>
        <v>0</v>
      </c>
      <c r="Z1326">
        <f t="shared" si="209"/>
        <v>12</v>
      </c>
      <c r="AA1326">
        <f>Z1326</f>
        <v>12</v>
      </c>
      <c r="AC1326" s="1">
        <v>0</v>
      </c>
      <c r="AF1326">
        <f>X1326</f>
        <v>24</v>
      </c>
      <c r="AG1326" s="7">
        <v>12</v>
      </c>
      <c r="AH1326">
        <f t="shared" si="210"/>
        <v>24</v>
      </c>
      <c r="AI1326">
        <f t="shared" si="207"/>
        <v>12</v>
      </c>
      <c r="AK1326">
        <f t="shared" si="211"/>
        <v>2</v>
      </c>
      <c r="AL1326">
        <v>12.02</v>
      </c>
      <c r="AM1326" t="s">
        <v>27</v>
      </c>
      <c r="AN1326">
        <v>12.02</v>
      </c>
      <c r="AO1326" t="b">
        <f t="shared" si="212"/>
        <v>1</v>
      </c>
      <c r="AR1326" t="s">
        <v>5061</v>
      </c>
      <c r="AS1326" s="21">
        <v>46276</v>
      </c>
      <c r="AT1326" t="s">
        <v>5062</v>
      </c>
      <c r="AU1326" t="s">
        <v>5085</v>
      </c>
      <c r="AV1326" t="s">
        <v>5089</v>
      </c>
      <c r="AW1326" t="s">
        <v>5090</v>
      </c>
    </row>
    <row r="1327" spans="1:49" x14ac:dyDescent="0.35">
      <c r="A1327" t="s">
        <v>4105</v>
      </c>
      <c r="B1327" t="s">
        <v>4106</v>
      </c>
      <c r="C1327" t="s">
        <v>4818</v>
      </c>
      <c r="D1327" t="s">
        <v>18</v>
      </c>
      <c r="E1327" t="s">
        <v>4803</v>
      </c>
      <c r="F1327" t="s">
        <v>4804</v>
      </c>
      <c r="G1327" t="s">
        <v>21</v>
      </c>
      <c r="H1327" t="s">
        <v>4826</v>
      </c>
      <c r="I1327" t="s">
        <v>5028</v>
      </c>
      <c r="J1327" s="4" t="s">
        <v>5029</v>
      </c>
      <c r="K1327" s="4" t="s">
        <v>4832</v>
      </c>
      <c r="L1327" s="4" t="s">
        <v>4938</v>
      </c>
      <c r="M1327" s="4" t="s">
        <v>5035</v>
      </c>
      <c r="N1327" t="s">
        <v>15</v>
      </c>
      <c r="O1327" t="s">
        <v>4805</v>
      </c>
      <c r="P1327" t="s">
        <v>23</v>
      </c>
      <c r="Q1327" t="s">
        <v>24</v>
      </c>
      <c r="R1327" t="s">
        <v>25</v>
      </c>
      <c r="S1327" t="s">
        <v>26</v>
      </c>
      <c r="T1327" s="6">
        <v>46307</v>
      </c>
      <c r="U1327">
        <v>48</v>
      </c>
      <c r="V1327">
        <v>48</v>
      </c>
      <c r="W1327">
        <v>48</v>
      </c>
      <c r="X1327">
        <v>48</v>
      </c>
      <c r="Y1327">
        <f t="shared" si="208"/>
        <v>0</v>
      </c>
      <c r="Z1327">
        <f t="shared" si="209"/>
        <v>0</v>
      </c>
      <c r="AC1327" s="1">
        <v>0</v>
      </c>
      <c r="AF1327">
        <f>V1327</f>
        <v>48</v>
      </c>
      <c r="AG1327" s="7">
        <v>12</v>
      </c>
      <c r="AH1327">
        <f t="shared" si="210"/>
        <v>48</v>
      </c>
      <c r="AI1327">
        <f t="shared" si="207"/>
        <v>0</v>
      </c>
      <c r="AK1327">
        <f t="shared" si="211"/>
        <v>4</v>
      </c>
      <c r="AL1327">
        <v>12.09</v>
      </c>
      <c r="AM1327" t="s">
        <v>27</v>
      </c>
      <c r="AN1327">
        <v>12.09</v>
      </c>
      <c r="AO1327" t="b">
        <f t="shared" si="212"/>
        <v>1</v>
      </c>
      <c r="AR1327" t="s">
        <v>5061</v>
      </c>
      <c r="AS1327" s="21">
        <v>46276</v>
      </c>
      <c r="AT1327" t="s">
        <v>5062</v>
      </c>
      <c r="AU1327" t="s">
        <v>5084</v>
      </c>
      <c r="AV1327" t="s">
        <v>5089</v>
      </c>
      <c r="AW1327" t="s">
        <v>5090</v>
      </c>
    </row>
    <row r="1328" spans="1:49" x14ac:dyDescent="0.35">
      <c r="A1328" t="s">
        <v>4105</v>
      </c>
      <c r="B1328" t="s">
        <v>4106</v>
      </c>
      <c r="C1328" t="s">
        <v>4818</v>
      </c>
      <c r="D1328" t="s">
        <v>18</v>
      </c>
      <c r="E1328" t="s">
        <v>4806</v>
      </c>
      <c r="F1328" t="s">
        <v>4807</v>
      </c>
      <c r="G1328" t="s">
        <v>21</v>
      </c>
      <c r="H1328" t="s">
        <v>4826</v>
      </c>
      <c r="I1328" t="s">
        <v>5028</v>
      </c>
      <c r="J1328" s="4" t="s">
        <v>5029</v>
      </c>
      <c r="K1328" s="4" t="s">
        <v>4845</v>
      </c>
      <c r="L1328" s="4" t="s">
        <v>4946</v>
      </c>
      <c r="M1328" s="4" t="s">
        <v>5035</v>
      </c>
      <c r="N1328" t="s">
        <v>15</v>
      </c>
      <c r="O1328" t="s">
        <v>4808</v>
      </c>
      <c r="P1328" t="s">
        <v>23</v>
      </c>
      <c r="Q1328" t="s">
        <v>24</v>
      </c>
      <c r="R1328" t="s">
        <v>25</v>
      </c>
      <c r="S1328" t="s">
        <v>26</v>
      </c>
      <c r="T1328" s="6">
        <v>46307</v>
      </c>
      <c r="U1328">
        <v>192</v>
      </c>
      <c r="V1328">
        <v>192</v>
      </c>
      <c r="W1328">
        <v>204</v>
      </c>
      <c r="X1328">
        <v>204</v>
      </c>
      <c r="Y1328">
        <f t="shared" si="208"/>
        <v>0</v>
      </c>
      <c r="Z1328">
        <f t="shared" si="209"/>
        <v>-12</v>
      </c>
      <c r="AC1328" s="1"/>
      <c r="AF1328">
        <f>V1328</f>
        <v>192</v>
      </c>
      <c r="AG1328" s="7">
        <v>12</v>
      </c>
      <c r="AH1328">
        <f t="shared" si="210"/>
        <v>192</v>
      </c>
      <c r="AI1328">
        <f t="shared" si="207"/>
        <v>0</v>
      </c>
      <c r="AK1328">
        <f t="shared" si="211"/>
        <v>16</v>
      </c>
      <c r="AL1328">
        <v>12.09</v>
      </c>
      <c r="AM1328" t="s">
        <v>27</v>
      </c>
      <c r="AN1328">
        <v>12.09</v>
      </c>
      <c r="AO1328" t="b">
        <f t="shared" si="212"/>
        <v>1</v>
      </c>
      <c r="AR1328" t="s">
        <v>5061</v>
      </c>
      <c r="AS1328" s="21">
        <v>46276</v>
      </c>
      <c r="AT1328" t="s">
        <v>5062</v>
      </c>
      <c r="AU1328" t="s">
        <v>5084</v>
      </c>
      <c r="AV1328" t="s">
        <v>5089</v>
      </c>
      <c r="AW1328" t="s">
        <v>5090</v>
      </c>
    </row>
    <row r="1329" spans="1:49" x14ac:dyDescent="0.35">
      <c r="A1329" t="s">
        <v>4105</v>
      </c>
      <c r="B1329" t="s">
        <v>4106</v>
      </c>
      <c r="C1329" t="s">
        <v>4818</v>
      </c>
      <c r="D1329" t="s">
        <v>18</v>
      </c>
      <c r="E1329" t="s">
        <v>4809</v>
      </c>
      <c r="F1329" t="s">
        <v>4810</v>
      </c>
      <c r="G1329" t="s">
        <v>21</v>
      </c>
      <c r="H1329" t="s">
        <v>4826</v>
      </c>
      <c r="I1329" t="s">
        <v>5028</v>
      </c>
      <c r="J1329" s="4" t="s">
        <v>5029</v>
      </c>
      <c r="K1329" s="4" t="s">
        <v>4832</v>
      </c>
      <c r="L1329" s="4" t="s">
        <v>4961</v>
      </c>
      <c r="M1329" s="4" t="s">
        <v>5035</v>
      </c>
      <c r="N1329" t="s">
        <v>15</v>
      </c>
      <c r="O1329" t="s">
        <v>4811</v>
      </c>
      <c r="P1329" t="s">
        <v>23</v>
      </c>
      <c r="Q1329" t="s">
        <v>24</v>
      </c>
      <c r="R1329" t="s">
        <v>25</v>
      </c>
      <c r="S1329" t="s">
        <v>26</v>
      </c>
      <c r="T1329" s="6">
        <v>46307</v>
      </c>
      <c r="U1329">
        <v>36</v>
      </c>
      <c r="V1329">
        <v>36</v>
      </c>
      <c r="W1329">
        <v>36</v>
      </c>
      <c r="X1329">
        <v>36</v>
      </c>
      <c r="Y1329">
        <f t="shared" si="208"/>
        <v>0</v>
      </c>
      <c r="Z1329">
        <f t="shared" si="209"/>
        <v>0</v>
      </c>
      <c r="AC1329" s="1">
        <v>0</v>
      </c>
      <c r="AF1329">
        <f>V1329</f>
        <v>36</v>
      </c>
      <c r="AG1329" s="7">
        <v>12</v>
      </c>
      <c r="AH1329">
        <f t="shared" si="210"/>
        <v>36</v>
      </c>
      <c r="AI1329">
        <f t="shared" si="207"/>
        <v>0</v>
      </c>
      <c r="AK1329">
        <f t="shared" si="211"/>
        <v>3</v>
      </c>
      <c r="AL1329">
        <v>12.09</v>
      </c>
      <c r="AM1329" t="s">
        <v>27</v>
      </c>
      <c r="AN1329">
        <v>12.09</v>
      </c>
      <c r="AO1329" t="b">
        <f t="shared" si="212"/>
        <v>1</v>
      </c>
      <c r="AR1329" t="s">
        <v>5061</v>
      </c>
      <c r="AS1329" s="21">
        <v>46276</v>
      </c>
      <c r="AT1329" t="s">
        <v>5062</v>
      </c>
      <c r="AU1329" t="s">
        <v>5084</v>
      </c>
      <c r="AV1329" t="s">
        <v>5089</v>
      </c>
      <c r="AW1329" t="s">
        <v>5090</v>
      </c>
    </row>
    <row r="1330" spans="1:49" x14ac:dyDescent="0.35">
      <c r="A1330" t="s">
        <v>4105</v>
      </c>
      <c r="B1330" t="s">
        <v>4106</v>
      </c>
      <c r="C1330" t="s">
        <v>4818</v>
      </c>
      <c r="D1330" t="s">
        <v>18</v>
      </c>
      <c r="E1330" t="s">
        <v>4812</v>
      </c>
      <c r="F1330" t="s">
        <v>4813</v>
      </c>
      <c r="G1330" t="s">
        <v>21</v>
      </c>
      <c r="H1330" t="s">
        <v>4826</v>
      </c>
      <c r="I1330" t="s">
        <v>5028</v>
      </c>
      <c r="J1330" s="4" t="s">
        <v>5029</v>
      </c>
      <c r="K1330" s="4" t="s">
        <v>4832</v>
      </c>
      <c r="L1330" s="4" t="s">
        <v>4948</v>
      </c>
      <c r="M1330" s="4" t="s">
        <v>5035</v>
      </c>
      <c r="N1330" t="s">
        <v>15</v>
      </c>
      <c r="O1330" t="s">
        <v>4814</v>
      </c>
      <c r="P1330" t="s">
        <v>23</v>
      </c>
      <c r="Q1330" t="s">
        <v>24</v>
      </c>
      <c r="R1330" t="s">
        <v>25</v>
      </c>
      <c r="S1330" t="s">
        <v>26</v>
      </c>
      <c r="T1330" s="6">
        <v>46307</v>
      </c>
      <c r="U1330">
        <v>24</v>
      </c>
      <c r="V1330">
        <v>24</v>
      </c>
      <c r="W1330">
        <v>24</v>
      </c>
      <c r="X1330">
        <v>24</v>
      </c>
      <c r="Y1330">
        <f t="shared" si="208"/>
        <v>0</v>
      </c>
      <c r="Z1330">
        <f t="shared" si="209"/>
        <v>0</v>
      </c>
      <c r="AC1330" s="1">
        <v>0</v>
      </c>
      <c r="AF1330">
        <f>V1330</f>
        <v>24</v>
      </c>
      <c r="AG1330" s="7">
        <v>12</v>
      </c>
      <c r="AH1330">
        <f t="shared" si="210"/>
        <v>24</v>
      </c>
      <c r="AI1330">
        <f t="shared" si="207"/>
        <v>0</v>
      </c>
      <c r="AK1330">
        <f t="shared" si="211"/>
        <v>2</v>
      </c>
      <c r="AL1330">
        <v>12.09</v>
      </c>
      <c r="AM1330" t="s">
        <v>27</v>
      </c>
      <c r="AN1330">
        <v>12.09</v>
      </c>
      <c r="AO1330" t="b">
        <f t="shared" si="212"/>
        <v>1</v>
      </c>
      <c r="AR1330" t="s">
        <v>5061</v>
      </c>
      <c r="AS1330" s="21">
        <v>46276</v>
      </c>
      <c r="AT1330" t="s">
        <v>5062</v>
      </c>
      <c r="AU1330" t="s">
        <v>5084</v>
      </c>
      <c r="AV1330" t="s">
        <v>5089</v>
      </c>
      <c r="AW1330" t="s">
        <v>5090</v>
      </c>
    </row>
    <row r="1331" spans="1:49" x14ac:dyDescent="0.35">
      <c r="A1331" t="s">
        <v>4105</v>
      </c>
      <c r="B1331" t="s">
        <v>4106</v>
      </c>
      <c r="C1331" t="s">
        <v>4818</v>
      </c>
      <c r="D1331" t="s">
        <v>18</v>
      </c>
      <c r="E1331" t="s">
        <v>4815</v>
      </c>
      <c r="F1331" t="s">
        <v>4816</v>
      </c>
      <c r="G1331" t="s">
        <v>21</v>
      </c>
      <c r="H1331" t="s">
        <v>4826</v>
      </c>
      <c r="I1331" t="s">
        <v>5030</v>
      </c>
      <c r="J1331" s="4" t="s">
        <v>5031</v>
      </c>
      <c r="K1331" s="4" t="s">
        <v>5034</v>
      </c>
      <c r="L1331" s="4" t="s">
        <v>4949</v>
      </c>
      <c r="M1331" s="4" t="s">
        <v>5035</v>
      </c>
      <c r="N1331" t="s">
        <v>15</v>
      </c>
      <c r="O1331" t="s">
        <v>4817</v>
      </c>
      <c r="P1331" t="s">
        <v>23</v>
      </c>
      <c r="Q1331" t="s">
        <v>24</v>
      </c>
      <c r="R1331" t="s">
        <v>25</v>
      </c>
      <c r="S1331" t="s">
        <v>26</v>
      </c>
      <c r="T1331" s="6">
        <v>46307</v>
      </c>
      <c r="U1331">
        <v>36</v>
      </c>
      <c r="V1331">
        <v>36</v>
      </c>
      <c r="W1331">
        <v>36</v>
      </c>
      <c r="X1331">
        <v>36</v>
      </c>
      <c r="Y1331">
        <f t="shared" si="208"/>
        <v>0</v>
      </c>
      <c r="Z1331">
        <f t="shared" si="209"/>
        <v>0</v>
      </c>
      <c r="AC1331" s="1">
        <v>0</v>
      </c>
      <c r="AF1331">
        <f>V1331</f>
        <v>36</v>
      </c>
      <c r="AG1331" s="7">
        <v>12</v>
      </c>
      <c r="AH1331">
        <f t="shared" si="210"/>
        <v>36</v>
      </c>
      <c r="AI1331">
        <f t="shared" si="207"/>
        <v>0</v>
      </c>
      <c r="AK1331">
        <f t="shared" si="211"/>
        <v>3</v>
      </c>
      <c r="AL1331">
        <v>12.02</v>
      </c>
      <c r="AM1331" t="s">
        <v>27</v>
      </c>
      <c r="AN1331">
        <v>12.02</v>
      </c>
      <c r="AO1331" t="b">
        <f t="shared" si="212"/>
        <v>1</v>
      </c>
      <c r="AR1331" t="s">
        <v>5061</v>
      </c>
      <c r="AS1331" s="21">
        <v>46276</v>
      </c>
      <c r="AT1331" t="s">
        <v>5062</v>
      </c>
      <c r="AU1331" t="s">
        <v>5085</v>
      </c>
      <c r="AV1331" t="s">
        <v>5089</v>
      </c>
      <c r="AW1331" t="s">
        <v>5090</v>
      </c>
    </row>
    <row r="1332" spans="1:49" x14ac:dyDescent="0.35">
      <c r="A1332" t="s">
        <v>5101</v>
      </c>
      <c r="B1332" t="s">
        <v>17</v>
      </c>
      <c r="C1332" t="s">
        <v>4818</v>
      </c>
      <c r="D1332" t="s">
        <v>18</v>
      </c>
      <c r="E1332" t="s">
        <v>19</v>
      </c>
      <c r="F1332" t="s">
        <v>20</v>
      </c>
      <c r="G1332" t="s">
        <v>21</v>
      </c>
      <c r="H1332" t="s">
        <v>4826</v>
      </c>
      <c r="I1332" t="s">
        <v>4827</v>
      </c>
      <c r="J1332" s="4" t="s">
        <v>4828</v>
      </c>
      <c r="K1332" s="4" t="s">
        <v>4829</v>
      </c>
      <c r="L1332" s="4">
        <v>32</v>
      </c>
      <c r="M1332" s="4" t="s">
        <v>5035</v>
      </c>
      <c r="N1332" t="s">
        <v>15</v>
      </c>
      <c r="O1332" t="s">
        <v>22</v>
      </c>
      <c r="P1332" t="s">
        <v>23</v>
      </c>
      <c r="Q1332" t="s">
        <v>24</v>
      </c>
      <c r="R1332" t="s">
        <v>5216</v>
      </c>
      <c r="S1332" t="s">
        <v>5217</v>
      </c>
      <c r="T1332" s="6">
        <v>46307</v>
      </c>
      <c r="U1332">
        <v>12</v>
      </c>
      <c r="V1332">
        <v>12</v>
      </c>
      <c r="W1332">
        <v>12</v>
      </c>
      <c r="X1332">
        <v>12</v>
      </c>
      <c r="Y1332">
        <f t="shared" si="208"/>
        <v>0</v>
      </c>
      <c r="AC1332" s="1">
        <v>12</v>
      </c>
      <c r="AF1332">
        <v>12</v>
      </c>
      <c r="AG1332" s="7">
        <v>12</v>
      </c>
      <c r="AH1332">
        <f>ROUNDUP(AF1332/AG1332,0)*AG1332</f>
        <v>12</v>
      </c>
      <c r="AI1332">
        <f t="shared" si="207"/>
        <v>0</v>
      </c>
      <c r="AK1332">
        <f t="shared" si="211"/>
        <v>1</v>
      </c>
      <c r="AL1332">
        <v>8.2100000000000009</v>
      </c>
      <c r="AM1332" t="s">
        <v>27</v>
      </c>
      <c r="AN1332">
        <v>8.2100000000000009</v>
      </c>
      <c r="AO1332" t="b">
        <f t="shared" si="212"/>
        <v>1</v>
      </c>
      <c r="AR1332" t="s">
        <v>5061</v>
      </c>
      <c r="AS1332" s="21">
        <v>46285</v>
      </c>
      <c r="AT1332" t="s">
        <v>5062</v>
      </c>
      <c r="AU1332" t="s">
        <v>5063</v>
      </c>
      <c r="AV1332" t="s">
        <v>5087</v>
      </c>
      <c r="AW1332" t="s">
        <v>5316</v>
      </c>
    </row>
    <row r="1333" spans="1:49" x14ac:dyDescent="0.35">
      <c r="A1333" t="s">
        <v>5101</v>
      </c>
      <c r="B1333" t="s">
        <v>17</v>
      </c>
      <c r="C1333" t="s">
        <v>4818</v>
      </c>
      <c r="D1333" t="s">
        <v>18</v>
      </c>
      <c r="E1333" t="s">
        <v>34</v>
      </c>
      <c r="F1333" t="s">
        <v>35</v>
      </c>
      <c r="G1333" t="s">
        <v>21</v>
      </c>
      <c r="H1333" t="s">
        <v>4826</v>
      </c>
      <c r="I1333" t="s">
        <v>4827</v>
      </c>
      <c r="J1333" s="4" t="s">
        <v>4828</v>
      </c>
      <c r="K1333" s="4" t="s">
        <v>4830</v>
      </c>
      <c r="L1333" s="4">
        <v>34</v>
      </c>
      <c r="M1333" s="4" t="s">
        <v>5035</v>
      </c>
      <c r="N1333" t="s">
        <v>15</v>
      </c>
      <c r="O1333" t="s">
        <v>36</v>
      </c>
      <c r="P1333" t="s">
        <v>23</v>
      </c>
      <c r="Q1333" t="s">
        <v>24</v>
      </c>
      <c r="R1333" t="s">
        <v>5216</v>
      </c>
      <c r="S1333" t="s">
        <v>5217</v>
      </c>
      <c r="T1333" s="6">
        <v>46307</v>
      </c>
      <c r="U1333">
        <v>48</v>
      </c>
      <c r="V1333">
        <v>48</v>
      </c>
      <c r="W1333">
        <v>48</v>
      </c>
      <c r="X1333">
        <v>48</v>
      </c>
      <c r="Y1333">
        <f t="shared" si="208"/>
        <v>0</v>
      </c>
      <c r="AC1333" s="1">
        <v>48</v>
      </c>
      <c r="AF1333">
        <v>48</v>
      </c>
      <c r="AG1333" s="7">
        <v>12</v>
      </c>
      <c r="AH1333">
        <f t="shared" ref="AH1333:AH1396" si="216">ROUNDUP(AF1333/AG1333,0)*AG1333</f>
        <v>48</v>
      </c>
      <c r="AI1333">
        <f t="shared" si="207"/>
        <v>0</v>
      </c>
      <c r="AK1333">
        <f t="shared" si="211"/>
        <v>4</v>
      </c>
      <c r="AL1333">
        <v>8.2100000000000009</v>
      </c>
      <c r="AM1333" t="s">
        <v>27</v>
      </c>
      <c r="AN1333">
        <v>8.2100000000000009</v>
      </c>
      <c r="AO1333" t="b">
        <f t="shared" si="212"/>
        <v>1</v>
      </c>
      <c r="AR1333" t="s">
        <v>5061</v>
      </c>
      <c r="AS1333" s="21">
        <v>46285</v>
      </c>
      <c r="AT1333" t="s">
        <v>5062</v>
      </c>
      <c r="AU1333" t="s">
        <v>5063</v>
      </c>
      <c r="AV1333" t="s">
        <v>5087</v>
      </c>
      <c r="AW1333" t="s">
        <v>5316</v>
      </c>
    </row>
    <row r="1334" spans="1:49" x14ac:dyDescent="0.35">
      <c r="A1334" t="s">
        <v>5101</v>
      </c>
      <c r="B1334" t="s">
        <v>17</v>
      </c>
      <c r="C1334" t="s">
        <v>4818</v>
      </c>
      <c r="D1334" t="s">
        <v>18</v>
      </c>
      <c r="E1334" t="s">
        <v>37</v>
      </c>
      <c r="F1334" t="s">
        <v>38</v>
      </c>
      <c r="G1334" t="s">
        <v>21</v>
      </c>
      <c r="H1334" t="s">
        <v>4826</v>
      </c>
      <c r="I1334" t="s">
        <v>4827</v>
      </c>
      <c r="J1334" s="4" t="s">
        <v>4828</v>
      </c>
      <c r="K1334" s="4" t="s">
        <v>4830</v>
      </c>
      <c r="L1334" s="4">
        <v>33</v>
      </c>
      <c r="M1334" s="4" t="s">
        <v>5035</v>
      </c>
      <c r="N1334" t="s">
        <v>15</v>
      </c>
      <c r="O1334" t="s">
        <v>39</v>
      </c>
      <c r="P1334" t="s">
        <v>23</v>
      </c>
      <c r="Q1334" t="s">
        <v>24</v>
      </c>
      <c r="R1334" t="s">
        <v>5216</v>
      </c>
      <c r="S1334" t="s">
        <v>5217</v>
      </c>
      <c r="T1334" s="6">
        <v>46307</v>
      </c>
      <c r="U1334">
        <v>12</v>
      </c>
      <c r="V1334">
        <v>12</v>
      </c>
      <c r="W1334">
        <v>12</v>
      </c>
      <c r="X1334">
        <v>12</v>
      </c>
      <c r="Y1334">
        <f t="shared" si="208"/>
        <v>0</v>
      </c>
      <c r="AC1334" s="1">
        <v>12</v>
      </c>
      <c r="AF1334">
        <v>12</v>
      </c>
      <c r="AG1334" s="7">
        <v>12</v>
      </c>
      <c r="AH1334">
        <f t="shared" si="216"/>
        <v>12</v>
      </c>
      <c r="AI1334">
        <f t="shared" si="207"/>
        <v>0</v>
      </c>
      <c r="AK1334">
        <f t="shared" si="211"/>
        <v>1</v>
      </c>
      <c r="AL1334">
        <v>8.2100000000000009</v>
      </c>
      <c r="AM1334" t="s">
        <v>27</v>
      </c>
      <c r="AN1334">
        <v>8.2100000000000009</v>
      </c>
      <c r="AO1334" t="b">
        <f t="shared" si="212"/>
        <v>1</v>
      </c>
      <c r="AR1334" t="s">
        <v>5061</v>
      </c>
      <c r="AS1334" s="21">
        <v>46285</v>
      </c>
      <c r="AT1334" t="s">
        <v>5062</v>
      </c>
      <c r="AU1334" t="s">
        <v>5063</v>
      </c>
      <c r="AV1334" t="s">
        <v>5087</v>
      </c>
      <c r="AW1334" t="s">
        <v>5316</v>
      </c>
    </row>
    <row r="1335" spans="1:49" x14ac:dyDescent="0.35">
      <c r="A1335" t="s">
        <v>5101</v>
      </c>
      <c r="B1335" t="s">
        <v>17</v>
      </c>
      <c r="C1335" t="s">
        <v>4818</v>
      </c>
      <c r="D1335" t="s">
        <v>18</v>
      </c>
      <c r="E1335" t="s">
        <v>40</v>
      </c>
      <c r="F1335" t="s">
        <v>41</v>
      </c>
      <c r="G1335" t="s">
        <v>21</v>
      </c>
      <c r="H1335" t="s">
        <v>4826</v>
      </c>
      <c r="I1335" t="s">
        <v>4827</v>
      </c>
      <c r="J1335" s="4" t="s">
        <v>4828</v>
      </c>
      <c r="K1335" s="4" t="s">
        <v>4829</v>
      </c>
      <c r="L1335" s="4">
        <v>30</v>
      </c>
      <c r="M1335" s="4" t="s">
        <v>5035</v>
      </c>
      <c r="N1335" t="s">
        <v>15</v>
      </c>
      <c r="O1335" t="s">
        <v>42</v>
      </c>
      <c r="P1335" t="s">
        <v>23</v>
      </c>
      <c r="Q1335" t="s">
        <v>24</v>
      </c>
      <c r="R1335" t="s">
        <v>5216</v>
      </c>
      <c r="S1335" t="s">
        <v>5217</v>
      </c>
      <c r="T1335" s="6">
        <v>46307</v>
      </c>
      <c r="U1335">
        <v>12</v>
      </c>
      <c r="V1335">
        <v>12</v>
      </c>
      <c r="W1335">
        <v>12</v>
      </c>
      <c r="X1335">
        <v>12</v>
      </c>
      <c r="Y1335">
        <f t="shared" si="208"/>
        <v>0</v>
      </c>
      <c r="AC1335" s="1">
        <v>12</v>
      </c>
      <c r="AF1335">
        <v>12</v>
      </c>
      <c r="AG1335" s="7">
        <v>12</v>
      </c>
      <c r="AH1335">
        <f t="shared" si="216"/>
        <v>12</v>
      </c>
      <c r="AI1335">
        <f t="shared" si="207"/>
        <v>0</v>
      </c>
      <c r="AK1335">
        <f t="shared" si="211"/>
        <v>1</v>
      </c>
      <c r="AL1335">
        <v>8.2100000000000009</v>
      </c>
      <c r="AM1335" t="s">
        <v>27</v>
      </c>
      <c r="AN1335">
        <v>8.2100000000000009</v>
      </c>
      <c r="AO1335" t="b">
        <f t="shared" si="212"/>
        <v>1</v>
      </c>
      <c r="AR1335" t="s">
        <v>5061</v>
      </c>
      <c r="AS1335" s="21">
        <v>46285</v>
      </c>
      <c r="AT1335" t="s">
        <v>5062</v>
      </c>
      <c r="AU1335" t="s">
        <v>5063</v>
      </c>
      <c r="AV1335" t="s">
        <v>5087</v>
      </c>
      <c r="AW1335" t="s">
        <v>5316</v>
      </c>
    </row>
    <row r="1336" spans="1:49" x14ac:dyDescent="0.35">
      <c r="A1336" t="s">
        <v>5101</v>
      </c>
      <c r="B1336" t="s">
        <v>17</v>
      </c>
      <c r="C1336" t="s">
        <v>4818</v>
      </c>
      <c r="D1336" t="s">
        <v>18</v>
      </c>
      <c r="E1336" t="s">
        <v>52</v>
      </c>
      <c r="F1336" t="s">
        <v>53</v>
      </c>
      <c r="G1336" t="s">
        <v>21</v>
      </c>
      <c r="H1336" t="s">
        <v>4826</v>
      </c>
      <c r="I1336" t="s">
        <v>4827</v>
      </c>
      <c r="J1336" s="4" t="s">
        <v>4828</v>
      </c>
      <c r="K1336" s="4" t="s">
        <v>4832</v>
      </c>
      <c r="L1336" s="4">
        <v>34</v>
      </c>
      <c r="M1336" s="4" t="s">
        <v>5035</v>
      </c>
      <c r="N1336" t="s">
        <v>15</v>
      </c>
      <c r="O1336" t="s">
        <v>54</v>
      </c>
      <c r="P1336" t="s">
        <v>23</v>
      </c>
      <c r="Q1336" t="s">
        <v>24</v>
      </c>
      <c r="R1336" t="s">
        <v>5216</v>
      </c>
      <c r="S1336" t="s">
        <v>5217</v>
      </c>
      <c r="T1336" s="6">
        <v>46307</v>
      </c>
      <c r="U1336">
        <v>12</v>
      </c>
      <c r="V1336">
        <v>12</v>
      </c>
      <c r="W1336">
        <v>12</v>
      </c>
      <c r="X1336">
        <v>12</v>
      </c>
      <c r="Y1336">
        <f t="shared" si="208"/>
        <v>0</v>
      </c>
      <c r="AC1336" s="1">
        <v>12</v>
      </c>
      <c r="AF1336">
        <v>12</v>
      </c>
      <c r="AG1336" s="7">
        <v>12</v>
      </c>
      <c r="AH1336">
        <f t="shared" si="216"/>
        <v>12</v>
      </c>
      <c r="AI1336">
        <f t="shared" si="207"/>
        <v>0</v>
      </c>
      <c r="AK1336">
        <f t="shared" si="211"/>
        <v>1</v>
      </c>
      <c r="AL1336">
        <v>8.2100000000000009</v>
      </c>
      <c r="AM1336" t="s">
        <v>27</v>
      </c>
      <c r="AN1336">
        <v>8.2100000000000009</v>
      </c>
      <c r="AO1336" t="b">
        <f t="shared" si="212"/>
        <v>1</v>
      </c>
      <c r="AR1336" t="s">
        <v>5061</v>
      </c>
      <c r="AS1336" s="21">
        <v>46285</v>
      </c>
      <c r="AT1336" t="s">
        <v>5062</v>
      </c>
      <c r="AU1336" t="s">
        <v>5063</v>
      </c>
      <c r="AV1336" t="s">
        <v>5087</v>
      </c>
      <c r="AW1336" t="s">
        <v>5316</v>
      </c>
    </row>
    <row r="1337" spans="1:49" x14ac:dyDescent="0.35">
      <c r="A1337" t="s">
        <v>5101</v>
      </c>
      <c r="B1337" t="s">
        <v>17</v>
      </c>
      <c r="C1337" t="s">
        <v>4818</v>
      </c>
      <c r="D1337" t="s">
        <v>18</v>
      </c>
      <c r="E1337" t="s">
        <v>58</v>
      </c>
      <c r="F1337" t="s">
        <v>59</v>
      </c>
      <c r="G1337" t="s">
        <v>21</v>
      </c>
      <c r="H1337" t="s">
        <v>4826</v>
      </c>
      <c r="I1337" t="s">
        <v>4827</v>
      </c>
      <c r="J1337" s="4" t="s">
        <v>4828</v>
      </c>
      <c r="K1337" s="4" t="s">
        <v>4830</v>
      </c>
      <c r="L1337" s="4">
        <v>32</v>
      </c>
      <c r="M1337" s="4" t="s">
        <v>5035</v>
      </c>
      <c r="N1337" t="s">
        <v>15</v>
      </c>
      <c r="O1337" t="s">
        <v>60</v>
      </c>
      <c r="P1337" t="s">
        <v>23</v>
      </c>
      <c r="Q1337" t="s">
        <v>24</v>
      </c>
      <c r="R1337" t="s">
        <v>5216</v>
      </c>
      <c r="S1337" t="s">
        <v>5217</v>
      </c>
      <c r="T1337" s="6">
        <v>46307</v>
      </c>
      <c r="U1337">
        <v>12</v>
      </c>
      <c r="V1337">
        <v>12</v>
      </c>
      <c r="W1337">
        <v>12</v>
      </c>
      <c r="X1337">
        <v>12</v>
      </c>
      <c r="Y1337">
        <f t="shared" si="208"/>
        <v>0</v>
      </c>
      <c r="AC1337" s="1">
        <v>12</v>
      </c>
      <c r="AF1337">
        <v>12</v>
      </c>
      <c r="AG1337" s="7">
        <v>12</v>
      </c>
      <c r="AH1337">
        <f t="shared" si="216"/>
        <v>12</v>
      </c>
      <c r="AI1337">
        <f t="shared" si="207"/>
        <v>0</v>
      </c>
      <c r="AK1337">
        <f t="shared" si="211"/>
        <v>1</v>
      </c>
      <c r="AL1337">
        <v>8.2100000000000009</v>
      </c>
      <c r="AM1337" t="s">
        <v>27</v>
      </c>
      <c r="AN1337">
        <v>8.2100000000000009</v>
      </c>
      <c r="AO1337" t="b">
        <f t="shared" si="212"/>
        <v>1</v>
      </c>
      <c r="AR1337" t="s">
        <v>5061</v>
      </c>
      <c r="AS1337" s="21">
        <v>46285</v>
      </c>
      <c r="AT1337" t="s">
        <v>5062</v>
      </c>
      <c r="AU1337" t="s">
        <v>5063</v>
      </c>
      <c r="AV1337" t="s">
        <v>5087</v>
      </c>
      <c r="AW1337" t="s">
        <v>5316</v>
      </c>
    </row>
    <row r="1338" spans="1:49" x14ac:dyDescent="0.35">
      <c r="A1338" t="s">
        <v>5101</v>
      </c>
      <c r="B1338" t="s">
        <v>17</v>
      </c>
      <c r="C1338" t="s">
        <v>4818</v>
      </c>
      <c r="D1338" t="s">
        <v>18</v>
      </c>
      <c r="E1338" t="s">
        <v>67</v>
      </c>
      <c r="F1338" t="s">
        <v>68</v>
      </c>
      <c r="G1338" t="s">
        <v>21</v>
      </c>
      <c r="H1338" t="s">
        <v>4826</v>
      </c>
      <c r="I1338" t="s">
        <v>4827</v>
      </c>
      <c r="J1338" s="4" t="s">
        <v>4828</v>
      </c>
      <c r="K1338" s="4" t="s">
        <v>4833</v>
      </c>
      <c r="L1338" s="4">
        <v>34</v>
      </c>
      <c r="M1338" s="4" t="s">
        <v>5035</v>
      </c>
      <c r="N1338" t="s">
        <v>15</v>
      </c>
      <c r="O1338" t="s">
        <v>69</v>
      </c>
      <c r="P1338" t="s">
        <v>23</v>
      </c>
      <c r="Q1338" t="s">
        <v>24</v>
      </c>
      <c r="R1338" t="s">
        <v>5216</v>
      </c>
      <c r="S1338" t="s">
        <v>5217</v>
      </c>
      <c r="T1338" s="6">
        <v>46307</v>
      </c>
      <c r="U1338">
        <v>36</v>
      </c>
      <c r="V1338">
        <v>36</v>
      </c>
      <c r="W1338">
        <v>36</v>
      </c>
      <c r="X1338">
        <v>36</v>
      </c>
      <c r="Y1338">
        <f t="shared" si="208"/>
        <v>0</v>
      </c>
      <c r="AC1338" s="1">
        <v>36</v>
      </c>
      <c r="AF1338">
        <v>36</v>
      </c>
      <c r="AG1338" s="7">
        <v>12</v>
      </c>
      <c r="AH1338">
        <f t="shared" si="216"/>
        <v>36</v>
      </c>
      <c r="AI1338">
        <f t="shared" si="207"/>
        <v>0</v>
      </c>
      <c r="AK1338">
        <f t="shared" si="211"/>
        <v>3</v>
      </c>
      <c r="AL1338">
        <v>8.2100000000000009</v>
      </c>
      <c r="AM1338" t="s">
        <v>27</v>
      </c>
      <c r="AN1338">
        <v>8.2100000000000009</v>
      </c>
      <c r="AO1338" t="b">
        <f t="shared" si="212"/>
        <v>1</v>
      </c>
      <c r="AR1338" t="s">
        <v>5061</v>
      </c>
      <c r="AS1338" s="21">
        <v>46285</v>
      </c>
      <c r="AT1338" t="s">
        <v>5062</v>
      </c>
      <c r="AU1338" t="s">
        <v>5063</v>
      </c>
      <c r="AV1338" t="s">
        <v>5087</v>
      </c>
      <c r="AW1338" t="s">
        <v>5316</v>
      </c>
    </row>
    <row r="1339" spans="1:49" x14ac:dyDescent="0.35">
      <c r="A1339" t="s">
        <v>5101</v>
      </c>
      <c r="B1339" t="s">
        <v>17</v>
      </c>
      <c r="C1339" t="s">
        <v>4818</v>
      </c>
      <c r="D1339" t="s">
        <v>18</v>
      </c>
      <c r="E1339" t="s">
        <v>70</v>
      </c>
      <c r="F1339" t="s">
        <v>71</v>
      </c>
      <c r="G1339" t="s">
        <v>21</v>
      </c>
      <c r="H1339" t="s">
        <v>4826</v>
      </c>
      <c r="I1339" t="s">
        <v>4827</v>
      </c>
      <c r="J1339" s="4" t="s">
        <v>4828</v>
      </c>
      <c r="K1339" s="4" t="s">
        <v>4830</v>
      </c>
      <c r="L1339" s="4">
        <v>36</v>
      </c>
      <c r="M1339" s="4" t="s">
        <v>5035</v>
      </c>
      <c r="N1339" t="s">
        <v>15</v>
      </c>
      <c r="O1339" t="s">
        <v>72</v>
      </c>
      <c r="P1339" t="s">
        <v>23</v>
      </c>
      <c r="Q1339" t="s">
        <v>24</v>
      </c>
      <c r="R1339" t="s">
        <v>5216</v>
      </c>
      <c r="S1339" t="s">
        <v>5217</v>
      </c>
      <c r="T1339" s="6">
        <v>46307</v>
      </c>
      <c r="U1339">
        <v>24</v>
      </c>
      <c r="V1339">
        <v>24</v>
      </c>
      <c r="W1339">
        <v>24</v>
      </c>
      <c r="X1339">
        <v>24</v>
      </c>
      <c r="Y1339">
        <f t="shared" si="208"/>
        <v>0</v>
      </c>
      <c r="AC1339" s="1">
        <v>24</v>
      </c>
      <c r="AF1339">
        <v>24</v>
      </c>
      <c r="AG1339" s="7">
        <v>12</v>
      </c>
      <c r="AH1339">
        <f t="shared" si="216"/>
        <v>24</v>
      </c>
      <c r="AI1339">
        <f t="shared" si="207"/>
        <v>0</v>
      </c>
      <c r="AK1339">
        <f t="shared" si="211"/>
        <v>2</v>
      </c>
      <c r="AL1339">
        <v>8.2100000000000009</v>
      </c>
      <c r="AM1339" t="s">
        <v>27</v>
      </c>
      <c r="AN1339">
        <v>8.2100000000000009</v>
      </c>
      <c r="AO1339" t="b">
        <f t="shared" si="212"/>
        <v>1</v>
      </c>
      <c r="AR1339" t="s">
        <v>5061</v>
      </c>
      <c r="AS1339" s="21">
        <v>46285</v>
      </c>
      <c r="AT1339" t="s">
        <v>5062</v>
      </c>
      <c r="AU1339" t="s">
        <v>5063</v>
      </c>
      <c r="AV1339" t="s">
        <v>5087</v>
      </c>
      <c r="AW1339" t="s">
        <v>5316</v>
      </c>
    </row>
    <row r="1340" spans="1:49" x14ac:dyDescent="0.35">
      <c r="A1340" t="s">
        <v>5102</v>
      </c>
      <c r="B1340" t="s">
        <v>4106</v>
      </c>
      <c r="C1340" t="s">
        <v>4818</v>
      </c>
      <c r="D1340" t="s">
        <v>18</v>
      </c>
      <c r="E1340" t="s">
        <v>4152</v>
      </c>
      <c r="F1340" t="s">
        <v>4153</v>
      </c>
      <c r="G1340" t="s">
        <v>21</v>
      </c>
      <c r="H1340" t="s">
        <v>4826</v>
      </c>
      <c r="I1340" t="s">
        <v>5028</v>
      </c>
      <c r="J1340" s="4" t="s">
        <v>5029</v>
      </c>
      <c r="K1340" s="4" t="s">
        <v>4837</v>
      </c>
      <c r="L1340" s="4" t="s">
        <v>4944</v>
      </c>
      <c r="M1340" s="4" t="s">
        <v>5035</v>
      </c>
      <c r="N1340" t="s">
        <v>15</v>
      </c>
      <c r="O1340" t="s">
        <v>4154</v>
      </c>
      <c r="P1340" t="s">
        <v>23</v>
      </c>
      <c r="Q1340" t="s">
        <v>24</v>
      </c>
      <c r="R1340" t="s">
        <v>5216</v>
      </c>
      <c r="S1340" t="s">
        <v>5217</v>
      </c>
      <c r="T1340" s="6">
        <v>46307</v>
      </c>
      <c r="U1340">
        <v>12</v>
      </c>
      <c r="V1340">
        <v>12</v>
      </c>
      <c r="W1340">
        <v>12</v>
      </c>
      <c r="X1340">
        <v>12</v>
      </c>
      <c r="Y1340">
        <f t="shared" si="208"/>
        <v>0</v>
      </c>
      <c r="AC1340" s="1">
        <v>12</v>
      </c>
      <c r="AF1340">
        <v>12</v>
      </c>
      <c r="AG1340" s="7">
        <v>12</v>
      </c>
      <c r="AH1340">
        <f t="shared" si="216"/>
        <v>12</v>
      </c>
      <c r="AI1340">
        <f t="shared" si="207"/>
        <v>0</v>
      </c>
      <c r="AK1340">
        <f t="shared" si="211"/>
        <v>1</v>
      </c>
      <c r="AL1340">
        <v>12.09</v>
      </c>
      <c r="AM1340" t="s">
        <v>27</v>
      </c>
      <c r="AN1340">
        <v>12.09</v>
      </c>
      <c r="AO1340" t="b">
        <f t="shared" si="212"/>
        <v>1</v>
      </c>
      <c r="AR1340" t="s">
        <v>5061</v>
      </c>
      <c r="AS1340" s="21">
        <v>46285</v>
      </c>
      <c r="AT1340" t="s">
        <v>5062</v>
      </c>
      <c r="AU1340" t="s">
        <v>5084</v>
      </c>
      <c r="AV1340" t="s">
        <v>5089</v>
      </c>
      <c r="AW1340" t="s">
        <v>5316</v>
      </c>
    </row>
    <row r="1341" spans="1:49" x14ac:dyDescent="0.35">
      <c r="A1341" t="s">
        <v>5102</v>
      </c>
      <c r="B1341" t="s">
        <v>4106</v>
      </c>
      <c r="C1341" t="s">
        <v>4818</v>
      </c>
      <c r="D1341" t="s">
        <v>18</v>
      </c>
      <c r="E1341" t="s">
        <v>4164</v>
      </c>
      <c r="F1341" t="s">
        <v>4165</v>
      </c>
      <c r="G1341" t="s">
        <v>21</v>
      </c>
      <c r="H1341" t="s">
        <v>4826</v>
      </c>
      <c r="I1341" t="s">
        <v>5030</v>
      </c>
      <c r="J1341" s="4" t="s">
        <v>5031</v>
      </c>
      <c r="K1341" s="4" t="s">
        <v>4845</v>
      </c>
      <c r="L1341" s="4" t="s">
        <v>4941</v>
      </c>
      <c r="M1341" s="4" t="s">
        <v>5035</v>
      </c>
      <c r="N1341" t="s">
        <v>15</v>
      </c>
      <c r="O1341" t="s">
        <v>4166</v>
      </c>
      <c r="P1341" t="s">
        <v>23</v>
      </c>
      <c r="Q1341" t="s">
        <v>24</v>
      </c>
      <c r="R1341" t="s">
        <v>5216</v>
      </c>
      <c r="S1341" t="s">
        <v>5217</v>
      </c>
      <c r="T1341" s="6">
        <v>46307</v>
      </c>
      <c r="U1341">
        <v>12</v>
      </c>
      <c r="V1341">
        <v>12</v>
      </c>
      <c r="W1341">
        <v>12</v>
      </c>
      <c r="X1341">
        <v>12</v>
      </c>
      <c r="Y1341">
        <f t="shared" si="208"/>
        <v>0</v>
      </c>
      <c r="AC1341" s="1">
        <v>12</v>
      </c>
      <c r="AF1341">
        <v>12</v>
      </c>
      <c r="AG1341" s="7">
        <v>12</v>
      </c>
      <c r="AH1341">
        <f t="shared" si="216"/>
        <v>12</v>
      </c>
      <c r="AI1341">
        <f t="shared" si="207"/>
        <v>0</v>
      </c>
      <c r="AK1341">
        <f t="shared" si="211"/>
        <v>1</v>
      </c>
      <c r="AL1341">
        <v>12.02</v>
      </c>
      <c r="AM1341" t="s">
        <v>27</v>
      </c>
      <c r="AN1341">
        <v>12.02</v>
      </c>
      <c r="AO1341" t="b">
        <f t="shared" si="212"/>
        <v>1</v>
      </c>
      <c r="AR1341" t="s">
        <v>5061</v>
      </c>
      <c r="AS1341" s="21">
        <v>46285</v>
      </c>
      <c r="AT1341" t="s">
        <v>5062</v>
      </c>
      <c r="AU1341" t="s">
        <v>5085</v>
      </c>
      <c r="AV1341" t="s">
        <v>5089</v>
      </c>
      <c r="AW1341" t="s">
        <v>5316</v>
      </c>
    </row>
    <row r="1342" spans="1:49" x14ac:dyDescent="0.35">
      <c r="A1342" t="s">
        <v>5102</v>
      </c>
      <c r="B1342" t="s">
        <v>4106</v>
      </c>
      <c r="C1342" t="s">
        <v>4818</v>
      </c>
      <c r="D1342" t="s">
        <v>18</v>
      </c>
      <c r="E1342" t="s">
        <v>4224</v>
      </c>
      <c r="F1342" t="s">
        <v>4225</v>
      </c>
      <c r="G1342" t="s">
        <v>21</v>
      </c>
      <c r="H1342" t="s">
        <v>4826</v>
      </c>
      <c r="I1342" t="s">
        <v>5030</v>
      </c>
      <c r="J1342" s="4" t="s">
        <v>5031</v>
      </c>
      <c r="K1342" s="4" t="s">
        <v>5033</v>
      </c>
      <c r="L1342" s="4" t="s">
        <v>4938</v>
      </c>
      <c r="M1342" s="4" t="s">
        <v>5035</v>
      </c>
      <c r="N1342" t="s">
        <v>15</v>
      </c>
      <c r="O1342" t="s">
        <v>4226</v>
      </c>
      <c r="P1342" t="s">
        <v>23</v>
      </c>
      <c r="Q1342" t="s">
        <v>24</v>
      </c>
      <c r="R1342" t="s">
        <v>5216</v>
      </c>
      <c r="S1342" t="s">
        <v>5217</v>
      </c>
      <c r="T1342" s="6">
        <v>46307</v>
      </c>
      <c r="U1342">
        <v>12</v>
      </c>
      <c r="V1342">
        <v>12</v>
      </c>
      <c r="W1342">
        <v>12</v>
      </c>
      <c r="X1342">
        <v>12</v>
      </c>
      <c r="Y1342">
        <f t="shared" si="208"/>
        <v>0</v>
      </c>
      <c r="AC1342" s="1">
        <v>12</v>
      </c>
      <c r="AF1342">
        <v>12</v>
      </c>
      <c r="AG1342" s="7">
        <v>12</v>
      </c>
      <c r="AH1342">
        <f t="shared" si="216"/>
        <v>12</v>
      </c>
      <c r="AI1342">
        <f t="shared" si="207"/>
        <v>0</v>
      </c>
      <c r="AK1342">
        <f t="shared" si="211"/>
        <v>1</v>
      </c>
      <c r="AL1342">
        <v>12.02</v>
      </c>
      <c r="AM1342" t="s">
        <v>27</v>
      </c>
      <c r="AN1342">
        <v>12.02</v>
      </c>
      <c r="AO1342" t="b">
        <f t="shared" si="212"/>
        <v>1</v>
      </c>
      <c r="AR1342" t="s">
        <v>5061</v>
      </c>
      <c r="AS1342" s="21">
        <v>46285</v>
      </c>
      <c r="AT1342" t="s">
        <v>5062</v>
      </c>
      <c r="AU1342" t="s">
        <v>5085</v>
      </c>
      <c r="AV1342" t="s">
        <v>5089</v>
      </c>
      <c r="AW1342" t="s">
        <v>5316</v>
      </c>
    </row>
    <row r="1343" spans="1:49" x14ac:dyDescent="0.35">
      <c r="A1343" t="s">
        <v>5102</v>
      </c>
      <c r="B1343" t="s">
        <v>4106</v>
      </c>
      <c r="C1343" t="s">
        <v>4818</v>
      </c>
      <c r="D1343" t="s">
        <v>18</v>
      </c>
      <c r="E1343" t="s">
        <v>4227</v>
      </c>
      <c r="F1343" t="s">
        <v>4228</v>
      </c>
      <c r="G1343" t="s">
        <v>21</v>
      </c>
      <c r="H1343" t="s">
        <v>4826</v>
      </c>
      <c r="I1343" t="s">
        <v>5030</v>
      </c>
      <c r="J1343" s="4" t="s">
        <v>5031</v>
      </c>
      <c r="K1343" s="4" t="s">
        <v>4837</v>
      </c>
      <c r="L1343" s="4" t="s">
        <v>4953</v>
      </c>
      <c r="M1343" s="4" t="s">
        <v>5035</v>
      </c>
      <c r="N1343" t="s">
        <v>15</v>
      </c>
      <c r="O1343" t="s">
        <v>4229</v>
      </c>
      <c r="P1343" t="s">
        <v>23</v>
      </c>
      <c r="Q1343" t="s">
        <v>24</v>
      </c>
      <c r="R1343" t="s">
        <v>5216</v>
      </c>
      <c r="S1343" t="s">
        <v>5217</v>
      </c>
      <c r="T1343" s="6">
        <v>46307</v>
      </c>
      <c r="U1343">
        <v>12</v>
      </c>
      <c r="V1343">
        <v>12</v>
      </c>
      <c r="W1343">
        <v>12</v>
      </c>
      <c r="X1343">
        <v>12</v>
      </c>
      <c r="Y1343">
        <f t="shared" si="208"/>
        <v>0</v>
      </c>
      <c r="AC1343" s="1">
        <v>12</v>
      </c>
      <c r="AF1343">
        <v>12</v>
      </c>
      <c r="AG1343" s="7">
        <v>12</v>
      </c>
      <c r="AH1343">
        <f t="shared" si="216"/>
        <v>12</v>
      </c>
      <c r="AI1343">
        <f t="shared" si="207"/>
        <v>0</v>
      </c>
      <c r="AK1343">
        <f t="shared" si="211"/>
        <v>1</v>
      </c>
      <c r="AL1343">
        <v>12.02</v>
      </c>
      <c r="AM1343" t="s">
        <v>27</v>
      </c>
      <c r="AN1343">
        <v>12.02</v>
      </c>
      <c r="AO1343" t="b">
        <f t="shared" si="212"/>
        <v>1</v>
      </c>
      <c r="AR1343" t="s">
        <v>5061</v>
      </c>
      <c r="AS1343" s="21">
        <v>46285</v>
      </c>
      <c r="AT1343" t="s">
        <v>5062</v>
      </c>
      <c r="AU1343" t="s">
        <v>5085</v>
      </c>
      <c r="AV1343" t="s">
        <v>5089</v>
      </c>
      <c r="AW1343" t="s">
        <v>5316</v>
      </c>
    </row>
    <row r="1344" spans="1:49" x14ac:dyDescent="0.35">
      <c r="A1344" t="s">
        <v>5102</v>
      </c>
      <c r="B1344" t="s">
        <v>4106</v>
      </c>
      <c r="C1344" t="s">
        <v>4818</v>
      </c>
      <c r="D1344" t="s">
        <v>18</v>
      </c>
      <c r="E1344" t="s">
        <v>4260</v>
      </c>
      <c r="F1344" t="s">
        <v>4261</v>
      </c>
      <c r="G1344" t="s">
        <v>21</v>
      </c>
      <c r="H1344" t="s">
        <v>4826</v>
      </c>
      <c r="I1344" t="s">
        <v>5028</v>
      </c>
      <c r="J1344" s="4" t="s">
        <v>5029</v>
      </c>
      <c r="K1344" s="4" t="s">
        <v>4845</v>
      </c>
      <c r="L1344" s="4" t="s">
        <v>4971</v>
      </c>
      <c r="M1344" s="4" t="s">
        <v>5035</v>
      </c>
      <c r="N1344" t="s">
        <v>15</v>
      </c>
      <c r="O1344" t="s">
        <v>4262</v>
      </c>
      <c r="P1344" t="s">
        <v>23</v>
      </c>
      <c r="Q1344" t="s">
        <v>24</v>
      </c>
      <c r="R1344" t="s">
        <v>5216</v>
      </c>
      <c r="S1344" t="s">
        <v>5217</v>
      </c>
      <c r="T1344" s="6">
        <v>46307</v>
      </c>
      <c r="U1344">
        <v>12</v>
      </c>
      <c r="V1344">
        <v>12</v>
      </c>
      <c r="W1344">
        <v>12</v>
      </c>
      <c r="X1344">
        <v>12</v>
      </c>
      <c r="Y1344">
        <f t="shared" si="208"/>
        <v>0</v>
      </c>
      <c r="AC1344" s="1">
        <v>12</v>
      </c>
      <c r="AF1344">
        <v>12</v>
      </c>
      <c r="AG1344" s="7">
        <v>12</v>
      </c>
      <c r="AH1344">
        <f t="shared" si="216"/>
        <v>12</v>
      </c>
      <c r="AI1344">
        <f t="shared" si="207"/>
        <v>0</v>
      </c>
      <c r="AK1344">
        <f t="shared" si="211"/>
        <v>1</v>
      </c>
      <c r="AL1344">
        <v>12.09</v>
      </c>
      <c r="AM1344" t="s">
        <v>27</v>
      </c>
      <c r="AN1344">
        <v>12.09</v>
      </c>
      <c r="AO1344" t="b">
        <f t="shared" si="212"/>
        <v>1</v>
      </c>
      <c r="AR1344" t="s">
        <v>5061</v>
      </c>
      <c r="AS1344" s="21">
        <v>46285</v>
      </c>
      <c r="AT1344" t="s">
        <v>5062</v>
      </c>
      <c r="AU1344" t="s">
        <v>5084</v>
      </c>
      <c r="AV1344" t="s">
        <v>5089</v>
      </c>
      <c r="AW1344" t="s">
        <v>5316</v>
      </c>
    </row>
    <row r="1345" spans="1:49" x14ac:dyDescent="0.35">
      <c r="A1345" t="s">
        <v>5102</v>
      </c>
      <c r="B1345" t="s">
        <v>4106</v>
      </c>
      <c r="C1345" t="s">
        <v>4818</v>
      </c>
      <c r="D1345" t="s">
        <v>18</v>
      </c>
      <c r="E1345" t="s">
        <v>4500</v>
      </c>
      <c r="F1345" t="s">
        <v>4501</v>
      </c>
      <c r="G1345" t="s">
        <v>21</v>
      </c>
      <c r="H1345" t="s">
        <v>4826</v>
      </c>
      <c r="I1345" t="s">
        <v>5030</v>
      </c>
      <c r="J1345" s="4" t="s">
        <v>5031</v>
      </c>
      <c r="K1345" s="4" t="s">
        <v>4837</v>
      </c>
      <c r="L1345" s="4" t="s">
        <v>4958</v>
      </c>
      <c r="M1345" s="4" t="s">
        <v>5035</v>
      </c>
      <c r="N1345" t="s">
        <v>15</v>
      </c>
      <c r="O1345" t="s">
        <v>4502</v>
      </c>
      <c r="P1345" t="s">
        <v>23</v>
      </c>
      <c r="Q1345" t="s">
        <v>24</v>
      </c>
      <c r="R1345" t="s">
        <v>5216</v>
      </c>
      <c r="S1345" t="s">
        <v>5217</v>
      </c>
      <c r="T1345" s="6">
        <v>46307</v>
      </c>
      <c r="U1345">
        <v>12</v>
      </c>
      <c r="V1345">
        <v>12</v>
      </c>
      <c r="W1345">
        <v>12</v>
      </c>
      <c r="X1345">
        <v>12</v>
      </c>
      <c r="Y1345">
        <f t="shared" si="208"/>
        <v>0</v>
      </c>
      <c r="AC1345" s="1">
        <v>12</v>
      </c>
      <c r="AF1345">
        <v>12</v>
      </c>
      <c r="AG1345" s="7">
        <v>12</v>
      </c>
      <c r="AH1345">
        <f t="shared" si="216"/>
        <v>12</v>
      </c>
      <c r="AI1345">
        <f t="shared" si="207"/>
        <v>0</v>
      </c>
      <c r="AK1345">
        <f t="shared" si="211"/>
        <v>1</v>
      </c>
      <c r="AL1345">
        <v>12.02</v>
      </c>
      <c r="AM1345" t="s">
        <v>27</v>
      </c>
      <c r="AN1345">
        <v>12.02</v>
      </c>
      <c r="AO1345" t="b">
        <f t="shared" si="212"/>
        <v>1</v>
      </c>
      <c r="AR1345" t="s">
        <v>5061</v>
      </c>
      <c r="AS1345" s="21">
        <v>46285</v>
      </c>
      <c r="AT1345" t="s">
        <v>5062</v>
      </c>
      <c r="AU1345" t="s">
        <v>5085</v>
      </c>
      <c r="AV1345" t="s">
        <v>5089</v>
      </c>
      <c r="AW1345" t="s">
        <v>5316</v>
      </c>
    </row>
    <row r="1346" spans="1:49" x14ac:dyDescent="0.35">
      <c r="A1346" t="s">
        <v>5102</v>
      </c>
      <c r="B1346" t="s">
        <v>4106</v>
      </c>
      <c r="C1346" t="s">
        <v>4818</v>
      </c>
      <c r="D1346" t="s">
        <v>18</v>
      </c>
      <c r="E1346" t="s">
        <v>4647</v>
      </c>
      <c r="F1346" t="s">
        <v>4648</v>
      </c>
      <c r="G1346" t="s">
        <v>21</v>
      </c>
      <c r="H1346" t="s">
        <v>4826</v>
      </c>
      <c r="I1346" t="s">
        <v>5030</v>
      </c>
      <c r="J1346" s="4" t="s">
        <v>5031</v>
      </c>
      <c r="K1346" s="4" t="s">
        <v>5033</v>
      </c>
      <c r="L1346" s="4" t="s">
        <v>4958</v>
      </c>
      <c r="M1346" s="4" t="s">
        <v>5035</v>
      </c>
      <c r="N1346" t="s">
        <v>15</v>
      </c>
      <c r="O1346" t="s">
        <v>4649</v>
      </c>
      <c r="P1346" t="s">
        <v>23</v>
      </c>
      <c r="Q1346" t="s">
        <v>24</v>
      </c>
      <c r="R1346" t="s">
        <v>5216</v>
      </c>
      <c r="S1346" t="s">
        <v>5217</v>
      </c>
      <c r="T1346" s="6">
        <v>46307</v>
      </c>
      <c r="U1346">
        <v>12</v>
      </c>
      <c r="V1346">
        <v>12</v>
      </c>
      <c r="W1346">
        <v>12</v>
      </c>
      <c r="X1346">
        <v>12</v>
      </c>
      <c r="Y1346">
        <f t="shared" si="208"/>
        <v>0</v>
      </c>
      <c r="AC1346" s="1">
        <v>12</v>
      </c>
      <c r="AF1346">
        <v>12</v>
      </c>
      <c r="AG1346" s="7">
        <v>12</v>
      </c>
      <c r="AH1346">
        <f t="shared" si="216"/>
        <v>12</v>
      </c>
      <c r="AI1346">
        <f t="shared" si="207"/>
        <v>0</v>
      </c>
      <c r="AK1346">
        <f t="shared" si="211"/>
        <v>1</v>
      </c>
      <c r="AL1346">
        <v>12.02</v>
      </c>
      <c r="AM1346" t="s">
        <v>27</v>
      </c>
      <c r="AN1346">
        <v>12.02</v>
      </c>
      <c r="AO1346" t="b">
        <f t="shared" si="212"/>
        <v>1</v>
      </c>
      <c r="AR1346" t="s">
        <v>5061</v>
      </c>
      <c r="AS1346" s="21">
        <v>46285</v>
      </c>
      <c r="AT1346" t="s">
        <v>5062</v>
      </c>
      <c r="AU1346" t="s">
        <v>5085</v>
      </c>
      <c r="AV1346" t="s">
        <v>5089</v>
      </c>
      <c r="AW1346" t="s">
        <v>5316</v>
      </c>
    </row>
    <row r="1347" spans="1:49" x14ac:dyDescent="0.35">
      <c r="A1347" t="s">
        <v>5102</v>
      </c>
      <c r="B1347" t="s">
        <v>4106</v>
      </c>
      <c r="C1347" t="s">
        <v>4818</v>
      </c>
      <c r="D1347" t="s">
        <v>18</v>
      </c>
      <c r="E1347" t="s">
        <v>4692</v>
      </c>
      <c r="F1347" t="s">
        <v>4693</v>
      </c>
      <c r="G1347" t="s">
        <v>21</v>
      </c>
      <c r="H1347" t="s">
        <v>4826</v>
      </c>
      <c r="I1347" t="s">
        <v>5030</v>
      </c>
      <c r="J1347" s="4" t="s">
        <v>5031</v>
      </c>
      <c r="K1347" s="4" t="s">
        <v>4837</v>
      </c>
      <c r="L1347" s="4" t="s">
        <v>4967</v>
      </c>
      <c r="M1347" s="4" t="s">
        <v>5035</v>
      </c>
      <c r="N1347" t="s">
        <v>15</v>
      </c>
      <c r="O1347" t="s">
        <v>4694</v>
      </c>
      <c r="P1347" t="s">
        <v>23</v>
      </c>
      <c r="Q1347" t="s">
        <v>24</v>
      </c>
      <c r="R1347" t="s">
        <v>5216</v>
      </c>
      <c r="S1347" t="s">
        <v>5217</v>
      </c>
      <c r="T1347" s="6">
        <v>46307</v>
      </c>
      <c r="U1347">
        <v>12</v>
      </c>
      <c r="V1347">
        <v>12</v>
      </c>
      <c r="W1347">
        <v>12</v>
      </c>
      <c r="X1347">
        <v>12</v>
      </c>
      <c r="Y1347">
        <f t="shared" si="208"/>
        <v>0</v>
      </c>
      <c r="AC1347" s="1">
        <v>12</v>
      </c>
      <c r="AF1347">
        <v>12</v>
      </c>
      <c r="AG1347" s="7">
        <v>12</v>
      </c>
      <c r="AH1347">
        <f t="shared" si="216"/>
        <v>12</v>
      </c>
      <c r="AI1347">
        <f t="shared" ref="AI1347:AI1410" si="217">V1347-AH1347</f>
        <v>0</v>
      </c>
      <c r="AK1347">
        <f t="shared" si="211"/>
        <v>1</v>
      </c>
      <c r="AL1347">
        <v>12.02</v>
      </c>
      <c r="AM1347" t="s">
        <v>27</v>
      </c>
      <c r="AN1347">
        <v>12.02</v>
      </c>
      <c r="AO1347" t="b">
        <f t="shared" si="212"/>
        <v>1</v>
      </c>
      <c r="AR1347" t="s">
        <v>5061</v>
      </c>
      <c r="AS1347" s="21">
        <v>46285</v>
      </c>
      <c r="AT1347" t="s">
        <v>5062</v>
      </c>
      <c r="AU1347" t="s">
        <v>5085</v>
      </c>
      <c r="AV1347" t="s">
        <v>5089</v>
      </c>
      <c r="AW1347" t="s">
        <v>5316</v>
      </c>
    </row>
    <row r="1348" spans="1:49" x14ac:dyDescent="0.35">
      <c r="A1348" t="s">
        <v>5102</v>
      </c>
      <c r="B1348" t="s">
        <v>4106</v>
      </c>
      <c r="C1348" t="s">
        <v>4818</v>
      </c>
      <c r="D1348" t="s">
        <v>18</v>
      </c>
      <c r="E1348" t="s">
        <v>4746</v>
      </c>
      <c r="F1348" t="s">
        <v>4747</v>
      </c>
      <c r="G1348" t="s">
        <v>21</v>
      </c>
      <c r="H1348" t="s">
        <v>4826</v>
      </c>
      <c r="I1348" t="s">
        <v>5030</v>
      </c>
      <c r="J1348" s="4" t="s">
        <v>5031</v>
      </c>
      <c r="K1348" s="4" t="s">
        <v>4837</v>
      </c>
      <c r="L1348" s="4" t="s">
        <v>4949</v>
      </c>
      <c r="M1348" s="4" t="s">
        <v>5035</v>
      </c>
      <c r="N1348" t="s">
        <v>15</v>
      </c>
      <c r="O1348" t="s">
        <v>4748</v>
      </c>
      <c r="P1348" t="s">
        <v>23</v>
      </c>
      <c r="Q1348" t="s">
        <v>24</v>
      </c>
      <c r="R1348" t="s">
        <v>5216</v>
      </c>
      <c r="S1348" t="s">
        <v>5217</v>
      </c>
      <c r="T1348" s="6">
        <v>46307</v>
      </c>
      <c r="U1348">
        <v>12</v>
      </c>
      <c r="V1348">
        <v>12</v>
      </c>
      <c r="W1348">
        <v>12</v>
      </c>
      <c r="X1348">
        <v>12</v>
      </c>
      <c r="Y1348">
        <f t="shared" ref="Y1348:Y1411" si="218">W1348-X1348</f>
        <v>0</v>
      </c>
      <c r="AC1348" s="1">
        <v>12</v>
      </c>
      <c r="AF1348">
        <v>12</v>
      </c>
      <c r="AG1348" s="7">
        <v>12</v>
      </c>
      <c r="AH1348">
        <f t="shared" si="216"/>
        <v>12</v>
      </c>
      <c r="AI1348">
        <f t="shared" si="217"/>
        <v>0</v>
      </c>
      <c r="AK1348">
        <f t="shared" ref="AK1348:AK1411" si="219">AH1348/AG1348</f>
        <v>1</v>
      </c>
      <c r="AL1348">
        <v>12.02</v>
      </c>
      <c r="AM1348" t="s">
        <v>27</v>
      </c>
      <c r="AN1348">
        <v>12.02</v>
      </c>
      <c r="AO1348" t="b">
        <f t="shared" ref="AO1348:AO1411" si="220">AL1348=AN1348</f>
        <v>1</v>
      </c>
      <c r="AR1348" t="s">
        <v>5061</v>
      </c>
      <c r="AS1348" s="21">
        <v>46285</v>
      </c>
      <c r="AT1348" t="s">
        <v>5062</v>
      </c>
      <c r="AU1348" t="s">
        <v>5085</v>
      </c>
      <c r="AV1348" t="s">
        <v>5089</v>
      </c>
      <c r="AW1348" t="s">
        <v>5316</v>
      </c>
    </row>
    <row r="1349" spans="1:49" x14ac:dyDescent="0.35">
      <c r="A1349" t="s">
        <v>5102</v>
      </c>
      <c r="B1349" t="s">
        <v>4106</v>
      </c>
      <c r="C1349" t="s">
        <v>4818</v>
      </c>
      <c r="D1349" t="s">
        <v>18</v>
      </c>
      <c r="E1349" t="s">
        <v>4779</v>
      </c>
      <c r="F1349" t="s">
        <v>4780</v>
      </c>
      <c r="G1349" t="s">
        <v>21</v>
      </c>
      <c r="H1349" t="s">
        <v>4826</v>
      </c>
      <c r="I1349" t="s">
        <v>5030</v>
      </c>
      <c r="J1349" s="4" t="s">
        <v>5031</v>
      </c>
      <c r="K1349" s="4" t="s">
        <v>4837</v>
      </c>
      <c r="L1349" s="4" t="s">
        <v>4944</v>
      </c>
      <c r="M1349" s="4" t="s">
        <v>5035</v>
      </c>
      <c r="N1349" t="s">
        <v>15</v>
      </c>
      <c r="O1349" t="s">
        <v>4781</v>
      </c>
      <c r="P1349" t="s">
        <v>23</v>
      </c>
      <c r="Q1349" t="s">
        <v>24</v>
      </c>
      <c r="R1349" t="s">
        <v>5216</v>
      </c>
      <c r="S1349" t="s">
        <v>5217</v>
      </c>
      <c r="T1349" s="6">
        <v>46307</v>
      </c>
      <c r="U1349">
        <v>12</v>
      </c>
      <c r="V1349">
        <v>12</v>
      </c>
      <c r="W1349">
        <v>12</v>
      </c>
      <c r="X1349">
        <v>12</v>
      </c>
      <c r="Y1349">
        <f t="shared" si="218"/>
        <v>0</v>
      </c>
      <c r="AC1349" s="1">
        <v>12</v>
      </c>
      <c r="AF1349">
        <v>12</v>
      </c>
      <c r="AG1349" s="7">
        <v>12</v>
      </c>
      <c r="AH1349">
        <f t="shared" si="216"/>
        <v>12</v>
      </c>
      <c r="AI1349">
        <f t="shared" si="217"/>
        <v>0</v>
      </c>
      <c r="AK1349">
        <f t="shared" si="219"/>
        <v>1</v>
      </c>
      <c r="AL1349">
        <v>12.02</v>
      </c>
      <c r="AM1349" t="s">
        <v>27</v>
      </c>
      <c r="AN1349">
        <v>12.02</v>
      </c>
      <c r="AO1349" t="b">
        <f t="shared" si="220"/>
        <v>1</v>
      </c>
      <c r="AR1349" t="s">
        <v>5061</v>
      </c>
      <c r="AS1349" s="21">
        <v>46285</v>
      </c>
      <c r="AT1349" t="s">
        <v>5062</v>
      </c>
      <c r="AU1349" t="s">
        <v>5085</v>
      </c>
      <c r="AV1349" t="s">
        <v>5089</v>
      </c>
      <c r="AW1349" t="s">
        <v>5316</v>
      </c>
    </row>
    <row r="1350" spans="1:49" x14ac:dyDescent="0.35">
      <c r="A1350" t="s">
        <v>5102</v>
      </c>
      <c r="B1350" t="s">
        <v>4106</v>
      </c>
      <c r="C1350" t="s">
        <v>4818</v>
      </c>
      <c r="D1350" t="s">
        <v>18</v>
      </c>
      <c r="E1350" t="s">
        <v>4806</v>
      </c>
      <c r="F1350" t="s">
        <v>4807</v>
      </c>
      <c r="G1350" t="s">
        <v>21</v>
      </c>
      <c r="H1350" t="s">
        <v>4826</v>
      </c>
      <c r="I1350" t="s">
        <v>5028</v>
      </c>
      <c r="J1350" s="4" t="s">
        <v>5029</v>
      </c>
      <c r="K1350" s="4" t="s">
        <v>4845</v>
      </c>
      <c r="L1350" s="4" t="s">
        <v>4946</v>
      </c>
      <c r="M1350" s="4" t="s">
        <v>5035</v>
      </c>
      <c r="N1350" t="s">
        <v>15</v>
      </c>
      <c r="O1350" t="s">
        <v>4808</v>
      </c>
      <c r="P1350" t="s">
        <v>23</v>
      </c>
      <c r="Q1350" t="s">
        <v>24</v>
      </c>
      <c r="R1350" t="s">
        <v>5216</v>
      </c>
      <c r="S1350" t="s">
        <v>5217</v>
      </c>
      <c r="T1350" s="6">
        <v>46307</v>
      </c>
      <c r="U1350">
        <v>12</v>
      </c>
      <c r="V1350">
        <v>12</v>
      </c>
      <c r="W1350">
        <v>12</v>
      </c>
      <c r="X1350">
        <v>12</v>
      </c>
      <c r="Y1350">
        <f t="shared" si="218"/>
        <v>0</v>
      </c>
      <c r="AC1350" s="1">
        <v>12</v>
      </c>
      <c r="AF1350">
        <v>12</v>
      </c>
      <c r="AG1350" s="7">
        <v>12</v>
      </c>
      <c r="AH1350">
        <f t="shared" si="216"/>
        <v>12</v>
      </c>
      <c r="AI1350">
        <f t="shared" si="217"/>
        <v>0</v>
      </c>
      <c r="AK1350">
        <f t="shared" si="219"/>
        <v>1</v>
      </c>
      <c r="AL1350">
        <v>12.09</v>
      </c>
      <c r="AM1350" t="s">
        <v>27</v>
      </c>
      <c r="AN1350">
        <v>12.09</v>
      </c>
      <c r="AO1350" t="b">
        <f t="shared" si="220"/>
        <v>1</v>
      </c>
      <c r="AR1350" t="s">
        <v>5061</v>
      </c>
      <c r="AS1350" s="21">
        <v>46285</v>
      </c>
      <c r="AT1350" t="s">
        <v>5062</v>
      </c>
      <c r="AU1350" t="s">
        <v>5084</v>
      </c>
      <c r="AV1350" t="s">
        <v>5089</v>
      </c>
      <c r="AW1350" t="s">
        <v>5316</v>
      </c>
    </row>
    <row r="1351" spans="1:49" x14ac:dyDescent="0.35">
      <c r="A1351" t="s">
        <v>5103</v>
      </c>
      <c r="B1351" t="s">
        <v>2719</v>
      </c>
      <c r="C1351" t="s">
        <v>4818</v>
      </c>
      <c r="D1351" t="s">
        <v>18</v>
      </c>
      <c r="E1351" t="s">
        <v>2720</v>
      </c>
      <c r="F1351" t="s">
        <v>2721</v>
      </c>
      <c r="G1351" t="s">
        <v>21</v>
      </c>
      <c r="H1351" t="s">
        <v>4888</v>
      </c>
      <c r="I1351" t="s">
        <v>4981</v>
      </c>
      <c r="J1351" s="4" t="s">
        <v>4982</v>
      </c>
      <c r="K1351" s="4" t="s">
        <v>4904</v>
      </c>
      <c r="L1351" s="4" t="s">
        <v>4983</v>
      </c>
      <c r="M1351" s="4" t="s">
        <v>5035</v>
      </c>
      <c r="N1351" t="s">
        <v>2722</v>
      </c>
      <c r="O1351" t="s">
        <v>2723</v>
      </c>
      <c r="P1351" t="s">
        <v>23</v>
      </c>
      <c r="Q1351" t="s">
        <v>24</v>
      </c>
      <c r="R1351" t="s">
        <v>5216</v>
      </c>
      <c r="S1351" t="s">
        <v>5217</v>
      </c>
      <c r="T1351" s="6">
        <v>46307</v>
      </c>
      <c r="U1351">
        <v>12</v>
      </c>
      <c r="V1351">
        <v>12</v>
      </c>
      <c r="W1351">
        <v>12</v>
      </c>
      <c r="X1351">
        <v>12</v>
      </c>
      <c r="Y1351">
        <f t="shared" si="218"/>
        <v>0</v>
      </c>
      <c r="AC1351" s="1">
        <v>12</v>
      </c>
      <c r="AF1351">
        <v>12</v>
      </c>
      <c r="AG1351" s="7">
        <v>12</v>
      </c>
      <c r="AH1351">
        <f t="shared" si="216"/>
        <v>12</v>
      </c>
      <c r="AI1351">
        <f t="shared" si="217"/>
        <v>0</v>
      </c>
      <c r="AK1351">
        <f t="shared" si="219"/>
        <v>1</v>
      </c>
      <c r="AL1351">
        <v>14.2</v>
      </c>
      <c r="AM1351" t="s">
        <v>27</v>
      </c>
      <c r="AN1351">
        <v>14.2</v>
      </c>
      <c r="AO1351" t="b">
        <f t="shared" si="220"/>
        <v>1</v>
      </c>
      <c r="AR1351" t="s">
        <v>5061</v>
      </c>
      <c r="AS1351" s="21">
        <v>46284</v>
      </c>
      <c r="AT1351" t="s">
        <v>5074</v>
      </c>
      <c r="AU1351" t="s">
        <v>5075</v>
      </c>
      <c r="AV1351" t="s">
        <v>5074</v>
      </c>
      <c r="AW1351" t="s">
        <v>5311</v>
      </c>
    </row>
    <row r="1352" spans="1:49" x14ac:dyDescent="0.35">
      <c r="A1352" t="s">
        <v>5103</v>
      </c>
      <c r="B1352" t="s">
        <v>2719</v>
      </c>
      <c r="C1352" t="s">
        <v>4818</v>
      </c>
      <c r="D1352" t="s">
        <v>18</v>
      </c>
      <c r="E1352" t="s">
        <v>2724</v>
      </c>
      <c r="F1352" t="s">
        <v>2725</v>
      </c>
      <c r="G1352" t="s">
        <v>21</v>
      </c>
      <c r="H1352" t="s">
        <v>4888</v>
      </c>
      <c r="I1352" t="s">
        <v>4981</v>
      </c>
      <c r="J1352" s="4" t="s">
        <v>4982</v>
      </c>
      <c r="K1352" s="4" t="s">
        <v>4984</v>
      </c>
      <c r="L1352" s="4" t="s">
        <v>4985</v>
      </c>
      <c r="M1352" s="4" t="s">
        <v>5035</v>
      </c>
      <c r="N1352" t="s">
        <v>2726</v>
      </c>
      <c r="O1352" t="s">
        <v>2727</v>
      </c>
      <c r="P1352" t="s">
        <v>23</v>
      </c>
      <c r="Q1352" t="s">
        <v>24</v>
      </c>
      <c r="R1352" t="s">
        <v>5216</v>
      </c>
      <c r="S1352" t="s">
        <v>5217</v>
      </c>
      <c r="T1352" s="6">
        <v>46307</v>
      </c>
      <c r="U1352">
        <v>12</v>
      </c>
      <c r="V1352">
        <v>12</v>
      </c>
      <c r="W1352">
        <v>12</v>
      </c>
      <c r="X1352">
        <v>12</v>
      </c>
      <c r="Y1352">
        <f t="shared" si="218"/>
        <v>0</v>
      </c>
      <c r="AC1352" s="1">
        <v>12</v>
      </c>
      <c r="AF1352">
        <v>12</v>
      </c>
      <c r="AG1352" s="7">
        <v>12</v>
      </c>
      <c r="AH1352">
        <f t="shared" si="216"/>
        <v>12</v>
      </c>
      <c r="AI1352">
        <f t="shared" si="217"/>
        <v>0</v>
      </c>
      <c r="AK1352">
        <f t="shared" si="219"/>
        <v>1</v>
      </c>
      <c r="AL1352">
        <v>13.96</v>
      </c>
      <c r="AM1352" t="s">
        <v>27</v>
      </c>
      <c r="AN1352">
        <v>13.96</v>
      </c>
      <c r="AO1352" t="b">
        <f t="shared" si="220"/>
        <v>1</v>
      </c>
      <c r="AR1352" t="s">
        <v>5061</v>
      </c>
      <c r="AS1352" s="21">
        <v>46284</v>
      </c>
      <c r="AT1352" t="s">
        <v>5074</v>
      </c>
      <c r="AU1352" t="s">
        <v>5075</v>
      </c>
      <c r="AV1352" t="s">
        <v>5074</v>
      </c>
      <c r="AW1352" t="s">
        <v>5311</v>
      </c>
    </row>
    <row r="1353" spans="1:49" x14ac:dyDescent="0.35">
      <c r="A1353" t="s">
        <v>5103</v>
      </c>
      <c r="B1353" t="s">
        <v>2719</v>
      </c>
      <c r="C1353" t="s">
        <v>4818</v>
      </c>
      <c r="D1353" t="s">
        <v>18</v>
      </c>
      <c r="E1353" t="s">
        <v>2760</v>
      </c>
      <c r="F1353" t="s">
        <v>2761</v>
      </c>
      <c r="G1353" t="s">
        <v>21</v>
      </c>
      <c r="H1353" t="s">
        <v>4888</v>
      </c>
      <c r="I1353" t="s">
        <v>4981</v>
      </c>
      <c r="J1353" s="4" t="s">
        <v>4982</v>
      </c>
      <c r="K1353" s="4" t="s">
        <v>4984</v>
      </c>
      <c r="L1353" s="4" t="s">
        <v>4989</v>
      </c>
      <c r="M1353" s="4" t="s">
        <v>5035</v>
      </c>
      <c r="N1353" t="s">
        <v>2762</v>
      </c>
      <c r="O1353" t="s">
        <v>2763</v>
      </c>
      <c r="P1353" t="s">
        <v>23</v>
      </c>
      <c r="Q1353" t="s">
        <v>24</v>
      </c>
      <c r="R1353" t="s">
        <v>5216</v>
      </c>
      <c r="S1353" t="s">
        <v>5217</v>
      </c>
      <c r="T1353" s="6">
        <v>46307</v>
      </c>
      <c r="U1353">
        <v>12</v>
      </c>
      <c r="V1353">
        <v>12</v>
      </c>
      <c r="W1353">
        <v>12</v>
      </c>
      <c r="X1353">
        <v>12</v>
      </c>
      <c r="Y1353">
        <f t="shared" si="218"/>
        <v>0</v>
      </c>
      <c r="AC1353" s="1">
        <v>12</v>
      </c>
      <c r="AF1353">
        <v>12</v>
      </c>
      <c r="AG1353" s="7">
        <v>12</v>
      </c>
      <c r="AH1353">
        <f t="shared" si="216"/>
        <v>12</v>
      </c>
      <c r="AI1353">
        <f t="shared" si="217"/>
        <v>0</v>
      </c>
      <c r="AK1353">
        <f t="shared" si="219"/>
        <v>1</v>
      </c>
      <c r="AL1353">
        <v>13.96</v>
      </c>
      <c r="AM1353" t="s">
        <v>27</v>
      </c>
      <c r="AN1353">
        <v>13.96</v>
      </c>
      <c r="AO1353" t="b">
        <f t="shared" si="220"/>
        <v>1</v>
      </c>
      <c r="AR1353" t="s">
        <v>5061</v>
      </c>
      <c r="AS1353" s="21">
        <v>46284</v>
      </c>
      <c r="AT1353" t="s">
        <v>5074</v>
      </c>
      <c r="AU1353" t="s">
        <v>5075</v>
      </c>
      <c r="AV1353" t="s">
        <v>5074</v>
      </c>
      <c r="AW1353" t="s">
        <v>5311</v>
      </c>
    </row>
    <row r="1354" spans="1:49" x14ac:dyDescent="0.35">
      <c r="A1354" t="s">
        <v>5103</v>
      </c>
      <c r="B1354" t="s">
        <v>2719</v>
      </c>
      <c r="C1354" t="s">
        <v>4818</v>
      </c>
      <c r="D1354" t="s">
        <v>18</v>
      </c>
      <c r="E1354" t="s">
        <v>2768</v>
      </c>
      <c r="F1354" t="s">
        <v>2769</v>
      </c>
      <c r="G1354" t="s">
        <v>21</v>
      </c>
      <c r="H1354" t="s">
        <v>4888</v>
      </c>
      <c r="I1354" t="s">
        <v>4981</v>
      </c>
      <c r="J1354" s="4" t="s">
        <v>4982</v>
      </c>
      <c r="K1354" s="4" t="s">
        <v>4984</v>
      </c>
      <c r="L1354" s="4" t="s">
        <v>4990</v>
      </c>
      <c r="M1354" s="4" t="s">
        <v>5035</v>
      </c>
      <c r="N1354" t="s">
        <v>2770</v>
      </c>
      <c r="O1354" t="s">
        <v>2771</v>
      </c>
      <c r="P1354" t="s">
        <v>23</v>
      </c>
      <c r="Q1354" t="s">
        <v>24</v>
      </c>
      <c r="R1354" t="s">
        <v>5216</v>
      </c>
      <c r="S1354" t="s">
        <v>5217</v>
      </c>
      <c r="T1354" s="6">
        <v>46307</v>
      </c>
      <c r="U1354">
        <v>12</v>
      </c>
      <c r="V1354">
        <v>12</v>
      </c>
      <c r="W1354">
        <v>12</v>
      </c>
      <c r="X1354">
        <v>12</v>
      </c>
      <c r="Y1354">
        <f t="shared" si="218"/>
        <v>0</v>
      </c>
      <c r="AC1354" s="1">
        <v>12</v>
      </c>
      <c r="AF1354">
        <v>12</v>
      </c>
      <c r="AG1354" s="7">
        <v>12</v>
      </c>
      <c r="AH1354">
        <f t="shared" si="216"/>
        <v>12</v>
      </c>
      <c r="AI1354">
        <f t="shared" si="217"/>
        <v>0</v>
      </c>
      <c r="AK1354">
        <f t="shared" si="219"/>
        <v>1</v>
      </c>
      <c r="AL1354">
        <v>13.96</v>
      </c>
      <c r="AM1354" t="s">
        <v>27</v>
      </c>
      <c r="AN1354">
        <v>13.96</v>
      </c>
      <c r="AO1354" t="b">
        <f t="shared" si="220"/>
        <v>1</v>
      </c>
      <c r="AR1354" t="s">
        <v>5061</v>
      </c>
      <c r="AS1354" s="21">
        <v>46284</v>
      </c>
      <c r="AT1354" t="s">
        <v>5074</v>
      </c>
      <c r="AU1354" t="s">
        <v>5075</v>
      </c>
      <c r="AV1354" t="s">
        <v>5074</v>
      </c>
      <c r="AW1354" t="s">
        <v>5311</v>
      </c>
    </row>
    <row r="1355" spans="1:49" x14ac:dyDescent="0.35">
      <c r="A1355" t="s">
        <v>5104</v>
      </c>
      <c r="B1355" t="s">
        <v>74</v>
      </c>
      <c r="C1355" t="s">
        <v>4818</v>
      </c>
      <c r="D1355" t="s">
        <v>18</v>
      </c>
      <c r="E1355" t="s">
        <v>787</v>
      </c>
      <c r="F1355" t="s">
        <v>788</v>
      </c>
      <c r="G1355" t="s">
        <v>21</v>
      </c>
      <c r="H1355" t="s">
        <v>4834</v>
      </c>
      <c r="I1355" t="s">
        <v>4849</v>
      </c>
      <c r="J1355" s="4" t="s">
        <v>4850</v>
      </c>
      <c r="K1355" s="4" t="s">
        <v>4837</v>
      </c>
      <c r="L1355" s="4" t="s">
        <v>4885</v>
      </c>
      <c r="M1355" s="4" t="s">
        <v>5035</v>
      </c>
      <c r="N1355" t="s">
        <v>789</v>
      </c>
      <c r="O1355" t="s">
        <v>790</v>
      </c>
      <c r="P1355" t="s">
        <v>23</v>
      </c>
      <c r="Q1355" t="s">
        <v>24</v>
      </c>
      <c r="R1355" t="s">
        <v>5216</v>
      </c>
      <c r="S1355" t="s">
        <v>5217</v>
      </c>
      <c r="T1355" s="6">
        <v>46307</v>
      </c>
      <c r="U1355">
        <v>24</v>
      </c>
      <c r="V1355">
        <v>24</v>
      </c>
      <c r="W1355">
        <v>24</v>
      </c>
      <c r="X1355">
        <v>24</v>
      </c>
      <c r="Y1355">
        <f t="shared" si="218"/>
        <v>0</v>
      </c>
      <c r="AC1355" s="1">
        <v>24</v>
      </c>
      <c r="AF1355">
        <v>24</v>
      </c>
      <c r="AG1355" s="7">
        <v>6</v>
      </c>
      <c r="AH1355">
        <f t="shared" si="216"/>
        <v>24</v>
      </c>
      <c r="AI1355">
        <f t="shared" si="217"/>
        <v>0</v>
      </c>
      <c r="AK1355">
        <f t="shared" si="219"/>
        <v>4</v>
      </c>
      <c r="AL1355">
        <v>14.78</v>
      </c>
      <c r="AM1355" t="s">
        <v>27</v>
      </c>
      <c r="AN1355">
        <v>14.78</v>
      </c>
      <c r="AO1355" t="b">
        <f t="shared" si="220"/>
        <v>1</v>
      </c>
      <c r="AR1355" t="s">
        <v>5061</v>
      </c>
      <c r="AS1355" s="21">
        <v>46284</v>
      </c>
      <c r="AT1355" t="s">
        <v>5064</v>
      </c>
      <c r="AU1355" t="s">
        <v>5066</v>
      </c>
      <c r="AV1355" t="s">
        <v>5088</v>
      </c>
      <c r="AW1355" t="s">
        <v>5311</v>
      </c>
    </row>
    <row r="1356" spans="1:49" x14ac:dyDescent="0.35">
      <c r="A1356" t="s">
        <v>5105</v>
      </c>
      <c r="B1356" t="s">
        <v>872</v>
      </c>
      <c r="C1356" t="s">
        <v>4818</v>
      </c>
      <c r="D1356" t="s">
        <v>18</v>
      </c>
      <c r="E1356" t="s">
        <v>5106</v>
      </c>
      <c r="F1356" t="s">
        <v>5107</v>
      </c>
      <c r="G1356" t="s">
        <v>21</v>
      </c>
      <c r="H1356" t="s">
        <v>5000</v>
      </c>
      <c r="I1356" t="s">
        <v>5312</v>
      </c>
      <c r="J1356" s="4" t="s">
        <v>5313</v>
      </c>
      <c r="K1356" s="4" t="s">
        <v>4899</v>
      </c>
      <c r="L1356" s="4">
        <v>12</v>
      </c>
      <c r="M1356" s="4" t="s">
        <v>5035</v>
      </c>
      <c r="N1356" t="s">
        <v>5218</v>
      </c>
      <c r="O1356" t="s">
        <v>5219</v>
      </c>
      <c r="P1356" t="s">
        <v>23</v>
      </c>
      <c r="Q1356" t="s">
        <v>24</v>
      </c>
      <c r="R1356" t="s">
        <v>5216</v>
      </c>
      <c r="S1356" t="s">
        <v>5217</v>
      </c>
      <c r="T1356" s="6">
        <v>46307</v>
      </c>
      <c r="U1356">
        <v>130</v>
      </c>
      <c r="V1356">
        <v>130</v>
      </c>
      <c r="W1356">
        <v>140</v>
      </c>
      <c r="X1356">
        <v>140</v>
      </c>
      <c r="Y1356">
        <f t="shared" si="218"/>
        <v>0</v>
      </c>
      <c r="AC1356" s="1">
        <v>130</v>
      </c>
      <c r="AF1356">
        <v>130</v>
      </c>
      <c r="AG1356" s="7">
        <v>10</v>
      </c>
      <c r="AH1356">
        <f t="shared" si="216"/>
        <v>130</v>
      </c>
      <c r="AI1356">
        <f t="shared" si="217"/>
        <v>0</v>
      </c>
      <c r="AK1356">
        <f t="shared" si="219"/>
        <v>13</v>
      </c>
      <c r="AL1356">
        <v>14.48</v>
      </c>
      <c r="AM1356" t="s">
        <v>27</v>
      </c>
      <c r="AN1356">
        <v>14.48</v>
      </c>
      <c r="AO1356" t="b">
        <f t="shared" si="220"/>
        <v>1</v>
      </c>
      <c r="AR1356" t="s">
        <v>5061</v>
      </c>
      <c r="AS1356" s="21">
        <v>46284</v>
      </c>
      <c r="AT1356" t="s">
        <v>5062</v>
      </c>
      <c r="AU1356" t="s">
        <v>5315</v>
      </c>
      <c r="AV1356" t="s">
        <v>5062</v>
      </c>
      <c r="AW1356" t="s">
        <v>5311</v>
      </c>
    </row>
    <row r="1357" spans="1:49" x14ac:dyDescent="0.35">
      <c r="A1357" t="s">
        <v>5105</v>
      </c>
      <c r="B1357" t="s">
        <v>872</v>
      </c>
      <c r="C1357" t="s">
        <v>4818</v>
      </c>
      <c r="D1357" t="s">
        <v>18</v>
      </c>
      <c r="E1357" t="s">
        <v>5108</v>
      </c>
      <c r="F1357" t="s">
        <v>5109</v>
      </c>
      <c r="G1357" t="s">
        <v>21</v>
      </c>
      <c r="H1357" t="s">
        <v>5000</v>
      </c>
      <c r="I1357" t="s">
        <v>5312</v>
      </c>
      <c r="J1357" s="4" t="s">
        <v>5313</v>
      </c>
      <c r="K1357" s="4" t="s">
        <v>4843</v>
      </c>
      <c r="L1357" s="4">
        <v>6</v>
      </c>
      <c r="M1357" s="4" t="s">
        <v>5035</v>
      </c>
      <c r="N1357" t="s">
        <v>5220</v>
      </c>
      <c r="O1357" t="s">
        <v>5221</v>
      </c>
      <c r="P1357" t="s">
        <v>23</v>
      </c>
      <c r="Q1357" t="s">
        <v>24</v>
      </c>
      <c r="R1357" t="s">
        <v>5216</v>
      </c>
      <c r="S1357" t="s">
        <v>5217</v>
      </c>
      <c r="T1357" s="6">
        <v>46307</v>
      </c>
      <c r="U1357">
        <v>300</v>
      </c>
      <c r="V1357">
        <v>300</v>
      </c>
      <c r="W1357">
        <v>320</v>
      </c>
      <c r="X1357">
        <v>320</v>
      </c>
      <c r="Y1357">
        <f t="shared" si="218"/>
        <v>0</v>
      </c>
      <c r="AC1357" s="1">
        <v>300</v>
      </c>
      <c r="AF1357">
        <v>300</v>
      </c>
      <c r="AG1357" s="7">
        <v>10</v>
      </c>
      <c r="AH1357">
        <f t="shared" si="216"/>
        <v>300</v>
      </c>
      <c r="AI1357">
        <f t="shared" si="217"/>
        <v>0</v>
      </c>
      <c r="AK1357">
        <f t="shared" si="219"/>
        <v>30</v>
      </c>
      <c r="AL1357">
        <v>15.37</v>
      </c>
      <c r="AM1357" t="s">
        <v>27</v>
      </c>
      <c r="AN1357">
        <v>15.37</v>
      </c>
      <c r="AO1357" t="b">
        <f t="shared" si="220"/>
        <v>1</v>
      </c>
      <c r="AR1357" t="s">
        <v>5061</v>
      </c>
      <c r="AS1357" s="21">
        <v>46284</v>
      </c>
      <c r="AT1357" t="s">
        <v>5062</v>
      </c>
      <c r="AU1357" t="s">
        <v>5315</v>
      </c>
      <c r="AV1357" t="s">
        <v>5062</v>
      </c>
      <c r="AW1357" t="s">
        <v>5311</v>
      </c>
    </row>
    <row r="1358" spans="1:49" x14ac:dyDescent="0.35">
      <c r="A1358" t="s">
        <v>5105</v>
      </c>
      <c r="B1358" t="s">
        <v>872</v>
      </c>
      <c r="C1358" t="s">
        <v>4818</v>
      </c>
      <c r="D1358" t="s">
        <v>18</v>
      </c>
      <c r="E1358" t="s">
        <v>5110</v>
      </c>
      <c r="F1358" t="s">
        <v>5111</v>
      </c>
      <c r="G1358" t="s">
        <v>21</v>
      </c>
      <c r="H1358" t="s">
        <v>5000</v>
      </c>
      <c r="I1358" t="s">
        <v>5312</v>
      </c>
      <c r="J1358" s="4" t="s">
        <v>5313</v>
      </c>
      <c r="K1358" s="4" t="s">
        <v>4843</v>
      </c>
      <c r="L1358" s="4">
        <v>12</v>
      </c>
      <c r="M1358" s="4" t="s">
        <v>5035</v>
      </c>
      <c r="N1358" t="s">
        <v>5222</v>
      </c>
      <c r="O1358" t="s">
        <v>5223</v>
      </c>
      <c r="P1358" t="s">
        <v>23</v>
      </c>
      <c r="Q1358" t="s">
        <v>24</v>
      </c>
      <c r="R1358" t="s">
        <v>5216</v>
      </c>
      <c r="S1358" t="s">
        <v>5217</v>
      </c>
      <c r="T1358" s="6">
        <v>46307</v>
      </c>
      <c r="U1358">
        <v>230</v>
      </c>
      <c r="V1358">
        <v>230</v>
      </c>
      <c r="W1358">
        <v>250</v>
      </c>
      <c r="X1358">
        <v>250</v>
      </c>
      <c r="Y1358">
        <f t="shared" si="218"/>
        <v>0</v>
      </c>
      <c r="AC1358" s="1">
        <v>230</v>
      </c>
      <c r="AF1358">
        <v>230</v>
      </c>
      <c r="AG1358" s="7">
        <v>10</v>
      </c>
      <c r="AH1358">
        <f t="shared" si="216"/>
        <v>230</v>
      </c>
      <c r="AI1358">
        <f t="shared" si="217"/>
        <v>0</v>
      </c>
      <c r="AK1358">
        <f t="shared" si="219"/>
        <v>23</v>
      </c>
      <c r="AL1358">
        <v>15.37</v>
      </c>
      <c r="AM1358" t="s">
        <v>27</v>
      </c>
      <c r="AN1358">
        <v>15.37</v>
      </c>
      <c r="AO1358" t="b">
        <f t="shared" si="220"/>
        <v>1</v>
      </c>
      <c r="AR1358" t="s">
        <v>5061</v>
      </c>
      <c r="AS1358" s="21">
        <v>46284</v>
      </c>
      <c r="AT1358" t="s">
        <v>5062</v>
      </c>
      <c r="AU1358" t="s">
        <v>5315</v>
      </c>
      <c r="AV1358" t="s">
        <v>5062</v>
      </c>
      <c r="AW1358" t="s">
        <v>5311</v>
      </c>
    </row>
    <row r="1359" spans="1:49" x14ac:dyDescent="0.35">
      <c r="A1359" t="s">
        <v>5105</v>
      </c>
      <c r="B1359" t="s">
        <v>872</v>
      </c>
      <c r="C1359" t="s">
        <v>4818</v>
      </c>
      <c r="D1359" t="s">
        <v>18</v>
      </c>
      <c r="E1359" t="s">
        <v>5112</v>
      </c>
      <c r="F1359" t="s">
        <v>5113</v>
      </c>
      <c r="G1359" t="s">
        <v>21</v>
      </c>
      <c r="H1359" t="s">
        <v>5000</v>
      </c>
      <c r="I1359" t="s">
        <v>5312</v>
      </c>
      <c r="J1359" s="4" t="s">
        <v>5313</v>
      </c>
      <c r="K1359" s="4" t="s">
        <v>4843</v>
      </c>
      <c r="L1359" s="4">
        <v>4</v>
      </c>
      <c r="M1359" s="4" t="s">
        <v>5035</v>
      </c>
      <c r="N1359" t="s">
        <v>5224</v>
      </c>
      <c r="O1359" t="s">
        <v>5225</v>
      </c>
      <c r="P1359" t="s">
        <v>23</v>
      </c>
      <c r="Q1359" t="s">
        <v>24</v>
      </c>
      <c r="R1359" t="s">
        <v>5216</v>
      </c>
      <c r="S1359" t="s">
        <v>5217</v>
      </c>
      <c r="T1359" s="6">
        <v>46307</v>
      </c>
      <c r="U1359">
        <v>280</v>
      </c>
      <c r="V1359">
        <v>280</v>
      </c>
      <c r="W1359">
        <v>300</v>
      </c>
      <c r="X1359">
        <v>300</v>
      </c>
      <c r="Y1359">
        <f t="shared" si="218"/>
        <v>0</v>
      </c>
      <c r="AC1359" s="1">
        <v>280</v>
      </c>
      <c r="AF1359">
        <v>280</v>
      </c>
      <c r="AG1359" s="7">
        <v>10</v>
      </c>
      <c r="AH1359">
        <f t="shared" si="216"/>
        <v>280</v>
      </c>
      <c r="AI1359">
        <f t="shared" si="217"/>
        <v>0</v>
      </c>
      <c r="AK1359">
        <f t="shared" si="219"/>
        <v>28</v>
      </c>
      <c r="AL1359">
        <v>15.37</v>
      </c>
      <c r="AM1359" t="s">
        <v>27</v>
      </c>
      <c r="AN1359">
        <v>15.37</v>
      </c>
      <c r="AO1359" t="b">
        <f t="shared" si="220"/>
        <v>1</v>
      </c>
      <c r="AR1359" t="s">
        <v>5061</v>
      </c>
      <c r="AS1359" s="21">
        <v>46284</v>
      </c>
      <c r="AT1359" t="s">
        <v>5062</v>
      </c>
      <c r="AU1359" t="s">
        <v>5315</v>
      </c>
      <c r="AV1359" t="s">
        <v>5062</v>
      </c>
      <c r="AW1359" t="s">
        <v>5311</v>
      </c>
    </row>
    <row r="1360" spans="1:49" x14ac:dyDescent="0.35">
      <c r="A1360" t="s">
        <v>5105</v>
      </c>
      <c r="B1360" t="s">
        <v>872</v>
      </c>
      <c r="C1360" t="s">
        <v>4818</v>
      </c>
      <c r="D1360" t="s">
        <v>18</v>
      </c>
      <c r="E1360" t="s">
        <v>5114</v>
      </c>
      <c r="F1360" t="s">
        <v>5115</v>
      </c>
      <c r="G1360" t="s">
        <v>21</v>
      </c>
      <c r="H1360" t="s">
        <v>5000</v>
      </c>
      <c r="I1360" t="s">
        <v>5312</v>
      </c>
      <c r="J1360" s="4" t="s">
        <v>5313</v>
      </c>
      <c r="K1360" s="4" t="s">
        <v>4843</v>
      </c>
      <c r="L1360" s="4">
        <v>16</v>
      </c>
      <c r="M1360" s="4" t="s">
        <v>5035</v>
      </c>
      <c r="N1360" t="s">
        <v>5226</v>
      </c>
      <c r="O1360" t="s">
        <v>5227</v>
      </c>
      <c r="P1360" t="s">
        <v>23</v>
      </c>
      <c r="Q1360" t="s">
        <v>24</v>
      </c>
      <c r="R1360" t="s">
        <v>5216</v>
      </c>
      <c r="S1360" t="s">
        <v>5217</v>
      </c>
      <c r="T1360" s="6">
        <v>46307</v>
      </c>
      <c r="U1360">
        <v>190</v>
      </c>
      <c r="V1360">
        <v>190</v>
      </c>
      <c r="W1360">
        <v>210</v>
      </c>
      <c r="X1360">
        <v>210</v>
      </c>
      <c r="Y1360">
        <f t="shared" si="218"/>
        <v>0</v>
      </c>
      <c r="AC1360" s="1">
        <v>190</v>
      </c>
      <c r="AF1360">
        <v>190</v>
      </c>
      <c r="AG1360" s="7">
        <v>10</v>
      </c>
      <c r="AH1360">
        <f t="shared" si="216"/>
        <v>190</v>
      </c>
      <c r="AI1360">
        <f t="shared" si="217"/>
        <v>0</v>
      </c>
      <c r="AK1360">
        <f t="shared" si="219"/>
        <v>19</v>
      </c>
      <c r="AL1360">
        <v>15.37</v>
      </c>
      <c r="AM1360" t="s">
        <v>27</v>
      </c>
      <c r="AN1360">
        <v>15.37</v>
      </c>
      <c r="AO1360" t="b">
        <f t="shared" si="220"/>
        <v>1</v>
      </c>
      <c r="AR1360" t="s">
        <v>5061</v>
      </c>
      <c r="AS1360" s="21">
        <v>46284</v>
      </c>
      <c r="AT1360" t="s">
        <v>5062</v>
      </c>
      <c r="AU1360" t="s">
        <v>5315</v>
      </c>
      <c r="AV1360" t="s">
        <v>5062</v>
      </c>
      <c r="AW1360" t="s">
        <v>5311</v>
      </c>
    </row>
    <row r="1361" spans="1:49" x14ac:dyDescent="0.35">
      <c r="A1361" t="s">
        <v>5105</v>
      </c>
      <c r="B1361" t="s">
        <v>872</v>
      </c>
      <c r="C1361" t="s">
        <v>4818</v>
      </c>
      <c r="D1361" t="s">
        <v>18</v>
      </c>
      <c r="E1361" t="s">
        <v>5116</v>
      </c>
      <c r="F1361" t="s">
        <v>5117</v>
      </c>
      <c r="G1361" t="s">
        <v>21</v>
      </c>
      <c r="H1361" t="s">
        <v>5000</v>
      </c>
      <c r="I1361" t="s">
        <v>5312</v>
      </c>
      <c r="J1361" s="4" t="s">
        <v>5313</v>
      </c>
      <c r="K1361" s="4" t="s">
        <v>4899</v>
      </c>
      <c r="L1361" s="4">
        <v>8</v>
      </c>
      <c r="M1361" s="4" t="s">
        <v>5035</v>
      </c>
      <c r="N1361" t="s">
        <v>5228</v>
      </c>
      <c r="O1361" t="s">
        <v>5229</v>
      </c>
      <c r="P1361" t="s">
        <v>23</v>
      </c>
      <c r="Q1361" t="s">
        <v>24</v>
      </c>
      <c r="R1361" t="s">
        <v>5216</v>
      </c>
      <c r="S1361" t="s">
        <v>5217</v>
      </c>
      <c r="T1361" s="6">
        <v>46307</v>
      </c>
      <c r="U1361">
        <v>20</v>
      </c>
      <c r="V1361">
        <v>20</v>
      </c>
      <c r="W1361">
        <v>20</v>
      </c>
      <c r="X1361">
        <v>20</v>
      </c>
      <c r="Y1361">
        <f t="shared" si="218"/>
        <v>0</v>
      </c>
      <c r="AC1361" s="1">
        <v>20</v>
      </c>
      <c r="AF1361">
        <v>20</v>
      </c>
      <c r="AG1361" s="7">
        <v>10</v>
      </c>
      <c r="AH1361">
        <f t="shared" si="216"/>
        <v>20</v>
      </c>
      <c r="AI1361">
        <f t="shared" si="217"/>
        <v>0</v>
      </c>
      <c r="AK1361">
        <f t="shared" si="219"/>
        <v>2</v>
      </c>
      <c r="AL1361">
        <v>14.48</v>
      </c>
      <c r="AM1361" t="s">
        <v>27</v>
      </c>
      <c r="AN1361">
        <v>14.48</v>
      </c>
      <c r="AO1361" t="b">
        <f t="shared" si="220"/>
        <v>1</v>
      </c>
      <c r="AR1361" t="s">
        <v>5061</v>
      </c>
      <c r="AS1361" s="21">
        <v>46284</v>
      </c>
      <c r="AT1361" t="s">
        <v>5062</v>
      </c>
      <c r="AU1361" t="s">
        <v>5315</v>
      </c>
      <c r="AV1361" t="s">
        <v>5062</v>
      </c>
      <c r="AW1361" t="s">
        <v>5311</v>
      </c>
    </row>
    <row r="1362" spans="1:49" x14ac:dyDescent="0.35">
      <c r="A1362" t="s">
        <v>5105</v>
      </c>
      <c r="B1362" t="s">
        <v>872</v>
      </c>
      <c r="C1362" t="s">
        <v>4818</v>
      </c>
      <c r="D1362" t="s">
        <v>18</v>
      </c>
      <c r="E1362" t="s">
        <v>5118</v>
      </c>
      <c r="F1362" t="s">
        <v>5119</v>
      </c>
      <c r="G1362" t="s">
        <v>21</v>
      </c>
      <c r="H1362" t="s">
        <v>5000</v>
      </c>
      <c r="I1362" t="s">
        <v>5312</v>
      </c>
      <c r="J1362" s="4" t="s">
        <v>5313</v>
      </c>
      <c r="K1362" s="4" t="s">
        <v>5314</v>
      </c>
      <c r="L1362" s="4">
        <v>14</v>
      </c>
      <c r="M1362" s="4" t="s">
        <v>5035</v>
      </c>
      <c r="N1362" t="s">
        <v>5230</v>
      </c>
      <c r="O1362" t="s">
        <v>5231</v>
      </c>
      <c r="P1362" t="s">
        <v>23</v>
      </c>
      <c r="Q1362" t="s">
        <v>24</v>
      </c>
      <c r="R1362" t="s">
        <v>5216</v>
      </c>
      <c r="S1362" t="s">
        <v>5217</v>
      </c>
      <c r="T1362" s="6">
        <v>46307</v>
      </c>
      <c r="U1362">
        <v>270</v>
      </c>
      <c r="V1362">
        <v>270</v>
      </c>
      <c r="W1362">
        <v>290</v>
      </c>
      <c r="X1362">
        <v>290</v>
      </c>
      <c r="Y1362">
        <f t="shared" si="218"/>
        <v>0</v>
      </c>
      <c r="AC1362" s="1">
        <v>270</v>
      </c>
      <c r="AF1362">
        <v>270</v>
      </c>
      <c r="AG1362" s="7">
        <v>10</v>
      </c>
      <c r="AH1362">
        <f t="shared" si="216"/>
        <v>270</v>
      </c>
      <c r="AI1362">
        <f t="shared" si="217"/>
        <v>0</v>
      </c>
      <c r="AK1362">
        <f t="shared" si="219"/>
        <v>27</v>
      </c>
      <c r="AL1362">
        <v>14.48</v>
      </c>
      <c r="AM1362" t="s">
        <v>27</v>
      </c>
      <c r="AN1362">
        <v>14.48</v>
      </c>
      <c r="AO1362" t="b">
        <f t="shared" si="220"/>
        <v>1</v>
      </c>
      <c r="AR1362" t="s">
        <v>5061</v>
      </c>
      <c r="AS1362" s="21">
        <v>46284</v>
      </c>
      <c r="AT1362" t="s">
        <v>5062</v>
      </c>
      <c r="AU1362" t="s">
        <v>5315</v>
      </c>
      <c r="AV1362" t="s">
        <v>5062</v>
      </c>
      <c r="AW1362" t="s">
        <v>5311</v>
      </c>
    </row>
    <row r="1363" spans="1:49" x14ac:dyDescent="0.35">
      <c r="A1363" t="s">
        <v>5105</v>
      </c>
      <c r="B1363" t="s">
        <v>872</v>
      </c>
      <c r="C1363" t="s">
        <v>4818</v>
      </c>
      <c r="D1363" t="s">
        <v>18</v>
      </c>
      <c r="E1363" t="s">
        <v>5120</v>
      </c>
      <c r="F1363" t="s">
        <v>5121</v>
      </c>
      <c r="G1363" t="s">
        <v>21</v>
      </c>
      <c r="H1363" t="s">
        <v>5000</v>
      </c>
      <c r="I1363" t="s">
        <v>5312</v>
      </c>
      <c r="J1363" s="4" t="s">
        <v>5313</v>
      </c>
      <c r="K1363" s="4" t="s">
        <v>4899</v>
      </c>
      <c r="L1363" s="4">
        <v>20</v>
      </c>
      <c r="M1363" s="4" t="s">
        <v>5035</v>
      </c>
      <c r="N1363" t="s">
        <v>5232</v>
      </c>
      <c r="O1363" t="s">
        <v>5233</v>
      </c>
      <c r="P1363" t="s">
        <v>23</v>
      </c>
      <c r="Q1363" t="s">
        <v>24</v>
      </c>
      <c r="R1363" t="s">
        <v>5216</v>
      </c>
      <c r="S1363" t="s">
        <v>5217</v>
      </c>
      <c r="T1363" s="6">
        <v>46307</v>
      </c>
      <c r="U1363">
        <v>220</v>
      </c>
      <c r="V1363">
        <v>220</v>
      </c>
      <c r="W1363">
        <v>240</v>
      </c>
      <c r="X1363">
        <v>240</v>
      </c>
      <c r="Y1363">
        <f t="shared" si="218"/>
        <v>0</v>
      </c>
      <c r="AC1363" s="1">
        <v>220</v>
      </c>
      <c r="AF1363">
        <v>220</v>
      </c>
      <c r="AG1363" s="7">
        <v>10</v>
      </c>
      <c r="AH1363">
        <f t="shared" si="216"/>
        <v>220</v>
      </c>
      <c r="AI1363">
        <f t="shared" si="217"/>
        <v>0</v>
      </c>
      <c r="AK1363">
        <f t="shared" si="219"/>
        <v>22</v>
      </c>
      <c r="AL1363">
        <v>14.48</v>
      </c>
      <c r="AM1363" t="s">
        <v>27</v>
      </c>
      <c r="AN1363">
        <v>14.48</v>
      </c>
      <c r="AO1363" t="b">
        <f t="shared" si="220"/>
        <v>1</v>
      </c>
      <c r="AR1363" t="s">
        <v>5061</v>
      </c>
      <c r="AS1363" s="21">
        <v>46284</v>
      </c>
      <c r="AT1363" t="s">
        <v>5062</v>
      </c>
      <c r="AU1363" t="s">
        <v>5315</v>
      </c>
      <c r="AV1363" t="s">
        <v>5062</v>
      </c>
      <c r="AW1363" t="s">
        <v>5311</v>
      </c>
    </row>
    <row r="1364" spans="1:49" x14ac:dyDescent="0.35">
      <c r="A1364" t="s">
        <v>5105</v>
      </c>
      <c r="B1364" t="s">
        <v>872</v>
      </c>
      <c r="C1364" t="s">
        <v>4818</v>
      </c>
      <c r="D1364" t="s">
        <v>18</v>
      </c>
      <c r="E1364" t="s">
        <v>5122</v>
      </c>
      <c r="F1364" t="s">
        <v>5123</v>
      </c>
      <c r="G1364" t="s">
        <v>21</v>
      </c>
      <c r="H1364" t="s">
        <v>5000</v>
      </c>
      <c r="I1364" t="s">
        <v>5312</v>
      </c>
      <c r="J1364" s="4" t="s">
        <v>5313</v>
      </c>
      <c r="K1364" s="4" t="s">
        <v>4843</v>
      </c>
      <c r="L1364" s="4">
        <v>14</v>
      </c>
      <c r="M1364" s="4" t="s">
        <v>5035</v>
      </c>
      <c r="N1364" t="s">
        <v>5234</v>
      </c>
      <c r="O1364" t="s">
        <v>5235</v>
      </c>
      <c r="P1364" t="s">
        <v>23</v>
      </c>
      <c r="Q1364" t="s">
        <v>24</v>
      </c>
      <c r="R1364" t="s">
        <v>5216</v>
      </c>
      <c r="S1364" t="s">
        <v>5217</v>
      </c>
      <c r="T1364" s="6">
        <v>46307</v>
      </c>
      <c r="U1364">
        <v>180</v>
      </c>
      <c r="V1364">
        <v>180</v>
      </c>
      <c r="W1364">
        <v>190</v>
      </c>
      <c r="X1364">
        <v>190</v>
      </c>
      <c r="Y1364">
        <f t="shared" si="218"/>
        <v>0</v>
      </c>
      <c r="AC1364" s="1">
        <v>180</v>
      </c>
      <c r="AF1364">
        <v>180</v>
      </c>
      <c r="AG1364" s="7">
        <v>10</v>
      </c>
      <c r="AH1364">
        <f t="shared" si="216"/>
        <v>180</v>
      </c>
      <c r="AI1364">
        <f t="shared" si="217"/>
        <v>0</v>
      </c>
      <c r="AK1364">
        <f t="shared" si="219"/>
        <v>18</v>
      </c>
      <c r="AL1364">
        <v>15.37</v>
      </c>
      <c r="AM1364" t="s">
        <v>27</v>
      </c>
      <c r="AN1364">
        <v>15.37</v>
      </c>
      <c r="AO1364" t="b">
        <f t="shared" si="220"/>
        <v>1</v>
      </c>
      <c r="AR1364" t="s">
        <v>5061</v>
      </c>
      <c r="AS1364" s="21">
        <v>46284</v>
      </c>
      <c r="AT1364" t="s">
        <v>5062</v>
      </c>
      <c r="AU1364" t="s">
        <v>5315</v>
      </c>
      <c r="AV1364" t="s">
        <v>5062</v>
      </c>
      <c r="AW1364" t="s">
        <v>5311</v>
      </c>
    </row>
    <row r="1365" spans="1:49" x14ac:dyDescent="0.35">
      <c r="A1365" t="s">
        <v>5105</v>
      </c>
      <c r="B1365" t="s">
        <v>872</v>
      </c>
      <c r="C1365" t="s">
        <v>4818</v>
      </c>
      <c r="D1365" t="s">
        <v>18</v>
      </c>
      <c r="E1365" t="s">
        <v>5124</v>
      </c>
      <c r="F1365" t="s">
        <v>5125</v>
      </c>
      <c r="G1365" t="s">
        <v>21</v>
      </c>
      <c r="H1365" t="s">
        <v>5000</v>
      </c>
      <c r="I1365" t="s">
        <v>5312</v>
      </c>
      <c r="J1365" s="4" t="s">
        <v>5313</v>
      </c>
      <c r="K1365" s="4" t="s">
        <v>5314</v>
      </c>
      <c r="L1365" s="4">
        <v>2</v>
      </c>
      <c r="M1365" s="4" t="s">
        <v>5035</v>
      </c>
      <c r="N1365" t="s">
        <v>5236</v>
      </c>
      <c r="O1365" t="s">
        <v>5237</v>
      </c>
      <c r="P1365" t="s">
        <v>23</v>
      </c>
      <c r="Q1365" t="s">
        <v>24</v>
      </c>
      <c r="R1365" t="s">
        <v>5216</v>
      </c>
      <c r="S1365" t="s">
        <v>5217</v>
      </c>
      <c r="T1365" s="6">
        <v>46307</v>
      </c>
      <c r="U1365">
        <v>150</v>
      </c>
      <c r="V1365">
        <v>150</v>
      </c>
      <c r="W1365">
        <v>160</v>
      </c>
      <c r="X1365">
        <v>160</v>
      </c>
      <c r="Y1365">
        <f t="shared" si="218"/>
        <v>0</v>
      </c>
      <c r="AC1365" s="1">
        <v>150</v>
      </c>
      <c r="AF1365">
        <v>150</v>
      </c>
      <c r="AG1365" s="7">
        <v>10</v>
      </c>
      <c r="AH1365">
        <f t="shared" si="216"/>
        <v>150</v>
      </c>
      <c r="AI1365">
        <f t="shared" si="217"/>
        <v>0</v>
      </c>
      <c r="AK1365">
        <f t="shared" si="219"/>
        <v>15</v>
      </c>
      <c r="AL1365">
        <v>14.48</v>
      </c>
      <c r="AM1365" t="s">
        <v>27</v>
      </c>
      <c r="AN1365">
        <v>14.48</v>
      </c>
      <c r="AO1365" t="b">
        <f t="shared" si="220"/>
        <v>1</v>
      </c>
      <c r="AR1365" t="s">
        <v>5061</v>
      </c>
      <c r="AS1365" s="21">
        <v>46284</v>
      </c>
      <c r="AT1365" t="s">
        <v>5062</v>
      </c>
      <c r="AU1365" t="s">
        <v>5315</v>
      </c>
      <c r="AV1365" t="s">
        <v>5062</v>
      </c>
      <c r="AW1365" t="s">
        <v>5311</v>
      </c>
    </row>
    <row r="1366" spans="1:49" x14ac:dyDescent="0.35">
      <c r="A1366" t="s">
        <v>5105</v>
      </c>
      <c r="B1366" t="s">
        <v>872</v>
      </c>
      <c r="C1366" t="s">
        <v>4818</v>
      </c>
      <c r="D1366" t="s">
        <v>18</v>
      </c>
      <c r="E1366" t="s">
        <v>5126</v>
      </c>
      <c r="F1366" t="s">
        <v>5127</v>
      </c>
      <c r="G1366" t="s">
        <v>21</v>
      </c>
      <c r="H1366" t="s">
        <v>5000</v>
      </c>
      <c r="I1366" t="s">
        <v>5312</v>
      </c>
      <c r="J1366" s="4" t="s">
        <v>5313</v>
      </c>
      <c r="K1366" s="4" t="s">
        <v>4843</v>
      </c>
      <c r="L1366" s="4">
        <v>10</v>
      </c>
      <c r="M1366" s="4" t="s">
        <v>5035</v>
      </c>
      <c r="N1366" t="s">
        <v>5238</v>
      </c>
      <c r="O1366" t="s">
        <v>5239</v>
      </c>
      <c r="P1366" t="s">
        <v>23</v>
      </c>
      <c r="Q1366" t="s">
        <v>24</v>
      </c>
      <c r="R1366" t="s">
        <v>5216</v>
      </c>
      <c r="S1366" t="s">
        <v>5217</v>
      </c>
      <c r="T1366" s="6">
        <v>46307</v>
      </c>
      <c r="U1366">
        <v>220</v>
      </c>
      <c r="V1366">
        <v>220</v>
      </c>
      <c r="W1366">
        <v>240</v>
      </c>
      <c r="X1366">
        <v>240</v>
      </c>
      <c r="Y1366">
        <f t="shared" si="218"/>
        <v>0</v>
      </c>
      <c r="AC1366" s="1">
        <v>220</v>
      </c>
      <c r="AF1366">
        <v>220</v>
      </c>
      <c r="AG1366" s="7">
        <v>10</v>
      </c>
      <c r="AH1366">
        <f t="shared" si="216"/>
        <v>220</v>
      </c>
      <c r="AI1366">
        <f t="shared" si="217"/>
        <v>0</v>
      </c>
      <c r="AK1366">
        <f t="shared" si="219"/>
        <v>22</v>
      </c>
      <c r="AL1366">
        <v>15.37</v>
      </c>
      <c r="AM1366" t="s">
        <v>27</v>
      </c>
      <c r="AN1366">
        <v>15.37</v>
      </c>
      <c r="AO1366" t="b">
        <f t="shared" si="220"/>
        <v>1</v>
      </c>
      <c r="AR1366" t="s">
        <v>5061</v>
      </c>
      <c r="AS1366" s="21">
        <v>46284</v>
      </c>
      <c r="AT1366" t="s">
        <v>5062</v>
      </c>
      <c r="AU1366" t="s">
        <v>5315</v>
      </c>
      <c r="AV1366" t="s">
        <v>5062</v>
      </c>
      <c r="AW1366" t="s">
        <v>5311</v>
      </c>
    </row>
    <row r="1367" spans="1:49" x14ac:dyDescent="0.35">
      <c r="A1367" t="s">
        <v>5105</v>
      </c>
      <c r="B1367" t="s">
        <v>872</v>
      </c>
      <c r="C1367" t="s">
        <v>4818</v>
      </c>
      <c r="D1367" t="s">
        <v>18</v>
      </c>
      <c r="E1367" t="s">
        <v>5128</v>
      </c>
      <c r="F1367" t="s">
        <v>5129</v>
      </c>
      <c r="G1367" t="s">
        <v>21</v>
      </c>
      <c r="H1367" t="s">
        <v>5000</v>
      </c>
      <c r="I1367" t="s">
        <v>5312</v>
      </c>
      <c r="J1367" s="4" t="s">
        <v>5313</v>
      </c>
      <c r="K1367" s="4" t="s">
        <v>4843</v>
      </c>
      <c r="L1367" s="4">
        <v>2</v>
      </c>
      <c r="M1367" s="4" t="s">
        <v>5035</v>
      </c>
      <c r="N1367" t="s">
        <v>5240</v>
      </c>
      <c r="O1367" t="s">
        <v>5241</v>
      </c>
      <c r="P1367" t="s">
        <v>23</v>
      </c>
      <c r="Q1367" t="s">
        <v>24</v>
      </c>
      <c r="R1367" t="s">
        <v>5216</v>
      </c>
      <c r="S1367" t="s">
        <v>5217</v>
      </c>
      <c r="T1367" s="6">
        <v>46307</v>
      </c>
      <c r="U1367">
        <v>210</v>
      </c>
      <c r="V1367">
        <v>210</v>
      </c>
      <c r="W1367">
        <v>230</v>
      </c>
      <c r="X1367">
        <v>230</v>
      </c>
      <c r="Y1367">
        <f t="shared" si="218"/>
        <v>0</v>
      </c>
      <c r="AC1367" s="1">
        <v>210</v>
      </c>
      <c r="AF1367">
        <v>210</v>
      </c>
      <c r="AG1367" s="7">
        <v>10</v>
      </c>
      <c r="AH1367">
        <f t="shared" si="216"/>
        <v>210</v>
      </c>
      <c r="AI1367">
        <f t="shared" si="217"/>
        <v>0</v>
      </c>
      <c r="AK1367">
        <f t="shared" si="219"/>
        <v>21</v>
      </c>
      <c r="AL1367">
        <v>15.37</v>
      </c>
      <c r="AM1367" t="s">
        <v>27</v>
      </c>
      <c r="AN1367">
        <v>15.37</v>
      </c>
      <c r="AO1367" t="b">
        <f t="shared" si="220"/>
        <v>1</v>
      </c>
      <c r="AR1367" t="s">
        <v>5061</v>
      </c>
      <c r="AS1367" s="21">
        <v>46284</v>
      </c>
      <c r="AT1367" t="s">
        <v>5062</v>
      </c>
      <c r="AU1367" t="s">
        <v>5315</v>
      </c>
      <c r="AV1367" t="s">
        <v>5062</v>
      </c>
      <c r="AW1367" t="s">
        <v>5311</v>
      </c>
    </row>
    <row r="1368" spans="1:49" x14ac:dyDescent="0.35">
      <c r="A1368" t="s">
        <v>5105</v>
      </c>
      <c r="B1368" t="s">
        <v>872</v>
      </c>
      <c r="C1368" t="s">
        <v>4818</v>
      </c>
      <c r="D1368" t="s">
        <v>18</v>
      </c>
      <c r="E1368" t="s">
        <v>2813</v>
      </c>
      <c r="F1368" t="s">
        <v>2814</v>
      </c>
      <c r="G1368" t="s">
        <v>21</v>
      </c>
      <c r="H1368" t="s">
        <v>5000</v>
      </c>
      <c r="I1368" t="s">
        <v>5001</v>
      </c>
      <c r="J1368" s="4" t="s">
        <v>5002</v>
      </c>
      <c r="K1368" s="4" t="s">
        <v>4837</v>
      </c>
      <c r="L1368" s="4">
        <v>4</v>
      </c>
      <c r="M1368" s="4" t="s">
        <v>5035</v>
      </c>
      <c r="N1368" t="s">
        <v>2815</v>
      </c>
      <c r="O1368" t="s">
        <v>2816</v>
      </c>
      <c r="P1368" t="s">
        <v>23</v>
      </c>
      <c r="Q1368" t="s">
        <v>24</v>
      </c>
      <c r="R1368" t="s">
        <v>5216</v>
      </c>
      <c r="S1368" t="s">
        <v>5217</v>
      </c>
      <c r="T1368" s="6">
        <v>46307</v>
      </c>
      <c r="U1368">
        <v>20</v>
      </c>
      <c r="V1368">
        <v>20</v>
      </c>
      <c r="W1368">
        <v>20</v>
      </c>
      <c r="X1368">
        <v>20</v>
      </c>
      <c r="Y1368">
        <f t="shared" si="218"/>
        <v>0</v>
      </c>
      <c r="AC1368" s="1">
        <v>20</v>
      </c>
      <c r="AF1368">
        <v>20</v>
      </c>
      <c r="AG1368" s="7">
        <v>20</v>
      </c>
      <c r="AH1368">
        <f t="shared" si="216"/>
        <v>20</v>
      </c>
      <c r="AI1368">
        <f t="shared" si="217"/>
        <v>0</v>
      </c>
      <c r="AK1368">
        <f t="shared" si="219"/>
        <v>1</v>
      </c>
      <c r="AL1368">
        <v>10.06</v>
      </c>
      <c r="AM1368" t="s">
        <v>27</v>
      </c>
      <c r="AN1368">
        <v>10.06</v>
      </c>
      <c r="AO1368" t="b">
        <f t="shared" si="220"/>
        <v>1</v>
      </c>
      <c r="AR1368" t="s">
        <v>5061</v>
      </c>
      <c r="AS1368" s="21">
        <v>46284</v>
      </c>
      <c r="AT1368" t="s">
        <v>5062</v>
      </c>
      <c r="AU1368" t="s">
        <v>5077</v>
      </c>
      <c r="AV1368" t="s">
        <v>5062</v>
      </c>
      <c r="AW1368" t="s">
        <v>5311</v>
      </c>
    </row>
    <row r="1369" spans="1:49" x14ac:dyDescent="0.35">
      <c r="A1369" t="s">
        <v>5105</v>
      </c>
      <c r="B1369" t="s">
        <v>872</v>
      </c>
      <c r="C1369" t="s">
        <v>4818</v>
      </c>
      <c r="D1369" t="s">
        <v>18</v>
      </c>
      <c r="E1369" t="s">
        <v>5130</v>
      </c>
      <c r="F1369" t="s">
        <v>5131</v>
      </c>
      <c r="G1369" t="s">
        <v>21</v>
      </c>
      <c r="H1369" t="s">
        <v>5000</v>
      </c>
      <c r="I1369" t="s">
        <v>5312</v>
      </c>
      <c r="J1369" s="4" t="s">
        <v>5313</v>
      </c>
      <c r="K1369" s="4" t="s">
        <v>4843</v>
      </c>
      <c r="L1369" s="4">
        <v>0</v>
      </c>
      <c r="M1369" s="4" t="s">
        <v>5035</v>
      </c>
      <c r="N1369" t="s">
        <v>5242</v>
      </c>
      <c r="O1369" t="s">
        <v>5243</v>
      </c>
      <c r="P1369" t="s">
        <v>23</v>
      </c>
      <c r="Q1369" t="s">
        <v>24</v>
      </c>
      <c r="R1369" t="s">
        <v>5216</v>
      </c>
      <c r="S1369" t="s">
        <v>5217</v>
      </c>
      <c r="T1369" s="6">
        <v>46307</v>
      </c>
      <c r="U1369">
        <v>200</v>
      </c>
      <c r="V1369">
        <v>200</v>
      </c>
      <c r="W1369">
        <v>220</v>
      </c>
      <c r="X1369">
        <v>220</v>
      </c>
      <c r="Y1369">
        <f t="shared" si="218"/>
        <v>0</v>
      </c>
      <c r="AC1369" s="1">
        <v>200</v>
      </c>
      <c r="AF1369">
        <v>200</v>
      </c>
      <c r="AG1369" s="7">
        <v>10</v>
      </c>
      <c r="AH1369">
        <f t="shared" si="216"/>
        <v>200</v>
      </c>
      <c r="AI1369">
        <f t="shared" si="217"/>
        <v>0</v>
      </c>
      <c r="AK1369">
        <f t="shared" si="219"/>
        <v>20</v>
      </c>
      <c r="AL1369">
        <v>15.37</v>
      </c>
      <c r="AM1369" t="s">
        <v>27</v>
      </c>
      <c r="AN1369">
        <v>15.37</v>
      </c>
      <c r="AO1369" t="b">
        <f t="shared" si="220"/>
        <v>1</v>
      </c>
      <c r="AR1369" t="s">
        <v>5061</v>
      </c>
      <c r="AS1369" s="21">
        <v>46284</v>
      </c>
      <c r="AT1369" t="s">
        <v>5062</v>
      </c>
      <c r="AU1369" t="s">
        <v>5315</v>
      </c>
      <c r="AV1369" t="s">
        <v>5062</v>
      </c>
      <c r="AW1369" t="s">
        <v>5311</v>
      </c>
    </row>
    <row r="1370" spans="1:49" x14ac:dyDescent="0.35">
      <c r="A1370" t="s">
        <v>5105</v>
      </c>
      <c r="B1370" t="s">
        <v>872</v>
      </c>
      <c r="C1370" t="s">
        <v>4818</v>
      </c>
      <c r="D1370" t="s">
        <v>18</v>
      </c>
      <c r="E1370" t="s">
        <v>5132</v>
      </c>
      <c r="F1370" t="s">
        <v>5133</v>
      </c>
      <c r="G1370" t="s">
        <v>21</v>
      </c>
      <c r="H1370" t="s">
        <v>5000</v>
      </c>
      <c r="I1370" t="s">
        <v>5312</v>
      </c>
      <c r="J1370" s="4" t="s">
        <v>5313</v>
      </c>
      <c r="K1370" s="4" t="s">
        <v>5314</v>
      </c>
      <c r="L1370" s="4">
        <v>8</v>
      </c>
      <c r="M1370" s="4" t="s">
        <v>5035</v>
      </c>
      <c r="N1370" t="s">
        <v>5244</v>
      </c>
      <c r="O1370" t="s">
        <v>5245</v>
      </c>
      <c r="P1370" t="s">
        <v>23</v>
      </c>
      <c r="Q1370" t="s">
        <v>24</v>
      </c>
      <c r="R1370" t="s">
        <v>5216</v>
      </c>
      <c r="S1370" t="s">
        <v>5217</v>
      </c>
      <c r="T1370" s="6">
        <v>46307</v>
      </c>
      <c r="U1370">
        <v>110</v>
      </c>
      <c r="V1370">
        <v>110</v>
      </c>
      <c r="W1370">
        <v>120</v>
      </c>
      <c r="X1370">
        <v>120</v>
      </c>
      <c r="Y1370">
        <f t="shared" si="218"/>
        <v>0</v>
      </c>
      <c r="AC1370" s="1">
        <v>110</v>
      </c>
      <c r="AF1370">
        <v>110</v>
      </c>
      <c r="AG1370" s="7">
        <v>10</v>
      </c>
      <c r="AH1370">
        <f t="shared" si="216"/>
        <v>110</v>
      </c>
      <c r="AI1370">
        <f t="shared" si="217"/>
        <v>0</v>
      </c>
      <c r="AK1370">
        <f t="shared" si="219"/>
        <v>11</v>
      </c>
      <c r="AL1370">
        <v>14.48</v>
      </c>
      <c r="AM1370" t="s">
        <v>27</v>
      </c>
      <c r="AN1370">
        <v>14.48</v>
      </c>
      <c r="AO1370" t="b">
        <f t="shared" si="220"/>
        <v>1</v>
      </c>
      <c r="AR1370" t="s">
        <v>5061</v>
      </c>
      <c r="AS1370" s="21">
        <v>46284</v>
      </c>
      <c r="AT1370" t="s">
        <v>5062</v>
      </c>
      <c r="AU1370" t="s">
        <v>5315</v>
      </c>
      <c r="AV1370" t="s">
        <v>5062</v>
      </c>
      <c r="AW1370" t="s">
        <v>5311</v>
      </c>
    </row>
    <row r="1371" spans="1:49" x14ac:dyDescent="0.35">
      <c r="A1371" t="s">
        <v>5105</v>
      </c>
      <c r="B1371" t="s">
        <v>872</v>
      </c>
      <c r="C1371" t="s">
        <v>4818</v>
      </c>
      <c r="D1371" t="s">
        <v>18</v>
      </c>
      <c r="E1371" t="s">
        <v>5134</v>
      </c>
      <c r="F1371" t="s">
        <v>5135</v>
      </c>
      <c r="G1371" t="s">
        <v>21</v>
      </c>
      <c r="H1371" t="s">
        <v>5000</v>
      </c>
      <c r="I1371" t="s">
        <v>5312</v>
      </c>
      <c r="J1371" s="4" t="s">
        <v>5313</v>
      </c>
      <c r="K1371" s="4" t="s">
        <v>5314</v>
      </c>
      <c r="L1371" s="4">
        <v>0</v>
      </c>
      <c r="M1371" s="4" t="s">
        <v>5035</v>
      </c>
      <c r="N1371" t="s">
        <v>5246</v>
      </c>
      <c r="O1371" t="s">
        <v>5247</v>
      </c>
      <c r="P1371" t="s">
        <v>23</v>
      </c>
      <c r="Q1371" t="s">
        <v>24</v>
      </c>
      <c r="R1371" t="s">
        <v>5216</v>
      </c>
      <c r="S1371" t="s">
        <v>5217</v>
      </c>
      <c r="T1371" s="6">
        <v>46307</v>
      </c>
      <c r="U1371">
        <v>190</v>
      </c>
      <c r="V1371">
        <v>190</v>
      </c>
      <c r="W1371">
        <v>210</v>
      </c>
      <c r="X1371">
        <v>210</v>
      </c>
      <c r="Y1371">
        <f t="shared" si="218"/>
        <v>0</v>
      </c>
      <c r="AC1371" s="1">
        <v>190</v>
      </c>
      <c r="AF1371">
        <v>190</v>
      </c>
      <c r="AG1371" s="7">
        <v>10</v>
      </c>
      <c r="AH1371">
        <f t="shared" si="216"/>
        <v>190</v>
      </c>
      <c r="AI1371">
        <f t="shared" si="217"/>
        <v>0</v>
      </c>
      <c r="AK1371">
        <f t="shared" si="219"/>
        <v>19</v>
      </c>
      <c r="AL1371">
        <v>14.48</v>
      </c>
      <c r="AM1371" t="s">
        <v>27</v>
      </c>
      <c r="AN1371">
        <v>14.48</v>
      </c>
      <c r="AO1371" t="b">
        <f t="shared" si="220"/>
        <v>1</v>
      </c>
      <c r="AR1371" t="s">
        <v>5061</v>
      </c>
      <c r="AS1371" s="21">
        <v>46284</v>
      </c>
      <c r="AT1371" t="s">
        <v>5062</v>
      </c>
      <c r="AU1371" t="s">
        <v>5315</v>
      </c>
      <c r="AV1371" t="s">
        <v>5062</v>
      </c>
      <c r="AW1371" t="s">
        <v>5311</v>
      </c>
    </row>
    <row r="1372" spans="1:49" x14ac:dyDescent="0.35">
      <c r="A1372" t="s">
        <v>5105</v>
      </c>
      <c r="B1372" t="s">
        <v>872</v>
      </c>
      <c r="C1372" t="s">
        <v>4818</v>
      </c>
      <c r="D1372" t="s">
        <v>18</v>
      </c>
      <c r="E1372" t="s">
        <v>5136</v>
      </c>
      <c r="F1372" t="s">
        <v>5137</v>
      </c>
      <c r="G1372" t="s">
        <v>21</v>
      </c>
      <c r="H1372" t="s">
        <v>5000</v>
      </c>
      <c r="I1372" t="s">
        <v>5312</v>
      </c>
      <c r="J1372" s="4" t="s">
        <v>5313</v>
      </c>
      <c r="K1372" s="4" t="s">
        <v>4899</v>
      </c>
      <c r="L1372" s="4">
        <v>18</v>
      </c>
      <c r="M1372" s="4" t="s">
        <v>5035</v>
      </c>
      <c r="N1372" t="s">
        <v>5248</v>
      </c>
      <c r="O1372" t="s">
        <v>5249</v>
      </c>
      <c r="P1372" t="s">
        <v>23</v>
      </c>
      <c r="Q1372" t="s">
        <v>24</v>
      </c>
      <c r="R1372" t="s">
        <v>5216</v>
      </c>
      <c r="S1372" t="s">
        <v>5217</v>
      </c>
      <c r="T1372" s="6">
        <v>46307</v>
      </c>
      <c r="U1372">
        <v>30</v>
      </c>
      <c r="V1372">
        <v>30</v>
      </c>
      <c r="W1372">
        <v>30</v>
      </c>
      <c r="X1372">
        <v>30</v>
      </c>
      <c r="Y1372">
        <f t="shared" si="218"/>
        <v>0</v>
      </c>
      <c r="AC1372" s="1">
        <v>30</v>
      </c>
      <c r="AF1372">
        <v>30</v>
      </c>
      <c r="AG1372" s="7">
        <v>10</v>
      </c>
      <c r="AH1372">
        <f t="shared" si="216"/>
        <v>30</v>
      </c>
      <c r="AI1372">
        <f t="shared" si="217"/>
        <v>0</v>
      </c>
      <c r="AK1372">
        <f t="shared" si="219"/>
        <v>3</v>
      </c>
      <c r="AL1372">
        <v>14.48</v>
      </c>
      <c r="AM1372" t="s">
        <v>27</v>
      </c>
      <c r="AN1372">
        <v>14.48</v>
      </c>
      <c r="AO1372" t="b">
        <f t="shared" si="220"/>
        <v>1</v>
      </c>
      <c r="AR1372" t="s">
        <v>5061</v>
      </c>
      <c r="AS1372" s="21">
        <v>46284</v>
      </c>
      <c r="AT1372" t="s">
        <v>5062</v>
      </c>
      <c r="AU1372" t="s">
        <v>5315</v>
      </c>
      <c r="AV1372" t="s">
        <v>5062</v>
      </c>
      <c r="AW1372" t="s">
        <v>5311</v>
      </c>
    </row>
    <row r="1373" spans="1:49" x14ac:dyDescent="0.35">
      <c r="A1373" t="s">
        <v>5105</v>
      </c>
      <c r="B1373" t="s">
        <v>872</v>
      </c>
      <c r="C1373" t="s">
        <v>4818</v>
      </c>
      <c r="D1373" t="s">
        <v>18</v>
      </c>
      <c r="E1373" t="s">
        <v>5138</v>
      </c>
      <c r="F1373" t="s">
        <v>5139</v>
      </c>
      <c r="G1373" t="s">
        <v>21</v>
      </c>
      <c r="H1373" t="s">
        <v>5000</v>
      </c>
      <c r="I1373" t="s">
        <v>5312</v>
      </c>
      <c r="J1373" s="4" t="s">
        <v>5313</v>
      </c>
      <c r="K1373" s="4" t="s">
        <v>4899</v>
      </c>
      <c r="L1373" s="4">
        <v>16</v>
      </c>
      <c r="M1373" s="4" t="s">
        <v>5035</v>
      </c>
      <c r="N1373" t="s">
        <v>5250</v>
      </c>
      <c r="O1373" t="s">
        <v>5251</v>
      </c>
      <c r="P1373" t="s">
        <v>23</v>
      </c>
      <c r="Q1373" t="s">
        <v>24</v>
      </c>
      <c r="R1373" t="s">
        <v>5216</v>
      </c>
      <c r="S1373" t="s">
        <v>5217</v>
      </c>
      <c r="T1373" s="6">
        <v>46307</v>
      </c>
      <c r="U1373">
        <v>20</v>
      </c>
      <c r="V1373">
        <v>20</v>
      </c>
      <c r="W1373">
        <v>20</v>
      </c>
      <c r="X1373">
        <v>20</v>
      </c>
      <c r="Y1373">
        <f t="shared" si="218"/>
        <v>0</v>
      </c>
      <c r="AC1373" s="1">
        <v>20</v>
      </c>
      <c r="AF1373">
        <v>20</v>
      </c>
      <c r="AG1373" s="7">
        <v>10</v>
      </c>
      <c r="AH1373">
        <f t="shared" si="216"/>
        <v>20</v>
      </c>
      <c r="AI1373">
        <f t="shared" si="217"/>
        <v>0</v>
      </c>
      <c r="AK1373">
        <f t="shared" si="219"/>
        <v>2</v>
      </c>
      <c r="AL1373">
        <v>14.48</v>
      </c>
      <c r="AM1373" t="s">
        <v>27</v>
      </c>
      <c r="AN1373">
        <v>14.48</v>
      </c>
      <c r="AO1373" t="b">
        <f t="shared" si="220"/>
        <v>1</v>
      </c>
      <c r="AR1373" t="s">
        <v>5061</v>
      </c>
      <c r="AS1373" s="21">
        <v>46284</v>
      </c>
      <c r="AT1373" t="s">
        <v>5062</v>
      </c>
      <c r="AU1373" t="s">
        <v>5315</v>
      </c>
      <c r="AV1373" t="s">
        <v>5062</v>
      </c>
      <c r="AW1373" t="s">
        <v>5311</v>
      </c>
    </row>
    <row r="1374" spans="1:49" x14ac:dyDescent="0.35">
      <c r="A1374" t="s">
        <v>5105</v>
      </c>
      <c r="B1374" t="s">
        <v>872</v>
      </c>
      <c r="C1374" t="s">
        <v>4818</v>
      </c>
      <c r="D1374" t="s">
        <v>18</v>
      </c>
      <c r="E1374" t="s">
        <v>5140</v>
      </c>
      <c r="F1374" t="s">
        <v>5141</v>
      </c>
      <c r="G1374" t="s">
        <v>21</v>
      </c>
      <c r="H1374" t="s">
        <v>5000</v>
      </c>
      <c r="I1374" t="s">
        <v>5312</v>
      </c>
      <c r="J1374" s="4" t="s">
        <v>5313</v>
      </c>
      <c r="K1374" s="4" t="s">
        <v>4843</v>
      </c>
      <c r="L1374" s="4">
        <v>18</v>
      </c>
      <c r="M1374" s="4" t="s">
        <v>5035</v>
      </c>
      <c r="N1374" t="s">
        <v>5252</v>
      </c>
      <c r="O1374" t="s">
        <v>5253</v>
      </c>
      <c r="P1374" t="s">
        <v>23</v>
      </c>
      <c r="Q1374" t="s">
        <v>24</v>
      </c>
      <c r="R1374" t="s">
        <v>5216</v>
      </c>
      <c r="S1374" t="s">
        <v>5217</v>
      </c>
      <c r="T1374" s="6">
        <v>46307</v>
      </c>
      <c r="U1374">
        <v>200</v>
      </c>
      <c r="V1374">
        <v>200</v>
      </c>
      <c r="W1374">
        <v>220</v>
      </c>
      <c r="X1374">
        <v>220</v>
      </c>
      <c r="Y1374">
        <f t="shared" si="218"/>
        <v>0</v>
      </c>
      <c r="AC1374" s="1">
        <v>200</v>
      </c>
      <c r="AF1374">
        <v>200</v>
      </c>
      <c r="AG1374" s="7">
        <v>10</v>
      </c>
      <c r="AH1374">
        <f t="shared" si="216"/>
        <v>200</v>
      </c>
      <c r="AI1374">
        <f t="shared" si="217"/>
        <v>0</v>
      </c>
      <c r="AK1374">
        <f t="shared" si="219"/>
        <v>20</v>
      </c>
      <c r="AL1374">
        <v>15.37</v>
      </c>
      <c r="AM1374" t="s">
        <v>27</v>
      </c>
      <c r="AN1374">
        <v>15.37</v>
      </c>
      <c r="AO1374" t="b">
        <f t="shared" si="220"/>
        <v>1</v>
      </c>
      <c r="AR1374" t="s">
        <v>5061</v>
      </c>
      <c r="AS1374" s="21">
        <v>46284</v>
      </c>
      <c r="AT1374" t="s">
        <v>5062</v>
      </c>
      <c r="AU1374" t="s">
        <v>5315</v>
      </c>
      <c r="AV1374" t="s">
        <v>5062</v>
      </c>
      <c r="AW1374" t="s">
        <v>5311</v>
      </c>
    </row>
    <row r="1375" spans="1:49" x14ac:dyDescent="0.35">
      <c r="A1375" t="s">
        <v>5105</v>
      </c>
      <c r="B1375" t="s">
        <v>872</v>
      </c>
      <c r="C1375" t="s">
        <v>4818</v>
      </c>
      <c r="D1375" t="s">
        <v>18</v>
      </c>
      <c r="E1375" t="s">
        <v>5142</v>
      </c>
      <c r="F1375" t="s">
        <v>5143</v>
      </c>
      <c r="G1375" t="s">
        <v>21</v>
      </c>
      <c r="H1375" t="s">
        <v>5000</v>
      </c>
      <c r="I1375" t="s">
        <v>5312</v>
      </c>
      <c r="J1375" s="4" t="s">
        <v>5313</v>
      </c>
      <c r="K1375" s="4" t="s">
        <v>4899</v>
      </c>
      <c r="L1375" s="4">
        <v>14</v>
      </c>
      <c r="M1375" s="4" t="s">
        <v>5035</v>
      </c>
      <c r="N1375" t="s">
        <v>5254</v>
      </c>
      <c r="O1375" t="s">
        <v>5255</v>
      </c>
      <c r="P1375" t="s">
        <v>23</v>
      </c>
      <c r="Q1375" t="s">
        <v>24</v>
      </c>
      <c r="R1375" t="s">
        <v>5216</v>
      </c>
      <c r="S1375" t="s">
        <v>5217</v>
      </c>
      <c r="T1375" s="6">
        <v>46307</v>
      </c>
      <c r="U1375">
        <v>110</v>
      </c>
      <c r="V1375">
        <v>110</v>
      </c>
      <c r="W1375">
        <v>120</v>
      </c>
      <c r="X1375">
        <v>120</v>
      </c>
      <c r="Y1375">
        <f t="shared" si="218"/>
        <v>0</v>
      </c>
      <c r="AC1375" s="1">
        <v>110</v>
      </c>
      <c r="AF1375">
        <v>110</v>
      </c>
      <c r="AG1375" s="7">
        <v>10</v>
      </c>
      <c r="AH1375">
        <f t="shared" si="216"/>
        <v>110</v>
      </c>
      <c r="AI1375">
        <f t="shared" si="217"/>
        <v>0</v>
      </c>
      <c r="AK1375">
        <f t="shared" si="219"/>
        <v>11</v>
      </c>
      <c r="AL1375">
        <v>14.48</v>
      </c>
      <c r="AM1375" t="s">
        <v>27</v>
      </c>
      <c r="AN1375">
        <v>14.48</v>
      </c>
      <c r="AO1375" t="b">
        <f t="shared" si="220"/>
        <v>1</v>
      </c>
      <c r="AR1375" t="s">
        <v>5061</v>
      </c>
      <c r="AS1375" s="21">
        <v>46284</v>
      </c>
      <c r="AT1375" t="s">
        <v>5062</v>
      </c>
      <c r="AU1375" t="s">
        <v>5315</v>
      </c>
      <c r="AV1375" t="s">
        <v>5062</v>
      </c>
      <c r="AW1375" t="s">
        <v>5311</v>
      </c>
    </row>
    <row r="1376" spans="1:49" x14ac:dyDescent="0.35">
      <c r="A1376" t="s">
        <v>5105</v>
      </c>
      <c r="B1376" t="s">
        <v>872</v>
      </c>
      <c r="C1376" t="s">
        <v>4818</v>
      </c>
      <c r="D1376" t="s">
        <v>18</v>
      </c>
      <c r="E1376" t="s">
        <v>5144</v>
      </c>
      <c r="F1376" t="s">
        <v>5145</v>
      </c>
      <c r="G1376" t="s">
        <v>21</v>
      </c>
      <c r="H1376" t="s">
        <v>5000</v>
      </c>
      <c r="I1376" t="s">
        <v>5312</v>
      </c>
      <c r="J1376" s="4" t="s">
        <v>5313</v>
      </c>
      <c r="K1376" s="4" t="s">
        <v>5314</v>
      </c>
      <c r="L1376" s="4">
        <v>12</v>
      </c>
      <c r="M1376" s="4" t="s">
        <v>5035</v>
      </c>
      <c r="N1376" t="s">
        <v>5256</v>
      </c>
      <c r="O1376" t="s">
        <v>5257</v>
      </c>
      <c r="P1376" t="s">
        <v>23</v>
      </c>
      <c r="Q1376" t="s">
        <v>24</v>
      </c>
      <c r="R1376" t="s">
        <v>5216</v>
      </c>
      <c r="S1376" t="s">
        <v>5217</v>
      </c>
      <c r="T1376" s="6">
        <v>46307</v>
      </c>
      <c r="U1376">
        <v>250</v>
      </c>
      <c r="V1376">
        <v>250</v>
      </c>
      <c r="W1376">
        <v>270</v>
      </c>
      <c r="X1376">
        <v>270</v>
      </c>
      <c r="Y1376">
        <f t="shared" si="218"/>
        <v>0</v>
      </c>
      <c r="AC1376" s="1">
        <v>250</v>
      </c>
      <c r="AF1376">
        <v>250</v>
      </c>
      <c r="AG1376" s="7">
        <v>10</v>
      </c>
      <c r="AH1376">
        <f t="shared" si="216"/>
        <v>250</v>
      </c>
      <c r="AI1376">
        <f t="shared" si="217"/>
        <v>0</v>
      </c>
      <c r="AK1376">
        <f t="shared" si="219"/>
        <v>25</v>
      </c>
      <c r="AL1376">
        <v>14.48</v>
      </c>
      <c r="AM1376" t="s">
        <v>27</v>
      </c>
      <c r="AN1376">
        <v>14.48</v>
      </c>
      <c r="AO1376" t="b">
        <f t="shared" si="220"/>
        <v>1</v>
      </c>
      <c r="AR1376" t="s">
        <v>5061</v>
      </c>
      <c r="AS1376" s="21">
        <v>46284</v>
      </c>
      <c r="AT1376" t="s">
        <v>5062</v>
      </c>
      <c r="AU1376" t="s">
        <v>5315</v>
      </c>
      <c r="AV1376" t="s">
        <v>5062</v>
      </c>
      <c r="AW1376" t="s">
        <v>5311</v>
      </c>
    </row>
    <row r="1377" spans="1:49" x14ac:dyDescent="0.35">
      <c r="A1377" t="s">
        <v>5105</v>
      </c>
      <c r="B1377" t="s">
        <v>872</v>
      </c>
      <c r="C1377" t="s">
        <v>4818</v>
      </c>
      <c r="D1377" t="s">
        <v>18</v>
      </c>
      <c r="E1377" t="s">
        <v>5146</v>
      </c>
      <c r="F1377" t="s">
        <v>5147</v>
      </c>
      <c r="G1377" t="s">
        <v>21</v>
      </c>
      <c r="H1377" t="s">
        <v>5000</v>
      </c>
      <c r="I1377" t="s">
        <v>5312</v>
      </c>
      <c r="J1377" s="4" t="s">
        <v>5313</v>
      </c>
      <c r="K1377" s="4" t="s">
        <v>4899</v>
      </c>
      <c r="L1377" s="4">
        <v>0</v>
      </c>
      <c r="M1377" s="4" t="s">
        <v>5035</v>
      </c>
      <c r="N1377" t="s">
        <v>5258</v>
      </c>
      <c r="O1377" t="s">
        <v>5259</v>
      </c>
      <c r="P1377" t="s">
        <v>23</v>
      </c>
      <c r="Q1377" t="s">
        <v>24</v>
      </c>
      <c r="R1377" t="s">
        <v>5216</v>
      </c>
      <c r="S1377" t="s">
        <v>5217</v>
      </c>
      <c r="T1377" s="6">
        <v>46307</v>
      </c>
      <c r="U1377">
        <v>190</v>
      </c>
      <c r="V1377">
        <v>190</v>
      </c>
      <c r="W1377">
        <v>210</v>
      </c>
      <c r="X1377">
        <v>210</v>
      </c>
      <c r="Y1377">
        <f t="shared" si="218"/>
        <v>0</v>
      </c>
      <c r="AC1377" s="1">
        <v>190</v>
      </c>
      <c r="AF1377">
        <v>190</v>
      </c>
      <c r="AG1377" s="7">
        <v>10</v>
      </c>
      <c r="AH1377">
        <f t="shared" si="216"/>
        <v>190</v>
      </c>
      <c r="AI1377">
        <f t="shared" si="217"/>
        <v>0</v>
      </c>
      <c r="AK1377">
        <f t="shared" si="219"/>
        <v>19</v>
      </c>
      <c r="AL1377">
        <v>14.48</v>
      </c>
      <c r="AM1377" t="s">
        <v>27</v>
      </c>
      <c r="AN1377">
        <v>14.48</v>
      </c>
      <c r="AO1377" t="b">
        <f t="shared" si="220"/>
        <v>1</v>
      </c>
      <c r="AR1377" t="s">
        <v>5061</v>
      </c>
      <c r="AS1377" s="21">
        <v>46284</v>
      </c>
      <c r="AT1377" t="s">
        <v>5062</v>
      </c>
      <c r="AU1377" t="s">
        <v>5315</v>
      </c>
      <c r="AV1377" t="s">
        <v>5062</v>
      </c>
      <c r="AW1377" t="s">
        <v>5311</v>
      </c>
    </row>
    <row r="1378" spans="1:49" x14ac:dyDescent="0.35">
      <c r="A1378" t="s">
        <v>5105</v>
      </c>
      <c r="B1378" t="s">
        <v>872</v>
      </c>
      <c r="C1378" t="s">
        <v>4818</v>
      </c>
      <c r="D1378" t="s">
        <v>18</v>
      </c>
      <c r="E1378" t="s">
        <v>5148</v>
      </c>
      <c r="F1378" t="s">
        <v>5149</v>
      </c>
      <c r="G1378" t="s">
        <v>21</v>
      </c>
      <c r="H1378" t="s">
        <v>5000</v>
      </c>
      <c r="I1378" t="s">
        <v>5312</v>
      </c>
      <c r="J1378" s="4" t="s">
        <v>5313</v>
      </c>
      <c r="K1378" s="4" t="s">
        <v>4843</v>
      </c>
      <c r="L1378" s="4">
        <v>20</v>
      </c>
      <c r="M1378" s="4" t="s">
        <v>5035</v>
      </c>
      <c r="N1378" t="s">
        <v>5260</v>
      </c>
      <c r="O1378" t="s">
        <v>5261</v>
      </c>
      <c r="P1378" t="s">
        <v>23</v>
      </c>
      <c r="Q1378" t="s">
        <v>24</v>
      </c>
      <c r="R1378" t="s">
        <v>5216</v>
      </c>
      <c r="S1378" t="s">
        <v>5217</v>
      </c>
      <c r="T1378" s="6">
        <v>46307</v>
      </c>
      <c r="U1378">
        <v>130</v>
      </c>
      <c r="V1378">
        <v>130</v>
      </c>
      <c r="W1378">
        <v>140</v>
      </c>
      <c r="X1378">
        <v>140</v>
      </c>
      <c r="Y1378">
        <f t="shared" si="218"/>
        <v>0</v>
      </c>
      <c r="AC1378" s="1">
        <v>130</v>
      </c>
      <c r="AF1378">
        <v>130</v>
      </c>
      <c r="AG1378" s="7">
        <v>10</v>
      </c>
      <c r="AH1378">
        <f t="shared" si="216"/>
        <v>130</v>
      </c>
      <c r="AI1378">
        <f t="shared" si="217"/>
        <v>0</v>
      </c>
      <c r="AK1378">
        <f t="shared" si="219"/>
        <v>13</v>
      </c>
      <c r="AL1378">
        <v>15.37</v>
      </c>
      <c r="AM1378" t="s">
        <v>27</v>
      </c>
      <c r="AN1378">
        <v>15.37</v>
      </c>
      <c r="AO1378" t="b">
        <f t="shared" si="220"/>
        <v>1</v>
      </c>
      <c r="AR1378" t="s">
        <v>5061</v>
      </c>
      <c r="AS1378" s="21">
        <v>46284</v>
      </c>
      <c r="AT1378" t="s">
        <v>5062</v>
      </c>
      <c r="AU1378" t="s">
        <v>5315</v>
      </c>
      <c r="AV1378" t="s">
        <v>5062</v>
      </c>
      <c r="AW1378" t="s">
        <v>5311</v>
      </c>
    </row>
    <row r="1379" spans="1:49" x14ac:dyDescent="0.35">
      <c r="A1379" t="s">
        <v>5105</v>
      </c>
      <c r="B1379" t="s">
        <v>872</v>
      </c>
      <c r="C1379" t="s">
        <v>4818</v>
      </c>
      <c r="D1379" t="s">
        <v>18</v>
      </c>
      <c r="E1379" t="s">
        <v>5150</v>
      </c>
      <c r="F1379" t="s">
        <v>5151</v>
      </c>
      <c r="G1379" t="s">
        <v>21</v>
      </c>
      <c r="H1379" t="s">
        <v>5000</v>
      </c>
      <c r="I1379" t="s">
        <v>5312</v>
      </c>
      <c r="J1379" s="4" t="s">
        <v>5313</v>
      </c>
      <c r="K1379" s="4" t="s">
        <v>5314</v>
      </c>
      <c r="L1379" s="4">
        <v>10</v>
      </c>
      <c r="M1379" s="4" t="s">
        <v>5035</v>
      </c>
      <c r="N1379" t="s">
        <v>5262</v>
      </c>
      <c r="O1379" t="s">
        <v>5263</v>
      </c>
      <c r="P1379" t="s">
        <v>23</v>
      </c>
      <c r="Q1379" t="s">
        <v>24</v>
      </c>
      <c r="R1379" t="s">
        <v>5216</v>
      </c>
      <c r="S1379" t="s">
        <v>5217</v>
      </c>
      <c r="T1379" s="6">
        <v>46307</v>
      </c>
      <c r="U1379">
        <v>180</v>
      </c>
      <c r="V1379">
        <v>180</v>
      </c>
      <c r="W1379">
        <v>200</v>
      </c>
      <c r="X1379">
        <v>200</v>
      </c>
      <c r="Y1379">
        <f t="shared" si="218"/>
        <v>0</v>
      </c>
      <c r="AC1379" s="1">
        <v>180</v>
      </c>
      <c r="AF1379">
        <v>180</v>
      </c>
      <c r="AG1379" s="7">
        <v>10</v>
      </c>
      <c r="AH1379">
        <f t="shared" si="216"/>
        <v>180</v>
      </c>
      <c r="AI1379">
        <f t="shared" si="217"/>
        <v>0</v>
      </c>
      <c r="AK1379">
        <f t="shared" si="219"/>
        <v>18</v>
      </c>
      <c r="AL1379">
        <v>14.48</v>
      </c>
      <c r="AM1379" t="s">
        <v>27</v>
      </c>
      <c r="AN1379">
        <v>14.48</v>
      </c>
      <c r="AO1379" t="b">
        <f t="shared" si="220"/>
        <v>1</v>
      </c>
      <c r="AR1379" t="s">
        <v>5061</v>
      </c>
      <c r="AS1379" s="21">
        <v>46284</v>
      </c>
      <c r="AT1379" t="s">
        <v>5062</v>
      </c>
      <c r="AU1379" t="s">
        <v>5315</v>
      </c>
      <c r="AV1379" t="s">
        <v>5062</v>
      </c>
      <c r="AW1379" t="s">
        <v>5311</v>
      </c>
    </row>
    <row r="1380" spans="1:49" x14ac:dyDescent="0.35">
      <c r="A1380" t="s">
        <v>5105</v>
      </c>
      <c r="B1380" t="s">
        <v>872</v>
      </c>
      <c r="C1380" t="s">
        <v>4818</v>
      </c>
      <c r="D1380" t="s">
        <v>18</v>
      </c>
      <c r="E1380" t="s">
        <v>5152</v>
      </c>
      <c r="F1380" t="s">
        <v>5153</v>
      </c>
      <c r="G1380" t="s">
        <v>21</v>
      </c>
      <c r="H1380" t="s">
        <v>5000</v>
      </c>
      <c r="I1380" t="s">
        <v>5312</v>
      </c>
      <c r="J1380" s="4" t="s">
        <v>5313</v>
      </c>
      <c r="K1380" s="4" t="s">
        <v>5314</v>
      </c>
      <c r="L1380" s="4">
        <v>16</v>
      </c>
      <c r="M1380" s="4" t="s">
        <v>5035</v>
      </c>
      <c r="N1380" t="s">
        <v>5264</v>
      </c>
      <c r="O1380" t="s">
        <v>5265</v>
      </c>
      <c r="P1380" t="s">
        <v>23</v>
      </c>
      <c r="Q1380" t="s">
        <v>24</v>
      </c>
      <c r="R1380" t="s">
        <v>5216</v>
      </c>
      <c r="S1380" t="s">
        <v>5217</v>
      </c>
      <c r="T1380" s="6">
        <v>46307</v>
      </c>
      <c r="U1380">
        <v>140</v>
      </c>
      <c r="V1380">
        <v>140</v>
      </c>
      <c r="W1380">
        <v>150</v>
      </c>
      <c r="X1380">
        <v>150</v>
      </c>
      <c r="Y1380">
        <f t="shared" si="218"/>
        <v>0</v>
      </c>
      <c r="AC1380" s="1">
        <v>140</v>
      </c>
      <c r="AF1380">
        <v>140</v>
      </c>
      <c r="AG1380" s="7">
        <v>10</v>
      </c>
      <c r="AH1380">
        <f t="shared" si="216"/>
        <v>140</v>
      </c>
      <c r="AI1380">
        <f t="shared" si="217"/>
        <v>0</v>
      </c>
      <c r="AK1380">
        <f t="shared" si="219"/>
        <v>14</v>
      </c>
      <c r="AL1380">
        <v>14.48</v>
      </c>
      <c r="AM1380" t="s">
        <v>27</v>
      </c>
      <c r="AN1380">
        <v>14.48</v>
      </c>
      <c r="AO1380" t="b">
        <f t="shared" si="220"/>
        <v>1</v>
      </c>
      <c r="AR1380" t="s">
        <v>5061</v>
      </c>
      <c r="AS1380" s="21">
        <v>46284</v>
      </c>
      <c r="AT1380" t="s">
        <v>5062</v>
      </c>
      <c r="AU1380" t="s">
        <v>5315</v>
      </c>
      <c r="AV1380" t="s">
        <v>5062</v>
      </c>
      <c r="AW1380" t="s">
        <v>5311</v>
      </c>
    </row>
    <row r="1381" spans="1:49" x14ac:dyDescent="0.35">
      <c r="A1381" t="s">
        <v>5105</v>
      </c>
      <c r="B1381" t="s">
        <v>872</v>
      </c>
      <c r="C1381" t="s">
        <v>4818</v>
      </c>
      <c r="D1381" t="s">
        <v>18</v>
      </c>
      <c r="E1381" t="s">
        <v>5154</v>
      </c>
      <c r="F1381" t="s">
        <v>5155</v>
      </c>
      <c r="G1381" t="s">
        <v>21</v>
      </c>
      <c r="H1381" t="s">
        <v>5000</v>
      </c>
      <c r="I1381" t="s">
        <v>5312</v>
      </c>
      <c r="J1381" s="4" t="s">
        <v>5313</v>
      </c>
      <c r="K1381" s="4" t="s">
        <v>4899</v>
      </c>
      <c r="L1381" s="4">
        <v>10</v>
      </c>
      <c r="M1381" s="4" t="s">
        <v>5035</v>
      </c>
      <c r="N1381" t="s">
        <v>5266</v>
      </c>
      <c r="O1381" t="s">
        <v>5267</v>
      </c>
      <c r="P1381" t="s">
        <v>23</v>
      </c>
      <c r="Q1381" t="s">
        <v>24</v>
      </c>
      <c r="R1381" t="s">
        <v>5216</v>
      </c>
      <c r="S1381" t="s">
        <v>5217</v>
      </c>
      <c r="T1381" s="6">
        <v>46307</v>
      </c>
      <c r="U1381">
        <v>190</v>
      </c>
      <c r="V1381">
        <v>190</v>
      </c>
      <c r="W1381">
        <v>210</v>
      </c>
      <c r="X1381">
        <v>210</v>
      </c>
      <c r="Y1381">
        <f t="shared" si="218"/>
        <v>0</v>
      </c>
      <c r="AC1381" s="1">
        <v>190</v>
      </c>
      <c r="AF1381">
        <v>190</v>
      </c>
      <c r="AG1381" s="7">
        <v>10</v>
      </c>
      <c r="AH1381">
        <f t="shared" si="216"/>
        <v>190</v>
      </c>
      <c r="AI1381">
        <f t="shared" si="217"/>
        <v>0</v>
      </c>
      <c r="AK1381">
        <f t="shared" si="219"/>
        <v>19</v>
      </c>
      <c r="AL1381">
        <v>14.48</v>
      </c>
      <c r="AM1381" t="s">
        <v>27</v>
      </c>
      <c r="AN1381">
        <v>14.48</v>
      </c>
      <c r="AO1381" t="b">
        <f t="shared" si="220"/>
        <v>1</v>
      </c>
      <c r="AR1381" t="s">
        <v>5061</v>
      </c>
      <c r="AS1381" s="21">
        <v>46284</v>
      </c>
      <c r="AT1381" t="s">
        <v>5062</v>
      </c>
      <c r="AU1381" t="s">
        <v>5315</v>
      </c>
      <c r="AV1381" t="s">
        <v>5062</v>
      </c>
      <c r="AW1381" t="s">
        <v>5311</v>
      </c>
    </row>
    <row r="1382" spans="1:49" x14ac:dyDescent="0.35">
      <c r="A1382" t="s">
        <v>5105</v>
      </c>
      <c r="B1382" t="s">
        <v>872</v>
      </c>
      <c r="C1382" t="s">
        <v>4818</v>
      </c>
      <c r="D1382" t="s">
        <v>18</v>
      </c>
      <c r="E1382" t="s">
        <v>5156</v>
      </c>
      <c r="F1382" t="s">
        <v>5157</v>
      </c>
      <c r="G1382" t="s">
        <v>21</v>
      </c>
      <c r="H1382" t="s">
        <v>5000</v>
      </c>
      <c r="I1382" t="s">
        <v>5312</v>
      </c>
      <c r="J1382" s="4" t="s">
        <v>5313</v>
      </c>
      <c r="K1382" s="4" t="s">
        <v>4843</v>
      </c>
      <c r="L1382" s="4">
        <v>8</v>
      </c>
      <c r="M1382" s="4" t="s">
        <v>5035</v>
      </c>
      <c r="N1382" t="s">
        <v>5268</v>
      </c>
      <c r="O1382" t="s">
        <v>5269</v>
      </c>
      <c r="P1382" t="s">
        <v>23</v>
      </c>
      <c r="Q1382" t="s">
        <v>24</v>
      </c>
      <c r="R1382" t="s">
        <v>5216</v>
      </c>
      <c r="S1382" t="s">
        <v>5217</v>
      </c>
      <c r="T1382" s="6">
        <v>46307</v>
      </c>
      <c r="U1382">
        <v>290</v>
      </c>
      <c r="V1382">
        <v>290</v>
      </c>
      <c r="W1382">
        <v>310</v>
      </c>
      <c r="X1382">
        <v>310</v>
      </c>
      <c r="Y1382">
        <f t="shared" si="218"/>
        <v>0</v>
      </c>
      <c r="AC1382" s="1">
        <v>290</v>
      </c>
      <c r="AF1382">
        <v>290</v>
      </c>
      <c r="AG1382" s="7">
        <v>10</v>
      </c>
      <c r="AH1382">
        <f t="shared" si="216"/>
        <v>290</v>
      </c>
      <c r="AI1382">
        <f t="shared" si="217"/>
        <v>0</v>
      </c>
      <c r="AK1382">
        <f t="shared" si="219"/>
        <v>29</v>
      </c>
      <c r="AL1382">
        <v>15.37</v>
      </c>
      <c r="AM1382" t="s">
        <v>27</v>
      </c>
      <c r="AN1382">
        <v>15.37</v>
      </c>
      <c r="AO1382" t="b">
        <f t="shared" si="220"/>
        <v>1</v>
      </c>
      <c r="AR1382" t="s">
        <v>5061</v>
      </c>
      <c r="AS1382" s="21">
        <v>46284</v>
      </c>
      <c r="AT1382" t="s">
        <v>5062</v>
      </c>
      <c r="AU1382" t="s">
        <v>5315</v>
      </c>
      <c r="AV1382" t="s">
        <v>5062</v>
      </c>
      <c r="AW1382" t="s">
        <v>5311</v>
      </c>
    </row>
    <row r="1383" spans="1:49" x14ac:dyDescent="0.35">
      <c r="A1383" t="s">
        <v>5105</v>
      </c>
      <c r="B1383" t="s">
        <v>872</v>
      </c>
      <c r="C1383" t="s">
        <v>4818</v>
      </c>
      <c r="D1383" t="s">
        <v>18</v>
      </c>
      <c r="E1383" t="s">
        <v>5158</v>
      </c>
      <c r="F1383" t="s">
        <v>5159</v>
      </c>
      <c r="G1383" t="s">
        <v>21</v>
      </c>
      <c r="H1383" t="s">
        <v>5000</v>
      </c>
      <c r="I1383" t="s">
        <v>5312</v>
      </c>
      <c r="J1383" s="4" t="s">
        <v>5313</v>
      </c>
      <c r="K1383" s="4" t="s">
        <v>5314</v>
      </c>
      <c r="L1383" s="4">
        <v>4</v>
      </c>
      <c r="M1383" s="4" t="s">
        <v>5035</v>
      </c>
      <c r="N1383" t="s">
        <v>5270</v>
      </c>
      <c r="O1383" t="s">
        <v>5271</v>
      </c>
      <c r="P1383" t="s">
        <v>23</v>
      </c>
      <c r="Q1383" t="s">
        <v>24</v>
      </c>
      <c r="R1383" t="s">
        <v>5216</v>
      </c>
      <c r="S1383" t="s">
        <v>5217</v>
      </c>
      <c r="T1383" s="6">
        <v>46307</v>
      </c>
      <c r="U1383">
        <v>140</v>
      </c>
      <c r="V1383">
        <v>140</v>
      </c>
      <c r="W1383">
        <v>150</v>
      </c>
      <c r="X1383">
        <v>150</v>
      </c>
      <c r="Y1383">
        <f t="shared" si="218"/>
        <v>0</v>
      </c>
      <c r="AC1383" s="1">
        <v>140</v>
      </c>
      <c r="AF1383">
        <v>140</v>
      </c>
      <c r="AG1383" s="7">
        <v>10</v>
      </c>
      <c r="AH1383">
        <f t="shared" si="216"/>
        <v>140</v>
      </c>
      <c r="AI1383">
        <f t="shared" si="217"/>
        <v>0</v>
      </c>
      <c r="AK1383">
        <f t="shared" si="219"/>
        <v>14</v>
      </c>
      <c r="AL1383">
        <v>14.48</v>
      </c>
      <c r="AM1383" t="s">
        <v>27</v>
      </c>
      <c r="AN1383">
        <v>14.48</v>
      </c>
      <c r="AO1383" t="b">
        <f t="shared" si="220"/>
        <v>1</v>
      </c>
      <c r="AR1383" t="s">
        <v>5061</v>
      </c>
      <c r="AS1383" s="21">
        <v>46284</v>
      </c>
      <c r="AT1383" t="s">
        <v>5062</v>
      </c>
      <c r="AU1383" t="s">
        <v>5315</v>
      </c>
      <c r="AV1383" t="s">
        <v>5062</v>
      </c>
      <c r="AW1383" t="s">
        <v>5311</v>
      </c>
    </row>
    <row r="1384" spans="1:49" x14ac:dyDescent="0.35">
      <c r="A1384" t="s">
        <v>5105</v>
      </c>
      <c r="B1384" t="s">
        <v>872</v>
      </c>
      <c r="C1384" t="s">
        <v>4818</v>
      </c>
      <c r="D1384" t="s">
        <v>18</v>
      </c>
      <c r="E1384" t="s">
        <v>5160</v>
      </c>
      <c r="F1384" t="s">
        <v>5161</v>
      </c>
      <c r="G1384" t="s">
        <v>21</v>
      </c>
      <c r="H1384" t="s">
        <v>5000</v>
      </c>
      <c r="I1384" t="s">
        <v>5312</v>
      </c>
      <c r="J1384" s="4" t="s">
        <v>5313</v>
      </c>
      <c r="K1384" s="4" t="s">
        <v>4899</v>
      </c>
      <c r="L1384" s="4">
        <v>2</v>
      </c>
      <c r="M1384" s="4" t="s">
        <v>5035</v>
      </c>
      <c r="N1384" t="s">
        <v>5272</v>
      </c>
      <c r="O1384" t="s">
        <v>5273</v>
      </c>
      <c r="P1384" t="s">
        <v>23</v>
      </c>
      <c r="Q1384" t="s">
        <v>24</v>
      </c>
      <c r="R1384" t="s">
        <v>5216</v>
      </c>
      <c r="S1384" t="s">
        <v>5217</v>
      </c>
      <c r="T1384" s="6">
        <v>46307</v>
      </c>
      <c r="U1384">
        <v>310</v>
      </c>
      <c r="V1384">
        <v>310</v>
      </c>
      <c r="W1384">
        <v>330</v>
      </c>
      <c r="X1384">
        <v>330</v>
      </c>
      <c r="Y1384">
        <f t="shared" si="218"/>
        <v>0</v>
      </c>
      <c r="AC1384" s="1">
        <v>310</v>
      </c>
      <c r="AF1384">
        <v>310</v>
      </c>
      <c r="AG1384" s="7">
        <v>10</v>
      </c>
      <c r="AH1384">
        <f t="shared" si="216"/>
        <v>310</v>
      </c>
      <c r="AI1384">
        <f t="shared" si="217"/>
        <v>0</v>
      </c>
      <c r="AK1384">
        <f t="shared" si="219"/>
        <v>31</v>
      </c>
      <c r="AL1384">
        <v>14.48</v>
      </c>
      <c r="AM1384" t="s">
        <v>27</v>
      </c>
      <c r="AN1384">
        <v>14.48</v>
      </c>
      <c r="AO1384" t="b">
        <f t="shared" si="220"/>
        <v>1</v>
      </c>
      <c r="AR1384" t="s">
        <v>5061</v>
      </c>
      <c r="AS1384" s="21">
        <v>46284</v>
      </c>
      <c r="AT1384" t="s">
        <v>5062</v>
      </c>
      <c r="AU1384" t="s">
        <v>5315</v>
      </c>
      <c r="AV1384" t="s">
        <v>5062</v>
      </c>
      <c r="AW1384" t="s">
        <v>5311</v>
      </c>
    </row>
    <row r="1385" spans="1:49" x14ac:dyDescent="0.35">
      <c r="A1385" t="s">
        <v>5105</v>
      </c>
      <c r="B1385" t="s">
        <v>872</v>
      </c>
      <c r="C1385" t="s">
        <v>4818</v>
      </c>
      <c r="D1385" t="s">
        <v>18</v>
      </c>
      <c r="E1385" t="s">
        <v>5162</v>
      </c>
      <c r="F1385" t="s">
        <v>5163</v>
      </c>
      <c r="G1385" t="s">
        <v>21</v>
      </c>
      <c r="H1385" t="s">
        <v>5000</v>
      </c>
      <c r="I1385" t="s">
        <v>5312</v>
      </c>
      <c r="J1385" s="4" t="s">
        <v>5313</v>
      </c>
      <c r="K1385" s="4" t="s">
        <v>4899</v>
      </c>
      <c r="L1385" s="4">
        <v>4</v>
      </c>
      <c r="M1385" s="4" t="s">
        <v>5035</v>
      </c>
      <c r="N1385" t="s">
        <v>5274</v>
      </c>
      <c r="O1385" t="s">
        <v>5275</v>
      </c>
      <c r="P1385" t="s">
        <v>23</v>
      </c>
      <c r="Q1385" t="s">
        <v>24</v>
      </c>
      <c r="R1385" t="s">
        <v>5216</v>
      </c>
      <c r="S1385" t="s">
        <v>5217</v>
      </c>
      <c r="T1385" s="6">
        <v>46307</v>
      </c>
      <c r="U1385">
        <v>210</v>
      </c>
      <c r="V1385">
        <v>210</v>
      </c>
      <c r="W1385">
        <v>230</v>
      </c>
      <c r="X1385">
        <v>230</v>
      </c>
      <c r="Y1385">
        <f t="shared" si="218"/>
        <v>0</v>
      </c>
      <c r="AC1385" s="1">
        <v>210</v>
      </c>
      <c r="AF1385">
        <v>210</v>
      </c>
      <c r="AG1385" s="7">
        <v>10</v>
      </c>
      <c r="AH1385">
        <f t="shared" si="216"/>
        <v>210</v>
      </c>
      <c r="AI1385">
        <f t="shared" si="217"/>
        <v>0</v>
      </c>
      <c r="AK1385">
        <f t="shared" si="219"/>
        <v>21</v>
      </c>
      <c r="AL1385">
        <v>14.48</v>
      </c>
      <c r="AM1385" t="s">
        <v>27</v>
      </c>
      <c r="AN1385">
        <v>14.48</v>
      </c>
      <c r="AO1385" t="b">
        <f t="shared" si="220"/>
        <v>1</v>
      </c>
      <c r="AR1385" t="s">
        <v>5061</v>
      </c>
      <c r="AS1385" s="21">
        <v>46284</v>
      </c>
      <c r="AT1385" t="s">
        <v>5062</v>
      </c>
      <c r="AU1385" t="s">
        <v>5315</v>
      </c>
      <c r="AV1385" t="s">
        <v>5062</v>
      </c>
      <c r="AW1385" t="s">
        <v>5311</v>
      </c>
    </row>
    <row r="1386" spans="1:49" x14ac:dyDescent="0.35">
      <c r="A1386" t="s">
        <v>5105</v>
      </c>
      <c r="B1386" t="s">
        <v>872</v>
      </c>
      <c r="C1386" t="s">
        <v>4818</v>
      </c>
      <c r="D1386" t="s">
        <v>18</v>
      </c>
      <c r="E1386" t="s">
        <v>5164</v>
      </c>
      <c r="F1386" t="s">
        <v>5165</v>
      </c>
      <c r="G1386" t="s">
        <v>21</v>
      </c>
      <c r="H1386" t="s">
        <v>5000</v>
      </c>
      <c r="I1386" t="s">
        <v>5312</v>
      </c>
      <c r="J1386" s="4" t="s">
        <v>5313</v>
      </c>
      <c r="K1386" s="4" t="s">
        <v>5314</v>
      </c>
      <c r="L1386" s="4">
        <v>20</v>
      </c>
      <c r="M1386" s="4" t="s">
        <v>5035</v>
      </c>
      <c r="N1386" t="s">
        <v>5276</v>
      </c>
      <c r="O1386" t="s">
        <v>5277</v>
      </c>
      <c r="P1386" t="s">
        <v>23</v>
      </c>
      <c r="Q1386" t="s">
        <v>24</v>
      </c>
      <c r="R1386" t="s">
        <v>5216</v>
      </c>
      <c r="S1386" t="s">
        <v>5217</v>
      </c>
      <c r="T1386" s="6">
        <v>46307</v>
      </c>
      <c r="U1386">
        <v>110</v>
      </c>
      <c r="V1386">
        <v>110</v>
      </c>
      <c r="W1386">
        <v>120</v>
      </c>
      <c r="X1386">
        <v>120</v>
      </c>
      <c r="Y1386">
        <f t="shared" si="218"/>
        <v>0</v>
      </c>
      <c r="AC1386" s="1">
        <v>110</v>
      </c>
      <c r="AF1386">
        <v>110</v>
      </c>
      <c r="AG1386" s="7">
        <v>10</v>
      </c>
      <c r="AH1386">
        <f t="shared" si="216"/>
        <v>110</v>
      </c>
      <c r="AI1386">
        <f t="shared" si="217"/>
        <v>0</v>
      </c>
      <c r="AK1386">
        <f t="shared" si="219"/>
        <v>11</v>
      </c>
      <c r="AL1386">
        <v>14.48</v>
      </c>
      <c r="AM1386" t="s">
        <v>27</v>
      </c>
      <c r="AN1386">
        <v>14.48</v>
      </c>
      <c r="AO1386" t="b">
        <f t="shared" si="220"/>
        <v>1</v>
      </c>
      <c r="AR1386" t="s">
        <v>5061</v>
      </c>
      <c r="AS1386" s="21">
        <v>46284</v>
      </c>
      <c r="AT1386" t="s">
        <v>5062</v>
      </c>
      <c r="AU1386" t="s">
        <v>5315</v>
      </c>
      <c r="AV1386" t="s">
        <v>5062</v>
      </c>
      <c r="AW1386" t="s">
        <v>5311</v>
      </c>
    </row>
    <row r="1387" spans="1:49" x14ac:dyDescent="0.35">
      <c r="A1387" t="s">
        <v>5105</v>
      </c>
      <c r="B1387" t="s">
        <v>872</v>
      </c>
      <c r="C1387" t="s">
        <v>4818</v>
      </c>
      <c r="D1387" t="s">
        <v>18</v>
      </c>
      <c r="E1387" t="s">
        <v>5166</v>
      </c>
      <c r="F1387" t="s">
        <v>5167</v>
      </c>
      <c r="G1387" t="s">
        <v>21</v>
      </c>
      <c r="H1387" t="s">
        <v>5000</v>
      </c>
      <c r="I1387" t="s">
        <v>5312</v>
      </c>
      <c r="J1387" s="4" t="s">
        <v>5313</v>
      </c>
      <c r="K1387" s="4" t="s">
        <v>4899</v>
      </c>
      <c r="L1387" s="4">
        <v>6</v>
      </c>
      <c r="M1387" s="4" t="s">
        <v>5035</v>
      </c>
      <c r="N1387" t="s">
        <v>5278</v>
      </c>
      <c r="O1387" t="s">
        <v>5279</v>
      </c>
      <c r="P1387" t="s">
        <v>23</v>
      </c>
      <c r="Q1387" t="s">
        <v>24</v>
      </c>
      <c r="R1387" t="s">
        <v>5216</v>
      </c>
      <c r="S1387" t="s">
        <v>5217</v>
      </c>
      <c r="T1387" s="6">
        <v>46307</v>
      </c>
      <c r="U1387">
        <v>240</v>
      </c>
      <c r="V1387">
        <v>240</v>
      </c>
      <c r="W1387">
        <v>260</v>
      </c>
      <c r="X1387">
        <v>260</v>
      </c>
      <c r="Y1387">
        <f t="shared" si="218"/>
        <v>0</v>
      </c>
      <c r="AC1387" s="1">
        <v>240</v>
      </c>
      <c r="AF1387">
        <v>240</v>
      </c>
      <c r="AG1387" s="7">
        <v>10</v>
      </c>
      <c r="AH1387">
        <f t="shared" si="216"/>
        <v>240</v>
      </c>
      <c r="AI1387">
        <f t="shared" si="217"/>
        <v>0</v>
      </c>
      <c r="AK1387">
        <f t="shared" si="219"/>
        <v>24</v>
      </c>
      <c r="AL1387">
        <v>14.48</v>
      </c>
      <c r="AM1387" t="s">
        <v>27</v>
      </c>
      <c r="AN1387">
        <v>14.48</v>
      </c>
      <c r="AO1387" t="b">
        <f t="shared" si="220"/>
        <v>1</v>
      </c>
      <c r="AR1387" t="s">
        <v>5061</v>
      </c>
      <c r="AS1387" s="21">
        <v>46284</v>
      </c>
      <c r="AT1387" t="s">
        <v>5062</v>
      </c>
      <c r="AU1387" t="s">
        <v>5315</v>
      </c>
      <c r="AV1387" t="s">
        <v>5062</v>
      </c>
      <c r="AW1387" t="s">
        <v>5311</v>
      </c>
    </row>
    <row r="1388" spans="1:49" x14ac:dyDescent="0.35">
      <c r="A1388" t="s">
        <v>5105</v>
      </c>
      <c r="B1388" t="s">
        <v>872</v>
      </c>
      <c r="C1388" t="s">
        <v>4818</v>
      </c>
      <c r="D1388" t="s">
        <v>18</v>
      </c>
      <c r="E1388" t="s">
        <v>5168</v>
      </c>
      <c r="F1388" t="s">
        <v>5169</v>
      </c>
      <c r="G1388" t="s">
        <v>21</v>
      </c>
      <c r="H1388" t="s">
        <v>5000</v>
      </c>
      <c r="I1388" t="s">
        <v>5312</v>
      </c>
      <c r="J1388" s="4" t="s">
        <v>5313</v>
      </c>
      <c r="K1388" s="4" t="s">
        <v>5314</v>
      </c>
      <c r="L1388" s="4">
        <v>6</v>
      </c>
      <c r="M1388" s="4" t="s">
        <v>5035</v>
      </c>
      <c r="N1388" t="s">
        <v>5280</v>
      </c>
      <c r="O1388" t="s">
        <v>5281</v>
      </c>
      <c r="P1388" t="s">
        <v>23</v>
      </c>
      <c r="Q1388" t="s">
        <v>24</v>
      </c>
      <c r="R1388" t="s">
        <v>5216</v>
      </c>
      <c r="S1388" t="s">
        <v>5217</v>
      </c>
      <c r="T1388" s="6">
        <v>46307</v>
      </c>
      <c r="U1388">
        <v>160</v>
      </c>
      <c r="V1388">
        <v>160</v>
      </c>
      <c r="W1388">
        <v>170</v>
      </c>
      <c r="X1388">
        <v>170</v>
      </c>
      <c r="Y1388">
        <f t="shared" si="218"/>
        <v>0</v>
      </c>
      <c r="AC1388" s="1">
        <v>160</v>
      </c>
      <c r="AF1388">
        <v>160</v>
      </c>
      <c r="AG1388" s="7">
        <v>10</v>
      </c>
      <c r="AH1388">
        <f t="shared" si="216"/>
        <v>160</v>
      </c>
      <c r="AI1388">
        <f t="shared" si="217"/>
        <v>0</v>
      </c>
      <c r="AK1388">
        <f t="shared" si="219"/>
        <v>16</v>
      </c>
      <c r="AL1388">
        <v>14.48</v>
      </c>
      <c r="AM1388" t="s">
        <v>27</v>
      </c>
      <c r="AN1388">
        <v>14.48</v>
      </c>
      <c r="AO1388" t="b">
        <f t="shared" si="220"/>
        <v>1</v>
      </c>
      <c r="AR1388" t="s">
        <v>5061</v>
      </c>
      <c r="AS1388" s="21">
        <v>46284</v>
      </c>
      <c r="AT1388" t="s">
        <v>5062</v>
      </c>
      <c r="AU1388" t="s">
        <v>5315</v>
      </c>
      <c r="AV1388" t="s">
        <v>5062</v>
      </c>
      <c r="AW1388" t="s">
        <v>5311</v>
      </c>
    </row>
    <row r="1389" spans="1:49" x14ac:dyDescent="0.35">
      <c r="A1389" t="s">
        <v>5105</v>
      </c>
      <c r="B1389" t="s">
        <v>872</v>
      </c>
      <c r="C1389" t="s">
        <v>4818</v>
      </c>
      <c r="D1389" t="s">
        <v>18</v>
      </c>
      <c r="E1389" t="s">
        <v>5170</v>
      </c>
      <c r="F1389" t="s">
        <v>5171</v>
      </c>
      <c r="G1389" t="s">
        <v>21</v>
      </c>
      <c r="H1389" t="s">
        <v>5000</v>
      </c>
      <c r="I1389" t="s">
        <v>5312</v>
      </c>
      <c r="J1389" s="4" t="s">
        <v>5313</v>
      </c>
      <c r="K1389" s="4" t="s">
        <v>5314</v>
      </c>
      <c r="L1389" s="4">
        <v>18</v>
      </c>
      <c r="M1389" s="4" t="s">
        <v>5035</v>
      </c>
      <c r="N1389" t="s">
        <v>5282</v>
      </c>
      <c r="O1389" t="s">
        <v>5283</v>
      </c>
      <c r="P1389" t="s">
        <v>23</v>
      </c>
      <c r="Q1389" t="s">
        <v>24</v>
      </c>
      <c r="R1389" t="s">
        <v>5216</v>
      </c>
      <c r="S1389" t="s">
        <v>5217</v>
      </c>
      <c r="T1389" s="6">
        <v>46307</v>
      </c>
      <c r="U1389">
        <v>230</v>
      </c>
      <c r="V1389">
        <v>230</v>
      </c>
      <c r="W1389">
        <v>250</v>
      </c>
      <c r="X1389">
        <v>250</v>
      </c>
      <c r="Y1389">
        <f t="shared" si="218"/>
        <v>0</v>
      </c>
      <c r="AC1389" s="1">
        <v>230</v>
      </c>
      <c r="AF1389">
        <v>230</v>
      </c>
      <c r="AG1389" s="7">
        <v>10</v>
      </c>
      <c r="AH1389">
        <f t="shared" si="216"/>
        <v>230</v>
      </c>
      <c r="AI1389">
        <f t="shared" si="217"/>
        <v>0</v>
      </c>
      <c r="AK1389">
        <f t="shared" si="219"/>
        <v>23</v>
      </c>
      <c r="AL1389">
        <v>14.48</v>
      </c>
      <c r="AM1389" t="s">
        <v>27</v>
      </c>
      <c r="AN1389">
        <v>14.48</v>
      </c>
      <c r="AO1389" t="b">
        <f t="shared" si="220"/>
        <v>1</v>
      </c>
      <c r="AR1389" t="s">
        <v>5061</v>
      </c>
      <c r="AS1389" s="21">
        <v>46284</v>
      </c>
      <c r="AT1389" t="s">
        <v>5062</v>
      </c>
      <c r="AU1389" t="s">
        <v>5315</v>
      </c>
      <c r="AV1389" t="s">
        <v>5062</v>
      </c>
      <c r="AW1389" t="s">
        <v>5311</v>
      </c>
    </row>
    <row r="1390" spans="1:49" x14ac:dyDescent="0.35">
      <c r="A1390" t="s">
        <v>5105</v>
      </c>
      <c r="B1390" t="s">
        <v>872</v>
      </c>
      <c r="C1390" t="s">
        <v>4818</v>
      </c>
      <c r="D1390" t="s">
        <v>18</v>
      </c>
      <c r="E1390" t="s">
        <v>2861</v>
      </c>
      <c r="F1390" t="s">
        <v>2862</v>
      </c>
      <c r="G1390" t="s">
        <v>21</v>
      </c>
      <c r="H1390" t="s">
        <v>4888</v>
      </c>
      <c r="I1390" t="s">
        <v>5008</v>
      </c>
      <c r="J1390" s="4" t="s">
        <v>5009</v>
      </c>
      <c r="K1390" s="4" t="s">
        <v>4904</v>
      </c>
      <c r="L1390" s="4">
        <v>36</v>
      </c>
      <c r="M1390" s="4" t="s">
        <v>5035</v>
      </c>
      <c r="N1390" t="s">
        <v>2863</v>
      </c>
      <c r="O1390" t="s">
        <v>2864</v>
      </c>
      <c r="P1390" t="s">
        <v>23</v>
      </c>
      <c r="Q1390" t="s">
        <v>24</v>
      </c>
      <c r="R1390" t="s">
        <v>5216</v>
      </c>
      <c r="S1390" t="s">
        <v>5217</v>
      </c>
      <c r="T1390" s="6">
        <v>46307</v>
      </c>
      <c r="U1390">
        <v>24</v>
      </c>
      <c r="V1390">
        <v>24</v>
      </c>
      <c r="W1390">
        <v>24</v>
      </c>
      <c r="X1390">
        <v>24</v>
      </c>
      <c r="Y1390">
        <f t="shared" si="218"/>
        <v>0</v>
      </c>
      <c r="AC1390" s="1">
        <v>24</v>
      </c>
      <c r="AF1390">
        <v>24</v>
      </c>
      <c r="AG1390" s="7">
        <v>24</v>
      </c>
      <c r="AH1390">
        <f t="shared" si="216"/>
        <v>24</v>
      </c>
      <c r="AI1390">
        <f t="shared" si="217"/>
        <v>0</v>
      </c>
      <c r="AK1390">
        <f t="shared" si="219"/>
        <v>1</v>
      </c>
      <c r="AL1390">
        <v>10.11</v>
      </c>
      <c r="AM1390" t="s">
        <v>27</v>
      </c>
      <c r="AN1390">
        <v>10.11</v>
      </c>
      <c r="AO1390" t="b">
        <f t="shared" si="220"/>
        <v>1</v>
      </c>
      <c r="AR1390" t="s">
        <v>5061</v>
      </c>
      <c r="AS1390" s="21">
        <v>46284</v>
      </c>
      <c r="AT1390" t="s">
        <v>5062</v>
      </c>
      <c r="AU1390" t="s">
        <v>5080</v>
      </c>
      <c r="AV1390" t="s">
        <v>5062</v>
      </c>
      <c r="AW1390" t="s">
        <v>5311</v>
      </c>
    </row>
    <row r="1391" spans="1:49" x14ac:dyDescent="0.35">
      <c r="A1391" t="s">
        <v>5105</v>
      </c>
      <c r="B1391" t="s">
        <v>872</v>
      </c>
      <c r="C1391" t="s">
        <v>4818</v>
      </c>
      <c r="D1391" t="s">
        <v>18</v>
      </c>
      <c r="E1391" t="s">
        <v>2869</v>
      </c>
      <c r="F1391" t="s">
        <v>2870</v>
      </c>
      <c r="G1391" t="s">
        <v>21</v>
      </c>
      <c r="H1391" t="s">
        <v>4888</v>
      </c>
      <c r="I1391" t="s">
        <v>5005</v>
      </c>
      <c r="J1391" s="4" t="s">
        <v>5006</v>
      </c>
      <c r="K1391" s="4" t="s">
        <v>4837</v>
      </c>
      <c r="L1391" s="4">
        <v>32</v>
      </c>
      <c r="M1391" s="4" t="s">
        <v>5035</v>
      </c>
      <c r="N1391" t="s">
        <v>2871</v>
      </c>
      <c r="O1391" t="s">
        <v>2872</v>
      </c>
      <c r="P1391" t="s">
        <v>23</v>
      </c>
      <c r="Q1391" t="s">
        <v>24</v>
      </c>
      <c r="R1391" t="s">
        <v>5216</v>
      </c>
      <c r="S1391" t="s">
        <v>5217</v>
      </c>
      <c r="T1391" s="6">
        <v>46307</v>
      </c>
      <c r="U1391">
        <v>24</v>
      </c>
      <c r="V1391">
        <v>24</v>
      </c>
      <c r="W1391">
        <v>24</v>
      </c>
      <c r="X1391">
        <v>24</v>
      </c>
      <c r="Y1391">
        <f t="shared" si="218"/>
        <v>0</v>
      </c>
      <c r="AC1391" s="1">
        <v>24</v>
      </c>
      <c r="AF1391">
        <v>24</v>
      </c>
      <c r="AG1391" s="7">
        <v>24</v>
      </c>
      <c r="AH1391">
        <f t="shared" si="216"/>
        <v>24</v>
      </c>
      <c r="AI1391">
        <f t="shared" si="217"/>
        <v>0</v>
      </c>
      <c r="AK1391">
        <f t="shared" si="219"/>
        <v>1</v>
      </c>
      <c r="AL1391">
        <v>9.58</v>
      </c>
      <c r="AM1391" t="s">
        <v>27</v>
      </c>
      <c r="AN1391">
        <v>9.58</v>
      </c>
      <c r="AO1391" t="b">
        <f t="shared" si="220"/>
        <v>1</v>
      </c>
      <c r="AR1391" t="s">
        <v>5061</v>
      </c>
      <c r="AS1391" s="21">
        <v>46284</v>
      </c>
      <c r="AT1391" t="s">
        <v>5062</v>
      </c>
      <c r="AU1391" t="s">
        <v>5079</v>
      </c>
      <c r="AV1391" t="s">
        <v>5062</v>
      </c>
      <c r="AW1391" t="s">
        <v>5311</v>
      </c>
    </row>
    <row r="1392" spans="1:49" x14ac:dyDescent="0.35">
      <c r="A1392" t="s">
        <v>5105</v>
      </c>
      <c r="B1392" t="s">
        <v>872</v>
      </c>
      <c r="C1392" t="s">
        <v>4818</v>
      </c>
      <c r="D1392" t="s">
        <v>18</v>
      </c>
      <c r="E1392" t="s">
        <v>2873</v>
      </c>
      <c r="F1392" t="s">
        <v>2874</v>
      </c>
      <c r="G1392" t="s">
        <v>21</v>
      </c>
      <c r="H1392" t="s">
        <v>4888</v>
      </c>
      <c r="I1392" t="s">
        <v>5010</v>
      </c>
      <c r="J1392" s="4" t="s">
        <v>5011</v>
      </c>
      <c r="K1392" s="4" t="s">
        <v>4904</v>
      </c>
      <c r="L1392" s="4" t="s">
        <v>4983</v>
      </c>
      <c r="M1392" s="4" t="s">
        <v>5035</v>
      </c>
      <c r="N1392" t="s">
        <v>2875</v>
      </c>
      <c r="O1392" t="s">
        <v>2876</v>
      </c>
      <c r="P1392" t="s">
        <v>23</v>
      </c>
      <c r="Q1392" t="s">
        <v>24</v>
      </c>
      <c r="R1392" t="s">
        <v>5216</v>
      </c>
      <c r="S1392" t="s">
        <v>5217</v>
      </c>
      <c r="T1392" s="6">
        <v>46307</v>
      </c>
      <c r="U1392">
        <v>24</v>
      </c>
      <c r="V1392">
        <v>24</v>
      </c>
      <c r="W1392">
        <v>24</v>
      </c>
      <c r="X1392">
        <v>24</v>
      </c>
      <c r="Y1392">
        <f t="shared" si="218"/>
        <v>0</v>
      </c>
      <c r="AC1392" s="1">
        <v>24</v>
      </c>
      <c r="AF1392">
        <v>24</v>
      </c>
      <c r="AG1392" s="7">
        <v>24</v>
      </c>
      <c r="AH1392">
        <f t="shared" si="216"/>
        <v>24</v>
      </c>
      <c r="AI1392">
        <f t="shared" si="217"/>
        <v>0</v>
      </c>
      <c r="AK1392">
        <f t="shared" si="219"/>
        <v>1</v>
      </c>
      <c r="AL1392">
        <v>5.03</v>
      </c>
      <c r="AM1392" t="s">
        <v>27</v>
      </c>
      <c r="AN1392">
        <v>5.03</v>
      </c>
      <c r="AO1392" t="b">
        <f t="shared" si="220"/>
        <v>1</v>
      </c>
      <c r="AR1392" t="s">
        <v>5061</v>
      </c>
      <c r="AS1392" s="21">
        <v>46284</v>
      </c>
      <c r="AT1392" t="s">
        <v>5062</v>
      </c>
      <c r="AU1392" t="s">
        <v>5081</v>
      </c>
      <c r="AV1392" t="s">
        <v>5062</v>
      </c>
      <c r="AW1392" t="s">
        <v>5311</v>
      </c>
    </row>
    <row r="1393" spans="1:49" x14ac:dyDescent="0.35">
      <c r="A1393" t="s">
        <v>5105</v>
      </c>
      <c r="B1393" t="s">
        <v>872</v>
      </c>
      <c r="C1393" t="s">
        <v>4818</v>
      </c>
      <c r="D1393" t="s">
        <v>18</v>
      </c>
      <c r="E1393" t="s">
        <v>2881</v>
      </c>
      <c r="F1393" t="s">
        <v>2882</v>
      </c>
      <c r="G1393" t="s">
        <v>21</v>
      </c>
      <c r="H1393" t="s">
        <v>4888</v>
      </c>
      <c r="I1393" t="s">
        <v>5012</v>
      </c>
      <c r="J1393" s="4" t="s">
        <v>5013</v>
      </c>
      <c r="K1393" s="4" t="s">
        <v>4984</v>
      </c>
      <c r="L1393" s="4" t="s">
        <v>4985</v>
      </c>
      <c r="M1393" s="4" t="s">
        <v>5035</v>
      </c>
      <c r="N1393" t="s">
        <v>2883</v>
      </c>
      <c r="O1393" t="s">
        <v>2884</v>
      </c>
      <c r="P1393" t="s">
        <v>23</v>
      </c>
      <c r="Q1393" t="s">
        <v>24</v>
      </c>
      <c r="R1393" t="s">
        <v>5216</v>
      </c>
      <c r="S1393" t="s">
        <v>5217</v>
      </c>
      <c r="T1393" s="6">
        <v>46307</v>
      </c>
      <c r="U1393">
        <v>24</v>
      </c>
      <c r="V1393">
        <v>24</v>
      </c>
      <c r="W1393">
        <v>24</v>
      </c>
      <c r="X1393">
        <v>24</v>
      </c>
      <c r="Y1393">
        <f t="shared" si="218"/>
        <v>0</v>
      </c>
      <c r="AC1393" s="1">
        <v>24</v>
      </c>
      <c r="AF1393">
        <v>24</v>
      </c>
      <c r="AG1393" s="7">
        <v>24</v>
      </c>
      <c r="AH1393">
        <f t="shared" si="216"/>
        <v>24</v>
      </c>
      <c r="AI1393">
        <f t="shared" si="217"/>
        <v>0</v>
      </c>
      <c r="AK1393">
        <f t="shared" si="219"/>
        <v>1</v>
      </c>
      <c r="AL1393">
        <v>6.05</v>
      </c>
      <c r="AM1393" t="s">
        <v>27</v>
      </c>
      <c r="AN1393">
        <v>6.05</v>
      </c>
      <c r="AO1393" t="b">
        <f t="shared" si="220"/>
        <v>1</v>
      </c>
      <c r="AR1393" t="s">
        <v>5061</v>
      </c>
      <c r="AS1393" s="21">
        <v>46284</v>
      </c>
      <c r="AT1393" t="s">
        <v>5062</v>
      </c>
      <c r="AU1393" t="s">
        <v>5081</v>
      </c>
      <c r="AV1393" t="s">
        <v>5062</v>
      </c>
      <c r="AW1393" t="s">
        <v>5311</v>
      </c>
    </row>
    <row r="1394" spans="1:49" x14ac:dyDescent="0.35">
      <c r="A1394" t="s">
        <v>5105</v>
      </c>
      <c r="B1394" t="s">
        <v>872</v>
      </c>
      <c r="C1394" t="s">
        <v>4818</v>
      </c>
      <c r="D1394" t="s">
        <v>18</v>
      </c>
      <c r="E1394" t="s">
        <v>2889</v>
      </c>
      <c r="F1394" t="s">
        <v>2890</v>
      </c>
      <c r="G1394" t="s">
        <v>21</v>
      </c>
      <c r="H1394" t="s">
        <v>4888</v>
      </c>
      <c r="I1394" t="s">
        <v>5012</v>
      </c>
      <c r="J1394" s="4" t="s">
        <v>5013</v>
      </c>
      <c r="K1394" s="4" t="s">
        <v>4904</v>
      </c>
      <c r="L1394" s="4" t="s">
        <v>5014</v>
      </c>
      <c r="M1394" s="4" t="s">
        <v>5035</v>
      </c>
      <c r="N1394" t="s">
        <v>2891</v>
      </c>
      <c r="O1394" t="s">
        <v>2892</v>
      </c>
      <c r="P1394" t="s">
        <v>23</v>
      </c>
      <c r="Q1394" t="s">
        <v>24</v>
      </c>
      <c r="R1394" t="s">
        <v>5216</v>
      </c>
      <c r="S1394" t="s">
        <v>5217</v>
      </c>
      <c r="T1394" s="6">
        <v>46307</v>
      </c>
      <c r="U1394">
        <v>24</v>
      </c>
      <c r="V1394">
        <v>24</v>
      </c>
      <c r="W1394">
        <v>24</v>
      </c>
      <c r="X1394">
        <v>24</v>
      </c>
      <c r="Y1394">
        <f t="shared" si="218"/>
        <v>0</v>
      </c>
      <c r="AC1394" s="1">
        <v>24</v>
      </c>
      <c r="AF1394">
        <v>24</v>
      </c>
      <c r="AG1394" s="7">
        <v>24</v>
      </c>
      <c r="AH1394">
        <f t="shared" si="216"/>
        <v>24</v>
      </c>
      <c r="AI1394">
        <f t="shared" si="217"/>
        <v>0</v>
      </c>
      <c r="AK1394">
        <f t="shared" si="219"/>
        <v>1</v>
      </c>
      <c r="AL1394">
        <v>6.15</v>
      </c>
      <c r="AM1394" t="s">
        <v>27</v>
      </c>
      <c r="AN1394">
        <v>6.15</v>
      </c>
      <c r="AO1394" t="b">
        <f t="shared" si="220"/>
        <v>1</v>
      </c>
      <c r="AR1394" t="s">
        <v>5061</v>
      </c>
      <c r="AS1394" s="21">
        <v>46284</v>
      </c>
      <c r="AT1394" t="s">
        <v>5062</v>
      </c>
      <c r="AU1394" t="s">
        <v>5081</v>
      </c>
      <c r="AV1394" t="s">
        <v>5062</v>
      </c>
      <c r="AW1394" t="s">
        <v>5311</v>
      </c>
    </row>
    <row r="1395" spans="1:49" x14ac:dyDescent="0.35">
      <c r="A1395" t="s">
        <v>5105</v>
      </c>
      <c r="B1395" t="s">
        <v>872</v>
      </c>
      <c r="C1395" t="s">
        <v>4818</v>
      </c>
      <c r="D1395" t="s">
        <v>18</v>
      </c>
      <c r="E1395" t="s">
        <v>2965</v>
      </c>
      <c r="F1395" t="s">
        <v>2966</v>
      </c>
      <c r="G1395" t="s">
        <v>21</v>
      </c>
      <c r="H1395" t="s">
        <v>4888</v>
      </c>
      <c r="I1395" t="s">
        <v>5008</v>
      </c>
      <c r="J1395" s="4" t="s">
        <v>5009</v>
      </c>
      <c r="K1395" s="4" t="s">
        <v>5021</v>
      </c>
      <c r="L1395" s="4">
        <v>40</v>
      </c>
      <c r="M1395" s="4" t="s">
        <v>5035</v>
      </c>
      <c r="N1395" t="s">
        <v>2967</v>
      </c>
      <c r="O1395" t="s">
        <v>2968</v>
      </c>
      <c r="P1395" t="s">
        <v>23</v>
      </c>
      <c r="Q1395" t="s">
        <v>24</v>
      </c>
      <c r="R1395" t="s">
        <v>5216</v>
      </c>
      <c r="S1395" t="s">
        <v>5217</v>
      </c>
      <c r="T1395" s="6">
        <v>46307</v>
      </c>
      <c r="U1395">
        <v>24</v>
      </c>
      <c r="V1395">
        <v>24</v>
      </c>
      <c r="W1395">
        <v>24</v>
      </c>
      <c r="X1395">
        <v>24</v>
      </c>
      <c r="Y1395">
        <f t="shared" si="218"/>
        <v>0</v>
      </c>
      <c r="AC1395" s="1">
        <v>24</v>
      </c>
      <c r="AF1395">
        <v>24</v>
      </c>
      <c r="AG1395" s="7">
        <v>24</v>
      </c>
      <c r="AH1395">
        <f t="shared" si="216"/>
        <v>24</v>
      </c>
      <c r="AI1395">
        <f t="shared" si="217"/>
        <v>0</v>
      </c>
      <c r="AK1395">
        <f t="shared" si="219"/>
        <v>1</v>
      </c>
      <c r="AL1395">
        <v>10.11</v>
      </c>
      <c r="AM1395" t="s">
        <v>27</v>
      </c>
      <c r="AN1395">
        <v>10.11</v>
      </c>
      <c r="AO1395" t="b">
        <f t="shared" si="220"/>
        <v>1</v>
      </c>
      <c r="AR1395" t="s">
        <v>5061</v>
      </c>
      <c r="AS1395" s="21">
        <v>46284</v>
      </c>
      <c r="AT1395" t="s">
        <v>5062</v>
      </c>
      <c r="AU1395" t="s">
        <v>5080</v>
      </c>
      <c r="AV1395" t="s">
        <v>5062</v>
      </c>
      <c r="AW1395" t="s">
        <v>5311</v>
      </c>
    </row>
    <row r="1396" spans="1:49" x14ac:dyDescent="0.35">
      <c r="A1396" t="s">
        <v>5105</v>
      </c>
      <c r="B1396" t="s">
        <v>872</v>
      </c>
      <c r="C1396" t="s">
        <v>4818</v>
      </c>
      <c r="D1396" t="s">
        <v>18</v>
      </c>
      <c r="E1396" t="s">
        <v>2977</v>
      </c>
      <c r="F1396" t="s">
        <v>2978</v>
      </c>
      <c r="G1396" t="s">
        <v>21</v>
      </c>
      <c r="H1396" t="s">
        <v>4888</v>
      </c>
      <c r="I1396" t="s">
        <v>5005</v>
      </c>
      <c r="J1396" s="4" t="s">
        <v>5006</v>
      </c>
      <c r="K1396" s="4" t="s">
        <v>4899</v>
      </c>
      <c r="L1396" s="4">
        <v>34</v>
      </c>
      <c r="M1396" s="4" t="s">
        <v>5035</v>
      </c>
      <c r="N1396" t="s">
        <v>2979</v>
      </c>
      <c r="O1396" t="s">
        <v>2980</v>
      </c>
      <c r="P1396" t="s">
        <v>23</v>
      </c>
      <c r="Q1396" t="s">
        <v>24</v>
      </c>
      <c r="R1396" t="s">
        <v>5216</v>
      </c>
      <c r="S1396" t="s">
        <v>5217</v>
      </c>
      <c r="T1396" s="6">
        <v>46307</v>
      </c>
      <c r="U1396">
        <v>24</v>
      </c>
      <c r="V1396">
        <v>24</v>
      </c>
      <c r="W1396">
        <v>24</v>
      </c>
      <c r="X1396">
        <v>24</v>
      </c>
      <c r="Y1396">
        <f t="shared" si="218"/>
        <v>0</v>
      </c>
      <c r="AC1396" s="1">
        <v>24</v>
      </c>
      <c r="AF1396">
        <v>24</v>
      </c>
      <c r="AG1396" s="7">
        <v>24</v>
      </c>
      <c r="AH1396">
        <f t="shared" si="216"/>
        <v>24</v>
      </c>
      <c r="AI1396">
        <f t="shared" si="217"/>
        <v>0</v>
      </c>
      <c r="AK1396">
        <f t="shared" si="219"/>
        <v>1</v>
      </c>
      <c r="AL1396">
        <v>10.14</v>
      </c>
      <c r="AM1396" t="s">
        <v>27</v>
      </c>
      <c r="AN1396">
        <v>10.14</v>
      </c>
      <c r="AO1396" t="b">
        <f t="shared" si="220"/>
        <v>1</v>
      </c>
      <c r="AR1396" t="s">
        <v>5061</v>
      </c>
      <c r="AS1396" s="21">
        <v>46284</v>
      </c>
      <c r="AT1396" t="s">
        <v>5062</v>
      </c>
      <c r="AU1396" t="s">
        <v>5079</v>
      </c>
      <c r="AV1396" t="s">
        <v>5062</v>
      </c>
      <c r="AW1396" t="s">
        <v>5311</v>
      </c>
    </row>
    <row r="1397" spans="1:49" x14ac:dyDescent="0.35">
      <c r="A1397" t="s">
        <v>5105</v>
      </c>
      <c r="B1397" t="s">
        <v>872</v>
      </c>
      <c r="C1397" t="s">
        <v>4818</v>
      </c>
      <c r="D1397" t="s">
        <v>18</v>
      </c>
      <c r="E1397" t="s">
        <v>3057</v>
      </c>
      <c r="F1397" t="s">
        <v>3058</v>
      </c>
      <c r="G1397" t="s">
        <v>21</v>
      </c>
      <c r="H1397" t="s">
        <v>4888</v>
      </c>
      <c r="I1397" t="s">
        <v>5025</v>
      </c>
      <c r="J1397" s="4" t="s">
        <v>5026</v>
      </c>
      <c r="K1397" s="4" t="s">
        <v>5020</v>
      </c>
      <c r="L1397" s="4" t="s">
        <v>5014</v>
      </c>
      <c r="M1397" s="4" t="s">
        <v>5035</v>
      </c>
      <c r="N1397" t="s">
        <v>3059</v>
      </c>
      <c r="O1397" t="s">
        <v>5284</v>
      </c>
      <c r="P1397" t="s">
        <v>23</v>
      </c>
      <c r="Q1397" t="s">
        <v>24</v>
      </c>
      <c r="R1397" t="s">
        <v>5216</v>
      </c>
      <c r="S1397" t="s">
        <v>5217</v>
      </c>
      <c r="T1397" s="6">
        <v>46307</v>
      </c>
      <c r="U1397">
        <v>24</v>
      </c>
      <c r="V1397">
        <v>24</v>
      </c>
      <c r="W1397">
        <v>24</v>
      </c>
      <c r="X1397">
        <v>24</v>
      </c>
      <c r="Y1397">
        <f t="shared" si="218"/>
        <v>0</v>
      </c>
      <c r="AC1397" s="1">
        <v>24</v>
      </c>
      <c r="AF1397">
        <v>24</v>
      </c>
      <c r="AG1397" s="7">
        <v>24</v>
      </c>
      <c r="AH1397">
        <f t="shared" ref="AH1397:AH1460" si="221">ROUNDUP(AF1397/AG1397,0)*AG1397</f>
        <v>24</v>
      </c>
      <c r="AI1397">
        <f t="shared" si="217"/>
        <v>0</v>
      </c>
      <c r="AK1397">
        <f t="shared" si="219"/>
        <v>1</v>
      </c>
      <c r="AL1397">
        <v>6.2</v>
      </c>
      <c r="AM1397" t="s">
        <v>27</v>
      </c>
      <c r="AN1397">
        <v>6.2</v>
      </c>
      <c r="AO1397" t="b">
        <f t="shared" si="220"/>
        <v>1</v>
      </c>
      <c r="AR1397" t="s">
        <v>5061</v>
      </c>
      <c r="AS1397" s="21">
        <v>46284</v>
      </c>
      <c r="AT1397" t="s">
        <v>5062</v>
      </c>
      <c r="AU1397" t="s">
        <v>5082</v>
      </c>
      <c r="AV1397" t="s">
        <v>5062</v>
      </c>
      <c r="AW1397" t="s">
        <v>5311</v>
      </c>
    </row>
    <row r="1398" spans="1:49" x14ac:dyDescent="0.35">
      <c r="A1398" t="s">
        <v>5105</v>
      </c>
      <c r="B1398" t="s">
        <v>872</v>
      </c>
      <c r="C1398" t="s">
        <v>4818</v>
      </c>
      <c r="D1398" t="s">
        <v>18</v>
      </c>
      <c r="E1398" t="s">
        <v>3065</v>
      </c>
      <c r="F1398" t="s">
        <v>3066</v>
      </c>
      <c r="G1398" t="s">
        <v>21</v>
      </c>
      <c r="H1398" t="s">
        <v>4888</v>
      </c>
      <c r="I1398" t="s">
        <v>5008</v>
      </c>
      <c r="J1398" s="4" t="s">
        <v>5009</v>
      </c>
      <c r="K1398" s="4" t="s">
        <v>4904</v>
      </c>
      <c r="L1398" s="4">
        <v>28</v>
      </c>
      <c r="M1398" s="4" t="s">
        <v>5035</v>
      </c>
      <c r="N1398" t="s">
        <v>3067</v>
      </c>
      <c r="O1398" t="s">
        <v>5285</v>
      </c>
      <c r="P1398" t="s">
        <v>23</v>
      </c>
      <c r="Q1398" t="s">
        <v>24</v>
      </c>
      <c r="R1398" t="s">
        <v>5216</v>
      </c>
      <c r="S1398" t="s">
        <v>5217</v>
      </c>
      <c r="T1398" s="6">
        <v>46307</v>
      </c>
      <c r="U1398">
        <v>24</v>
      </c>
      <c r="V1398">
        <v>24</v>
      </c>
      <c r="W1398">
        <v>24</v>
      </c>
      <c r="X1398">
        <v>24</v>
      </c>
      <c r="Y1398">
        <f t="shared" si="218"/>
        <v>0</v>
      </c>
      <c r="AC1398" s="1">
        <v>24</v>
      </c>
      <c r="AF1398">
        <v>24</v>
      </c>
      <c r="AG1398" s="7">
        <v>24</v>
      </c>
      <c r="AH1398">
        <f t="shared" si="221"/>
        <v>24</v>
      </c>
      <c r="AI1398">
        <f t="shared" si="217"/>
        <v>0</v>
      </c>
      <c r="AK1398">
        <f t="shared" si="219"/>
        <v>1</v>
      </c>
      <c r="AL1398">
        <v>10.11</v>
      </c>
      <c r="AM1398" t="s">
        <v>27</v>
      </c>
      <c r="AN1398">
        <v>10.11</v>
      </c>
      <c r="AO1398" t="b">
        <f t="shared" si="220"/>
        <v>1</v>
      </c>
      <c r="AR1398" t="s">
        <v>5061</v>
      </c>
      <c r="AS1398" s="21">
        <v>46284</v>
      </c>
      <c r="AT1398" t="s">
        <v>5062</v>
      </c>
      <c r="AU1398" t="s">
        <v>5080</v>
      </c>
      <c r="AV1398" t="s">
        <v>5062</v>
      </c>
      <c r="AW1398" t="s">
        <v>5311</v>
      </c>
    </row>
    <row r="1399" spans="1:49" x14ac:dyDescent="0.35">
      <c r="A1399" t="s">
        <v>5105</v>
      </c>
      <c r="B1399" t="s">
        <v>872</v>
      </c>
      <c r="C1399" t="s">
        <v>4818</v>
      </c>
      <c r="D1399" t="s">
        <v>18</v>
      </c>
      <c r="E1399" t="s">
        <v>3109</v>
      </c>
      <c r="F1399" t="s">
        <v>3110</v>
      </c>
      <c r="G1399" t="s">
        <v>21</v>
      </c>
      <c r="H1399" t="s">
        <v>4888</v>
      </c>
      <c r="I1399" t="s">
        <v>5005</v>
      </c>
      <c r="J1399" s="4" t="s">
        <v>5006</v>
      </c>
      <c r="K1399" s="4" t="s">
        <v>5007</v>
      </c>
      <c r="L1399" s="4">
        <v>30</v>
      </c>
      <c r="M1399" s="4" t="s">
        <v>5035</v>
      </c>
      <c r="N1399" t="s">
        <v>3111</v>
      </c>
      <c r="O1399" t="s">
        <v>3112</v>
      </c>
      <c r="P1399" t="s">
        <v>23</v>
      </c>
      <c r="Q1399" t="s">
        <v>24</v>
      </c>
      <c r="R1399" t="s">
        <v>5216</v>
      </c>
      <c r="S1399" t="s">
        <v>5217</v>
      </c>
      <c r="T1399" s="6">
        <v>46307</v>
      </c>
      <c r="U1399">
        <v>24</v>
      </c>
      <c r="V1399">
        <v>24</v>
      </c>
      <c r="W1399">
        <v>24</v>
      </c>
      <c r="X1399">
        <v>24</v>
      </c>
      <c r="Y1399">
        <f t="shared" si="218"/>
        <v>0</v>
      </c>
      <c r="AC1399" s="1">
        <v>24</v>
      </c>
      <c r="AF1399">
        <v>24</v>
      </c>
      <c r="AG1399" s="7">
        <v>24</v>
      </c>
      <c r="AH1399">
        <f t="shared" si="221"/>
        <v>24</v>
      </c>
      <c r="AI1399">
        <f t="shared" si="217"/>
        <v>0</v>
      </c>
      <c r="AK1399">
        <f t="shared" si="219"/>
        <v>1</v>
      </c>
      <c r="AL1399">
        <v>10.45</v>
      </c>
      <c r="AM1399" t="s">
        <v>27</v>
      </c>
      <c r="AN1399">
        <v>10.45</v>
      </c>
      <c r="AO1399" t="b">
        <f t="shared" si="220"/>
        <v>1</v>
      </c>
      <c r="AR1399" t="s">
        <v>5061</v>
      </c>
      <c r="AS1399" s="21">
        <v>46284</v>
      </c>
      <c r="AT1399" t="s">
        <v>5062</v>
      </c>
      <c r="AU1399" t="s">
        <v>5079</v>
      </c>
      <c r="AV1399" t="s">
        <v>5062</v>
      </c>
      <c r="AW1399" t="s">
        <v>5311</v>
      </c>
    </row>
    <row r="1400" spans="1:49" x14ac:dyDescent="0.35">
      <c r="A1400" t="s">
        <v>5105</v>
      </c>
      <c r="B1400" t="s">
        <v>872</v>
      </c>
      <c r="C1400" t="s">
        <v>4818</v>
      </c>
      <c r="D1400" t="s">
        <v>18</v>
      </c>
      <c r="E1400" t="s">
        <v>3141</v>
      </c>
      <c r="F1400" t="s">
        <v>3142</v>
      </c>
      <c r="G1400" t="s">
        <v>21</v>
      </c>
      <c r="H1400" t="s">
        <v>4888</v>
      </c>
      <c r="I1400" t="s">
        <v>5022</v>
      </c>
      <c r="J1400" s="4" t="s">
        <v>5023</v>
      </c>
      <c r="K1400" s="4" t="s">
        <v>5024</v>
      </c>
      <c r="L1400" s="4">
        <v>6</v>
      </c>
      <c r="M1400" s="4" t="s">
        <v>5035</v>
      </c>
      <c r="N1400" t="s">
        <v>3143</v>
      </c>
      <c r="O1400" t="s">
        <v>3144</v>
      </c>
      <c r="P1400" t="s">
        <v>23</v>
      </c>
      <c r="Q1400" t="s">
        <v>24</v>
      </c>
      <c r="R1400" t="s">
        <v>5216</v>
      </c>
      <c r="S1400" t="s">
        <v>5217</v>
      </c>
      <c r="T1400" s="6">
        <v>46307</v>
      </c>
      <c r="U1400">
        <v>24</v>
      </c>
      <c r="V1400">
        <v>24</v>
      </c>
      <c r="W1400">
        <v>24</v>
      </c>
      <c r="X1400">
        <v>24</v>
      </c>
      <c r="Y1400">
        <f t="shared" si="218"/>
        <v>0</v>
      </c>
      <c r="AC1400" s="1">
        <v>24</v>
      </c>
      <c r="AF1400">
        <v>24</v>
      </c>
      <c r="AG1400" s="7">
        <v>24</v>
      </c>
      <c r="AH1400">
        <f t="shared" si="221"/>
        <v>24</v>
      </c>
      <c r="AI1400">
        <f t="shared" si="217"/>
        <v>0</v>
      </c>
      <c r="AK1400">
        <f t="shared" si="219"/>
        <v>1</v>
      </c>
      <c r="AL1400">
        <v>6.99</v>
      </c>
      <c r="AM1400" t="s">
        <v>27</v>
      </c>
      <c r="AN1400">
        <v>8.68</v>
      </c>
      <c r="AO1400" t="b">
        <f t="shared" si="220"/>
        <v>0</v>
      </c>
      <c r="AR1400" t="s">
        <v>5061</v>
      </c>
      <c r="AS1400" s="21">
        <v>46284</v>
      </c>
      <c r="AT1400" t="s">
        <v>5062</v>
      </c>
      <c r="AU1400" t="s">
        <v>5083</v>
      </c>
      <c r="AV1400" t="s">
        <v>5062</v>
      </c>
      <c r="AW1400" t="s">
        <v>5311</v>
      </c>
    </row>
    <row r="1401" spans="1:49" x14ac:dyDescent="0.35">
      <c r="A1401" t="s">
        <v>5105</v>
      </c>
      <c r="B1401" t="s">
        <v>872</v>
      </c>
      <c r="C1401" t="s">
        <v>4818</v>
      </c>
      <c r="D1401" t="s">
        <v>18</v>
      </c>
      <c r="E1401" t="s">
        <v>3145</v>
      </c>
      <c r="F1401" t="s">
        <v>3146</v>
      </c>
      <c r="G1401" t="s">
        <v>21</v>
      </c>
      <c r="H1401" t="s">
        <v>4888</v>
      </c>
      <c r="I1401" t="s">
        <v>5012</v>
      </c>
      <c r="J1401" s="4" t="s">
        <v>5013</v>
      </c>
      <c r="K1401" s="4" t="s">
        <v>4904</v>
      </c>
      <c r="L1401" s="4" t="s">
        <v>4986</v>
      </c>
      <c r="M1401" s="4" t="s">
        <v>5035</v>
      </c>
      <c r="N1401" t="s">
        <v>3147</v>
      </c>
      <c r="O1401" t="s">
        <v>3148</v>
      </c>
      <c r="P1401" t="s">
        <v>23</v>
      </c>
      <c r="Q1401" t="s">
        <v>24</v>
      </c>
      <c r="R1401" t="s">
        <v>5216</v>
      </c>
      <c r="S1401" t="s">
        <v>5217</v>
      </c>
      <c r="T1401" s="6">
        <v>46307</v>
      </c>
      <c r="U1401">
        <v>24</v>
      </c>
      <c r="V1401">
        <v>24</v>
      </c>
      <c r="W1401">
        <v>24</v>
      </c>
      <c r="X1401">
        <v>24</v>
      </c>
      <c r="Y1401">
        <f t="shared" si="218"/>
        <v>0</v>
      </c>
      <c r="AC1401" s="1">
        <v>24</v>
      </c>
      <c r="AF1401">
        <v>24</v>
      </c>
      <c r="AG1401" s="7">
        <v>24</v>
      </c>
      <c r="AH1401">
        <f t="shared" si="221"/>
        <v>24</v>
      </c>
      <c r="AI1401">
        <f t="shared" si="217"/>
        <v>0</v>
      </c>
      <c r="AK1401">
        <f t="shared" si="219"/>
        <v>1</v>
      </c>
      <c r="AL1401">
        <v>6.15</v>
      </c>
      <c r="AM1401" t="s">
        <v>27</v>
      </c>
      <c r="AN1401">
        <v>6.15</v>
      </c>
      <c r="AO1401" t="b">
        <f t="shared" si="220"/>
        <v>1</v>
      </c>
      <c r="AR1401" t="s">
        <v>5061</v>
      </c>
      <c r="AS1401" s="21">
        <v>46284</v>
      </c>
      <c r="AT1401" t="s">
        <v>5062</v>
      </c>
      <c r="AU1401" t="s">
        <v>5081</v>
      </c>
      <c r="AV1401" t="s">
        <v>5062</v>
      </c>
      <c r="AW1401" t="s">
        <v>5311</v>
      </c>
    </row>
    <row r="1402" spans="1:49" x14ac:dyDescent="0.35">
      <c r="A1402" t="s">
        <v>5105</v>
      </c>
      <c r="B1402" t="s">
        <v>872</v>
      </c>
      <c r="C1402" t="s">
        <v>4818</v>
      </c>
      <c r="D1402" t="s">
        <v>18</v>
      </c>
      <c r="E1402" t="s">
        <v>3173</v>
      </c>
      <c r="F1402" t="s">
        <v>3174</v>
      </c>
      <c r="G1402" t="s">
        <v>21</v>
      </c>
      <c r="H1402" t="s">
        <v>4888</v>
      </c>
      <c r="I1402" t="s">
        <v>5005</v>
      </c>
      <c r="J1402" s="4" t="s">
        <v>5006</v>
      </c>
      <c r="K1402" s="4" t="s">
        <v>5027</v>
      </c>
      <c r="L1402" s="4">
        <v>31</v>
      </c>
      <c r="M1402" s="4" t="s">
        <v>5035</v>
      </c>
      <c r="N1402" t="s">
        <v>3175</v>
      </c>
      <c r="O1402" t="s">
        <v>3176</v>
      </c>
      <c r="P1402" t="s">
        <v>23</v>
      </c>
      <c r="Q1402" t="s">
        <v>24</v>
      </c>
      <c r="R1402" t="s">
        <v>5216</v>
      </c>
      <c r="S1402" t="s">
        <v>5217</v>
      </c>
      <c r="T1402" s="6">
        <v>46307</v>
      </c>
      <c r="U1402">
        <v>24</v>
      </c>
      <c r="V1402">
        <v>24</v>
      </c>
      <c r="W1402">
        <v>24</v>
      </c>
      <c r="X1402">
        <v>24</v>
      </c>
      <c r="Y1402">
        <f t="shared" si="218"/>
        <v>0</v>
      </c>
      <c r="AC1402" s="1">
        <v>24</v>
      </c>
      <c r="AF1402">
        <v>24</v>
      </c>
      <c r="AG1402" s="7">
        <v>24</v>
      </c>
      <c r="AH1402">
        <f t="shared" si="221"/>
        <v>24</v>
      </c>
      <c r="AI1402">
        <f t="shared" si="217"/>
        <v>0</v>
      </c>
      <c r="AK1402">
        <f t="shared" si="219"/>
        <v>1</v>
      </c>
      <c r="AL1402">
        <v>10.24</v>
      </c>
      <c r="AM1402" t="s">
        <v>27</v>
      </c>
      <c r="AN1402">
        <v>10.24</v>
      </c>
      <c r="AO1402" t="b">
        <f t="shared" si="220"/>
        <v>1</v>
      </c>
      <c r="AR1402" t="s">
        <v>5061</v>
      </c>
      <c r="AS1402" s="21">
        <v>46284</v>
      </c>
      <c r="AT1402" t="s">
        <v>5062</v>
      </c>
      <c r="AU1402" t="s">
        <v>5079</v>
      </c>
      <c r="AV1402" t="s">
        <v>5062</v>
      </c>
      <c r="AW1402" t="s">
        <v>5311</v>
      </c>
    </row>
    <row r="1403" spans="1:49" x14ac:dyDescent="0.35">
      <c r="A1403" t="s">
        <v>5105</v>
      </c>
      <c r="B1403" t="s">
        <v>872</v>
      </c>
      <c r="C1403" t="s">
        <v>4818</v>
      </c>
      <c r="D1403" t="s">
        <v>18</v>
      </c>
      <c r="E1403" t="s">
        <v>3237</v>
      </c>
      <c r="F1403" t="s">
        <v>3238</v>
      </c>
      <c r="G1403" t="s">
        <v>21</v>
      </c>
      <c r="H1403" t="s">
        <v>4888</v>
      </c>
      <c r="I1403" t="s">
        <v>5008</v>
      </c>
      <c r="J1403" s="4" t="s">
        <v>5009</v>
      </c>
      <c r="K1403" s="4" t="s">
        <v>5021</v>
      </c>
      <c r="L1403" s="4">
        <v>42</v>
      </c>
      <c r="M1403" s="4" t="s">
        <v>5035</v>
      </c>
      <c r="N1403" t="s">
        <v>3239</v>
      </c>
      <c r="O1403" t="s">
        <v>3240</v>
      </c>
      <c r="P1403" t="s">
        <v>23</v>
      </c>
      <c r="Q1403" t="s">
        <v>24</v>
      </c>
      <c r="R1403" t="s">
        <v>5216</v>
      </c>
      <c r="S1403" t="s">
        <v>5217</v>
      </c>
      <c r="T1403" s="6">
        <v>46307</v>
      </c>
      <c r="U1403">
        <v>24</v>
      </c>
      <c r="V1403">
        <v>24</v>
      </c>
      <c r="W1403">
        <v>24</v>
      </c>
      <c r="X1403">
        <v>24</v>
      </c>
      <c r="Y1403">
        <f t="shared" si="218"/>
        <v>0</v>
      </c>
      <c r="AC1403" s="1">
        <v>24</v>
      </c>
      <c r="AF1403">
        <v>24</v>
      </c>
      <c r="AG1403" s="7">
        <v>24</v>
      </c>
      <c r="AH1403">
        <f t="shared" si="221"/>
        <v>24</v>
      </c>
      <c r="AI1403">
        <f t="shared" si="217"/>
        <v>0</v>
      </c>
      <c r="AK1403">
        <f t="shared" si="219"/>
        <v>1</v>
      </c>
      <c r="AL1403">
        <v>10.11</v>
      </c>
      <c r="AM1403" t="s">
        <v>27</v>
      </c>
      <c r="AN1403">
        <v>10.11</v>
      </c>
      <c r="AO1403" t="b">
        <f t="shared" si="220"/>
        <v>1</v>
      </c>
      <c r="AR1403" t="s">
        <v>5061</v>
      </c>
      <c r="AS1403" s="21">
        <v>46284</v>
      </c>
      <c r="AT1403" t="s">
        <v>5062</v>
      </c>
      <c r="AU1403" t="s">
        <v>5080</v>
      </c>
      <c r="AV1403" t="s">
        <v>5062</v>
      </c>
      <c r="AW1403" t="s">
        <v>5311</v>
      </c>
    </row>
    <row r="1404" spans="1:49" x14ac:dyDescent="0.35">
      <c r="A1404" t="s">
        <v>5105</v>
      </c>
      <c r="B1404" t="s">
        <v>872</v>
      </c>
      <c r="C1404" t="s">
        <v>4818</v>
      </c>
      <c r="D1404" t="s">
        <v>18</v>
      </c>
      <c r="E1404" t="s">
        <v>3253</v>
      </c>
      <c r="F1404" t="s">
        <v>3254</v>
      </c>
      <c r="G1404" t="s">
        <v>21</v>
      </c>
      <c r="H1404" t="s">
        <v>4888</v>
      </c>
      <c r="I1404" t="s">
        <v>5018</v>
      </c>
      <c r="J1404" s="4" t="s">
        <v>5019</v>
      </c>
      <c r="K1404" s="4" t="s">
        <v>5020</v>
      </c>
      <c r="L1404" s="4">
        <v>12</v>
      </c>
      <c r="M1404" s="4" t="s">
        <v>5035</v>
      </c>
      <c r="N1404" t="s">
        <v>3255</v>
      </c>
      <c r="O1404" t="s">
        <v>5286</v>
      </c>
      <c r="P1404" t="s">
        <v>23</v>
      </c>
      <c r="Q1404" t="s">
        <v>24</v>
      </c>
      <c r="R1404" t="s">
        <v>5216</v>
      </c>
      <c r="S1404" t="s">
        <v>5217</v>
      </c>
      <c r="T1404" s="6">
        <v>46307</v>
      </c>
      <c r="U1404">
        <v>24</v>
      </c>
      <c r="V1404">
        <v>24</v>
      </c>
      <c r="W1404">
        <v>24</v>
      </c>
      <c r="X1404">
        <v>24</v>
      </c>
      <c r="Y1404">
        <f t="shared" si="218"/>
        <v>0</v>
      </c>
      <c r="AC1404" s="1">
        <v>24</v>
      </c>
      <c r="AF1404">
        <v>24</v>
      </c>
      <c r="AG1404" s="7">
        <v>24</v>
      </c>
      <c r="AH1404">
        <f t="shared" si="221"/>
        <v>24</v>
      </c>
      <c r="AI1404">
        <f t="shared" si="217"/>
        <v>0</v>
      </c>
      <c r="AK1404">
        <f t="shared" si="219"/>
        <v>1</v>
      </c>
      <c r="AL1404">
        <v>10.79</v>
      </c>
      <c r="AM1404" t="s">
        <v>27</v>
      </c>
      <c r="AN1404">
        <v>10.79</v>
      </c>
      <c r="AO1404" t="b">
        <f t="shared" si="220"/>
        <v>1</v>
      </c>
      <c r="AR1404" t="s">
        <v>5061</v>
      </c>
      <c r="AS1404" s="21">
        <v>46284</v>
      </c>
      <c r="AT1404" t="s">
        <v>5062</v>
      </c>
      <c r="AU1404" t="s">
        <v>5082</v>
      </c>
      <c r="AV1404" t="s">
        <v>5062</v>
      </c>
      <c r="AW1404" t="s">
        <v>5311</v>
      </c>
    </row>
    <row r="1405" spans="1:49" x14ac:dyDescent="0.35">
      <c r="A1405" t="s">
        <v>5105</v>
      </c>
      <c r="B1405" t="s">
        <v>872</v>
      </c>
      <c r="C1405" t="s">
        <v>4818</v>
      </c>
      <c r="D1405" t="s">
        <v>18</v>
      </c>
      <c r="E1405" t="s">
        <v>3289</v>
      </c>
      <c r="F1405" t="s">
        <v>3290</v>
      </c>
      <c r="G1405" t="s">
        <v>21</v>
      </c>
      <c r="H1405" t="s">
        <v>4888</v>
      </c>
      <c r="I1405" t="s">
        <v>5012</v>
      </c>
      <c r="J1405" s="4" t="s">
        <v>5013</v>
      </c>
      <c r="K1405" s="4" t="s">
        <v>4904</v>
      </c>
      <c r="L1405" s="4" t="s">
        <v>4983</v>
      </c>
      <c r="M1405" s="4" t="s">
        <v>5035</v>
      </c>
      <c r="N1405" t="s">
        <v>3291</v>
      </c>
      <c r="O1405" t="s">
        <v>3292</v>
      </c>
      <c r="P1405" t="s">
        <v>23</v>
      </c>
      <c r="Q1405" t="s">
        <v>24</v>
      </c>
      <c r="R1405" t="s">
        <v>5216</v>
      </c>
      <c r="S1405" t="s">
        <v>5217</v>
      </c>
      <c r="T1405" s="6">
        <v>46307</v>
      </c>
      <c r="U1405">
        <v>24</v>
      </c>
      <c r="V1405">
        <v>24</v>
      </c>
      <c r="W1405">
        <v>24</v>
      </c>
      <c r="X1405">
        <v>24</v>
      </c>
      <c r="Y1405">
        <f t="shared" si="218"/>
        <v>0</v>
      </c>
      <c r="AC1405" s="1">
        <v>24</v>
      </c>
      <c r="AF1405">
        <v>24</v>
      </c>
      <c r="AG1405" s="7">
        <v>24</v>
      </c>
      <c r="AH1405">
        <f t="shared" si="221"/>
        <v>24</v>
      </c>
      <c r="AI1405">
        <f t="shared" si="217"/>
        <v>0</v>
      </c>
      <c r="AK1405">
        <f t="shared" si="219"/>
        <v>1</v>
      </c>
      <c r="AL1405">
        <v>6.15</v>
      </c>
      <c r="AM1405" t="s">
        <v>27</v>
      </c>
      <c r="AN1405">
        <v>6.15</v>
      </c>
      <c r="AO1405" t="b">
        <f t="shared" si="220"/>
        <v>1</v>
      </c>
      <c r="AR1405" t="s">
        <v>5061</v>
      </c>
      <c r="AS1405" s="21">
        <v>46284</v>
      </c>
      <c r="AT1405" t="s">
        <v>5062</v>
      </c>
      <c r="AU1405" t="s">
        <v>5081</v>
      </c>
      <c r="AV1405" t="s">
        <v>5062</v>
      </c>
      <c r="AW1405" t="s">
        <v>5311</v>
      </c>
    </row>
    <row r="1406" spans="1:49" x14ac:dyDescent="0.35">
      <c r="A1406" t="s">
        <v>5105</v>
      </c>
      <c r="B1406" t="s">
        <v>872</v>
      </c>
      <c r="C1406" t="s">
        <v>4818</v>
      </c>
      <c r="D1406" t="s">
        <v>18</v>
      </c>
      <c r="E1406" t="s">
        <v>3309</v>
      </c>
      <c r="F1406" t="s">
        <v>3310</v>
      </c>
      <c r="G1406" t="s">
        <v>21</v>
      </c>
      <c r="H1406" t="s">
        <v>4888</v>
      </c>
      <c r="I1406" t="s">
        <v>5008</v>
      </c>
      <c r="J1406" s="4" t="s">
        <v>5009</v>
      </c>
      <c r="K1406" s="4" t="s">
        <v>4904</v>
      </c>
      <c r="L1406" s="4">
        <v>32</v>
      </c>
      <c r="M1406" s="4" t="s">
        <v>5035</v>
      </c>
      <c r="N1406" t="s">
        <v>3311</v>
      </c>
      <c r="O1406" t="s">
        <v>3312</v>
      </c>
      <c r="P1406" t="s">
        <v>23</v>
      </c>
      <c r="Q1406" t="s">
        <v>24</v>
      </c>
      <c r="R1406" t="s">
        <v>5216</v>
      </c>
      <c r="S1406" t="s">
        <v>5217</v>
      </c>
      <c r="T1406" s="6">
        <v>46307</v>
      </c>
      <c r="U1406">
        <v>24</v>
      </c>
      <c r="V1406">
        <v>24</v>
      </c>
      <c r="W1406">
        <v>24</v>
      </c>
      <c r="X1406">
        <v>24</v>
      </c>
      <c r="Y1406">
        <f t="shared" si="218"/>
        <v>0</v>
      </c>
      <c r="AC1406" s="1">
        <v>24</v>
      </c>
      <c r="AF1406">
        <v>24</v>
      </c>
      <c r="AG1406" s="7">
        <v>24</v>
      </c>
      <c r="AH1406">
        <f t="shared" si="221"/>
        <v>24</v>
      </c>
      <c r="AI1406">
        <f t="shared" si="217"/>
        <v>0</v>
      </c>
      <c r="AK1406">
        <f t="shared" si="219"/>
        <v>1</v>
      </c>
      <c r="AL1406">
        <v>10.11</v>
      </c>
      <c r="AM1406" t="s">
        <v>27</v>
      </c>
      <c r="AN1406">
        <v>10.11</v>
      </c>
      <c r="AO1406" t="b">
        <f t="shared" si="220"/>
        <v>1</v>
      </c>
      <c r="AR1406" t="s">
        <v>5061</v>
      </c>
      <c r="AS1406" s="21">
        <v>46284</v>
      </c>
      <c r="AT1406" t="s">
        <v>5062</v>
      </c>
      <c r="AU1406" t="s">
        <v>5080</v>
      </c>
      <c r="AV1406" t="s">
        <v>5062</v>
      </c>
      <c r="AW1406" t="s">
        <v>5311</v>
      </c>
    </row>
    <row r="1407" spans="1:49" x14ac:dyDescent="0.35">
      <c r="A1407" t="s">
        <v>5105</v>
      </c>
      <c r="B1407" t="s">
        <v>872</v>
      </c>
      <c r="C1407" t="s">
        <v>4818</v>
      </c>
      <c r="D1407" t="s">
        <v>18</v>
      </c>
      <c r="E1407" t="s">
        <v>3329</v>
      </c>
      <c r="F1407" t="s">
        <v>3330</v>
      </c>
      <c r="G1407" t="s">
        <v>21</v>
      </c>
      <c r="H1407" t="s">
        <v>4888</v>
      </c>
      <c r="I1407" t="s">
        <v>5005</v>
      </c>
      <c r="J1407" s="4" t="s">
        <v>5006</v>
      </c>
      <c r="K1407" s="4" t="s">
        <v>5027</v>
      </c>
      <c r="L1407" s="4">
        <v>38</v>
      </c>
      <c r="M1407" s="4" t="s">
        <v>5035</v>
      </c>
      <c r="N1407" t="s">
        <v>3331</v>
      </c>
      <c r="O1407" t="s">
        <v>3332</v>
      </c>
      <c r="P1407" t="s">
        <v>23</v>
      </c>
      <c r="Q1407" t="s">
        <v>24</v>
      </c>
      <c r="R1407" t="s">
        <v>5216</v>
      </c>
      <c r="S1407" t="s">
        <v>5217</v>
      </c>
      <c r="T1407" s="6">
        <v>46307</v>
      </c>
      <c r="U1407">
        <v>48</v>
      </c>
      <c r="V1407">
        <v>48</v>
      </c>
      <c r="W1407">
        <v>48</v>
      </c>
      <c r="X1407">
        <v>48</v>
      </c>
      <c r="Y1407">
        <f t="shared" si="218"/>
        <v>0</v>
      </c>
      <c r="AC1407" s="1">
        <v>48</v>
      </c>
      <c r="AF1407">
        <v>48</v>
      </c>
      <c r="AG1407" s="7">
        <v>24</v>
      </c>
      <c r="AH1407">
        <f t="shared" si="221"/>
        <v>48</v>
      </c>
      <c r="AI1407">
        <f t="shared" si="217"/>
        <v>0</v>
      </c>
      <c r="AK1407">
        <f t="shared" si="219"/>
        <v>2</v>
      </c>
      <c r="AL1407">
        <v>10.24</v>
      </c>
      <c r="AM1407" t="s">
        <v>27</v>
      </c>
      <c r="AN1407">
        <v>10.24</v>
      </c>
      <c r="AO1407" t="b">
        <f t="shared" si="220"/>
        <v>1</v>
      </c>
      <c r="AR1407" t="s">
        <v>5061</v>
      </c>
      <c r="AS1407" s="21">
        <v>46284</v>
      </c>
      <c r="AT1407" t="s">
        <v>5062</v>
      </c>
      <c r="AU1407" t="s">
        <v>5079</v>
      </c>
      <c r="AV1407" t="s">
        <v>5062</v>
      </c>
      <c r="AW1407" t="s">
        <v>5311</v>
      </c>
    </row>
    <row r="1408" spans="1:49" x14ac:dyDescent="0.35">
      <c r="A1408" t="s">
        <v>5105</v>
      </c>
      <c r="B1408" t="s">
        <v>872</v>
      </c>
      <c r="C1408" t="s">
        <v>4818</v>
      </c>
      <c r="D1408" t="s">
        <v>18</v>
      </c>
      <c r="E1408" t="s">
        <v>3333</v>
      </c>
      <c r="F1408" t="s">
        <v>3334</v>
      </c>
      <c r="G1408" t="s">
        <v>21</v>
      </c>
      <c r="H1408" t="s">
        <v>4888</v>
      </c>
      <c r="I1408" t="s">
        <v>5012</v>
      </c>
      <c r="J1408" s="4" t="s">
        <v>5013</v>
      </c>
      <c r="K1408" s="4" t="s">
        <v>4904</v>
      </c>
      <c r="L1408" s="4" t="s">
        <v>4985</v>
      </c>
      <c r="M1408" s="4" t="s">
        <v>5035</v>
      </c>
      <c r="N1408" t="s">
        <v>3335</v>
      </c>
      <c r="O1408" t="s">
        <v>3336</v>
      </c>
      <c r="P1408" t="s">
        <v>23</v>
      </c>
      <c r="Q1408" t="s">
        <v>24</v>
      </c>
      <c r="R1408" t="s">
        <v>5216</v>
      </c>
      <c r="S1408" t="s">
        <v>5217</v>
      </c>
      <c r="T1408" s="6">
        <v>46307</v>
      </c>
      <c r="U1408">
        <v>24</v>
      </c>
      <c r="V1408">
        <v>24</v>
      </c>
      <c r="W1408">
        <v>24</v>
      </c>
      <c r="X1408">
        <v>24</v>
      </c>
      <c r="Y1408">
        <f t="shared" si="218"/>
        <v>0</v>
      </c>
      <c r="AC1408" s="1">
        <v>24</v>
      </c>
      <c r="AF1408">
        <v>24</v>
      </c>
      <c r="AG1408" s="7">
        <v>24</v>
      </c>
      <c r="AH1408">
        <f t="shared" si="221"/>
        <v>24</v>
      </c>
      <c r="AI1408">
        <f t="shared" si="217"/>
        <v>0</v>
      </c>
      <c r="AK1408">
        <f t="shared" si="219"/>
        <v>1</v>
      </c>
      <c r="AL1408">
        <v>6.15</v>
      </c>
      <c r="AM1408" t="s">
        <v>27</v>
      </c>
      <c r="AN1408">
        <v>6.15</v>
      </c>
      <c r="AO1408" t="b">
        <f t="shared" si="220"/>
        <v>1</v>
      </c>
      <c r="AR1408" t="s">
        <v>5061</v>
      </c>
      <c r="AS1408" s="21">
        <v>46284</v>
      </c>
      <c r="AT1408" t="s">
        <v>5062</v>
      </c>
      <c r="AU1408" t="s">
        <v>5081</v>
      </c>
      <c r="AV1408" t="s">
        <v>5062</v>
      </c>
      <c r="AW1408" t="s">
        <v>5311</v>
      </c>
    </row>
    <row r="1409" spans="1:49" x14ac:dyDescent="0.35">
      <c r="A1409" t="s">
        <v>5105</v>
      </c>
      <c r="B1409" t="s">
        <v>872</v>
      </c>
      <c r="C1409" t="s">
        <v>4818</v>
      </c>
      <c r="D1409" t="s">
        <v>18</v>
      </c>
      <c r="E1409" t="s">
        <v>3433</v>
      </c>
      <c r="F1409" t="s">
        <v>3434</v>
      </c>
      <c r="G1409" t="s">
        <v>21</v>
      </c>
      <c r="H1409" t="s">
        <v>4888</v>
      </c>
      <c r="I1409" t="s">
        <v>5022</v>
      </c>
      <c r="J1409" s="4" t="s">
        <v>5023</v>
      </c>
      <c r="K1409" s="4" t="s">
        <v>5024</v>
      </c>
      <c r="L1409" s="4">
        <v>16</v>
      </c>
      <c r="M1409" s="4" t="s">
        <v>5035</v>
      </c>
      <c r="N1409" t="s">
        <v>3435</v>
      </c>
      <c r="O1409" t="s">
        <v>3436</v>
      </c>
      <c r="P1409" t="s">
        <v>23</v>
      </c>
      <c r="Q1409" t="s">
        <v>24</v>
      </c>
      <c r="R1409" t="s">
        <v>5216</v>
      </c>
      <c r="S1409" t="s">
        <v>5217</v>
      </c>
      <c r="T1409" s="6">
        <v>46307</v>
      </c>
      <c r="U1409">
        <v>24</v>
      </c>
      <c r="V1409">
        <v>24</v>
      </c>
      <c r="W1409">
        <v>24</v>
      </c>
      <c r="X1409">
        <v>24</v>
      </c>
      <c r="Y1409">
        <f t="shared" si="218"/>
        <v>0</v>
      </c>
      <c r="AC1409" s="1">
        <v>24</v>
      </c>
      <c r="AF1409">
        <v>24</v>
      </c>
      <c r="AG1409" s="7">
        <v>24</v>
      </c>
      <c r="AH1409">
        <f t="shared" si="221"/>
        <v>24</v>
      </c>
      <c r="AI1409">
        <f t="shared" si="217"/>
        <v>0</v>
      </c>
      <c r="AK1409">
        <f t="shared" si="219"/>
        <v>1</v>
      </c>
      <c r="AL1409">
        <v>6.99</v>
      </c>
      <c r="AM1409" t="s">
        <v>27</v>
      </c>
      <c r="AN1409">
        <v>8.68</v>
      </c>
      <c r="AO1409" t="b">
        <f t="shared" si="220"/>
        <v>0</v>
      </c>
      <c r="AR1409" t="s">
        <v>5061</v>
      </c>
      <c r="AS1409" s="21">
        <v>46284</v>
      </c>
      <c r="AT1409" t="s">
        <v>5062</v>
      </c>
      <c r="AU1409" t="s">
        <v>5083</v>
      </c>
      <c r="AV1409" t="s">
        <v>5062</v>
      </c>
      <c r="AW1409" t="s">
        <v>5311</v>
      </c>
    </row>
    <row r="1410" spans="1:49" x14ac:dyDescent="0.35">
      <c r="A1410" t="s">
        <v>5105</v>
      </c>
      <c r="B1410" t="s">
        <v>872</v>
      </c>
      <c r="C1410" t="s">
        <v>4818</v>
      </c>
      <c r="D1410" t="s">
        <v>18</v>
      </c>
      <c r="E1410" t="s">
        <v>3493</v>
      </c>
      <c r="F1410" t="s">
        <v>3494</v>
      </c>
      <c r="G1410" t="s">
        <v>21</v>
      </c>
      <c r="H1410" t="s">
        <v>4888</v>
      </c>
      <c r="I1410" t="s">
        <v>5022</v>
      </c>
      <c r="J1410" s="4" t="s">
        <v>5023</v>
      </c>
      <c r="K1410" s="4" t="s">
        <v>5024</v>
      </c>
      <c r="L1410" s="4">
        <v>10</v>
      </c>
      <c r="M1410" s="4" t="s">
        <v>5035</v>
      </c>
      <c r="N1410" t="s">
        <v>3495</v>
      </c>
      <c r="O1410" t="s">
        <v>3496</v>
      </c>
      <c r="P1410" t="s">
        <v>23</v>
      </c>
      <c r="Q1410" t="s">
        <v>24</v>
      </c>
      <c r="R1410" t="s">
        <v>5216</v>
      </c>
      <c r="S1410" t="s">
        <v>5217</v>
      </c>
      <c r="T1410" s="6">
        <v>46307</v>
      </c>
      <c r="U1410">
        <v>24</v>
      </c>
      <c r="V1410">
        <v>24</v>
      </c>
      <c r="W1410">
        <v>24</v>
      </c>
      <c r="X1410">
        <v>24</v>
      </c>
      <c r="Y1410">
        <f t="shared" si="218"/>
        <v>0</v>
      </c>
      <c r="AC1410" s="1">
        <v>24</v>
      </c>
      <c r="AF1410">
        <v>24</v>
      </c>
      <c r="AG1410" s="7">
        <v>24</v>
      </c>
      <c r="AH1410">
        <f t="shared" si="221"/>
        <v>24</v>
      </c>
      <c r="AI1410">
        <f t="shared" si="217"/>
        <v>0</v>
      </c>
      <c r="AK1410">
        <f t="shared" si="219"/>
        <v>1</v>
      </c>
      <c r="AL1410">
        <v>6.99</v>
      </c>
      <c r="AM1410" t="s">
        <v>27</v>
      </c>
      <c r="AN1410">
        <v>8.68</v>
      </c>
      <c r="AO1410" t="b">
        <f t="shared" si="220"/>
        <v>0</v>
      </c>
      <c r="AR1410" t="s">
        <v>5061</v>
      </c>
      <c r="AS1410" s="21">
        <v>46284</v>
      </c>
      <c r="AT1410" t="s">
        <v>5062</v>
      </c>
      <c r="AU1410" t="s">
        <v>5083</v>
      </c>
      <c r="AV1410" t="s">
        <v>5062</v>
      </c>
      <c r="AW1410" t="s">
        <v>5311</v>
      </c>
    </row>
    <row r="1411" spans="1:49" x14ac:dyDescent="0.35">
      <c r="A1411" t="s">
        <v>5105</v>
      </c>
      <c r="B1411" t="s">
        <v>872</v>
      </c>
      <c r="C1411" t="s">
        <v>4818</v>
      </c>
      <c r="D1411" t="s">
        <v>18</v>
      </c>
      <c r="E1411" t="s">
        <v>3529</v>
      </c>
      <c r="F1411" t="s">
        <v>3530</v>
      </c>
      <c r="G1411" t="s">
        <v>21</v>
      </c>
      <c r="H1411" t="s">
        <v>4888</v>
      </c>
      <c r="I1411" t="s">
        <v>5012</v>
      </c>
      <c r="J1411" s="4" t="s">
        <v>5013</v>
      </c>
      <c r="K1411" s="4" t="s">
        <v>4984</v>
      </c>
      <c r="L1411" s="4" t="s">
        <v>4983</v>
      </c>
      <c r="M1411" s="4" t="s">
        <v>5035</v>
      </c>
      <c r="N1411" t="s">
        <v>3531</v>
      </c>
      <c r="O1411" t="s">
        <v>3532</v>
      </c>
      <c r="P1411" t="s">
        <v>23</v>
      </c>
      <c r="Q1411" t="s">
        <v>24</v>
      </c>
      <c r="R1411" t="s">
        <v>5216</v>
      </c>
      <c r="S1411" t="s">
        <v>5217</v>
      </c>
      <c r="T1411" s="6">
        <v>46307</v>
      </c>
      <c r="U1411">
        <v>48</v>
      </c>
      <c r="V1411">
        <v>48</v>
      </c>
      <c r="W1411">
        <v>48</v>
      </c>
      <c r="X1411">
        <v>48</v>
      </c>
      <c r="Y1411">
        <f t="shared" si="218"/>
        <v>0</v>
      </c>
      <c r="AC1411" s="1">
        <v>48</v>
      </c>
      <c r="AF1411">
        <v>48</v>
      </c>
      <c r="AG1411" s="7">
        <v>24</v>
      </c>
      <c r="AH1411">
        <f t="shared" si="221"/>
        <v>48</v>
      </c>
      <c r="AI1411">
        <f t="shared" ref="AI1411:AI1474" si="222">V1411-AH1411</f>
        <v>0</v>
      </c>
      <c r="AK1411">
        <f t="shared" si="219"/>
        <v>2</v>
      </c>
      <c r="AL1411">
        <v>6.05</v>
      </c>
      <c r="AM1411" t="s">
        <v>27</v>
      </c>
      <c r="AN1411">
        <v>6.05</v>
      </c>
      <c r="AO1411" t="b">
        <f t="shared" si="220"/>
        <v>1</v>
      </c>
      <c r="AR1411" t="s">
        <v>5061</v>
      </c>
      <c r="AS1411" s="21">
        <v>46284</v>
      </c>
      <c r="AT1411" t="s">
        <v>5062</v>
      </c>
      <c r="AU1411" t="s">
        <v>5081</v>
      </c>
      <c r="AV1411" t="s">
        <v>5062</v>
      </c>
      <c r="AW1411" t="s">
        <v>5311</v>
      </c>
    </row>
    <row r="1412" spans="1:49" x14ac:dyDescent="0.35">
      <c r="A1412" t="s">
        <v>5105</v>
      </c>
      <c r="B1412" t="s">
        <v>872</v>
      </c>
      <c r="C1412" t="s">
        <v>4818</v>
      </c>
      <c r="D1412" t="s">
        <v>18</v>
      </c>
      <c r="E1412" t="s">
        <v>3581</v>
      </c>
      <c r="F1412" t="s">
        <v>3582</v>
      </c>
      <c r="G1412" t="s">
        <v>21</v>
      </c>
      <c r="H1412" t="s">
        <v>4888</v>
      </c>
      <c r="I1412" t="s">
        <v>5010</v>
      </c>
      <c r="J1412" s="4" t="s">
        <v>5011</v>
      </c>
      <c r="K1412" s="4" t="s">
        <v>4984</v>
      </c>
      <c r="L1412" s="4" t="s">
        <v>4983</v>
      </c>
      <c r="M1412" s="4" t="s">
        <v>5035</v>
      </c>
      <c r="N1412" t="s">
        <v>3583</v>
      </c>
      <c r="O1412" t="s">
        <v>3584</v>
      </c>
      <c r="P1412" t="s">
        <v>23</v>
      </c>
      <c r="Q1412" t="s">
        <v>24</v>
      </c>
      <c r="R1412" t="s">
        <v>5216</v>
      </c>
      <c r="S1412" t="s">
        <v>5217</v>
      </c>
      <c r="T1412" s="6">
        <v>46307</v>
      </c>
      <c r="U1412">
        <v>24</v>
      </c>
      <c r="V1412">
        <v>24</v>
      </c>
      <c r="W1412">
        <v>24</v>
      </c>
      <c r="X1412">
        <v>24</v>
      </c>
      <c r="Y1412">
        <f t="shared" ref="Y1412:Y1475" si="223">W1412-X1412</f>
        <v>0</v>
      </c>
      <c r="AC1412" s="1">
        <v>24</v>
      </c>
      <c r="AF1412">
        <v>24</v>
      </c>
      <c r="AG1412" s="7">
        <v>24</v>
      </c>
      <c r="AH1412">
        <f t="shared" si="221"/>
        <v>24</v>
      </c>
      <c r="AI1412">
        <f t="shared" si="222"/>
        <v>0</v>
      </c>
      <c r="AK1412">
        <f t="shared" ref="AK1412:AK1475" si="224">AH1412/AG1412</f>
        <v>1</v>
      </c>
      <c r="AL1412">
        <v>4.92</v>
      </c>
      <c r="AM1412" t="s">
        <v>27</v>
      </c>
      <c r="AN1412">
        <v>4.92</v>
      </c>
      <c r="AO1412" t="b">
        <f t="shared" ref="AO1412:AO1475" si="225">AL1412=AN1412</f>
        <v>1</v>
      </c>
      <c r="AR1412" t="s">
        <v>5061</v>
      </c>
      <c r="AS1412" s="21">
        <v>46284</v>
      </c>
      <c r="AT1412" t="s">
        <v>5062</v>
      </c>
      <c r="AU1412" t="s">
        <v>5081</v>
      </c>
      <c r="AV1412" t="s">
        <v>5062</v>
      </c>
      <c r="AW1412" t="s">
        <v>5311</v>
      </c>
    </row>
    <row r="1413" spans="1:49" x14ac:dyDescent="0.35">
      <c r="A1413" t="s">
        <v>5105</v>
      </c>
      <c r="B1413" t="s">
        <v>872</v>
      </c>
      <c r="C1413" t="s">
        <v>4818</v>
      </c>
      <c r="D1413" t="s">
        <v>18</v>
      </c>
      <c r="E1413" t="s">
        <v>3605</v>
      </c>
      <c r="F1413" t="s">
        <v>3606</v>
      </c>
      <c r="G1413" t="s">
        <v>21</v>
      </c>
      <c r="H1413" t="s">
        <v>4888</v>
      </c>
      <c r="I1413" t="s">
        <v>5008</v>
      </c>
      <c r="J1413" s="4" t="s">
        <v>5009</v>
      </c>
      <c r="K1413" s="4" t="s">
        <v>4904</v>
      </c>
      <c r="L1413" s="4">
        <v>40</v>
      </c>
      <c r="M1413" s="4" t="s">
        <v>5035</v>
      </c>
      <c r="N1413" t="s">
        <v>3607</v>
      </c>
      <c r="O1413" t="s">
        <v>3608</v>
      </c>
      <c r="P1413" t="s">
        <v>23</v>
      </c>
      <c r="Q1413" t="s">
        <v>24</v>
      </c>
      <c r="R1413" t="s">
        <v>5216</v>
      </c>
      <c r="S1413" t="s">
        <v>5217</v>
      </c>
      <c r="T1413" s="6">
        <v>46307</v>
      </c>
      <c r="U1413">
        <v>24</v>
      </c>
      <c r="V1413">
        <v>24</v>
      </c>
      <c r="W1413">
        <v>24</v>
      </c>
      <c r="X1413">
        <v>24</v>
      </c>
      <c r="Y1413">
        <f t="shared" si="223"/>
        <v>0</v>
      </c>
      <c r="AC1413" s="1">
        <v>24</v>
      </c>
      <c r="AF1413">
        <v>24</v>
      </c>
      <c r="AG1413" s="7">
        <v>24</v>
      </c>
      <c r="AH1413">
        <f t="shared" si="221"/>
        <v>24</v>
      </c>
      <c r="AI1413">
        <f t="shared" si="222"/>
        <v>0</v>
      </c>
      <c r="AK1413">
        <f t="shared" si="224"/>
        <v>1</v>
      </c>
      <c r="AL1413">
        <v>10.11</v>
      </c>
      <c r="AM1413" t="s">
        <v>27</v>
      </c>
      <c r="AN1413">
        <v>10.11</v>
      </c>
      <c r="AO1413" t="b">
        <f t="shared" si="225"/>
        <v>1</v>
      </c>
      <c r="AR1413" t="s">
        <v>5061</v>
      </c>
      <c r="AS1413" s="21">
        <v>46284</v>
      </c>
      <c r="AT1413" t="s">
        <v>5062</v>
      </c>
      <c r="AU1413" t="s">
        <v>5080</v>
      </c>
      <c r="AV1413" t="s">
        <v>5062</v>
      </c>
      <c r="AW1413" t="s">
        <v>5311</v>
      </c>
    </row>
    <row r="1414" spans="1:49" x14ac:dyDescent="0.35">
      <c r="A1414" t="s">
        <v>5105</v>
      </c>
      <c r="B1414" t="s">
        <v>872</v>
      </c>
      <c r="C1414" t="s">
        <v>4818</v>
      </c>
      <c r="D1414" t="s">
        <v>18</v>
      </c>
      <c r="E1414" t="s">
        <v>3709</v>
      </c>
      <c r="F1414" t="s">
        <v>3710</v>
      </c>
      <c r="G1414" t="s">
        <v>21</v>
      </c>
      <c r="H1414" t="s">
        <v>4888</v>
      </c>
      <c r="I1414" t="s">
        <v>5005</v>
      </c>
      <c r="J1414" s="4" t="s">
        <v>5006</v>
      </c>
      <c r="K1414" s="4" t="s">
        <v>4837</v>
      </c>
      <c r="L1414" s="4">
        <v>42</v>
      </c>
      <c r="M1414" s="4" t="s">
        <v>5035</v>
      </c>
      <c r="N1414" t="s">
        <v>3711</v>
      </c>
      <c r="O1414" t="s">
        <v>3712</v>
      </c>
      <c r="P1414" t="s">
        <v>23</v>
      </c>
      <c r="Q1414" t="s">
        <v>24</v>
      </c>
      <c r="R1414" t="s">
        <v>5216</v>
      </c>
      <c r="S1414" t="s">
        <v>5217</v>
      </c>
      <c r="T1414" s="6">
        <v>46307</v>
      </c>
      <c r="U1414">
        <v>24</v>
      </c>
      <c r="V1414">
        <v>24</v>
      </c>
      <c r="W1414">
        <v>24</v>
      </c>
      <c r="X1414">
        <v>24</v>
      </c>
      <c r="Y1414">
        <f t="shared" si="223"/>
        <v>0</v>
      </c>
      <c r="AC1414" s="1">
        <v>24</v>
      </c>
      <c r="AF1414">
        <v>24</v>
      </c>
      <c r="AG1414" s="7">
        <v>24</v>
      </c>
      <c r="AH1414">
        <f t="shared" si="221"/>
        <v>24</v>
      </c>
      <c r="AI1414">
        <f t="shared" si="222"/>
        <v>0</v>
      </c>
      <c r="AK1414">
        <f t="shared" si="224"/>
        <v>1</v>
      </c>
      <c r="AL1414">
        <v>9.58</v>
      </c>
      <c r="AM1414" t="s">
        <v>27</v>
      </c>
      <c r="AN1414">
        <v>9.58</v>
      </c>
      <c r="AO1414" t="b">
        <f t="shared" si="225"/>
        <v>1</v>
      </c>
      <c r="AR1414" t="s">
        <v>5061</v>
      </c>
      <c r="AS1414" s="21">
        <v>46284</v>
      </c>
      <c r="AT1414" t="s">
        <v>5062</v>
      </c>
      <c r="AU1414" t="s">
        <v>5079</v>
      </c>
      <c r="AV1414" t="s">
        <v>5062</v>
      </c>
      <c r="AW1414" t="s">
        <v>5311</v>
      </c>
    </row>
    <row r="1415" spans="1:49" x14ac:dyDescent="0.35">
      <c r="A1415" t="s">
        <v>5105</v>
      </c>
      <c r="B1415" t="s">
        <v>872</v>
      </c>
      <c r="C1415" t="s">
        <v>4818</v>
      </c>
      <c r="D1415" t="s">
        <v>18</v>
      </c>
      <c r="E1415" t="s">
        <v>3721</v>
      </c>
      <c r="F1415" t="s">
        <v>3722</v>
      </c>
      <c r="G1415" t="s">
        <v>21</v>
      </c>
      <c r="H1415" t="s">
        <v>4888</v>
      </c>
      <c r="I1415" t="s">
        <v>5008</v>
      </c>
      <c r="J1415" s="4" t="s">
        <v>5009</v>
      </c>
      <c r="K1415" s="4" t="s">
        <v>4904</v>
      </c>
      <c r="L1415" s="4">
        <v>34</v>
      </c>
      <c r="M1415" s="4" t="s">
        <v>5035</v>
      </c>
      <c r="N1415" t="s">
        <v>3723</v>
      </c>
      <c r="O1415" t="s">
        <v>3724</v>
      </c>
      <c r="P1415" t="s">
        <v>23</v>
      </c>
      <c r="Q1415" t="s">
        <v>24</v>
      </c>
      <c r="R1415" t="s">
        <v>5216</v>
      </c>
      <c r="S1415" t="s">
        <v>5217</v>
      </c>
      <c r="T1415" s="6">
        <v>46307</v>
      </c>
      <c r="U1415">
        <v>24</v>
      </c>
      <c r="V1415">
        <v>24</v>
      </c>
      <c r="W1415">
        <v>24</v>
      </c>
      <c r="X1415">
        <v>24</v>
      </c>
      <c r="Y1415">
        <f t="shared" si="223"/>
        <v>0</v>
      </c>
      <c r="AC1415" s="1">
        <v>24</v>
      </c>
      <c r="AF1415">
        <v>24</v>
      </c>
      <c r="AG1415" s="7">
        <v>24</v>
      </c>
      <c r="AH1415">
        <f t="shared" si="221"/>
        <v>24</v>
      </c>
      <c r="AI1415">
        <f t="shared" si="222"/>
        <v>0</v>
      </c>
      <c r="AK1415">
        <f t="shared" si="224"/>
        <v>1</v>
      </c>
      <c r="AL1415">
        <v>10.11</v>
      </c>
      <c r="AM1415" t="s">
        <v>27</v>
      </c>
      <c r="AN1415">
        <v>10.11</v>
      </c>
      <c r="AO1415" t="b">
        <f t="shared" si="225"/>
        <v>1</v>
      </c>
      <c r="AR1415" t="s">
        <v>5061</v>
      </c>
      <c r="AS1415" s="21">
        <v>46284</v>
      </c>
      <c r="AT1415" t="s">
        <v>5062</v>
      </c>
      <c r="AU1415" t="s">
        <v>5080</v>
      </c>
      <c r="AV1415" t="s">
        <v>5062</v>
      </c>
      <c r="AW1415" t="s">
        <v>5311</v>
      </c>
    </row>
    <row r="1416" spans="1:49" x14ac:dyDescent="0.35">
      <c r="A1416" t="s">
        <v>5105</v>
      </c>
      <c r="B1416" t="s">
        <v>872</v>
      </c>
      <c r="C1416" t="s">
        <v>4818</v>
      </c>
      <c r="D1416" t="s">
        <v>18</v>
      </c>
      <c r="E1416" t="s">
        <v>3737</v>
      </c>
      <c r="F1416" t="s">
        <v>3738</v>
      </c>
      <c r="G1416" t="s">
        <v>21</v>
      </c>
      <c r="H1416" t="s">
        <v>4888</v>
      </c>
      <c r="I1416" t="s">
        <v>5012</v>
      </c>
      <c r="J1416" s="4" t="s">
        <v>5013</v>
      </c>
      <c r="K1416" s="4" t="s">
        <v>4984</v>
      </c>
      <c r="L1416" s="4" t="s">
        <v>4986</v>
      </c>
      <c r="M1416" s="4" t="s">
        <v>5035</v>
      </c>
      <c r="N1416" t="s">
        <v>3739</v>
      </c>
      <c r="O1416" t="s">
        <v>3740</v>
      </c>
      <c r="P1416" t="s">
        <v>23</v>
      </c>
      <c r="Q1416" t="s">
        <v>24</v>
      </c>
      <c r="R1416" t="s">
        <v>5216</v>
      </c>
      <c r="S1416" t="s">
        <v>5217</v>
      </c>
      <c r="T1416" s="6">
        <v>46307</v>
      </c>
      <c r="U1416">
        <v>24</v>
      </c>
      <c r="V1416">
        <v>24</v>
      </c>
      <c r="W1416">
        <v>24</v>
      </c>
      <c r="X1416">
        <v>24</v>
      </c>
      <c r="Y1416">
        <f t="shared" si="223"/>
        <v>0</v>
      </c>
      <c r="AC1416" s="1">
        <v>24</v>
      </c>
      <c r="AF1416">
        <v>24</v>
      </c>
      <c r="AG1416" s="7">
        <v>24</v>
      </c>
      <c r="AH1416">
        <f t="shared" si="221"/>
        <v>24</v>
      </c>
      <c r="AI1416">
        <f t="shared" si="222"/>
        <v>0</v>
      </c>
      <c r="AK1416">
        <f t="shared" si="224"/>
        <v>1</v>
      </c>
      <c r="AL1416">
        <v>6.05</v>
      </c>
      <c r="AM1416" t="s">
        <v>27</v>
      </c>
      <c r="AN1416">
        <v>6.05</v>
      </c>
      <c r="AO1416" t="b">
        <f t="shared" si="225"/>
        <v>1</v>
      </c>
      <c r="AR1416" t="s">
        <v>5061</v>
      </c>
      <c r="AS1416" s="21">
        <v>46284</v>
      </c>
      <c r="AT1416" t="s">
        <v>5062</v>
      </c>
      <c r="AU1416" t="s">
        <v>5081</v>
      </c>
      <c r="AV1416" t="s">
        <v>5062</v>
      </c>
      <c r="AW1416" t="s">
        <v>5311</v>
      </c>
    </row>
    <row r="1417" spans="1:49" x14ac:dyDescent="0.35">
      <c r="A1417" t="s">
        <v>5105</v>
      </c>
      <c r="B1417" t="s">
        <v>872</v>
      </c>
      <c r="C1417" t="s">
        <v>4818</v>
      </c>
      <c r="D1417" t="s">
        <v>18</v>
      </c>
      <c r="E1417" t="s">
        <v>3785</v>
      </c>
      <c r="F1417" t="s">
        <v>3786</v>
      </c>
      <c r="G1417" t="s">
        <v>21</v>
      </c>
      <c r="H1417" t="s">
        <v>4888</v>
      </c>
      <c r="I1417" t="s">
        <v>5010</v>
      </c>
      <c r="J1417" s="4" t="s">
        <v>5011</v>
      </c>
      <c r="K1417" s="4" t="s">
        <v>4904</v>
      </c>
      <c r="L1417" s="4" t="s">
        <v>4995</v>
      </c>
      <c r="M1417" s="4" t="s">
        <v>5035</v>
      </c>
      <c r="N1417" t="s">
        <v>3787</v>
      </c>
      <c r="O1417" t="s">
        <v>3788</v>
      </c>
      <c r="P1417" t="s">
        <v>23</v>
      </c>
      <c r="Q1417" t="s">
        <v>24</v>
      </c>
      <c r="R1417" t="s">
        <v>5216</v>
      </c>
      <c r="S1417" t="s">
        <v>5217</v>
      </c>
      <c r="T1417" s="6">
        <v>46307</v>
      </c>
      <c r="U1417">
        <v>24</v>
      </c>
      <c r="V1417">
        <v>24</v>
      </c>
      <c r="W1417">
        <v>24</v>
      </c>
      <c r="X1417">
        <v>24</v>
      </c>
      <c r="Y1417">
        <f t="shared" si="223"/>
        <v>0</v>
      </c>
      <c r="AC1417" s="1">
        <v>24</v>
      </c>
      <c r="AF1417">
        <v>24</v>
      </c>
      <c r="AG1417" s="7">
        <v>24</v>
      </c>
      <c r="AH1417">
        <f t="shared" si="221"/>
        <v>24</v>
      </c>
      <c r="AI1417">
        <f t="shared" si="222"/>
        <v>0</v>
      </c>
      <c r="AK1417">
        <f t="shared" si="224"/>
        <v>1</v>
      </c>
      <c r="AL1417">
        <v>5.03</v>
      </c>
      <c r="AM1417" t="s">
        <v>27</v>
      </c>
      <c r="AN1417">
        <v>5.03</v>
      </c>
      <c r="AO1417" t="b">
        <f t="shared" si="225"/>
        <v>1</v>
      </c>
      <c r="AR1417" t="s">
        <v>5061</v>
      </c>
      <c r="AS1417" s="21">
        <v>46284</v>
      </c>
      <c r="AT1417" t="s">
        <v>5062</v>
      </c>
      <c r="AU1417" t="s">
        <v>5081</v>
      </c>
      <c r="AV1417" t="s">
        <v>5062</v>
      </c>
      <c r="AW1417" t="s">
        <v>5311</v>
      </c>
    </row>
    <row r="1418" spans="1:49" x14ac:dyDescent="0.35">
      <c r="A1418" t="s">
        <v>5105</v>
      </c>
      <c r="B1418" t="s">
        <v>872</v>
      </c>
      <c r="C1418" t="s">
        <v>4818</v>
      </c>
      <c r="D1418" t="s">
        <v>18</v>
      </c>
      <c r="E1418" t="s">
        <v>3789</v>
      </c>
      <c r="F1418" t="s">
        <v>3790</v>
      </c>
      <c r="G1418" t="s">
        <v>21</v>
      </c>
      <c r="H1418" t="s">
        <v>4888</v>
      </c>
      <c r="I1418" t="s">
        <v>5008</v>
      </c>
      <c r="J1418" s="4" t="s">
        <v>5009</v>
      </c>
      <c r="K1418" s="4" t="s">
        <v>4904</v>
      </c>
      <c r="L1418" s="4">
        <v>42</v>
      </c>
      <c r="M1418" s="4" t="s">
        <v>5035</v>
      </c>
      <c r="N1418" t="s">
        <v>3791</v>
      </c>
      <c r="O1418" t="s">
        <v>3792</v>
      </c>
      <c r="P1418" t="s">
        <v>23</v>
      </c>
      <c r="Q1418" t="s">
        <v>24</v>
      </c>
      <c r="R1418" t="s">
        <v>5216</v>
      </c>
      <c r="S1418" t="s">
        <v>5217</v>
      </c>
      <c r="T1418" s="6">
        <v>46307</v>
      </c>
      <c r="U1418">
        <v>24</v>
      </c>
      <c r="V1418">
        <v>24</v>
      </c>
      <c r="W1418">
        <v>24</v>
      </c>
      <c r="X1418">
        <v>24</v>
      </c>
      <c r="Y1418">
        <f t="shared" si="223"/>
        <v>0</v>
      </c>
      <c r="AC1418" s="1">
        <v>24</v>
      </c>
      <c r="AF1418">
        <v>24</v>
      </c>
      <c r="AG1418" s="7">
        <v>24</v>
      </c>
      <c r="AH1418">
        <f t="shared" si="221"/>
        <v>24</v>
      </c>
      <c r="AI1418">
        <f t="shared" si="222"/>
        <v>0</v>
      </c>
      <c r="AK1418">
        <f t="shared" si="224"/>
        <v>1</v>
      </c>
      <c r="AL1418">
        <v>10.11</v>
      </c>
      <c r="AM1418" t="s">
        <v>27</v>
      </c>
      <c r="AN1418">
        <v>10.11</v>
      </c>
      <c r="AO1418" t="b">
        <f t="shared" si="225"/>
        <v>1</v>
      </c>
      <c r="AR1418" t="s">
        <v>5061</v>
      </c>
      <c r="AS1418" s="21">
        <v>46284</v>
      </c>
      <c r="AT1418" t="s">
        <v>5062</v>
      </c>
      <c r="AU1418" t="s">
        <v>5080</v>
      </c>
      <c r="AV1418" t="s">
        <v>5062</v>
      </c>
      <c r="AW1418" t="s">
        <v>5311</v>
      </c>
    </row>
    <row r="1419" spans="1:49" x14ac:dyDescent="0.35">
      <c r="A1419" t="s">
        <v>5105</v>
      </c>
      <c r="B1419" t="s">
        <v>872</v>
      </c>
      <c r="C1419" t="s">
        <v>4818</v>
      </c>
      <c r="D1419" t="s">
        <v>18</v>
      </c>
      <c r="E1419" t="s">
        <v>3841</v>
      </c>
      <c r="F1419" t="s">
        <v>3842</v>
      </c>
      <c r="G1419" t="s">
        <v>21</v>
      </c>
      <c r="H1419" t="s">
        <v>4888</v>
      </c>
      <c r="I1419" t="s">
        <v>5010</v>
      </c>
      <c r="J1419" s="4" t="s">
        <v>5011</v>
      </c>
      <c r="K1419" s="4" t="s">
        <v>4904</v>
      </c>
      <c r="L1419" s="4" t="s">
        <v>4998</v>
      </c>
      <c r="M1419" s="4" t="s">
        <v>5035</v>
      </c>
      <c r="N1419" t="s">
        <v>3843</v>
      </c>
      <c r="O1419" t="s">
        <v>3844</v>
      </c>
      <c r="P1419" t="s">
        <v>23</v>
      </c>
      <c r="Q1419" t="s">
        <v>24</v>
      </c>
      <c r="R1419" t="s">
        <v>5216</v>
      </c>
      <c r="S1419" t="s">
        <v>5217</v>
      </c>
      <c r="T1419" s="6">
        <v>46307</v>
      </c>
      <c r="U1419">
        <v>24</v>
      </c>
      <c r="V1419">
        <v>24</v>
      </c>
      <c r="W1419">
        <v>24</v>
      </c>
      <c r="X1419">
        <v>24</v>
      </c>
      <c r="Y1419">
        <f t="shared" si="223"/>
        <v>0</v>
      </c>
      <c r="AC1419" s="1">
        <v>24</v>
      </c>
      <c r="AF1419">
        <v>24</v>
      </c>
      <c r="AG1419" s="7">
        <v>24</v>
      </c>
      <c r="AH1419">
        <f t="shared" si="221"/>
        <v>24</v>
      </c>
      <c r="AI1419">
        <f t="shared" si="222"/>
        <v>0</v>
      </c>
      <c r="AK1419">
        <f t="shared" si="224"/>
        <v>1</v>
      </c>
      <c r="AL1419">
        <v>5.03</v>
      </c>
      <c r="AM1419" t="s">
        <v>27</v>
      </c>
      <c r="AN1419">
        <v>5.03</v>
      </c>
      <c r="AO1419" t="b">
        <f t="shared" si="225"/>
        <v>1</v>
      </c>
      <c r="AR1419" t="s">
        <v>5061</v>
      </c>
      <c r="AS1419" s="21">
        <v>46284</v>
      </c>
      <c r="AT1419" t="s">
        <v>5062</v>
      </c>
      <c r="AU1419" t="s">
        <v>5081</v>
      </c>
      <c r="AV1419" t="s">
        <v>5062</v>
      </c>
      <c r="AW1419" t="s">
        <v>5311</v>
      </c>
    </row>
    <row r="1420" spans="1:49" x14ac:dyDescent="0.35">
      <c r="A1420" t="s">
        <v>5105</v>
      </c>
      <c r="B1420" t="s">
        <v>872</v>
      </c>
      <c r="C1420" t="s">
        <v>4818</v>
      </c>
      <c r="D1420" t="s">
        <v>18</v>
      </c>
      <c r="E1420" t="s">
        <v>3881</v>
      </c>
      <c r="F1420" t="s">
        <v>3882</v>
      </c>
      <c r="G1420" t="s">
        <v>21</v>
      </c>
      <c r="H1420" t="s">
        <v>4888</v>
      </c>
      <c r="I1420" t="s">
        <v>5008</v>
      </c>
      <c r="J1420" s="4" t="s">
        <v>5009</v>
      </c>
      <c r="K1420" s="4" t="s">
        <v>4904</v>
      </c>
      <c r="L1420" s="4">
        <v>38</v>
      </c>
      <c r="M1420" s="4" t="s">
        <v>5035</v>
      </c>
      <c r="N1420" t="s">
        <v>3883</v>
      </c>
      <c r="O1420" t="s">
        <v>3884</v>
      </c>
      <c r="P1420" t="s">
        <v>23</v>
      </c>
      <c r="Q1420" t="s">
        <v>24</v>
      </c>
      <c r="R1420" t="s">
        <v>5216</v>
      </c>
      <c r="S1420" t="s">
        <v>5217</v>
      </c>
      <c r="T1420" s="6">
        <v>46307</v>
      </c>
      <c r="U1420">
        <v>24</v>
      </c>
      <c r="V1420">
        <v>24</v>
      </c>
      <c r="W1420">
        <v>24</v>
      </c>
      <c r="X1420">
        <v>24</v>
      </c>
      <c r="Y1420">
        <f t="shared" si="223"/>
        <v>0</v>
      </c>
      <c r="AC1420" s="1">
        <v>24</v>
      </c>
      <c r="AF1420">
        <v>24</v>
      </c>
      <c r="AG1420" s="7">
        <v>24</v>
      </c>
      <c r="AH1420">
        <f t="shared" si="221"/>
        <v>24</v>
      </c>
      <c r="AI1420">
        <f t="shared" si="222"/>
        <v>0</v>
      </c>
      <c r="AK1420">
        <f t="shared" si="224"/>
        <v>1</v>
      </c>
      <c r="AL1420">
        <v>10.11</v>
      </c>
      <c r="AM1420" t="s">
        <v>27</v>
      </c>
      <c r="AN1420">
        <v>10.11</v>
      </c>
      <c r="AO1420" t="b">
        <f t="shared" si="225"/>
        <v>1</v>
      </c>
      <c r="AR1420" t="s">
        <v>5061</v>
      </c>
      <c r="AS1420" s="21">
        <v>46284</v>
      </c>
      <c r="AT1420" t="s">
        <v>5062</v>
      </c>
      <c r="AU1420" t="s">
        <v>5080</v>
      </c>
      <c r="AV1420" t="s">
        <v>5062</v>
      </c>
      <c r="AW1420" t="s">
        <v>5311</v>
      </c>
    </row>
    <row r="1421" spans="1:49" x14ac:dyDescent="0.35">
      <c r="A1421" t="s">
        <v>5105</v>
      </c>
      <c r="B1421" t="s">
        <v>872</v>
      </c>
      <c r="C1421" t="s">
        <v>4818</v>
      </c>
      <c r="D1421" t="s">
        <v>18</v>
      </c>
      <c r="E1421" t="s">
        <v>3981</v>
      </c>
      <c r="F1421" t="s">
        <v>3982</v>
      </c>
      <c r="G1421" t="s">
        <v>21</v>
      </c>
      <c r="H1421" t="s">
        <v>4888</v>
      </c>
      <c r="I1421" t="s">
        <v>5018</v>
      </c>
      <c r="J1421" s="4" t="s">
        <v>5019</v>
      </c>
      <c r="K1421" s="4" t="s">
        <v>5020</v>
      </c>
      <c r="L1421" s="4">
        <v>14</v>
      </c>
      <c r="M1421" s="4" t="s">
        <v>5035</v>
      </c>
      <c r="N1421" t="s">
        <v>3983</v>
      </c>
      <c r="O1421" t="s">
        <v>5287</v>
      </c>
      <c r="P1421" t="s">
        <v>23</v>
      </c>
      <c r="Q1421" t="s">
        <v>24</v>
      </c>
      <c r="R1421" t="s">
        <v>5216</v>
      </c>
      <c r="S1421" t="s">
        <v>5217</v>
      </c>
      <c r="T1421" s="6">
        <v>46307</v>
      </c>
      <c r="U1421">
        <v>48</v>
      </c>
      <c r="V1421">
        <v>48</v>
      </c>
      <c r="W1421">
        <v>48</v>
      </c>
      <c r="X1421">
        <v>48</v>
      </c>
      <c r="Y1421">
        <f t="shared" si="223"/>
        <v>0</v>
      </c>
      <c r="AC1421" s="1">
        <v>48</v>
      </c>
      <c r="AF1421">
        <v>48</v>
      </c>
      <c r="AG1421" s="7">
        <v>24</v>
      </c>
      <c r="AH1421">
        <f t="shared" si="221"/>
        <v>48</v>
      </c>
      <c r="AI1421">
        <f t="shared" si="222"/>
        <v>0</v>
      </c>
      <c r="AK1421">
        <f t="shared" si="224"/>
        <v>2</v>
      </c>
      <c r="AL1421">
        <v>10.79</v>
      </c>
      <c r="AM1421" t="s">
        <v>27</v>
      </c>
      <c r="AN1421">
        <v>10.79</v>
      </c>
      <c r="AO1421" t="b">
        <f t="shared" si="225"/>
        <v>1</v>
      </c>
      <c r="AR1421" t="s">
        <v>5061</v>
      </c>
      <c r="AS1421" s="21">
        <v>46284</v>
      </c>
      <c r="AT1421" t="s">
        <v>5062</v>
      </c>
      <c r="AU1421" t="s">
        <v>5082</v>
      </c>
      <c r="AV1421" t="s">
        <v>5062</v>
      </c>
      <c r="AW1421" t="s">
        <v>5311</v>
      </c>
    </row>
    <row r="1422" spans="1:49" x14ac:dyDescent="0.35">
      <c r="A1422" t="s">
        <v>5105</v>
      </c>
      <c r="B1422" t="s">
        <v>872</v>
      </c>
      <c r="C1422" t="s">
        <v>4818</v>
      </c>
      <c r="D1422" t="s">
        <v>18</v>
      </c>
      <c r="E1422" t="s">
        <v>4013</v>
      </c>
      <c r="F1422" t="s">
        <v>4014</v>
      </c>
      <c r="G1422" t="s">
        <v>21</v>
      </c>
      <c r="H1422" t="s">
        <v>4888</v>
      </c>
      <c r="I1422" t="s">
        <v>5022</v>
      </c>
      <c r="J1422" s="4" t="s">
        <v>5023</v>
      </c>
      <c r="K1422" s="4" t="s">
        <v>5024</v>
      </c>
      <c r="L1422" s="4">
        <v>4</v>
      </c>
      <c r="M1422" s="4" t="s">
        <v>5035</v>
      </c>
      <c r="N1422" t="s">
        <v>4015</v>
      </c>
      <c r="O1422" t="s">
        <v>4016</v>
      </c>
      <c r="P1422" t="s">
        <v>23</v>
      </c>
      <c r="Q1422" t="s">
        <v>24</v>
      </c>
      <c r="R1422" t="s">
        <v>5216</v>
      </c>
      <c r="S1422" t="s">
        <v>5217</v>
      </c>
      <c r="T1422" s="6">
        <v>46307</v>
      </c>
      <c r="U1422">
        <v>48</v>
      </c>
      <c r="V1422">
        <v>48</v>
      </c>
      <c r="W1422">
        <v>48</v>
      </c>
      <c r="X1422">
        <v>48</v>
      </c>
      <c r="Y1422">
        <f t="shared" si="223"/>
        <v>0</v>
      </c>
      <c r="AC1422" s="1">
        <v>48</v>
      </c>
      <c r="AF1422">
        <v>48</v>
      </c>
      <c r="AG1422" s="7">
        <v>24</v>
      </c>
      <c r="AH1422">
        <f t="shared" si="221"/>
        <v>48</v>
      </c>
      <c r="AI1422">
        <f t="shared" si="222"/>
        <v>0</v>
      </c>
      <c r="AK1422">
        <f t="shared" si="224"/>
        <v>2</v>
      </c>
      <c r="AL1422">
        <v>6.99</v>
      </c>
      <c r="AM1422" t="s">
        <v>27</v>
      </c>
      <c r="AN1422">
        <v>8.68</v>
      </c>
      <c r="AO1422" t="b">
        <f t="shared" si="225"/>
        <v>0</v>
      </c>
      <c r="AR1422" t="s">
        <v>5061</v>
      </c>
      <c r="AS1422" s="21">
        <v>46284</v>
      </c>
      <c r="AT1422" t="s">
        <v>5062</v>
      </c>
      <c r="AU1422" t="s">
        <v>5083</v>
      </c>
      <c r="AV1422" t="s">
        <v>5062</v>
      </c>
      <c r="AW1422" t="s">
        <v>5311</v>
      </c>
    </row>
    <row r="1423" spans="1:49" x14ac:dyDescent="0.35">
      <c r="A1423" t="s">
        <v>5105</v>
      </c>
      <c r="B1423" t="s">
        <v>872</v>
      </c>
      <c r="C1423" t="s">
        <v>4818</v>
      </c>
      <c r="D1423" t="s">
        <v>18</v>
      </c>
      <c r="E1423" t="s">
        <v>4025</v>
      </c>
      <c r="F1423" t="s">
        <v>4026</v>
      </c>
      <c r="G1423" t="s">
        <v>21</v>
      </c>
      <c r="H1423" t="s">
        <v>4888</v>
      </c>
      <c r="I1423" t="s">
        <v>5018</v>
      </c>
      <c r="J1423" s="4" t="s">
        <v>5019</v>
      </c>
      <c r="K1423" s="4" t="s">
        <v>5020</v>
      </c>
      <c r="L1423" s="4">
        <v>8</v>
      </c>
      <c r="M1423" s="4" t="s">
        <v>5035</v>
      </c>
      <c r="N1423" t="s">
        <v>4027</v>
      </c>
      <c r="O1423" t="s">
        <v>5288</v>
      </c>
      <c r="P1423" t="s">
        <v>23</v>
      </c>
      <c r="Q1423" t="s">
        <v>24</v>
      </c>
      <c r="R1423" t="s">
        <v>5216</v>
      </c>
      <c r="S1423" t="s">
        <v>5217</v>
      </c>
      <c r="T1423" s="6">
        <v>46307</v>
      </c>
      <c r="U1423">
        <v>24</v>
      </c>
      <c r="V1423">
        <v>24</v>
      </c>
      <c r="W1423">
        <v>24</v>
      </c>
      <c r="X1423">
        <v>24</v>
      </c>
      <c r="Y1423">
        <f t="shared" si="223"/>
        <v>0</v>
      </c>
      <c r="AC1423" s="1">
        <v>24</v>
      </c>
      <c r="AF1423">
        <v>24</v>
      </c>
      <c r="AG1423" s="7">
        <v>24</v>
      </c>
      <c r="AH1423">
        <f t="shared" si="221"/>
        <v>24</v>
      </c>
      <c r="AI1423">
        <f t="shared" si="222"/>
        <v>0</v>
      </c>
      <c r="AK1423">
        <f t="shared" si="224"/>
        <v>1</v>
      </c>
      <c r="AL1423">
        <v>10.79</v>
      </c>
      <c r="AM1423" t="s">
        <v>27</v>
      </c>
      <c r="AN1423">
        <v>10.79</v>
      </c>
      <c r="AO1423" t="b">
        <f t="shared" si="225"/>
        <v>1</v>
      </c>
      <c r="AR1423" t="s">
        <v>5061</v>
      </c>
      <c r="AS1423" s="21">
        <v>46284</v>
      </c>
      <c r="AT1423" t="s">
        <v>5062</v>
      </c>
      <c r="AU1423" t="s">
        <v>5082</v>
      </c>
      <c r="AV1423" t="s">
        <v>5062</v>
      </c>
      <c r="AW1423" t="s">
        <v>5311</v>
      </c>
    </row>
    <row r="1424" spans="1:49" x14ac:dyDescent="0.35">
      <c r="A1424" t="s">
        <v>5105</v>
      </c>
      <c r="B1424" t="s">
        <v>872</v>
      </c>
      <c r="C1424" t="s">
        <v>4818</v>
      </c>
      <c r="D1424" t="s">
        <v>18</v>
      </c>
      <c r="E1424" t="s">
        <v>4081</v>
      </c>
      <c r="F1424" t="s">
        <v>4082</v>
      </c>
      <c r="G1424" t="s">
        <v>21</v>
      </c>
      <c r="H1424" t="s">
        <v>4888</v>
      </c>
      <c r="I1424" t="s">
        <v>5022</v>
      </c>
      <c r="J1424" s="4" t="s">
        <v>5023</v>
      </c>
      <c r="K1424" s="4" t="s">
        <v>5024</v>
      </c>
      <c r="L1424" s="4">
        <v>8</v>
      </c>
      <c r="M1424" s="4" t="s">
        <v>5035</v>
      </c>
      <c r="N1424" t="s">
        <v>4083</v>
      </c>
      <c r="O1424" t="s">
        <v>4084</v>
      </c>
      <c r="P1424" t="s">
        <v>23</v>
      </c>
      <c r="Q1424" t="s">
        <v>24</v>
      </c>
      <c r="R1424" t="s">
        <v>5216</v>
      </c>
      <c r="S1424" t="s">
        <v>5217</v>
      </c>
      <c r="T1424" s="6">
        <v>46307</v>
      </c>
      <c r="U1424">
        <v>24</v>
      </c>
      <c r="V1424">
        <v>24</v>
      </c>
      <c r="W1424">
        <v>24</v>
      </c>
      <c r="X1424">
        <v>24</v>
      </c>
      <c r="Y1424">
        <f t="shared" si="223"/>
        <v>0</v>
      </c>
      <c r="AC1424" s="1">
        <v>24</v>
      </c>
      <c r="AF1424">
        <v>24</v>
      </c>
      <c r="AG1424" s="7">
        <v>24</v>
      </c>
      <c r="AH1424">
        <f t="shared" si="221"/>
        <v>24</v>
      </c>
      <c r="AI1424">
        <f t="shared" si="222"/>
        <v>0</v>
      </c>
      <c r="AK1424">
        <f t="shared" si="224"/>
        <v>1</v>
      </c>
      <c r="AL1424">
        <v>6.99</v>
      </c>
      <c r="AM1424" t="s">
        <v>27</v>
      </c>
      <c r="AN1424">
        <v>8.68</v>
      </c>
      <c r="AO1424" t="b">
        <f t="shared" si="225"/>
        <v>0</v>
      </c>
      <c r="AR1424" t="s">
        <v>5061</v>
      </c>
      <c r="AS1424" s="21">
        <v>46284</v>
      </c>
      <c r="AT1424" t="s">
        <v>5062</v>
      </c>
      <c r="AU1424" t="s">
        <v>5083</v>
      </c>
      <c r="AV1424" t="s">
        <v>5062</v>
      </c>
      <c r="AW1424" t="s">
        <v>5311</v>
      </c>
    </row>
    <row r="1425" spans="1:49" x14ac:dyDescent="0.35">
      <c r="A1425" t="s">
        <v>5105</v>
      </c>
      <c r="B1425" t="s">
        <v>872</v>
      </c>
      <c r="C1425" t="s">
        <v>4818</v>
      </c>
      <c r="D1425" t="s">
        <v>18</v>
      </c>
      <c r="E1425" t="s">
        <v>4085</v>
      </c>
      <c r="F1425" t="s">
        <v>4086</v>
      </c>
      <c r="G1425" t="s">
        <v>21</v>
      </c>
      <c r="H1425" t="s">
        <v>4888</v>
      </c>
      <c r="I1425" t="s">
        <v>5008</v>
      </c>
      <c r="J1425" s="4" t="s">
        <v>5009</v>
      </c>
      <c r="K1425" s="4" t="s">
        <v>5021</v>
      </c>
      <c r="L1425" s="4">
        <v>32</v>
      </c>
      <c r="M1425" s="4" t="s">
        <v>5035</v>
      </c>
      <c r="N1425" t="s">
        <v>4087</v>
      </c>
      <c r="O1425" t="s">
        <v>4088</v>
      </c>
      <c r="P1425" t="s">
        <v>23</v>
      </c>
      <c r="Q1425" t="s">
        <v>24</v>
      </c>
      <c r="R1425" t="s">
        <v>5216</v>
      </c>
      <c r="S1425" t="s">
        <v>5217</v>
      </c>
      <c r="T1425" s="6">
        <v>46307</v>
      </c>
      <c r="U1425">
        <v>24</v>
      </c>
      <c r="V1425">
        <v>24</v>
      </c>
      <c r="W1425">
        <v>24</v>
      </c>
      <c r="X1425">
        <v>24</v>
      </c>
      <c r="Y1425">
        <f t="shared" si="223"/>
        <v>0</v>
      </c>
      <c r="AC1425" s="1">
        <v>24</v>
      </c>
      <c r="AF1425">
        <v>24</v>
      </c>
      <c r="AG1425" s="7">
        <v>24</v>
      </c>
      <c r="AH1425">
        <f t="shared" si="221"/>
        <v>24</v>
      </c>
      <c r="AI1425">
        <f t="shared" si="222"/>
        <v>0</v>
      </c>
      <c r="AK1425">
        <f t="shared" si="224"/>
        <v>1</v>
      </c>
      <c r="AL1425">
        <v>10.11</v>
      </c>
      <c r="AM1425" t="s">
        <v>27</v>
      </c>
      <c r="AN1425">
        <v>10.11</v>
      </c>
      <c r="AO1425" t="b">
        <f t="shared" si="225"/>
        <v>1</v>
      </c>
      <c r="AR1425" t="s">
        <v>5061</v>
      </c>
      <c r="AS1425" s="21">
        <v>46284</v>
      </c>
      <c r="AT1425" t="s">
        <v>5062</v>
      </c>
      <c r="AU1425" t="s">
        <v>5080</v>
      </c>
      <c r="AV1425" t="s">
        <v>5062</v>
      </c>
      <c r="AW1425" t="s">
        <v>5311</v>
      </c>
    </row>
    <row r="1426" spans="1:49" x14ac:dyDescent="0.35">
      <c r="A1426" t="s">
        <v>5105</v>
      </c>
      <c r="B1426" t="s">
        <v>872</v>
      </c>
      <c r="C1426" t="s">
        <v>4818</v>
      </c>
      <c r="D1426" t="s">
        <v>18</v>
      </c>
      <c r="E1426" t="s">
        <v>909</v>
      </c>
      <c r="F1426" t="s">
        <v>910</v>
      </c>
      <c r="G1426" t="s">
        <v>21</v>
      </c>
      <c r="H1426" t="s">
        <v>4888</v>
      </c>
      <c r="I1426" t="s">
        <v>4902</v>
      </c>
      <c r="J1426" s="4" t="s">
        <v>4903</v>
      </c>
      <c r="K1426" s="4" t="s">
        <v>4899</v>
      </c>
      <c r="L1426" s="4" t="s">
        <v>4853</v>
      </c>
      <c r="M1426" s="4" t="s">
        <v>5035</v>
      </c>
      <c r="N1426" t="s">
        <v>911</v>
      </c>
      <c r="O1426" t="s">
        <v>912</v>
      </c>
      <c r="P1426" t="s">
        <v>23</v>
      </c>
      <c r="Q1426" t="s">
        <v>24</v>
      </c>
      <c r="R1426" t="s">
        <v>5216</v>
      </c>
      <c r="S1426" t="s">
        <v>5217</v>
      </c>
      <c r="T1426" s="6">
        <v>46307</v>
      </c>
      <c r="U1426">
        <v>12</v>
      </c>
      <c r="V1426">
        <v>12</v>
      </c>
      <c r="W1426">
        <v>12</v>
      </c>
      <c r="X1426">
        <v>12</v>
      </c>
      <c r="Y1426">
        <f t="shared" si="223"/>
        <v>0</v>
      </c>
      <c r="AC1426" s="1">
        <v>12</v>
      </c>
      <c r="AF1426">
        <v>12</v>
      </c>
      <c r="AG1426" s="7">
        <v>12</v>
      </c>
      <c r="AH1426">
        <f t="shared" si="221"/>
        <v>12</v>
      </c>
      <c r="AI1426">
        <f t="shared" si="222"/>
        <v>0</v>
      </c>
      <c r="AK1426">
        <f t="shared" si="224"/>
        <v>1</v>
      </c>
      <c r="AL1426">
        <v>10.49</v>
      </c>
      <c r="AM1426" t="s">
        <v>27</v>
      </c>
      <c r="AN1426">
        <v>10.49</v>
      </c>
      <c r="AO1426" t="b">
        <f t="shared" si="225"/>
        <v>1</v>
      </c>
      <c r="AR1426" t="s">
        <v>5061</v>
      </c>
      <c r="AS1426" s="21">
        <v>46284</v>
      </c>
      <c r="AT1426" t="s">
        <v>5062</v>
      </c>
      <c r="AU1426" t="s">
        <v>5069</v>
      </c>
      <c r="AV1426" t="s">
        <v>5062</v>
      </c>
      <c r="AW1426" t="s">
        <v>5311</v>
      </c>
    </row>
    <row r="1427" spans="1:49" x14ac:dyDescent="0.35">
      <c r="A1427" t="s">
        <v>5105</v>
      </c>
      <c r="B1427" t="s">
        <v>872</v>
      </c>
      <c r="C1427" t="s">
        <v>4818</v>
      </c>
      <c r="D1427" t="s">
        <v>18</v>
      </c>
      <c r="E1427" t="s">
        <v>933</v>
      </c>
      <c r="F1427" t="s">
        <v>934</v>
      </c>
      <c r="G1427" t="s">
        <v>21</v>
      </c>
      <c r="H1427" t="s">
        <v>4888</v>
      </c>
      <c r="I1427" t="s">
        <v>4906</v>
      </c>
      <c r="J1427" s="4" t="s">
        <v>4907</v>
      </c>
      <c r="K1427" s="4" t="s">
        <v>4908</v>
      </c>
      <c r="L1427" s="4" t="s">
        <v>4910</v>
      </c>
      <c r="M1427" s="4" t="s">
        <v>5035</v>
      </c>
      <c r="N1427" t="s">
        <v>935</v>
      </c>
      <c r="O1427" t="s">
        <v>936</v>
      </c>
      <c r="P1427" t="s">
        <v>23</v>
      </c>
      <c r="Q1427" t="s">
        <v>24</v>
      </c>
      <c r="R1427" t="s">
        <v>5216</v>
      </c>
      <c r="S1427" t="s">
        <v>5217</v>
      </c>
      <c r="T1427" s="6">
        <v>46307</v>
      </c>
      <c r="U1427">
        <v>12</v>
      </c>
      <c r="V1427">
        <v>12</v>
      </c>
      <c r="W1427">
        <v>12</v>
      </c>
      <c r="X1427">
        <v>12</v>
      </c>
      <c r="Y1427">
        <f t="shared" si="223"/>
        <v>0</v>
      </c>
      <c r="AC1427" s="1">
        <v>12</v>
      </c>
      <c r="AF1427">
        <v>12</v>
      </c>
      <c r="AG1427" s="7">
        <v>12</v>
      </c>
      <c r="AH1427">
        <f t="shared" si="221"/>
        <v>12</v>
      </c>
      <c r="AI1427">
        <f t="shared" si="222"/>
        <v>0</v>
      </c>
      <c r="AK1427">
        <f t="shared" si="224"/>
        <v>1</v>
      </c>
      <c r="AL1427">
        <v>10.19</v>
      </c>
      <c r="AM1427" t="s">
        <v>27</v>
      </c>
      <c r="AN1427">
        <v>10.19</v>
      </c>
      <c r="AO1427" t="b">
        <f t="shared" si="225"/>
        <v>1</v>
      </c>
      <c r="AR1427" t="s">
        <v>5061</v>
      </c>
      <c r="AS1427" s="21">
        <v>46284</v>
      </c>
      <c r="AT1427" t="s">
        <v>5062</v>
      </c>
      <c r="AU1427" t="s">
        <v>5070</v>
      </c>
      <c r="AV1427" t="s">
        <v>5062</v>
      </c>
      <c r="AW1427" t="s">
        <v>5311</v>
      </c>
    </row>
    <row r="1428" spans="1:49" x14ac:dyDescent="0.35">
      <c r="A1428" t="s">
        <v>5105</v>
      </c>
      <c r="B1428" t="s">
        <v>872</v>
      </c>
      <c r="C1428" t="s">
        <v>4818</v>
      </c>
      <c r="D1428" t="s">
        <v>18</v>
      </c>
      <c r="E1428" t="s">
        <v>949</v>
      </c>
      <c r="F1428" t="s">
        <v>950</v>
      </c>
      <c r="G1428" t="s">
        <v>21</v>
      </c>
      <c r="H1428" t="s">
        <v>4888</v>
      </c>
      <c r="I1428" t="s">
        <v>4893</v>
      </c>
      <c r="J1428" s="4" t="s">
        <v>4894</v>
      </c>
      <c r="K1428" s="4" t="s">
        <v>4837</v>
      </c>
      <c r="L1428" s="4" t="s">
        <v>4914</v>
      </c>
      <c r="M1428" s="4" t="s">
        <v>5035</v>
      </c>
      <c r="N1428" t="s">
        <v>951</v>
      </c>
      <c r="O1428" t="s">
        <v>952</v>
      </c>
      <c r="P1428" t="s">
        <v>23</v>
      </c>
      <c r="Q1428" t="s">
        <v>24</v>
      </c>
      <c r="R1428" t="s">
        <v>5216</v>
      </c>
      <c r="S1428" t="s">
        <v>5217</v>
      </c>
      <c r="T1428" s="6">
        <v>46307</v>
      </c>
      <c r="U1428">
        <v>12</v>
      </c>
      <c r="V1428">
        <v>12</v>
      </c>
      <c r="W1428">
        <v>12</v>
      </c>
      <c r="X1428">
        <v>12</v>
      </c>
      <c r="Y1428">
        <f t="shared" si="223"/>
        <v>0</v>
      </c>
      <c r="AC1428" s="1">
        <v>12</v>
      </c>
      <c r="AF1428">
        <v>12</v>
      </c>
      <c r="AG1428" s="7">
        <v>12</v>
      </c>
      <c r="AH1428">
        <f t="shared" si="221"/>
        <v>12</v>
      </c>
      <c r="AI1428">
        <f t="shared" si="222"/>
        <v>0</v>
      </c>
      <c r="AK1428">
        <f t="shared" si="224"/>
        <v>1</v>
      </c>
      <c r="AL1428">
        <v>10.06</v>
      </c>
      <c r="AM1428" t="s">
        <v>27</v>
      </c>
      <c r="AN1428">
        <v>10.06</v>
      </c>
      <c r="AO1428" t="b">
        <f t="shared" si="225"/>
        <v>1</v>
      </c>
      <c r="AR1428" t="s">
        <v>5061</v>
      </c>
      <c r="AS1428" s="21">
        <v>46284</v>
      </c>
      <c r="AT1428" t="s">
        <v>5062</v>
      </c>
      <c r="AU1428" t="s">
        <v>5068</v>
      </c>
      <c r="AV1428" t="s">
        <v>5062</v>
      </c>
      <c r="AW1428" t="s">
        <v>5311</v>
      </c>
    </row>
    <row r="1429" spans="1:49" x14ac:dyDescent="0.35">
      <c r="A1429" t="s">
        <v>5105</v>
      </c>
      <c r="B1429" t="s">
        <v>872</v>
      </c>
      <c r="C1429" t="s">
        <v>4818</v>
      </c>
      <c r="D1429" t="s">
        <v>18</v>
      </c>
      <c r="E1429" t="s">
        <v>1009</v>
      </c>
      <c r="F1429" t="s">
        <v>1010</v>
      </c>
      <c r="G1429" t="s">
        <v>21</v>
      </c>
      <c r="H1429" t="s">
        <v>4888</v>
      </c>
      <c r="I1429" t="s">
        <v>4902</v>
      </c>
      <c r="J1429" s="4" t="s">
        <v>4903</v>
      </c>
      <c r="K1429" s="4" t="s">
        <v>4915</v>
      </c>
      <c r="L1429" s="4" t="s">
        <v>4885</v>
      </c>
      <c r="M1429" s="4" t="s">
        <v>5035</v>
      </c>
      <c r="N1429" t="s">
        <v>1011</v>
      </c>
      <c r="O1429" t="s">
        <v>1012</v>
      </c>
      <c r="P1429" t="s">
        <v>23</v>
      </c>
      <c r="Q1429" t="s">
        <v>24</v>
      </c>
      <c r="R1429" t="s">
        <v>5216</v>
      </c>
      <c r="S1429" t="s">
        <v>5217</v>
      </c>
      <c r="T1429" s="6">
        <v>46307</v>
      </c>
      <c r="U1429">
        <v>12</v>
      </c>
      <c r="V1429">
        <v>12</v>
      </c>
      <c r="W1429">
        <v>12</v>
      </c>
      <c r="X1429">
        <v>12</v>
      </c>
      <c r="Y1429">
        <f t="shared" si="223"/>
        <v>0</v>
      </c>
      <c r="AC1429" s="1">
        <v>12</v>
      </c>
      <c r="AF1429">
        <v>12</v>
      </c>
      <c r="AG1429" s="7">
        <v>12</v>
      </c>
      <c r="AH1429">
        <f t="shared" si="221"/>
        <v>12</v>
      </c>
      <c r="AI1429">
        <f t="shared" si="222"/>
        <v>0</v>
      </c>
      <c r="AK1429">
        <f t="shared" si="224"/>
        <v>1</v>
      </c>
      <c r="AL1429">
        <v>10.66</v>
      </c>
      <c r="AM1429" t="s">
        <v>27</v>
      </c>
      <c r="AN1429">
        <v>10.66</v>
      </c>
      <c r="AO1429" t="b">
        <f t="shared" si="225"/>
        <v>1</v>
      </c>
      <c r="AR1429" t="s">
        <v>5061</v>
      </c>
      <c r="AS1429" s="21">
        <v>46284</v>
      </c>
      <c r="AT1429" t="s">
        <v>5062</v>
      </c>
      <c r="AU1429" t="s">
        <v>5069</v>
      </c>
      <c r="AV1429" t="s">
        <v>5062</v>
      </c>
      <c r="AW1429" t="s">
        <v>5311</v>
      </c>
    </row>
    <row r="1430" spans="1:49" x14ac:dyDescent="0.35">
      <c r="A1430" t="s">
        <v>5105</v>
      </c>
      <c r="B1430" t="s">
        <v>872</v>
      </c>
      <c r="C1430" t="s">
        <v>4818</v>
      </c>
      <c r="D1430" t="s">
        <v>18</v>
      </c>
      <c r="E1430" t="s">
        <v>1161</v>
      </c>
      <c r="F1430" t="s">
        <v>1162</v>
      </c>
      <c r="G1430" t="s">
        <v>21</v>
      </c>
      <c r="H1430" t="s">
        <v>4888</v>
      </c>
      <c r="I1430" t="s">
        <v>4902</v>
      </c>
      <c r="J1430" s="4" t="s">
        <v>4903</v>
      </c>
      <c r="K1430" s="4" t="s">
        <v>4915</v>
      </c>
      <c r="L1430" s="4" t="s">
        <v>4929</v>
      </c>
      <c r="M1430" s="4" t="s">
        <v>5035</v>
      </c>
      <c r="N1430" t="s">
        <v>1163</v>
      </c>
      <c r="O1430" t="s">
        <v>1164</v>
      </c>
      <c r="P1430" t="s">
        <v>23</v>
      </c>
      <c r="Q1430" t="s">
        <v>24</v>
      </c>
      <c r="R1430" t="s">
        <v>5216</v>
      </c>
      <c r="S1430" t="s">
        <v>5217</v>
      </c>
      <c r="T1430" s="6">
        <v>46307</v>
      </c>
      <c r="U1430">
        <v>12</v>
      </c>
      <c r="V1430">
        <v>12</v>
      </c>
      <c r="W1430">
        <v>12</v>
      </c>
      <c r="X1430">
        <v>12</v>
      </c>
      <c r="Y1430">
        <f t="shared" si="223"/>
        <v>0</v>
      </c>
      <c r="AC1430" s="1">
        <v>12</v>
      </c>
      <c r="AF1430">
        <v>12</v>
      </c>
      <c r="AG1430" s="7">
        <v>12</v>
      </c>
      <c r="AH1430">
        <f t="shared" si="221"/>
        <v>12</v>
      </c>
      <c r="AI1430">
        <f t="shared" si="222"/>
        <v>0</v>
      </c>
      <c r="AK1430">
        <f t="shared" si="224"/>
        <v>1</v>
      </c>
      <c r="AL1430">
        <v>10.66</v>
      </c>
      <c r="AM1430" t="s">
        <v>27</v>
      </c>
      <c r="AN1430">
        <v>10.66</v>
      </c>
      <c r="AO1430" t="b">
        <f t="shared" si="225"/>
        <v>1</v>
      </c>
      <c r="AR1430" t="s">
        <v>5061</v>
      </c>
      <c r="AS1430" s="21">
        <v>46284</v>
      </c>
      <c r="AT1430" t="s">
        <v>5062</v>
      </c>
      <c r="AU1430" t="s">
        <v>5069</v>
      </c>
      <c r="AV1430" t="s">
        <v>5062</v>
      </c>
      <c r="AW1430" t="s">
        <v>5311</v>
      </c>
    </row>
    <row r="1431" spans="1:49" x14ac:dyDescent="0.35">
      <c r="A1431" t="s">
        <v>5105</v>
      </c>
      <c r="B1431" t="s">
        <v>872</v>
      </c>
      <c r="C1431" t="s">
        <v>4818</v>
      </c>
      <c r="D1431" t="s">
        <v>18</v>
      </c>
      <c r="E1431" t="s">
        <v>1201</v>
      </c>
      <c r="F1431" t="s">
        <v>1202</v>
      </c>
      <c r="G1431" t="s">
        <v>21</v>
      </c>
      <c r="H1431" t="s">
        <v>4888</v>
      </c>
      <c r="I1431" t="s">
        <v>4902</v>
      </c>
      <c r="J1431" s="4" t="s">
        <v>4903</v>
      </c>
      <c r="K1431" s="4" t="s">
        <v>4899</v>
      </c>
      <c r="L1431" s="4" t="s">
        <v>4925</v>
      </c>
      <c r="M1431" s="4" t="s">
        <v>5035</v>
      </c>
      <c r="N1431" t="s">
        <v>1203</v>
      </c>
      <c r="O1431" t="s">
        <v>1204</v>
      </c>
      <c r="P1431" t="s">
        <v>23</v>
      </c>
      <c r="Q1431" t="s">
        <v>24</v>
      </c>
      <c r="R1431" t="s">
        <v>5216</v>
      </c>
      <c r="S1431" t="s">
        <v>5217</v>
      </c>
      <c r="T1431" s="6">
        <v>46307</v>
      </c>
      <c r="U1431">
        <v>12</v>
      </c>
      <c r="V1431">
        <v>12</v>
      </c>
      <c r="W1431">
        <v>12</v>
      </c>
      <c r="X1431">
        <v>12</v>
      </c>
      <c r="Y1431">
        <f t="shared" si="223"/>
        <v>0</v>
      </c>
      <c r="AC1431" s="1">
        <v>12</v>
      </c>
      <c r="AF1431">
        <v>12</v>
      </c>
      <c r="AG1431" s="7">
        <v>12</v>
      </c>
      <c r="AH1431">
        <f t="shared" si="221"/>
        <v>12</v>
      </c>
      <c r="AI1431">
        <f t="shared" si="222"/>
        <v>0</v>
      </c>
      <c r="AK1431">
        <f t="shared" si="224"/>
        <v>1</v>
      </c>
      <c r="AL1431">
        <v>10.49</v>
      </c>
      <c r="AM1431" t="s">
        <v>27</v>
      </c>
      <c r="AN1431">
        <v>10.49</v>
      </c>
      <c r="AO1431" t="b">
        <f t="shared" si="225"/>
        <v>1</v>
      </c>
      <c r="AR1431" t="s">
        <v>5061</v>
      </c>
      <c r="AS1431" s="21">
        <v>46284</v>
      </c>
      <c r="AT1431" t="s">
        <v>5062</v>
      </c>
      <c r="AU1431" t="s">
        <v>5069</v>
      </c>
      <c r="AV1431" t="s">
        <v>5062</v>
      </c>
      <c r="AW1431" t="s">
        <v>5311</v>
      </c>
    </row>
    <row r="1432" spans="1:49" x14ac:dyDescent="0.35">
      <c r="A1432" t="s">
        <v>5105</v>
      </c>
      <c r="B1432" t="s">
        <v>872</v>
      </c>
      <c r="C1432" t="s">
        <v>4818</v>
      </c>
      <c r="D1432" t="s">
        <v>18</v>
      </c>
      <c r="E1432" t="s">
        <v>1229</v>
      </c>
      <c r="F1432" t="s">
        <v>1230</v>
      </c>
      <c r="G1432" t="s">
        <v>21</v>
      </c>
      <c r="H1432" t="s">
        <v>4888</v>
      </c>
      <c r="I1432" t="s">
        <v>4889</v>
      </c>
      <c r="J1432" s="4" t="s">
        <v>4890</v>
      </c>
      <c r="K1432" s="4" t="s">
        <v>4891</v>
      </c>
      <c r="L1432" s="4" t="s">
        <v>4886</v>
      </c>
      <c r="M1432" s="4" t="s">
        <v>5035</v>
      </c>
      <c r="N1432" t="s">
        <v>1231</v>
      </c>
      <c r="O1432" t="s">
        <v>1232</v>
      </c>
      <c r="P1432" t="s">
        <v>23</v>
      </c>
      <c r="Q1432" t="s">
        <v>24</v>
      </c>
      <c r="R1432" t="s">
        <v>5216</v>
      </c>
      <c r="S1432" t="s">
        <v>5217</v>
      </c>
      <c r="T1432" s="6">
        <v>46307</v>
      </c>
      <c r="U1432">
        <v>12</v>
      </c>
      <c r="V1432">
        <v>12</v>
      </c>
      <c r="W1432">
        <v>12</v>
      </c>
      <c r="X1432">
        <v>12</v>
      </c>
      <c r="Y1432">
        <f t="shared" si="223"/>
        <v>0</v>
      </c>
      <c r="AC1432" s="1">
        <v>12</v>
      </c>
      <c r="AF1432">
        <v>12</v>
      </c>
      <c r="AG1432" s="7">
        <v>12</v>
      </c>
      <c r="AH1432">
        <f t="shared" si="221"/>
        <v>12</v>
      </c>
      <c r="AI1432">
        <f t="shared" si="222"/>
        <v>0</v>
      </c>
      <c r="AK1432">
        <f t="shared" si="224"/>
        <v>1</v>
      </c>
      <c r="AL1432">
        <v>11.2</v>
      </c>
      <c r="AM1432" t="s">
        <v>27</v>
      </c>
      <c r="AN1432">
        <v>11.2</v>
      </c>
      <c r="AO1432" t="b">
        <f t="shared" si="225"/>
        <v>1</v>
      </c>
      <c r="AR1432" t="s">
        <v>5061</v>
      </c>
      <c r="AS1432" s="21">
        <v>46284</v>
      </c>
      <c r="AT1432" t="s">
        <v>5062</v>
      </c>
      <c r="AU1432" t="s">
        <v>5067</v>
      </c>
      <c r="AV1432" t="s">
        <v>5062</v>
      </c>
      <c r="AW1432" t="s">
        <v>5311</v>
      </c>
    </row>
    <row r="1433" spans="1:49" x14ac:dyDescent="0.35">
      <c r="A1433" t="s">
        <v>5105</v>
      </c>
      <c r="B1433" t="s">
        <v>872</v>
      </c>
      <c r="C1433" t="s">
        <v>4818</v>
      </c>
      <c r="D1433" t="s">
        <v>18</v>
      </c>
      <c r="E1433" t="s">
        <v>1237</v>
      </c>
      <c r="F1433" t="s">
        <v>1238</v>
      </c>
      <c r="G1433" t="s">
        <v>21</v>
      </c>
      <c r="H1433" t="s">
        <v>4888</v>
      </c>
      <c r="I1433" t="s">
        <v>4889</v>
      </c>
      <c r="J1433" s="4" t="s">
        <v>4890</v>
      </c>
      <c r="K1433" s="4" t="s">
        <v>4891</v>
      </c>
      <c r="L1433" s="4" t="s">
        <v>4898</v>
      </c>
      <c r="M1433" s="4" t="s">
        <v>5035</v>
      </c>
      <c r="N1433" t="s">
        <v>1239</v>
      </c>
      <c r="O1433" t="s">
        <v>1240</v>
      </c>
      <c r="P1433" t="s">
        <v>23</v>
      </c>
      <c r="Q1433" t="s">
        <v>24</v>
      </c>
      <c r="R1433" t="s">
        <v>5216</v>
      </c>
      <c r="S1433" t="s">
        <v>5217</v>
      </c>
      <c r="T1433" s="6">
        <v>46307</v>
      </c>
      <c r="U1433">
        <v>12</v>
      </c>
      <c r="V1433">
        <v>12</v>
      </c>
      <c r="W1433">
        <v>12</v>
      </c>
      <c r="X1433">
        <v>12</v>
      </c>
      <c r="Y1433">
        <f t="shared" si="223"/>
        <v>0</v>
      </c>
      <c r="AC1433" s="1">
        <v>12</v>
      </c>
      <c r="AF1433">
        <v>12</v>
      </c>
      <c r="AG1433" s="7">
        <v>12</v>
      </c>
      <c r="AH1433">
        <f t="shared" si="221"/>
        <v>12</v>
      </c>
      <c r="AI1433">
        <f t="shared" si="222"/>
        <v>0</v>
      </c>
      <c r="AK1433">
        <f t="shared" si="224"/>
        <v>1</v>
      </c>
      <c r="AL1433">
        <v>11.2</v>
      </c>
      <c r="AM1433" t="s">
        <v>27</v>
      </c>
      <c r="AN1433">
        <v>11.2</v>
      </c>
      <c r="AO1433" t="b">
        <f t="shared" si="225"/>
        <v>1</v>
      </c>
      <c r="AR1433" t="s">
        <v>5061</v>
      </c>
      <c r="AS1433" s="21">
        <v>46284</v>
      </c>
      <c r="AT1433" t="s">
        <v>5062</v>
      </c>
      <c r="AU1433" t="s">
        <v>5067</v>
      </c>
      <c r="AV1433" t="s">
        <v>5062</v>
      </c>
      <c r="AW1433" t="s">
        <v>5311</v>
      </c>
    </row>
    <row r="1434" spans="1:49" x14ac:dyDescent="0.35">
      <c r="A1434" t="s">
        <v>5105</v>
      </c>
      <c r="B1434" t="s">
        <v>872</v>
      </c>
      <c r="C1434" t="s">
        <v>4818</v>
      </c>
      <c r="D1434" t="s">
        <v>18</v>
      </c>
      <c r="E1434" t="s">
        <v>1405</v>
      </c>
      <c r="F1434" t="s">
        <v>1406</v>
      </c>
      <c r="G1434" t="s">
        <v>21</v>
      </c>
      <c r="H1434" t="s">
        <v>4888</v>
      </c>
      <c r="I1434" t="s">
        <v>4906</v>
      </c>
      <c r="J1434" s="4" t="s">
        <v>4907</v>
      </c>
      <c r="K1434" s="4" t="s">
        <v>4908</v>
      </c>
      <c r="L1434" s="4" t="s">
        <v>4873</v>
      </c>
      <c r="M1434" s="4" t="s">
        <v>5035</v>
      </c>
      <c r="N1434" t="s">
        <v>1407</v>
      </c>
      <c r="O1434" t="s">
        <v>1408</v>
      </c>
      <c r="P1434" t="s">
        <v>23</v>
      </c>
      <c r="Q1434" t="s">
        <v>24</v>
      </c>
      <c r="R1434" t="s">
        <v>5216</v>
      </c>
      <c r="S1434" t="s">
        <v>5217</v>
      </c>
      <c r="T1434" s="6">
        <v>46307</v>
      </c>
      <c r="U1434">
        <v>12</v>
      </c>
      <c r="V1434">
        <v>12</v>
      </c>
      <c r="W1434">
        <v>12</v>
      </c>
      <c r="X1434">
        <v>12</v>
      </c>
      <c r="Y1434">
        <f t="shared" si="223"/>
        <v>0</v>
      </c>
      <c r="AC1434" s="1">
        <v>12</v>
      </c>
      <c r="AF1434">
        <v>12</v>
      </c>
      <c r="AG1434" s="7">
        <v>12</v>
      </c>
      <c r="AH1434">
        <f t="shared" si="221"/>
        <v>12</v>
      </c>
      <c r="AI1434">
        <f t="shared" si="222"/>
        <v>0</v>
      </c>
      <c r="AK1434">
        <f t="shared" si="224"/>
        <v>1</v>
      </c>
      <c r="AL1434">
        <v>10.19</v>
      </c>
      <c r="AM1434" t="s">
        <v>27</v>
      </c>
      <c r="AN1434">
        <v>10.19</v>
      </c>
      <c r="AO1434" t="b">
        <f t="shared" si="225"/>
        <v>1</v>
      </c>
      <c r="AR1434" t="s">
        <v>5061</v>
      </c>
      <c r="AS1434" s="21">
        <v>46284</v>
      </c>
      <c r="AT1434" t="s">
        <v>5062</v>
      </c>
      <c r="AU1434" t="s">
        <v>5070</v>
      </c>
      <c r="AV1434" t="s">
        <v>5062</v>
      </c>
      <c r="AW1434" t="s">
        <v>5311</v>
      </c>
    </row>
    <row r="1435" spans="1:49" x14ac:dyDescent="0.35">
      <c r="A1435" t="s">
        <v>5105</v>
      </c>
      <c r="B1435" t="s">
        <v>872</v>
      </c>
      <c r="C1435" t="s">
        <v>4818</v>
      </c>
      <c r="D1435" t="s">
        <v>18</v>
      </c>
      <c r="E1435" t="s">
        <v>1465</v>
      </c>
      <c r="F1435" t="s">
        <v>1466</v>
      </c>
      <c r="G1435" t="s">
        <v>21</v>
      </c>
      <c r="H1435" t="s">
        <v>4888</v>
      </c>
      <c r="I1435" t="s">
        <v>4906</v>
      </c>
      <c r="J1435" s="4" t="s">
        <v>4907</v>
      </c>
      <c r="K1435" s="4" t="s">
        <v>4908</v>
      </c>
      <c r="L1435" s="4" t="s">
        <v>4879</v>
      </c>
      <c r="M1435" s="4" t="s">
        <v>5035</v>
      </c>
      <c r="N1435" t="s">
        <v>1467</v>
      </c>
      <c r="O1435" t="s">
        <v>1468</v>
      </c>
      <c r="P1435" t="s">
        <v>23</v>
      </c>
      <c r="Q1435" t="s">
        <v>24</v>
      </c>
      <c r="R1435" t="s">
        <v>5216</v>
      </c>
      <c r="S1435" t="s">
        <v>5217</v>
      </c>
      <c r="T1435" s="6">
        <v>46307</v>
      </c>
      <c r="U1435">
        <v>12</v>
      </c>
      <c r="V1435">
        <v>12</v>
      </c>
      <c r="W1435">
        <v>12</v>
      </c>
      <c r="X1435">
        <v>12</v>
      </c>
      <c r="Y1435">
        <f t="shared" si="223"/>
        <v>0</v>
      </c>
      <c r="AC1435" s="1">
        <v>12</v>
      </c>
      <c r="AF1435">
        <v>12</v>
      </c>
      <c r="AG1435" s="7">
        <v>12</v>
      </c>
      <c r="AH1435">
        <f t="shared" si="221"/>
        <v>12</v>
      </c>
      <c r="AI1435">
        <f t="shared" si="222"/>
        <v>0</v>
      </c>
      <c r="AK1435">
        <f t="shared" si="224"/>
        <v>1</v>
      </c>
      <c r="AL1435">
        <v>10.19</v>
      </c>
      <c r="AM1435" t="s">
        <v>27</v>
      </c>
      <c r="AN1435">
        <v>10.19</v>
      </c>
      <c r="AO1435" t="b">
        <f t="shared" si="225"/>
        <v>1</v>
      </c>
      <c r="AR1435" t="s">
        <v>5061</v>
      </c>
      <c r="AS1435" s="21">
        <v>46284</v>
      </c>
      <c r="AT1435" t="s">
        <v>5062</v>
      </c>
      <c r="AU1435" t="s">
        <v>5070</v>
      </c>
      <c r="AV1435" t="s">
        <v>5062</v>
      </c>
      <c r="AW1435" t="s">
        <v>5311</v>
      </c>
    </row>
    <row r="1436" spans="1:49" x14ac:dyDescent="0.35">
      <c r="A1436" t="s">
        <v>5105</v>
      </c>
      <c r="B1436" t="s">
        <v>872</v>
      </c>
      <c r="C1436" t="s">
        <v>4818</v>
      </c>
      <c r="D1436" t="s">
        <v>18</v>
      </c>
      <c r="E1436" t="s">
        <v>1613</v>
      </c>
      <c r="F1436" t="s">
        <v>1614</v>
      </c>
      <c r="G1436" t="s">
        <v>21</v>
      </c>
      <c r="H1436" t="s">
        <v>4888</v>
      </c>
      <c r="I1436" t="s">
        <v>4889</v>
      </c>
      <c r="J1436" s="4" t="s">
        <v>4890</v>
      </c>
      <c r="K1436" s="4" t="s">
        <v>4911</v>
      </c>
      <c r="L1436" s="4" t="s">
        <v>4855</v>
      </c>
      <c r="M1436" s="4" t="s">
        <v>5035</v>
      </c>
      <c r="N1436" t="s">
        <v>1615</v>
      </c>
      <c r="O1436" t="s">
        <v>1616</v>
      </c>
      <c r="P1436" t="s">
        <v>23</v>
      </c>
      <c r="Q1436" t="s">
        <v>24</v>
      </c>
      <c r="R1436" t="s">
        <v>5216</v>
      </c>
      <c r="S1436" t="s">
        <v>5217</v>
      </c>
      <c r="T1436" s="6">
        <v>46307</v>
      </c>
      <c r="U1436">
        <v>12</v>
      </c>
      <c r="V1436">
        <v>12</v>
      </c>
      <c r="W1436">
        <v>12</v>
      </c>
      <c r="X1436">
        <v>12</v>
      </c>
      <c r="Y1436">
        <f t="shared" si="223"/>
        <v>0</v>
      </c>
      <c r="AC1436" s="1">
        <v>12</v>
      </c>
      <c r="AF1436">
        <v>12</v>
      </c>
      <c r="AG1436" s="7">
        <v>12</v>
      </c>
      <c r="AH1436">
        <f t="shared" si="221"/>
        <v>12</v>
      </c>
      <c r="AI1436">
        <f t="shared" si="222"/>
        <v>0</v>
      </c>
      <c r="AK1436">
        <f t="shared" si="224"/>
        <v>1</v>
      </c>
      <c r="AL1436">
        <v>11.87</v>
      </c>
      <c r="AM1436" t="s">
        <v>27</v>
      </c>
      <c r="AN1436">
        <v>11.87</v>
      </c>
      <c r="AO1436" t="b">
        <f t="shared" si="225"/>
        <v>1</v>
      </c>
      <c r="AR1436" t="s">
        <v>5061</v>
      </c>
      <c r="AS1436" s="21">
        <v>46284</v>
      </c>
      <c r="AT1436" t="s">
        <v>5062</v>
      </c>
      <c r="AU1436" t="s">
        <v>5067</v>
      </c>
      <c r="AV1436" t="s">
        <v>5062</v>
      </c>
      <c r="AW1436" t="s">
        <v>5311</v>
      </c>
    </row>
    <row r="1437" spans="1:49" x14ac:dyDescent="0.35">
      <c r="A1437" t="s">
        <v>5105</v>
      </c>
      <c r="B1437" t="s">
        <v>872</v>
      </c>
      <c r="C1437" t="s">
        <v>4818</v>
      </c>
      <c r="D1437" t="s">
        <v>18</v>
      </c>
      <c r="E1437" t="s">
        <v>1725</v>
      </c>
      <c r="F1437" t="s">
        <v>1726</v>
      </c>
      <c r="G1437" t="s">
        <v>21</v>
      </c>
      <c r="H1437" t="s">
        <v>4888</v>
      </c>
      <c r="I1437" t="s">
        <v>4906</v>
      </c>
      <c r="J1437" s="4" t="s">
        <v>4907</v>
      </c>
      <c r="K1437" s="4" t="s">
        <v>4908</v>
      </c>
      <c r="L1437" s="4" t="s">
        <v>4871</v>
      </c>
      <c r="M1437" s="4" t="s">
        <v>5035</v>
      </c>
      <c r="N1437" t="s">
        <v>1727</v>
      </c>
      <c r="O1437" t="s">
        <v>1728</v>
      </c>
      <c r="P1437" t="s">
        <v>23</v>
      </c>
      <c r="Q1437" t="s">
        <v>24</v>
      </c>
      <c r="R1437" t="s">
        <v>5216</v>
      </c>
      <c r="S1437" t="s">
        <v>5217</v>
      </c>
      <c r="T1437" s="6">
        <v>46307</v>
      </c>
      <c r="U1437">
        <v>12</v>
      </c>
      <c r="V1437">
        <v>12</v>
      </c>
      <c r="W1437">
        <v>12</v>
      </c>
      <c r="X1437">
        <v>12</v>
      </c>
      <c r="Y1437">
        <f t="shared" si="223"/>
        <v>0</v>
      </c>
      <c r="AC1437" s="1">
        <v>12</v>
      </c>
      <c r="AF1437">
        <v>12</v>
      </c>
      <c r="AG1437" s="7">
        <v>12</v>
      </c>
      <c r="AH1437">
        <f t="shared" si="221"/>
        <v>12</v>
      </c>
      <c r="AI1437">
        <f t="shared" si="222"/>
        <v>0</v>
      </c>
      <c r="AK1437">
        <f t="shared" si="224"/>
        <v>1</v>
      </c>
      <c r="AL1437">
        <v>10.19</v>
      </c>
      <c r="AM1437" t="s">
        <v>27</v>
      </c>
      <c r="AN1437">
        <v>10.19</v>
      </c>
      <c r="AO1437" t="b">
        <f t="shared" si="225"/>
        <v>1</v>
      </c>
      <c r="AR1437" t="s">
        <v>5061</v>
      </c>
      <c r="AS1437" s="21">
        <v>46284</v>
      </c>
      <c r="AT1437" t="s">
        <v>5062</v>
      </c>
      <c r="AU1437" t="s">
        <v>5070</v>
      </c>
      <c r="AV1437" t="s">
        <v>5062</v>
      </c>
      <c r="AW1437" t="s">
        <v>5311</v>
      </c>
    </row>
    <row r="1438" spans="1:49" x14ac:dyDescent="0.35">
      <c r="A1438" t="s">
        <v>5105</v>
      </c>
      <c r="B1438" t="s">
        <v>872</v>
      </c>
      <c r="C1438" t="s">
        <v>4818</v>
      </c>
      <c r="D1438" t="s">
        <v>18</v>
      </c>
      <c r="E1438" t="s">
        <v>1817</v>
      </c>
      <c r="F1438" t="s">
        <v>1818</v>
      </c>
      <c r="G1438" t="s">
        <v>21</v>
      </c>
      <c r="H1438" t="s">
        <v>4888</v>
      </c>
      <c r="I1438" t="s">
        <v>4889</v>
      </c>
      <c r="J1438" s="4" t="s">
        <v>4890</v>
      </c>
      <c r="K1438" s="4" t="s">
        <v>4899</v>
      </c>
      <c r="L1438" s="4" t="s">
        <v>4914</v>
      </c>
      <c r="M1438" s="4" t="s">
        <v>5035</v>
      </c>
      <c r="N1438" t="s">
        <v>1819</v>
      </c>
      <c r="O1438" t="s">
        <v>1820</v>
      </c>
      <c r="P1438" t="s">
        <v>23</v>
      </c>
      <c r="Q1438" t="s">
        <v>24</v>
      </c>
      <c r="R1438" t="s">
        <v>5216</v>
      </c>
      <c r="S1438" t="s">
        <v>5217</v>
      </c>
      <c r="T1438" s="6">
        <v>46307</v>
      </c>
      <c r="U1438">
        <v>12</v>
      </c>
      <c r="V1438">
        <v>12</v>
      </c>
      <c r="W1438">
        <v>12</v>
      </c>
      <c r="X1438">
        <v>12</v>
      </c>
      <c r="Y1438">
        <f t="shared" si="223"/>
        <v>0</v>
      </c>
      <c r="AC1438" s="1">
        <v>12</v>
      </c>
      <c r="AF1438">
        <v>12</v>
      </c>
      <c r="AG1438" s="7">
        <v>12</v>
      </c>
      <c r="AH1438">
        <f t="shared" si="221"/>
        <v>12</v>
      </c>
      <c r="AI1438">
        <f t="shared" si="222"/>
        <v>0</v>
      </c>
      <c r="AK1438">
        <f t="shared" si="224"/>
        <v>1</v>
      </c>
      <c r="AL1438">
        <v>10.9</v>
      </c>
      <c r="AM1438" t="s">
        <v>27</v>
      </c>
      <c r="AN1438">
        <v>10.9</v>
      </c>
      <c r="AO1438" t="b">
        <f t="shared" si="225"/>
        <v>1</v>
      </c>
      <c r="AR1438" t="s">
        <v>5061</v>
      </c>
      <c r="AS1438" s="21">
        <v>46284</v>
      </c>
      <c r="AT1438" t="s">
        <v>5062</v>
      </c>
      <c r="AU1438" t="s">
        <v>5067</v>
      </c>
      <c r="AV1438" t="s">
        <v>5062</v>
      </c>
      <c r="AW1438" t="s">
        <v>5311</v>
      </c>
    </row>
    <row r="1439" spans="1:49" x14ac:dyDescent="0.35">
      <c r="A1439" t="s">
        <v>5105</v>
      </c>
      <c r="B1439" t="s">
        <v>872</v>
      </c>
      <c r="C1439" t="s">
        <v>4818</v>
      </c>
      <c r="D1439" t="s">
        <v>18</v>
      </c>
      <c r="E1439" t="s">
        <v>1833</v>
      </c>
      <c r="F1439" t="s">
        <v>1834</v>
      </c>
      <c r="G1439" t="s">
        <v>21</v>
      </c>
      <c r="H1439" t="s">
        <v>4888</v>
      </c>
      <c r="I1439" t="s">
        <v>4893</v>
      </c>
      <c r="J1439" s="4" t="s">
        <v>4894</v>
      </c>
      <c r="K1439" s="4" t="s">
        <v>4904</v>
      </c>
      <c r="L1439" s="4" t="s">
        <v>4870</v>
      </c>
      <c r="M1439" s="4" t="s">
        <v>5035</v>
      </c>
      <c r="N1439" t="s">
        <v>1835</v>
      </c>
      <c r="O1439" t="s">
        <v>1836</v>
      </c>
      <c r="P1439" t="s">
        <v>23</v>
      </c>
      <c r="Q1439" t="s">
        <v>24</v>
      </c>
      <c r="R1439" t="s">
        <v>5216</v>
      </c>
      <c r="S1439" t="s">
        <v>5217</v>
      </c>
      <c r="T1439" s="6">
        <v>46307</v>
      </c>
      <c r="U1439">
        <v>12</v>
      </c>
      <c r="V1439">
        <v>12</v>
      </c>
      <c r="W1439">
        <v>12</v>
      </c>
      <c r="X1439">
        <v>12</v>
      </c>
      <c r="Y1439">
        <f t="shared" si="223"/>
        <v>0</v>
      </c>
      <c r="AC1439" s="1">
        <v>12</v>
      </c>
      <c r="AF1439">
        <v>12</v>
      </c>
      <c r="AG1439" s="7">
        <v>12</v>
      </c>
      <c r="AH1439">
        <f t="shared" si="221"/>
        <v>12</v>
      </c>
      <c r="AI1439">
        <f t="shared" si="222"/>
        <v>0</v>
      </c>
      <c r="AK1439">
        <f t="shared" si="224"/>
        <v>1</v>
      </c>
      <c r="AL1439">
        <v>10.16</v>
      </c>
      <c r="AM1439" t="s">
        <v>27</v>
      </c>
      <c r="AN1439">
        <v>10.16</v>
      </c>
      <c r="AO1439" t="b">
        <f t="shared" si="225"/>
        <v>1</v>
      </c>
      <c r="AR1439" t="s">
        <v>5061</v>
      </c>
      <c r="AS1439" s="21">
        <v>46284</v>
      </c>
      <c r="AT1439" t="s">
        <v>5062</v>
      </c>
      <c r="AU1439" t="s">
        <v>5068</v>
      </c>
      <c r="AV1439" t="s">
        <v>5062</v>
      </c>
      <c r="AW1439" t="s">
        <v>5311</v>
      </c>
    </row>
    <row r="1440" spans="1:49" x14ac:dyDescent="0.35">
      <c r="A1440" t="s">
        <v>5105</v>
      </c>
      <c r="B1440" t="s">
        <v>872</v>
      </c>
      <c r="C1440" t="s">
        <v>4818</v>
      </c>
      <c r="D1440" t="s">
        <v>18</v>
      </c>
      <c r="E1440" t="s">
        <v>1919</v>
      </c>
      <c r="F1440" t="s">
        <v>1920</v>
      </c>
      <c r="G1440" t="s">
        <v>21</v>
      </c>
      <c r="H1440" t="s">
        <v>4826</v>
      </c>
      <c r="I1440" t="s">
        <v>4935</v>
      </c>
      <c r="J1440" s="4" t="s">
        <v>4936</v>
      </c>
      <c r="K1440" s="4" t="s">
        <v>4937</v>
      </c>
      <c r="L1440" s="4" t="s">
        <v>4951</v>
      </c>
      <c r="M1440" s="4" t="s">
        <v>5035</v>
      </c>
      <c r="N1440" t="s">
        <v>15</v>
      </c>
      <c r="O1440" t="s">
        <v>1921</v>
      </c>
      <c r="P1440" t="s">
        <v>23</v>
      </c>
      <c r="Q1440" t="s">
        <v>24</v>
      </c>
      <c r="R1440" t="s">
        <v>5216</v>
      </c>
      <c r="S1440" t="s">
        <v>5217</v>
      </c>
      <c r="T1440" s="6">
        <v>46307</v>
      </c>
      <c r="U1440">
        <v>12</v>
      </c>
      <c r="V1440">
        <v>12</v>
      </c>
      <c r="W1440">
        <v>12</v>
      </c>
      <c r="X1440">
        <v>12</v>
      </c>
      <c r="Y1440">
        <f t="shared" si="223"/>
        <v>0</v>
      </c>
      <c r="AC1440" s="1">
        <v>12</v>
      </c>
      <c r="AF1440">
        <v>12</v>
      </c>
      <c r="AG1440" s="7">
        <v>12</v>
      </c>
      <c r="AH1440">
        <f t="shared" si="221"/>
        <v>12</v>
      </c>
      <c r="AI1440">
        <f t="shared" si="222"/>
        <v>0</v>
      </c>
      <c r="AK1440">
        <f t="shared" si="224"/>
        <v>1</v>
      </c>
      <c r="AL1440">
        <v>11.16</v>
      </c>
      <c r="AM1440" t="s">
        <v>27</v>
      </c>
      <c r="AN1440">
        <v>11.16</v>
      </c>
      <c r="AO1440" t="b">
        <f t="shared" si="225"/>
        <v>1</v>
      </c>
      <c r="AR1440" t="s">
        <v>5061</v>
      </c>
      <c r="AS1440" s="21">
        <v>46284</v>
      </c>
      <c r="AT1440" t="s">
        <v>5062</v>
      </c>
      <c r="AU1440" t="s">
        <v>5071</v>
      </c>
      <c r="AV1440" t="s">
        <v>5062</v>
      </c>
      <c r="AW1440" t="s">
        <v>5311</v>
      </c>
    </row>
    <row r="1441" spans="1:49" x14ac:dyDescent="0.35">
      <c r="A1441" t="s">
        <v>5105</v>
      </c>
      <c r="B1441" t="s">
        <v>872</v>
      </c>
      <c r="C1441" t="s">
        <v>4818</v>
      </c>
      <c r="D1441" t="s">
        <v>18</v>
      </c>
      <c r="E1441" t="s">
        <v>1997</v>
      </c>
      <c r="F1441" t="s">
        <v>1998</v>
      </c>
      <c r="G1441" t="s">
        <v>21</v>
      </c>
      <c r="H1441" t="s">
        <v>4826</v>
      </c>
      <c r="I1441" t="s">
        <v>4935</v>
      </c>
      <c r="J1441" s="4" t="s">
        <v>4936</v>
      </c>
      <c r="K1441" s="4" t="s">
        <v>4837</v>
      </c>
      <c r="L1441" s="4" t="s">
        <v>4968</v>
      </c>
      <c r="M1441" s="4" t="s">
        <v>5035</v>
      </c>
      <c r="N1441" t="s">
        <v>15</v>
      </c>
      <c r="O1441" t="s">
        <v>1999</v>
      </c>
      <c r="P1441" t="s">
        <v>23</v>
      </c>
      <c r="Q1441" t="s">
        <v>24</v>
      </c>
      <c r="R1441" t="s">
        <v>5216</v>
      </c>
      <c r="S1441" t="s">
        <v>5217</v>
      </c>
      <c r="T1441" s="6">
        <v>46307</v>
      </c>
      <c r="U1441">
        <v>12</v>
      </c>
      <c r="V1441">
        <v>12</v>
      </c>
      <c r="W1441">
        <v>12</v>
      </c>
      <c r="X1441">
        <v>12</v>
      </c>
      <c r="Y1441">
        <f t="shared" si="223"/>
        <v>0</v>
      </c>
      <c r="AC1441" s="1">
        <v>12</v>
      </c>
      <c r="AF1441">
        <v>12</v>
      </c>
      <c r="AG1441" s="7">
        <v>12</v>
      </c>
      <c r="AH1441">
        <f t="shared" si="221"/>
        <v>12</v>
      </c>
      <c r="AI1441">
        <f t="shared" si="222"/>
        <v>0</v>
      </c>
      <c r="AK1441">
        <f t="shared" si="224"/>
        <v>1</v>
      </c>
      <c r="AL1441">
        <v>11.16</v>
      </c>
      <c r="AM1441" t="s">
        <v>27</v>
      </c>
      <c r="AN1441">
        <v>11.16</v>
      </c>
      <c r="AO1441" t="b">
        <f t="shared" si="225"/>
        <v>1</v>
      </c>
      <c r="AR1441" t="s">
        <v>5061</v>
      </c>
      <c r="AS1441" s="21">
        <v>46284</v>
      </c>
      <c r="AT1441" t="s">
        <v>5062</v>
      </c>
      <c r="AU1441" t="s">
        <v>5071</v>
      </c>
      <c r="AV1441" t="s">
        <v>5062</v>
      </c>
      <c r="AW1441" t="s">
        <v>5311</v>
      </c>
    </row>
    <row r="1442" spans="1:49" x14ac:dyDescent="0.35">
      <c r="A1442" t="s">
        <v>5105</v>
      </c>
      <c r="B1442" t="s">
        <v>872</v>
      </c>
      <c r="C1442" t="s">
        <v>4818</v>
      </c>
      <c r="D1442" t="s">
        <v>18</v>
      </c>
      <c r="E1442" t="s">
        <v>2090</v>
      </c>
      <c r="F1442" t="s">
        <v>2091</v>
      </c>
      <c r="G1442" t="s">
        <v>21</v>
      </c>
      <c r="H1442" t="s">
        <v>4826</v>
      </c>
      <c r="I1442" t="s">
        <v>4935</v>
      </c>
      <c r="J1442" s="4" t="s">
        <v>4936</v>
      </c>
      <c r="K1442" s="4" t="s">
        <v>4937</v>
      </c>
      <c r="L1442" s="4" t="s">
        <v>4944</v>
      </c>
      <c r="M1442" s="4" t="s">
        <v>5035</v>
      </c>
      <c r="N1442" t="s">
        <v>15</v>
      </c>
      <c r="O1442" t="s">
        <v>2092</v>
      </c>
      <c r="P1442" t="s">
        <v>23</v>
      </c>
      <c r="Q1442" t="s">
        <v>24</v>
      </c>
      <c r="R1442" t="s">
        <v>5216</v>
      </c>
      <c r="S1442" t="s">
        <v>5217</v>
      </c>
      <c r="T1442" s="6">
        <v>46307</v>
      </c>
      <c r="U1442">
        <v>12</v>
      </c>
      <c r="V1442">
        <v>12</v>
      </c>
      <c r="W1442">
        <v>12</v>
      </c>
      <c r="X1442">
        <v>12</v>
      </c>
      <c r="Y1442">
        <f t="shared" si="223"/>
        <v>0</v>
      </c>
      <c r="AC1442" s="1">
        <v>12</v>
      </c>
      <c r="AF1442">
        <v>12</v>
      </c>
      <c r="AG1442" s="7">
        <v>12</v>
      </c>
      <c r="AH1442">
        <f t="shared" si="221"/>
        <v>12</v>
      </c>
      <c r="AI1442">
        <f t="shared" si="222"/>
        <v>0</v>
      </c>
      <c r="AK1442">
        <f t="shared" si="224"/>
        <v>1</v>
      </c>
      <c r="AL1442">
        <v>11.16</v>
      </c>
      <c r="AM1442" t="s">
        <v>27</v>
      </c>
      <c r="AN1442">
        <v>11.16</v>
      </c>
      <c r="AO1442" t="b">
        <f t="shared" si="225"/>
        <v>1</v>
      </c>
      <c r="AR1442" t="s">
        <v>5061</v>
      </c>
      <c r="AS1442" s="21">
        <v>46284</v>
      </c>
      <c r="AT1442" t="s">
        <v>5062</v>
      </c>
      <c r="AU1442" t="s">
        <v>5071</v>
      </c>
      <c r="AV1442" t="s">
        <v>5062</v>
      </c>
      <c r="AW1442" t="s">
        <v>5311</v>
      </c>
    </row>
    <row r="1443" spans="1:49" x14ac:dyDescent="0.35">
      <c r="A1443" t="s">
        <v>5105</v>
      </c>
      <c r="B1443" t="s">
        <v>872</v>
      </c>
      <c r="C1443" t="s">
        <v>4818</v>
      </c>
      <c r="D1443" t="s">
        <v>18</v>
      </c>
      <c r="E1443" t="s">
        <v>2117</v>
      </c>
      <c r="F1443" t="s">
        <v>2118</v>
      </c>
      <c r="G1443" t="s">
        <v>21</v>
      </c>
      <c r="H1443" t="s">
        <v>4826</v>
      </c>
      <c r="I1443" t="s">
        <v>4935</v>
      </c>
      <c r="J1443" s="4" t="s">
        <v>4936</v>
      </c>
      <c r="K1443" s="4" t="s">
        <v>4837</v>
      </c>
      <c r="L1443" s="4" t="s">
        <v>4972</v>
      </c>
      <c r="M1443" s="4" t="s">
        <v>5035</v>
      </c>
      <c r="N1443" t="s">
        <v>15</v>
      </c>
      <c r="O1443" t="s">
        <v>2119</v>
      </c>
      <c r="P1443" t="s">
        <v>23</v>
      </c>
      <c r="Q1443" t="s">
        <v>24</v>
      </c>
      <c r="R1443" t="s">
        <v>5216</v>
      </c>
      <c r="S1443" t="s">
        <v>5217</v>
      </c>
      <c r="T1443" s="6">
        <v>46307</v>
      </c>
      <c r="U1443">
        <v>12</v>
      </c>
      <c r="V1443">
        <v>12</v>
      </c>
      <c r="W1443">
        <v>12</v>
      </c>
      <c r="X1443">
        <v>12</v>
      </c>
      <c r="Y1443">
        <f t="shared" si="223"/>
        <v>0</v>
      </c>
      <c r="AC1443" s="1">
        <v>12</v>
      </c>
      <c r="AF1443">
        <v>12</v>
      </c>
      <c r="AG1443" s="7">
        <v>12</v>
      </c>
      <c r="AH1443">
        <f t="shared" si="221"/>
        <v>12</v>
      </c>
      <c r="AI1443">
        <f t="shared" si="222"/>
        <v>0</v>
      </c>
      <c r="AK1443">
        <f t="shared" si="224"/>
        <v>1</v>
      </c>
      <c r="AL1443">
        <v>11.16</v>
      </c>
      <c r="AM1443" t="s">
        <v>27</v>
      </c>
      <c r="AN1443">
        <v>11.16</v>
      </c>
      <c r="AO1443" t="b">
        <f t="shared" si="225"/>
        <v>1</v>
      </c>
      <c r="AR1443" t="s">
        <v>5061</v>
      </c>
      <c r="AS1443" s="21">
        <v>46284</v>
      </c>
      <c r="AT1443" t="s">
        <v>5062</v>
      </c>
      <c r="AU1443" t="s">
        <v>5071</v>
      </c>
      <c r="AV1443" t="s">
        <v>5062</v>
      </c>
      <c r="AW1443" t="s">
        <v>5311</v>
      </c>
    </row>
    <row r="1444" spans="1:49" x14ac:dyDescent="0.35">
      <c r="A1444" t="s">
        <v>5105</v>
      </c>
      <c r="B1444" t="s">
        <v>872</v>
      </c>
      <c r="C1444" t="s">
        <v>4818</v>
      </c>
      <c r="D1444" t="s">
        <v>18</v>
      </c>
      <c r="E1444" t="s">
        <v>5172</v>
      </c>
      <c r="F1444" t="s">
        <v>5173</v>
      </c>
      <c r="G1444" t="s">
        <v>21</v>
      </c>
      <c r="H1444" t="s">
        <v>4826</v>
      </c>
      <c r="I1444" t="s">
        <v>4976</v>
      </c>
      <c r="J1444" s="4" t="s">
        <v>4977</v>
      </c>
      <c r="K1444" s="4" t="s">
        <v>4837</v>
      </c>
      <c r="L1444" s="4" t="s">
        <v>4948</v>
      </c>
      <c r="M1444" s="4" t="s">
        <v>5035</v>
      </c>
      <c r="N1444" t="s">
        <v>15</v>
      </c>
      <c r="O1444" t="s">
        <v>5289</v>
      </c>
      <c r="P1444" t="s">
        <v>23</v>
      </c>
      <c r="Q1444" t="s">
        <v>24</v>
      </c>
      <c r="R1444" t="s">
        <v>5216</v>
      </c>
      <c r="S1444" t="s">
        <v>5217</v>
      </c>
      <c r="T1444" s="6">
        <v>46307</v>
      </c>
      <c r="U1444">
        <v>132</v>
      </c>
      <c r="V1444">
        <v>132</v>
      </c>
      <c r="W1444">
        <v>144</v>
      </c>
      <c r="X1444">
        <v>144</v>
      </c>
      <c r="Y1444">
        <f t="shared" si="223"/>
        <v>0</v>
      </c>
      <c r="AC1444" s="1">
        <v>132</v>
      </c>
      <c r="AF1444">
        <v>132</v>
      </c>
      <c r="AG1444" s="7">
        <v>12</v>
      </c>
      <c r="AH1444">
        <f t="shared" si="221"/>
        <v>132</v>
      </c>
      <c r="AI1444">
        <f t="shared" si="222"/>
        <v>0</v>
      </c>
      <c r="AK1444">
        <f t="shared" si="224"/>
        <v>11</v>
      </c>
      <c r="AL1444">
        <v>13.85</v>
      </c>
      <c r="AM1444" t="s">
        <v>27</v>
      </c>
      <c r="AN1444">
        <v>13.85</v>
      </c>
      <c r="AO1444" t="b">
        <f t="shared" si="225"/>
        <v>1</v>
      </c>
      <c r="AR1444" t="s">
        <v>5061</v>
      </c>
      <c r="AS1444" s="21">
        <v>46284</v>
      </c>
      <c r="AT1444" t="s">
        <v>5062</v>
      </c>
      <c r="AU1444" t="s">
        <v>5072</v>
      </c>
      <c r="AV1444" t="s">
        <v>5062</v>
      </c>
      <c r="AW1444" t="s">
        <v>5311</v>
      </c>
    </row>
    <row r="1445" spans="1:49" x14ac:dyDescent="0.35">
      <c r="A1445" t="s">
        <v>5105</v>
      </c>
      <c r="B1445" t="s">
        <v>872</v>
      </c>
      <c r="C1445" t="s">
        <v>4818</v>
      </c>
      <c r="D1445" t="s">
        <v>18</v>
      </c>
      <c r="E1445" t="s">
        <v>2285</v>
      </c>
      <c r="F1445" t="s">
        <v>2286</v>
      </c>
      <c r="G1445" t="s">
        <v>21</v>
      </c>
      <c r="H1445" t="s">
        <v>4826</v>
      </c>
      <c r="I1445" t="s">
        <v>4976</v>
      </c>
      <c r="J1445" s="4" t="s">
        <v>4977</v>
      </c>
      <c r="K1445" s="4" t="s">
        <v>4832</v>
      </c>
      <c r="L1445" s="4" t="s">
        <v>4966</v>
      </c>
      <c r="M1445" s="4" t="s">
        <v>5035</v>
      </c>
      <c r="N1445" t="s">
        <v>15</v>
      </c>
      <c r="O1445" t="s">
        <v>2287</v>
      </c>
      <c r="P1445" t="s">
        <v>23</v>
      </c>
      <c r="Q1445" t="s">
        <v>24</v>
      </c>
      <c r="R1445" t="s">
        <v>5216</v>
      </c>
      <c r="S1445" t="s">
        <v>5217</v>
      </c>
      <c r="T1445" s="6">
        <v>46307</v>
      </c>
      <c r="U1445">
        <v>12</v>
      </c>
      <c r="V1445">
        <v>12</v>
      </c>
      <c r="W1445">
        <v>12</v>
      </c>
      <c r="X1445">
        <v>12</v>
      </c>
      <c r="Y1445">
        <f t="shared" si="223"/>
        <v>0</v>
      </c>
      <c r="AC1445" s="1">
        <v>12</v>
      </c>
      <c r="AF1445">
        <v>12</v>
      </c>
      <c r="AG1445" s="7">
        <v>12</v>
      </c>
      <c r="AH1445">
        <f t="shared" si="221"/>
        <v>12</v>
      </c>
      <c r="AI1445">
        <f t="shared" si="222"/>
        <v>0</v>
      </c>
      <c r="AK1445">
        <f t="shared" si="224"/>
        <v>1</v>
      </c>
      <c r="AL1445">
        <v>13.85</v>
      </c>
      <c r="AM1445" t="s">
        <v>27</v>
      </c>
      <c r="AN1445">
        <v>13.85</v>
      </c>
      <c r="AO1445" t="b">
        <f t="shared" si="225"/>
        <v>1</v>
      </c>
      <c r="AR1445" t="s">
        <v>5061</v>
      </c>
      <c r="AS1445" s="21">
        <v>46284</v>
      </c>
      <c r="AT1445" t="s">
        <v>5062</v>
      </c>
      <c r="AU1445" t="s">
        <v>5072</v>
      </c>
      <c r="AV1445" t="s">
        <v>5062</v>
      </c>
      <c r="AW1445" t="s">
        <v>5311</v>
      </c>
    </row>
    <row r="1446" spans="1:49" x14ac:dyDescent="0.35">
      <c r="A1446" t="s">
        <v>5105</v>
      </c>
      <c r="B1446" t="s">
        <v>872</v>
      </c>
      <c r="C1446" t="s">
        <v>4818</v>
      </c>
      <c r="D1446" t="s">
        <v>18</v>
      </c>
      <c r="E1446" t="s">
        <v>5174</v>
      </c>
      <c r="F1446" t="s">
        <v>5175</v>
      </c>
      <c r="G1446" t="s">
        <v>21</v>
      </c>
      <c r="H1446" t="s">
        <v>4826</v>
      </c>
      <c r="I1446" t="s">
        <v>4976</v>
      </c>
      <c r="J1446" s="4" t="s">
        <v>4977</v>
      </c>
      <c r="K1446" s="4" t="s">
        <v>4837</v>
      </c>
      <c r="L1446" s="4" t="s">
        <v>4970</v>
      </c>
      <c r="M1446" s="4" t="s">
        <v>5035</v>
      </c>
      <c r="N1446" t="s">
        <v>15</v>
      </c>
      <c r="O1446" t="s">
        <v>5290</v>
      </c>
      <c r="P1446" t="s">
        <v>23</v>
      </c>
      <c r="Q1446" t="s">
        <v>24</v>
      </c>
      <c r="R1446" t="s">
        <v>5216</v>
      </c>
      <c r="S1446" t="s">
        <v>5217</v>
      </c>
      <c r="T1446" s="6">
        <v>46307</v>
      </c>
      <c r="U1446">
        <v>96</v>
      </c>
      <c r="V1446">
        <v>96</v>
      </c>
      <c r="W1446">
        <v>108</v>
      </c>
      <c r="X1446">
        <v>108</v>
      </c>
      <c r="Y1446">
        <f t="shared" si="223"/>
        <v>0</v>
      </c>
      <c r="AC1446" s="1">
        <v>96</v>
      </c>
      <c r="AF1446">
        <v>96</v>
      </c>
      <c r="AG1446" s="7">
        <v>12</v>
      </c>
      <c r="AH1446">
        <f t="shared" si="221"/>
        <v>96</v>
      </c>
      <c r="AI1446">
        <f t="shared" si="222"/>
        <v>0</v>
      </c>
      <c r="AK1446">
        <f t="shared" si="224"/>
        <v>8</v>
      </c>
      <c r="AL1446">
        <v>13.85</v>
      </c>
      <c r="AM1446" t="s">
        <v>27</v>
      </c>
      <c r="AN1446">
        <v>13.85</v>
      </c>
      <c r="AO1446" t="b">
        <f t="shared" si="225"/>
        <v>1</v>
      </c>
      <c r="AR1446" t="s">
        <v>5061</v>
      </c>
      <c r="AS1446" s="21">
        <v>46284</v>
      </c>
      <c r="AT1446" t="s">
        <v>5062</v>
      </c>
      <c r="AU1446" t="s">
        <v>5072</v>
      </c>
      <c r="AV1446" t="s">
        <v>5062</v>
      </c>
      <c r="AW1446" t="s">
        <v>5311</v>
      </c>
    </row>
    <row r="1447" spans="1:49" x14ac:dyDescent="0.35">
      <c r="A1447" t="s">
        <v>5105</v>
      </c>
      <c r="B1447" t="s">
        <v>872</v>
      </c>
      <c r="C1447" t="s">
        <v>4818</v>
      </c>
      <c r="D1447" t="s">
        <v>18</v>
      </c>
      <c r="E1447" t="s">
        <v>2312</v>
      </c>
      <c r="F1447" t="s">
        <v>2313</v>
      </c>
      <c r="G1447" t="s">
        <v>21</v>
      </c>
      <c r="H1447" t="s">
        <v>4826</v>
      </c>
      <c r="I1447" t="s">
        <v>4976</v>
      </c>
      <c r="J1447" s="4" t="s">
        <v>4977</v>
      </c>
      <c r="K1447" s="4" t="s">
        <v>4832</v>
      </c>
      <c r="L1447" s="4" t="s">
        <v>4938</v>
      </c>
      <c r="M1447" s="4" t="s">
        <v>5035</v>
      </c>
      <c r="N1447" t="s">
        <v>15</v>
      </c>
      <c r="O1447" t="s">
        <v>2314</v>
      </c>
      <c r="P1447" t="s">
        <v>23</v>
      </c>
      <c r="Q1447" t="s">
        <v>24</v>
      </c>
      <c r="R1447" t="s">
        <v>5216</v>
      </c>
      <c r="S1447" t="s">
        <v>5217</v>
      </c>
      <c r="T1447" s="6">
        <v>46307</v>
      </c>
      <c r="U1447">
        <v>12</v>
      </c>
      <c r="V1447">
        <v>12</v>
      </c>
      <c r="W1447">
        <v>12</v>
      </c>
      <c r="X1447">
        <v>12</v>
      </c>
      <c r="Y1447">
        <f t="shared" si="223"/>
        <v>0</v>
      </c>
      <c r="AC1447" s="1">
        <v>12</v>
      </c>
      <c r="AF1447">
        <v>12</v>
      </c>
      <c r="AG1447" s="7">
        <v>12</v>
      </c>
      <c r="AH1447">
        <f t="shared" si="221"/>
        <v>12</v>
      </c>
      <c r="AI1447">
        <f t="shared" si="222"/>
        <v>0</v>
      </c>
      <c r="AK1447">
        <f t="shared" si="224"/>
        <v>1</v>
      </c>
      <c r="AL1447">
        <v>13.85</v>
      </c>
      <c r="AM1447" t="s">
        <v>27</v>
      </c>
      <c r="AN1447">
        <v>13.85</v>
      </c>
      <c r="AO1447" t="b">
        <f t="shared" si="225"/>
        <v>1</v>
      </c>
      <c r="AR1447" t="s">
        <v>5061</v>
      </c>
      <c r="AS1447" s="21">
        <v>46284</v>
      </c>
      <c r="AT1447" t="s">
        <v>5062</v>
      </c>
      <c r="AU1447" t="s">
        <v>5072</v>
      </c>
      <c r="AV1447" t="s">
        <v>5062</v>
      </c>
      <c r="AW1447" t="s">
        <v>5311</v>
      </c>
    </row>
    <row r="1448" spans="1:49" x14ac:dyDescent="0.35">
      <c r="A1448" t="s">
        <v>5105</v>
      </c>
      <c r="B1448" t="s">
        <v>872</v>
      </c>
      <c r="C1448" t="s">
        <v>4818</v>
      </c>
      <c r="D1448" t="s">
        <v>18</v>
      </c>
      <c r="E1448" t="s">
        <v>5176</v>
      </c>
      <c r="F1448" t="s">
        <v>5177</v>
      </c>
      <c r="G1448" t="s">
        <v>21</v>
      </c>
      <c r="H1448" t="s">
        <v>4826</v>
      </c>
      <c r="I1448" t="s">
        <v>4976</v>
      </c>
      <c r="J1448" s="4" t="s">
        <v>4977</v>
      </c>
      <c r="K1448" s="4" t="s">
        <v>4831</v>
      </c>
      <c r="L1448" s="4" t="s">
        <v>4948</v>
      </c>
      <c r="M1448" s="4" t="s">
        <v>5035</v>
      </c>
      <c r="N1448" t="s">
        <v>15</v>
      </c>
      <c r="O1448" t="s">
        <v>5291</v>
      </c>
      <c r="P1448" t="s">
        <v>23</v>
      </c>
      <c r="Q1448" t="s">
        <v>24</v>
      </c>
      <c r="R1448" t="s">
        <v>5216</v>
      </c>
      <c r="S1448" t="s">
        <v>5217</v>
      </c>
      <c r="T1448" s="6">
        <v>46307</v>
      </c>
      <c r="U1448">
        <v>60</v>
      </c>
      <c r="V1448">
        <v>60</v>
      </c>
      <c r="W1448">
        <v>60</v>
      </c>
      <c r="X1448">
        <v>60</v>
      </c>
      <c r="Y1448">
        <f t="shared" si="223"/>
        <v>0</v>
      </c>
      <c r="AC1448" s="1">
        <v>60</v>
      </c>
      <c r="AF1448">
        <v>60</v>
      </c>
      <c r="AG1448" s="7">
        <v>12</v>
      </c>
      <c r="AH1448">
        <f t="shared" si="221"/>
        <v>60</v>
      </c>
      <c r="AI1448">
        <f t="shared" si="222"/>
        <v>0</v>
      </c>
      <c r="AK1448">
        <f t="shared" si="224"/>
        <v>5</v>
      </c>
      <c r="AL1448">
        <v>13.85</v>
      </c>
      <c r="AM1448" t="s">
        <v>27</v>
      </c>
      <c r="AN1448">
        <v>13.85</v>
      </c>
      <c r="AO1448" t="b">
        <f t="shared" si="225"/>
        <v>1</v>
      </c>
      <c r="AR1448" t="s">
        <v>5061</v>
      </c>
      <c r="AS1448" s="21">
        <v>46284</v>
      </c>
      <c r="AT1448" t="s">
        <v>5062</v>
      </c>
      <c r="AU1448" t="s">
        <v>5072</v>
      </c>
      <c r="AV1448" t="s">
        <v>5062</v>
      </c>
      <c r="AW1448" t="s">
        <v>5311</v>
      </c>
    </row>
    <row r="1449" spans="1:49" x14ac:dyDescent="0.35">
      <c r="A1449" t="s">
        <v>5105</v>
      </c>
      <c r="B1449" t="s">
        <v>872</v>
      </c>
      <c r="C1449" t="s">
        <v>4818</v>
      </c>
      <c r="D1449" t="s">
        <v>18</v>
      </c>
      <c r="E1449" t="s">
        <v>2357</v>
      </c>
      <c r="F1449" t="s">
        <v>2358</v>
      </c>
      <c r="G1449" t="s">
        <v>21</v>
      </c>
      <c r="H1449" t="s">
        <v>4826</v>
      </c>
      <c r="I1449" t="s">
        <v>4976</v>
      </c>
      <c r="J1449" s="4" t="s">
        <v>4977</v>
      </c>
      <c r="K1449" s="4" t="s">
        <v>4837</v>
      </c>
      <c r="L1449" s="4" t="s">
        <v>4938</v>
      </c>
      <c r="M1449" s="4" t="s">
        <v>5035</v>
      </c>
      <c r="N1449" t="s">
        <v>15</v>
      </c>
      <c r="O1449" t="s">
        <v>2359</v>
      </c>
      <c r="P1449" t="s">
        <v>23</v>
      </c>
      <c r="Q1449" t="s">
        <v>24</v>
      </c>
      <c r="R1449" t="s">
        <v>5216</v>
      </c>
      <c r="S1449" t="s">
        <v>5217</v>
      </c>
      <c r="T1449" s="6">
        <v>46307</v>
      </c>
      <c r="U1449">
        <v>12</v>
      </c>
      <c r="V1449">
        <v>12</v>
      </c>
      <c r="W1449">
        <v>12</v>
      </c>
      <c r="X1449">
        <v>12</v>
      </c>
      <c r="Y1449">
        <f t="shared" si="223"/>
        <v>0</v>
      </c>
      <c r="AC1449" s="1">
        <v>12</v>
      </c>
      <c r="AF1449">
        <v>12</v>
      </c>
      <c r="AG1449" s="7">
        <v>12</v>
      </c>
      <c r="AH1449">
        <f t="shared" si="221"/>
        <v>12</v>
      </c>
      <c r="AI1449">
        <f t="shared" si="222"/>
        <v>0</v>
      </c>
      <c r="AK1449">
        <f t="shared" si="224"/>
        <v>1</v>
      </c>
      <c r="AL1449">
        <v>13.85</v>
      </c>
      <c r="AM1449" t="s">
        <v>27</v>
      </c>
      <c r="AN1449">
        <v>13.85</v>
      </c>
      <c r="AO1449" t="b">
        <f t="shared" si="225"/>
        <v>1</v>
      </c>
      <c r="AR1449" t="s">
        <v>5061</v>
      </c>
      <c r="AS1449" s="21">
        <v>46284</v>
      </c>
      <c r="AT1449" t="s">
        <v>5062</v>
      </c>
      <c r="AU1449" t="s">
        <v>5072</v>
      </c>
      <c r="AV1449" t="s">
        <v>5062</v>
      </c>
      <c r="AW1449" t="s">
        <v>5311</v>
      </c>
    </row>
    <row r="1450" spans="1:49" x14ac:dyDescent="0.35">
      <c r="A1450" t="s">
        <v>5105</v>
      </c>
      <c r="B1450" t="s">
        <v>872</v>
      </c>
      <c r="C1450" t="s">
        <v>4818</v>
      </c>
      <c r="D1450" t="s">
        <v>18</v>
      </c>
      <c r="E1450" t="s">
        <v>5178</v>
      </c>
      <c r="F1450" t="s">
        <v>5179</v>
      </c>
      <c r="G1450" t="s">
        <v>21</v>
      </c>
      <c r="H1450" t="s">
        <v>4826</v>
      </c>
      <c r="I1450" t="s">
        <v>4976</v>
      </c>
      <c r="J1450" s="4" t="s">
        <v>4977</v>
      </c>
      <c r="K1450" s="4" t="s">
        <v>4957</v>
      </c>
      <c r="L1450" s="4" t="s">
        <v>4949</v>
      </c>
      <c r="M1450" s="4" t="s">
        <v>5035</v>
      </c>
      <c r="N1450" t="s">
        <v>15</v>
      </c>
      <c r="O1450" t="s">
        <v>5292</v>
      </c>
      <c r="P1450" t="s">
        <v>23</v>
      </c>
      <c r="Q1450" t="s">
        <v>24</v>
      </c>
      <c r="R1450" t="s">
        <v>5216</v>
      </c>
      <c r="S1450" t="s">
        <v>5217</v>
      </c>
      <c r="T1450" s="6">
        <v>46307</v>
      </c>
      <c r="U1450">
        <v>24</v>
      </c>
      <c r="V1450">
        <v>24</v>
      </c>
      <c r="W1450">
        <v>24</v>
      </c>
      <c r="X1450">
        <v>24</v>
      </c>
      <c r="Y1450">
        <f t="shared" si="223"/>
        <v>0</v>
      </c>
      <c r="AC1450" s="1">
        <v>24</v>
      </c>
      <c r="AF1450">
        <v>24</v>
      </c>
      <c r="AG1450" s="7">
        <v>12</v>
      </c>
      <c r="AH1450">
        <f t="shared" si="221"/>
        <v>24</v>
      </c>
      <c r="AI1450">
        <f t="shared" si="222"/>
        <v>0</v>
      </c>
      <c r="AK1450">
        <f t="shared" si="224"/>
        <v>2</v>
      </c>
      <c r="AL1450">
        <v>13.85</v>
      </c>
      <c r="AM1450" t="s">
        <v>27</v>
      </c>
      <c r="AN1450">
        <v>13.85</v>
      </c>
      <c r="AO1450" t="b">
        <f t="shared" si="225"/>
        <v>1</v>
      </c>
      <c r="AR1450" t="s">
        <v>5061</v>
      </c>
      <c r="AS1450" s="21">
        <v>46284</v>
      </c>
      <c r="AT1450" t="s">
        <v>5062</v>
      </c>
      <c r="AU1450" t="s">
        <v>5072</v>
      </c>
      <c r="AV1450" t="s">
        <v>5062</v>
      </c>
      <c r="AW1450" t="s">
        <v>5311</v>
      </c>
    </row>
    <row r="1451" spans="1:49" x14ac:dyDescent="0.35">
      <c r="A1451" t="s">
        <v>5105</v>
      </c>
      <c r="B1451" t="s">
        <v>872</v>
      </c>
      <c r="C1451" t="s">
        <v>4818</v>
      </c>
      <c r="D1451" t="s">
        <v>18</v>
      </c>
      <c r="E1451" t="s">
        <v>5180</v>
      </c>
      <c r="F1451" t="s">
        <v>5181</v>
      </c>
      <c r="G1451" t="s">
        <v>21</v>
      </c>
      <c r="H1451" t="s">
        <v>4826</v>
      </c>
      <c r="I1451" t="s">
        <v>4976</v>
      </c>
      <c r="J1451" s="4" t="s">
        <v>4977</v>
      </c>
      <c r="K1451" s="4" t="s">
        <v>4978</v>
      </c>
      <c r="L1451" s="4" t="s">
        <v>4953</v>
      </c>
      <c r="M1451" s="4" t="s">
        <v>5035</v>
      </c>
      <c r="N1451" t="s">
        <v>15</v>
      </c>
      <c r="O1451" t="s">
        <v>5293</v>
      </c>
      <c r="P1451" t="s">
        <v>23</v>
      </c>
      <c r="Q1451" t="s">
        <v>24</v>
      </c>
      <c r="R1451" t="s">
        <v>5216</v>
      </c>
      <c r="S1451" t="s">
        <v>5217</v>
      </c>
      <c r="T1451" s="6">
        <v>46307</v>
      </c>
      <c r="U1451">
        <v>12</v>
      </c>
      <c r="V1451">
        <v>12</v>
      </c>
      <c r="W1451">
        <v>12</v>
      </c>
      <c r="X1451">
        <v>12</v>
      </c>
      <c r="Y1451">
        <f t="shared" si="223"/>
        <v>0</v>
      </c>
      <c r="AC1451" s="1">
        <v>12</v>
      </c>
      <c r="AF1451">
        <v>12</v>
      </c>
      <c r="AG1451" s="7">
        <v>12</v>
      </c>
      <c r="AH1451">
        <f t="shared" si="221"/>
        <v>12</v>
      </c>
      <c r="AI1451">
        <f t="shared" si="222"/>
        <v>0</v>
      </c>
      <c r="AK1451">
        <f t="shared" si="224"/>
        <v>1</v>
      </c>
      <c r="AL1451">
        <v>13.85</v>
      </c>
      <c r="AM1451" t="s">
        <v>27</v>
      </c>
      <c r="AN1451">
        <v>13.85</v>
      </c>
      <c r="AO1451" t="b">
        <f t="shared" si="225"/>
        <v>1</v>
      </c>
      <c r="AR1451" t="s">
        <v>5061</v>
      </c>
      <c r="AS1451" s="21">
        <v>46284</v>
      </c>
      <c r="AT1451" t="s">
        <v>5062</v>
      </c>
      <c r="AU1451" t="s">
        <v>5072</v>
      </c>
      <c r="AV1451" t="s">
        <v>5062</v>
      </c>
      <c r="AW1451" t="s">
        <v>5311</v>
      </c>
    </row>
    <row r="1452" spans="1:49" x14ac:dyDescent="0.35">
      <c r="A1452" t="s">
        <v>5105</v>
      </c>
      <c r="B1452" t="s">
        <v>872</v>
      </c>
      <c r="C1452" t="s">
        <v>4818</v>
      </c>
      <c r="D1452" t="s">
        <v>18</v>
      </c>
      <c r="E1452" t="s">
        <v>2390</v>
      </c>
      <c r="F1452" t="s">
        <v>2391</v>
      </c>
      <c r="G1452" t="s">
        <v>21</v>
      </c>
      <c r="H1452" t="s">
        <v>4826</v>
      </c>
      <c r="I1452" t="s">
        <v>4976</v>
      </c>
      <c r="J1452" s="4" t="s">
        <v>4977</v>
      </c>
      <c r="K1452" s="4" t="s">
        <v>4832</v>
      </c>
      <c r="L1452" s="4" t="s">
        <v>4970</v>
      </c>
      <c r="M1452" s="4" t="s">
        <v>5035</v>
      </c>
      <c r="N1452" t="s">
        <v>15</v>
      </c>
      <c r="O1452" t="s">
        <v>2392</v>
      </c>
      <c r="P1452" t="s">
        <v>23</v>
      </c>
      <c r="Q1452" t="s">
        <v>24</v>
      </c>
      <c r="R1452" t="s">
        <v>5216</v>
      </c>
      <c r="S1452" t="s">
        <v>5217</v>
      </c>
      <c r="T1452" s="6">
        <v>46307</v>
      </c>
      <c r="U1452">
        <v>12</v>
      </c>
      <c r="V1452">
        <v>12</v>
      </c>
      <c r="W1452">
        <v>12</v>
      </c>
      <c r="X1452">
        <v>12</v>
      </c>
      <c r="Y1452">
        <f t="shared" si="223"/>
        <v>0</v>
      </c>
      <c r="AC1452" s="1">
        <v>12</v>
      </c>
      <c r="AF1452">
        <v>12</v>
      </c>
      <c r="AG1452" s="7">
        <v>12</v>
      </c>
      <c r="AH1452">
        <f t="shared" si="221"/>
        <v>12</v>
      </c>
      <c r="AI1452">
        <f t="shared" si="222"/>
        <v>0</v>
      </c>
      <c r="AK1452">
        <f t="shared" si="224"/>
        <v>1</v>
      </c>
      <c r="AL1452">
        <v>13.85</v>
      </c>
      <c r="AM1452" t="s">
        <v>27</v>
      </c>
      <c r="AN1452">
        <v>13.85</v>
      </c>
      <c r="AO1452" t="b">
        <f t="shared" si="225"/>
        <v>1</v>
      </c>
      <c r="AR1452" t="s">
        <v>5061</v>
      </c>
      <c r="AS1452" s="21">
        <v>46284</v>
      </c>
      <c r="AT1452" t="s">
        <v>5062</v>
      </c>
      <c r="AU1452" t="s">
        <v>5072</v>
      </c>
      <c r="AV1452" t="s">
        <v>5062</v>
      </c>
      <c r="AW1452" t="s">
        <v>5311</v>
      </c>
    </row>
    <row r="1453" spans="1:49" x14ac:dyDescent="0.35">
      <c r="A1453" t="s">
        <v>5105</v>
      </c>
      <c r="B1453" t="s">
        <v>872</v>
      </c>
      <c r="C1453" t="s">
        <v>4818</v>
      </c>
      <c r="D1453" t="s">
        <v>18</v>
      </c>
      <c r="E1453" t="s">
        <v>2408</v>
      </c>
      <c r="F1453" t="s">
        <v>2409</v>
      </c>
      <c r="G1453" t="s">
        <v>21</v>
      </c>
      <c r="H1453" t="s">
        <v>4826</v>
      </c>
      <c r="I1453" t="s">
        <v>4976</v>
      </c>
      <c r="J1453" s="4" t="s">
        <v>4977</v>
      </c>
      <c r="K1453" s="4" t="s">
        <v>4837</v>
      </c>
      <c r="L1453" s="4" t="s">
        <v>4960</v>
      </c>
      <c r="M1453" s="4" t="s">
        <v>5035</v>
      </c>
      <c r="N1453" t="s">
        <v>15</v>
      </c>
      <c r="O1453" t="s">
        <v>2410</v>
      </c>
      <c r="P1453" t="s">
        <v>23</v>
      </c>
      <c r="Q1453" t="s">
        <v>24</v>
      </c>
      <c r="R1453" t="s">
        <v>5216</v>
      </c>
      <c r="S1453" t="s">
        <v>5217</v>
      </c>
      <c r="T1453" s="6">
        <v>46307</v>
      </c>
      <c r="U1453">
        <v>12</v>
      </c>
      <c r="V1453">
        <v>12</v>
      </c>
      <c r="W1453">
        <v>12</v>
      </c>
      <c r="X1453">
        <v>12</v>
      </c>
      <c r="Y1453">
        <f t="shared" si="223"/>
        <v>0</v>
      </c>
      <c r="AC1453" s="1">
        <v>12</v>
      </c>
      <c r="AF1453">
        <v>12</v>
      </c>
      <c r="AG1453" s="7">
        <v>12</v>
      </c>
      <c r="AH1453">
        <f t="shared" si="221"/>
        <v>12</v>
      </c>
      <c r="AI1453">
        <f t="shared" si="222"/>
        <v>0</v>
      </c>
      <c r="AK1453">
        <f t="shared" si="224"/>
        <v>1</v>
      </c>
      <c r="AL1453">
        <v>13.85</v>
      </c>
      <c r="AM1453" t="s">
        <v>27</v>
      </c>
      <c r="AN1453">
        <v>13.85</v>
      </c>
      <c r="AO1453" t="b">
        <f t="shared" si="225"/>
        <v>1</v>
      </c>
      <c r="AR1453" t="s">
        <v>5061</v>
      </c>
      <c r="AS1453" s="21">
        <v>46284</v>
      </c>
      <c r="AT1453" t="s">
        <v>5062</v>
      </c>
      <c r="AU1453" t="s">
        <v>5072</v>
      </c>
      <c r="AV1453" t="s">
        <v>5062</v>
      </c>
      <c r="AW1453" t="s">
        <v>5311</v>
      </c>
    </row>
    <row r="1454" spans="1:49" x14ac:dyDescent="0.35">
      <c r="A1454" t="s">
        <v>5105</v>
      </c>
      <c r="B1454" t="s">
        <v>872</v>
      </c>
      <c r="C1454" t="s">
        <v>4818</v>
      </c>
      <c r="D1454" t="s">
        <v>18</v>
      </c>
      <c r="E1454" t="s">
        <v>2432</v>
      </c>
      <c r="F1454" t="s">
        <v>2433</v>
      </c>
      <c r="G1454" t="s">
        <v>21</v>
      </c>
      <c r="H1454" t="s">
        <v>4826</v>
      </c>
      <c r="I1454" t="s">
        <v>4976</v>
      </c>
      <c r="J1454" s="4" t="s">
        <v>4977</v>
      </c>
      <c r="K1454" s="4" t="s">
        <v>4978</v>
      </c>
      <c r="L1454" s="4" t="s">
        <v>4970</v>
      </c>
      <c r="M1454" s="4" t="s">
        <v>5035</v>
      </c>
      <c r="N1454" t="s">
        <v>15</v>
      </c>
      <c r="O1454" t="s">
        <v>2434</v>
      </c>
      <c r="P1454" t="s">
        <v>23</v>
      </c>
      <c r="Q1454" t="s">
        <v>24</v>
      </c>
      <c r="R1454" t="s">
        <v>5216</v>
      </c>
      <c r="S1454" t="s">
        <v>5217</v>
      </c>
      <c r="T1454" s="6">
        <v>46307</v>
      </c>
      <c r="U1454">
        <v>12</v>
      </c>
      <c r="V1454">
        <v>12</v>
      </c>
      <c r="W1454">
        <v>12</v>
      </c>
      <c r="X1454">
        <v>12</v>
      </c>
      <c r="Y1454">
        <f t="shared" si="223"/>
        <v>0</v>
      </c>
      <c r="AC1454" s="1">
        <v>12</v>
      </c>
      <c r="AF1454">
        <v>12</v>
      </c>
      <c r="AG1454" s="7">
        <v>12</v>
      </c>
      <c r="AH1454">
        <f t="shared" si="221"/>
        <v>12</v>
      </c>
      <c r="AI1454">
        <f t="shared" si="222"/>
        <v>0</v>
      </c>
      <c r="AK1454">
        <f t="shared" si="224"/>
        <v>1</v>
      </c>
      <c r="AL1454">
        <v>13.85</v>
      </c>
      <c r="AM1454" t="s">
        <v>27</v>
      </c>
      <c r="AN1454">
        <v>13.85</v>
      </c>
      <c r="AO1454" t="b">
        <f t="shared" si="225"/>
        <v>1</v>
      </c>
      <c r="AR1454" t="s">
        <v>5061</v>
      </c>
      <c r="AS1454" s="21">
        <v>46284</v>
      </c>
      <c r="AT1454" t="s">
        <v>5062</v>
      </c>
      <c r="AU1454" t="s">
        <v>5072</v>
      </c>
      <c r="AV1454" t="s">
        <v>5062</v>
      </c>
      <c r="AW1454" t="s">
        <v>5311</v>
      </c>
    </row>
    <row r="1455" spans="1:49" x14ac:dyDescent="0.35">
      <c r="A1455" t="s">
        <v>5105</v>
      </c>
      <c r="B1455" t="s">
        <v>872</v>
      </c>
      <c r="C1455" t="s">
        <v>4818</v>
      </c>
      <c r="D1455" t="s">
        <v>18</v>
      </c>
      <c r="E1455" t="s">
        <v>5182</v>
      </c>
      <c r="F1455" t="s">
        <v>5183</v>
      </c>
      <c r="G1455" t="s">
        <v>21</v>
      </c>
      <c r="H1455" t="s">
        <v>4826</v>
      </c>
      <c r="I1455" t="s">
        <v>4976</v>
      </c>
      <c r="J1455" s="4" t="s">
        <v>4977</v>
      </c>
      <c r="K1455" s="4" t="s">
        <v>4832</v>
      </c>
      <c r="L1455" s="4" t="s">
        <v>4960</v>
      </c>
      <c r="M1455" s="4" t="s">
        <v>5035</v>
      </c>
      <c r="N1455" t="s">
        <v>15</v>
      </c>
      <c r="O1455" t="s">
        <v>5294</v>
      </c>
      <c r="P1455" t="s">
        <v>23</v>
      </c>
      <c r="Q1455" t="s">
        <v>24</v>
      </c>
      <c r="R1455" t="s">
        <v>5216</v>
      </c>
      <c r="S1455" t="s">
        <v>5217</v>
      </c>
      <c r="T1455" s="6">
        <v>46307</v>
      </c>
      <c r="U1455">
        <v>48</v>
      </c>
      <c r="V1455">
        <v>48</v>
      </c>
      <c r="W1455">
        <v>48</v>
      </c>
      <c r="X1455">
        <v>48</v>
      </c>
      <c r="Y1455">
        <f t="shared" si="223"/>
        <v>0</v>
      </c>
      <c r="AC1455" s="1">
        <v>48</v>
      </c>
      <c r="AF1455">
        <v>48</v>
      </c>
      <c r="AG1455" s="7">
        <v>12</v>
      </c>
      <c r="AH1455">
        <f t="shared" si="221"/>
        <v>48</v>
      </c>
      <c r="AI1455">
        <f t="shared" si="222"/>
        <v>0</v>
      </c>
      <c r="AK1455">
        <f t="shared" si="224"/>
        <v>4</v>
      </c>
      <c r="AL1455">
        <v>13.85</v>
      </c>
      <c r="AM1455" t="s">
        <v>27</v>
      </c>
      <c r="AN1455">
        <v>13.85</v>
      </c>
      <c r="AO1455" t="b">
        <f t="shared" si="225"/>
        <v>1</v>
      </c>
      <c r="AR1455" t="s">
        <v>5061</v>
      </c>
      <c r="AS1455" s="21">
        <v>46284</v>
      </c>
      <c r="AT1455" t="s">
        <v>5062</v>
      </c>
      <c r="AU1455" t="s">
        <v>5072</v>
      </c>
      <c r="AV1455" t="s">
        <v>5062</v>
      </c>
      <c r="AW1455" t="s">
        <v>5311</v>
      </c>
    </row>
    <row r="1456" spans="1:49" x14ac:dyDescent="0.35">
      <c r="A1456" t="s">
        <v>5105</v>
      </c>
      <c r="B1456" t="s">
        <v>872</v>
      </c>
      <c r="C1456" t="s">
        <v>4818</v>
      </c>
      <c r="D1456" t="s">
        <v>18</v>
      </c>
      <c r="E1456" t="s">
        <v>5184</v>
      </c>
      <c r="F1456" t="s">
        <v>5185</v>
      </c>
      <c r="G1456" t="s">
        <v>21</v>
      </c>
      <c r="H1456" t="s">
        <v>4826</v>
      </c>
      <c r="I1456" t="s">
        <v>4976</v>
      </c>
      <c r="J1456" s="4" t="s">
        <v>4977</v>
      </c>
      <c r="K1456" s="4" t="s">
        <v>4831</v>
      </c>
      <c r="L1456" s="4" t="s">
        <v>4954</v>
      </c>
      <c r="M1456" s="4" t="s">
        <v>5035</v>
      </c>
      <c r="N1456" t="s">
        <v>15</v>
      </c>
      <c r="O1456" t="s">
        <v>5295</v>
      </c>
      <c r="P1456" t="s">
        <v>23</v>
      </c>
      <c r="Q1456" t="s">
        <v>24</v>
      </c>
      <c r="R1456" t="s">
        <v>5216</v>
      </c>
      <c r="S1456" t="s">
        <v>5217</v>
      </c>
      <c r="T1456" s="6">
        <v>46307</v>
      </c>
      <c r="U1456">
        <v>12</v>
      </c>
      <c r="V1456">
        <v>12</v>
      </c>
      <c r="W1456">
        <v>12</v>
      </c>
      <c r="X1456">
        <v>12</v>
      </c>
      <c r="Y1456">
        <f t="shared" si="223"/>
        <v>0</v>
      </c>
      <c r="AC1456" s="1">
        <v>12</v>
      </c>
      <c r="AF1456">
        <v>12</v>
      </c>
      <c r="AG1456" s="7">
        <v>12</v>
      </c>
      <c r="AH1456">
        <f t="shared" si="221"/>
        <v>12</v>
      </c>
      <c r="AI1456">
        <f t="shared" si="222"/>
        <v>0</v>
      </c>
      <c r="AK1456">
        <f t="shared" si="224"/>
        <v>1</v>
      </c>
      <c r="AL1456">
        <v>13.85</v>
      </c>
      <c r="AM1456" t="s">
        <v>27</v>
      </c>
      <c r="AN1456">
        <v>13.85</v>
      </c>
      <c r="AO1456" t="b">
        <f t="shared" si="225"/>
        <v>1</v>
      </c>
      <c r="AR1456" t="s">
        <v>5061</v>
      </c>
      <c r="AS1456" s="21">
        <v>46284</v>
      </c>
      <c r="AT1456" t="s">
        <v>5062</v>
      </c>
      <c r="AU1456" t="s">
        <v>5072</v>
      </c>
      <c r="AV1456" t="s">
        <v>5062</v>
      </c>
      <c r="AW1456" t="s">
        <v>5311</v>
      </c>
    </row>
    <row r="1457" spans="1:49" x14ac:dyDescent="0.35">
      <c r="A1457" t="s">
        <v>5105</v>
      </c>
      <c r="B1457" t="s">
        <v>872</v>
      </c>
      <c r="C1457" t="s">
        <v>4818</v>
      </c>
      <c r="D1457" t="s">
        <v>18</v>
      </c>
      <c r="E1457" t="s">
        <v>5186</v>
      </c>
      <c r="F1457" t="s">
        <v>5187</v>
      </c>
      <c r="G1457" t="s">
        <v>21</v>
      </c>
      <c r="H1457" t="s">
        <v>4826</v>
      </c>
      <c r="I1457" t="s">
        <v>4976</v>
      </c>
      <c r="J1457" s="4" t="s">
        <v>4977</v>
      </c>
      <c r="K1457" s="4" t="s">
        <v>4957</v>
      </c>
      <c r="L1457" s="4" t="s">
        <v>4971</v>
      </c>
      <c r="M1457" s="4" t="s">
        <v>5035</v>
      </c>
      <c r="N1457" t="s">
        <v>15</v>
      </c>
      <c r="O1457" t="s">
        <v>5296</v>
      </c>
      <c r="P1457" t="s">
        <v>23</v>
      </c>
      <c r="Q1457" t="s">
        <v>24</v>
      </c>
      <c r="R1457" t="s">
        <v>5216</v>
      </c>
      <c r="S1457" t="s">
        <v>5217</v>
      </c>
      <c r="T1457" s="6">
        <v>46307</v>
      </c>
      <c r="U1457">
        <v>12</v>
      </c>
      <c r="V1457">
        <v>12</v>
      </c>
      <c r="W1457">
        <v>12</v>
      </c>
      <c r="X1457">
        <v>12</v>
      </c>
      <c r="Y1457">
        <f t="shared" si="223"/>
        <v>0</v>
      </c>
      <c r="AC1457" s="1">
        <v>12</v>
      </c>
      <c r="AF1457">
        <v>12</v>
      </c>
      <c r="AG1457" s="7">
        <v>12</v>
      </c>
      <c r="AH1457">
        <f t="shared" si="221"/>
        <v>12</v>
      </c>
      <c r="AI1457">
        <f t="shared" si="222"/>
        <v>0</v>
      </c>
      <c r="AK1457">
        <f t="shared" si="224"/>
        <v>1</v>
      </c>
      <c r="AL1457">
        <v>13.85</v>
      </c>
      <c r="AM1457" t="s">
        <v>27</v>
      </c>
      <c r="AN1457">
        <v>13.85</v>
      </c>
      <c r="AO1457" t="b">
        <f t="shared" si="225"/>
        <v>1</v>
      </c>
      <c r="AR1457" t="s">
        <v>5061</v>
      </c>
      <c r="AS1457" s="21">
        <v>46284</v>
      </c>
      <c r="AT1457" t="s">
        <v>5062</v>
      </c>
      <c r="AU1457" t="s">
        <v>5072</v>
      </c>
      <c r="AV1457" t="s">
        <v>5062</v>
      </c>
      <c r="AW1457" t="s">
        <v>5311</v>
      </c>
    </row>
    <row r="1458" spans="1:49" x14ac:dyDescent="0.35">
      <c r="A1458" t="s">
        <v>5105</v>
      </c>
      <c r="B1458" t="s">
        <v>872</v>
      </c>
      <c r="C1458" t="s">
        <v>4818</v>
      </c>
      <c r="D1458" t="s">
        <v>18</v>
      </c>
      <c r="E1458" t="s">
        <v>5188</v>
      </c>
      <c r="F1458" t="s">
        <v>5189</v>
      </c>
      <c r="G1458" t="s">
        <v>21</v>
      </c>
      <c r="H1458" t="s">
        <v>4826</v>
      </c>
      <c r="I1458" t="s">
        <v>4976</v>
      </c>
      <c r="J1458" s="4" t="s">
        <v>4977</v>
      </c>
      <c r="K1458" s="4" t="s">
        <v>4978</v>
      </c>
      <c r="L1458" s="4" t="s">
        <v>4942</v>
      </c>
      <c r="M1458" s="4" t="s">
        <v>5035</v>
      </c>
      <c r="N1458" t="s">
        <v>15</v>
      </c>
      <c r="O1458" t="s">
        <v>5297</v>
      </c>
      <c r="P1458" t="s">
        <v>23</v>
      </c>
      <c r="Q1458" t="s">
        <v>24</v>
      </c>
      <c r="R1458" t="s">
        <v>5216</v>
      </c>
      <c r="S1458" t="s">
        <v>5217</v>
      </c>
      <c r="T1458" s="6">
        <v>46307</v>
      </c>
      <c r="U1458">
        <v>24</v>
      </c>
      <c r="V1458">
        <v>24</v>
      </c>
      <c r="W1458">
        <v>24</v>
      </c>
      <c r="X1458">
        <v>24</v>
      </c>
      <c r="Y1458">
        <f t="shared" si="223"/>
        <v>0</v>
      </c>
      <c r="AC1458" s="1">
        <v>24</v>
      </c>
      <c r="AF1458">
        <v>24</v>
      </c>
      <c r="AG1458" s="7">
        <v>12</v>
      </c>
      <c r="AH1458">
        <f t="shared" si="221"/>
        <v>24</v>
      </c>
      <c r="AI1458">
        <f t="shared" si="222"/>
        <v>0</v>
      </c>
      <c r="AK1458">
        <f t="shared" si="224"/>
        <v>2</v>
      </c>
      <c r="AL1458">
        <v>13.85</v>
      </c>
      <c r="AM1458" t="s">
        <v>27</v>
      </c>
      <c r="AN1458">
        <v>13.85</v>
      </c>
      <c r="AO1458" t="b">
        <f t="shared" si="225"/>
        <v>1</v>
      </c>
      <c r="AR1458" t="s">
        <v>5061</v>
      </c>
      <c r="AS1458" s="21">
        <v>46284</v>
      </c>
      <c r="AT1458" t="s">
        <v>5062</v>
      </c>
      <c r="AU1458" t="s">
        <v>5072</v>
      </c>
      <c r="AV1458" t="s">
        <v>5062</v>
      </c>
      <c r="AW1458" t="s">
        <v>5311</v>
      </c>
    </row>
    <row r="1459" spans="1:49" x14ac:dyDescent="0.35">
      <c r="A1459" t="s">
        <v>5105</v>
      </c>
      <c r="B1459" t="s">
        <v>872</v>
      </c>
      <c r="C1459" t="s">
        <v>4818</v>
      </c>
      <c r="D1459" t="s">
        <v>18</v>
      </c>
      <c r="E1459" t="s">
        <v>5190</v>
      </c>
      <c r="F1459" t="s">
        <v>5191</v>
      </c>
      <c r="G1459" t="s">
        <v>21</v>
      </c>
      <c r="H1459" t="s">
        <v>4826</v>
      </c>
      <c r="I1459" t="s">
        <v>4976</v>
      </c>
      <c r="J1459" s="4" t="s">
        <v>4977</v>
      </c>
      <c r="K1459" s="4" t="s">
        <v>4978</v>
      </c>
      <c r="L1459" s="4" t="s">
        <v>4960</v>
      </c>
      <c r="M1459" s="4" t="s">
        <v>5035</v>
      </c>
      <c r="N1459" t="s">
        <v>15</v>
      </c>
      <c r="O1459" t="s">
        <v>5298</v>
      </c>
      <c r="P1459" t="s">
        <v>23</v>
      </c>
      <c r="Q1459" t="s">
        <v>24</v>
      </c>
      <c r="R1459" t="s">
        <v>5216</v>
      </c>
      <c r="S1459" t="s">
        <v>5217</v>
      </c>
      <c r="T1459" s="6">
        <v>46307</v>
      </c>
      <c r="U1459">
        <v>24</v>
      </c>
      <c r="V1459">
        <v>24</v>
      </c>
      <c r="W1459">
        <v>24</v>
      </c>
      <c r="X1459">
        <v>24</v>
      </c>
      <c r="Y1459">
        <f t="shared" si="223"/>
        <v>0</v>
      </c>
      <c r="AC1459" s="1">
        <v>24</v>
      </c>
      <c r="AF1459">
        <v>24</v>
      </c>
      <c r="AG1459" s="7">
        <v>12</v>
      </c>
      <c r="AH1459">
        <f t="shared" si="221"/>
        <v>24</v>
      </c>
      <c r="AI1459">
        <f t="shared" si="222"/>
        <v>0</v>
      </c>
      <c r="AK1459">
        <f t="shared" si="224"/>
        <v>2</v>
      </c>
      <c r="AL1459">
        <v>13.85</v>
      </c>
      <c r="AM1459" t="s">
        <v>27</v>
      </c>
      <c r="AN1459">
        <v>13.85</v>
      </c>
      <c r="AO1459" t="b">
        <f t="shared" si="225"/>
        <v>1</v>
      </c>
      <c r="AR1459" t="s">
        <v>5061</v>
      </c>
      <c r="AS1459" s="21">
        <v>46284</v>
      </c>
      <c r="AT1459" t="s">
        <v>5062</v>
      </c>
      <c r="AU1459" t="s">
        <v>5072</v>
      </c>
      <c r="AV1459" t="s">
        <v>5062</v>
      </c>
      <c r="AW1459" t="s">
        <v>5311</v>
      </c>
    </row>
    <row r="1460" spans="1:49" x14ac:dyDescent="0.35">
      <c r="A1460" t="s">
        <v>5105</v>
      </c>
      <c r="B1460" t="s">
        <v>872</v>
      </c>
      <c r="C1460" t="s">
        <v>4818</v>
      </c>
      <c r="D1460" t="s">
        <v>18</v>
      </c>
      <c r="E1460" t="s">
        <v>5192</v>
      </c>
      <c r="F1460" t="s">
        <v>5193</v>
      </c>
      <c r="G1460" t="s">
        <v>21</v>
      </c>
      <c r="H1460" t="s">
        <v>4826</v>
      </c>
      <c r="I1460" t="s">
        <v>4976</v>
      </c>
      <c r="J1460" s="4" t="s">
        <v>4977</v>
      </c>
      <c r="K1460" s="4" t="s">
        <v>4957</v>
      </c>
      <c r="L1460" s="4" t="s">
        <v>4948</v>
      </c>
      <c r="M1460" s="4" t="s">
        <v>5035</v>
      </c>
      <c r="N1460" t="s">
        <v>15</v>
      </c>
      <c r="O1460" t="s">
        <v>5299</v>
      </c>
      <c r="P1460" t="s">
        <v>23</v>
      </c>
      <c r="Q1460" t="s">
        <v>24</v>
      </c>
      <c r="R1460" t="s">
        <v>5216</v>
      </c>
      <c r="S1460" t="s">
        <v>5217</v>
      </c>
      <c r="T1460" s="6">
        <v>46307</v>
      </c>
      <c r="U1460">
        <v>12</v>
      </c>
      <c r="V1460">
        <v>12</v>
      </c>
      <c r="W1460">
        <v>12</v>
      </c>
      <c r="X1460">
        <v>12</v>
      </c>
      <c r="Y1460">
        <f t="shared" si="223"/>
        <v>0</v>
      </c>
      <c r="AC1460" s="1">
        <v>12</v>
      </c>
      <c r="AF1460">
        <v>12</v>
      </c>
      <c r="AG1460" s="7">
        <v>12</v>
      </c>
      <c r="AH1460">
        <f t="shared" si="221"/>
        <v>12</v>
      </c>
      <c r="AI1460">
        <f t="shared" si="222"/>
        <v>0</v>
      </c>
      <c r="AK1460">
        <f t="shared" si="224"/>
        <v>1</v>
      </c>
      <c r="AL1460">
        <v>13.85</v>
      </c>
      <c r="AM1460" t="s">
        <v>27</v>
      </c>
      <c r="AN1460">
        <v>13.85</v>
      </c>
      <c r="AO1460" t="b">
        <f t="shared" si="225"/>
        <v>1</v>
      </c>
      <c r="AR1460" t="s">
        <v>5061</v>
      </c>
      <c r="AS1460" s="21">
        <v>46284</v>
      </c>
      <c r="AT1460" t="s">
        <v>5062</v>
      </c>
      <c r="AU1460" t="s">
        <v>5072</v>
      </c>
      <c r="AV1460" t="s">
        <v>5062</v>
      </c>
      <c r="AW1460" t="s">
        <v>5311</v>
      </c>
    </row>
    <row r="1461" spans="1:49" x14ac:dyDescent="0.35">
      <c r="A1461" t="s">
        <v>5105</v>
      </c>
      <c r="B1461" t="s">
        <v>872</v>
      </c>
      <c r="C1461" t="s">
        <v>4818</v>
      </c>
      <c r="D1461" t="s">
        <v>18</v>
      </c>
      <c r="E1461" t="s">
        <v>2468</v>
      </c>
      <c r="F1461" t="s">
        <v>2469</v>
      </c>
      <c r="G1461" t="s">
        <v>21</v>
      </c>
      <c r="H1461" t="s">
        <v>4826</v>
      </c>
      <c r="I1461" t="s">
        <v>4976</v>
      </c>
      <c r="J1461" s="4" t="s">
        <v>4977</v>
      </c>
      <c r="K1461" s="4" t="s">
        <v>4978</v>
      </c>
      <c r="L1461" s="4" t="s">
        <v>4951</v>
      </c>
      <c r="M1461" s="4" t="s">
        <v>5035</v>
      </c>
      <c r="N1461" t="s">
        <v>15</v>
      </c>
      <c r="O1461" t="s">
        <v>2470</v>
      </c>
      <c r="P1461" t="s">
        <v>23</v>
      </c>
      <c r="Q1461" t="s">
        <v>24</v>
      </c>
      <c r="R1461" t="s">
        <v>5216</v>
      </c>
      <c r="S1461" t="s">
        <v>5217</v>
      </c>
      <c r="T1461" s="6">
        <v>46307</v>
      </c>
      <c r="U1461">
        <v>12</v>
      </c>
      <c r="V1461">
        <v>12</v>
      </c>
      <c r="W1461">
        <v>12</v>
      </c>
      <c r="X1461">
        <v>12</v>
      </c>
      <c r="Y1461">
        <f t="shared" si="223"/>
        <v>0</v>
      </c>
      <c r="AC1461" s="1">
        <v>12</v>
      </c>
      <c r="AF1461">
        <v>12</v>
      </c>
      <c r="AG1461" s="7">
        <v>12</v>
      </c>
      <c r="AH1461">
        <f t="shared" ref="AH1461:AH1481" si="226">ROUNDUP(AF1461/AG1461,0)*AG1461</f>
        <v>12</v>
      </c>
      <c r="AI1461">
        <f t="shared" si="222"/>
        <v>0</v>
      </c>
      <c r="AK1461">
        <f t="shared" si="224"/>
        <v>1</v>
      </c>
      <c r="AL1461">
        <v>13.85</v>
      </c>
      <c r="AM1461" t="s">
        <v>27</v>
      </c>
      <c r="AN1461">
        <v>13.85</v>
      </c>
      <c r="AO1461" t="b">
        <f t="shared" si="225"/>
        <v>1</v>
      </c>
      <c r="AR1461" t="s">
        <v>5061</v>
      </c>
      <c r="AS1461" s="21">
        <v>46284</v>
      </c>
      <c r="AT1461" t="s">
        <v>5062</v>
      </c>
      <c r="AU1461" t="s">
        <v>5072</v>
      </c>
      <c r="AV1461" t="s">
        <v>5062</v>
      </c>
      <c r="AW1461" t="s">
        <v>5311</v>
      </c>
    </row>
    <row r="1462" spans="1:49" x14ac:dyDescent="0.35">
      <c r="A1462" t="s">
        <v>5105</v>
      </c>
      <c r="B1462" t="s">
        <v>872</v>
      </c>
      <c r="C1462" t="s">
        <v>4818</v>
      </c>
      <c r="D1462" t="s">
        <v>18</v>
      </c>
      <c r="E1462" t="s">
        <v>2471</v>
      </c>
      <c r="F1462" t="s">
        <v>2472</v>
      </c>
      <c r="G1462" t="s">
        <v>21</v>
      </c>
      <c r="H1462" t="s">
        <v>4826</v>
      </c>
      <c r="I1462" t="s">
        <v>4976</v>
      </c>
      <c r="J1462" s="4" t="s">
        <v>4977</v>
      </c>
      <c r="K1462" s="4" t="s">
        <v>4837</v>
      </c>
      <c r="L1462" s="4" t="s">
        <v>4962</v>
      </c>
      <c r="M1462" s="4" t="s">
        <v>5035</v>
      </c>
      <c r="N1462" t="s">
        <v>15</v>
      </c>
      <c r="O1462" t="s">
        <v>2473</v>
      </c>
      <c r="P1462" t="s">
        <v>23</v>
      </c>
      <c r="Q1462" t="s">
        <v>24</v>
      </c>
      <c r="R1462" t="s">
        <v>5216</v>
      </c>
      <c r="S1462" t="s">
        <v>5217</v>
      </c>
      <c r="T1462" s="6">
        <v>46307</v>
      </c>
      <c r="U1462">
        <v>12</v>
      </c>
      <c r="V1462">
        <v>12</v>
      </c>
      <c r="W1462">
        <v>12</v>
      </c>
      <c r="X1462">
        <v>12</v>
      </c>
      <c r="Y1462">
        <f t="shared" si="223"/>
        <v>0</v>
      </c>
      <c r="AC1462" s="1">
        <v>12</v>
      </c>
      <c r="AF1462">
        <v>12</v>
      </c>
      <c r="AG1462" s="7">
        <v>12</v>
      </c>
      <c r="AH1462">
        <f t="shared" si="226"/>
        <v>12</v>
      </c>
      <c r="AI1462">
        <f t="shared" si="222"/>
        <v>0</v>
      </c>
      <c r="AK1462">
        <f t="shared" si="224"/>
        <v>1</v>
      </c>
      <c r="AL1462">
        <v>13.85</v>
      </c>
      <c r="AM1462" t="s">
        <v>27</v>
      </c>
      <c r="AN1462">
        <v>13.85</v>
      </c>
      <c r="AO1462" t="b">
        <f t="shared" si="225"/>
        <v>1</v>
      </c>
      <c r="AR1462" t="s">
        <v>5061</v>
      </c>
      <c r="AS1462" s="21">
        <v>46284</v>
      </c>
      <c r="AT1462" t="s">
        <v>5062</v>
      </c>
      <c r="AU1462" t="s">
        <v>5072</v>
      </c>
      <c r="AV1462" t="s">
        <v>5062</v>
      </c>
      <c r="AW1462" t="s">
        <v>5311</v>
      </c>
    </row>
    <row r="1463" spans="1:49" x14ac:dyDescent="0.35">
      <c r="A1463" t="s">
        <v>5105</v>
      </c>
      <c r="B1463" t="s">
        <v>872</v>
      </c>
      <c r="C1463" t="s">
        <v>4818</v>
      </c>
      <c r="D1463" t="s">
        <v>18</v>
      </c>
      <c r="E1463" t="s">
        <v>2480</v>
      </c>
      <c r="F1463" t="s">
        <v>2481</v>
      </c>
      <c r="G1463" t="s">
        <v>21</v>
      </c>
      <c r="H1463" t="s">
        <v>4826</v>
      </c>
      <c r="I1463" t="s">
        <v>4976</v>
      </c>
      <c r="J1463" s="4" t="s">
        <v>4977</v>
      </c>
      <c r="K1463" s="4" t="s">
        <v>4978</v>
      </c>
      <c r="L1463" s="4" t="s">
        <v>4946</v>
      </c>
      <c r="M1463" s="4" t="s">
        <v>5035</v>
      </c>
      <c r="N1463" t="s">
        <v>15</v>
      </c>
      <c r="O1463" t="s">
        <v>2482</v>
      </c>
      <c r="P1463" t="s">
        <v>23</v>
      </c>
      <c r="Q1463" t="s">
        <v>24</v>
      </c>
      <c r="R1463" t="s">
        <v>5216</v>
      </c>
      <c r="S1463" t="s">
        <v>5217</v>
      </c>
      <c r="T1463" s="6">
        <v>46307</v>
      </c>
      <c r="U1463">
        <v>12</v>
      </c>
      <c r="V1463">
        <v>12</v>
      </c>
      <c r="W1463">
        <v>12</v>
      </c>
      <c r="X1463">
        <v>12</v>
      </c>
      <c r="Y1463">
        <f t="shared" si="223"/>
        <v>0</v>
      </c>
      <c r="AC1463" s="1">
        <v>12</v>
      </c>
      <c r="AF1463">
        <v>12</v>
      </c>
      <c r="AG1463" s="7">
        <v>12</v>
      </c>
      <c r="AH1463">
        <f t="shared" si="226"/>
        <v>12</v>
      </c>
      <c r="AI1463">
        <f t="shared" si="222"/>
        <v>0</v>
      </c>
      <c r="AK1463">
        <f t="shared" si="224"/>
        <v>1</v>
      </c>
      <c r="AL1463">
        <v>13.85</v>
      </c>
      <c r="AM1463" t="s">
        <v>27</v>
      </c>
      <c r="AN1463">
        <v>13.85</v>
      </c>
      <c r="AO1463" t="b">
        <f t="shared" si="225"/>
        <v>1</v>
      </c>
      <c r="AR1463" t="s">
        <v>5061</v>
      </c>
      <c r="AS1463" s="21">
        <v>46284</v>
      </c>
      <c r="AT1463" t="s">
        <v>5062</v>
      </c>
      <c r="AU1463" t="s">
        <v>5072</v>
      </c>
      <c r="AV1463" t="s">
        <v>5062</v>
      </c>
      <c r="AW1463" t="s">
        <v>5311</v>
      </c>
    </row>
    <row r="1464" spans="1:49" x14ac:dyDescent="0.35">
      <c r="A1464" t="s">
        <v>5105</v>
      </c>
      <c r="B1464" t="s">
        <v>872</v>
      </c>
      <c r="C1464" t="s">
        <v>4818</v>
      </c>
      <c r="D1464" t="s">
        <v>18</v>
      </c>
      <c r="E1464" t="s">
        <v>5194</v>
      </c>
      <c r="F1464" t="s">
        <v>5195</v>
      </c>
      <c r="G1464" t="s">
        <v>21</v>
      </c>
      <c r="H1464" t="s">
        <v>4826</v>
      </c>
      <c r="I1464" t="s">
        <v>4976</v>
      </c>
      <c r="J1464" s="4" t="s">
        <v>4977</v>
      </c>
      <c r="K1464" s="4" t="s">
        <v>4957</v>
      </c>
      <c r="L1464" s="4" t="s">
        <v>4963</v>
      </c>
      <c r="M1464" s="4" t="s">
        <v>5035</v>
      </c>
      <c r="N1464" t="s">
        <v>15</v>
      </c>
      <c r="O1464" t="s">
        <v>5300</v>
      </c>
      <c r="P1464" t="s">
        <v>23</v>
      </c>
      <c r="Q1464" t="s">
        <v>24</v>
      </c>
      <c r="R1464" t="s">
        <v>5216</v>
      </c>
      <c r="S1464" t="s">
        <v>5217</v>
      </c>
      <c r="T1464" s="6">
        <v>46307</v>
      </c>
      <c r="U1464">
        <v>24</v>
      </c>
      <c r="V1464">
        <v>24</v>
      </c>
      <c r="W1464">
        <v>24</v>
      </c>
      <c r="X1464">
        <v>24</v>
      </c>
      <c r="Y1464">
        <f t="shared" si="223"/>
        <v>0</v>
      </c>
      <c r="AC1464" s="1">
        <v>24</v>
      </c>
      <c r="AF1464">
        <v>24</v>
      </c>
      <c r="AG1464" s="7">
        <v>12</v>
      </c>
      <c r="AH1464">
        <f t="shared" si="226"/>
        <v>24</v>
      </c>
      <c r="AI1464">
        <f t="shared" si="222"/>
        <v>0</v>
      </c>
      <c r="AK1464">
        <f t="shared" si="224"/>
        <v>2</v>
      </c>
      <c r="AL1464">
        <v>13.85</v>
      </c>
      <c r="AM1464" t="s">
        <v>27</v>
      </c>
      <c r="AN1464">
        <v>13.85</v>
      </c>
      <c r="AO1464" t="b">
        <f t="shared" si="225"/>
        <v>1</v>
      </c>
      <c r="AR1464" t="s">
        <v>5061</v>
      </c>
      <c r="AS1464" s="21">
        <v>46284</v>
      </c>
      <c r="AT1464" t="s">
        <v>5062</v>
      </c>
      <c r="AU1464" t="s">
        <v>5072</v>
      </c>
      <c r="AV1464" t="s">
        <v>5062</v>
      </c>
      <c r="AW1464" t="s">
        <v>5311</v>
      </c>
    </row>
    <row r="1465" spans="1:49" x14ac:dyDescent="0.35">
      <c r="A1465" t="s">
        <v>5105</v>
      </c>
      <c r="B1465" t="s">
        <v>872</v>
      </c>
      <c r="C1465" t="s">
        <v>4818</v>
      </c>
      <c r="D1465" t="s">
        <v>18</v>
      </c>
      <c r="E1465" t="s">
        <v>5196</v>
      </c>
      <c r="F1465" t="s">
        <v>5197</v>
      </c>
      <c r="G1465" t="s">
        <v>21</v>
      </c>
      <c r="H1465" t="s">
        <v>4826</v>
      </c>
      <c r="I1465" t="s">
        <v>4976</v>
      </c>
      <c r="J1465" s="4" t="s">
        <v>4977</v>
      </c>
      <c r="K1465" s="4" t="s">
        <v>4957</v>
      </c>
      <c r="L1465" s="4" t="s">
        <v>4967</v>
      </c>
      <c r="M1465" s="4" t="s">
        <v>5035</v>
      </c>
      <c r="N1465" t="s">
        <v>15</v>
      </c>
      <c r="O1465" t="s">
        <v>5301</v>
      </c>
      <c r="P1465" t="s">
        <v>23</v>
      </c>
      <c r="Q1465" t="s">
        <v>24</v>
      </c>
      <c r="R1465" t="s">
        <v>5216</v>
      </c>
      <c r="S1465" t="s">
        <v>5217</v>
      </c>
      <c r="T1465" s="6">
        <v>46307</v>
      </c>
      <c r="U1465">
        <v>24</v>
      </c>
      <c r="V1465">
        <v>24</v>
      </c>
      <c r="W1465">
        <v>24</v>
      </c>
      <c r="X1465">
        <v>24</v>
      </c>
      <c r="Y1465">
        <f t="shared" si="223"/>
        <v>0</v>
      </c>
      <c r="AC1465" s="1">
        <v>24</v>
      </c>
      <c r="AF1465">
        <v>24</v>
      </c>
      <c r="AG1465" s="7">
        <v>12</v>
      </c>
      <c r="AH1465">
        <f t="shared" si="226"/>
        <v>24</v>
      </c>
      <c r="AI1465">
        <f t="shared" si="222"/>
        <v>0</v>
      </c>
      <c r="AK1465">
        <f t="shared" si="224"/>
        <v>2</v>
      </c>
      <c r="AL1465">
        <v>13.85</v>
      </c>
      <c r="AM1465" t="s">
        <v>27</v>
      </c>
      <c r="AN1465">
        <v>13.85</v>
      </c>
      <c r="AO1465" t="b">
        <f t="shared" si="225"/>
        <v>1</v>
      </c>
      <c r="AR1465" t="s">
        <v>5061</v>
      </c>
      <c r="AS1465" s="21">
        <v>46284</v>
      </c>
      <c r="AT1465" t="s">
        <v>5062</v>
      </c>
      <c r="AU1465" t="s">
        <v>5072</v>
      </c>
      <c r="AV1465" t="s">
        <v>5062</v>
      </c>
      <c r="AW1465" t="s">
        <v>5311</v>
      </c>
    </row>
    <row r="1466" spans="1:49" x14ac:dyDescent="0.35">
      <c r="A1466" t="s">
        <v>5105</v>
      </c>
      <c r="B1466" t="s">
        <v>872</v>
      </c>
      <c r="C1466" t="s">
        <v>4818</v>
      </c>
      <c r="D1466" t="s">
        <v>18</v>
      </c>
      <c r="E1466" t="s">
        <v>2507</v>
      </c>
      <c r="F1466" t="s">
        <v>2508</v>
      </c>
      <c r="G1466" t="s">
        <v>21</v>
      </c>
      <c r="H1466" t="s">
        <v>4826</v>
      </c>
      <c r="I1466" t="s">
        <v>4976</v>
      </c>
      <c r="J1466" s="4" t="s">
        <v>4977</v>
      </c>
      <c r="K1466" s="4" t="s">
        <v>4978</v>
      </c>
      <c r="L1466" s="4" t="s">
        <v>4944</v>
      </c>
      <c r="M1466" s="4" t="s">
        <v>5035</v>
      </c>
      <c r="N1466" t="s">
        <v>15</v>
      </c>
      <c r="O1466" t="s">
        <v>2509</v>
      </c>
      <c r="P1466" t="s">
        <v>23</v>
      </c>
      <c r="Q1466" t="s">
        <v>24</v>
      </c>
      <c r="R1466" t="s">
        <v>5216</v>
      </c>
      <c r="S1466" t="s">
        <v>5217</v>
      </c>
      <c r="T1466" s="6">
        <v>46307</v>
      </c>
      <c r="U1466">
        <v>12</v>
      </c>
      <c r="V1466">
        <v>12</v>
      </c>
      <c r="W1466">
        <v>12</v>
      </c>
      <c r="X1466">
        <v>12</v>
      </c>
      <c r="Y1466">
        <f t="shared" si="223"/>
        <v>0</v>
      </c>
      <c r="AC1466" s="1">
        <v>12</v>
      </c>
      <c r="AF1466">
        <v>12</v>
      </c>
      <c r="AG1466" s="7">
        <v>12</v>
      </c>
      <c r="AH1466">
        <f t="shared" si="226"/>
        <v>12</v>
      </c>
      <c r="AI1466">
        <f t="shared" si="222"/>
        <v>0</v>
      </c>
      <c r="AK1466">
        <f t="shared" si="224"/>
        <v>1</v>
      </c>
      <c r="AL1466">
        <v>13.85</v>
      </c>
      <c r="AM1466" t="s">
        <v>27</v>
      </c>
      <c r="AN1466">
        <v>13.85</v>
      </c>
      <c r="AO1466" t="b">
        <f t="shared" si="225"/>
        <v>1</v>
      </c>
      <c r="AR1466" t="s">
        <v>5061</v>
      </c>
      <c r="AS1466" s="21">
        <v>46284</v>
      </c>
      <c r="AT1466" t="s">
        <v>5062</v>
      </c>
      <c r="AU1466" t="s">
        <v>5072</v>
      </c>
      <c r="AV1466" t="s">
        <v>5062</v>
      </c>
      <c r="AW1466" t="s">
        <v>5311</v>
      </c>
    </row>
    <row r="1467" spans="1:49" x14ac:dyDescent="0.35">
      <c r="A1467" t="s">
        <v>5105</v>
      </c>
      <c r="B1467" t="s">
        <v>872</v>
      </c>
      <c r="C1467" t="s">
        <v>4818</v>
      </c>
      <c r="D1467" t="s">
        <v>18</v>
      </c>
      <c r="E1467" t="s">
        <v>5198</v>
      </c>
      <c r="F1467" t="s">
        <v>5199</v>
      </c>
      <c r="G1467" t="s">
        <v>21</v>
      </c>
      <c r="H1467" t="s">
        <v>4826</v>
      </c>
      <c r="I1467" t="s">
        <v>4976</v>
      </c>
      <c r="J1467" s="4" t="s">
        <v>4977</v>
      </c>
      <c r="K1467" s="4" t="s">
        <v>4957</v>
      </c>
      <c r="L1467" s="4" t="s">
        <v>4943</v>
      </c>
      <c r="M1467" s="4" t="s">
        <v>5035</v>
      </c>
      <c r="N1467" t="s">
        <v>15</v>
      </c>
      <c r="O1467" t="s">
        <v>5302</v>
      </c>
      <c r="P1467" t="s">
        <v>23</v>
      </c>
      <c r="Q1467" t="s">
        <v>24</v>
      </c>
      <c r="R1467" t="s">
        <v>5216</v>
      </c>
      <c r="S1467" t="s">
        <v>5217</v>
      </c>
      <c r="T1467" s="6">
        <v>46307</v>
      </c>
      <c r="U1467">
        <v>12</v>
      </c>
      <c r="V1467">
        <v>12</v>
      </c>
      <c r="W1467">
        <v>12</v>
      </c>
      <c r="X1467">
        <v>12</v>
      </c>
      <c r="Y1467">
        <f t="shared" si="223"/>
        <v>0</v>
      </c>
      <c r="AC1467" s="1">
        <v>12</v>
      </c>
      <c r="AF1467">
        <v>12</v>
      </c>
      <c r="AG1467" s="7">
        <v>12</v>
      </c>
      <c r="AH1467">
        <f t="shared" si="226"/>
        <v>12</v>
      </c>
      <c r="AI1467">
        <f t="shared" si="222"/>
        <v>0</v>
      </c>
      <c r="AK1467">
        <f t="shared" si="224"/>
        <v>1</v>
      </c>
      <c r="AL1467">
        <v>13.85</v>
      </c>
      <c r="AM1467" t="s">
        <v>27</v>
      </c>
      <c r="AN1467">
        <v>13.85</v>
      </c>
      <c r="AO1467" t="b">
        <f t="shared" si="225"/>
        <v>1</v>
      </c>
      <c r="AR1467" t="s">
        <v>5061</v>
      </c>
      <c r="AS1467" s="21">
        <v>46284</v>
      </c>
      <c r="AT1467" t="s">
        <v>5062</v>
      </c>
      <c r="AU1467" t="s">
        <v>5072</v>
      </c>
      <c r="AV1467" t="s">
        <v>5062</v>
      </c>
      <c r="AW1467" t="s">
        <v>5311</v>
      </c>
    </row>
    <row r="1468" spans="1:49" x14ac:dyDescent="0.35">
      <c r="A1468" t="s">
        <v>5105</v>
      </c>
      <c r="B1468" t="s">
        <v>872</v>
      </c>
      <c r="C1468" t="s">
        <v>4818</v>
      </c>
      <c r="D1468" t="s">
        <v>18</v>
      </c>
      <c r="E1468" t="s">
        <v>5200</v>
      </c>
      <c r="F1468" t="s">
        <v>5201</v>
      </c>
      <c r="G1468" t="s">
        <v>21</v>
      </c>
      <c r="H1468" t="s">
        <v>4826</v>
      </c>
      <c r="I1468" t="s">
        <v>4976</v>
      </c>
      <c r="J1468" s="4" t="s">
        <v>4977</v>
      </c>
      <c r="K1468" s="4" t="s">
        <v>4957</v>
      </c>
      <c r="L1468" s="4" t="s">
        <v>4969</v>
      </c>
      <c r="M1468" s="4" t="s">
        <v>5035</v>
      </c>
      <c r="N1468" t="s">
        <v>15</v>
      </c>
      <c r="O1468" t="s">
        <v>5303</v>
      </c>
      <c r="P1468" t="s">
        <v>23</v>
      </c>
      <c r="Q1468" t="s">
        <v>24</v>
      </c>
      <c r="R1468" t="s">
        <v>5216</v>
      </c>
      <c r="S1468" t="s">
        <v>5217</v>
      </c>
      <c r="T1468" s="6">
        <v>46307</v>
      </c>
      <c r="U1468">
        <v>12</v>
      </c>
      <c r="V1468">
        <v>12</v>
      </c>
      <c r="W1468">
        <v>12</v>
      </c>
      <c r="X1468">
        <v>12</v>
      </c>
      <c r="Y1468">
        <f t="shared" si="223"/>
        <v>0</v>
      </c>
      <c r="AC1468" s="1">
        <v>12</v>
      </c>
      <c r="AF1468">
        <v>12</v>
      </c>
      <c r="AG1468" s="7">
        <v>12</v>
      </c>
      <c r="AH1468">
        <f t="shared" si="226"/>
        <v>12</v>
      </c>
      <c r="AI1468">
        <f t="shared" si="222"/>
        <v>0</v>
      </c>
      <c r="AK1468">
        <f t="shared" si="224"/>
        <v>1</v>
      </c>
      <c r="AL1468">
        <v>13.85</v>
      </c>
      <c r="AM1468" t="s">
        <v>27</v>
      </c>
      <c r="AN1468">
        <v>13.85</v>
      </c>
      <c r="AO1468" t="b">
        <f t="shared" si="225"/>
        <v>1</v>
      </c>
      <c r="AR1468" t="s">
        <v>5061</v>
      </c>
      <c r="AS1468" s="21">
        <v>46284</v>
      </c>
      <c r="AT1468" t="s">
        <v>5062</v>
      </c>
      <c r="AU1468" t="s">
        <v>5072</v>
      </c>
      <c r="AV1468" t="s">
        <v>5062</v>
      </c>
      <c r="AW1468" t="s">
        <v>5311</v>
      </c>
    </row>
    <row r="1469" spans="1:49" x14ac:dyDescent="0.35">
      <c r="A1469" t="s">
        <v>5105</v>
      </c>
      <c r="B1469" t="s">
        <v>872</v>
      </c>
      <c r="C1469" t="s">
        <v>4818</v>
      </c>
      <c r="D1469" t="s">
        <v>18</v>
      </c>
      <c r="E1469" t="s">
        <v>5202</v>
      </c>
      <c r="F1469" t="s">
        <v>5203</v>
      </c>
      <c r="G1469" t="s">
        <v>21</v>
      </c>
      <c r="H1469" t="s">
        <v>4826</v>
      </c>
      <c r="I1469" t="s">
        <v>4976</v>
      </c>
      <c r="J1469" s="4" t="s">
        <v>4977</v>
      </c>
      <c r="K1469" s="4" t="s">
        <v>4957</v>
      </c>
      <c r="L1469" s="4" t="s">
        <v>4961</v>
      </c>
      <c r="M1469" s="4" t="s">
        <v>5035</v>
      </c>
      <c r="N1469" t="s">
        <v>15</v>
      </c>
      <c r="O1469" t="s">
        <v>5304</v>
      </c>
      <c r="P1469" t="s">
        <v>23</v>
      </c>
      <c r="Q1469" t="s">
        <v>24</v>
      </c>
      <c r="R1469" t="s">
        <v>5216</v>
      </c>
      <c r="S1469" t="s">
        <v>5217</v>
      </c>
      <c r="T1469" s="6">
        <v>46307</v>
      </c>
      <c r="U1469">
        <v>96</v>
      </c>
      <c r="V1469">
        <v>96</v>
      </c>
      <c r="W1469">
        <v>108</v>
      </c>
      <c r="X1469">
        <v>108</v>
      </c>
      <c r="Y1469">
        <f t="shared" si="223"/>
        <v>0</v>
      </c>
      <c r="AC1469" s="1">
        <v>96</v>
      </c>
      <c r="AF1469">
        <v>96</v>
      </c>
      <c r="AG1469" s="7">
        <v>12</v>
      </c>
      <c r="AH1469">
        <f t="shared" si="226"/>
        <v>96</v>
      </c>
      <c r="AI1469">
        <f t="shared" si="222"/>
        <v>0</v>
      </c>
      <c r="AK1469">
        <f t="shared" si="224"/>
        <v>8</v>
      </c>
      <c r="AL1469">
        <v>13.85</v>
      </c>
      <c r="AM1469" t="s">
        <v>27</v>
      </c>
      <c r="AN1469">
        <v>13.85</v>
      </c>
      <c r="AO1469" t="b">
        <f t="shared" si="225"/>
        <v>1</v>
      </c>
      <c r="AR1469" t="s">
        <v>5061</v>
      </c>
      <c r="AS1469" s="21">
        <v>46284</v>
      </c>
      <c r="AT1469" t="s">
        <v>5062</v>
      </c>
      <c r="AU1469" t="s">
        <v>5072</v>
      </c>
      <c r="AV1469" t="s">
        <v>5062</v>
      </c>
      <c r="AW1469" t="s">
        <v>5311</v>
      </c>
    </row>
    <row r="1470" spans="1:49" x14ac:dyDescent="0.35">
      <c r="A1470" t="s">
        <v>5105</v>
      </c>
      <c r="B1470" t="s">
        <v>872</v>
      </c>
      <c r="C1470" t="s">
        <v>4818</v>
      </c>
      <c r="D1470" t="s">
        <v>18</v>
      </c>
      <c r="E1470" t="s">
        <v>5204</v>
      </c>
      <c r="F1470" t="s">
        <v>5205</v>
      </c>
      <c r="G1470" t="s">
        <v>21</v>
      </c>
      <c r="H1470" t="s">
        <v>4826</v>
      </c>
      <c r="I1470" t="s">
        <v>4976</v>
      </c>
      <c r="J1470" s="4" t="s">
        <v>4977</v>
      </c>
      <c r="K1470" s="4" t="s">
        <v>4837</v>
      </c>
      <c r="L1470" s="4" t="s">
        <v>4951</v>
      </c>
      <c r="M1470" s="4" t="s">
        <v>5035</v>
      </c>
      <c r="N1470" t="s">
        <v>15</v>
      </c>
      <c r="O1470" t="s">
        <v>5305</v>
      </c>
      <c r="P1470" t="s">
        <v>23</v>
      </c>
      <c r="Q1470" t="s">
        <v>24</v>
      </c>
      <c r="R1470" t="s">
        <v>5216</v>
      </c>
      <c r="S1470" t="s">
        <v>5217</v>
      </c>
      <c r="T1470" s="6">
        <v>46307</v>
      </c>
      <c r="U1470">
        <v>216</v>
      </c>
      <c r="V1470">
        <v>216</v>
      </c>
      <c r="W1470">
        <v>240</v>
      </c>
      <c r="X1470">
        <v>240</v>
      </c>
      <c r="Y1470">
        <f t="shared" si="223"/>
        <v>0</v>
      </c>
      <c r="AC1470" s="1">
        <v>216</v>
      </c>
      <c r="AF1470">
        <v>216</v>
      </c>
      <c r="AG1470" s="7">
        <v>12</v>
      </c>
      <c r="AH1470">
        <f t="shared" si="226"/>
        <v>216</v>
      </c>
      <c r="AI1470">
        <f t="shared" si="222"/>
        <v>0</v>
      </c>
      <c r="AK1470">
        <f t="shared" si="224"/>
        <v>18</v>
      </c>
      <c r="AL1470">
        <v>13.85</v>
      </c>
      <c r="AM1470" t="s">
        <v>27</v>
      </c>
      <c r="AN1470">
        <v>13.85</v>
      </c>
      <c r="AO1470" t="b">
        <f t="shared" si="225"/>
        <v>1</v>
      </c>
      <c r="AR1470" t="s">
        <v>5061</v>
      </c>
      <c r="AS1470" s="21">
        <v>46284</v>
      </c>
      <c r="AT1470" t="s">
        <v>5062</v>
      </c>
      <c r="AU1470" t="s">
        <v>5072</v>
      </c>
      <c r="AV1470" t="s">
        <v>5062</v>
      </c>
      <c r="AW1470" t="s">
        <v>5311</v>
      </c>
    </row>
    <row r="1471" spans="1:49" x14ac:dyDescent="0.35">
      <c r="A1471" t="s">
        <v>5105</v>
      </c>
      <c r="B1471" t="s">
        <v>872</v>
      </c>
      <c r="C1471" t="s">
        <v>4818</v>
      </c>
      <c r="D1471" t="s">
        <v>18</v>
      </c>
      <c r="E1471" t="s">
        <v>5206</v>
      </c>
      <c r="F1471" t="s">
        <v>5207</v>
      </c>
      <c r="G1471" t="s">
        <v>21</v>
      </c>
      <c r="H1471" t="s">
        <v>4826</v>
      </c>
      <c r="I1471" t="s">
        <v>4976</v>
      </c>
      <c r="J1471" s="4" t="s">
        <v>4977</v>
      </c>
      <c r="K1471" s="4" t="s">
        <v>4831</v>
      </c>
      <c r="L1471" s="4" t="s">
        <v>4952</v>
      </c>
      <c r="M1471" s="4" t="s">
        <v>5035</v>
      </c>
      <c r="N1471" t="s">
        <v>15</v>
      </c>
      <c r="O1471" t="s">
        <v>5306</v>
      </c>
      <c r="P1471" t="s">
        <v>23</v>
      </c>
      <c r="Q1471" t="s">
        <v>24</v>
      </c>
      <c r="R1471" t="s">
        <v>5216</v>
      </c>
      <c r="S1471" t="s">
        <v>5217</v>
      </c>
      <c r="T1471" s="6">
        <v>46307</v>
      </c>
      <c r="U1471">
        <v>24</v>
      </c>
      <c r="V1471">
        <v>24</v>
      </c>
      <c r="W1471">
        <v>24</v>
      </c>
      <c r="X1471">
        <v>24</v>
      </c>
      <c r="Y1471">
        <f t="shared" si="223"/>
        <v>0</v>
      </c>
      <c r="AC1471" s="1">
        <v>24</v>
      </c>
      <c r="AF1471">
        <v>24</v>
      </c>
      <c r="AG1471" s="7">
        <v>12</v>
      </c>
      <c r="AH1471">
        <f t="shared" si="226"/>
        <v>24</v>
      </c>
      <c r="AI1471">
        <f t="shared" si="222"/>
        <v>0</v>
      </c>
      <c r="AK1471">
        <f t="shared" si="224"/>
        <v>2</v>
      </c>
      <c r="AL1471">
        <v>13.85</v>
      </c>
      <c r="AM1471" t="s">
        <v>27</v>
      </c>
      <c r="AN1471">
        <v>13.85</v>
      </c>
      <c r="AO1471" t="b">
        <f t="shared" si="225"/>
        <v>1</v>
      </c>
      <c r="AR1471" t="s">
        <v>5061</v>
      </c>
      <c r="AS1471" s="21">
        <v>46284</v>
      </c>
      <c r="AT1471" t="s">
        <v>5062</v>
      </c>
      <c r="AU1471" t="s">
        <v>5072</v>
      </c>
      <c r="AV1471" t="s">
        <v>5062</v>
      </c>
      <c r="AW1471" t="s">
        <v>5311</v>
      </c>
    </row>
    <row r="1472" spans="1:49" x14ac:dyDescent="0.35">
      <c r="A1472" t="s">
        <v>5105</v>
      </c>
      <c r="B1472" t="s">
        <v>872</v>
      </c>
      <c r="C1472" t="s">
        <v>4818</v>
      </c>
      <c r="D1472" t="s">
        <v>18</v>
      </c>
      <c r="E1472" t="s">
        <v>5208</v>
      </c>
      <c r="F1472" t="s">
        <v>5209</v>
      </c>
      <c r="G1472" t="s">
        <v>21</v>
      </c>
      <c r="H1472" t="s">
        <v>4826</v>
      </c>
      <c r="I1472" t="s">
        <v>4976</v>
      </c>
      <c r="J1472" s="4" t="s">
        <v>4977</v>
      </c>
      <c r="K1472" s="4" t="s">
        <v>4837</v>
      </c>
      <c r="L1472" s="4" t="s">
        <v>4958</v>
      </c>
      <c r="M1472" s="4" t="s">
        <v>5035</v>
      </c>
      <c r="N1472" t="s">
        <v>15</v>
      </c>
      <c r="O1472" t="s">
        <v>5307</v>
      </c>
      <c r="P1472" t="s">
        <v>23</v>
      </c>
      <c r="Q1472" t="s">
        <v>24</v>
      </c>
      <c r="R1472" t="s">
        <v>5216</v>
      </c>
      <c r="S1472" t="s">
        <v>5217</v>
      </c>
      <c r="T1472" s="6">
        <v>46307</v>
      </c>
      <c r="U1472">
        <v>300</v>
      </c>
      <c r="V1472">
        <v>300</v>
      </c>
      <c r="W1472">
        <v>324</v>
      </c>
      <c r="X1472">
        <v>324</v>
      </c>
      <c r="Y1472">
        <f t="shared" si="223"/>
        <v>0</v>
      </c>
      <c r="AC1472" s="1">
        <v>300</v>
      </c>
      <c r="AF1472">
        <v>300</v>
      </c>
      <c r="AG1472" s="7">
        <v>12</v>
      </c>
      <c r="AH1472">
        <f t="shared" si="226"/>
        <v>300</v>
      </c>
      <c r="AI1472">
        <f t="shared" si="222"/>
        <v>0</v>
      </c>
      <c r="AK1472">
        <f t="shared" si="224"/>
        <v>25</v>
      </c>
      <c r="AL1472">
        <v>13.85</v>
      </c>
      <c r="AM1472" t="s">
        <v>27</v>
      </c>
      <c r="AN1472">
        <v>13.85</v>
      </c>
      <c r="AO1472" t="b">
        <f t="shared" si="225"/>
        <v>1</v>
      </c>
      <c r="AR1472" t="s">
        <v>5061</v>
      </c>
      <c r="AS1472" s="21">
        <v>46284</v>
      </c>
      <c r="AT1472" t="s">
        <v>5062</v>
      </c>
      <c r="AU1472" t="s">
        <v>5072</v>
      </c>
      <c r="AV1472" t="s">
        <v>5062</v>
      </c>
      <c r="AW1472" t="s">
        <v>5311</v>
      </c>
    </row>
    <row r="1473" spans="1:49" x14ac:dyDescent="0.35">
      <c r="A1473" t="s">
        <v>5105</v>
      </c>
      <c r="B1473" t="s">
        <v>872</v>
      </c>
      <c r="C1473" t="s">
        <v>4818</v>
      </c>
      <c r="D1473" t="s">
        <v>18</v>
      </c>
      <c r="E1473" t="s">
        <v>2627</v>
      </c>
      <c r="F1473" t="s">
        <v>2628</v>
      </c>
      <c r="G1473" t="s">
        <v>21</v>
      </c>
      <c r="H1473" t="s">
        <v>4826</v>
      </c>
      <c r="I1473" t="s">
        <v>4976</v>
      </c>
      <c r="J1473" s="4" t="s">
        <v>4977</v>
      </c>
      <c r="K1473" s="4" t="s">
        <v>4837</v>
      </c>
      <c r="L1473" s="4" t="s">
        <v>4940</v>
      </c>
      <c r="M1473" s="4" t="s">
        <v>5035</v>
      </c>
      <c r="N1473" t="s">
        <v>15</v>
      </c>
      <c r="O1473" t="s">
        <v>2629</v>
      </c>
      <c r="P1473" t="s">
        <v>23</v>
      </c>
      <c r="Q1473" t="s">
        <v>24</v>
      </c>
      <c r="R1473" t="s">
        <v>5216</v>
      </c>
      <c r="S1473" t="s">
        <v>5217</v>
      </c>
      <c r="T1473" s="6">
        <v>46307</v>
      </c>
      <c r="U1473">
        <v>12</v>
      </c>
      <c r="V1473">
        <v>12</v>
      </c>
      <c r="W1473">
        <v>12</v>
      </c>
      <c r="X1473">
        <v>12</v>
      </c>
      <c r="Y1473">
        <f t="shared" si="223"/>
        <v>0</v>
      </c>
      <c r="AC1473" s="1">
        <v>12</v>
      </c>
      <c r="AF1473">
        <v>12</v>
      </c>
      <c r="AG1473" s="7">
        <v>12</v>
      </c>
      <c r="AH1473">
        <f t="shared" si="226"/>
        <v>12</v>
      </c>
      <c r="AI1473">
        <f t="shared" si="222"/>
        <v>0</v>
      </c>
      <c r="AK1473">
        <f t="shared" si="224"/>
        <v>1</v>
      </c>
      <c r="AL1473">
        <v>13.85</v>
      </c>
      <c r="AM1473" t="s">
        <v>27</v>
      </c>
      <c r="AN1473">
        <v>13.85</v>
      </c>
      <c r="AO1473" t="b">
        <f t="shared" si="225"/>
        <v>1</v>
      </c>
      <c r="AR1473" t="s">
        <v>5061</v>
      </c>
      <c r="AS1473" s="21">
        <v>46284</v>
      </c>
      <c r="AT1473" t="s">
        <v>5062</v>
      </c>
      <c r="AU1473" t="s">
        <v>5072</v>
      </c>
      <c r="AV1473" t="s">
        <v>5062</v>
      </c>
      <c r="AW1473" t="s">
        <v>5311</v>
      </c>
    </row>
    <row r="1474" spans="1:49" x14ac:dyDescent="0.35">
      <c r="A1474" t="s">
        <v>5105</v>
      </c>
      <c r="B1474" t="s">
        <v>872</v>
      </c>
      <c r="C1474" t="s">
        <v>4818</v>
      </c>
      <c r="D1474" t="s">
        <v>18</v>
      </c>
      <c r="E1474" t="s">
        <v>5210</v>
      </c>
      <c r="F1474" t="s">
        <v>5211</v>
      </c>
      <c r="G1474" t="s">
        <v>21</v>
      </c>
      <c r="H1474" t="s">
        <v>4826</v>
      </c>
      <c r="I1474" t="s">
        <v>4976</v>
      </c>
      <c r="J1474" s="4" t="s">
        <v>4977</v>
      </c>
      <c r="K1474" s="4" t="s">
        <v>4831</v>
      </c>
      <c r="L1474" s="4" t="s">
        <v>4962</v>
      </c>
      <c r="M1474" s="4" t="s">
        <v>5035</v>
      </c>
      <c r="N1474" t="s">
        <v>15</v>
      </c>
      <c r="O1474" t="s">
        <v>5308</v>
      </c>
      <c r="P1474" t="s">
        <v>23</v>
      </c>
      <c r="Q1474" t="s">
        <v>24</v>
      </c>
      <c r="R1474" t="s">
        <v>5216</v>
      </c>
      <c r="S1474" t="s">
        <v>5217</v>
      </c>
      <c r="T1474" s="6">
        <v>46307</v>
      </c>
      <c r="U1474">
        <v>12</v>
      </c>
      <c r="V1474">
        <v>12</v>
      </c>
      <c r="W1474">
        <v>12</v>
      </c>
      <c r="X1474">
        <v>12</v>
      </c>
      <c r="Y1474">
        <f t="shared" si="223"/>
        <v>0</v>
      </c>
      <c r="AC1474" s="1">
        <v>12</v>
      </c>
      <c r="AF1474">
        <v>12</v>
      </c>
      <c r="AG1474" s="7">
        <v>12</v>
      </c>
      <c r="AH1474">
        <f t="shared" si="226"/>
        <v>12</v>
      </c>
      <c r="AI1474">
        <f t="shared" si="222"/>
        <v>0</v>
      </c>
      <c r="AK1474">
        <f t="shared" si="224"/>
        <v>1</v>
      </c>
      <c r="AL1474">
        <v>13.85</v>
      </c>
      <c r="AM1474" t="s">
        <v>27</v>
      </c>
      <c r="AN1474">
        <v>13.85</v>
      </c>
      <c r="AO1474" t="b">
        <f t="shared" si="225"/>
        <v>1</v>
      </c>
      <c r="AR1474" t="s">
        <v>5061</v>
      </c>
      <c r="AS1474" s="21">
        <v>46284</v>
      </c>
      <c r="AT1474" t="s">
        <v>5062</v>
      </c>
      <c r="AU1474" t="s">
        <v>5072</v>
      </c>
      <c r="AV1474" t="s">
        <v>5062</v>
      </c>
      <c r="AW1474" t="s">
        <v>5311</v>
      </c>
    </row>
    <row r="1475" spans="1:49" x14ac:dyDescent="0.35">
      <c r="A1475" t="s">
        <v>5105</v>
      </c>
      <c r="B1475" t="s">
        <v>872</v>
      </c>
      <c r="C1475" t="s">
        <v>4818</v>
      </c>
      <c r="D1475" t="s">
        <v>18</v>
      </c>
      <c r="E1475" t="s">
        <v>5212</v>
      </c>
      <c r="F1475" t="s">
        <v>5213</v>
      </c>
      <c r="G1475" t="s">
        <v>21</v>
      </c>
      <c r="H1475" t="s">
        <v>4826</v>
      </c>
      <c r="I1475" t="s">
        <v>4976</v>
      </c>
      <c r="J1475" s="4" t="s">
        <v>4977</v>
      </c>
      <c r="K1475" s="4" t="s">
        <v>4831</v>
      </c>
      <c r="L1475" s="4" t="s">
        <v>4964</v>
      </c>
      <c r="M1475" s="4" t="s">
        <v>5035</v>
      </c>
      <c r="N1475" t="s">
        <v>15</v>
      </c>
      <c r="O1475" t="s">
        <v>5309</v>
      </c>
      <c r="P1475" t="s">
        <v>23</v>
      </c>
      <c r="Q1475" t="s">
        <v>24</v>
      </c>
      <c r="R1475" t="s">
        <v>5216</v>
      </c>
      <c r="S1475" t="s">
        <v>5217</v>
      </c>
      <c r="T1475" s="6">
        <v>46307</v>
      </c>
      <c r="U1475">
        <v>24</v>
      </c>
      <c r="V1475">
        <v>24</v>
      </c>
      <c r="W1475">
        <v>24</v>
      </c>
      <c r="X1475">
        <v>24</v>
      </c>
      <c r="Y1475">
        <f t="shared" si="223"/>
        <v>0</v>
      </c>
      <c r="AC1475" s="1">
        <v>24</v>
      </c>
      <c r="AF1475">
        <v>24</v>
      </c>
      <c r="AG1475" s="7">
        <v>12</v>
      </c>
      <c r="AH1475">
        <f t="shared" si="226"/>
        <v>24</v>
      </c>
      <c r="AI1475">
        <f t="shared" ref="AI1475:AI1538" si="227">V1475-AH1475</f>
        <v>0</v>
      </c>
      <c r="AK1475">
        <f t="shared" si="224"/>
        <v>2</v>
      </c>
      <c r="AL1475">
        <v>13.85</v>
      </c>
      <c r="AM1475" t="s">
        <v>27</v>
      </c>
      <c r="AN1475">
        <v>13.85</v>
      </c>
      <c r="AO1475" t="b">
        <f t="shared" si="225"/>
        <v>1</v>
      </c>
      <c r="AR1475" t="s">
        <v>5061</v>
      </c>
      <c r="AS1475" s="21">
        <v>46284</v>
      </c>
      <c r="AT1475" t="s">
        <v>5062</v>
      </c>
      <c r="AU1475" t="s">
        <v>5072</v>
      </c>
      <c r="AV1475" t="s">
        <v>5062</v>
      </c>
      <c r="AW1475" t="s">
        <v>5311</v>
      </c>
    </row>
    <row r="1476" spans="1:49" x14ac:dyDescent="0.35">
      <c r="A1476" t="s">
        <v>5105</v>
      </c>
      <c r="B1476" t="s">
        <v>872</v>
      </c>
      <c r="C1476" t="s">
        <v>4818</v>
      </c>
      <c r="D1476" t="s">
        <v>18</v>
      </c>
      <c r="E1476" t="s">
        <v>5214</v>
      </c>
      <c r="F1476" t="s">
        <v>5215</v>
      </c>
      <c r="G1476" t="s">
        <v>21</v>
      </c>
      <c r="H1476" t="s">
        <v>4826</v>
      </c>
      <c r="I1476" t="s">
        <v>4976</v>
      </c>
      <c r="J1476" s="4" t="s">
        <v>4977</v>
      </c>
      <c r="K1476" s="4" t="s">
        <v>4831</v>
      </c>
      <c r="L1476" s="4" t="s">
        <v>4946</v>
      </c>
      <c r="M1476" s="4" t="s">
        <v>5035</v>
      </c>
      <c r="N1476" t="s">
        <v>15</v>
      </c>
      <c r="O1476" t="s">
        <v>5310</v>
      </c>
      <c r="P1476" t="s">
        <v>23</v>
      </c>
      <c r="Q1476" t="s">
        <v>24</v>
      </c>
      <c r="R1476" t="s">
        <v>5216</v>
      </c>
      <c r="S1476" t="s">
        <v>5217</v>
      </c>
      <c r="T1476" s="6">
        <v>46307</v>
      </c>
      <c r="U1476">
        <v>156</v>
      </c>
      <c r="V1476">
        <v>156</v>
      </c>
      <c r="W1476">
        <v>168</v>
      </c>
      <c r="X1476">
        <v>168</v>
      </c>
      <c r="Y1476">
        <f t="shared" ref="Y1476:Y1481" si="228">W1476-X1476</f>
        <v>0</v>
      </c>
      <c r="AC1476" s="1">
        <v>156</v>
      </c>
      <c r="AF1476">
        <v>156</v>
      </c>
      <c r="AG1476" s="7">
        <v>12</v>
      </c>
      <c r="AH1476">
        <f t="shared" si="226"/>
        <v>156</v>
      </c>
      <c r="AI1476">
        <f t="shared" si="227"/>
        <v>0</v>
      </c>
      <c r="AK1476">
        <f t="shared" ref="AK1476:AK1481" si="229">AH1476/AG1476</f>
        <v>13</v>
      </c>
      <c r="AL1476">
        <v>13.85</v>
      </c>
      <c r="AM1476" t="s">
        <v>27</v>
      </c>
      <c r="AN1476">
        <v>13.85</v>
      </c>
      <c r="AO1476" t="b">
        <f t="shared" ref="AO1476:AO1481" si="230">AL1476=AN1476</f>
        <v>1</v>
      </c>
      <c r="AR1476" t="s">
        <v>5061</v>
      </c>
      <c r="AS1476" s="21">
        <v>46284</v>
      </c>
      <c r="AT1476" t="s">
        <v>5062</v>
      </c>
      <c r="AU1476" t="s">
        <v>5072</v>
      </c>
      <c r="AV1476" t="s">
        <v>5062</v>
      </c>
      <c r="AW1476" t="s">
        <v>5311</v>
      </c>
    </row>
    <row r="1477" spans="1:49" x14ac:dyDescent="0.35">
      <c r="A1477" t="s">
        <v>5105</v>
      </c>
      <c r="B1477" t="s">
        <v>872</v>
      </c>
      <c r="C1477" t="s">
        <v>4818</v>
      </c>
      <c r="D1477" t="s">
        <v>18</v>
      </c>
      <c r="E1477" t="s">
        <v>2639</v>
      </c>
      <c r="F1477" t="s">
        <v>2640</v>
      </c>
      <c r="G1477" t="s">
        <v>21</v>
      </c>
      <c r="H1477" t="s">
        <v>4826</v>
      </c>
      <c r="I1477" t="s">
        <v>4976</v>
      </c>
      <c r="J1477" s="4" t="s">
        <v>4977</v>
      </c>
      <c r="K1477" s="4" t="s">
        <v>4837</v>
      </c>
      <c r="L1477" s="4" t="s">
        <v>4955</v>
      </c>
      <c r="M1477" s="4" t="s">
        <v>5035</v>
      </c>
      <c r="N1477" t="s">
        <v>15</v>
      </c>
      <c r="O1477" t="s">
        <v>2641</v>
      </c>
      <c r="P1477" t="s">
        <v>23</v>
      </c>
      <c r="Q1477" t="s">
        <v>24</v>
      </c>
      <c r="R1477" t="s">
        <v>5216</v>
      </c>
      <c r="S1477" t="s">
        <v>5217</v>
      </c>
      <c r="T1477" s="6">
        <v>46307</v>
      </c>
      <c r="U1477">
        <v>12</v>
      </c>
      <c r="V1477">
        <v>12</v>
      </c>
      <c r="W1477">
        <v>12</v>
      </c>
      <c r="X1477">
        <v>12</v>
      </c>
      <c r="Y1477">
        <f t="shared" si="228"/>
        <v>0</v>
      </c>
      <c r="AC1477" s="1">
        <v>12</v>
      </c>
      <c r="AF1477">
        <v>12</v>
      </c>
      <c r="AG1477" s="7">
        <v>12</v>
      </c>
      <c r="AH1477">
        <f t="shared" si="226"/>
        <v>12</v>
      </c>
      <c r="AI1477">
        <f t="shared" si="227"/>
        <v>0</v>
      </c>
      <c r="AK1477">
        <f t="shared" si="229"/>
        <v>1</v>
      </c>
      <c r="AL1477">
        <v>13.85</v>
      </c>
      <c r="AM1477" t="s">
        <v>27</v>
      </c>
      <c r="AN1477">
        <v>13.85</v>
      </c>
      <c r="AO1477" t="b">
        <f t="shared" si="230"/>
        <v>1</v>
      </c>
      <c r="AR1477" t="s">
        <v>5061</v>
      </c>
      <c r="AS1477" s="21">
        <v>46284</v>
      </c>
      <c r="AT1477" t="s">
        <v>5062</v>
      </c>
      <c r="AU1477" t="s">
        <v>5072</v>
      </c>
      <c r="AV1477" t="s">
        <v>5062</v>
      </c>
      <c r="AW1477" t="s">
        <v>5311</v>
      </c>
    </row>
    <row r="1478" spans="1:49" x14ac:dyDescent="0.35">
      <c r="A1478" t="s">
        <v>5105</v>
      </c>
      <c r="B1478" t="s">
        <v>872</v>
      </c>
      <c r="C1478" t="s">
        <v>4818</v>
      </c>
      <c r="D1478" t="s">
        <v>18</v>
      </c>
      <c r="E1478" t="s">
        <v>2645</v>
      </c>
      <c r="F1478" t="s">
        <v>2646</v>
      </c>
      <c r="G1478" t="s">
        <v>21</v>
      </c>
      <c r="H1478" t="s">
        <v>4826</v>
      </c>
      <c r="I1478" t="s">
        <v>4979</v>
      </c>
      <c r="J1478" s="4" t="s">
        <v>4980</v>
      </c>
      <c r="K1478" s="4" t="s">
        <v>4832</v>
      </c>
      <c r="L1478" s="4">
        <v>38</v>
      </c>
      <c r="M1478" s="4" t="s">
        <v>5035</v>
      </c>
      <c r="N1478" t="s">
        <v>15</v>
      </c>
      <c r="O1478" t="s">
        <v>2647</v>
      </c>
      <c r="P1478" t="s">
        <v>23</v>
      </c>
      <c r="Q1478" t="s">
        <v>24</v>
      </c>
      <c r="R1478" t="s">
        <v>5216</v>
      </c>
      <c r="S1478" t="s">
        <v>5217</v>
      </c>
      <c r="T1478" s="6">
        <v>46307</v>
      </c>
      <c r="U1478">
        <v>12</v>
      </c>
      <c r="V1478">
        <v>12</v>
      </c>
      <c r="W1478">
        <v>12</v>
      </c>
      <c r="X1478">
        <v>12</v>
      </c>
      <c r="Y1478">
        <f t="shared" si="228"/>
        <v>0</v>
      </c>
      <c r="AC1478" s="1">
        <v>12</v>
      </c>
      <c r="AF1478">
        <v>12</v>
      </c>
      <c r="AG1478" s="7">
        <v>12</v>
      </c>
      <c r="AH1478">
        <f t="shared" si="226"/>
        <v>12</v>
      </c>
      <c r="AI1478">
        <f t="shared" si="227"/>
        <v>0</v>
      </c>
      <c r="AK1478">
        <f t="shared" si="229"/>
        <v>1</v>
      </c>
      <c r="AL1478">
        <v>7.12</v>
      </c>
      <c r="AM1478" t="s">
        <v>27</v>
      </c>
      <c r="AN1478">
        <v>7.12</v>
      </c>
      <c r="AO1478" t="b">
        <f t="shared" si="230"/>
        <v>1</v>
      </c>
      <c r="AR1478" t="s">
        <v>5061</v>
      </c>
      <c r="AS1478" s="21">
        <v>46284</v>
      </c>
      <c r="AT1478" t="s">
        <v>5062</v>
      </c>
      <c r="AU1478" t="s">
        <v>5073</v>
      </c>
      <c r="AV1478" t="s">
        <v>5062</v>
      </c>
      <c r="AW1478" t="s">
        <v>5311</v>
      </c>
    </row>
    <row r="1479" spans="1:49" x14ac:dyDescent="0.35">
      <c r="A1479" t="s">
        <v>5105</v>
      </c>
      <c r="B1479" t="s">
        <v>872</v>
      </c>
      <c r="C1479" t="s">
        <v>4818</v>
      </c>
      <c r="D1479" t="s">
        <v>18</v>
      </c>
      <c r="E1479" t="s">
        <v>2700</v>
      </c>
      <c r="F1479" t="s">
        <v>2701</v>
      </c>
      <c r="G1479" t="s">
        <v>2680</v>
      </c>
      <c r="H1479" t="s">
        <v>4826</v>
      </c>
      <c r="I1479" t="s">
        <v>4979</v>
      </c>
      <c r="J1479" s="4" t="s">
        <v>4980</v>
      </c>
      <c r="K1479" s="4" t="s">
        <v>4837</v>
      </c>
      <c r="L1479" s="4">
        <v>34</v>
      </c>
      <c r="M1479" s="4" t="s">
        <v>5035</v>
      </c>
      <c r="N1479" t="s">
        <v>15</v>
      </c>
      <c r="O1479" t="s">
        <v>2702</v>
      </c>
      <c r="P1479" t="s">
        <v>23</v>
      </c>
      <c r="Q1479" t="s">
        <v>24</v>
      </c>
      <c r="R1479" t="s">
        <v>5216</v>
      </c>
      <c r="S1479" t="s">
        <v>5217</v>
      </c>
      <c r="T1479" s="6">
        <v>46307</v>
      </c>
      <c r="U1479">
        <v>36</v>
      </c>
      <c r="V1479">
        <v>36</v>
      </c>
      <c r="W1479">
        <v>36</v>
      </c>
      <c r="X1479">
        <v>36</v>
      </c>
      <c r="Y1479">
        <f t="shared" si="228"/>
        <v>0</v>
      </c>
      <c r="AC1479" s="1">
        <v>36</v>
      </c>
      <c r="AF1479">
        <v>36</v>
      </c>
      <c r="AG1479" s="7">
        <v>12</v>
      </c>
      <c r="AH1479">
        <f t="shared" si="226"/>
        <v>36</v>
      </c>
      <c r="AI1479">
        <f t="shared" si="227"/>
        <v>0</v>
      </c>
      <c r="AK1479">
        <f t="shared" si="229"/>
        <v>3</v>
      </c>
      <c r="AL1479">
        <v>7.12</v>
      </c>
      <c r="AM1479" t="s">
        <v>27</v>
      </c>
      <c r="AN1479">
        <v>7.12</v>
      </c>
      <c r="AO1479" t="b">
        <f t="shared" si="230"/>
        <v>1</v>
      </c>
      <c r="AR1479" t="s">
        <v>5061</v>
      </c>
      <c r="AS1479" s="21">
        <v>46284</v>
      </c>
      <c r="AT1479" t="s">
        <v>5062</v>
      </c>
      <c r="AU1479" t="s">
        <v>5073</v>
      </c>
      <c r="AV1479" t="s">
        <v>5062</v>
      </c>
      <c r="AW1479" t="s">
        <v>5311</v>
      </c>
    </row>
    <row r="1480" spans="1:49" x14ac:dyDescent="0.35">
      <c r="A1480" t="s">
        <v>5105</v>
      </c>
      <c r="B1480" t="s">
        <v>872</v>
      </c>
      <c r="C1480" t="s">
        <v>4818</v>
      </c>
      <c r="D1480" t="s">
        <v>18</v>
      </c>
      <c r="E1480" t="s">
        <v>2709</v>
      </c>
      <c r="F1480" t="s">
        <v>2710</v>
      </c>
      <c r="G1480" t="s">
        <v>2680</v>
      </c>
      <c r="H1480" t="s">
        <v>4826</v>
      </c>
      <c r="I1480" t="s">
        <v>4979</v>
      </c>
      <c r="J1480" s="4" t="s">
        <v>4980</v>
      </c>
      <c r="K1480" s="4" t="s">
        <v>4837</v>
      </c>
      <c r="L1480" s="4">
        <v>42</v>
      </c>
      <c r="M1480" s="4" t="s">
        <v>5035</v>
      </c>
      <c r="N1480" t="s">
        <v>15</v>
      </c>
      <c r="O1480" t="s">
        <v>2711</v>
      </c>
      <c r="P1480" t="s">
        <v>23</v>
      </c>
      <c r="Q1480" t="s">
        <v>24</v>
      </c>
      <c r="R1480" t="s">
        <v>5216</v>
      </c>
      <c r="S1480" t="s">
        <v>5217</v>
      </c>
      <c r="T1480" s="6">
        <v>46307</v>
      </c>
      <c r="U1480">
        <v>12</v>
      </c>
      <c r="V1480">
        <v>12</v>
      </c>
      <c r="W1480">
        <v>12</v>
      </c>
      <c r="X1480">
        <v>12</v>
      </c>
      <c r="Y1480">
        <f t="shared" si="228"/>
        <v>0</v>
      </c>
      <c r="AC1480" s="1">
        <v>12</v>
      </c>
      <c r="AF1480">
        <v>12</v>
      </c>
      <c r="AG1480" s="7">
        <v>12</v>
      </c>
      <c r="AH1480">
        <f t="shared" si="226"/>
        <v>12</v>
      </c>
      <c r="AI1480">
        <f t="shared" si="227"/>
        <v>0</v>
      </c>
      <c r="AK1480">
        <f t="shared" si="229"/>
        <v>1</v>
      </c>
      <c r="AL1480">
        <v>7.12</v>
      </c>
      <c r="AM1480" t="s">
        <v>27</v>
      </c>
      <c r="AN1480">
        <v>7.12</v>
      </c>
      <c r="AO1480" t="b">
        <f t="shared" si="230"/>
        <v>1</v>
      </c>
      <c r="AR1480" t="s">
        <v>5061</v>
      </c>
      <c r="AS1480" s="21">
        <v>46284</v>
      </c>
      <c r="AT1480" t="s">
        <v>5062</v>
      </c>
      <c r="AU1480" t="s">
        <v>5073</v>
      </c>
      <c r="AV1480" t="s">
        <v>5062</v>
      </c>
      <c r="AW1480" t="s">
        <v>5311</v>
      </c>
    </row>
    <row r="1481" spans="1:49" x14ac:dyDescent="0.35">
      <c r="A1481" t="s">
        <v>5105</v>
      </c>
      <c r="B1481" t="s">
        <v>872</v>
      </c>
      <c r="C1481" t="s">
        <v>4818</v>
      </c>
      <c r="D1481" t="s">
        <v>18</v>
      </c>
      <c r="E1481" t="s">
        <v>2712</v>
      </c>
      <c r="F1481" t="s">
        <v>2713</v>
      </c>
      <c r="G1481" t="s">
        <v>2680</v>
      </c>
      <c r="H1481" t="s">
        <v>4826</v>
      </c>
      <c r="I1481" t="s">
        <v>4979</v>
      </c>
      <c r="J1481" s="4" t="s">
        <v>4980</v>
      </c>
      <c r="K1481" s="4" t="s">
        <v>4837</v>
      </c>
      <c r="L1481" s="4">
        <v>36</v>
      </c>
      <c r="M1481" s="4" t="s">
        <v>5035</v>
      </c>
      <c r="N1481" t="s">
        <v>15</v>
      </c>
      <c r="O1481" t="s">
        <v>2714</v>
      </c>
      <c r="P1481" t="s">
        <v>23</v>
      </c>
      <c r="Q1481" t="s">
        <v>24</v>
      </c>
      <c r="R1481" t="s">
        <v>5216</v>
      </c>
      <c r="S1481" t="s">
        <v>5217</v>
      </c>
      <c r="T1481" s="6">
        <v>46307</v>
      </c>
      <c r="U1481">
        <v>48</v>
      </c>
      <c r="V1481">
        <v>48</v>
      </c>
      <c r="W1481">
        <v>48</v>
      </c>
      <c r="X1481">
        <v>48</v>
      </c>
      <c r="Y1481">
        <f t="shared" si="228"/>
        <v>0</v>
      </c>
      <c r="AC1481" s="1">
        <v>48</v>
      </c>
      <c r="AF1481">
        <v>48</v>
      </c>
      <c r="AG1481" s="7">
        <v>12</v>
      </c>
      <c r="AH1481">
        <f t="shared" si="226"/>
        <v>48</v>
      </c>
      <c r="AI1481">
        <f t="shared" si="227"/>
        <v>0</v>
      </c>
      <c r="AK1481">
        <f t="shared" si="229"/>
        <v>4</v>
      </c>
      <c r="AL1481">
        <v>7.12</v>
      </c>
      <c r="AM1481" t="s">
        <v>27</v>
      </c>
      <c r="AN1481">
        <v>7.12</v>
      </c>
      <c r="AO1481" t="b">
        <f t="shared" si="230"/>
        <v>1</v>
      </c>
      <c r="AR1481" t="s">
        <v>5061</v>
      </c>
      <c r="AS1481" s="21">
        <v>46284</v>
      </c>
      <c r="AT1481" t="s">
        <v>5062</v>
      </c>
      <c r="AU1481" t="s">
        <v>5073</v>
      </c>
      <c r="AV1481" t="s">
        <v>5062</v>
      </c>
      <c r="AW1481" t="s">
        <v>5311</v>
      </c>
    </row>
    <row r="1482" spans="1:49" x14ac:dyDescent="0.35">
      <c r="T1482" s="6"/>
      <c r="AC1482" s="1"/>
      <c r="AG1482" s="7"/>
      <c r="AS1482" s="21"/>
    </row>
    <row r="1483" spans="1:49" x14ac:dyDescent="0.35">
      <c r="T1483" s="6"/>
      <c r="AC1483" s="1"/>
      <c r="AG1483" s="7"/>
      <c r="AS1483" s="21"/>
    </row>
  </sheetData>
  <autoFilter ref="A2:AW2" xr:uid="{00000000-0001-0000-0000-000000000000}"/>
  <conditionalFormatting sqref="E1:E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73C6-A9AB-405A-8377-E42B396600A4}">
  <sheetPr filterMode="1"/>
  <dimension ref="A1:AW1129"/>
  <sheetViews>
    <sheetView topLeftCell="S1" zoomScale="85" zoomScaleNormal="85" workbookViewId="0">
      <pane ySplit="2" topLeftCell="A1083" activePane="bottomLeft" state="frozen"/>
      <selection pane="bottomLeft" activeCell="AR1087" sqref="AR1087"/>
    </sheetView>
  </sheetViews>
  <sheetFormatPr defaultRowHeight="15.5" x14ac:dyDescent="0.35"/>
  <cols>
    <col min="1" max="1" width="11.25" bestFit="1" customWidth="1"/>
    <col min="10" max="10" width="15.25" bestFit="1" customWidth="1"/>
    <col min="11" max="11" width="21.6640625" bestFit="1" customWidth="1"/>
    <col min="14" max="14" width="41.1640625" bestFit="1" customWidth="1"/>
    <col min="19" max="19" width="13.33203125" bestFit="1" customWidth="1"/>
    <col min="20" max="20" width="10.4140625" bestFit="1" customWidth="1"/>
    <col min="21" max="22" width="8.6640625" customWidth="1"/>
    <col min="23" max="32" width="8.6640625" hidden="1" customWidth="1"/>
    <col min="33" max="33" width="8.6640625" style="41"/>
    <col min="34" max="34" width="0" hidden="1" customWidth="1"/>
    <col min="35" max="36" width="8.6640625" hidden="1" customWidth="1"/>
    <col min="37" max="37" width="8.6640625" customWidth="1"/>
    <col min="47" max="47" width="10.5" bestFit="1" customWidth="1"/>
    <col min="48" max="48" width="16.08203125" bestFit="1" customWidth="1"/>
    <col min="49" max="49" width="19" bestFit="1" customWidth="1"/>
  </cols>
  <sheetData>
    <row r="1" spans="1:49" x14ac:dyDescent="0.35">
      <c r="J1" s="4"/>
      <c r="K1" s="4"/>
      <c r="L1" s="4"/>
      <c r="M1" s="4"/>
      <c r="T1" s="7"/>
      <c r="V1" s="18">
        <f>SUBTOTAL(9,V3:V7188)</f>
        <v>9206</v>
      </c>
      <c r="W1" s="18">
        <f t="shared" ref="W1:AK1" si="0">SUBTOTAL(9,W3:W7188)</f>
        <v>15970</v>
      </c>
      <c r="X1" s="18">
        <f t="shared" si="0"/>
        <v>15970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9206</v>
      </c>
      <c r="AD1" s="18">
        <f t="shared" si="0"/>
        <v>0</v>
      </c>
      <c r="AE1" s="18">
        <f t="shared" si="0"/>
        <v>0</v>
      </c>
      <c r="AF1" s="18">
        <f t="shared" si="0"/>
        <v>9206</v>
      </c>
      <c r="AG1" s="39"/>
      <c r="AH1" s="18">
        <f t="shared" si="0"/>
        <v>9206</v>
      </c>
      <c r="AI1" s="18">
        <f t="shared" si="0"/>
        <v>0</v>
      </c>
      <c r="AJ1" s="18">
        <f t="shared" si="0"/>
        <v>0</v>
      </c>
      <c r="AK1" s="18">
        <f t="shared" si="0"/>
        <v>829</v>
      </c>
    </row>
    <row r="2" spans="1:49" ht="108.5" x14ac:dyDescent="0.35">
      <c r="A2" s="16" t="s">
        <v>0</v>
      </c>
      <c r="B2" s="16" t="s">
        <v>1</v>
      </c>
      <c r="C2" s="17" t="s">
        <v>4819</v>
      </c>
      <c r="D2" s="16" t="s">
        <v>2</v>
      </c>
      <c r="E2" s="16" t="s">
        <v>3</v>
      </c>
      <c r="F2" s="16" t="s">
        <v>4</v>
      </c>
      <c r="G2" s="16" t="s">
        <v>5</v>
      </c>
      <c r="H2" s="2" t="s">
        <v>4820</v>
      </c>
      <c r="I2" s="2" t="s">
        <v>4821</v>
      </c>
      <c r="J2" s="3" t="s">
        <v>4822</v>
      </c>
      <c r="K2" s="3" t="s">
        <v>4823</v>
      </c>
      <c r="L2" s="3" t="s">
        <v>4824</v>
      </c>
      <c r="M2" s="3" t="s">
        <v>4825</v>
      </c>
      <c r="N2" s="16" t="s">
        <v>6</v>
      </c>
      <c r="O2" s="16" t="s">
        <v>7</v>
      </c>
      <c r="P2" s="16" t="s">
        <v>8</v>
      </c>
      <c r="Q2" s="16" t="s">
        <v>9</v>
      </c>
      <c r="R2" s="16" t="s">
        <v>10</v>
      </c>
      <c r="S2" s="16" t="s">
        <v>11</v>
      </c>
      <c r="T2" s="5" t="s">
        <v>5036</v>
      </c>
      <c r="U2" s="16" t="s">
        <v>12</v>
      </c>
      <c r="V2" s="16" t="s">
        <v>13</v>
      </c>
      <c r="W2" s="8" t="s">
        <v>5037</v>
      </c>
      <c r="X2" s="8" t="s">
        <v>5038</v>
      </c>
      <c r="Y2" s="8" t="s">
        <v>5039</v>
      </c>
      <c r="Z2" s="8" t="s">
        <v>5040</v>
      </c>
      <c r="AA2" s="8" t="s">
        <v>5041</v>
      </c>
      <c r="AB2" s="8" t="s">
        <v>5042</v>
      </c>
      <c r="AC2" s="8" t="s">
        <v>5043</v>
      </c>
      <c r="AD2" s="9" t="s">
        <v>5044</v>
      </c>
      <c r="AE2" s="10" t="s">
        <v>5044</v>
      </c>
      <c r="AF2" s="8" t="s">
        <v>5045</v>
      </c>
      <c r="AG2" s="40" t="s">
        <v>5046</v>
      </c>
      <c r="AH2" s="11" t="s">
        <v>5047</v>
      </c>
      <c r="AI2" s="8" t="s">
        <v>5048</v>
      </c>
      <c r="AJ2" s="8" t="s">
        <v>5049</v>
      </c>
      <c r="AK2" s="8" t="s">
        <v>5050</v>
      </c>
      <c r="AL2" s="16" t="s">
        <v>14</v>
      </c>
      <c r="AM2" s="12" t="s">
        <v>27</v>
      </c>
      <c r="AN2" s="2" t="s">
        <v>5051</v>
      </c>
      <c r="AO2" s="2" t="s">
        <v>5052</v>
      </c>
      <c r="AP2" s="13" t="s">
        <v>5053</v>
      </c>
      <c r="AQ2" s="14" t="s">
        <v>5054</v>
      </c>
      <c r="AR2" s="12" t="s">
        <v>5055</v>
      </c>
      <c r="AS2" s="12" t="s">
        <v>5056</v>
      </c>
      <c r="AT2" s="3" t="s">
        <v>5057</v>
      </c>
      <c r="AU2" s="2" t="s">
        <v>5058</v>
      </c>
      <c r="AV2" s="22" t="s">
        <v>5091</v>
      </c>
      <c r="AW2" s="12" t="s">
        <v>5059</v>
      </c>
    </row>
    <row r="3" spans="1:49" hidden="1" x14ac:dyDescent="0.35">
      <c r="A3" t="s">
        <v>73</v>
      </c>
      <c r="B3" t="s">
        <v>74</v>
      </c>
      <c r="C3" t="s">
        <v>4818</v>
      </c>
      <c r="D3" t="s">
        <v>18</v>
      </c>
      <c r="E3" t="s">
        <v>83</v>
      </c>
      <c r="F3" t="s">
        <v>84</v>
      </c>
      <c r="G3" t="s">
        <v>21</v>
      </c>
      <c r="H3" t="s">
        <v>4834</v>
      </c>
      <c r="I3" t="s">
        <v>4839</v>
      </c>
      <c r="J3" s="4" t="s">
        <v>4840</v>
      </c>
      <c r="K3" s="4" t="s">
        <v>4832</v>
      </c>
      <c r="L3" s="4" t="s">
        <v>4842</v>
      </c>
      <c r="M3" s="4" t="s">
        <v>5035</v>
      </c>
      <c r="N3" t="s">
        <v>85</v>
      </c>
      <c r="O3" t="s">
        <v>86</v>
      </c>
      <c r="P3" t="s">
        <v>23</v>
      </c>
      <c r="Q3" t="s">
        <v>24</v>
      </c>
      <c r="R3" t="s">
        <v>25</v>
      </c>
      <c r="S3" t="s">
        <v>26</v>
      </c>
      <c r="T3" s="6">
        <v>46307</v>
      </c>
      <c r="U3">
        <v>150</v>
      </c>
      <c r="V3">
        <v>150</v>
      </c>
      <c r="W3">
        <v>160</v>
      </c>
      <c r="X3">
        <v>160</v>
      </c>
      <c r="Y3">
        <f t="shared" ref="Y3:Y66" si="1">W3-X3</f>
        <v>0</v>
      </c>
      <c r="Z3">
        <f t="shared" ref="Z3:Z66" si="2">V3-X3</f>
        <v>-10</v>
      </c>
      <c r="AC3" s="1">
        <v>0</v>
      </c>
      <c r="AF3">
        <f t="shared" ref="AF3:AF34" si="3">V3</f>
        <v>150</v>
      </c>
      <c r="AG3" s="41">
        <v>10</v>
      </c>
      <c r="AH3">
        <f t="shared" ref="AH3:AH66" si="4">ROUNDUP(AF3/AG3,0)*AG3</f>
        <v>150</v>
      </c>
      <c r="AI3">
        <f t="shared" ref="AI3:AI66" si="5">V3-AH3</f>
        <v>0</v>
      </c>
      <c r="AK3">
        <f t="shared" ref="AK3:AK66" si="6">AH3/AG3</f>
        <v>15</v>
      </c>
      <c r="AL3">
        <v>20.420000000000002</v>
      </c>
      <c r="AM3" t="s">
        <v>27</v>
      </c>
      <c r="AN3">
        <v>20.420000000000002</v>
      </c>
      <c r="AO3" t="b">
        <f t="shared" ref="AO3:AO66" si="7">AL3=AN3</f>
        <v>1</v>
      </c>
      <c r="AR3" t="s">
        <v>5061</v>
      </c>
      <c r="AS3" s="21">
        <v>46276</v>
      </c>
      <c r="AT3" t="s">
        <v>5064</v>
      </c>
      <c r="AU3" t="s">
        <v>5065</v>
      </c>
      <c r="AV3" t="s">
        <v>5088</v>
      </c>
      <c r="AW3" t="s">
        <v>5086</v>
      </c>
    </row>
    <row r="4" spans="1:49" hidden="1" x14ac:dyDescent="0.35">
      <c r="A4" t="s">
        <v>73</v>
      </c>
      <c r="B4" t="s">
        <v>74</v>
      </c>
      <c r="C4" t="s">
        <v>4818</v>
      </c>
      <c r="D4" t="s">
        <v>18</v>
      </c>
      <c r="E4" t="s">
        <v>87</v>
      </c>
      <c r="F4" t="s">
        <v>88</v>
      </c>
      <c r="G4" t="s">
        <v>21</v>
      </c>
      <c r="H4" t="s">
        <v>4834</v>
      </c>
      <c r="I4" t="s">
        <v>4839</v>
      </c>
      <c r="J4" s="4" t="s">
        <v>4840</v>
      </c>
      <c r="K4" s="4" t="s">
        <v>4843</v>
      </c>
      <c r="L4" s="4" t="s">
        <v>4844</v>
      </c>
      <c r="M4" s="4" t="s">
        <v>5035</v>
      </c>
      <c r="N4" t="s">
        <v>89</v>
      </c>
      <c r="O4" t="s">
        <v>90</v>
      </c>
      <c r="P4" t="s">
        <v>23</v>
      </c>
      <c r="Q4" t="s">
        <v>24</v>
      </c>
      <c r="R4" t="s">
        <v>25</v>
      </c>
      <c r="S4" t="s">
        <v>26</v>
      </c>
      <c r="T4" s="6">
        <v>46307</v>
      </c>
      <c r="U4">
        <v>80</v>
      </c>
      <c r="V4">
        <v>80</v>
      </c>
      <c r="W4">
        <v>80</v>
      </c>
      <c r="X4">
        <v>80</v>
      </c>
      <c r="Y4">
        <f t="shared" si="1"/>
        <v>0</v>
      </c>
      <c r="Z4">
        <f t="shared" si="2"/>
        <v>0</v>
      </c>
      <c r="AC4" s="1">
        <v>0</v>
      </c>
      <c r="AF4">
        <f t="shared" si="3"/>
        <v>80</v>
      </c>
      <c r="AG4" s="41">
        <v>10</v>
      </c>
      <c r="AH4">
        <f t="shared" si="4"/>
        <v>80</v>
      </c>
      <c r="AI4">
        <f t="shared" si="5"/>
        <v>0</v>
      </c>
      <c r="AK4">
        <f t="shared" si="6"/>
        <v>8</v>
      </c>
      <c r="AL4">
        <v>20.420000000000002</v>
      </c>
      <c r="AM4" t="s">
        <v>27</v>
      </c>
      <c r="AN4">
        <v>20.420000000000002</v>
      </c>
      <c r="AO4" t="b">
        <f t="shared" si="7"/>
        <v>1</v>
      </c>
      <c r="AR4" t="s">
        <v>5061</v>
      </c>
      <c r="AS4" s="21">
        <v>46276</v>
      </c>
      <c r="AT4" t="s">
        <v>5064</v>
      </c>
      <c r="AU4" t="s">
        <v>5065</v>
      </c>
      <c r="AV4" t="s">
        <v>5088</v>
      </c>
      <c r="AW4" t="s">
        <v>5086</v>
      </c>
    </row>
    <row r="5" spans="1:49" hidden="1" x14ac:dyDescent="0.35">
      <c r="A5" t="s">
        <v>73</v>
      </c>
      <c r="B5" t="s">
        <v>74</v>
      </c>
      <c r="C5" t="s">
        <v>4818</v>
      </c>
      <c r="D5" t="s">
        <v>18</v>
      </c>
      <c r="E5" t="s">
        <v>103</v>
      </c>
      <c r="F5" t="s">
        <v>104</v>
      </c>
      <c r="G5" t="s">
        <v>21</v>
      </c>
      <c r="H5" t="s">
        <v>4834</v>
      </c>
      <c r="I5" t="s">
        <v>4849</v>
      </c>
      <c r="J5" s="4" t="s">
        <v>4850</v>
      </c>
      <c r="K5" s="4" t="s">
        <v>4837</v>
      </c>
      <c r="L5" s="4" t="s">
        <v>4851</v>
      </c>
      <c r="M5" s="4" t="s">
        <v>5035</v>
      </c>
      <c r="N5" t="s">
        <v>105</v>
      </c>
      <c r="O5" t="s">
        <v>106</v>
      </c>
      <c r="P5" t="s">
        <v>23</v>
      </c>
      <c r="Q5" t="s">
        <v>24</v>
      </c>
      <c r="R5" t="s">
        <v>25</v>
      </c>
      <c r="S5" t="s">
        <v>26</v>
      </c>
      <c r="T5" s="6">
        <v>46307</v>
      </c>
      <c r="U5">
        <v>108</v>
      </c>
      <c r="V5">
        <v>108</v>
      </c>
      <c r="W5">
        <v>114</v>
      </c>
      <c r="X5">
        <v>114</v>
      </c>
      <c r="Y5">
        <f t="shared" si="1"/>
        <v>0</v>
      </c>
      <c r="Z5">
        <f t="shared" si="2"/>
        <v>-6</v>
      </c>
      <c r="AC5" s="1">
        <v>0</v>
      </c>
      <c r="AF5">
        <f t="shared" si="3"/>
        <v>108</v>
      </c>
      <c r="AG5" s="41">
        <v>6</v>
      </c>
      <c r="AH5">
        <f t="shared" si="4"/>
        <v>108</v>
      </c>
      <c r="AI5">
        <f t="shared" si="5"/>
        <v>0</v>
      </c>
      <c r="AK5">
        <f t="shared" si="6"/>
        <v>18</v>
      </c>
      <c r="AL5">
        <v>14.78</v>
      </c>
      <c r="AM5" t="s">
        <v>27</v>
      </c>
      <c r="AN5">
        <v>14.78</v>
      </c>
      <c r="AO5" t="b">
        <f t="shared" si="7"/>
        <v>1</v>
      </c>
      <c r="AR5" t="s">
        <v>5061</v>
      </c>
      <c r="AS5" s="21">
        <v>46276</v>
      </c>
      <c r="AT5" t="s">
        <v>5064</v>
      </c>
      <c r="AU5" t="s">
        <v>5066</v>
      </c>
      <c r="AV5" t="s">
        <v>5088</v>
      </c>
      <c r="AW5" t="s">
        <v>5086</v>
      </c>
    </row>
    <row r="6" spans="1:49" hidden="1" x14ac:dyDescent="0.35">
      <c r="A6" t="s">
        <v>73</v>
      </c>
      <c r="B6" t="s">
        <v>74</v>
      </c>
      <c r="C6" t="s">
        <v>4818</v>
      </c>
      <c r="D6" t="s">
        <v>18</v>
      </c>
      <c r="E6" t="s">
        <v>115</v>
      </c>
      <c r="F6" t="s">
        <v>116</v>
      </c>
      <c r="G6" t="s">
        <v>21</v>
      </c>
      <c r="H6" t="s">
        <v>4834</v>
      </c>
      <c r="I6" t="s">
        <v>4839</v>
      </c>
      <c r="J6" s="4" t="s">
        <v>4840</v>
      </c>
      <c r="K6" s="4" t="s">
        <v>4854</v>
      </c>
      <c r="L6" s="4" t="s">
        <v>4846</v>
      </c>
      <c r="M6" s="4" t="s">
        <v>5035</v>
      </c>
      <c r="N6" t="s">
        <v>117</v>
      </c>
      <c r="O6" t="s">
        <v>118</v>
      </c>
      <c r="P6" t="s">
        <v>23</v>
      </c>
      <c r="Q6" t="s">
        <v>24</v>
      </c>
      <c r="R6" t="s">
        <v>25</v>
      </c>
      <c r="S6" t="s">
        <v>26</v>
      </c>
      <c r="T6" s="6">
        <v>46307</v>
      </c>
      <c r="U6">
        <v>100</v>
      </c>
      <c r="V6">
        <v>100</v>
      </c>
      <c r="W6">
        <v>100</v>
      </c>
      <c r="X6">
        <v>100</v>
      </c>
      <c r="Y6">
        <f t="shared" si="1"/>
        <v>0</v>
      </c>
      <c r="Z6">
        <f t="shared" si="2"/>
        <v>0</v>
      </c>
      <c r="AC6" s="1">
        <v>0</v>
      </c>
      <c r="AF6">
        <f t="shared" si="3"/>
        <v>100</v>
      </c>
      <c r="AG6" s="41">
        <v>10</v>
      </c>
      <c r="AH6">
        <f t="shared" si="4"/>
        <v>100</v>
      </c>
      <c r="AI6">
        <f t="shared" si="5"/>
        <v>0</v>
      </c>
      <c r="AK6">
        <f t="shared" si="6"/>
        <v>10</v>
      </c>
      <c r="AL6">
        <v>20.420000000000002</v>
      </c>
      <c r="AM6" t="s">
        <v>27</v>
      </c>
      <c r="AN6">
        <v>20.420000000000002</v>
      </c>
      <c r="AO6" t="b">
        <f t="shared" si="7"/>
        <v>1</v>
      </c>
      <c r="AR6" t="s">
        <v>5061</v>
      </c>
      <c r="AS6" s="21">
        <v>46276</v>
      </c>
      <c r="AT6" t="s">
        <v>5064</v>
      </c>
      <c r="AU6" t="s">
        <v>5065</v>
      </c>
      <c r="AV6" t="s">
        <v>5088</v>
      </c>
      <c r="AW6" t="s">
        <v>5086</v>
      </c>
    </row>
    <row r="7" spans="1:49" hidden="1" x14ac:dyDescent="0.35">
      <c r="A7" t="s">
        <v>73</v>
      </c>
      <c r="B7" t="s">
        <v>74</v>
      </c>
      <c r="C7" t="s">
        <v>4818</v>
      </c>
      <c r="D7" t="s">
        <v>18</v>
      </c>
      <c r="E7" t="s">
        <v>119</v>
      </c>
      <c r="F7" t="s">
        <v>120</v>
      </c>
      <c r="G7" t="s">
        <v>21</v>
      </c>
      <c r="H7" t="s">
        <v>4834</v>
      </c>
      <c r="I7" t="s">
        <v>4849</v>
      </c>
      <c r="J7" s="4" t="s">
        <v>4850</v>
      </c>
      <c r="K7" s="4" t="s">
        <v>4852</v>
      </c>
      <c r="L7" s="4" t="s">
        <v>4855</v>
      </c>
      <c r="M7" s="4" t="s">
        <v>5035</v>
      </c>
      <c r="N7" t="s">
        <v>121</v>
      </c>
      <c r="O7" t="s">
        <v>122</v>
      </c>
      <c r="P7" t="s">
        <v>23</v>
      </c>
      <c r="Q7" t="s">
        <v>24</v>
      </c>
      <c r="R7" t="s">
        <v>25</v>
      </c>
      <c r="S7" t="s">
        <v>26</v>
      </c>
      <c r="T7" s="6">
        <v>46307</v>
      </c>
      <c r="U7">
        <v>66</v>
      </c>
      <c r="V7">
        <v>66</v>
      </c>
      <c r="W7">
        <v>72</v>
      </c>
      <c r="X7">
        <v>72</v>
      </c>
      <c r="Y7">
        <f t="shared" si="1"/>
        <v>0</v>
      </c>
      <c r="Z7">
        <f t="shared" si="2"/>
        <v>-6</v>
      </c>
      <c r="AC7" s="1">
        <v>0</v>
      </c>
      <c r="AF7">
        <f t="shared" si="3"/>
        <v>66</v>
      </c>
      <c r="AG7" s="41">
        <v>6</v>
      </c>
      <c r="AH7">
        <f t="shared" si="4"/>
        <v>66</v>
      </c>
      <c r="AI7">
        <f t="shared" si="5"/>
        <v>0</v>
      </c>
      <c r="AK7">
        <f t="shared" si="6"/>
        <v>11</v>
      </c>
      <c r="AL7">
        <v>14.78</v>
      </c>
      <c r="AM7" t="s">
        <v>27</v>
      </c>
      <c r="AN7">
        <v>14.78</v>
      </c>
      <c r="AO7" t="b">
        <f t="shared" si="7"/>
        <v>1</v>
      </c>
      <c r="AR7" t="s">
        <v>5061</v>
      </c>
      <c r="AS7" s="21">
        <v>46276</v>
      </c>
      <c r="AT7" t="s">
        <v>5064</v>
      </c>
      <c r="AU7" t="s">
        <v>5066</v>
      </c>
      <c r="AV7" t="s">
        <v>5088</v>
      </c>
      <c r="AW7" t="s">
        <v>5086</v>
      </c>
    </row>
    <row r="8" spans="1:49" hidden="1" x14ac:dyDescent="0.35">
      <c r="A8" t="s">
        <v>73</v>
      </c>
      <c r="B8" t="s">
        <v>74</v>
      </c>
      <c r="C8" t="s">
        <v>4818</v>
      </c>
      <c r="D8" t="s">
        <v>18</v>
      </c>
      <c r="E8" t="s">
        <v>127</v>
      </c>
      <c r="F8" t="s">
        <v>128</v>
      </c>
      <c r="G8" t="s">
        <v>21</v>
      </c>
      <c r="H8" t="s">
        <v>4834</v>
      </c>
      <c r="I8" t="s">
        <v>4849</v>
      </c>
      <c r="J8" s="4" t="s">
        <v>4850</v>
      </c>
      <c r="K8" s="4" t="s">
        <v>4837</v>
      </c>
      <c r="L8" s="4" t="s">
        <v>4857</v>
      </c>
      <c r="M8" s="4" t="s">
        <v>5035</v>
      </c>
      <c r="N8" t="s">
        <v>129</v>
      </c>
      <c r="O8" t="s">
        <v>130</v>
      </c>
      <c r="P8" t="s">
        <v>23</v>
      </c>
      <c r="Q8" t="s">
        <v>24</v>
      </c>
      <c r="R8" t="s">
        <v>25</v>
      </c>
      <c r="S8" t="s">
        <v>26</v>
      </c>
      <c r="T8" s="6">
        <v>46307</v>
      </c>
      <c r="U8">
        <v>30</v>
      </c>
      <c r="V8">
        <v>30</v>
      </c>
      <c r="W8">
        <v>30</v>
      </c>
      <c r="X8">
        <v>30</v>
      </c>
      <c r="Y8">
        <f t="shared" si="1"/>
        <v>0</v>
      </c>
      <c r="Z8">
        <f t="shared" si="2"/>
        <v>0</v>
      </c>
      <c r="AC8" s="1">
        <v>0</v>
      </c>
      <c r="AF8">
        <f t="shared" si="3"/>
        <v>30</v>
      </c>
      <c r="AG8" s="41">
        <v>6</v>
      </c>
      <c r="AH8">
        <f t="shared" si="4"/>
        <v>30</v>
      </c>
      <c r="AI8">
        <f t="shared" si="5"/>
        <v>0</v>
      </c>
      <c r="AK8">
        <f t="shared" si="6"/>
        <v>5</v>
      </c>
      <c r="AL8">
        <v>14.78</v>
      </c>
      <c r="AM8" t="s">
        <v>27</v>
      </c>
      <c r="AN8">
        <v>14.78</v>
      </c>
      <c r="AO8" t="b">
        <f t="shared" si="7"/>
        <v>1</v>
      </c>
      <c r="AR8" t="s">
        <v>5061</v>
      </c>
      <c r="AS8" s="21">
        <v>46276</v>
      </c>
      <c r="AT8" t="s">
        <v>5064</v>
      </c>
      <c r="AU8" t="s">
        <v>5066</v>
      </c>
      <c r="AV8" t="s">
        <v>5088</v>
      </c>
      <c r="AW8" t="s">
        <v>5086</v>
      </c>
    </row>
    <row r="9" spans="1:49" hidden="1" x14ac:dyDescent="0.35">
      <c r="A9" t="s">
        <v>73</v>
      </c>
      <c r="B9" t="s">
        <v>74</v>
      </c>
      <c r="C9" t="s">
        <v>4818</v>
      </c>
      <c r="D9" t="s">
        <v>18</v>
      </c>
      <c r="E9" t="s">
        <v>131</v>
      </c>
      <c r="F9" t="s">
        <v>132</v>
      </c>
      <c r="G9" t="s">
        <v>21</v>
      </c>
      <c r="H9" t="s">
        <v>4834</v>
      </c>
      <c r="I9" t="s">
        <v>4839</v>
      </c>
      <c r="J9" s="4" t="s">
        <v>4840</v>
      </c>
      <c r="K9" s="4" t="s">
        <v>4843</v>
      </c>
      <c r="L9" s="4" t="s">
        <v>4858</v>
      </c>
      <c r="M9" s="4" t="s">
        <v>5035</v>
      </c>
      <c r="N9" t="s">
        <v>133</v>
      </c>
      <c r="O9" t="s">
        <v>134</v>
      </c>
      <c r="P9" t="s">
        <v>23</v>
      </c>
      <c r="Q9" t="s">
        <v>24</v>
      </c>
      <c r="R9" t="s">
        <v>25</v>
      </c>
      <c r="S9" t="s">
        <v>26</v>
      </c>
      <c r="T9" s="6">
        <v>46307</v>
      </c>
      <c r="U9">
        <v>100</v>
      </c>
      <c r="V9">
        <v>100</v>
      </c>
      <c r="W9">
        <v>100</v>
      </c>
      <c r="X9">
        <v>100</v>
      </c>
      <c r="Y9">
        <f t="shared" si="1"/>
        <v>0</v>
      </c>
      <c r="Z9">
        <f t="shared" si="2"/>
        <v>0</v>
      </c>
      <c r="AC9" s="1">
        <v>0</v>
      </c>
      <c r="AF9">
        <f t="shared" si="3"/>
        <v>100</v>
      </c>
      <c r="AG9" s="41">
        <v>10</v>
      </c>
      <c r="AH9">
        <f t="shared" si="4"/>
        <v>100</v>
      </c>
      <c r="AI9">
        <f t="shared" si="5"/>
        <v>0</v>
      </c>
      <c r="AK9">
        <f t="shared" si="6"/>
        <v>10</v>
      </c>
      <c r="AL9">
        <v>20.420000000000002</v>
      </c>
      <c r="AM9" t="s">
        <v>27</v>
      </c>
      <c r="AN9">
        <v>20.420000000000002</v>
      </c>
      <c r="AO9" t="b">
        <f t="shared" si="7"/>
        <v>1</v>
      </c>
      <c r="AR9" t="s">
        <v>5061</v>
      </c>
      <c r="AS9" s="21">
        <v>46276</v>
      </c>
      <c r="AT9" t="s">
        <v>5064</v>
      </c>
      <c r="AU9" t="s">
        <v>5065</v>
      </c>
      <c r="AV9" t="s">
        <v>5088</v>
      </c>
      <c r="AW9" t="s">
        <v>5086</v>
      </c>
    </row>
    <row r="10" spans="1:49" hidden="1" x14ac:dyDescent="0.35">
      <c r="A10" t="s">
        <v>73</v>
      </c>
      <c r="B10" t="s">
        <v>74</v>
      </c>
      <c r="C10" t="s">
        <v>4818</v>
      </c>
      <c r="D10" t="s">
        <v>18</v>
      </c>
      <c r="E10" t="s">
        <v>147</v>
      </c>
      <c r="F10" t="s">
        <v>148</v>
      </c>
      <c r="G10" t="s">
        <v>21</v>
      </c>
      <c r="H10" t="s">
        <v>4834</v>
      </c>
      <c r="I10" t="s">
        <v>4839</v>
      </c>
      <c r="J10" s="4" t="s">
        <v>4840</v>
      </c>
      <c r="K10" s="4" t="s">
        <v>4832</v>
      </c>
      <c r="L10" s="4" t="s">
        <v>4858</v>
      </c>
      <c r="M10" s="4" t="s">
        <v>5035</v>
      </c>
      <c r="N10" t="s">
        <v>149</v>
      </c>
      <c r="O10" t="s">
        <v>150</v>
      </c>
      <c r="P10" t="s">
        <v>23</v>
      </c>
      <c r="Q10" t="s">
        <v>24</v>
      </c>
      <c r="R10" t="s">
        <v>25</v>
      </c>
      <c r="S10" t="s">
        <v>26</v>
      </c>
      <c r="T10" s="6">
        <v>46307</v>
      </c>
      <c r="U10">
        <v>80</v>
      </c>
      <c r="V10">
        <v>80</v>
      </c>
      <c r="W10">
        <v>80</v>
      </c>
      <c r="X10">
        <v>80</v>
      </c>
      <c r="Y10">
        <f t="shared" si="1"/>
        <v>0</v>
      </c>
      <c r="Z10">
        <f t="shared" si="2"/>
        <v>0</v>
      </c>
      <c r="AC10" s="1">
        <v>0</v>
      </c>
      <c r="AF10">
        <f t="shared" si="3"/>
        <v>80</v>
      </c>
      <c r="AG10" s="41">
        <v>10</v>
      </c>
      <c r="AH10">
        <f t="shared" si="4"/>
        <v>80</v>
      </c>
      <c r="AI10">
        <f t="shared" si="5"/>
        <v>0</v>
      </c>
      <c r="AK10">
        <f t="shared" si="6"/>
        <v>8</v>
      </c>
      <c r="AL10">
        <v>20.420000000000002</v>
      </c>
      <c r="AM10" t="s">
        <v>27</v>
      </c>
      <c r="AN10">
        <v>20.420000000000002</v>
      </c>
      <c r="AO10" t="b">
        <f t="shared" si="7"/>
        <v>1</v>
      </c>
      <c r="AR10" t="s">
        <v>5061</v>
      </c>
      <c r="AS10" s="21">
        <v>46276</v>
      </c>
      <c r="AT10" t="s">
        <v>5064</v>
      </c>
      <c r="AU10" t="s">
        <v>5065</v>
      </c>
      <c r="AV10" t="s">
        <v>5088</v>
      </c>
      <c r="AW10" t="s">
        <v>5086</v>
      </c>
    </row>
    <row r="11" spans="1:49" hidden="1" x14ac:dyDescent="0.35">
      <c r="A11" t="s">
        <v>73</v>
      </c>
      <c r="B11" t="s">
        <v>74</v>
      </c>
      <c r="C11" t="s">
        <v>4818</v>
      </c>
      <c r="D11" t="s">
        <v>18</v>
      </c>
      <c r="E11" t="s">
        <v>155</v>
      </c>
      <c r="F11" t="s">
        <v>156</v>
      </c>
      <c r="G11" t="s">
        <v>21</v>
      </c>
      <c r="H11" t="s">
        <v>4834</v>
      </c>
      <c r="I11" t="s">
        <v>4849</v>
      </c>
      <c r="J11" s="4" t="s">
        <v>4850</v>
      </c>
      <c r="K11" s="4" t="s">
        <v>4862</v>
      </c>
      <c r="L11" s="4" t="s">
        <v>4863</v>
      </c>
      <c r="M11" s="4" t="s">
        <v>5035</v>
      </c>
      <c r="N11" t="s">
        <v>157</v>
      </c>
      <c r="O11" t="s">
        <v>158</v>
      </c>
      <c r="P11" t="s">
        <v>23</v>
      </c>
      <c r="Q11" t="s">
        <v>24</v>
      </c>
      <c r="R11" t="s">
        <v>25</v>
      </c>
      <c r="S11" t="s">
        <v>26</v>
      </c>
      <c r="T11" s="6">
        <v>46307</v>
      </c>
      <c r="U11">
        <v>84</v>
      </c>
      <c r="V11">
        <v>84</v>
      </c>
      <c r="W11">
        <v>90</v>
      </c>
      <c r="X11">
        <v>90</v>
      </c>
      <c r="Y11">
        <f t="shared" si="1"/>
        <v>0</v>
      </c>
      <c r="Z11">
        <f t="shared" si="2"/>
        <v>-6</v>
      </c>
      <c r="AC11" s="1">
        <v>0</v>
      </c>
      <c r="AF11">
        <f t="shared" si="3"/>
        <v>84</v>
      </c>
      <c r="AG11" s="41">
        <v>6</v>
      </c>
      <c r="AH11">
        <f t="shared" si="4"/>
        <v>84</v>
      </c>
      <c r="AI11">
        <f t="shared" si="5"/>
        <v>0</v>
      </c>
      <c r="AK11">
        <f t="shared" si="6"/>
        <v>14</v>
      </c>
      <c r="AL11">
        <v>14.78</v>
      </c>
      <c r="AM11" t="s">
        <v>27</v>
      </c>
      <c r="AN11">
        <v>14.78</v>
      </c>
      <c r="AO11" t="b">
        <f t="shared" si="7"/>
        <v>1</v>
      </c>
      <c r="AR11" t="s">
        <v>5061</v>
      </c>
      <c r="AS11" s="21">
        <v>46276</v>
      </c>
      <c r="AT11" t="s">
        <v>5064</v>
      </c>
      <c r="AU11" t="s">
        <v>5066</v>
      </c>
      <c r="AV11" t="s">
        <v>5088</v>
      </c>
      <c r="AW11" t="s">
        <v>5086</v>
      </c>
    </row>
    <row r="12" spans="1:49" hidden="1" x14ac:dyDescent="0.35">
      <c r="A12" t="s">
        <v>73</v>
      </c>
      <c r="B12" t="s">
        <v>74</v>
      </c>
      <c r="C12" t="s">
        <v>4818</v>
      </c>
      <c r="D12" t="s">
        <v>18</v>
      </c>
      <c r="E12" t="s">
        <v>159</v>
      </c>
      <c r="F12" t="s">
        <v>160</v>
      </c>
      <c r="G12" t="s">
        <v>21</v>
      </c>
      <c r="H12" t="s">
        <v>4834</v>
      </c>
      <c r="I12" t="s">
        <v>4839</v>
      </c>
      <c r="J12" s="4" t="s">
        <v>4840</v>
      </c>
      <c r="K12" s="4" t="s">
        <v>4832</v>
      </c>
      <c r="L12" s="4" t="s">
        <v>4844</v>
      </c>
      <c r="M12" s="4" t="s">
        <v>5035</v>
      </c>
      <c r="N12" t="s">
        <v>161</v>
      </c>
      <c r="O12" t="s">
        <v>162</v>
      </c>
      <c r="P12" t="s">
        <v>23</v>
      </c>
      <c r="Q12" t="s">
        <v>24</v>
      </c>
      <c r="R12" t="s">
        <v>25</v>
      </c>
      <c r="S12" t="s">
        <v>26</v>
      </c>
      <c r="T12" s="6">
        <v>46307</v>
      </c>
      <c r="U12">
        <v>90</v>
      </c>
      <c r="V12">
        <v>90</v>
      </c>
      <c r="W12">
        <v>90</v>
      </c>
      <c r="X12">
        <v>90</v>
      </c>
      <c r="Y12">
        <f t="shared" si="1"/>
        <v>0</v>
      </c>
      <c r="Z12">
        <f t="shared" si="2"/>
        <v>0</v>
      </c>
      <c r="AC12" s="1">
        <v>0</v>
      </c>
      <c r="AF12">
        <f t="shared" si="3"/>
        <v>90</v>
      </c>
      <c r="AG12" s="41">
        <v>10</v>
      </c>
      <c r="AH12">
        <f t="shared" si="4"/>
        <v>90</v>
      </c>
      <c r="AI12">
        <f t="shared" si="5"/>
        <v>0</v>
      </c>
      <c r="AK12">
        <f t="shared" si="6"/>
        <v>9</v>
      </c>
      <c r="AL12">
        <v>20.420000000000002</v>
      </c>
      <c r="AM12" t="s">
        <v>27</v>
      </c>
      <c r="AN12">
        <v>20.420000000000002</v>
      </c>
      <c r="AO12" t="b">
        <f t="shared" si="7"/>
        <v>1</v>
      </c>
      <c r="AR12" t="s">
        <v>5061</v>
      </c>
      <c r="AS12" s="21">
        <v>46276</v>
      </c>
      <c r="AT12" t="s">
        <v>5064</v>
      </c>
      <c r="AU12" t="s">
        <v>5065</v>
      </c>
      <c r="AV12" t="s">
        <v>5088</v>
      </c>
      <c r="AW12" t="s">
        <v>5086</v>
      </c>
    </row>
    <row r="13" spans="1:49" hidden="1" x14ac:dyDescent="0.35">
      <c r="A13" t="s">
        <v>73</v>
      </c>
      <c r="B13" t="s">
        <v>74</v>
      </c>
      <c r="C13" t="s">
        <v>4818</v>
      </c>
      <c r="D13" t="s">
        <v>18</v>
      </c>
      <c r="E13" t="s">
        <v>163</v>
      </c>
      <c r="F13" t="s">
        <v>164</v>
      </c>
      <c r="G13" t="s">
        <v>21</v>
      </c>
      <c r="H13" t="s">
        <v>4834</v>
      </c>
      <c r="I13" t="s">
        <v>4849</v>
      </c>
      <c r="J13" s="4" t="s">
        <v>4850</v>
      </c>
      <c r="K13" s="4" t="s">
        <v>4852</v>
      </c>
      <c r="L13" s="4" t="s">
        <v>4864</v>
      </c>
      <c r="M13" s="4" t="s">
        <v>5035</v>
      </c>
      <c r="N13" t="s">
        <v>165</v>
      </c>
      <c r="O13" t="s">
        <v>166</v>
      </c>
      <c r="P13" t="s">
        <v>23</v>
      </c>
      <c r="Q13" t="s">
        <v>24</v>
      </c>
      <c r="R13" t="s">
        <v>25</v>
      </c>
      <c r="S13" t="s">
        <v>26</v>
      </c>
      <c r="T13" s="6">
        <v>46307</v>
      </c>
      <c r="U13">
        <v>18</v>
      </c>
      <c r="V13">
        <v>18</v>
      </c>
      <c r="W13">
        <v>18</v>
      </c>
      <c r="X13">
        <v>18</v>
      </c>
      <c r="Y13">
        <f t="shared" si="1"/>
        <v>0</v>
      </c>
      <c r="Z13">
        <f t="shared" si="2"/>
        <v>0</v>
      </c>
      <c r="AC13" s="1">
        <v>0</v>
      </c>
      <c r="AF13">
        <f t="shared" si="3"/>
        <v>18</v>
      </c>
      <c r="AG13" s="41">
        <v>6</v>
      </c>
      <c r="AH13">
        <f t="shared" si="4"/>
        <v>18</v>
      </c>
      <c r="AI13">
        <f t="shared" si="5"/>
        <v>0</v>
      </c>
      <c r="AK13">
        <f t="shared" si="6"/>
        <v>3</v>
      </c>
      <c r="AL13">
        <v>14.78</v>
      </c>
      <c r="AM13" t="s">
        <v>27</v>
      </c>
      <c r="AN13">
        <v>14.78</v>
      </c>
      <c r="AO13" t="b">
        <f t="shared" si="7"/>
        <v>1</v>
      </c>
      <c r="AR13" t="s">
        <v>5061</v>
      </c>
      <c r="AS13" s="21">
        <v>46276</v>
      </c>
      <c r="AT13" t="s">
        <v>5064</v>
      </c>
      <c r="AU13" t="s">
        <v>5066</v>
      </c>
      <c r="AV13" t="s">
        <v>5088</v>
      </c>
      <c r="AW13" t="s">
        <v>5086</v>
      </c>
    </row>
    <row r="14" spans="1:49" hidden="1" x14ac:dyDescent="0.35">
      <c r="A14" t="s">
        <v>73</v>
      </c>
      <c r="B14" t="s">
        <v>74</v>
      </c>
      <c r="C14" t="s">
        <v>4818</v>
      </c>
      <c r="D14" t="s">
        <v>18</v>
      </c>
      <c r="E14" t="s">
        <v>167</v>
      </c>
      <c r="F14" t="s">
        <v>168</v>
      </c>
      <c r="G14" t="s">
        <v>21</v>
      </c>
      <c r="H14" t="s">
        <v>4834</v>
      </c>
      <c r="I14" t="s">
        <v>4839</v>
      </c>
      <c r="J14" s="4" t="s">
        <v>4840</v>
      </c>
      <c r="K14" s="4" t="s">
        <v>4843</v>
      </c>
      <c r="L14" s="4" t="s">
        <v>4865</v>
      </c>
      <c r="M14" s="4" t="s">
        <v>5035</v>
      </c>
      <c r="N14" t="s">
        <v>169</v>
      </c>
      <c r="O14" t="s">
        <v>170</v>
      </c>
      <c r="P14" t="s">
        <v>23</v>
      </c>
      <c r="Q14" t="s">
        <v>24</v>
      </c>
      <c r="R14" t="s">
        <v>25</v>
      </c>
      <c r="S14" t="s">
        <v>26</v>
      </c>
      <c r="T14" s="6">
        <v>46307</v>
      </c>
      <c r="U14">
        <v>50</v>
      </c>
      <c r="V14">
        <v>50</v>
      </c>
      <c r="W14">
        <v>50</v>
      </c>
      <c r="X14">
        <v>50</v>
      </c>
      <c r="Y14">
        <f t="shared" si="1"/>
        <v>0</v>
      </c>
      <c r="Z14">
        <f t="shared" si="2"/>
        <v>0</v>
      </c>
      <c r="AC14" s="1">
        <v>0</v>
      </c>
      <c r="AF14">
        <f t="shared" si="3"/>
        <v>50</v>
      </c>
      <c r="AG14" s="41">
        <v>10</v>
      </c>
      <c r="AH14">
        <f t="shared" si="4"/>
        <v>50</v>
      </c>
      <c r="AI14">
        <f t="shared" si="5"/>
        <v>0</v>
      </c>
      <c r="AK14">
        <f t="shared" si="6"/>
        <v>5</v>
      </c>
      <c r="AL14">
        <v>20.420000000000002</v>
      </c>
      <c r="AM14" t="s">
        <v>27</v>
      </c>
      <c r="AN14">
        <v>20.420000000000002</v>
      </c>
      <c r="AO14" t="b">
        <f t="shared" si="7"/>
        <v>1</v>
      </c>
      <c r="AR14" t="s">
        <v>5061</v>
      </c>
      <c r="AS14" s="21">
        <v>46276</v>
      </c>
      <c r="AT14" t="s">
        <v>5064</v>
      </c>
      <c r="AU14" t="s">
        <v>5065</v>
      </c>
      <c r="AV14" t="s">
        <v>5088</v>
      </c>
      <c r="AW14" t="s">
        <v>5086</v>
      </c>
    </row>
    <row r="15" spans="1:49" hidden="1" x14ac:dyDescent="0.35">
      <c r="A15" t="s">
        <v>73</v>
      </c>
      <c r="B15" t="s">
        <v>74</v>
      </c>
      <c r="C15" t="s">
        <v>4818</v>
      </c>
      <c r="D15" t="s">
        <v>18</v>
      </c>
      <c r="E15" t="s">
        <v>175</v>
      </c>
      <c r="F15" t="s">
        <v>176</v>
      </c>
      <c r="G15" t="s">
        <v>21</v>
      </c>
      <c r="H15" t="s">
        <v>4834</v>
      </c>
      <c r="I15" t="s">
        <v>4839</v>
      </c>
      <c r="J15" s="4" t="s">
        <v>4840</v>
      </c>
      <c r="K15" s="4" t="s">
        <v>4854</v>
      </c>
      <c r="L15" s="4" t="s">
        <v>4866</v>
      </c>
      <c r="M15" s="4" t="s">
        <v>5035</v>
      </c>
      <c r="N15" t="s">
        <v>177</v>
      </c>
      <c r="O15" t="s">
        <v>178</v>
      </c>
      <c r="P15" t="s">
        <v>23</v>
      </c>
      <c r="Q15" t="s">
        <v>24</v>
      </c>
      <c r="R15" t="s">
        <v>25</v>
      </c>
      <c r="S15" t="s">
        <v>26</v>
      </c>
      <c r="T15" s="6">
        <v>46307</v>
      </c>
      <c r="U15">
        <v>100</v>
      </c>
      <c r="V15">
        <v>100</v>
      </c>
      <c r="W15">
        <v>100</v>
      </c>
      <c r="X15">
        <v>100</v>
      </c>
      <c r="Y15">
        <f t="shared" si="1"/>
        <v>0</v>
      </c>
      <c r="Z15">
        <f t="shared" si="2"/>
        <v>0</v>
      </c>
      <c r="AC15" s="1">
        <v>0</v>
      </c>
      <c r="AF15">
        <f t="shared" si="3"/>
        <v>100</v>
      </c>
      <c r="AG15" s="41">
        <v>10</v>
      </c>
      <c r="AH15">
        <f t="shared" si="4"/>
        <v>100</v>
      </c>
      <c r="AI15">
        <f t="shared" si="5"/>
        <v>0</v>
      </c>
      <c r="AK15">
        <f t="shared" si="6"/>
        <v>10</v>
      </c>
      <c r="AL15">
        <v>20.420000000000002</v>
      </c>
      <c r="AM15" t="s">
        <v>27</v>
      </c>
      <c r="AN15">
        <v>20.420000000000002</v>
      </c>
      <c r="AO15" t="b">
        <f t="shared" si="7"/>
        <v>1</v>
      </c>
      <c r="AR15" t="s">
        <v>5061</v>
      </c>
      <c r="AS15" s="21">
        <v>46276</v>
      </c>
      <c r="AT15" t="s">
        <v>5064</v>
      </c>
      <c r="AU15" t="s">
        <v>5065</v>
      </c>
      <c r="AV15" t="s">
        <v>5088</v>
      </c>
      <c r="AW15" t="s">
        <v>5086</v>
      </c>
    </row>
    <row r="16" spans="1:49" hidden="1" x14ac:dyDescent="0.35">
      <c r="A16" t="s">
        <v>73</v>
      </c>
      <c r="B16" t="s">
        <v>74</v>
      </c>
      <c r="C16" t="s">
        <v>4818</v>
      </c>
      <c r="D16" t="s">
        <v>18</v>
      </c>
      <c r="E16" t="s">
        <v>187</v>
      </c>
      <c r="F16" t="s">
        <v>188</v>
      </c>
      <c r="G16" t="s">
        <v>21</v>
      </c>
      <c r="H16" t="s">
        <v>4834</v>
      </c>
      <c r="I16" t="s">
        <v>4849</v>
      </c>
      <c r="J16" s="4" t="s">
        <v>4850</v>
      </c>
      <c r="K16" s="4" t="s">
        <v>4852</v>
      </c>
      <c r="L16" s="4" t="s">
        <v>4867</v>
      </c>
      <c r="M16" s="4" t="s">
        <v>5035</v>
      </c>
      <c r="N16" t="s">
        <v>189</v>
      </c>
      <c r="O16" t="s">
        <v>190</v>
      </c>
      <c r="P16" t="s">
        <v>23</v>
      </c>
      <c r="Q16" t="s">
        <v>24</v>
      </c>
      <c r="R16" t="s">
        <v>25</v>
      </c>
      <c r="S16" t="s">
        <v>26</v>
      </c>
      <c r="T16" s="6">
        <v>46307</v>
      </c>
      <c r="U16">
        <v>84</v>
      </c>
      <c r="V16">
        <v>84</v>
      </c>
      <c r="W16">
        <v>90</v>
      </c>
      <c r="X16">
        <v>90</v>
      </c>
      <c r="Y16">
        <f t="shared" si="1"/>
        <v>0</v>
      </c>
      <c r="Z16">
        <f t="shared" si="2"/>
        <v>-6</v>
      </c>
      <c r="AC16" s="1">
        <v>0</v>
      </c>
      <c r="AF16">
        <f t="shared" si="3"/>
        <v>84</v>
      </c>
      <c r="AG16" s="41">
        <v>6</v>
      </c>
      <c r="AH16">
        <f t="shared" si="4"/>
        <v>84</v>
      </c>
      <c r="AI16">
        <f t="shared" si="5"/>
        <v>0</v>
      </c>
      <c r="AK16">
        <f t="shared" si="6"/>
        <v>14</v>
      </c>
      <c r="AL16">
        <v>14.78</v>
      </c>
      <c r="AM16" t="s">
        <v>27</v>
      </c>
      <c r="AN16">
        <v>14.78</v>
      </c>
      <c r="AO16" t="b">
        <f t="shared" si="7"/>
        <v>1</v>
      </c>
      <c r="AR16" t="s">
        <v>5061</v>
      </c>
      <c r="AS16" s="21">
        <v>46276</v>
      </c>
      <c r="AT16" t="s">
        <v>5064</v>
      </c>
      <c r="AU16" t="s">
        <v>5066</v>
      </c>
      <c r="AV16" t="s">
        <v>5088</v>
      </c>
      <c r="AW16" t="s">
        <v>5086</v>
      </c>
    </row>
    <row r="17" spans="1:49" hidden="1" x14ac:dyDescent="0.35">
      <c r="A17" t="s">
        <v>73</v>
      </c>
      <c r="B17" t="s">
        <v>74</v>
      </c>
      <c r="C17" t="s">
        <v>4818</v>
      </c>
      <c r="D17" t="s">
        <v>18</v>
      </c>
      <c r="E17" t="s">
        <v>191</v>
      </c>
      <c r="F17" t="s">
        <v>192</v>
      </c>
      <c r="G17" t="s">
        <v>21</v>
      </c>
      <c r="H17" t="s">
        <v>4834</v>
      </c>
      <c r="I17" t="s">
        <v>4839</v>
      </c>
      <c r="J17" s="4" t="s">
        <v>4840</v>
      </c>
      <c r="K17" s="4" t="s">
        <v>4832</v>
      </c>
      <c r="L17" s="4" t="s">
        <v>4868</v>
      </c>
      <c r="M17" s="4" t="s">
        <v>5035</v>
      </c>
      <c r="N17" t="s">
        <v>193</v>
      </c>
      <c r="O17" t="s">
        <v>194</v>
      </c>
      <c r="P17" t="s">
        <v>23</v>
      </c>
      <c r="Q17" t="s">
        <v>24</v>
      </c>
      <c r="R17" t="s">
        <v>25</v>
      </c>
      <c r="S17" t="s">
        <v>26</v>
      </c>
      <c r="T17" s="6">
        <v>46307</v>
      </c>
      <c r="U17">
        <v>110</v>
      </c>
      <c r="V17">
        <v>110</v>
      </c>
      <c r="W17">
        <v>120</v>
      </c>
      <c r="X17">
        <v>120</v>
      </c>
      <c r="Y17">
        <f t="shared" si="1"/>
        <v>0</v>
      </c>
      <c r="Z17">
        <f t="shared" si="2"/>
        <v>-10</v>
      </c>
      <c r="AC17" s="1">
        <v>0</v>
      </c>
      <c r="AF17">
        <f t="shared" si="3"/>
        <v>110</v>
      </c>
      <c r="AG17" s="41">
        <v>10</v>
      </c>
      <c r="AH17">
        <f t="shared" si="4"/>
        <v>110</v>
      </c>
      <c r="AI17">
        <f t="shared" si="5"/>
        <v>0</v>
      </c>
      <c r="AK17">
        <f t="shared" si="6"/>
        <v>11</v>
      </c>
      <c r="AL17">
        <v>20.420000000000002</v>
      </c>
      <c r="AM17" t="s">
        <v>27</v>
      </c>
      <c r="AN17">
        <v>20.420000000000002</v>
      </c>
      <c r="AO17" t="b">
        <f t="shared" si="7"/>
        <v>1</v>
      </c>
      <c r="AR17" t="s">
        <v>5061</v>
      </c>
      <c r="AS17" s="21">
        <v>46276</v>
      </c>
      <c r="AT17" t="s">
        <v>5064</v>
      </c>
      <c r="AU17" t="s">
        <v>5065</v>
      </c>
      <c r="AV17" t="s">
        <v>5088</v>
      </c>
      <c r="AW17" t="s">
        <v>5086</v>
      </c>
    </row>
    <row r="18" spans="1:49" hidden="1" x14ac:dyDescent="0.35">
      <c r="A18" t="s">
        <v>73</v>
      </c>
      <c r="B18" t="s">
        <v>74</v>
      </c>
      <c r="C18" t="s">
        <v>4818</v>
      </c>
      <c r="D18" t="s">
        <v>18</v>
      </c>
      <c r="E18" t="s">
        <v>195</v>
      </c>
      <c r="F18" t="s">
        <v>196</v>
      </c>
      <c r="G18" t="s">
        <v>21</v>
      </c>
      <c r="H18" t="s">
        <v>4834</v>
      </c>
      <c r="I18" t="s">
        <v>4849</v>
      </c>
      <c r="J18" s="4" t="s">
        <v>4850</v>
      </c>
      <c r="K18" s="4" t="s">
        <v>4862</v>
      </c>
      <c r="L18" s="4" t="s">
        <v>4869</v>
      </c>
      <c r="M18" s="4" t="s">
        <v>5035</v>
      </c>
      <c r="N18" t="s">
        <v>197</v>
      </c>
      <c r="O18" t="s">
        <v>198</v>
      </c>
      <c r="P18" t="s">
        <v>23</v>
      </c>
      <c r="Q18" t="s">
        <v>24</v>
      </c>
      <c r="R18" t="s">
        <v>25</v>
      </c>
      <c r="S18" t="s">
        <v>26</v>
      </c>
      <c r="T18" s="6">
        <v>46307</v>
      </c>
      <c r="U18">
        <v>84</v>
      </c>
      <c r="V18">
        <v>84</v>
      </c>
      <c r="W18">
        <v>84</v>
      </c>
      <c r="X18">
        <v>84</v>
      </c>
      <c r="Y18">
        <f t="shared" si="1"/>
        <v>0</v>
      </c>
      <c r="Z18">
        <f t="shared" si="2"/>
        <v>0</v>
      </c>
      <c r="AC18" s="1">
        <v>0</v>
      </c>
      <c r="AF18">
        <f t="shared" si="3"/>
        <v>84</v>
      </c>
      <c r="AG18" s="41">
        <v>6</v>
      </c>
      <c r="AH18">
        <f t="shared" si="4"/>
        <v>84</v>
      </c>
      <c r="AI18">
        <f t="shared" si="5"/>
        <v>0</v>
      </c>
      <c r="AK18">
        <f t="shared" si="6"/>
        <v>14</v>
      </c>
      <c r="AL18">
        <v>14.78</v>
      </c>
      <c r="AM18" t="s">
        <v>27</v>
      </c>
      <c r="AN18">
        <v>14.78</v>
      </c>
      <c r="AO18" t="b">
        <f t="shared" si="7"/>
        <v>1</v>
      </c>
      <c r="AR18" t="s">
        <v>5061</v>
      </c>
      <c r="AS18" s="21">
        <v>46276</v>
      </c>
      <c r="AT18" t="s">
        <v>5064</v>
      </c>
      <c r="AU18" t="s">
        <v>5066</v>
      </c>
      <c r="AV18" t="s">
        <v>5088</v>
      </c>
      <c r="AW18" t="s">
        <v>5086</v>
      </c>
    </row>
    <row r="19" spans="1:49" hidden="1" x14ac:dyDescent="0.35">
      <c r="A19" t="s">
        <v>73</v>
      </c>
      <c r="B19" t="s">
        <v>74</v>
      </c>
      <c r="C19" t="s">
        <v>4818</v>
      </c>
      <c r="D19" t="s">
        <v>18</v>
      </c>
      <c r="E19" t="s">
        <v>203</v>
      </c>
      <c r="F19" t="s">
        <v>204</v>
      </c>
      <c r="G19" t="s">
        <v>21</v>
      </c>
      <c r="H19" t="s">
        <v>4834</v>
      </c>
      <c r="I19" t="s">
        <v>4849</v>
      </c>
      <c r="J19" s="4" t="s">
        <v>4850</v>
      </c>
      <c r="K19" s="4" t="s">
        <v>4852</v>
      </c>
      <c r="L19" s="4" t="s">
        <v>4870</v>
      </c>
      <c r="M19" s="4" t="s">
        <v>5035</v>
      </c>
      <c r="N19" t="s">
        <v>205</v>
      </c>
      <c r="O19" t="s">
        <v>206</v>
      </c>
      <c r="P19" t="s">
        <v>23</v>
      </c>
      <c r="Q19" t="s">
        <v>24</v>
      </c>
      <c r="R19" t="s">
        <v>25</v>
      </c>
      <c r="S19" t="s">
        <v>26</v>
      </c>
      <c r="T19" s="6">
        <v>46307</v>
      </c>
      <c r="U19">
        <v>84</v>
      </c>
      <c r="V19">
        <v>84</v>
      </c>
      <c r="W19">
        <v>90</v>
      </c>
      <c r="X19">
        <v>90</v>
      </c>
      <c r="Y19">
        <f t="shared" si="1"/>
        <v>0</v>
      </c>
      <c r="Z19">
        <f t="shared" si="2"/>
        <v>-6</v>
      </c>
      <c r="AC19" s="1">
        <v>0</v>
      </c>
      <c r="AF19">
        <f t="shared" si="3"/>
        <v>84</v>
      </c>
      <c r="AG19" s="41">
        <v>6</v>
      </c>
      <c r="AH19">
        <f t="shared" si="4"/>
        <v>84</v>
      </c>
      <c r="AI19">
        <f t="shared" si="5"/>
        <v>0</v>
      </c>
      <c r="AK19">
        <f t="shared" si="6"/>
        <v>14</v>
      </c>
      <c r="AL19">
        <v>14.78</v>
      </c>
      <c r="AM19" t="s">
        <v>27</v>
      </c>
      <c r="AN19">
        <v>14.78</v>
      </c>
      <c r="AO19" t="b">
        <f t="shared" si="7"/>
        <v>1</v>
      </c>
      <c r="AR19" t="s">
        <v>5061</v>
      </c>
      <c r="AS19" s="21">
        <v>46276</v>
      </c>
      <c r="AT19" t="s">
        <v>5064</v>
      </c>
      <c r="AU19" t="s">
        <v>5066</v>
      </c>
      <c r="AV19" t="s">
        <v>5088</v>
      </c>
      <c r="AW19" t="s">
        <v>5086</v>
      </c>
    </row>
    <row r="20" spans="1:49" hidden="1" x14ac:dyDescent="0.35">
      <c r="A20" t="s">
        <v>73</v>
      </c>
      <c r="B20" t="s">
        <v>74</v>
      </c>
      <c r="C20" t="s">
        <v>4818</v>
      </c>
      <c r="D20" t="s">
        <v>18</v>
      </c>
      <c r="E20" t="s">
        <v>211</v>
      </c>
      <c r="F20" t="s">
        <v>212</v>
      </c>
      <c r="G20" t="s">
        <v>21</v>
      </c>
      <c r="H20" t="s">
        <v>4834</v>
      </c>
      <c r="I20" t="s">
        <v>4849</v>
      </c>
      <c r="J20" s="4" t="s">
        <v>4850</v>
      </c>
      <c r="K20" s="4" t="s">
        <v>4852</v>
      </c>
      <c r="L20" s="4" t="s">
        <v>4871</v>
      </c>
      <c r="M20" s="4" t="s">
        <v>5035</v>
      </c>
      <c r="N20" t="s">
        <v>213</v>
      </c>
      <c r="O20" t="s">
        <v>214</v>
      </c>
      <c r="P20" t="s">
        <v>23</v>
      </c>
      <c r="Q20" t="s">
        <v>24</v>
      </c>
      <c r="R20" t="s">
        <v>25</v>
      </c>
      <c r="S20" t="s">
        <v>26</v>
      </c>
      <c r="T20" s="6">
        <v>46307</v>
      </c>
      <c r="U20">
        <v>90</v>
      </c>
      <c r="V20">
        <v>90</v>
      </c>
      <c r="W20">
        <v>96</v>
      </c>
      <c r="X20">
        <v>96</v>
      </c>
      <c r="Y20">
        <f t="shared" si="1"/>
        <v>0</v>
      </c>
      <c r="Z20">
        <f t="shared" si="2"/>
        <v>-6</v>
      </c>
      <c r="AC20" s="1">
        <v>0</v>
      </c>
      <c r="AF20">
        <f t="shared" si="3"/>
        <v>90</v>
      </c>
      <c r="AG20" s="41">
        <v>6</v>
      </c>
      <c r="AH20">
        <f t="shared" si="4"/>
        <v>90</v>
      </c>
      <c r="AI20">
        <f t="shared" si="5"/>
        <v>0</v>
      </c>
      <c r="AK20">
        <f t="shared" si="6"/>
        <v>15</v>
      </c>
      <c r="AL20">
        <v>14.78</v>
      </c>
      <c r="AM20" t="s">
        <v>27</v>
      </c>
      <c r="AN20">
        <v>14.78</v>
      </c>
      <c r="AO20" t="b">
        <f t="shared" si="7"/>
        <v>1</v>
      </c>
      <c r="AR20" t="s">
        <v>5061</v>
      </c>
      <c r="AS20" s="21">
        <v>46276</v>
      </c>
      <c r="AT20" t="s">
        <v>5064</v>
      </c>
      <c r="AU20" t="s">
        <v>5066</v>
      </c>
      <c r="AV20" t="s">
        <v>5088</v>
      </c>
      <c r="AW20" t="s">
        <v>5086</v>
      </c>
    </row>
    <row r="21" spans="1:49" hidden="1" x14ac:dyDescent="0.35">
      <c r="A21" t="s">
        <v>73</v>
      </c>
      <c r="B21" t="s">
        <v>74</v>
      </c>
      <c r="C21" t="s">
        <v>4818</v>
      </c>
      <c r="D21" t="s">
        <v>18</v>
      </c>
      <c r="E21" t="s">
        <v>231</v>
      </c>
      <c r="F21" t="s">
        <v>232</v>
      </c>
      <c r="G21" t="s">
        <v>21</v>
      </c>
      <c r="H21" t="s">
        <v>4834</v>
      </c>
      <c r="I21" t="s">
        <v>4849</v>
      </c>
      <c r="J21" s="4" t="s">
        <v>4850</v>
      </c>
      <c r="K21" s="4" t="s">
        <v>4837</v>
      </c>
      <c r="L21" s="4" t="s">
        <v>4873</v>
      </c>
      <c r="M21" s="4" t="s">
        <v>5035</v>
      </c>
      <c r="N21" t="s">
        <v>233</v>
      </c>
      <c r="O21" t="s">
        <v>234</v>
      </c>
      <c r="P21" t="s">
        <v>23</v>
      </c>
      <c r="Q21" t="s">
        <v>24</v>
      </c>
      <c r="R21" t="s">
        <v>25</v>
      </c>
      <c r="S21" t="s">
        <v>26</v>
      </c>
      <c r="T21" s="6">
        <v>46307</v>
      </c>
      <c r="U21">
        <v>42</v>
      </c>
      <c r="V21">
        <v>42</v>
      </c>
      <c r="W21">
        <v>42</v>
      </c>
      <c r="X21">
        <v>42</v>
      </c>
      <c r="Y21">
        <f t="shared" si="1"/>
        <v>0</v>
      </c>
      <c r="Z21">
        <f t="shared" si="2"/>
        <v>0</v>
      </c>
      <c r="AC21" s="1">
        <v>0</v>
      </c>
      <c r="AF21">
        <f t="shared" si="3"/>
        <v>42</v>
      </c>
      <c r="AG21" s="41">
        <v>6</v>
      </c>
      <c r="AH21">
        <f t="shared" si="4"/>
        <v>42</v>
      </c>
      <c r="AI21">
        <f t="shared" si="5"/>
        <v>0</v>
      </c>
      <c r="AK21">
        <f t="shared" si="6"/>
        <v>7</v>
      </c>
      <c r="AL21">
        <v>14.78</v>
      </c>
      <c r="AM21" t="s">
        <v>27</v>
      </c>
      <c r="AN21">
        <v>14.78</v>
      </c>
      <c r="AO21" t="b">
        <f t="shared" si="7"/>
        <v>1</v>
      </c>
      <c r="AR21" t="s">
        <v>5061</v>
      </c>
      <c r="AS21" s="21">
        <v>46276</v>
      </c>
      <c r="AT21" t="s">
        <v>5064</v>
      </c>
      <c r="AU21" t="s">
        <v>5066</v>
      </c>
      <c r="AV21" t="s">
        <v>5088</v>
      </c>
      <c r="AW21" t="s">
        <v>5086</v>
      </c>
    </row>
    <row r="22" spans="1:49" hidden="1" x14ac:dyDescent="0.35">
      <c r="A22" t="s">
        <v>73</v>
      </c>
      <c r="B22" t="s">
        <v>74</v>
      </c>
      <c r="C22" t="s">
        <v>4818</v>
      </c>
      <c r="D22" t="s">
        <v>18</v>
      </c>
      <c r="E22" t="s">
        <v>243</v>
      </c>
      <c r="F22" t="s">
        <v>244</v>
      </c>
      <c r="G22" t="s">
        <v>21</v>
      </c>
      <c r="H22" t="s">
        <v>4834</v>
      </c>
      <c r="I22" t="s">
        <v>4849</v>
      </c>
      <c r="J22" s="4" t="s">
        <v>4850</v>
      </c>
      <c r="K22" s="4" t="s">
        <v>4854</v>
      </c>
      <c r="L22" s="4" t="s">
        <v>4857</v>
      </c>
      <c r="M22" s="4" t="s">
        <v>5035</v>
      </c>
      <c r="N22" t="s">
        <v>245</v>
      </c>
      <c r="O22" t="s">
        <v>246</v>
      </c>
      <c r="P22" t="s">
        <v>23</v>
      </c>
      <c r="Q22" t="s">
        <v>24</v>
      </c>
      <c r="R22" t="s">
        <v>25</v>
      </c>
      <c r="S22" t="s">
        <v>26</v>
      </c>
      <c r="T22" s="6">
        <v>46307</v>
      </c>
      <c r="U22">
        <v>72</v>
      </c>
      <c r="V22">
        <v>72</v>
      </c>
      <c r="W22">
        <v>78</v>
      </c>
      <c r="X22">
        <v>78</v>
      </c>
      <c r="Y22">
        <f t="shared" si="1"/>
        <v>0</v>
      </c>
      <c r="Z22">
        <f t="shared" si="2"/>
        <v>-6</v>
      </c>
      <c r="AC22" s="1">
        <v>0</v>
      </c>
      <c r="AF22">
        <f t="shared" si="3"/>
        <v>72</v>
      </c>
      <c r="AG22" s="41">
        <v>6</v>
      </c>
      <c r="AH22">
        <f t="shared" si="4"/>
        <v>72</v>
      </c>
      <c r="AI22">
        <f t="shared" si="5"/>
        <v>0</v>
      </c>
      <c r="AK22">
        <f t="shared" si="6"/>
        <v>12</v>
      </c>
      <c r="AL22">
        <v>14.78</v>
      </c>
      <c r="AM22" t="s">
        <v>27</v>
      </c>
      <c r="AN22">
        <v>14.78</v>
      </c>
      <c r="AO22" t="b">
        <f t="shared" si="7"/>
        <v>1</v>
      </c>
      <c r="AR22" t="s">
        <v>5061</v>
      </c>
      <c r="AS22" s="21">
        <v>46276</v>
      </c>
      <c r="AT22" t="s">
        <v>5064</v>
      </c>
      <c r="AU22" t="s">
        <v>5066</v>
      </c>
      <c r="AV22" t="s">
        <v>5088</v>
      </c>
      <c r="AW22" t="s">
        <v>5086</v>
      </c>
    </row>
    <row r="23" spans="1:49" hidden="1" x14ac:dyDescent="0.35">
      <c r="A23" t="s">
        <v>73</v>
      </c>
      <c r="B23" t="s">
        <v>74</v>
      </c>
      <c r="C23" t="s">
        <v>4818</v>
      </c>
      <c r="D23" t="s">
        <v>18</v>
      </c>
      <c r="E23" t="s">
        <v>247</v>
      </c>
      <c r="F23" t="s">
        <v>248</v>
      </c>
      <c r="G23" t="s">
        <v>21</v>
      </c>
      <c r="H23" t="s">
        <v>4834</v>
      </c>
      <c r="I23" t="s">
        <v>4849</v>
      </c>
      <c r="J23" s="4" t="s">
        <v>4850</v>
      </c>
      <c r="K23" s="4" t="s">
        <v>4837</v>
      </c>
      <c r="L23" s="4" t="s">
        <v>4871</v>
      </c>
      <c r="M23" s="4" t="s">
        <v>5035</v>
      </c>
      <c r="N23" t="s">
        <v>249</v>
      </c>
      <c r="O23" t="s">
        <v>250</v>
      </c>
      <c r="P23" t="s">
        <v>23</v>
      </c>
      <c r="Q23" t="s">
        <v>24</v>
      </c>
      <c r="R23" t="s">
        <v>25</v>
      </c>
      <c r="S23" t="s">
        <v>26</v>
      </c>
      <c r="T23" s="6">
        <v>46307</v>
      </c>
      <c r="U23">
        <v>54</v>
      </c>
      <c r="V23">
        <v>54</v>
      </c>
      <c r="W23">
        <v>54</v>
      </c>
      <c r="X23">
        <v>54</v>
      </c>
      <c r="Y23">
        <f t="shared" si="1"/>
        <v>0</v>
      </c>
      <c r="Z23">
        <f t="shared" si="2"/>
        <v>0</v>
      </c>
      <c r="AC23" s="1">
        <v>0</v>
      </c>
      <c r="AF23">
        <f t="shared" si="3"/>
        <v>54</v>
      </c>
      <c r="AG23" s="41">
        <v>6</v>
      </c>
      <c r="AH23">
        <f t="shared" si="4"/>
        <v>54</v>
      </c>
      <c r="AI23">
        <f t="shared" si="5"/>
        <v>0</v>
      </c>
      <c r="AK23">
        <f t="shared" si="6"/>
        <v>9</v>
      </c>
      <c r="AL23">
        <v>14.78</v>
      </c>
      <c r="AM23" t="s">
        <v>27</v>
      </c>
      <c r="AN23">
        <v>14.78</v>
      </c>
      <c r="AO23" t="b">
        <f t="shared" si="7"/>
        <v>1</v>
      </c>
      <c r="AR23" t="s">
        <v>5061</v>
      </c>
      <c r="AS23" s="21">
        <v>46276</v>
      </c>
      <c r="AT23" t="s">
        <v>5064</v>
      </c>
      <c r="AU23" t="s">
        <v>5066</v>
      </c>
      <c r="AV23" t="s">
        <v>5088</v>
      </c>
      <c r="AW23" t="s">
        <v>5086</v>
      </c>
    </row>
    <row r="24" spans="1:49" hidden="1" x14ac:dyDescent="0.35">
      <c r="A24" t="s">
        <v>73</v>
      </c>
      <c r="B24" t="s">
        <v>74</v>
      </c>
      <c r="C24" t="s">
        <v>4818</v>
      </c>
      <c r="D24" t="s">
        <v>18</v>
      </c>
      <c r="E24" t="s">
        <v>255</v>
      </c>
      <c r="F24" t="s">
        <v>256</v>
      </c>
      <c r="G24" t="s">
        <v>21</v>
      </c>
      <c r="H24" t="s">
        <v>4834</v>
      </c>
      <c r="I24" t="s">
        <v>4839</v>
      </c>
      <c r="J24" s="4" t="s">
        <v>4840</v>
      </c>
      <c r="K24" s="4" t="s">
        <v>4854</v>
      </c>
      <c r="L24" s="4" t="s">
        <v>4872</v>
      </c>
      <c r="M24" s="4" t="s">
        <v>5035</v>
      </c>
      <c r="N24" t="s">
        <v>257</v>
      </c>
      <c r="O24" t="s">
        <v>258</v>
      </c>
      <c r="P24" t="s">
        <v>23</v>
      </c>
      <c r="Q24" t="s">
        <v>24</v>
      </c>
      <c r="R24" t="s">
        <v>25</v>
      </c>
      <c r="S24" t="s">
        <v>26</v>
      </c>
      <c r="T24" s="6">
        <v>46307</v>
      </c>
      <c r="U24">
        <v>50</v>
      </c>
      <c r="V24">
        <v>50</v>
      </c>
      <c r="W24">
        <v>50</v>
      </c>
      <c r="X24">
        <v>50</v>
      </c>
      <c r="Y24">
        <f t="shared" si="1"/>
        <v>0</v>
      </c>
      <c r="Z24">
        <f t="shared" si="2"/>
        <v>0</v>
      </c>
      <c r="AC24" s="1">
        <v>0</v>
      </c>
      <c r="AF24">
        <f t="shared" si="3"/>
        <v>50</v>
      </c>
      <c r="AG24" s="41">
        <v>10</v>
      </c>
      <c r="AH24">
        <f t="shared" si="4"/>
        <v>50</v>
      </c>
      <c r="AI24">
        <f t="shared" si="5"/>
        <v>0</v>
      </c>
      <c r="AK24">
        <f t="shared" si="6"/>
        <v>5</v>
      </c>
      <c r="AL24">
        <v>20.420000000000002</v>
      </c>
      <c r="AM24" t="s">
        <v>27</v>
      </c>
      <c r="AN24">
        <v>20.420000000000002</v>
      </c>
      <c r="AO24" t="b">
        <f t="shared" si="7"/>
        <v>1</v>
      </c>
      <c r="AR24" t="s">
        <v>5061</v>
      </c>
      <c r="AS24" s="21">
        <v>46276</v>
      </c>
      <c r="AT24" t="s">
        <v>5064</v>
      </c>
      <c r="AU24" t="s">
        <v>5065</v>
      </c>
      <c r="AV24" t="s">
        <v>5088</v>
      </c>
      <c r="AW24" t="s">
        <v>5086</v>
      </c>
    </row>
    <row r="25" spans="1:49" hidden="1" x14ac:dyDescent="0.35">
      <c r="A25" t="s">
        <v>73</v>
      </c>
      <c r="B25" t="s">
        <v>74</v>
      </c>
      <c r="C25" t="s">
        <v>4818</v>
      </c>
      <c r="D25" t="s">
        <v>18</v>
      </c>
      <c r="E25" t="s">
        <v>267</v>
      </c>
      <c r="F25" t="s">
        <v>268</v>
      </c>
      <c r="G25" t="s">
        <v>21</v>
      </c>
      <c r="H25" t="s">
        <v>4834</v>
      </c>
      <c r="I25" t="s">
        <v>4839</v>
      </c>
      <c r="J25" s="4" t="s">
        <v>4840</v>
      </c>
      <c r="K25" s="4" t="s">
        <v>4843</v>
      </c>
      <c r="L25" s="4" t="s">
        <v>4866</v>
      </c>
      <c r="M25" s="4" t="s">
        <v>5035</v>
      </c>
      <c r="N25" t="s">
        <v>269</v>
      </c>
      <c r="O25" t="s">
        <v>270</v>
      </c>
      <c r="P25" t="s">
        <v>23</v>
      </c>
      <c r="Q25" t="s">
        <v>24</v>
      </c>
      <c r="R25" t="s">
        <v>25</v>
      </c>
      <c r="S25" t="s">
        <v>26</v>
      </c>
      <c r="T25" s="6">
        <v>46307</v>
      </c>
      <c r="U25">
        <v>160</v>
      </c>
      <c r="V25">
        <v>160</v>
      </c>
      <c r="W25">
        <v>170</v>
      </c>
      <c r="X25">
        <v>170</v>
      </c>
      <c r="Y25">
        <f t="shared" si="1"/>
        <v>0</v>
      </c>
      <c r="Z25">
        <f t="shared" si="2"/>
        <v>-10</v>
      </c>
      <c r="AC25" s="1">
        <v>0</v>
      </c>
      <c r="AF25">
        <f t="shared" si="3"/>
        <v>160</v>
      </c>
      <c r="AG25" s="41">
        <v>10</v>
      </c>
      <c r="AH25">
        <f t="shared" si="4"/>
        <v>160</v>
      </c>
      <c r="AI25">
        <f t="shared" si="5"/>
        <v>0</v>
      </c>
      <c r="AK25">
        <f t="shared" si="6"/>
        <v>16</v>
      </c>
      <c r="AL25">
        <v>20.420000000000002</v>
      </c>
      <c r="AM25" t="s">
        <v>27</v>
      </c>
      <c r="AN25">
        <v>20.420000000000002</v>
      </c>
      <c r="AO25" t="b">
        <f t="shared" si="7"/>
        <v>1</v>
      </c>
      <c r="AR25" t="s">
        <v>5061</v>
      </c>
      <c r="AS25" s="21">
        <v>46276</v>
      </c>
      <c r="AT25" t="s">
        <v>5064</v>
      </c>
      <c r="AU25" t="s">
        <v>5065</v>
      </c>
      <c r="AV25" t="s">
        <v>5088</v>
      </c>
      <c r="AW25" t="s">
        <v>5086</v>
      </c>
    </row>
    <row r="26" spans="1:49" hidden="1" x14ac:dyDescent="0.35">
      <c r="A26" t="s">
        <v>73</v>
      </c>
      <c r="B26" t="s">
        <v>74</v>
      </c>
      <c r="C26" t="s">
        <v>4818</v>
      </c>
      <c r="D26" t="s">
        <v>18</v>
      </c>
      <c r="E26" t="s">
        <v>279</v>
      </c>
      <c r="F26" t="s">
        <v>280</v>
      </c>
      <c r="G26" t="s">
        <v>21</v>
      </c>
      <c r="H26" t="s">
        <v>4834</v>
      </c>
      <c r="I26" t="s">
        <v>4849</v>
      </c>
      <c r="J26" s="4" t="s">
        <v>4850</v>
      </c>
      <c r="K26" s="4" t="s">
        <v>4854</v>
      </c>
      <c r="L26" s="4" t="s">
        <v>4871</v>
      </c>
      <c r="M26" s="4" t="s">
        <v>5035</v>
      </c>
      <c r="N26" t="s">
        <v>281</v>
      </c>
      <c r="O26" t="s">
        <v>282</v>
      </c>
      <c r="P26" t="s">
        <v>23</v>
      </c>
      <c r="Q26" t="s">
        <v>24</v>
      </c>
      <c r="R26" t="s">
        <v>25</v>
      </c>
      <c r="S26" t="s">
        <v>26</v>
      </c>
      <c r="T26" s="6">
        <v>46307</v>
      </c>
      <c r="U26">
        <v>18</v>
      </c>
      <c r="V26">
        <v>18</v>
      </c>
      <c r="W26">
        <v>18</v>
      </c>
      <c r="X26">
        <v>18</v>
      </c>
      <c r="Y26">
        <f t="shared" si="1"/>
        <v>0</v>
      </c>
      <c r="Z26">
        <f t="shared" si="2"/>
        <v>0</v>
      </c>
      <c r="AC26" s="1">
        <v>0</v>
      </c>
      <c r="AF26">
        <f t="shared" si="3"/>
        <v>18</v>
      </c>
      <c r="AG26" s="41">
        <v>6</v>
      </c>
      <c r="AH26">
        <f t="shared" si="4"/>
        <v>18</v>
      </c>
      <c r="AI26">
        <f t="shared" si="5"/>
        <v>0</v>
      </c>
      <c r="AK26">
        <f t="shared" si="6"/>
        <v>3</v>
      </c>
      <c r="AL26">
        <v>14.78</v>
      </c>
      <c r="AM26" t="s">
        <v>27</v>
      </c>
      <c r="AN26">
        <v>14.78</v>
      </c>
      <c r="AO26" t="b">
        <f t="shared" si="7"/>
        <v>1</v>
      </c>
      <c r="AR26" t="s">
        <v>5061</v>
      </c>
      <c r="AS26" s="21">
        <v>46276</v>
      </c>
      <c r="AT26" t="s">
        <v>5064</v>
      </c>
      <c r="AU26" t="s">
        <v>5066</v>
      </c>
      <c r="AV26" t="s">
        <v>5088</v>
      </c>
      <c r="AW26" t="s">
        <v>5086</v>
      </c>
    </row>
    <row r="27" spans="1:49" hidden="1" x14ac:dyDescent="0.35">
      <c r="A27" t="s">
        <v>73</v>
      </c>
      <c r="B27" t="s">
        <v>74</v>
      </c>
      <c r="C27" t="s">
        <v>4818</v>
      </c>
      <c r="D27" t="s">
        <v>18</v>
      </c>
      <c r="E27" t="s">
        <v>283</v>
      </c>
      <c r="F27" t="s">
        <v>284</v>
      </c>
      <c r="G27" t="s">
        <v>21</v>
      </c>
      <c r="H27" t="s">
        <v>4834</v>
      </c>
      <c r="I27" t="s">
        <v>4849</v>
      </c>
      <c r="J27" s="4" t="s">
        <v>4850</v>
      </c>
      <c r="K27" s="4" t="s">
        <v>4854</v>
      </c>
      <c r="L27" s="4" t="s">
        <v>4877</v>
      </c>
      <c r="M27" s="4" t="s">
        <v>5035</v>
      </c>
      <c r="N27" t="s">
        <v>285</v>
      </c>
      <c r="O27" t="s">
        <v>286</v>
      </c>
      <c r="P27" t="s">
        <v>23</v>
      </c>
      <c r="Q27" t="s">
        <v>24</v>
      </c>
      <c r="R27" t="s">
        <v>25</v>
      </c>
      <c r="S27" t="s">
        <v>26</v>
      </c>
      <c r="T27" s="6">
        <v>46307</v>
      </c>
      <c r="U27">
        <v>114</v>
      </c>
      <c r="V27">
        <v>114</v>
      </c>
      <c r="W27">
        <v>120</v>
      </c>
      <c r="X27">
        <v>120</v>
      </c>
      <c r="Y27">
        <f t="shared" si="1"/>
        <v>0</v>
      </c>
      <c r="Z27">
        <f t="shared" si="2"/>
        <v>-6</v>
      </c>
      <c r="AC27" s="1">
        <v>0</v>
      </c>
      <c r="AF27">
        <f t="shared" si="3"/>
        <v>114</v>
      </c>
      <c r="AG27" s="41">
        <v>6</v>
      </c>
      <c r="AH27">
        <f t="shared" si="4"/>
        <v>114</v>
      </c>
      <c r="AI27">
        <f t="shared" si="5"/>
        <v>0</v>
      </c>
      <c r="AK27">
        <f t="shared" si="6"/>
        <v>19</v>
      </c>
      <c r="AL27">
        <v>14.78</v>
      </c>
      <c r="AM27" t="s">
        <v>27</v>
      </c>
      <c r="AN27">
        <v>14.78</v>
      </c>
      <c r="AO27" t="b">
        <f t="shared" si="7"/>
        <v>1</v>
      </c>
      <c r="AR27" t="s">
        <v>5061</v>
      </c>
      <c r="AS27" s="21">
        <v>46276</v>
      </c>
      <c r="AT27" t="s">
        <v>5064</v>
      </c>
      <c r="AU27" t="s">
        <v>5066</v>
      </c>
      <c r="AV27" t="s">
        <v>5088</v>
      </c>
      <c r="AW27" t="s">
        <v>5086</v>
      </c>
    </row>
    <row r="28" spans="1:49" hidden="1" x14ac:dyDescent="0.35">
      <c r="A28" t="s">
        <v>73</v>
      </c>
      <c r="B28" t="s">
        <v>74</v>
      </c>
      <c r="C28" t="s">
        <v>4818</v>
      </c>
      <c r="D28" t="s">
        <v>18</v>
      </c>
      <c r="E28" t="s">
        <v>287</v>
      </c>
      <c r="F28" t="s">
        <v>288</v>
      </c>
      <c r="G28" t="s">
        <v>21</v>
      </c>
      <c r="H28" t="s">
        <v>4834</v>
      </c>
      <c r="I28" t="s">
        <v>4839</v>
      </c>
      <c r="J28" s="4" t="s">
        <v>4840</v>
      </c>
      <c r="K28" s="4" t="s">
        <v>4854</v>
      </c>
      <c r="L28" s="4" t="s">
        <v>4878</v>
      </c>
      <c r="M28" s="4" t="s">
        <v>5035</v>
      </c>
      <c r="N28" t="s">
        <v>289</v>
      </c>
      <c r="O28" t="s">
        <v>290</v>
      </c>
      <c r="P28" t="s">
        <v>23</v>
      </c>
      <c r="Q28" t="s">
        <v>24</v>
      </c>
      <c r="R28" t="s">
        <v>25</v>
      </c>
      <c r="S28" t="s">
        <v>26</v>
      </c>
      <c r="T28" s="6">
        <v>46307</v>
      </c>
      <c r="U28">
        <v>110</v>
      </c>
      <c r="V28">
        <v>110</v>
      </c>
      <c r="W28">
        <v>120</v>
      </c>
      <c r="X28">
        <v>120</v>
      </c>
      <c r="Y28">
        <f t="shared" si="1"/>
        <v>0</v>
      </c>
      <c r="Z28">
        <f t="shared" si="2"/>
        <v>-10</v>
      </c>
      <c r="AC28" s="1">
        <v>0</v>
      </c>
      <c r="AF28">
        <f t="shared" si="3"/>
        <v>110</v>
      </c>
      <c r="AG28" s="41">
        <v>10</v>
      </c>
      <c r="AH28">
        <f t="shared" si="4"/>
        <v>110</v>
      </c>
      <c r="AI28">
        <f t="shared" si="5"/>
        <v>0</v>
      </c>
      <c r="AK28">
        <f t="shared" si="6"/>
        <v>11</v>
      </c>
      <c r="AL28">
        <v>20.420000000000002</v>
      </c>
      <c r="AM28" t="s">
        <v>27</v>
      </c>
      <c r="AN28">
        <v>20.420000000000002</v>
      </c>
      <c r="AO28" t="b">
        <f t="shared" si="7"/>
        <v>1</v>
      </c>
      <c r="AR28" t="s">
        <v>5061</v>
      </c>
      <c r="AS28" s="21">
        <v>46276</v>
      </c>
      <c r="AT28" t="s">
        <v>5064</v>
      </c>
      <c r="AU28" t="s">
        <v>5065</v>
      </c>
      <c r="AV28" t="s">
        <v>5088</v>
      </c>
      <c r="AW28" t="s">
        <v>5086</v>
      </c>
    </row>
    <row r="29" spans="1:49" hidden="1" x14ac:dyDescent="0.35">
      <c r="A29" t="s">
        <v>73</v>
      </c>
      <c r="B29" t="s">
        <v>74</v>
      </c>
      <c r="C29" t="s">
        <v>4818</v>
      </c>
      <c r="D29" t="s">
        <v>18</v>
      </c>
      <c r="E29" t="s">
        <v>299</v>
      </c>
      <c r="F29" t="s">
        <v>300</v>
      </c>
      <c r="G29" t="s">
        <v>21</v>
      </c>
      <c r="H29" t="s">
        <v>4834</v>
      </c>
      <c r="I29" t="s">
        <v>4849</v>
      </c>
      <c r="J29" s="4" t="s">
        <v>4850</v>
      </c>
      <c r="K29" s="4" t="s">
        <v>4837</v>
      </c>
      <c r="L29" s="4" t="s">
        <v>4879</v>
      </c>
      <c r="M29" s="4" t="s">
        <v>5035</v>
      </c>
      <c r="N29" t="s">
        <v>301</v>
      </c>
      <c r="O29" t="s">
        <v>302</v>
      </c>
      <c r="P29" t="s">
        <v>23</v>
      </c>
      <c r="Q29" t="s">
        <v>24</v>
      </c>
      <c r="R29" t="s">
        <v>25</v>
      </c>
      <c r="S29" t="s">
        <v>26</v>
      </c>
      <c r="T29" s="6">
        <v>46307</v>
      </c>
      <c r="U29">
        <v>90</v>
      </c>
      <c r="V29">
        <v>90</v>
      </c>
      <c r="W29">
        <v>96</v>
      </c>
      <c r="X29">
        <v>96</v>
      </c>
      <c r="Y29">
        <f t="shared" si="1"/>
        <v>0</v>
      </c>
      <c r="Z29">
        <f t="shared" si="2"/>
        <v>-6</v>
      </c>
      <c r="AC29" s="1">
        <v>0</v>
      </c>
      <c r="AF29">
        <f t="shared" si="3"/>
        <v>90</v>
      </c>
      <c r="AG29" s="41">
        <v>6</v>
      </c>
      <c r="AH29">
        <f t="shared" si="4"/>
        <v>90</v>
      </c>
      <c r="AI29">
        <f t="shared" si="5"/>
        <v>0</v>
      </c>
      <c r="AK29">
        <f t="shared" si="6"/>
        <v>15</v>
      </c>
      <c r="AL29">
        <v>14.78</v>
      </c>
      <c r="AM29" t="s">
        <v>27</v>
      </c>
      <c r="AN29">
        <v>14.78</v>
      </c>
      <c r="AO29" t="b">
        <f t="shared" si="7"/>
        <v>1</v>
      </c>
      <c r="AR29" t="s">
        <v>5061</v>
      </c>
      <c r="AS29" s="21">
        <v>46276</v>
      </c>
      <c r="AT29" t="s">
        <v>5064</v>
      </c>
      <c r="AU29" t="s">
        <v>5066</v>
      </c>
      <c r="AV29" t="s">
        <v>5088</v>
      </c>
      <c r="AW29" t="s">
        <v>5086</v>
      </c>
    </row>
    <row r="30" spans="1:49" hidden="1" x14ac:dyDescent="0.35">
      <c r="A30" t="s">
        <v>73</v>
      </c>
      <c r="B30" t="s">
        <v>74</v>
      </c>
      <c r="C30" t="s">
        <v>4818</v>
      </c>
      <c r="D30" t="s">
        <v>18</v>
      </c>
      <c r="E30" t="s">
        <v>307</v>
      </c>
      <c r="F30" t="s">
        <v>308</v>
      </c>
      <c r="G30" t="s">
        <v>21</v>
      </c>
      <c r="H30" t="s">
        <v>4834</v>
      </c>
      <c r="I30" t="s">
        <v>4839</v>
      </c>
      <c r="J30" s="4" t="s">
        <v>4840</v>
      </c>
      <c r="K30" s="4" t="s">
        <v>4854</v>
      </c>
      <c r="L30" s="4" t="s">
        <v>4838</v>
      </c>
      <c r="M30" s="4" t="s">
        <v>5035</v>
      </c>
      <c r="N30" t="s">
        <v>309</v>
      </c>
      <c r="O30" t="s">
        <v>310</v>
      </c>
      <c r="P30" t="s">
        <v>23</v>
      </c>
      <c r="Q30" t="s">
        <v>24</v>
      </c>
      <c r="R30" t="s">
        <v>25</v>
      </c>
      <c r="S30" t="s">
        <v>26</v>
      </c>
      <c r="T30" s="6">
        <v>46307</v>
      </c>
      <c r="U30">
        <v>60</v>
      </c>
      <c r="V30">
        <v>60</v>
      </c>
      <c r="W30">
        <v>60</v>
      </c>
      <c r="X30">
        <v>60</v>
      </c>
      <c r="Y30">
        <f t="shared" si="1"/>
        <v>0</v>
      </c>
      <c r="Z30">
        <f t="shared" si="2"/>
        <v>0</v>
      </c>
      <c r="AC30" s="1">
        <v>0</v>
      </c>
      <c r="AF30">
        <f t="shared" si="3"/>
        <v>60</v>
      </c>
      <c r="AG30" s="41">
        <v>10</v>
      </c>
      <c r="AH30">
        <f t="shared" si="4"/>
        <v>60</v>
      </c>
      <c r="AI30">
        <f t="shared" si="5"/>
        <v>0</v>
      </c>
      <c r="AK30">
        <f t="shared" si="6"/>
        <v>6</v>
      </c>
      <c r="AL30">
        <v>20.420000000000002</v>
      </c>
      <c r="AM30" t="s">
        <v>27</v>
      </c>
      <c r="AN30">
        <v>20.420000000000002</v>
      </c>
      <c r="AO30" t="b">
        <f t="shared" si="7"/>
        <v>1</v>
      </c>
      <c r="AR30" t="s">
        <v>5061</v>
      </c>
      <c r="AS30" s="21">
        <v>46276</v>
      </c>
      <c r="AT30" t="s">
        <v>5064</v>
      </c>
      <c r="AU30" t="s">
        <v>5065</v>
      </c>
      <c r="AV30" t="s">
        <v>5088</v>
      </c>
      <c r="AW30" t="s">
        <v>5086</v>
      </c>
    </row>
    <row r="31" spans="1:49" hidden="1" x14ac:dyDescent="0.35">
      <c r="A31" t="s">
        <v>73</v>
      </c>
      <c r="B31" t="s">
        <v>74</v>
      </c>
      <c r="C31" t="s">
        <v>4818</v>
      </c>
      <c r="D31" t="s">
        <v>18</v>
      </c>
      <c r="E31" t="s">
        <v>311</v>
      </c>
      <c r="F31" t="s">
        <v>312</v>
      </c>
      <c r="G31" t="s">
        <v>21</v>
      </c>
      <c r="H31" t="s">
        <v>4834</v>
      </c>
      <c r="I31" t="s">
        <v>4839</v>
      </c>
      <c r="J31" s="4" t="s">
        <v>4840</v>
      </c>
      <c r="K31" s="4" t="s">
        <v>4832</v>
      </c>
      <c r="L31" s="4" t="s">
        <v>4876</v>
      </c>
      <c r="M31" s="4" t="s">
        <v>5035</v>
      </c>
      <c r="N31" t="s">
        <v>313</v>
      </c>
      <c r="O31" t="s">
        <v>314</v>
      </c>
      <c r="P31" t="s">
        <v>23</v>
      </c>
      <c r="Q31" t="s">
        <v>24</v>
      </c>
      <c r="R31" t="s">
        <v>25</v>
      </c>
      <c r="S31" t="s">
        <v>26</v>
      </c>
      <c r="T31" s="6">
        <v>46307</v>
      </c>
      <c r="U31">
        <v>40</v>
      </c>
      <c r="V31">
        <v>40</v>
      </c>
      <c r="W31">
        <v>40</v>
      </c>
      <c r="X31">
        <v>40</v>
      </c>
      <c r="Y31">
        <f t="shared" si="1"/>
        <v>0</v>
      </c>
      <c r="Z31">
        <f t="shared" si="2"/>
        <v>0</v>
      </c>
      <c r="AC31" s="1">
        <v>0</v>
      </c>
      <c r="AF31">
        <f t="shared" si="3"/>
        <v>40</v>
      </c>
      <c r="AG31" s="41">
        <v>10</v>
      </c>
      <c r="AH31">
        <f t="shared" si="4"/>
        <v>40</v>
      </c>
      <c r="AI31">
        <f t="shared" si="5"/>
        <v>0</v>
      </c>
      <c r="AK31">
        <f t="shared" si="6"/>
        <v>4</v>
      </c>
      <c r="AL31">
        <v>20.420000000000002</v>
      </c>
      <c r="AM31" t="s">
        <v>27</v>
      </c>
      <c r="AN31">
        <v>20.420000000000002</v>
      </c>
      <c r="AO31" t="b">
        <f t="shared" si="7"/>
        <v>1</v>
      </c>
      <c r="AR31" t="s">
        <v>5061</v>
      </c>
      <c r="AS31" s="21">
        <v>46276</v>
      </c>
      <c r="AT31" t="s">
        <v>5064</v>
      </c>
      <c r="AU31" t="s">
        <v>5065</v>
      </c>
      <c r="AV31" t="s">
        <v>5088</v>
      </c>
      <c r="AW31" t="s">
        <v>5086</v>
      </c>
    </row>
    <row r="32" spans="1:49" hidden="1" x14ac:dyDescent="0.35">
      <c r="A32" t="s">
        <v>73</v>
      </c>
      <c r="B32" t="s">
        <v>74</v>
      </c>
      <c r="C32" t="s">
        <v>4818</v>
      </c>
      <c r="D32" t="s">
        <v>18</v>
      </c>
      <c r="E32" t="s">
        <v>315</v>
      </c>
      <c r="F32" t="s">
        <v>316</v>
      </c>
      <c r="G32" t="s">
        <v>21</v>
      </c>
      <c r="H32" t="s">
        <v>4834</v>
      </c>
      <c r="I32" t="s">
        <v>4839</v>
      </c>
      <c r="J32" s="4" t="s">
        <v>4840</v>
      </c>
      <c r="K32" s="4" t="s">
        <v>4832</v>
      </c>
      <c r="L32" s="4" t="s">
        <v>4847</v>
      </c>
      <c r="M32" s="4" t="s">
        <v>5035</v>
      </c>
      <c r="N32" t="s">
        <v>317</v>
      </c>
      <c r="O32" t="s">
        <v>318</v>
      </c>
      <c r="P32" t="s">
        <v>23</v>
      </c>
      <c r="Q32" t="s">
        <v>24</v>
      </c>
      <c r="R32" t="s">
        <v>25</v>
      </c>
      <c r="S32" t="s">
        <v>26</v>
      </c>
      <c r="T32" s="6">
        <v>46307</v>
      </c>
      <c r="U32">
        <v>50</v>
      </c>
      <c r="V32">
        <v>50</v>
      </c>
      <c r="W32">
        <v>50</v>
      </c>
      <c r="X32">
        <v>50</v>
      </c>
      <c r="Y32">
        <f t="shared" si="1"/>
        <v>0</v>
      </c>
      <c r="Z32">
        <f t="shared" si="2"/>
        <v>0</v>
      </c>
      <c r="AC32" s="1">
        <v>0</v>
      </c>
      <c r="AF32">
        <f t="shared" si="3"/>
        <v>50</v>
      </c>
      <c r="AG32" s="41">
        <v>10</v>
      </c>
      <c r="AH32">
        <f t="shared" si="4"/>
        <v>50</v>
      </c>
      <c r="AI32">
        <f t="shared" si="5"/>
        <v>0</v>
      </c>
      <c r="AK32">
        <f t="shared" si="6"/>
        <v>5</v>
      </c>
      <c r="AL32">
        <v>20.420000000000002</v>
      </c>
      <c r="AM32" t="s">
        <v>27</v>
      </c>
      <c r="AN32">
        <v>20.420000000000002</v>
      </c>
      <c r="AO32" t="b">
        <f t="shared" si="7"/>
        <v>1</v>
      </c>
      <c r="AR32" t="s">
        <v>5061</v>
      </c>
      <c r="AS32" s="21">
        <v>46276</v>
      </c>
      <c r="AT32" t="s">
        <v>5064</v>
      </c>
      <c r="AU32" t="s">
        <v>5065</v>
      </c>
      <c r="AV32" t="s">
        <v>5088</v>
      </c>
      <c r="AW32" t="s">
        <v>5086</v>
      </c>
    </row>
    <row r="33" spans="1:49" hidden="1" x14ac:dyDescent="0.35">
      <c r="A33" t="s">
        <v>73</v>
      </c>
      <c r="B33" t="s">
        <v>74</v>
      </c>
      <c r="C33" t="s">
        <v>4818</v>
      </c>
      <c r="D33" t="s">
        <v>18</v>
      </c>
      <c r="E33" t="s">
        <v>319</v>
      </c>
      <c r="F33" t="s">
        <v>320</v>
      </c>
      <c r="G33" t="s">
        <v>21</v>
      </c>
      <c r="H33" t="s">
        <v>4834</v>
      </c>
      <c r="I33" t="s">
        <v>4839</v>
      </c>
      <c r="J33" s="4" t="s">
        <v>4840</v>
      </c>
      <c r="K33" s="4" t="s">
        <v>4843</v>
      </c>
      <c r="L33" s="4" t="s">
        <v>4856</v>
      </c>
      <c r="M33" s="4" t="s">
        <v>5035</v>
      </c>
      <c r="N33" t="s">
        <v>321</v>
      </c>
      <c r="O33" t="s">
        <v>322</v>
      </c>
      <c r="P33" t="s">
        <v>23</v>
      </c>
      <c r="Q33" t="s">
        <v>24</v>
      </c>
      <c r="R33" t="s">
        <v>25</v>
      </c>
      <c r="S33" t="s">
        <v>26</v>
      </c>
      <c r="T33" s="6">
        <v>46307</v>
      </c>
      <c r="U33">
        <v>50</v>
      </c>
      <c r="V33">
        <v>50</v>
      </c>
      <c r="W33">
        <v>50</v>
      </c>
      <c r="X33">
        <v>50</v>
      </c>
      <c r="Y33">
        <f t="shared" si="1"/>
        <v>0</v>
      </c>
      <c r="Z33">
        <f t="shared" si="2"/>
        <v>0</v>
      </c>
      <c r="AC33" s="1">
        <v>0</v>
      </c>
      <c r="AF33">
        <f t="shared" si="3"/>
        <v>50</v>
      </c>
      <c r="AG33" s="41">
        <v>10</v>
      </c>
      <c r="AH33">
        <f t="shared" si="4"/>
        <v>50</v>
      </c>
      <c r="AI33">
        <f t="shared" si="5"/>
        <v>0</v>
      </c>
      <c r="AK33">
        <f t="shared" si="6"/>
        <v>5</v>
      </c>
      <c r="AL33">
        <v>20.420000000000002</v>
      </c>
      <c r="AM33" t="s">
        <v>27</v>
      </c>
      <c r="AN33">
        <v>20.420000000000002</v>
      </c>
      <c r="AO33" t="b">
        <f t="shared" si="7"/>
        <v>1</v>
      </c>
      <c r="AR33" t="s">
        <v>5061</v>
      </c>
      <c r="AS33" s="21">
        <v>46276</v>
      </c>
      <c r="AT33" t="s">
        <v>5064</v>
      </c>
      <c r="AU33" t="s">
        <v>5065</v>
      </c>
      <c r="AV33" t="s">
        <v>5088</v>
      </c>
      <c r="AW33" t="s">
        <v>5086</v>
      </c>
    </row>
    <row r="34" spans="1:49" hidden="1" x14ac:dyDescent="0.35">
      <c r="A34" t="s">
        <v>73</v>
      </c>
      <c r="B34" t="s">
        <v>74</v>
      </c>
      <c r="C34" t="s">
        <v>4818</v>
      </c>
      <c r="D34" t="s">
        <v>18</v>
      </c>
      <c r="E34" t="s">
        <v>331</v>
      </c>
      <c r="F34" t="s">
        <v>332</v>
      </c>
      <c r="G34" t="s">
        <v>21</v>
      </c>
      <c r="H34" t="s">
        <v>4834</v>
      </c>
      <c r="I34" t="s">
        <v>4839</v>
      </c>
      <c r="J34" s="4" t="s">
        <v>4840</v>
      </c>
      <c r="K34" s="4" t="s">
        <v>4854</v>
      </c>
      <c r="L34" s="4" t="s">
        <v>4865</v>
      </c>
      <c r="M34" s="4" t="s">
        <v>5035</v>
      </c>
      <c r="N34" t="s">
        <v>333</v>
      </c>
      <c r="O34" t="s">
        <v>334</v>
      </c>
      <c r="P34" t="s">
        <v>23</v>
      </c>
      <c r="Q34" t="s">
        <v>24</v>
      </c>
      <c r="R34" t="s">
        <v>25</v>
      </c>
      <c r="S34" t="s">
        <v>26</v>
      </c>
      <c r="T34" s="6">
        <v>46307</v>
      </c>
      <c r="U34">
        <v>50</v>
      </c>
      <c r="V34">
        <v>50</v>
      </c>
      <c r="W34">
        <v>50</v>
      </c>
      <c r="X34">
        <v>50</v>
      </c>
      <c r="Y34">
        <f t="shared" si="1"/>
        <v>0</v>
      </c>
      <c r="Z34">
        <f t="shared" si="2"/>
        <v>0</v>
      </c>
      <c r="AC34" s="1">
        <v>0</v>
      </c>
      <c r="AF34">
        <f t="shared" si="3"/>
        <v>50</v>
      </c>
      <c r="AG34" s="41">
        <v>10</v>
      </c>
      <c r="AH34">
        <f t="shared" si="4"/>
        <v>50</v>
      </c>
      <c r="AI34">
        <f t="shared" si="5"/>
        <v>0</v>
      </c>
      <c r="AK34">
        <f t="shared" si="6"/>
        <v>5</v>
      </c>
      <c r="AL34">
        <v>20.420000000000002</v>
      </c>
      <c r="AM34" t="s">
        <v>27</v>
      </c>
      <c r="AN34">
        <v>20.420000000000002</v>
      </c>
      <c r="AO34" t="b">
        <f t="shared" si="7"/>
        <v>1</v>
      </c>
      <c r="AR34" t="s">
        <v>5061</v>
      </c>
      <c r="AS34" s="21">
        <v>46276</v>
      </c>
      <c r="AT34" t="s">
        <v>5064</v>
      </c>
      <c r="AU34" t="s">
        <v>5065</v>
      </c>
      <c r="AV34" t="s">
        <v>5088</v>
      </c>
      <c r="AW34" t="s">
        <v>5086</v>
      </c>
    </row>
    <row r="35" spans="1:49" hidden="1" x14ac:dyDescent="0.35">
      <c r="A35" t="s">
        <v>73</v>
      </c>
      <c r="B35" t="s">
        <v>74</v>
      </c>
      <c r="C35" t="s">
        <v>4818</v>
      </c>
      <c r="D35" t="s">
        <v>18</v>
      </c>
      <c r="E35" t="s">
        <v>339</v>
      </c>
      <c r="F35" t="s">
        <v>340</v>
      </c>
      <c r="G35" t="s">
        <v>21</v>
      </c>
      <c r="H35" t="s">
        <v>4834</v>
      </c>
      <c r="I35" t="s">
        <v>4839</v>
      </c>
      <c r="J35" s="4" t="s">
        <v>4840</v>
      </c>
      <c r="K35" s="4" t="s">
        <v>4832</v>
      </c>
      <c r="L35" s="4" t="s">
        <v>4872</v>
      </c>
      <c r="M35" s="4" t="s">
        <v>5035</v>
      </c>
      <c r="N35" t="s">
        <v>341</v>
      </c>
      <c r="O35" t="s">
        <v>342</v>
      </c>
      <c r="P35" t="s">
        <v>23</v>
      </c>
      <c r="Q35" t="s">
        <v>24</v>
      </c>
      <c r="R35" t="s">
        <v>25</v>
      </c>
      <c r="S35" t="s">
        <v>26</v>
      </c>
      <c r="T35" s="6">
        <v>46307</v>
      </c>
      <c r="U35">
        <v>80</v>
      </c>
      <c r="V35">
        <v>80</v>
      </c>
      <c r="W35">
        <v>80</v>
      </c>
      <c r="X35">
        <v>80</v>
      </c>
      <c r="Y35">
        <f t="shared" si="1"/>
        <v>0</v>
      </c>
      <c r="Z35">
        <f t="shared" si="2"/>
        <v>0</v>
      </c>
      <c r="AC35" s="1">
        <v>0</v>
      </c>
      <c r="AF35">
        <f t="shared" ref="AF35:AF66" si="8">V35</f>
        <v>80</v>
      </c>
      <c r="AG35" s="41">
        <v>10</v>
      </c>
      <c r="AH35">
        <f t="shared" si="4"/>
        <v>80</v>
      </c>
      <c r="AI35">
        <f t="shared" si="5"/>
        <v>0</v>
      </c>
      <c r="AK35">
        <f t="shared" si="6"/>
        <v>8</v>
      </c>
      <c r="AL35">
        <v>20.420000000000002</v>
      </c>
      <c r="AM35" t="s">
        <v>27</v>
      </c>
      <c r="AN35">
        <v>20.420000000000002</v>
      </c>
      <c r="AO35" t="b">
        <f t="shared" si="7"/>
        <v>1</v>
      </c>
      <c r="AR35" t="s">
        <v>5061</v>
      </c>
      <c r="AS35" s="21">
        <v>46276</v>
      </c>
      <c r="AT35" t="s">
        <v>5064</v>
      </c>
      <c r="AU35" t="s">
        <v>5065</v>
      </c>
      <c r="AV35" t="s">
        <v>5088</v>
      </c>
      <c r="AW35" t="s">
        <v>5086</v>
      </c>
    </row>
    <row r="36" spans="1:49" hidden="1" x14ac:dyDescent="0.35">
      <c r="A36" t="s">
        <v>73</v>
      </c>
      <c r="B36" t="s">
        <v>74</v>
      </c>
      <c r="C36" t="s">
        <v>4818</v>
      </c>
      <c r="D36" t="s">
        <v>18</v>
      </c>
      <c r="E36" t="s">
        <v>351</v>
      </c>
      <c r="F36" t="s">
        <v>352</v>
      </c>
      <c r="G36" t="s">
        <v>21</v>
      </c>
      <c r="H36" t="s">
        <v>4834</v>
      </c>
      <c r="I36" t="s">
        <v>4839</v>
      </c>
      <c r="J36" s="4" t="s">
        <v>4840</v>
      </c>
      <c r="K36" s="4" t="s">
        <v>4843</v>
      </c>
      <c r="L36" s="4" t="s">
        <v>4841</v>
      </c>
      <c r="M36" s="4" t="s">
        <v>5035</v>
      </c>
      <c r="N36" t="s">
        <v>353</v>
      </c>
      <c r="O36" t="s">
        <v>354</v>
      </c>
      <c r="P36" t="s">
        <v>23</v>
      </c>
      <c r="Q36" t="s">
        <v>24</v>
      </c>
      <c r="R36" t="s">
        <v>25</v>
      </c>
      <c r="S36" t="s">
        <v>26</v>
      </c>
      <c r="T36" s="6">
        <v>46307</v>
      </c>
      <c r="U36">
        <v>80</v>
      </c>
      <c r="V36">
        <v>80</v>
      </c>
      <c r="W36">
        <v>80</v>
      </c>
      <c r="X36">
        <v>80</v>
      </c>
      <c r="Y36">
        <f t="shared" si="1"/>
        <v>0</v>
      </c>
      <c r="Z36">
        <f t="shared" si="2"/>
        <v>0</v>
      </c>
      <c r="AC36" s="1">
        <v>0</v>
      </c>
      <c r="AF36">
        <f t="shared" si="8"/>
        <v>80</v>
      </c>
      <c r="AG36" s="41">
        <v>10</v>
      </c>
      <c r="AH36">
        <f t="shared" si="4"/>
        <v>80</v>
      </c>
      <c r="AI36">
        <f t="shared" si="5"/>
        <v>0</v>
      </c>
      <c r="AK36">
        <f t="shared" si="6"/>
        <v>8</v>
      </c>
      <c r="AL36">
        <v>20.420000000000002</v>
      </c>
      <c r="AM36" t="s">
        <v>27</v>
      </c>
      <c r="AN36">
        <v>20.420000000000002</v>
      </c>
      <c r="AO36" t="b">
        <f t="shared" si="7"/>
        <v>1</v>
      </c>
      <c r="AR36" t="s">
        <v>5061</v>
      </c>
      <c r="AS36" s="21">
        <v>46276</v>
      </c>
      <c r="AT36" t="s">
        <v>5064</v>
      </c>
      <c r="AU36" t="s">
        <v>5065</v>
      </c>
      <c r="AV36" t="s">
        <v>5088</v>
      </c>
      <c r="AW36" t="s">
        <v>5086</v>
      </c>
    </row>
    <row r="37" spans="1:49" hidden="1" x14ac:dyDescent="0.35">
      <c r="A37" t="s">
        <v>73</v>
      </c>
      <c r="B37" t="s">
        <v>74</v>
      </c>
      <c r="C37" t="s">
        <v>4818</v>
      </c>
      <c r="D37" t="s">
        <v>18</v>
      </c>
      <c r="E37" t="s">
        <v>359</v>
      </c>
      <c r="F37" t="s">
        <v>360</v>
      </c>
      <c r="G37" t="s">
        <v>21</v>
      </c>
      <c r="H37" t="s">
        <v>4834</v>
      </c>
      <c r="I37" t="s">
        <v>4849</v>
      </c>
      <c r="J37" s="4" t="s">
        <v>4850</v>
      </c>
      <c r="K37" s="4" t="s">
        <v>4852</v>
      </c>
      <c r="L37" s="4" t="s">
        <v>4875</v>
      </c>
      <c r="M37" s="4" t="s">
        <v>5035</v>
      </c>
      <c r="N37" t="s">
        <v>361</v>
      </c>
      <c r="O37" t="s">
        <v>362</v>
      </c>
      <c r="P37" t="s">
        <v>23</v>
      </c>
      <c r="Q37" t="s">
        <v>24</v>
      </c>
      <c r="R37" t="s">
        <v>25</v>
      </c>
      <c r="S37" t="s">
        <v>26</v>
      </c>
      <c r="T37" s="6">
        <v>46307</v>
      </c>
      <c r="U37">
        <v>90</v>
      </c>
      <c r="V37">
        <v>90</v>
      </c>
      <c r="W37">
        <v>96</v>
      </c>
      <c r="X37">
        <v>96</v>
      </c>
      <c r="Y37">
        <f t="shared" si="1"/>
        <v>0</v>
      </c>
      <c r="Z37">
        <f t="shared" si="2"/>
        <v>-6</v>
      </c>
      <c r="AC37" s="1">
        <v>0</v>
      </c>
      <c r="AF37">
        <f t="shared" si="8"/>
        <v>90</v>
      </c>
      <c r="AG37" s="41">
        <v>6</v>
      </c>
      <c r="AH37">
        <f t="shared" si="4"/>
        <v>90</v>
      </c>
      <c r="AI37">
        <f t="shared" si="5"/>
        <v>0</v>
      </c>
      <c r="AK37">
        <f t="shared" si="6"/>
        <v>15</v>
      </c>
      <c r="AL37">
        <v>14.78</v>
      </c>
      <c r="AM37" t="s">
        <v>27</v>
      </c>
      <c r="AN37">
        <v>14.78</v>
      </c>
      <c r="AO37" t="b">
        <f t="shared" si="7"/>
        <v>1</v>
      </c>
      <c r="AR37" t="s">
        <v>5061</v>
      </c>
      <c r="AS37" s="21">
        <v>46276</v>
      </c>
      <c r="AT37" t="s">
        <v>5064</v>
      </c>
      <c r="AU37" t="s">
        <v>5066</v>
      </c>
      <c r="AV37" t="s">
        <v>5088</v>
      </c>
      <c r="AW37" t="s">
        <v>5086</v>
      </c>
    </row>
    <row r="38" spans="1:49" hidden="1" x14ac:dyDescent="0.35">
      <c r="A38" t="s">
        <v>73</v>
      </c>
      <c r="B38" t="s">
        <v>74</v>
      </c>
      <c r="C38" t="s">
        <v>4818</v>
      </c>
      <c r="D38" t="s">
        <v>18</v>
      </c>
      <c r="E38" t="s">
        <v>363</v>
      </c>
      <c r="F38" t="s">
        <v>364</v>
      </c>
      <c r="G38" t="s">
        <v>21</v>
      </c>
      <c r="H38" t="s">
        <v>4834</v>
      </c>
      <c r="I38" t="s">
        <v>4849</v>
      </c>
      <c r="J38" s="4" t="s">
        <v>4850</v>
      </c>
      <c r="K38" s="4" t="s">
        <v>4852</v>
      </c>
      <c r="L38" s="4" t="s">
        <v>4879</v>
      </c>
      <c r="M38" s="4" t="s">
        <v>5035</v>
      </c>
      <c r="N38" t="s">
        <v>365</v>
      </c>
      <c r="O38" t="s">
        <v>366</v>
      </c>
      <c r="P38" t="s">
        <v>23</v>
      </c>
      <c r="Q38" t="s">
        <v>24</v>
      </c>
      <c r="R38" t="s">
        <v>25</v>
      </c>
      <c r="S38" t="s">
        <v>26</v>
      </c>
      <c r="T38" s="6">
        <v>46307</v>
      </c>
      <c r="U38">
        <v>114</v>
      </c>
      <c r="V38">
        <v>114</v>
      </c>
      <c r="W38">
        <v>120</v>
      </c>
      <c r="X38">
        <v>120</v>
      </c>
      <c r="Y38">
        <f t="shared" si="1"/>
        <v>0</v>
      </c>
      <c r="Z38">
        <f t="shared" si="2"/>
        <v>-6</v>
      </c>
      <c r="AC38" s="1">
        <v>0</v>
      </c>
      <c r="AF38">
        <f t="shared" si="8"/>
        <v>114</v>
      </c>
      <c r="AG38" s="41">
        <v>6</v>
      </c>
      <c r="AH38">
        <f t="shared" si="4"/>
        <v>114</v>
      </c>
      <c r="AI38">
        <f t="shared" si="5"/>
        <v>0</v>
      </c>
      <c r="AK38">
        <f t="shared" si="6"/>
        <v>19</v>
      </c>
      <c r="AL38">
        <v>14.78</v>
      </c>
      <c r="AM38" t="s">
        <v>27</v>
      </c>
      <c r="AN38">
        <v>14.78</v>
      </c>
      <c r="AO38" t="b">
        <f t="shared" si="7"/>
        <v>1</v>
      </c>
      <c r="AR38" t="s">
        <v>5061</v>
      </c>
      <c r="AS38" s="21">
        <v>46276</v>
      </c>
      <c r="AT38" t="s">
        <v>5064</v>
      </c>
      <c r="AU38" t="s">
        <v>5066</v>
      </c>
      <c r="AV38" t="s">
        <v>5088</v>
      </c>
      <c r="AW38" t="s">
        <v>5086</v>
      </c>
    </row>
    <row r="39" spans="1:49" hidden="1" x14ac:dyDescent="0.35">
      <c r="A39" t="s">
        <v>73</v>
      </c>
      <c r="B39" t="s">
        <v>74</v>
      </c>
      <c r="C39" t="s">
        <v>4818</v>
      </c>
      <c r="D39" t="s">
        <v>18</v>
      </c>
      <c r="E39" t="s">
        <v>367</v>
      </c>
      <c r="F39" t="s">
        <v>368</v>
      </c>
      <c r="G39" t="s">
        <v>21</v>
      </c>
      <c r="H39" t="s">
        <v>4834</v>
      </c>
      <c r="I39" t="s">
        <v>4849</v>
      </c>
      <c r="J39" s="4" t="s">
        <v>4850</v>
      </c>
      <c r="K39" s="4" t="s">
        <v>4854</v>
      </c>
      <c r="L39" s="4" t="s">
        <v>4880</v>
      </c>
      <c r="M39" s="4" t="s">
        <v>5035</v>
      </c>
      <c r="N39" t="s">
        <v>369</v>
      </c>
      <c r="O39" t="s">
        <v>370</v>
      </c>
      <c r="P39" t="s">
        <v>23</v>
      </c>
      <c r="Q39" t="s">
        <v>24</v>
      </c>
      <c r="R39" t="s">
        <v>25</v>
      </c>
      <c r="S39" t="s">
        <v>26</v>
      </c>
      <c r="T39" s="6">
        <v>46307</v>
      </c>
      <c r="U39">
        <v>90</v>
      </c>
      <c r="V39">
        <v>90</v>
      </c>
      <c r="W39">
        <v>90</v>
      </c>
      <c r="X39">
        <v>90</v>
      </c>
      <c r="Y39">
        <f t="shared" si="1"/>
        <v>0</v>
      </c>
      <c r="Z39">
        <f t="shared" si="2"/>
        <v>0</v>
      </c>
      <c r="AC39" s="1">
        <v>0</v>
      </c>
      <c r="AF39">
        <f t="shared" si="8"/>
        <v>90</v>
      </c>
      <c r="AG39" s="41">
        <v>6</v>
      </c>
      <c r="AH39">
        <f t="shared" si="4"/>
        <v>90</v>
      </c>
      <c r="AI39">
        <f t="shared" si="5"/>
        <v>0</v>
      </c>
      <c r="AK39">
        <f t="shared" si="6"/>
        <v>15</v>
      </c>
      <c r="AL39">
        <v>14.78</v>
      </c>
      <c r="AM39" t="s">
        <v>27</v>
      </c>
      <c r="AN39">
        <v>14.78</v>
      </c>
      <c r="AO39" t="b">
        <f t="shared" si="7"/>
        <v>1</v>
      </c>
      <c r="AR39" t="s">
        <v>5061</v>
      </c>
      <c r="AS39" s="21">
        <v>46276</v>
      </c>
      <c r="AT39" t="s">
        <v>5064</v>
      </c>
      <c r="AU39" t="s">
        <v>5066</v>
      </c>
      <c r="AV39" t="s">
        <v>5088</v>
      </c>
      <c r="AW39" t="s">
        <v>5086</v>
      </c>
    </row>
    <row r="40" spans="1:49" hidden="1" x14ac:dyDescent="0.35">
      <c r="A40" t="s">
        <v>73</v>
      </c>
      <c r="B40" t="s">
        <v>74</v>
      </c>
      <c r="C40" t="s">
        <v>4818</v>
      </c>
      <c r="D40" t="s">
        <v>18</v>
      </c>
      <c r="E40" t="s">
        <v>371</v>
      </c>
      <c r="F40" t="s">
        <v>372</v>
      </c>
      <c r="G40" t="s">
        <v>21</v>
      </c>
      <c r="H40" t="s">
        <v>4834</v>
      </c>
      <c r="I40" t="s">
        <v>4849</v>
      </c>
      <c r="J40" s="4" t="s">
        <v>4850</v>
      </c>
      <c r="K40" s="4" t="s">
        <v>4837</v>
      </c>
      <c r="L40" s="4" t="s">
        <v>4864</v>
      </c>
      <c r="M40" s="4" t="s">
        <v>5035</v>
      </c>
      <c r="N40" t="s">
        <v>373</v>
      </c>
      <c r="O40" t="s">
        <v>374</v>
      </c>
      <c r="P40" t="s">
        <v>23</v>
      </c>
      <c r="Q40" t="s">
        <v>24</v>
      </c>
      <c r="R40" t="s">
        <v>25</v>
      </c>
      <c r="S40" t="s">
        <v>26</v>
      </c>
      <c r="T40" s="6">
        <v>46307</v>
      </c>
      <c r="U40">
        <v>60</v>
      </c>
      <c r="V40">
        <v>60</v>
      </c>
      <c r="W40">
        <v>66</v>
      </c>
      <c r="X40">
        <v>66</v>
      </c>
      <c r="Y40">
        <f t="shared" si="1"/>
        <v>0</v>
      </c>
      <c r="Z40">
        <f t="shared" si="2"/>
        <v>-6</v>
      </c>
      <c r="AC40" s="1">
        <v>0</v>
      </c>
      <c r="AF40">
        <f t="shared" si="8"/>
        <v>60</v>
      </c>
      <c r="AG40" s="41">
        <v>6</v>
      </c>
      <c r="AH40">
        <f t="shared" si="4"/>
        <v>60</v>
      </c>
      <c r="AI40">
        <f t="shared" si="5"/>
        <v>0</v>
      </c>
      <c r="AK40">
        <f t="shared" si="6"/>
        <v>10</v>
      </c>
      <c r="AL40">
        <v>14.78</v>
      </c>
      <c r="AM40" t="s">
        <v>27</v>
      </c>
      <c r="AN40">
        <v>14.78</v>
      </c>
      <c r="AO40" t="b">
        <f t="shared" si="7"/>
        <v>1</v>
      </c>
      <c r="AR40" t="s">
        <v>5061</v>
      </c>
      <c r="AS40" s="21">
        <v>46276</v>
      </c>
      <c r="AT40" t="s">
        <v>5064</v>
      </c>
      <c r="AU40" t="s">
        <v>5066</v>
      </c>
      <c r="AV40" t="s">
        <v>5088</v>
      </c>
      <c r="AW40" t="s">
        <v>5086</v>
      </c>
    </row>
    <row r="41" spans="1:49" hidden="1" x14ac:dyDescent="0.35">
      <c r="A41" t="s">
        <v>73</v>
      </c>
      <c r="B41" t="s">
        <v>74</v>
      </c>
      <c r="C41" t="s">
        <v>4818</v>
      </c>
      <c r="D41" t="s">
        <v>18</v>
      </c>
      <c r="E41" t="s">
        <v>375</v>
      </c>
      <c r="F41" t="s">
        <v>376</v>
      </c>
      <c r="G41" t="s">
        <v>21</v>
      </c>
      <c r="H41" t="s">
        <v>4834</v>
      </c>
      <c r="I41" t="s">
        <v>4839</v>
      </c>
      <c r="J41" s="4" t="s">
        <v>4840</v>
      </c>
      <c r="K41" s="4" t="s">
        <v>4843</v>
      </c>
      <c r="L41" s="4" t="s">
        <v>4846</v>
      </c>
      <c r="M41" s="4" t="s">
        <v>5035</v>
      </c>
      <c r="N41" t="s">
        <v>377</v>
      </c>
      <c r="O41" t="s">
        <v>378</v>
      </c>
      <c r="P41" t="s">
        <v>23</v>
      </c>
      <c r="Q41" t="s">
        <v>24</v>
      </c>
      <c r="R41" t="s">
        <v>25</v>
      </c>
      <c r="S41" t="s">
        <v>26</v>
      </c>
      <c r="T41" s="6">
        <v>46307</v>
      </c>
      <c r="U41">
        <v>70</v>
      </c>
      <c r="V41">
        <v>70</v>
      </c>
      <c r="W41">
        <v>70</v>
      </c>
      <c r="X41">
        <v>70</v>
      </c>
      <c r="Y41">
        <f t="shared" si="1"/>
        <v>0</v>
      </c>
      <c r="Z41">
        <f t="shared" si="2"/>
        <v>0</v>
      </c>
      <c r="AC41" s="1">
        <v>0</v>
      </c>
      <c r="AF41">
        <f t="shared" si="8"/>
        <v>70</v>
      </c>
      <c r="AG41" s="41">
        <v>10</v>
      </c>
      <c r="AH41">
        <f t="shared" si="4"/>
        <v>70</v>
      </c>
      <c r="AI41">
        <f t="shared" si="5"/>
        <v>0</v>
      </c>
      <c r="AK41">
        <f t="shared" si="6"/>
        <v>7</v>
      </c>
      <c r="AL41">
        <v>20.420000000000002</v>
      </c>
      <c r="AM41" t="s">
        <v>27</v>
      </c>
      <c r="AN41">
        <v>20.420000000000002</v>
      </c>
      <c r="AO41" t="b">
        <f t="shared" si="7"/>
        <v>1</v>
      </c>
      <c r="AR41" t="s">
        <v>5061</v>
      </c>
      <c r="AS41" s="21">
        <v>46276</v>
      </c>
      <c r="AT41" t="s">
        <v>5064</v>
      </c>
      <c r="AU41" t="s">
        <v>5065</v>
      </c>
      <c r="AV41" t="s">
        <v>5088</v>
      </c>
      <c r="AW41" t="s">
        <v>5086</v>
      </c>
    </row>
    <row r="42" spans="1:49" hidden="1" x14ac:dyDescent="0.35">
      <c r="A42" t="s">
        <v>73</v>
      </c>
      <c r="B42" t="s">
        <v>74</v>
      </c>
      <c r="C42" t="s">
        <v>4818</v>
      </c>
      <c r="D42" t="s">
        <v>18</v>
      </c>
      <c r="E42" t="s">
        <v>387</v>
      </c>
      <c r="F42" t="s">
        <v>388</v>
      </c>
      <c r="G42" t="s">
        <v>21</v>
      </c>
      <c r="H42" t="s">
        <v>4834</v>
      </c>
      <c r="I42" t="s">
        <v>4839</v>
      </c>
      <c r="J42" s="4" t="s">
        <v>4840</v>
      </c>
      <c r="K42" s="4" t="s">
        <v>4854</v>
      </c>
      <c r="L42" s="4" t="s">
        <v>4856</v>
      </c>
      <c r="M42" s="4" t="s">
        <v>5035</v>
      </c>
      <c r="N42" t="s">
        <v>389</v>
      </c>
      <c r="O42" t="s">
        <v>390</v>
      </c>
      <c r="P42" t="s">
        <v>23</v>
      </c>
      <c r="Q42" t="s">
        <v>24</v>
      </c>
      <c r="R42" t="s">
        <v>25</v>
      </c>
      <c r="S42" t="s">
        <v>26</v>
      </c>
      <c r="T42" s="6">
        <v>46307</v>
      </c>
      <c r="U42">
        <v>80</v>
      </c>
      <c r="V42">
        <v>80</v>
      </c>
      <c r="W42">
        <v>80</v>
      </c>
      <c r="X42">
        <v>80</v>
      </c>
      <c r="Y42">
        <f t="shared" si="1"/>
        <v>0</v>
      </c>
      <c r="Z42">
        <f t="shared" si="2"/>
        <v>0</v>
      </c>
      <c r="AC42" s="1">
        <v>0</v>
      </c>
      <c r="AF42">
        <f t="shared" si="8"/>
        <v>80</v>
      </c>
      <c r="AG42" s="41">
        <v>10</v>
      </c>
      <c r="AH42">
        <f t="shared" si="4"/>
        <v>80</v>
      </c>
      <c r="AI42">
        <f t="shared" si="5"/>
        <v>0</v>
      </c>
      <c r="AK42">
        <f t="shared" si="6"/>
        <v>8</v>
      </c>
      <c r="AL42">
        <v>20.420000000000002</v>
      </c>
      <c r="AM42" t="s">
        <v>27</v>
      </c>
      <c r="AN42">
        <v>20.420000000000002</v>
      </c>
      <c r="AO42" t="b">
        <f t="shared" si="7"/>
        <v>1</v>
      </c>
      <c r="AR42" t="s">
        <v>5061</v>
      </c>
      <c r="AS42" s="21">
        <v>46276</v>
      </c>
      <c r="AT42" t="s">
        <v>5064</v>
      </c>
      <c r="AU42" t="s">
        <v>5065</v>
      </c>
      <c r="AV42" t="s">
        <v>5088</v>
      </c>
      <c r="AW42" t="s">
        <v>5086</v>
      </c>
    </row>
    <row r="43" spans="1:49" hidden="1" x14ac:dyDescent="0.35">
      <c r="A43" t="s">
        <v>73</v>
      </c>
      <c r="B43" t="s">
        <v>74</v>
      </c>
      <c r="C43" t="s">
        <v>4818</v>
      </c>
      <c r="D43" t="s">
        <v>18</v>
      </c>
      <c r="E43" t="s">
        <v>403</v>
      </c>
      <c r="F43" t="s">
        <v>404</v>
      </c>
      <c r="G43" t="s">
        <v>21</v>
      </c>
      <c r="H43" t="s">
        <v>4834</v>
      </c>
      <c r="I43" t="s">
        <v>4839</v>
      </c>
      <c r="J43" s="4" t="s">
        <v>4840</v>
      </c>
      <c r="K43" s="4" t="s">
        <v>4843</v>
      </c>
      <c r="L43" s="4" t="s">
        <v>4876</v>
      </c>
      <c r="M43" s="4" t="s">
        <v>5035</v>
      </c>
      <c r="N43" t="s">
        <v>405</v>
      </c>
      <c r="O43" t="s">
        <v>406</v>
      </c>
      <c r="P43" t="s">
        <v>23</v>
      </c>
      <c r="Q43" t="s">
        <v>24</v>
      </c>
      <c r="R43" t="s">
        <v>25</v>
      </c>
      <c r="S43" t="s">
        <v>26</v>
      </c>
      <c r="T43" s="6">
        <v>46307</v>
      </c>
      <c r="U43">
        <v>80</v>
      </c>
      <c r="V43">
        <v>80</v>
      </c>
      <c r="W43">
        <v>80</v>
      </c>
      <c r="X43">
        <v>80</v>
      </c>
      <c r="Y43">
        <f t="shared" si="1"/>
        <v>0</v>
      </c>
      <c r="Z43">
        <f t="shared" si="2"/>
        <v>0</v>
      </c>
      <c r="AC43" s="1">
        <v>0</v>
      </c>
      <c r="AF43">
        <f t="shared" si="8"/>
        <v>80</v>
      </c>
      <c r="AG43" s="41">
        <v>10</v>
      </c>
      <c r="AH43">
        <f t="shared" si="4"/>
        <v>80</v>
      </c>
      <c r="AI43">
        <f t="shared" si="5"/>
        <v>0</v>
      </c>
      <c r="AK43">
        <f t="shared" si="6"/>
        <v>8</v>
      </c>
      <c r="AL43">
        <v>20.420000000000002</v>
      </c>
      <c r="AM43" t="s">
        <v>27</v>
      </c>
      <c r="AN43">
        <v>20.420000000000002</v>
      </c>
      <c r="AO43" t="b">
        <f t="shared" si="7"/>
        <v>1</v>
      </c>
      <c r="AR43" t="s">
        <v>5061</v>
      </c>
      <c r="AS43" s="21">
        <v>46276</v>
      </c>
      <c r="AT43" t="s">
        <v>5064</v>
      </c>
      <c r="AU43" t="s">
        <v>5065</v>
      </c>
      <c r="AV43" t="s">
        <v>5088</v>
      </c>
      <c r="AW43" t="s">
        <v>5086</v>
      </c>
    </row>
    <row r="44" spans="1:49" hidden="1" x14ac:dyDescent="0.35">
      <c r="A44" t="s">
        <v>73</v>
      </c>
      <c r="B44" t="s">
        <v>74</v>
      </c>
      <c r="C44" t="s">
        <v>4818</v>
      </c>
      <c r="D44" t="s">
        <v>18</v>
      </c>
      <c r="E44" t="s">
        <v>411</v>
      </c>
      <c r="F44" t="s">
        <v>412</v>
      </c>
      <c r="G44" t="s">
        <v>21</v>
      </c>
      <c r="H44" t="s">
        <v>4834</v>
      </c>
      <c r="I44" t="s">
        <v>4849</v>
      </c>
      <c r="J44" s="4" t="s">
        <v>4850</v>
      </c>
      <c r="K44" s="4" t="s">
        <v>4837</v>
      </c>
      <c r="L44" s="4" t="s">
        <v>4869</v>
      </c>
      <c r="M44" s="4" t="s">
        <v>5035</v>
      </c>
      <c r="N44" t="s">
        <v>413</v>
      </c>
      <c r="O44" t="s">
        <v>414</v>
      </c>
      <c r="P44" t="s">
        <v>23</v>
      </c>
      <c r="Q44" t="s">
        <v>24</v>
      </c>
      <c r="R44" t="s">
        <v>25</v>
      </c>
      <c r="S44" t="s">
        <v>26</v>
      </c>
      <c r="T44" s="6">
        <v>46307</v>
      </c>
      <c r="U44">
        <v>54</v>
      </c>
      <c r="V44">
        <v>54</v>
      </c>
      <c r="W44">
        <v>60</v>
      </c>
      <c r="X44">
        <v>60</v>
      </c>
      <c r="Y44">
        <f t="shared" si="1"/>
        <v>0</v>
      </c>
      <c r="Z44">
        <f t="shared" si="2"/>
        <v>-6</v>
      </c>
      <c r="AC44" s="1">
        <v>0</v>
      </c>
      <c r="AF44">
        <f t="shared" si="8"/>
        <v>54</v>
      </c>
      <c r="AG44" s="41">
        <v>6</v>
      </c>
      <c r="AH44">
        <f t="shared" si="4"/>
        <v>54</v>
      </c>
      <c r="AI44">
        <f t="shared" si="5"/>
        <v>0</v>
      </c>
      <c r="AK44">
        <f t="shared" si="6"/>
        <v>9</v>
      </c>
      <c r="AL44">
        <v>14.78</v>
      </c>
      <c r="AM44" t="s">
        <v>27</v>
      </c>
      <c r="AN44">
        <v>14.78</v>
      </c>
      <c r="AO44" t="b">
        <f t="shared" si="7"/>
        <v>1</v>
      </c>
      <c r="AR44" t="s">
        <v>5061</v>
      </c>
      <c r="AS44" s="21">
        <v>46276</v>
      </c>
      <c r="AT44" t="s">
        <v>5064</v>
      </c>
      <c r="AU44" t="s">
        <v>5066</v>
      </c>
      <c r="AV44" t="s">
        <v>5088</v>
      </c>
      <c r="AW44" t="s">
        <v>5086</v>
      </c>
    </row>
    <row r="45" spans="1:49" hidden="1" x14ac:dyDescent="0.35">
      <c r="A45" t="s">
        <v>73</v>
      </c>
      <c r="B45" t="s">
        <v>74</v>
      </c>
      <c r="C45" t="s">
        <v>4818</v>
      </c>
      <c r="D45" t="s">
        <v>18</v>
      </c>
      <c r="E45" t="s">
        <v>415</v>
      </c>
      <c r="F45" t="s">
        <v>416</v>
      </c>
      <c r="G45" t="s">
        <v>21</v>
      </c>
      <c r="H45" t="s">
        <v>4834</v>
      </c>
      <c r="I45" t="s">
        <v>4839</v>
      </c>
      <c r="J45" s="4" t="s">
        <v>4840</v>
      </c>
      <c r="K45" s="4" t="s">
        <v>4843</v>
      </c>
      <c r="L45" s="4" t="s">
        <v>4842</v>
      </c>
      <c r="M45" s="4" t="s">
        <v>5035</v>
      </c>
      <c r="N45" t="s">
        <v>417</v>
      </c>
      <c r="O45" t="s">
        <v>418</v>
      </c>
      <c r="P45" t="s">
        <v>23</v>
      </c>
      <c r="Q45" t="s">
        <v>24</v>
      </c>
      <c r="R45" t="s">
        <v>25</v>
      </c>
      <c r="S45" t="s">
        <v>26</v>
      </c>
      <c r="T45" s="6">
        <v>46307</v>
      </c>
      <c r="U45">
        <v>170</v>
      </c>
      <c r="V45">
        <v>170</v>
      </c>
      <c r="W45">
        <v>180</v>
      </c>
      <c r="X45">
        <v>180</v>
      </c>
      <c r="Y45">
        <f t="shared" si="1"/>
        <v>0</v>
      </c>
      <c r="Z45">
        <f t="shared" si="2"/>
        <v>-10</v>
      </c>
      <c r="AC45" s="1">
        <v>0</v>
      </c>
      <c r="AF45">
        <f t="shared" si="8"/>
        <v>170</v>
      </c>
      <c r="AG45" s="41">
        <v>10</v>
      </c>
      <c r="AH45">
        <f t="shared" si="4"/>
        <v>170</v>
      </c>
      <c r="AI45">
        <f t="shared" si="5"/>
        <v>0</v>
      </c>
      <c r="AK45">
        <f t="shared" si="6"/>
        <v>17</v>
      </c>
      <c r="AL45">
        <v>20.420000000000002</v>
      </c>
      <c r="AM45" t="s">
        <v>27</v>
      </c>
      <c r="AN45">
        <v>20.420000000000002</v>
      </c>
      <c r="AO45" t="b">
        <f t="shared" si="7"/>
        <v>1</v>
      </c>
      <c r="AR45" t="s">
        <v>5061</v>
      </c>
      <c r="AS45" s="21">
        <v>46276</v>
      </c>
      <c r="AT45" t="s">
        <v>5064</v>
      </c>
      <c r="AU45" t="s">
        <v>5065</v>
      </c>
      <c r="AV45" t="s">
        <v>5088</v>
      </c>
      <c r="AW45" t="s">
        <v>5086</v>
      </c>
    </row>
    <row r="46" spans="1:49" hidden="1" x14ac:dyDescent="0.35">
      <c r="A46" t="s">
        <v>73</v>
      </c>
      <c r="B46" t="s">
        <v>74</v>
      </c>
      <c r="C46" t="s">
        <v>4818</v>
      </c>
      <c r="D46" t="s">
        <v>18</v>
      </c>
      <c r="E46" t="s">
        <v>419</v>
      </c>
      <c r="F46" t="s">
        <v>420</v>
      </c>
      <c r="G46" t="s">
        <v>21</v>
      </c>
      <c r="H46" t="s">
        <v>4834</v>
      </c>
      <c r="I46" t="s">
        <v>4839</v>
      </c>
      <c r="J46" s="4" t="s">
        <v>4840</v>
      </c>
      <c r="K46" s="4" t="s">
        <v>4854</v>
      </c>
      <c r="L46" s="4" t="s">
        <v>4876</v>
      </c>
      <c r="M46" s="4" t="s">
        <v>5035</v>
      </c>
      <c r="N46" t="s">
        <v>421</v>
      </c>
      <c r="O46" t="s">
        <v>422</v>
      </c>
      <c r="P46" t="s">
        <v>23</v>
      </c>
      <c r="Q46" t="s">
        <v>24</v>
      </c>
      <c r="R46" t="s">
        <v>25</v>
      </c>
      <c r="S46" t="s">
        <v>26</v>
      </c>
      <c r="T46" s="6">
        <v>46307</v>
      </c>
      <c r="U46">
        <v>30</v>
      </c>
      <c r="V46">
        <v>30</v>
      </c>
      <c r="W46">
        <v>30</v>
      </c>
      <c r="X46">
        <v>30</v>
      </c>
      <c r="Y46">
        <f t="shared" si="1"/>
        <v>0</v>
      </c>
      <c r="Z46">
        <f t="shared" si="2"/>
        <v>0</v>
      </c>
      <c r="AC46" s="1">
        <v>0</v>
      </c>
      <c r="AF46">
        <f t="shared" si="8"/>
        <v>30</v>
      </c>
      <c r="AG46" s="41">
        <v>10</v>
      </c>
      <c r="AH46">
        <f t="shared" si="4"/>
        <v>30</v>
      </c>
      <c r="AI46">
        <f t="shared" si="5"/>
        <v>0</v>
      </c>
      <c r="AK46">
        <f t="shared" si="6"/>
        <v>3</v>
      </c>
      <c r="AL46">
        <v>20.420000000000002</v>
      </c>
      <c r="AM46" t="s">
        <v>27</v>
      </c>
      <c r="AN46">
        <v>20.420000000000002</v>
      </c>
      <c r="AO46" t="b">
        <f t="shared" si="7"/>
        <v>1</v>
      </c>
      <c r="AR46" t="s">
        <v>5061</v>
      </c>
      <c r="AS46" s="21">
        <v>46276</v>
      </c>
      <c r="AT46" t="s">
        <v>5064</v>
      </c>
      <c r="AU46" t="s">
        <v>5065</v>
      </c>
      <c r="AV46" t="s">
        <v>5088</v>
      </c>
      <c r="AW46" t="s">
        <v>5086</v>
      </c>
    </row>
    <row r="47" spans="1:49" hidden="1" x14ac:dyDescent="0.35">
      <c r="A47" t="s">
        <v>73</v>
      </c>
      <c r="B47" t="s">
        <v>74</v>
      </c>
      <c r="C47" t="s">
        <v>4818</v>
      </c>
      <c r="D47" t="s">
        <v>18</v>
      </c>
      <c r="E47" t="s">
        <v>423</v>
      </c>
      <c r="F47" t="s">
        <v>424</v>
      </c>
      <c r="G47" t="s">
        <v>21</v>
      </c>
      <c r="H47" t="s">
        <v>4834</v>
      </c>
      <c r="I47" t="s">
        <v>4839</v>
      </c>
      <c r="J47" s="4" t="s">
        <v>4840</v>
      </c>
      <c r="K47" s="4" t="s">
        <v>4843</v>
      </c>
      <c r="L47" s="4" t="s">
        <v>4878</v>
      </c>
      <c r="M47" s="4" t="s">
        <v>5035</v>
      </c>
      <c r="N47" t="s">
        <v>425</v>
      </c>
      <c r="O47" t="s">
        <v>426</v>
      </c>
      <c r="P47" t="s">
        <v>23</v>
      </c>
      <c r="Q47" t="s">
        <v>24</v>
      </c>
      <c r="R47" t="s">
        <v>25</v>
      </c>
      <c r="S47" t="s">
        <v>26</v>
      </c>
      <c r="T47" s="6">
        <v>46307</v>
      </c>
      <c r="U47">
        <v>60</v>
      </c>
      <c r="V47">
        <v>60</v>
      </c>
      <c r="W47">
        <v>60</v>
      </c>
      <c r="X47">
        <v>60</v>
      </c>
      <c r="Y47">
        <f t="shared" si="1"/>
        <v>0</v>
      </c>
      <c r="Z47">
        <f t="shared" si="2"/>
        <v>0</v>
      </c>
      <c r="AC47" s="1">
        <v>0</v>
      </c>
      <c r="AF47">
        <f t="shared" si="8"/>
        <v>60</v>
      </c>
      <c r="AG47" s="41">
        <v>10</v>
      </c>
      <c r="AH47">
        <f t="shared" si="4"/>
        <v>60</v>
      </c>
      <c r="AI47">
        <f t="shared" si="5"/>
        <v>0</v>
      </c>
      <c r="AK47">
        <f t="shared" si="6"/>
        <v>6</v>
      </c>
      <c r="AL47">
        <v>20.420000000000002</v>
      </c>
      <c r="AM47" t="s">
        <v>27</v>
      </c>
      <c r="AN47">
        <v>20.420000000000002</v>
      </c>
      <c r="AO47" t="b">
        <f t="shared" si="7"/>
        <v>1</v>
      </c>
      <c r="AR47" t="s">
        <v>5061</v>
      </c>
      <c r="AS47" s="21">
        <v>46276</v>
      </c>
      <c r="AT47" t="s">
        <v>5064</v>
      </c>
      <c r="AU47" t="s">
        <v>5065</v>
      </c>
      <c r="AV47" t="s">
        <v>5088</v>
      </c>
      <c r="AW47" t="s">
        <v>5086</v>
      </c>
    </row>
    <row r="48" spans="1:49" hidden="1" x14ac:dyDescent="0.35">
      <c r="A48" t="s">
        <v>73</v>
      </c>
      <c r="B48" t="s">
        <v>74</v>
      </c>
      <c r="C48" t="s">
        <v>4818</v>
      </c>
      <c r="D48" t="s">
        <v>18</v>
      </c>
      <c r="E48" t="s">
        <v>439</v>
      </c>
      <c r="F48" t="s">
        <v>440</v>
      </c>
      <c r="G48" t="s">
        <v>21</v>
      </c>
      <c r="H48" t="s">
        <v>4834</v>
      </c>
      <c r="I48" t="s">
        <v>4849</v>
      </c>
      <c r="J48" s="4" t="s">
        <v>4850</v>
      </c>
      <c r="K48" s="4" t="s">
        <v>4854</v>
      </c>
      <c r="L48" s="4" t="s">
        <v>4864</v>
      </c>
      <c r="M48" s="4" t="s">
        <v>5035</v>
      </c>
      <c r="N48" t="s">
        <v>441</v>
      </c>
      <c r="O48" t="s">
        <v>442</v>
      </c>
      <c r="P48" t="s">
        <v>23</v>
      </c>
      <c r="Q48" t="s">
        <v>24</v>
      </c>
      <c r="R48" t="s">
        <v>25</v>
      </c>
      <c r="S48" t="s">
        <v>26</v>
      </c>
      <c r="T48" s="6">
        <v>46307</v>
      </c>
      <c r="U48">
        <v>54</v>
      </c>
      <c r="V48">
        <v>54</v>
      </c>
      <c r="W48">
        <v>60</v>
      </c>
      <c r="X48">
        <v>60</v>
      </c>
      <c r="Y48">
        <f t="shared" si="1"/>
        <v>0</v>
      </c>
      <c r="Z48">
        <f t="shared" si="2"/>
        <v>-6</v>
      </c>
      <c r="AC48" s="1">
        <v>0</v>
      </c>
      <c r="AF48">
        <f t="shared" si="8"/>
        <v>54</v>
      </c>
      <c r="AG48" s="41">
        <v>6</v>
      </c>
      <c r="AH48">
        <f t="shared" si="4"/>
        <v>54</v>
      </c>
      <c r="AI48">
        <f t="shared" si="5"/>
        <v>0</v>
      </c>
      <c r="AK48">
        <f t="shared" si="6"/>
        <v>9</v>
      </c>
      <c r="AL48">
        <v>14.78</v>
      </c>
      <c r="AM48" t="s">
        <v>27</v>
      </c>
      <c r="AN48">
        <v>14.78</v>
      </c>
      <c r="AO48" t="b">
        <f t="shared" si="7"/>
        <v>1</v>
      </c>
      <c r="AR48" t="s">
        <v>5061</v>
      </c>
      <c r="AS48" s="21">
        <v>46276</v>
      </c>
      <c r="AT48" t="s">
        <v>5064</v>
      </c>
      <c r="AU48" t="s">
        <v>5066</v>
      </c>
      <c r="AV48" t="s">
        <v>5088</v>
      </c>
      <c r="AW48" t="s">
        <v>5086</v>
      </c>
    </row>
    <row r="49" spans="1:49" hidden="1" x14ac:dyDescent="0.35">
      <c r="A49" t="s">
        <v>73</v>
      </c>
      <c r="B49" t="s">
        <v>74</v>
      </c>
      <c r="C49" t="s">
        <v>4818</v>
      </c>
      <c r="D49" t="s">
        <v>18</v>
      </c>
      <c r="E49" t="s">
        <v>447</v>
      </c>
      <c r="F49" t="s">
        <v>448</v>
      </c>
      <c r="G49" t="s">
        <v>21</v>
      </c>
      <c r="H49" t="s">
        <v>4834</v>
      </c>
      <c r="I49" t="s">
        <v>4849</v>
      </c>
      <c r="J49" s="4" t="s">
        <v>4850</v>
      </c>
      <c r="K49" s="4" t="s">
        <v>4862</v>
      </c>
      <c r="L49" s="4" t="s">
        <v>4879</v>
      </c>
      <c r="M49" s="4" t="s">
        <v>5035</v>
      </c>
      <c r="N49" t="s">
        <v>449</v>
      </c>
      <c r="O49" t="s">
        <v>450</v>
      </c>
      <c r="P49" t="s">
        <v>23</v>
      </c>
      <c r="Q49" t="s">
        <v>24</v>
      </c>
      <c r="R49" t="s">
        <v>25</v>
      </c>
      <c r="S49" t="s">
        <v>26</v>
      </c>
      <c r="T49" s="6">
        <v>46307</v>
      </c>
      <c r="U49">
        <v>66</v>
      </c>
      <c r="V49">
        <v>66</v>
      </c>
      <c r="W49">
        <v>66</v>
      </c>
      <c r="X49">
        <v>66</v>
      </c>
      <c r="Y49">
        <f t="shared" si="1"/>
        <v>0</v>
      </c>
      <c r="Z49">
        <f t="shared" si="2"/>
        <v>0</v>
      </c>
      <c r="AC49" s="1">
        <v>0</v>
      </c>
      <c r="AF49">
        <f t="shared" si="8"/>
        <v>66</v>
      </c>
      <c r="AG49" s="41">
        <v>6</v>
      </c>
      <c r="AH49">
        <f t="shared" si="4"/>
        <v>66</v>
      </c>
      <c r="AI49">
        <f t="shared" si="5"/>
        <v>0</v>
      </c>
      <c r="AK49">
        <f t="shared" si="6"/>
        <v>11</v>
      </c>
      <c r="AL49">
        <v>14.78</v>
      </c>
      <c r="AM49" t="s">
        <v>27</v>
      </c>
      <c r="AN49">
        <v>14.78</v>
      </c>
      <c r="AO49" t="b">
        <f t="shared" si="7"/>
        <v>1</v>
      </c>
      <c r="AR49" t="s">
        <v>5061</v>
      </c>
      <c r="AS49" s="21">
        <v>46276</v>
      </c>
      <c r="AT49" t="s">
        <v>5064</v>
      </c>
      <c r="AU49" t="s">
        <v>5066</v>
      </c>
      <c r="AV49" t="s">
        <v>5088</v>
      </c>
      <c r="AW49" t="s">
        <v>5086</v>
      </c>
    </row>
    <row r="50" spans="1:49" hidden="1" x14ac:dyDescent="0.35">
      <c r="A50" t="s">
        <v>73</v>
      </c>
      <c r="B50" t="s">
        <v>74</v>
      </c>
      <c r="C50" t="s">
        <v>4818</v>
      </c>
      <c r="D50" t="s">
        <v>18</v>
      </c>
      <c r="E50" t="s">
        <v>451</v>
      </c>
      <c r="F50" t="s">
        <v>452</v>
      </c>
      <c r="G50" t="s">
        <v>21</v>
      </c>
      <c r="H50" t="s">
        <v>4834</v>
      </c>
      <c r="I50" t="s">
        <v>4849</v>
      </c>
      <c r="J50" s="4" t="s">
        <v>4850</v>
      </c>
      <c r="K50" s="4" t="s">
        <v>4837</v>
      </c>
      <c r="L50" s="4" t="s">
        <v>4867</v>
      </c>
      <c r="M50" s="4" t="s">
        <v>5035</v>
      </c>
      <c r="N50" t="s">
        <v>453</v>
      </c>
      <c r="O50" t="s">
        <v>454</v>
      </c>
      <c r="P50" t="s">
        <v>23</v>
      </c>
      <c r="Q50" t="s">
        <v>24</v>
      </c>
      <c r="R50" t="s">
        <v>25</v>
      </c>
      <c r="S50" t="s">
        <v>26</v>
      </c>
      <c r="T50" s="6">
        <v>46307</v>
      </c>
      <c r="U50">
        <v>96</v>
      </c>
      <c r="V50">
        <v>96</v>
      </c>
      <c r="W50">
        <v>96</v>
      </c>
      <c r="X50">
        <v>96</v>
      </c>
      <c r="Y50">
        <f t="shared" si="1"/>
        <v>0</v>
      </c>
      <c r="Z50">
        <f t="shared" si="2"/>
        <v>0</v>
      </c>
      <c r="AC50" s="1">
        <v>0</v>
      </c>
      <c r="AF50">
        <f t="shared" si="8"/>
        <v>96</v>
      </c>
      <c r="AG50" s="41">
        <v>6</v>
      </c>
      <c r="AH50">
        <f t="shared" si="4"/>
        <v>96</v>
      </c>
      <c r="AI50">
        <f t="shared" si="5"/>
        <v>0</v>
      </c>
      <c r="AK50">
        <f t="shared" si="6"/>
        <v>16</v>
      </c>
      <c r="AL50">
        <v>14.78</v>
      </c>
      <c r="AM50" t="s">
        <v>27</v>
      </c>
      <c r="AN50">
        <v>14.78</v>
      </c>
      <c r="AO50" t="b">
        <f t="shared" si="7"/>
        <v>1</v>
      </c>
      <c r="AR50" t="s">
        <v>5061</v>
      </c>
      <c r="AS50" s="21">
        <v>46276</v>
      </c>
      <c r="AT50" t="s">
        <v>5064</v>
      </c>
      <c r="AU50" t="s">
        <v>5066</v>
      </c>
      <c r="AV50" t="s">
        <v>5088</v>
      </c>
      <c r="AW50" t="s">
        <v>5086</v>
      </c>
    </row>
    <row r="51" spans="1:49" hidden="1" x14ac:dyDescent="0.35">
      <c r="A51" t="s">
        <v>73</v>
      </c>
      <c r="B51" t="s">
        <v>74</v>
      </c>
      <c r="C51" t="s">
        <v>4818</v>
      </c>
      <c r="D51" t="s">
        <v>18</v>
      </c>
      <c r="E51" t="s">
        <v>475</v>
      </c>
      <c r="F51" t="s">
        <v>476</v>
      </c>
      <c r="G51" t="s">
        <v>21</v>
      </c>
      <c r="H51" t="s">
        <v>4834</v>
      </c>
      <c r="I51" t="s">
        <v>4849</v>
      </c>
      <c r="J51" s="4" t="s">
        <v>4850</v>
      </c>
      <c r="K51" s="4" t="s">
        <v>4862</v>
      </c>
      <c r="L51" s="4" t="s">
        <v>4870</v>
      </c>
      <c r="M51" s="4" t="s">
        <v>5035</v>
      </c>
      <c r="N51" t="s">
        <v>477</v>
      </c>
      <c r="O51" t="s">
        <v>478</v>
      </c>
      <c r="P51" t="s">
        <v>23</v>
      </c>
      <c r="Q51" t="s">
        <v>24</v>
      </c>
      <c r="R51" t="s">
        <v>25</v>
      </c>
      <c r="S51" t="s">
        <v>26</v>
      </c>
      <c r="T51" s="6">
        <v>46307</v>
      </c>
      <c r="U51">
        <v>60</v>
      </c>
      <c r="V51">
        <v>60</v>
      </c>
      <c r="W51">
        <v>60</v>
      </c>
      <c r="X51">
        <v>60</v>
      </c>
      <c r="Y51">
        <f t="shared" si="1"/>
        <v>0</v>
      </c>
      <c r="Z51">
        <f t="shared" si="2"/>
        <v>0</v>
      </c>
      <c r="AC51" s="1">
        <v>0</v>
      </c>
      <c r="AF51">
        <f t="shared" si="8"/>
        <v>60</v>
      </c>
      <c r="AG51" s="41">
        <v>6</v>
      </c>
      <c r="AH51">
        <f t="shared" si="4"/>
        <v>60</v>
      </c>
      <c r="AI51">
        <f t="shared" si="5"/>
        <v>0</v>
      </c>
      <c r="AK51">
        <f t="shared" si="6"/>
        <v>10</v>
      </c>
      <c r="AL51">
        <v>14.78</v>
      </c>
      <c r="AM51" t="s">
        <v>27</v>
      </c>
      <c r="AN51">
        <v>14.78</v>
      </c>
      <c r="AO51" t="b">
        <f t="shared" si="7"/>
        <v>1</v>
      </c>
      <c r="AR51" t="s">
        <v>5061</v>
      </c>
      <c r="AS51" s="21">
        <v>46276</v>
      </c>
      <c r="AT51" t="s">
        <v>5064</v>
      </c>
      <c r="AU51" t="s">
        <v>5066</v>
      </c>
      <c r="AV51" t="s">
        <v>5088</v>
      </c>
      <c r="AW51" t="s">
        <v>5086</v>
      </c>
    </row>
    <row r="52" spans="1:49" hidden="1" x14ac:dyDescent="0.35">
      <c r="A52" t="s">
        <v>73</v>
      </c>
      <c r="B52" t="s">
        <v>74</v>
      </c>
      <c r="C52" t="s">
        <v>4818</v>
      </c>
      <c r="D52" t="s">
        <v>18</v>
      </c>
      <c r="E52" t="s">
        <v>483</v>
      </c>
      <c r="F52" t="s">
        <v>484</v>
      </c>
      <c r="G52" t="s">
        <v>21</v>
      </c>
      <c r="H52" t="s">
        <v>4834</v>
      </c>
      <c r="I52" t="s">
        <v>4849</v>
      </c>
      <c r="J52" s="4" t="s">
        <v>4850</v>
      </c>
      <c r="K52" s="4" t="s">
        <v>4852</v>
      </c>
      <c r="L52" s="4" t="s">
        <v>4885</v>
      </c>
      <c r="M52" s="4" t="s">
        <v>5035</v>
      </c>
      <c r="N52" t="s">
        <v>485</v>
      </c>
      <c r="O52" t="s">
        <v>486</v>
      </c>
      <c r="P52" t="s">
        <v>23</v>
      </c>
      <c r="Q52" t="s">
        <v>24</v>
      </c>
      <c r="R52" t="s">
        <v>25</v>
      </c>
      <c r="S52" t="s">
        <v>26</v>
      </c>
      <c r="T52" s="6">
        <v>46307</v>
      </c>
      <c r="U52">
        <v>18</v>
      </c>
      <c r="V52">
        <v>18</v>
      </c>
      <c r="W52">
        <v>18</v>
      </c>
      <c r="X52">
        <v>18</v>
      </c>
      <c r="Y52">
        <f t="shared" si="1"/>
        <v>0</v>
      </c>
      <c r="Z52">
        <f t="shared" si="2"/>
        <v>0</v>
      </c>
      <c r="AC52" s="1">
        <v>0</v>
      </c>
      <c r="AF52">
        <f t="shared" si="8"/>
        <v>18</v>
      </c>
      <c r="AG52" s="41">
        <v>6</v>
      </c>
      <c r="AH52">
        <f t="shared" si="4"/>
        <v>18</v>
      </c>
      <c r="AI52">
        <f t="shared" si="5"/>
        <v>0</v>
      </c>
      <c r="AK52">
        <f t="shared" si="6"/>
        <v>3</v>
      </c>
      <c r="AL52">
        <v>14.78</v>
      </c>
      <c r="AM52" t="s">
        <v>27</v>
      </c>
      <c r="AN52">
        <v>14.78</v>
      </c>
      <c r="AO52" t="b">
        <f t="shared" si="7"/>
        <v>1</v>
      </c>
      <c r="AR52" t="s">
        <v>5061</v>
      </c>
      <c r="AS52" s="21">
        <v>46276</v>
      </c>
      <c r="AT52" t="s">
        <v>5064</v>
      </c>
      <c r="AU52" t="s">
        <v>5066</v>
      </c>
      <c r="AV52" t="s">
        <v>5088</v>
      </c>
      <c r="AW52" t="s">
        <v>5086</v>
      </c>
    </row>
    <row r="53" spans="1:49" hidden="1" x14ac:dyDescent="0.35">
      <c r="A53" t="s">
        <v>73</v>
      </c>
      <c r="B53" t="s">
        <v>74</v>
      </c>
      <c r="C53" t="s">
        <v>4818</v>
      </c>
      <c r="D53" t="s">
        <v>18</v>
      </c>
      <c r="E53" t="s">
        <v>487</v>
      </c>
      <c r="F53" t="s">
        <v>488</v>
      </c>
      <c r="G53" t="s">
        <v>21</v>
      </c>
      <c r="H53" t="s">
        <v>4834</v>
      </c>
      <c r="I53" t="s">
        <v>4849</v>
      </c>
      <c r="J53" s="4" t="s">
        <v>4850</v>
      </c>
      <c r="K53" s="4" t="s">
        <v>4862</v>
      </c>
      <c r="L53" s="4" t="s">
        <v>4851</v>
      </c>
      <c r="M53" s="4" t="s">
        <v>5035</v>
      </c>
      <c r="N53" t="s">
        <v>489</v>
      </c>
      <c r="O53" t="s">
        <v>490</v>
      </c>
      <c r="P53" t="s">
        <v>23</v>
      </c>
      <c r="Q53" t="s">
        <v>24</v>
      </c>
      <c r="R53" t="s">
        <v>25</v>
      </c>
      <c r="S53" t="s">
        <v>26</v>
      </c>
      <c r="T53" s="6">
        <v>46307</v>
      </c>
      <c r="U53">
        <v>96</v>
      </c>
      <c r="V53">
        <v>96</v>
      </c>
      <c r="W53">
        <v>102</v>
      </c>
      <c r="X53">
        <v>102</v>
      </c>
      <c r="Y53">
        <f t="shared" si="1"/>
        <v>0</v>
      </c>
      <c r="Z53">
        <f t="shared" si="2"/>
        <v>-6</v>
      </c>
      <c r="AC53" s="1">
        <v>0</v>
      </c>
      <c r="AF53">
        <f t="shared" si="8"/>
        <v>96</v>
      </c>
      <c r="AG53" s="41">
        <v>6</v>
      </c>
      <c r="AH53">
        <f t="shared" si="4"/>
        <v>96</v>
      </c>
      <c r="AI53">
        <f t="shared" si="5"/>
        <v>0</v>
      </c>
      <c r="AK53">
        <f t="shared" si="6"/>
        <v>16</v>
      </c>
      <c r="AL53">
        <v>14.78</v>
      </c>
      <c r="AM53" t="s">
        <v>27</v>
      </c>
      <c r="AN53">
        <v>14.78</v>
      </c>
      <c r="AO53" t="b">
        <f t="shared" si="7"/>
        <v>1</v>
      </c>
      <c r="AR53" t="s">
        <v>5061</v>
      </c>
      <c r="AS53" s="21">
        <v>46276</v>
      </c>
      <c r="AT53" t="s">
        <v>5064</v>
      </c>
      <c r="AU53" t="s">
        <v>5066</v>
      </c>
      <c r="AV53" t="s">
        <v>5088</v>
      </c>
      <c r="AW53" t="s">
        <v>5086</v>
      </c>
    </row>
    <row r="54" spans="1:49" hidden="1" x14ac:dyDescent="0.35">
      <c r="A54" t="s">
        <v>73</v>
      </c>
      <c r="B54" t="s">
        <v>74</v>
      </c>
      <c r="C54" t="s">
        <v>4818</v>
      </c>
      <c r="D54" t="s">
        <v>18</v>
      </c>
      <c r="E54" t="s">
        <v>491</v>
      </c>
      <c r="F54" t="s">
        <v>492</v>
      </c>
      <c r="G54" t="s">
        <v>21</v>
      </c>
      <c r="H54" t="s">
        <v>4834</v>
      </c>
      <c r="I54" t="s">
        <v>4849</v>
      </c>
      <c r="J54" s="4" t="s">
        <v>4850</v>
      </c>
      <c r="K54" s="4" t="s">
        <v>4837</v>
      </c>
      <c r="L54" s="4" t="s">
        <v>4853</v>
      </c>
      <c r="M54" s="4" t="s">
        <v>5035</v>
      </c>
      <c r="N54" t="s">
        <v>493</v>
      </c>
      <c r="O54" t="s">
        <v>494</v>
      </c>
      <c r="P54" t="s">
        <v>23</v>
      </c>
      <c r="Q54" t="s">
        <v>24</v>
      </c>
      <c r="R54" t="s">
        <v>25</v>
      </c>
      <c r="S54" t="s">
        <v>26</v>
      </c>
      <c r="T54" s="6">
        <v>46307</v>
      </c>
      <c r="U54">
        <v>138</v>
      </c>
      <c r="V54">
        <v>138</v>
      </c>
      <c r="W54">
        <v>144</v>
      </c>
      <c r="X54">
        <v>144</v>
      </c>
      <c r="Y54">
        <f t="shared" si="1"/>
        <v>0</v>
      </c>
      <c r="Z54">
        <f t="shared" si="2"/>
        <v>-6</v>
      </c>
      <c r="AC54" s="1">
        <v>0</v>
      </c>
      <c r="AF54">
        <f t="shared" si="8"/>
        <v>138</v>
      </c>
      <c r="AG54" s="41">
        <v>6</v>
      </c>
      <c r="AH54">
        <f t="shared" si="4"/>
        <v>138</v>
      </c>
      <c r="AI54">
        <f t="shared" si="5"/>
        <v>0</v>
      </c>
      <c r="AK54">
        <f t="shared" si="6"/>
        <v>23</v>
      </c>
      <c r="AL54">
        <v>14.78</v>
      </c>
      <c r="AM54" t="s">
        <v>27</v>
      </c>
      <c r="AN54">
        <v>14.78</v>
      </c>
      <c r="AO54" t="b">
        <f t="shared" si="7"/>
        <v>1</v>
      </c>
      <c r="AR54" t="s">
        <v>5061</v>
      </c>
      <c r="AS54" s="21">
        <v>46276</v>
      </c>
      <c r="AT54" t="s">
        <v>5064</v>
      </c>
      <c r="AU54" t="s">
        <v>5066</v>
      </c>
      <c r="AV54" t="s">
        <v>5088</v>
      </c>
      <c r="AW54" t="s">
        <v>5086</v>
      </c>
    </row>
    <row r="55" spans="1:49" hidden="1" x14ac:dyDescent="0.35">
      <c r="A55" t="s">
        <v>73</v>
      </c>
      <c r="B55" t="s">
        <v>74</v>
      </c>
      <c r="C55" t="s">
        <v>4818</v>
      </c>
      <c r="D55" t="s">
        <v>18</v>
      </c>
      <c r="E55" t="s">
        <v>503</v>
      </c>
      <c r="F55" t="s">
        <v>504</v>
      </c>
      <c r="G55" t="s">
        <v>21</v>
      </c>
      <c r="H55" t="s">
        <v>4834</v>
      </c>
      <c r="I55" t="s">
        <v>4849</v>
      </c>
      <c r="J55" s="4" t="s">
        <v>4850</v>
      </c>
      <c r="K55" s="4" t="s">
        <v>4837</v>
      </c>
      <c r="L55" s="4" t="s">
        <v>4886</v>
      </c>
      <c r="M55" s="4" t="s">
        <v>5035</v>
      </c>
      <c r="N55" t="s">
        <v>505</v>
      </c>
      <c r="O55" t="s">
        <v>506</v>
      </c>
      <c r="P55" t="s">
        <v>23</v>
      </c>
      <c r="Q55" t="s">
        <v>24</v>
      </c>
      <c r="R55" t="s">
        <v>25</v>
      </c>
      <c r="S55" t="s">
        <v>26</v>
      </c>
      <c r="T55" s="6">
        <v>46307</v>
      </c>
      <c r="U55">
        <v>96</v>
      </c>
      <c r="V55">
        <v>96</v>
      </c>
      <c r="W55">
        <v>102</v>
      </c>
      <c r="X55">
        <v>102</v>
      </c>
      <c r="Y55">
        <f t="shared" si="1"/>
        <v>0</v>
      </c>
      <c r="Z55">
        <f t="shared" si="2"/>
        <v>-6</v>
      </c>
      <c r="AC55" s="1">
        <v>0</v>
      </c>
      <c r="AF55">
        <f t="shared" si="8"/>
        <v>96</v>
      </c>
      <c r="AG55" s="41">
        <v>6</v>
      </c>
      <c r="AH55">
        <f t="shared" si="4"/>
        <v>96</v>
      </c>
      <c r="AI55">
        <f t="shared" si="5"/>
        <v>0</v>
      </c>
      <c r="AK55">
        <f t="shared" si="6"/>
        <v>16</v>
      </c>
      <c r="AL55">
        <v>14.78</v>
      </c>
      <c r="AM55" t="s">
        <v>27</v>
      </c>
      <c r="AN55">
        <v>14.78</v>
      </c>
      <c r="AO55" t="b">
        <f t="shared" si="7"/>
        <v>1</v>
      </c>
      <c r="AR55" t="s">
        <v>5061</v>
      </c>
      <c r="AS55" s="21">
        <v>46276</v>
      </c>
      <c r="AT55" t="s">
        <v>5064</v>
      </c>
      <c r="AU55" t="s">
        <v>5066</v>
      </c>
      <c r="AV55" t="s">
        <v>5088</v>
      </c>
      <c r="AW55" t="s">
        <v>5086</v>
      </c>
    </row>
    <row r="56" spans="1:49" hidden="1" x14ac:dyDescent="0.35">
      <c r="A56" t="s">
        <v>73</v>
      </c>
      <c r="B56" t="s">
        <v>74</v>
      </c>
      <c r="C56" t="s">
        <v>4818</v>
      </c>
      <c r="D56" t="s">
        <v>18</v>
      </c>
      <c r="E56" t="s">
        <v>511</v>
      </c>
      <c r="F56" t="s">
        <v>512</v>
      </c>
      <c r="G56" t="s">
        <v>21</v>
      </c>
      <c r="H56" t="s">
        <v>4834</v>
      </c>
      <c r="I56" t="s">
        <v>4839</v>
      </c>
      <c r="J56" s="4" t="s">
        <v>4840</v>
      </c>
      <c r="K56" s="4" t="s">
        <v>4854</v>
      </c>
      <c r="L56" s="4" t="s">
        <v>4847</v>
      </c>
      <c r="M56" s="4" t="s">
        <v>5035</v>
      </c>
      <c r="N56" t="s">
        <v>513</v>
      </c>
      <c r="O56" t="s">
        <v>514</v>
      </c>
      <c r="P56" t="s">
        <v>23</v>
      </c>
      <c r="Q56" t="s">
        <v>24</v>
      </c>
      <c r="R56" t="s">
        <v>25</v>
      </c>
      <c r="S56" t="s">
        <v>26</v>
      </c>
      <c r="T56" s="6">
        <v>46307</v>
      </c>
      <c r="U56">
        <v>50</v>
      </c>
      <c r="V56">
        <v>50</v>
      </c>
      <c r="W56">
        <v>50</v>
      </c>
      <c r="X56">
        <v>50</v>
      </c>
      <c r="Y56">
        <f t="shared" si="1"/>
        <v>0</v>
      </c>
      <c r="Z56">
        <f t="shared" si="2"/>
        <v>0</v>
      </c>
      <c r="AC56" s="1">
        <v>0</v>
      </c>
      <c r="AF56">
        <f t="shared" si="8"/>
        <v>50</v>
      </c>
      <c r="AG56" s="41">
        <v>10</v>
      </c>
      <c r="AH56">
        <f t="shared" si="4"/>
        <v>50</v>
      </c>
      <c r="AI56">
        <f t="shared" si="5"/>
        <v>0</v>
      </c>
      <c r="AK56">
        <f t="shared" si="6"/>
        <v>5</v>
      </c>
      <c r="AL56">
        <v>20.420000000000002</v>
      </c>
      <c r="AM56" t="s">
        <v>27</v>
      </c>
      <c r="AN56">
        <v>20.420000000000002</v>
      </c>
      <c r="AO56" t="b">
        <f t="shared" si="7"/>
        <v>1</v>
      </c>
      <c r="AR56" t="s">
        <v>5061</v>
      </c>
      <c r="AS56" s="21">
        <v>46276</v>
      </c>
      <c r="AT56" t="s">
        <v>5064</v>
      </c>
      <c r="AU56" t="s">
        <v>5065</v>
      </c>
      <c r="AV56" t="s">
        <v>5088</v>
      </c>
      <c r="AW56" t="s">
        <v>5086</v>
      </c>
    </row>
    <row r="57" spans="1:49" hidden="1" x14ac:dyDescent="0.35">
      <c r="A57" t="s">
        <v>73</v>
      </c>
      <c r="B57" t="s">
        <v>74</v>
      </c>
      <c r="C57" t="s">
        <v>4818</v>
      </c>
      <c r="D57" t="s">
        <v>18</v>
      </c>
      <c r="E57" t="s">
        <v>519</v>
      </c>
      <c r="F57" t="s">
        <v>520</v>
      </c>
      <c r="G57" t="s">
        <v>21</v>
      </c>
      <c r="H57" t="s">
        <v>4834</v>
      </c>
      <c r="I57" t="s">
        <v>4839</v>
      </c>
      <c r="J57" s="4" t="s">
        <v>4840</v>
      </c>
      <c r="K57" s="4" t="s">
        <v>4843</v>
      </c>
      <c r="L57" s="4" t="s">
        <v>4860</v>
      </c>
      <c r="M57" s="4" t="s">
        <v>5035</v>
      </c>
      <c r="N57" t="s">
        <v>521</v>
      </c>
      <c r="O57" t="s">
        <v>522</v>
      </c>
      <c r="P57" t="s">
        <v>23</v>
      </c>
      <c r="Q57" t="s">
        <v>24</v>
      </c>
      <c r="R57" t="s">
        <v>25</v>
      </c>
      <c r="S57" t="s">
        <v>26</v>
      </c>
      <c r="T57" s="6">
        <v>46307</v>
      </c>
      <c r="U57">
        <v>80</v>
      </c>
      <c r="V57">
        <v>80</v>
      </c>
      <c r="W57">
        <v>80</v>
      </c>
      <c r="X57">
        <v>80</v>
      </c>
      <c r="Y57">
        <f t="shared" si="1"/>
        <v>0</v>
      </c>
      <c r="Z57">
        <f t="shared" si="2"/>
        <v>0</v>
      </c>
      <c r="AC57" s="1">
        <v>0</v>
      </c>
      <c r="AF57">
        <f t="shared" si="8"/>
        <v>80</v>
      </c>
      <c r="AG57" s="41">
        <v>10</v>
      </c>
      <c r="AH57">
        <f t="shared" si="4"/>
        <v>80</v>
      </c>
      <c r="AI57">
        <f t="shared" si="5"/>
        <v>0</v>
      </c>
      <c r="AK57">
        <f t="shared" si="6"/>
        <v>8</v>
      </c>
      <c r="AL57">
        <v>20.420000000000002</v>
      </c>
      <c r="AM57" t="s">
        <v>27</v>
      </c>
      <c r="AN57">
        <v>20.420000000000002</v>
      </c>
      <c r="AO57" t="b">
        <f t="shared" si="7"/>
        <v>1</v>
      </c>
      <c r="AR57" t="s">
        <v>5061</v>
      </c>
      <c r="AS57" s="21">
        <v>46276</v>
      </c>
      <c r="AT57" t="s">
        <v>5064</v>
      </c>
      <c r="AU57" t="s">
        <v>5065</v>
      </c>
      <c r="AV57" t="s">
        <v>5088</v>
      </c>
      <c r="AW57" t="s">
        <v>5086</v>
      </c>
    </row>
    <row r="58" spans="1:49" hidden="1" x14ac:dyDescent="0.35">
      <c r="A58" t="s">
        <v>73</v>
      </c>
      <c r="B58" t="s">
        <v>74</v>
      </c>
      <c r="C58" t="s">
        <v>4818</v>
      </c>
      <c r="D58" t="s">
        <v>18</v>
      </c>
      <c r="E58" t="s">
        <v>523</v>
      </c>
      <c r="F58" t="s">
        <v>524</v>
      </c>
      <c r="G58" t="s">
        <v>21</v>
      </c>
      <c r="H58" t="s">
        <v>4834</v>
      </c>
      <c r="I58" t="s">
        <v>4839</v>
      </c>
      <c r="J58" s="4" t="s">
        <v>4840</v>
      </c>
      <c r="K58" s="4" t="s">
        <v>4854</v>
      </c>
      <c r="L58" s="4" t="s">
        <v>4842</v>
      </c>
      <c r="M58" s="4" t="s">
        <v>5035</v>
      </c>
      <c r="N58" t="s">
        <v>525</v>
      </c>
      <c r="O58" t="s">
        <v>526</v>
      </c>
      <c r="P58" t="s">
        <v>23</v>
      </c>
      <c r="Q58" t="s">
        <v>24</v>
      </c>
      <c r="R58" t="s">
        <v>25</v>
      </c>
      <c r="S58" t="s">
        <v>26</v>
      </c>
      <c r="T58" s="6">
        <v>46307</v>
      </c>
      <c r="U58">
        <v>160</v>
      </c>
      <c r="V58">
        <v>160</v>
      </c>
      <c r="W58">
        <v>170</v>
      </c>
      <c r="X58">
        <v>170</v>
      </c>
      <c r="Y58">
        <f t="shared" si="1"/>
        <v>0</v>
      </c>
      <c r="Z58">
        <f t="shared" si="2"/>
        <v>-10</v>
      </c>
      <c r="AC58" s="1">
        <v>0</v>
      </c>
      <c r="AF58">
        <f t="shared" si="8"/>
        <v>160</v>
      </c>
      <c r="AG58" s="41">
        <v>10</v>
      </c>
      <c r="AH58">
        <f t="shared" si="4"/>
        <v>160</v>
      </c>
      <c r="AI58">
        <f t="shared" si="5"/>
        <v>0</v>
      </c>
      <c r="AK58">
        <f t="shared" si="6"/>
        <v>16</v>
      </c>
      <c r="AL58">
        <v>20.420000000000002</v>
      </c>
      <c r="AM58" t="s">
        <v>27</v>
      </c>
      <c r="AN58">
        <v>20.420000000000002</v>
      </c>
      <c r="AO58" t="b">
        <f t="shared" si="7"/>
        <v>1</v>
      </c>
      <c r="AR58" t="s">
        <v>5061</v>
      </c>
      <c r="AS58" s="21">
        <v>46276</v>
      </c>
      <c r="AT58" t="s">
        <v>5064</v>
      </c>
      <c r="AU58" t="s">
        <v>5065</v>
      </c>
      <c r="AV58" t="s">
        <v>5088</v>
      </c>
      <c r="AW58" t="s">
        <v>5086</v>
      </c>
    </row>
    <row r="59" spans="1:49" hidden="1" x14ac:dyDescent="0.35">
      <c r="A59" t="s">
        <v>73</v>
      </c>
      <c r="B59" t="s">
        <v>74</v>
      </c>
      <c r="C59" t="s">
        <v>4818</v>
      </c>
      <c r="D59" t="s">
        <v>18</v>
      </c>
      <c r="E59" t="s">
        <v>527</v>
      </c>
      <c r="F59" t="s">
        <v>528</v>
      </c>
      <c r="G59" t="s">
        <v>21</v>
      </c>
      <c r="H59" t="s">
        <v>4834</v>
      </c>
      <c r="I59" t="s">
        <v>4849</v>
      </c>
      <c r="J59" s="4" t="s">
        <v>4850</v>
      </c>
      <c r="K59" s="4" t="s">
        <v>4862</v>
      </c>
      <c r="L59" s="4" t="s">
        <v>4853</v>
      </c>
      <c r="M59" s="4" t="s">
        <v>5035</v>
      </c>
      <c r="N59" t="s">
        <v>529</v>
      </c>
      <c r="O59" t="s">
        <v>530</v>
      </c>
      <c r="P59" t="s">
        <v>23</v>
      </c>
      <c r="Q59" t="s">
        <v>24</v>
      </c>
      <c r="R59" t="s">
        <v>25</v>
      </c>
      <c r="S59" t="s">
        <v>26</v>
      </c>
      <c r="T59" s="6">
        <v>46307</v>
      </c>
      <c r="U59">
        <v>90</v>
      </c>
      <c r="V59">
        <v>90</v>
      </c>
      <c r="W59">
        <v>96</v>
      </c>
      <c r="X59">
        <v>96</v>
      </c>
      <c r="Y59">
        <f t="shared" si="1"/>
        <v>0</v>
      </c>
      <c r="Z59">
        <f t="shared" si="2"/>
        <v>-6</v>
      </c>
      <c r="AC59" s="1">
        <v>0</v>
      </c>
      <c r="AF59">
        <f t="shared" si="8"/>
        <v>90</v>
      </c>
      <c r="AG59" s="41">
        <v>6</v>
      </c>
      <c r="AH59">
        <f t="shared" si="4"/>
        <v>90</v>
      </c>
      <c r="AI59">
        <f t="shared" si="5"/>
        <v>0</v>
      </c>
      <c r="AK59">
        <f t="shared" si="6"/>
        <v>15</v>
      </c>
      <c r="AL59">
        <v>14.78</v>
      </c>
      <c r="AM59" t="s">
        <v>27</v>
      </c>
      <c r="AN59">
        <v>14.78</v>
      </c>
      <c r="AO59" t="b">
        <f t="shared" si="7"/>
        <v>1</v>
      </c>
      <c r="AR59" t="s">
        <v>5061</v>
      </c>
      <c r="AS59" s="21">
        <v>46276</v>
      </c>
      <c r="AT59" t="s">
        <v>5064</v>
      </c>
      <c r="AU59" t="s">
        <v>5066</v>
      </c>
      <c r="AV59" t="s">
        <v>5088</v>
      </c>
      <c r="AW59" t="s">
        <v>5086</v>
      </c>
    </row>
    <row r="60" spans="1:49" hidden="1" x14ac:dyDescent="0.35">
      <c r="A60" t="s">
        <v>73</v>
      </c>
      <c r="B60" t="s">
        <v>74</v>
      </c>
      <c r="C60" t="s">
        <v>4818</v>
      </c>
      <c r="D60" t="s">
        <v>18</v>
      </c>
      <c r="E60" t="s">
        <v>539</v>
      </c>
      <c r="F60" t="s">
        <v>540</v>
      </c>
      <c r="G60" t="s">
        <v>21</v>
      </c>
      <c r="H60" t="s">
        <v>4834</v>
      </c>
      <c r="I60" t="s">
        <v>4839</v>
      </c>
      <c r="J60" s="4" t="s">
        <v>4840</v>
      </c>
      <c r="K60" s="4" t="s">
        <v>4832</v>
      </c>
      <c r="L60" s="4" t="s">
        <v>4878</v>
      </c>
      <c r="M60" s="4" t="s">
        <v>5035</v>
      </c>
      <c r="N60" t="s">
        <v>541</v>
      </c>
      <c r="O60" t="s">
        <v>542</v>
      </c>
      <c r="P60" t="s">
        <v>23</v>
      </c>
      <c r="Q60" t="s">
        <v>24</v>
      </c>
      <c r="R60" t="s">
        <v>25</v>
      </c>
      <c r="S60" t="s">
        <v>26</v>
      </c>
      <c r="T60" s="6">
        <v>46307</v>
      </c>
      <c r="U60">
        <v>110</v>
      </c>
      <c r="V60">
        <v>110</v>
      </c>
      <c r="W60">
        <v>110</v>
      </c>
      <c r="X60">
        <v>110</v>
      </c>
      <c r="Y60">
        <f t="shared" si="1"/>
        <v>0</v>
      </c>
      <c r="Z60">
        <f t="shared" si="2"/>
        <v>0</v>
      </c>
      <c r="AC60" s="1">
        <v>0</v>
      </c>
      <c r="AF60">
        <f t="shared" si="8"/>
        <v>110</v>
      </c>
      <c r="AG60" s="41">
        <v>10</v>
      </c>
      <c r="AH60">
        <f t="shared" si="4"/>
        <v>110</v>
      </c>
      <c r="AI60">
        <f t="shared" si="5"/>
        <v>0</v>
      </c>
      <c r="AK60">
        <f t="shared" si="6"/>
        <v>11</v>
      </c>
      <c r="AL60">
        <v>20.420000000000002</v>
      </c>
      <c r="AM60" t="s">
        <v>27</v>
      </c>
      <c r="AN60">
        <v>20.420000000000002</v>
      </c>
      <c r="AO60" t="b">
        <f t="shared" si="7"/>
        <v>1</v>
      </c>
      <c r="AR60" t="s">
        <v>5061</v>
      </c>
      <c r="AS60" s="21">
        <v>46276</v>
      </c>
      <c r="AT60" t="s">
        <v>5064</v>
      </c>
      <c r="AU60" t="s">
        <v>5065</v>
      </c>
      <c r="AV60" t="s">
        <v>5088</v>
      </c>
      <c r="AW60" t="s">
        <v>5086</v>
      </c>
    </row>
    <row r="61" spans="1:49" hidden="1" x14ac:dyDescent="0.35">
      <c r="A61" t="s">
        <v>73</v>
      </c>
      <c r="B61" t="s">
        <v>74</v>
      </c>
      <c r="C61" t="s">
        <v>4818</v>
      </c>
      <c r="D61" t="s">
        <v>18</v>
      </c>
      <c r="E61" t="s">
        <v>543</v>
      </c>
      <c r="F61" t="s">
        <v>544</v>
      </c>
      <c r="G61" t="s">
        <v>21</v>
      </c>
      <c r="H61" t="s">
        <v>4834</v>
      </c>
      <c r="I61" t="s">
        <v>4849</v>
      </c>
      <c r="J61" s="4" t="s">
        <v>4850</v>
      </c>
      <c r="K61" s="4" t="s">
        <v>4852</v>
      </c>
      <c r="L61" s="4" t="s">
        <v>4863</v>
      </c>
      <c r="M61" s="4" t="s">
        <v>5035</v>
      </c>
      <c r="N61" t="s">
        <v>545</v>
      </c>
      <c r="O61" t="s">
        <v>546</v>
      </c>
      <c r="P61" t="s">
        <v>23</v>
      </c>
      <c r="Q61" t="s">
        <v>24</v>
      </c>
      <c r="R61" t="s">
        <v>25</v>
      </c>
      <c r="S61" t="s">
        <v>26</v>
      </c>
      <c r="T61" s="6">
        <v>46307</v>
      </c>
      <c r="U61">
        <v>66</v>
      </c>
      <c r="V61">
        <v>66</v>
      </c>
      <c r="W61">
        <v>66</v>
      </c>
      <c r="X61">
        <v>66</v>
      </c>
      <c r="Y61">
        <f t="shared" si="1"/>
        <v>0</v>
      </c>
      <c r="Z61">
        <f t="shared" si="2"/>
        <v>0</v>
      </c>
      <c r="AC61" s="1">
        <v>0</v>
      </c>
      <c r="AF61">
        <f t="shared" si="8"/>
        <v>66</v>
      </c>
      <c r="AG61" s="41">
        <v>6</v>
      </c>
      <c r="AH61">
        <f t="shared" si="4"/>
        <v>66</v>
      </c>
      <c r="AI61">
        <f t="shared" si="5"/>
        <v>0</v>
      </c>
      <c r="AK61">
        <f t="shared" si="6"/>
        <v>11</v>
      </c>
      <c r="AL61">
        <v>14.78</v>
      </c>
      <c r="AM61" t="s">
        <v>27</v>
      </c>
      <c r="AN61">
        <v>14.78</v>
      </c>
      <c r="AO61" t="b">
        <f t="shared" si="7"/>
        <v>1</v>
      </c>
      <c r="AR61" t="s">
        <v>5061</v>
      </c>
      <c r="AS61" s="21">
        <v>46276</v>
      </c>
      <c r="AT61" t="s">
        <v>5064</v>
      </c>
      <c r="AU61" t="s">
        <v>5066</v>
      </c>
      <c r="AV61" t="s">
        <v>5088</v>
      </c>
      <c r="AW61" t="s">
        <v>5086</v>
      </c>
    </row>
    <row r="62" spans="1:49" hidden="1" x14ac:dyDescent="0.35">
      <c r="A62" t="s">
        <v>73</v>
      </c>
      <c r="B62" t="s">
        <v>74</v>
      </c>
      <c r="C62" t="s">
        <v>4818</v>
      </c>
      <c r="D62" t="s">
        <v>18</v>
      </c>
      <c r="E62" t="s">
        <v>547</v>
      </c>
      <c r="F62" t="s">
        <v>548</v>
      </c>
      <c r="G62" t="s">
        <v>21</v>
      </c>
      <c r="H62" t="s">
        <v>4834</v>
      </c>
      <c r="I62" t="s">
        <v>4849</v>
      </c>
      <c r="J62" s="4" t="s">
        <v>4850</v>
      </c>
      <c r="K62" s="4" t="s">
        <v>4854</v>
      </c>
      <c r="L62" s="4" t="s">
        <v>4851</v>
      </c>
      <c r="M62" s="4" t="s">
        <v>5035</v>
      </c>
      <c r="N62" t="s">
        <v>549</v>
      </c>
      <c r="O62" t="s">
        <v>550</v>
      </c>
      <c r="P62" t="s">
        <v>23</v>
      </c>
      <c r="Q62" t="s">
        <v>24</v>
      </c>
      <c r="R62" t="s">
        <v>25</v>
      </c>
      <c r="S62" t="s">
        <v>26</v>
      </c>
      <c r="T62" s="6">
        <v>46307</v>
      </c>
      <c r="U62">
        <v>90</v>
      </c>
      <c r="V62">
        <v>90</v>
      </c>
      <c r="W62">
        <v>96</v>
      </c>
      <c r="X62">
        <v>96</v>
      </c>
      <c r="Y62">
        <f t="shared" si="1"/>
        <v>0</v>
      </c>
      <c r="Z62">
        <f t="shared" si="2"/>
        <v>-6</v>
      </c>
      <c r="AC62" s="1">
        <v>0</v>
      </c>
      <c r="AF62">
        <f t="shared" si="8"/>
        <v>90</v>
      </c>
      <c r="AG62" s="41">
        <v>6</v>
      </c>
      <c r="AH62">
        <f t="shared" si="4"/>
        <v>90</v>
      </c>
      <c r="AI62">
        <f t="shared" si="5"/>
        <v>0</v>
      </c>
      <c r="AK62">
        <f t="shared" si="6"/>
        <v>15</v>
      </c>
      <c r="AL62">
        <v>14.78</v>
      </c>
      <c r="AM62" t="s">
        <v>27</v>
      </c>
      <c r="AN62">
        <v>14.78</v>
      </c>
      <c r="AO62" t="b">
        <f t="shared" si="7"/>
        <v>1</v>
      </c>
      <c r="AR62" t="s">
        <v>5061</v>
      </c>
      <c r="AS62" s="21">
        <v>46276</v>
      </c>
      <c r="AT62" t="s">
        <v>5064</v>
      </c>
      <c r="AU62" t="s">
        <v>5066</v>
      </c>
      <c r="AV62" t="s">
        <v>5088</v>
      </c>
      <c r="AW62" t="s">
        <v>5086</v>
      </c>
    </row>
    <row r="63" spans="1:49" hidden="1" x14ac:dyDescent="0.35">
      <c r="A63" t="s">
        <v>73</v>
      </c>
      <c r="B63" t="s">
        <v>74</v>
      </c>
      <c r="C63" t="s">
        <v>4818</v>
      </c>
      <c r="D63" t="s">
        <v>18</v>
      </c>
      <c r="E63" t="s">
        <v>559</v>
      </c>
      <c r="F63" t="s">
        <v>560</v>
      </c>
      <c r="G63" t="s">
        <v>21</v>
      </c>
      <c r="H63" t="s">
        <v>4834</v>
      </c>
      <c r="I63" t="s">
        <v>4839</v>
      </c>
      <c r="J63" s="4" t="s">
        <v>4840</v>
      </c>
      <c r="K63" s="4" t="s">
        <v>4832</v>
      </c>
      <c r="L63" s="4" t="s">
        <v>4838</v>
      </c>
      <c r="M63" s="4" t="s">
        <v>5035</v>
      </c>
      <c r="N63" t="s">
        <v>561</v>
      </c>
      <c r="O63" t="s">
        <v>562</v>
      </c>
      <c r="P63" t="s">
        <v>23</v>
      </c>
      <c r="Q63" t="s">
        <v>24</v>
      </c>
      <c r="R63" t="s">
        <v>25</v>
      </c>
      <c r="S63" t="s">
        <v>26</v>
      </c>
      <c r="T63" s="6">
        <v>46307</v>
      </c>
      <c r="U63">
        <v>60</v>
      </c>
      <c r="V63">
        <v>60</v>
      </c>
      <c r="W63">
        <v>60</v>
      </c>
      <c r="X63">
        <v>60</v>
      </c>
      <c r="Y63">
        <f t="shared" si="1"/>
        <v>0</v>
      </c>
      <c r="Z63">
        <f t="shared" si="2"/>
        <v>0</v>
      </c>
      <c r="AC63" s="1">
        <v>0</v>
      </c>
      <c r="AF63">
        <f t="shared" si="8"/>
        <v>60</v>
      </c>
      <c r="AG63" s="41">
        <v>10</v>
      </c>
      <c r="AH63">
        <f t="shared" si="4"/>
        <v>60</v>
      </c>
      <c r="AI63">
        <f t="shared" si="5"/>
        <v>0</v>
      </c>
      <c r="AK63">
        <f t="shared" si="6"/>
        <v>6</v>
      </c>
      <c r="AL63">
        <v>20.420000000000002</v>
      </c>
      <c r="AM63" t="s">
        <v>27</v>
      </c>
      <c r="AN63">
        <v>20.420000000000002</v>
      </c>
      <c r="AO63" t="b">
        <f t="shared" si="7"/>
        <v>1</v>
      </c>
      <c r="AR63" t="s">
        <v>5061</v>
      </c>
      <c r="AS63" s="21">
        <v>46276</v>
      </c>
      <c r="AT63" t="s">
        <v>5064</v>
      </c>
      <c r="AU63" t="s">
        <v>5065</v>
      </c>
      <c r="AV63" t="s">
        <v>5088</v>
      </c>
      <c r="AW63" t="s">
        <v>5086</v>
      </c>
    </row>
    <row r="64" spans="1:49" hidden="1" x14ac:dyDescent="0.35">
      <c r="A64" t="s">
        <v>73</v>
      </c>
      <c r="B64" t="s">
        <v>74</v>
      </c>
      <c r="C64" t="s">
        <v>4818</v>
      </c>
      <c r="D64" t="s">
        <v>18</v>
      </c>
      <c r="E64" t="s">
        <v>563</v>
      </c>
      <c r="F64" t="s">
        <v>564</v>
      </c>
      <c r="G64" t="s">
        <v>21</v>
      </c>
      <c r="H64" t="s">
        <v>4834</v>
      </c>
      <c r="I64" t="s">
        <v>4839</v>
      </c>
      <c r="J64" s="4" t="s">
        <v>4840</v>
      </c>
      <c r="K64" s="4" t="s">
        <v>4854</v>
      </c>
      <c r="L64" s="4" t="s">
        <v>4868</v>
      </c>
      <c r="M64" s="4" t="s">
        <v>5035</v>
      </c>
      <c r="N64" t="s">
        <v>565</v>
      </c>
      <c r="O64" t="s">
        <v>566</v>
      </c>
      <c r="P64" t="s">
        <v>23</v>
      </c>
      <c r="Q64" t="s">
        <v>24</v>
      </c>
      <c r="R64" t="s">
        <v>25</v>
      </c>
      <c r="S64" t="s">
        <v>26</v>
      </c>
      <c r="T64" s="6">
        <v>46307</v>
      </c>
      <c r="U64">
        <v>100</v>
      </c>
      <c r="V64">
        <v>100</v>
      </c>
      <c r="W64">
        <v>110</v>
      </c>
      <c r="X64">
        <v>110</v>
      </c>
      <c r="Y64">
        <f t="shared" si="1"/>
        <v>0</v>
      </c>
      <c r="Z64">
        <f t="shared" si="2"/>
        <v>-10</v>
      </c>
      <c r="AC64" s="1">
        <v>0</v>
      </c>
      <c r="AF64">
        <f t="shared" si="8"/>
        <v>100</v>
      </c>
      <c r="AG64" s="41">
        <v>10</v>
      </c>
      <c r="AH64">
        <f t="shared" si="4"/>
        <v>100</v>
      </c>
      <c r="AI64">
        <f t="shared" si="5"/>
        <v>0</v>
      </c>
      <c r="AK64">
        <f t="shared" si="6"/>
        <v>10</v>
      </c>
      <c r="AL64">
        <v>20.420000000000002</v>
      </c>
      <c r="AM64" t="s">
        <v>27</v>
      </c>
      <c r="AN64">
        <v>20.420000000000002</v>
      </c>
      <c r="AO64" t="b">
        <f t="shared" si="7"/>
        <v>1</v>
      </c>
      <c r="AR64" t="s">
        <v>5061</v>
      </c>
      <c r="AS64" s="21">
        <v>46276</v>
      </c>
      <c r="AT64" t="s">
        <v>5064</v>
      </c>
      <c r="AU64" t="s">
        <v>5065</v>
      </c>
      <c r="AV64" t="s">
        <v>5088</v>
      </c>
      <c r="AW64" t="s">
        <v>5086</v>
      </c>
    </row>
    <row r="65" spans="1:49" hidden="1" x14ac:dyDescent="0.35">
      <c r="A65" t="s">
        <v>73</v>
      </c>
      <c r="B65" t="s">
        <v>74</v>
      </c>
      <c r="C65" t="s">
        <v>4818</v>
      </c>
      <c r="D65" t="s">
        <v>18</v>
      </c>
      <c r="E65" t="s">
        <v>567</v>
      </c>
      <c r="F65" t="s">
        <v>568</v>
      </c>
      <c r="G65" t="s">
        <v>21</v>
      </c>
      <c r="H65" t="s">
        <v>4834</v>
      </c>
      <c r="I65" t="s">
        <v>4839</v>
      </c>
      <c r="J65" s="4" t="s">
        <v>4840</v>
      </c>
      <c r="K65" s="4" t="s">
        <v>4854</v>
      </c>
      <c r="L65" s="4" t="s">
        <v>4844</v>
      </c>
      <c r="M65" s="4" t="s">
        <v>5035</v>
      </c>
      <c r="N65" t="s">
        <v>569</v>
      </c>
      <c r="O65" t="s">
        <v>570</v>
      </c>
      <c r="P65" t="s">
        <v>23</v>
      </c>
      <c r="Q65" t="s">
        <v>24</v>
      </c>
      <c r="R65" t="s">
        <v>25</v>
      </c>
      <c r="S65" t="s">
        <v>26</v>
      </c>
      <c r="T65" s="6">
        <v>46307</v>
      </c>
      <c r="U65">
        <v>60</v>
      </c>
      <c r="V65">
        <v>60</v>
      </c>
      <c r="W65">
        <v>60</v>
      </c>
      <c r="X65">
        <v>60</v>
      </c>
      <c r="Y65">
        <f t="shared" si="1"/>
        <v>0</v>
      </c>
      <c r="Z65">
        <f t="shared" si="2"/>
        <v>0</v>
      </c>
      <c r="AC65" s="1">
        <v>0</v>
      </c>
      <c r="AF65">
        <f t="shared" si="8"/>
        <v>60</v>
      </c>
      <c r="AG65" s="41">
        <v>10</v>
      </c>
      <c r="AH65">
        <f t="shared" si="4"/>
        <v>60</v>
      </c>
      <c r="AI65">
        <f t="shared" si="5"/>
        <v>0</v>
      </c>
      <c r="AK65">
        <f t="shared" si="6"/>
        <v>6</v>
      </c>
      <c r="AL65">
        <v>20.420000000000002</v>
      </c>
      <c r="AM65" t="s">
        <v>27</v>
      </c>
      <c r="AN65">
        <v>20.420000000000002</v>
      </c>
      <c r="AO65" t="b">
        <f t="shared" si="7"/>
        <v>1</v>
      </c>
      <c r="AR65" t="s">
        <v>5061</v>
      </c>
      <c r="AS65" s="21">
        <v>46276</v>
      </c>
      <c r="AT65" t="s">
        <v>5064</v>
      </c>
      <c r="AU65" t="s">
        <v>5065</v>
      </c>
      <c r="AV65" t="s">
        <v>5088</v>
      </c>
      <c r="AW65" t="s">
        <v>5086</v>
      </c>
    </row>
    <row r="66" spans="1:49" hidden="1" x14ac:dyDescent="0.35">
      <c r="A66" t="s">
        <v>73</v>
      </c>
      <c r="B66" t="s">
        <v>74</v>
      </c>
      <c r="C66" t="s">
        <v>4818</v>
      </c>
      <c r="D66" t="s">
        <v>18</v>
      </c>
      <c r="E66" t="s">
        <v>571</v>
      </c>
      <c r="F66" t="s">
        <v>572</v>
      </c>
      <c r="G66" t="s">
        <v>21</v>
      </c>
      <c r="H66" t="s">
        <v>4834</v>
      </c>
      <c r="I66" t="s">
        <v>4839</v>
      </c>
      <c r="J66" s="4" t="s">
        <v>4840</v>
      </c>
      <c r="K66" s="4" t="s">
        <v>4843</v>
      </c>
      <c r="L66" s="4" t="s">
        <v>4847</v>
      </c>
      <c r="M66" s="4" t="s">
        <v>5035</v>
      </c>
      <c r="N66" t="s">
        <v>573</v>
      </c>
      <c r="O66" t="s">
        <v>574</v>
      </c>
      <c r="P66" t="s">
        <v>23</v>
      </c>
      <c r="Q66" t="s">
        <v>24</v>
      </c>
      <c r="R66" t="s">
        <v>25</v>
      </c>
      <c r="S66" t="s">
        <v>26</v>
      </c>
      <c r="T66" s="6">
        <v>46307</v>
      </c>
      <c r="U66">
        <v>40</v>
      </c>
      <c r="V66">
        <v>40</v>
      </c>
      <c r="W66">
        <v>40</v>
      </c>
      <c r="X66">
        <v>40</v>
      </c>
      <c r="Y66">
        <f t="shared" si="1"/>
        <v>0</v>
      </c>
      <c r="Z66">
        <f t="shared" si="2"/>
        <v>0</v>
      </c>
      <c r="AC66" s="1">
        <v>0</v>
      </c>
      <c r="AF66">
        <f t="shared" si="8"/>
        <v>40</v>
      </c>
      <c r="AG66" s="41">
        <v>10</v>
      </c>
      <c r="AH66">
        <f t="shared" si="4"/>
        <v>40</v>
      </c>
      <c r="AI66">
        <f t="shared" si="5"/>
        <v>0</v>
      </c>
      <c r="AK66">
        <f t="shared" si="6"/>
        <v>4</v>
      </c>
      <c r="AL66">
        <v>20.420000000000002</v>
      </c>
      <c r="AM66" t="s">
        <v>27</v>
      </c>
      <c r="AN66">
        <v>20.420000000000002</v>
      </c>
      <c r="AO66" t="b">
        <f t="shared" si="7"/>
        <v>1</v>
      </c>
      <c r="AR66" t="s">
        <v>5061</v>
      </c>
      <c r="AS66" s="21">
        <v>46276</v>
      </c>
      <c r="AT66" t="s">
        <v>5064</v>
      </c>
      <c r="AU66" t="s">
        <v>5065</v>
      </c>
      <c r="AV66" t="s">
        <v>5088</v>
      </c>
      <c r="AW66" t="s">
        <v>5086</v>
      </c>
    </row>
    <row r="67" spans="1:49" hidden="1" x14ac:dyDescent="0.35">
      <c r="A67" t="s">
        <v>73</v>
      </c>
      <c r="B67" t="s">
        <v>74</v>
      </c>
      <c r="C67" t="s">
        <v>4818</v>
      </c>
      <c r="D67" t="s">
        <v>18</v>
      </c>
      <c r="E67" t="s">
        <v>579</v>
      </c>
      <c r="F67" t="s">
        <v>580</v>
      </c>
      <c r="G67" t="s">
        <v>21</v>
      </c>
      <c r="H67" t="s">
        <v>4834</v>
      </c>
      <c r="I67" t="s">
        <v>4839</v>
      </c>
      <c r="J67" s="4" t="s">
        <v>4840</v>
      </c>
      <c r="K67" s="4" t="s">
        <v>4832</v>
      </c>
      <c r="L67" s="4" t="s">
        <v>4846</v>
      </c>
      <c r="M67" s="4" t="s">
        <v>5035</v>
      </c>
      <c r="N67" t="s">
        <v>581</v>
      </c>
      <c r="O67" t="s">
        <v>582</v>
      </c>
      <c r="P67" t="s">
        <v>23</v>
      </c>
      <c r="Q67" t="s">
        <v>24</v>
      </c>
      <c r="R67" t="s">
        <v>25</v>
      </c>
      <c r="S67" t="s">
        <v>26</v>
      </c>
      <c r="T67" s="6">
        <v>46307</v>
      </c>
      <c r="U67">
        <v>90</v>
      </c>
      <c r="V67">
        <v>90</v>
      </c>
      <c r="W67">
        <v>90</v>
      </c>
      <c r="X67">
        <v>90</v>
      </c>
      <c r="Y67">
        <f t="shared" ref="Y67:Y130" si="9">W67-X67</f>
        <v>0</v>
      </c>
      <c r="Z67">
        <f t="shared" ref="Z67:Z130" si="10">V67-X67</f>
        <v>0</v>
      </c>
      <c r="AC67" s="1">
        <v>0</v>
      </c>
      <c r="AF67">
        <f t="shared" ref="AF67:AF98" si="11">V67</f>
        <v>90</v>
      </c>
      <c r="AG67" s="41">
        <v>10</v>
      </c>
      <c r="AH67">
        <f t="shared" ref="AH67:AH130" si="12">ROUNDUP(AF67/AG67,0)*AG67</f>
        <v>90</v>
      </c>
      <c r="AI67">
        <f t="shared" ref="AI67:AI130" si="13">V67-AH67</f>
        <v>0</v>
      </c>
      <c r="AK67">
        <f t="shared" ref="AK67:AK130" si="14">AH67/AG67</f>
        <v>9</v>
      </c>
      <c r="AL67">
        <v>20.420000000000002</v>
      </c>
      <c r="AM67" t="s">
        <v>27</v>
      </c>
      <c r="AN67">
        <v>20.420000000000002</v>
      </c>
      <c r="AO67" t="b">
        <f t="shared" ref="AO67:AO130" si="15">AL67=AN67</f>
        <v>1</v>
      </c>
      <c r="AR67" t="s">
        <v>5061</v>
      </c>
      <c r="AS67" s="21">
        <v>46276</v>
      </c>
      <c r="AT67" t="s">
        <v>5064</v>
      </c>
      <c r="AU67" t="s">
        <v>5065</v>
      </c>
      <c r="AV67" t="s">
        <v>5088</v>
      </c>
      <c r="AW67" t="s">
        <v>5086</v>
      </c>
    </row>
    <row r="68" spans="1:49" hidden="1" x14ac:dyDescent="0.35">
      <c r="A68" t="s">
        <v>73</v>
      </c>
      <c r="B68" t="s">
        <v>74</v>
      </c>
      <c r="C68" t="s">
        <v>4818</v>
      </c>
      <c r="D68" t="s">
        <v>18</v>
      </c>
      <c r="E68" t="s">
        <v>587</v>
      </c>
      <c r="F68" t="s">
        <v>588</v>
      </c>
      <c r="G68" t="s">
        <v>21</v>
      </c>
      <c r="H68" t="s">
        <v>4834</v>
      </c>
      <c r="I68" t="s">
        <v>4849</v>
      </c>
      <c r="J68" s="4" t="s">
        <v>4850</v>
      </c>
      <c r="K68" s="4" t="s">
        <v>4852</v>
      </c>
      <c r="L68" s="4" t="s">
        <v>4869</v>
      </c>
      <c r="M68" s="4" t="s">
        <v>5035</v>
      </c>
      <c r="N68" t="s">
        <v>589</v>
      </c>
      <c r="O68" t="s">
        <v>590</v>
      </c>
      <c r="P68" t="s">
        <v>23</v>
      </c>
      <c r="Q68" t="s">
        <v>24</v>
      </c>
      <c r="R68" t="s">
        <v>25</v>
      </c>
      <c r="S68" t="s">
        <v>26</v>
      </c>
      <c r="T68" s="6">
        <v>46307</v>
      </c>
      <c r="U68">
        <v>78</v>
      </c>
      <c r="V68">
        <v>78</v>
      </c>
      <c r="W68">
        <v>78</v>
      </c>
      <c r="X68">
        <v>78</v>
      </c>
      <c r="Y68">
        <f t="shared" si="9"/>
        <v>0</v>
      </c>
      <c r="Z68">
        <f t="shared" si="10"/>
        <v>0</v>
      </c>
      <c r="AC68" s="1">
        <v>0</v>
      </c>
      <c r="AF68">
        <f t="shared" si="11"/>
        <v>78</v>
      </c>
      <c r="AG68" s="41">
        <v>6</v>
      </c>
      <c r="AH68">
        <f t="shared" si="12"/>
        <v>78</v>
      </c>
      <c r="AI68">
        <f t="shared" si="13"/>
        <v>0</v>
      </c>
      <c r="AK68">
        <f t="shared" si="14"/>
        <v>13</v>
      </c>
      <c r="AL68">
        <v>14.78</v>
      </c>
      <c r="AM68" t="s">
        <v>27</v>
      </c>
      <c r="AN68">
        <v>14.78</v>
      </c>
      <c r="AO68" t="b">
        <f t="shared" si="15"/>
        <v>1</v>
      </c>
      <c r="AR68" t="s">
        <v>5061</v>
      </c>
      <c r="AS68" s="21">
        <v>46276</v>
      </c>
      <c r="AT68" t="s">
        <v>5064</v>
      </c>
      <c r="AU68" t="s">
        <v>5066</v>
      </c>
      <c r="AV68" t="s">
        <v>5088</v>
      </c>
      <c r="AW68" t="s">
        <v>5086</v>
      </c>
    </row>
    <row r="69" spans="1:49" hidden="1" x14ac:dyDescent="0.35">
      <c r="A69" t="s">
        <v>73</v>
      </c>
      <c r="B69" t="s">
        <v>74</v>
      </c>
      <c r="C69" t="s">
        <v>4818</v>
      </c>
      <c r="D69" t="s">
        <v>18</v>
      </c>
      <c r="E69" t="s">
        <v>595</v>
      </c>
      <c r="F69" t="s">
        <v>596</v>
      </c>
      <c r="G69" t="s">
        <v>21</v>
      </c>
      <c r="H69" t="s">
        <v>4834</v>
      </c>
      <c r="I69" t="s">
        <v>4849</v>
      </c>
      <c r="J69" s="4" t="s">
        <v>4850</v>
      </c>
      <c r="K69" s="4" t="s">
        <v>4837</v>
      </c>
      <c r="L69" s="4" t="s">
        <v>4870</v>
      </c>
      <c r="M69" s="4" t="s">
        <v>5035</v>
      </c>
      <c r="N69" t="s">
        <v>597</v>
      </c>
      <c r="O69" t="s">
        <v>598</v>
      </c>
      <c r="P69" t="s">
        <v>23</v>
      </c>
      <c r="Q69" t="s">
        <v>24</v>
      </c>
      <c r="R69" t="s">
        <v>25</v>
      </c>
      <c r="S69" t="s">
        <v>26</v>
      </c>
      <c r="T69" s="6">
        <v>46307</v>
      </c>
      <c r="U69">
        <v>60</v>
      </c>
      <c r="V69">
        <v>60</v>
      </c>
      <c r="W69">
        <v>66</v>
      </c>
      <c r="X69">
        <v>66</v>
      </c>
      <c r="Y69">
        <f t="shared" si="9"/>
        <v>0</v>
      </c>
      <c r="Z69">
        <f t="shared" si="10"/>
        <v>-6</v>
      </c>
      <c r="AC69" s="1">
        <v>0</v>
      </c>
      <c r="AF69">
        <f t="shared" si="11"/>
        <v>60</v>
      </c>
      <c r="AG69" s="41">
        <v>6</v>
      </c>
      <c r="AH69">
        <f t="shared" si="12"/>
        <v>60</v>
      </c>
      <c r="AI69">
        <f t="shared" si="13"/>
        <v>0</v>
      </c>
      <c r="AK69">
        <f t="shared" si="14"/>
        <v>10</v>
      </c>
      <c r="AL69">
        <v>14.78</v>
      </c>
      <c r="AM69" t="s">
        <v>27</v>
      </c>
      <c r="AN69">
        <v>14.78</v>
      </c>
      <c r="AO69" t="b">
        <f t="shared" si="15"/>
        <v>1</v>
      </c>
      <c r="AR69" t="s">
        <v>5061</v>
      </c>
      <c r="AS69" s="21">
        <v>46276</v>
      </c>
      <c r="AT69" t="s">
        <v>5064</v>
      </c>
      <c r="AU69" t="s">
        <v>5066</v>
      </c>
      <c r="AV69" t="s">
        <v>5088</v>
      </c>
      <c r="AW69" t="s">
        <v>5086</v>
      </c>
    </row>
    <row r="70" spans="1:49" hidden="1" x14ac:dyDescent="0.35">
      <c r="A70" t="s">
        <v>73</v>
      </c>
      <c r="B70" t="s">
        <v>74</v>
      </c>
      <c r="C70" t="s">
        <v>4818</v>
      </c>
      <c r="D70" t="s">
        <v>18</v>
      </c>
      <c r="E70" t="s">
        <v>603</v>
      </c>
      <c r="F70" t="s">
        <v>604</v>
      </c>
      <c r="G70" t="s">
        <v>21</v>
      </c>
      <c r="H70" t="s">
        <v>4834</v>
      </c>
      <c r="I70" t="s">
        <v>4849</v>
      </c>
      <c r="J70" s="4" t="s">
        <v>4850</v>
      </c>
      <c r="K70" s="4" t="s">
        <v>4854</v>
      </c>
      <c r="L70" s="4" t="s">
        <v>4873</v>
      </c>
      <c r="M70" s="4" t="s">
        <v>5035</v>
      </c>
      <c r="N70" t="s">
        <v>605</v>
      </c>
      <c r="O70" t="s">
        <v>606</v>
      </c>
      <c r="P70" t="s">
        <v>23</v>
      </c>
      <c r="Q70" t="s">
        <v>24</v>
      </c>
      <c r="R70" t="s">
        <v>25</v>
      </c>
      <c r="S70" t="s">
        <v>26</v>
      </c>
      <c r="T70" s="6">
        <v>46307</v>
      </c>
      <c r="U70">
        <v>66</v>
      </c>
      <c r="V70">
        <v>66</v>
      </c>
      <c r="W70">
        <v>72</v>
      </c>
      <c r="X70">
        <v>72</v>
      </c>
      <c r="Y70">
        <f t="shared" si="9"/>
        <v>0</v>
      </c>
      <c r="Z70">
        <f t="shared" si="10"/>
        <v>-6</v>
      </c>
      <c r="AC70" s="1">
        <v>0</v>
      </c>
      <c r="AF70">
        <f t="shared" si="11"/>
        <v>66</v>
      </c>
      <c r="AG70" s="41">
        <v>6</v>
      </c>
      <c r="AH70">
        <f t="shared" si="12"/>
        <v>66</v>
      </c>
      <c r="AI70">
        <f t="shared" si="13"/>
        <v>0</v>
      </c>
      <c r="AK70">
        <f t="shared" si="14"/>
        <v>11</v>
      </c>
      <c r="AL70">
        <v>14.78</v>
      </c>
      <c r="AM70" t="s">
        <v>27</v>
      </c>
      <c r="AN70">
        <v>14.78</v>
      </c>
      <c r="AO70" t="b">
        <f t="shared" si="15"/>
        <v>1</v>
      </c>
      <c r="AR70" t="s">
        <v>5061</v>
      </c>
      <c r="AS70" s="21">
        <v>46276</v>
      </c>
      <c r="AT70" t="s">
        <v>5064</v>
      </c>
      <c r="AU70" t="s">
        <v>5066</v>
      </c>
      <c r="AV70" t="s">
        <v>5088</v>
      </c>
      <c r="AW70" t="s">
        <v>5086</v>
      </c>
    </row>
    <row r="71" spans="1:49" hidden="1" x14ac:dyDescent="0.35">
      <c r="A71" t="s">
        <v>73</v>
      </c>
      <c r="B71" t="s">
        <v>74</v>
      </c>
      <c r="C71" t="s">
        <v>4818</v>
      </c>
      <c r="D71" t="s">
        <v>18</v>
      </c>
      <c r="E71" t="s">
        <v>607</v>
      </c>
      <c r="F71" t="s">
        <v>608</v>
      </c>
      <c r="G71" t="s">
        <v>21</v>
      </c>
      <c r="H71" t="s">
        <v>4834</v>
      </c>
      <c r="I71" t="s">
        <v>4839</v>
      </c>
      <c r="J71" s="4" t="s">
        <v>4840</v>
      </c>
      <c r="K71" s="4" t="s">
        <v>4832</v>
      </c>
      <c r="L71" s="4" t="s">
        <v>4841</v>
      </c>
      <c r="M71" s="4" t="s">
        <v>5035</v>
      </c>
      <c r="N71" t="s">
        <v>609</v>
      </c>
      <c r="O71" t="s">
        <v>610</v>
      </c>
      <c r="P71" t="s">
        <v>23</v>
      </c>
      <c r="Q71" t="s">
        <v>24</v>
      </c>
      <c r="R71" t="s">
        <v>25</v>
      </c>
      <c r="S71" t="s">
        <v>26</v>
      </c>
      <c r="T71" s="6">
        <v>46307</v>
      </c>
      <c r="U71">
        <v>80</v>
      </c>
      <c r="V71">
        <v>80</v>
      </c>
      <c r="W71">
        <v>80</v>
      </c>
      <c r="X71">
        <v>80</v>
      </c>
      <c r="Y71">
        <f t="shared" si="9"/>
        <v>0</v>
      </c>
      <c r="Z71">
        <f t="shared" si="10"/>
        <v>0</v>
      </c>
      <c r="AC71" s="1">
        <v>0</v>
      </c>
      <c r="AF71">
        <f t="shared" si="11"/>
        <v>80</v>
      </c>
      <c r="AG71" s="41">
        <v>10</v>
      </c>
      <c r="AH71">
        <f t="shared" si="12"/>
        <v>80</v>
      </c>
      <c r="AI71">
        <f t="shared" si="13"/>
        <v>0</v>
      </c>
      <c r="AK71">
        <f t="shared" si="14"/>
        <v>8</v>
      </c>
      <c r="AL71">
        <v>20.420000000000002</v>
      </c>
      <c r="AM71" t="s">
        <v>27</v>
      </c>
      <c r="AN71">
        <v>20.420000000000002</v>
      </c>
      <c r="AO71" t="b">
        <f t="shared" si="15"/>
        <v>1</v>
      </c>
      <c r="AR71" t="s">
        <v>5061</v>
      </c>
      <c r="AS71" s="21">
        <v>46276</v>
      </c>
      <c r="AT71" t="s">
        <v>5064</v>
      </c>
      <c r="AU71" t="s">
        <v>5065</v>
      </c>
      <c r="AV71" t="s">
        <v>5088</v>
      </c>
      <c r="AW71" t="s">
        <v>5086</v>
      </c>
    </row>
    <row r="72" spans="1:49" hidden="1" x14ac:dyDescent="0.35">
      <c r="A72" t="s">
        <v>73</v>
      </c>
      <c r="B72" t="s">
        <v>74</v>
      </c>
      <c r="C72" t="s">
        <v>4818</v>
      </c>
      <c r="D72" t="s">
        <v>18</v>
      </c>
      <c r="E72" t="s">
        <v>611</v>
      </c>
      <c r="F72" t="s">
        <v>612</v>
      </c>
      <c r="G72" t="s">
        <v>21</v>
      </c>
      <c r="H72" t="s">
        <v>4834</v>
      </c>
      <c r="I72" t="s">
        <v>4839</v>
      </c>
      <c r="J72" s="4" t="s">
        <v>4840</v>
      </c>
      <c r="K72" s="4" t="s">
        <v>4843</v>
      </c>
      <c r="L72" s="4" t="s">
        <v>4872</v>
      </c>
      <c r="M72" s="4" t="s">
        <v>5035</v>
      </c>
      <c r="N72" t="s">
        <v>613</v>
      </c>
      <c r="O72" t="s">
        <v>614</v>
      </c>
      <c r="P72" t="s">
        <v>23</v>
      </c>
      <c r="Q72" t="s">
        <v>24</v>
      </c>
      <c r="R72" t="s">
        <v>25</v>
      </c>
      <c r="S72" t="s">
        <v>26</v>
      </c>
      <c r="T72" s="6">
        <v>46307</v>
      </c>
      <c r="U72">
        <v>50</v>
      </c>
      <c r="V72">
        <v>50</v>
      </c>
      <c r="W72">
        <v>50</v>
      </c>
      <c r="X72">
        <v>50</v>
      </c>
      <c r="Y72">
        <f t="shared" si="9"/>
        <v>0</v>
      </c>
      <c r="Z72">
        <f t="shared" si="10"/>
        <v>0</v>
      </c>
      <c r="AC72" s="1">
        <v>0</v>
      </c>
      <c r="AF72">
        <f t="shared" si="11"/>
        <v>50</v>
      </c>
      <c r="AG72" s="41">
        <v>10</v>
      </c>
      <c r="AH72">
        <f t="shared" si="12"/>
        <v>50</v>
      </c>
      <c r="AI72">
        <f t="shared" si="13"/>
        <v>0</v>
      </c>
      <c r="AK72">
        <f t="shared" si="14"/>
        <v>5</v>
      </c>
      <c r="AL72">
        <v>20.420000000000002</v>
      </c>
      <c r="AM72" t="s">
        <v>27</v>
      </c>
      <c r="AN72">
        <v>20.420000000000002</v>
      </c>
      <c r="AO72" t="b">
        <f t="shared" si="15"/>
        <v>1</v>
      </c>
      <c r="AR72" t="s">
        <v>5061</v>
      </c>
      <c r="AS72" s="21">
        <v>46276</v>
      </c>
      <c r="AT72" t="s">
        <v>5064</v>
      </c>
      <c r="AU72" t="s">
        <v>5065</v>
      </c>
      <c r="AV72" t="s">
        <v>5088</v>
      </c>
      <c r="AW72" t="s">
        <v>5086</v>
      </c>
    </row>
    <row r="73" spans="1:49" hidden="1" x14ac:dyDescent="0.35">
      <c r="A73" t="s">
        <v>73</v>
      </c>
      <c r="B73" t="s">
        <v>74</v>
      </c>
      <c r="C73" t="s">
        <v>4818</v>
      </c>
      <c r="D73" t="s">
        <v>18</v>
      </c>
      <c r="E73" t="s">
        <v>623</v>
      </c>
      <c r="F73" t="s">
        <v>624</v>
      </c>
      <c r="G73" t="s">
        <v>21</v>
      </c>
      <c r="H73" t="s">
        <v>4834</v>
      </c>
      <c r="I73" t="s">
        <v>4839</v>
      </c>
      <c r="J73" s="4" t="s">
        <v>4840</v>
      </c>
      <c r="K73" s="4" t="s">
        <v>4843</v>
      </c>
      <c r="L73" s="4" t="s">
        <v>4838</v>
      </c>
      <c r="M73" s="4" t="s">
        <v>5035</v>
      </c>
      <c r="N73" t="s">
        <v>625</v>
      </c>
      <c r="O73" t="s">
        <v>626</v>
      </c>
      <c r="P73" t="s">
        <v>23</v>
      </c>
      <c r="Q73" t="s">
        <v>24</v>
      </c>
      <c r="R73" t="s">
        <v>25</v>
      </c>
      <c r="S73" t="s">
        <v>26</v>
      </c>
      <c r="T73" s="6">
        <v>46307</v>
      </c>
      <c r="U73">
        <v>50</v>
      </c>
      <c r="V73">
        <v>50</v>
      </c>
      <c r="W73">
        <v>50</v>
      </c>
      <c r="X73">
        <v>50</v>
      </c>
      <c r="Y73">
        <f t="shared" si="9"/>
        <v>0</v>
      </c>
      <c r="Z73">
        <f t="shared" si="10"/>
        <v>0</v>
      </c>
      <c r="AC73" s="1">
        <v>0</v>
      </c>
      <c r="AF73">
        <f t="shared" si="11"/>
        <v>50</v>
      </c>
      <c r="AG73" s="41">
        <v>10</v>
      </c>
      <c r="AH73">
        <f t="shared" si="12"/>
        <v>50</v>
      </c>
      <c r="AI73">
        <f t="shared" si="13"/>
        <v>0</v>
      </c>
      <c r="AK73">
        <f t="shared" si="14"/>
        <v>5</v>
      </c>
      <c r="AL73">
        <v>20.420000000000002</v>
      </c>
      <c r="AM73" t="s">
        <v>27</v>
      </c>
      <c r="AN73">
        <v>20.420000000000002</v>
      </c>
      <c r="AO73" t="b">
        <f t="shared" si="15"/>
        <v>1</v>
      </c>
      <c r="AR73" t="s">
        <v>5061</v>
      </c>
      <c r="AS73" s="21">
        <v>46276</v>
      </c>
      <c r="AT73" t="s">
        <v>5064</v>
      </c>
      <c r="AU73" t="s">
        <v>5065</v>
      </c>
      <c r="AV73" t="s">
        <v>5088</v>
      </c>
      <c r="AW73" t="s">
        <v>5086</v>
      </c>
    </row>
    <row r="74" spans="1:49" hidden="1" x14ac:dyDescent="0.35">
      <c r="A74" t="s">
        <v>73</v>
      </c>
      <c r="B74" t="s">
        <v>74</v>
      </c>
      <c r="C74" t="s">
        <v>4818</v>
      </c>
      <c r="D74" t="s">
        <v>18</v>
      </c>
      <c r="E74" t="s">
        <v>627</v>
      </c>
      <c r="F74" t="s">
        <v>628</v>
      </c>
      <c r="G74" t="s">
        <v>21</v>
      </c>
      <c r="H74" t="s">
        <v>4834</v>
      </c>
      <c r="I74" t="s">
        <v>4849</v>
      </c>
      <c r="J74" s="4" t="s">
        <v>4850</v>
      </c>
      <c r="K74" s="4" t="s">
        <v>4837</v>
      </c>
      <c r="L74" s="4" t="s">
        <v>4875</v>
      </c>
      <c r="M74" s="4" t="s">
        <v>5035</v>
      </c>
      <c r="N74" t="s">
        <v>629</v>
      </c>
      <c r="O74" t="s">
        <v>630</v>
      </c>
      <c r="P74" t="s">
        <v>23</v>
      </c>
      <c r="Q74" t="s">
        <v>24</v>
      </c>
      <c r="R74" t="s">
        <v>25</v>
      </c>
      <c r="S74" t="s">
        <v>26</v>
      </c>
      <c r="T74" s="6">
        <v>46307</v>
      </c>
      <c r="U74">
        <v>84</v>
      </c>
      <c r="V74">
        <v>84</v>
      </c>
      <c r="W74">
        <v>90</v>
      </c>
      <c r="X74">
        <v>90</v>
      </c>
      <c r="Y74">
        <f t="shared" si="9"/>
        <v>0</v>
      </c>
      <c r="Z74">
        <f t="shared" si="10"/>
        <v>-6</v>
      </c>
      <c r="AC74" s="1">
        <v>0</v>
      </c>
      <c r="AF74">
        <f t="shared" si="11"/>
        <v>84</v>
      </c>
      <c r="AG74" s="41">
        <v>6</v>
      </c>
      <c r="AH74">
        <f t="shared" si="12"/>
        <v>84</v>
      </c>
      <c r="AI74">
        <f t="shared" si="13"/>
        <v>0</v>
      </c>
      <c r="AK74">
        <f t="shared" si="14"/>
        <v>14</v>
      </c>
      <c r="AL74">
        <v>14.78</v>
      </c>
      <c r="AM74" t="s">
        <v>27</v>
      </c>
      <c r="AN74">
        <v>14.78</v>
      </c>
      <c r="AO74" t="b">
        <f t="shared" si="15"/>
        <v>1</v>
      </c>
      <c r="AR74" t="s">
        <v>5061</v>
      </c>
      <c r="AS74" s="21">
        <v>46276</v>
      </c>
      <c r="AT74" t="s">
        <v>5064</v>
      </c>
      <c r="AU74" t="s">
        <v>5066</v>
      </c>
      <c r="AV74" t="s">
        <v>5088</v>
      </c>
      <c r="AW74" t="s">
        <v>5086</v>
      </c>
    </row>
    <row r="75" spans="1:49" hidden="1" x14ac:dyDescent="0.35">
      <c r="A75" t="s">
        <v>73</v>
      </c>
      <c r="B75" t="s">
        <v>74</v>
      </c>
      <c r="C75" t="s">
        <v>4818</v>
      </c>
      <c r="D75" t="s">
        <v>18</v>
      </c>
      <c r="E75" t="s">
        <v>635</v>
      </c>
      <c r="F75" t="s">
        <v>636</v>
      </c>
      <c r="G75" t="s">
        <v>21</v>
      </c>
      <c r="H75" t="s">
        <v>4834</v>
      </c>
      <c r="I75" t="s">
        <v>4839</v>
      </c>
      <c r="J75" s="4" t="s">
        <v>4840</v>
      </c>
      <c r="K75" s="4" t="s">
        <v>4843</v>
      </c>
      <c r="L75" s="4" t="s">
        <v>4859</v>
      </c>
      <c r="M75" s="4" t="s">
        <v>5035</v>
      </c>
      <c r="N75" t="s">
        <v>637</v>
      </c>
      <c r="O75" t="s">
        <v>638</v>
      </c>
      <c r="P75" t="s">
        <v>23</v>
      </c>
      <c r="Q75" t="s">
        <v>24</v>
      </c>
      <c r="R75" t="s">
        <v>25</v>
      </c>
      <c r="S75" t="s">
        <v>26</v>
      </c>
      <c r="T75" s="6">
        <v>46307</v>
      </c>
      <c r="U75">
        <v>80</v>
      </c>
      <c r="V75">
        <v>80</v>
      </c>
      <c r="W75">
        <v>80</v>
      </c>
      <c r="X75">
        <v>80</v>
      </c>
      <c r="Y75">
        <f t="shared" si="9"/>
        <v>0</v>
      </c>
      <c r="Z75">
        <f t="shared" si="10"/>
        <v>0</v>
      </c>
      <c r="AC75" s="1">
        <v>0</v>
      </c>
      <c r="AF75">
        <f t="shared" si="11"/>
        <v>80</v>
      </c>
      <c r="AG75" s="41">
        <v>10</v>
      </c>
      <c r="AH75">
        <f t="shared" si="12"/>
        <v>80</v>
      </c>
      <c r="AI75">
        <f t="shared" si="13"/>
        <v>0</v>
      </c>
      <c r="AK75">
        <f t="shared" si="14"/>
        <v>8</v>
      </c>
      <c r="AL75">
        <v>20.420000000000002</v>
      </c>
      <c r="AM75" t="s">
        <v>27</v>
      </c>
      <c r="AN75">
        <v>20.420000000000002</v>
      </c>
      <c r="AO75" t="b">
        <f t="shared" si="15"/>
        <v>1</v>
      </c>
      <c r="AR75" t="s">
        <v>5061</v>
      </c>
      <c r="AS75" s="21">
        <v>46276</v>
      </c>
      <c r="AT75" t="s">
        <v>5064</v>
      </c>
      <c r="AU75" t="s">
        <v>5065</v>
      </c>
      <c r="AV75" t="s">
        <v>5088</v>
      </c>
      <c r="AW75" t="s">
        <v>5086</v>
      </c>
    </row>
    <row r="76" spans="1:49" hidden="1" x14ac:dyDescent="0.35">
      <c r="A76" t="s">
        <v>73</v>
      </c>
      <c r="B76" t="s">
        <v>74</v>
      </c>
      <c r="C76" t="s">
        <v>4818</v>
      </c>
      <c r="D76" t="s">
        <v>18</v>
      </c>
      <c r="E76" t="s">
        <v>639</v>
      </c>
      <c r="F76" t="s">
        <v>640</v>
      </c>
      <c r="G76" t="s">
        <v>21</v>
      </c>
      <c r="H76" t="s">
        <v>4834</v>
      </c>
      <c r="I76" t="s">
        <v>4839</v>
      </c>
      <c r="J76" s="4" t="s">
        <v>4840</v>
      </c>
      <c r="K76" s="4" t="s">
        <v>4854</v>
      </c>
      <c r="L76" s="4" t="s">
        <v>4858</v>
      </c>
      <c r="M76" s="4" t="s">
        <v>5035</v>
      </c>
      <c r="N76" t="s">
        <v>641</v>
      </c>
      <c r="O76" t="s">
        <v>642</v>
      </c>
      <c r="P76" t="s">
        <v>23</v>
      </c>
      <c r="Q76" t="s">
        <v>24</v>
      </c>
      <c r="R76" t="s">
        <v>25</v>
      </c>
      <c r="S76" t="s">
        <v>26</v>
      </c>
      <c r="T76" s="6">
        <v>46307</v>
      </c>
      <c r="U76">
        <v>90</v>
      </c>
      <c r="V76">
        <v>90</v>
      </c>
      <c r="W76">
        <v>90</v>
      </c>
      <c r="X76">
        <v>90</v>
      </c>
      <c r="Y76">
        <f t="shared" si="9"/>
        <v>0</v>
      </c>
      <c r="Z76">
        <f t="shared" si="10"/>
        <v>0</v>
      </c>
      <c r="AC76" s="1">
        <v>0</v>
      </c>
      <c r="AF76">
        <f t="shared" si="11"/>
        <v>90</v>
      </c>
      <c r="AG76" s="41">
        <v>10</v>
      </c>
      <c r="AH76">
        <f t="shared" si="12"/>
        <v>90</v>
      </c>
      <c r="AI76">
        <f t="shared" si="13"/>
        <v>0</v>
      </c>
      <c r="AK76">
        <f t="shared" si="14"/>
        <v>9</v>
      </c>
      <c r="AL76">
        <v>20.420000000000002</v>
      </c>
      <c r="AM76" t="s">
        <v>27</v>
      </c>
      <c r="AN76">
        <v>20.420000000000002</v>
      </c>
      <c r="AO76" t="b">
        <f t="shared" si="15"/>
        <v>1</v>
      </c>
      <c r="AR76" t="s">
        <v>5061</v>
      </c>
      <c r="AS76" s="21">
        <v>46276</v>
      </c>
      <c r="AT76" t="s">
        <v>5064</v>
      </c>
      <c r="AU76" t="s">
        <v>5065</v>
      </c>
      <c r="AV76" t="s">
        <v>5088</v>
      </c>
      <c r="AW76" t="s">
        <v>5086</v>
      </c>
    </row>
    <row r="77" spans="1:49" hidden="1" x14ac:dyDescent="0.35">
      <c r="A77" t="s">
        <v>73</v>
      </c>
      <c r="B77" t="s">
        <v>74</v>
      </c>
      <c r="C77" t="s">
        <v>4818</v>
      </c>
      <c r="D77" t="s">
        <v>18</v>
      </c>
      <c r="E77" t="s">
        <v>647</v>
      </c>
      <c r="F77" t="s">
        <v>648</v>
      </c>
      <c r="G77" t="s">
        <v>21</v>
      </c>
      <c r="H77" t="s">
        <v>4834</v>
      </c>
      <c r="I77" t="s">
        <v>4839</v>
      </c>
      <c r="J77" s="4" t="s">
        <v>4840</v>
      </c>
      <c r="K77" s="4" t="s">
        <v>4832</v>
      </c>
      <c r="L77" s="4" t="s">
        <v>4859</v>
      </c>
      <c r="M77" s="4" t="s">
        <v>5035</v>
      </c>
      <c r="N77" t="s">
        <v>649</v>
      </c>
      <c r="O77" t="s">
        <v>650</v>
      </c>
      <c r="P77" t="s">
        <v>23</v>
      </c>
      <c r="Q77" t="s">
        <v>24</v>
      </c>
      <c r="R77" t="s">
        <v>25</v>
      </c>
      <c r="S77" t="s">
        <v>26</v>
      </c>
      <c r="T77" s="6">
        <v>46307</v>
      </c>
      <c r="U77">
        <v>100</v>
      </c>
      <c r="V77">
        <v>100</v>
      </c>
      <c r="W77">
        <v>100</v>
      </c>
      <c r="X77">
        <v>100</v>
      </c>
      <c r="Y77">
        <f t="shared" si="9"/>
        <v>0</v>
      </c>
      <c r="Z77">
        <f t="shared" si="10"/>
        <v>0</v>
      </c>
      <c r="AC77" s="1">
        <v>0</v>
      </c>
      <c r="AF77">
        <f t="shared" si="11"/>
        <v>100</v>
      </c>
      <c r="AG77" s="41">
        <v>10</v>
      </c>
      <c r="AH77">
        <f t="shared" si="12"/>
        <v>100</v>
      </c>
      <c r="AI77">
        <f t="shared" si="13"/>
        <v>0</v>
      </c>
      <c r="AK77">
        <f t="shared" si="14"/>
        <v>10</v>
      </c>
      <c r="AL77">
        <v>20.420000000000002</v>
      </c>
      <c r="AM77" t="s">
        <v>27</v>
      </c>
      <c r="AN77">
        <v>20.420000000000002</v>
      </c>
      <c r="AO77" t="b">
        <f t="shared" si="15"/>
        <v>1</v>
      </c>
      <c r="AR77" t="s">
        <v>5061</v>
      </c>
      <c r="AS77" s="21">
        <v>46276</v>
      </c>
      <c r="AT77" t="s">
        <v>5064</v>
      </c>
      <c r="AU77" t="s">
        <v>5065</v>
      </c>
      <c r="AV77" t="s">
        <v>5088</v>
      </c>
      <c r="AW77" t="s">
        <v>5086</v>
      </c>
    </row>
    <row r="78" spans="1:49" hidden="1" x14ac:dyDescent="0.35">
      <c r="A78" t="s">
        <v>73</v>
      </c>
      <c r="B78" t="s">
        <v>74</v>
      </c>
      <c r="C78" t="s">
        <v>4818</v>
      </c>
      <c r="D78" t="s">
        <v>18</v>
      </c>
      <c r="E78" t="s">
        <v>667</v>
      </c>
      <c r="F78" t="s">
        <v>668</v>
      </c>
      <c r="G78" t="s">
        <v>21</v>
      </c>
      <c r="H78" t="s">
        <v>4834</v>
      </c>
      <c r="I78" t="s">
        <v>4839</v>
      </c>
      <c r="J78" s="4" t="s">
        <v>4840</v>
      </c>
      <c r="K78" s="4" t="s">
        <v>4854</v>
      </c>
      <c r="L78" s="4" t="s">
        <v>4861</v>
      </c>
      <c r="M78" s="4" t="s">
        <v>5035</v>
      </c>
      <c r="N78" t="s">
        <v>669</v>
      </c>
      <c r="O78" t="s">
        <v>670</v>
      </c>
      <c r="P78" t="s">
        <v>23</v>
      </c>
      <c r="Q78" t="s">
        <v>24</v>
      </c>
      <c r="R78" t="s">
        <v>25</v>
      </c>
      <c r="S78" t="s">
        <v>26</v>
      </c>
      <c r="T78" s="6">
        <v>46307</v>
      </c>
      <c r="U78">
        <v>10</v>
      </c>
      <c r="V78">
        <v>10</v>
      </c>
      <c r="W78">
        <v>10</v>
      </c>
      <c r="X78">
        <v>10</v>
      </c>
      <c r="Y78">
        <f t="shared" si="9"/>
        <v>0</v>
      </c>
      <c r="Z78">
        <f t="shared" si="10"/>
        <v>0</v>
      </c>
      <c r="AC78" s="1">
        <v>0</v>
      </c>
      <c r="AF78">
        <f t="shared" si="11"/>
        <v>10</v>
      </c>
      <c r="AG78" s="41">
        <v>10</v>
      </c>
      <c r="AH78">
        <f t="shared" si="12"/>
        <v>10</v>
      </c>
      <c r="AI78">
        <f t="shared" si="13"/>
        <v>0</v>
      </c>
      <c r="AK78">
        <f t="shared" si="14"/>
        <v>1</v>
      </c>
      <c r="AL78">
        <v>20.420000000000002</v>
      </c>
      <c r="AM78" t="s">
        <v>27</v>
      </c>
      <c r="AN78">
        <v>20.420000000000002</v>
      </c>
      <c r="AO78" t="b">
        <f t="shared" si="15"/>
        <v>1</v>
      </c>
      <c r="AR78" t="s">
        <v>5061</v>
      </c>
      <c r="AS78" s="21">
        <v>46276</v>
      </c>
      <c r="AT78" t="s">
        <v>5064</v>
      </c>
      <c r="AU78" t="s">
        <v>5065</v>
      </c>
      <c r="AV78" t="s">
        <v>5088</v>
      </c>
      <c r="AW78" t="s">
        <v>5086</v>
      </c>
    </row>
    <row r="79" spans="1:49" hidden="1" x14ac:dyDescent="0.35">
      <c r="A79" t="s">
        <v>73</v>
      </c>
      <c r="B79" t="s">
        <v>74</v>
      </c>
      <c r="C79" t="s">
        <v>4818</v>
      </c>
      <c r="D79" t="s">
        <v>18</v>
      </c>
      <c r="E79" t="s">
        <v>671</v>
      </c>
      <c r="F79" t="s">
        <v>672</v>
      </c>
      <c r="G79" t="s">
        <v>21</v>
      </c>
      <c r="H79" t="s">
        <v>4834</v>
      </c>
      <c r="I79" t="s">
        <v>4839</v>
      </c>
      <c r="J79" s="4" t="s">
        <v>4840</v>
      </c>
      <c r="K79" s="4" t="s">
        <v>4832</v>
      </c>
      <c r="L79" s="4" t="s">
        <v>4860</v>
      </c>
      <c r="M79" s="4" t="s">
        <v>5035</v>
      </c>
      <c r="N79" t="s">
        <v>673</v>
      </c>
      <c r="O79" t="s">
        <v>674</v>
      </c>
      <c r="P79" t="s">
        <v>23</v>
      </c>
      <c r="Q79" t="s">
        <v>24</v>
      </c>
      <c r="R79" t="s">
        <v>25</v>
      </c>
      <c r="S79" t="s">
        <v>26</v>
      </c>
      <c r="T79" s="6">
        <v>46307</v>
      </c>
      <c r="U79">
        <v>160</v>
      </c>
      <c r="V79">
        <v>160</v>
      </c>
      <c r="W79">
        <v>170</v>
      </c>
      <c r="X79">
        <v>170</v>
      </c>
      <c r="Y79">
        <f t="shared" si="9"/>
        <v>0</v>
      </c>
      <c r="Z79">
        <f t="shared" si="10"/>
        <v>-10</v>
      </c>
      <c r="AC79" s="1">
        <v>0</v>
      </c>
      <c r="AF79">
        <f t="shared" si="11"/>
        <v>160</v>
      </c>
      <c r="AG79" s="41">
        <v>10</v>
      </c>
      <c r="AH79">
        <f t="shared" si="12"/>
        <v>160</v>
      </c>
      <c r="AI79">
        <f t="shared" si="13"/>
        <v>0</v>
      </c>
      <c r="AK79">
        <f t="shared" si="14"/>
        <v>16</v>
      </c>
      <c r="AL79">
        <v>20.420000000000002</v>
      </c>
      <c r="AM79" t="s">
        <v>27</v>
      </c>
      <c r="AN79">
        <v>20.420000000000002</v>
      </c>
      <c r="AO79" t="b">
        <f t="shared" si="15"/>
        <v>1</v>
      </c>
      <c r="AR79" t="s">
        <v>5061</v>
      </c>
      <c r="AS79" s="21">
        <v>46276</v>
      </c>
      <c r="AT79" t="s">
        <v>5064</v>
      </c>
      <c r="AU79" t="s">
        <v>5065</v>
      </c>
      <c r="AV79" t="s">
        <v>5088</v>
      </c>
      <c r="AW79" t="s">
        <v>5086</v>
      </c>
    </row>
    <row r="80" spans="1:49" hidden="1" x14ac:dyDescent="0.35">
      <c r="A80" t="s">
        <v>73</v>
      </c>
      <c r="B80" t="s">
        <v>74</v>
      </c>
      <c r="C80" t="s">
        <v>4818</v>
      </c>
      <c r="D80" t="s">
        <v>18</v>
      </c>
      <c r="E80" t="s">
        <v>683</v>
      </c>
      <c r="F80" t="s">
        <v>684</v>
      </c>
      <c r="G80" t="s">
        <v>21</v>
      </c>
      <c r="H80" t="s">
        <v>4834</v>
      </c>
      <c r="I80" t="s">
        <v>4839</v>
      </c>
      <c r="J80" s="4" t="s">
        <v>4840</v>
      </c>
      <c r="K80" s="4" t="s">
        <v>4843</v>
      </c>
      <c r="L80" s="4" t="s">
        <v>4868</v>
      </c>
      <c r="M80" s="4" t="s">
        <v>5035</v>
      </c>
      <c r="N80" t="s">
        <v>685</v>
      </c>
      <c r="O80" t="s">
        <v>686</v>
      </c>
      <c r="P80" t="s">
        <v>23</v>
      </c>
      <c r="Q80" t="s">
        <v>24</v>
      </c>
      <c r="R80" t="s">
        <v>25</v>
      </c>
      <c r="S80" t="s">
        <v>26</v>
      </c>
      <c r="T80" s="6">
        <v>46307</v>
      </c>
      <c r="U80">
        <v>50</v>
      </c>
      <c r="V80">
        <v>50</v>
      </c>
      <c r="W80">
        <v>50</v>
      </c>
      <c r="X80">
        <v>50</v>
      </c>
      <c r="Y80">
        <f t="shared" si="9"/>
        <v>0</v>
      </c>
      <c r="Z80">
        <f t="shared" si="10"/>
        <v>0</v>
      </c>
      <c r="AC80" s="1">
        <v>0</v>
      </c>
      <c r="AF80">
        <f t="shared" si="11"/>
        <v>50</v>
      </c>
      <c r="AG80" s="41">
        <v>10</v>
      </c>
      <c r="AH80">
        <f t="shared" si="12"/>
        <v>50</v>
      </c>
      <c r="AI80">
        <f t="shared" si="13"/>
        <v>0</v>
      </c>
      <c r="AK80">
        <f t="shared" si="14"/>
        <v>5</v>
      </c>
      <c r="AL80">
        <v>20.420000000000002</v>
      </c>
      <c r="AM80" t="s">
        <v>27</v>
      </c>
      <c r="AN80">
        <v>20.420000000000002</v>
      </c>
      <c r="AO80" t="b">
        <f t="shared" si="15"/>
        <v>1</v>
      </c>
      <c r="AR80" t="s">
        <v>5061</v>
      </c>
      <c r="AS80" s="21">
        <v>46276</v>
      </c>
      <c r="AT80" t="s">
        <v>5064</v>
      </c>
      <c r="AU80" t="s">
        <v>5065</v>
      </c>
      <c r="AV80" t="s">
        <v>5088</v>
      </c>
      <c r="AW80" t="s">
        <v>5086</v>
      </c>
    </row>
    <row r="81" spans="1:49" hidden="1" x14ac:dyDescent="0.35">
      <c r="A81" t="s">
        <v>73</v>
      </c>
      <c r="B81" t="s">
        <v>74</v>
      </c>
      <c r="C81" t="s">
        <v>4818</v>
      </c>
      <c r="D81" t="s">
        <v>18</v>
      </c>
      <c r="E81" t="s">
        <v>687</v>
      </c>
      <c r="F81" t="s">
        <v>688</v>
      </c>
      <c r="G81" t="s">
        <v>21</v>
      </c>
      <c r="H81" t="s">
        <v>4834</v>
      </c>
      <c r="I81" t="s">
        <v>4839</v>
      </c>
      <c r="J81" s="4" t="s">
        <v>4840</v>
      </c>
      <c r="K81" s="4" t="s">
        <v>4854</v>
      </c>
      <c r="L81" s="4" t="s">
        <v>4859</v>
      </c>
      <c r="M81" s="4" t="s">
        <v>5035</v>
      </c>
      <c r="N81" t="s">
        <v>689</v>
      </c>
      <c r="O81" t="s">
        <v>690</v>
      </c>
      <c r="P81" t="s">
        <v>23</v>
      </c>
      <c r="Q81" t="s">
        <v>24</v>
      </c>
      <c r="R81" t="s">
        <v>25</v>
      </c>
      <c r="S81" t="s">
        <v>26</v>
      </c>
      <c r="T81" s="6">
        <v>46307</v>
      </c>
      <c r="U81">
        <v>80</v>
      </c>
      <c r="V81">
        <v>80</v>
      </c>
      <c r="W81">
        <v>80</v>
      </c>
      <c r="X81">
        <v>80</v>
      </c>
      <c r="Y81">
        <f t="shared" si="9"/>
        <v>0</v>
      </c>
      <c r="Z81">
        <f t="shared" si="10"/>
        <v>0</v>
      </c>
      <c r="AC81" s="1">
        <v>0</v>
      </c>
      <c r="AF81">
        <f t="shared" si="11"/>
        <v>80</v>
      </c>
      <c r="AG81" s="41">
        <v>10</v>
      </c>
      <c r="AH81">
        <f t="shared" si="12"/>
        <v>80</v>
      </c>
      <c r="AI81">
        <f t="shared" si="13"/>
        <v>0</v>
      </c>
      <c r="AK81">
        <f t="shared" si="14"/>
        <v>8</v>
      </c>
      <c r="AL81">
        <v>20.420000000000002</v>
      </c>
      <c r="AM81" t="s">
        <v>27</v>
      </c>
      <c r="AN81">
        <v>20.420000000000002</v>
      </c>
      <c r="AO81" t="b">
        <f t="shared" si="15"/>
        <v>1</v>
      </c>
      <c r="AR81" t="s">
        <v>5061</v>
      </c>
      <c r="AS81" s="21">
        <v>46276</v>
      </c>
      <c r="AT81" t="s">
        <v>5064</v>
      </c>
      <c r="AU81" t="s">
        <v>5065</v>
      </c>
      <c r="AV81" t="s">
        <v>5088</v>
      </c>
      <c r="AW81" t="s">
        <v>5086</v>
      </c>
    </row>
    <row r="82" spans="1:49" hidden="1" x14ac:dyDescent="0.35">
      <c r="A82" t="s">
        <v>73</v>
      </c>
      <c r="B82" t="s">
        <v>74</v>
      </c>
      <c r="C82" t="s">
        <v>4818</v>
      </c>
      <c r="D82" t="s">
        <v>18</v>
      </c>
      <c r="E82" t="s">
        <v>695</v>
      </c>
      <c r="F82" t="s">
        <v>696</v>
      </c>
      <c r="G82" t="s">
        <v>21</v>
      </c>
      <c r="H82" t="s">
        <v>4834</v>
      </c>
      <c r="I82" t="s">
        <v>4849</v>
      </c>
      <c r="J82" s="4" t="s">
        <v>4850</v>
      </c>
      <c r="K82" s="4" t="s">
        <v>4854</v>
      </c>
      <c r="L82" s="4" t="s">
        <v>4879</v>
      </c>
      <c r="M82" s="4" t="s">
        <v>5035</v>
      </c>
      <c r="N82" t="s">
        <v>697</v>
      </c>
      <c r="O82" t="s">
        <v>698</v>
      </c>
      <c r="P82" t="s">
        <v>23</v>
      </c>
      <c r="Q82" t="s">
        <v>24</v>
      </c>
      <c r="R82" t="s">
        <v>25</v>
      </c>
      <c r="S82" t="s">
        <v>26</v>
      </c>
      <c r="T82" s="6">
        <v>46307</v>
      </c>
      <c r="U82">
        <v>102</v>
      </c>
      <c r="V82">
        <v>102</v>
      </c>
      <c r="W82">
        <v>108</v>
      </c>
      <c r="X82">
        <v>108</v>
      </c>
      <c r="Y82">
        <f t="shared" si="9"/>
        <v>0</v>
      </c>
      <c r="Z82">
        <f t="shared" si="10"/>
        <v>-6</v>
      </c>
      <c r="AC82" s="1">
        <v>0</v>
      </c>
      <c r="AF82">
        <f t="shared" si="11"/>
        <v>102</v>
      </c>
      <c r="AG82" s="41">
        <v>6</v>
      </c>
      <c r="AH82">
        <f t="shared" si="12"/>
        <v>102</v>
      </c>
      <c r="AI82">
        <f t="shared" si="13"/>
        <v>0</v>
      </c>
      <c r="AK82">
        <f t="shared" si="14"/>
        <v>17</v>
      </c>
      <c r="AL82">
        <v>14.78</v>
      </c>
      <c r="AM82" t="s">
        <v>27</v>
      </c>
      <c r="AN82">
        <v>14.78</v>
      </c>
      <c r="AO82" t="b">
        <f t="shared" si="15"/>
        <v>1</v>
      </c>
      <c r="AR82" t="s">
        <v>5061</v>
      </c>
      <c r="AS82" s="21">
        <v>46276</v>
      </c>
      <c r="AT82" t="s">
        <v>5064</v>
      </c>
      <c r="AU82" t="s">
        <v>5066</v>
      </c>
      <c r="AV82" t="s">
        <v>5088</v>
      </c>
      <c r="AW82" t="s">
        <v>5086</v>
      </c>
    </row>
    <row r="83" spans="1:49" hidden="1" x14ac:dyDescent="0.35">
      <c r="A83" t="s">
        <v>73</v>
      </c>
      <c r="B83" t="s">
        <v>74</v>
      </c>
      <c r="C83" t="s">
        <v>4818</v>
      </c>
      <c r="D83" t="s">
        <v>18</v>
      </c>
      <c r="E83" t="s">
        <v>715</v>
      </c>
      <c r="F83" t="s">
        <v>716</v>
      </c>
      <c r="G83" t="s">
        <v>21</v>
      </c>
      <c r="H83" t="s">
        <v>4834</v>
      </c>
      <c r="I83" t="s">
        <v>4849</v>
      </c>
      <c r="J83" s="4" t="s">
        <v>4850</v>
      </c>
      <c r="K83" s="4" t="s">
        <v>4862</v>
      </c>
      <c r="L83" s="4" t="s">
        <v>4877</v>
      </c>
      <c r="M83" s="4" t="s">
        <v>5035</v>
      </c>
      <c r="N83" t="s">
        <v>717</v>
      </c>
      <c r="O83" t="s">
        <v>718</v>
      </c>
      <c r="P83" t="s">
        <v>23</v>
      </c>
      <c r="Q83" t="s">
        <v>24</v>
      </c>
      <c r="R83" t="s">
        <v>25</v>
      </c>
      <c r="S83" t="s">
        <v>26</v>
      </c>
      <c r="T83" s="6">
        <v>46307</v>
      </c>
      <c r="U83">
        <v>84</v>
      </c>
      <c r="V83">
        <v>84</v>
      </c>
      <c r="W83">
        <v>90</v>
      </c>
      <c r="X83">
        <v>90</v>
      </c>
      <c r="Y83">
        <f t="shared" si="9"/>
        <v>0</v>
      </c>
      <c r="Z83">
        <f t="shared" si="10"/>
        <v>-6</v>
      </c>
      <c r="AC83" s="1">
        <v>0</v>
      </c>
      <c r="AF83">
        <f t="shared" si="11"/>
        <v>84</v>
      </c>
      <c r="AG83" s="41">
        <v>6</v>
      </c>
      <c r="AH83">
        <f t="shared" si="12"/>
        <v>84</v>
      </c>
      <c r="AI83">
        <f t="shared" si="13"/>
        <v>0</v>
      </c>
      <c r="AK83">
        <f t="shared" si="14"/>
        <v>14</v>
      </c>
      <c r="AL83">
        <v>14.78</v>
      </c>
      <c r="AM83" t="s">
        <v>27</v>
      </c>
      <c r="AN83">
        <v>14.78</v>
      </c>
      <c r="AO83" t="b">
        <f t="shared" si="15"/>
        <v>1</v>
      </c>
      <c r="AR83" t="s">
        <v>5061</v>
      </c>
      <c r="AS83" s="21">
        <v>46276</v>
      </c>
      <c r="AT83" t="s">
        <v>5064</v>
      </c>
      <c r="AU83" t="s">
        <v>5066</v>
      </c>
      <c r="AV83" t="s">
        <v>5088</v>
      </c>
      <c r="AW83" t="s">
        <v>5086</v>
      </c>
    </row>
    <row r="84" spans="1:49" hidden="1" x14ac:dyDescent="0.35">
      <c r="A84" t="s">
        <v>73</v>
      </c>
      <c r="B84" t="s">
        <v>74</v>
      </c>
      <c r="C84" t="s">
        <v>4818</v>
      </c>
      <c r="D84" t="s">
        <v>18</v>
      </c>
      <c r="E84" t="s">
        <v>723</v>
      </c>
      <c r="F84" t="s">
        <v>724</v>
      </c>
      <c r="G84" t="s">
        <v>21</v>
      </c>
      <c r="H84" t="s">
        <v>4834</v>
      </c>
      <c r="I84" t="s">
        <v>4839</v>
      </c>
      <c r="J84" s="4" t="s">
        <v>4840</v>
      </c>
      <c r="K84" s="4" t="s">
        <v>4832</v>
      </c>
      <c r="L84" s="4" t="s">
        <v>4856</v>
      </c>
      <c r="M84" s="4" t="s">
        <v>5035</v>
      </c>
      <c r="N84" t="s">
        <v>725</v>
      </c>
      <c r="O84" t="s">
        <v>726</v>
      </c>
      <c r="P84" t="s">
        <v>23</v>
      </c>
      <c r="Q84" t="s">
        <v>24</v>
      </c>
      <c r="R84" t="s">
        <v>25</v>
      </c>
      <c r="S84" t="s">
        <v>26</v>
      </c>
      <c r="T84" s="6">
        <v>46307</v>
      </c>
      <c r="U84">
        <v>90</v>
      </c>
      <c r="V84">
        <v>90</v>
      </c>
      <c r="W84">
        <v>90</v>
      </c>
      <c r="X84">
        <v>90</v>
      </c>
      <c r="Y84">
        <f t="shared" si="9"/>
        <v>0</v>
      </c>
      <c r="Z84">
        <f t="shared" si="10"/>
        <v>0</v>
      </c>
      <c r="AC84" s="1">
        <v>0</v>
      </c>
      <c r="AF84">
        <f t="shared" si="11"/>
        <v>90</v>
      </c>
      <c r="AG84" s="41">
        <v>10</v>
      </c>
      <c r="AH84">
        <f t="shared" si="12"/>
        <v>90</v>
      </c>
      <c r="AI84">
        <f t="shared" si="13"/>
        <v>0</v>
      </c>
      <c r="AK84">
        <f t="shared" si="14"/>
        <v>9</v>
      </c>
      <c r="AL84">
        <v>20.420000000000002</v>
      </c>
      <c r="AM84" t="s">
        <v>27</v>
      </c>
      <c r="AN84">
        <v>20.420000000000002</v>
      </c>
      <c r="AO84" t="b">
        <f t="shared" si="15"/>
        <v>1</v>
      </c>
      <c r="AR84" t="s">
        <v>5061</v>
      </c>
      <c r="AS84" s="21">
        <v>46276</v>
      </c>
      <c r="AT84" t="s">
        <v>5064</v>
      </c>
      <c r="AU84" t="s">
        <v>5065</v>
      </c>
      <c r="AV84" t="s">
        <v>5088</v>
      </c>
      <c r="AW84" t="s">
        <v>5086</v>
      </c>
    </row>
    <row r="85" spans="1:49" hidden="1" x14ac:dyDescent="0.35">
      <c r="A85" t="s">
        <v>73</v>
      </c>
      <c r="B85" t="s">
        <v>74</v>
      </c>
      <c r="C85" t="s">
        <v>4818</v>
      </c>
      <c r="D85" t="s">
        <v>18</v>
      </c>
      <c r="E85" t="s">
        <v>727</v>
      </c>
      <c r="F85" t="s">
        <v>728</v>
      </c>
      <c r="G85" t="s">
        <v>21</v>
      </c>
      <c r="H85" t="s">
        <v>4834</v>
      </c>
      <c r="I85" t="s">
        <v>4849</v>
      </c>
      <c r="J85" s="4" t="s">
        <v>4850</v>
      </c>
      <c r="K85" s="4" t="s">
        <v>4854</v>
      </c>
      <c r="L85" s="4" t="s">
        <v>4870</v>
      </c>
      <c r="M85" s="4" t="s">
        <v>5035</v>
      </c>
      <c r="N85" t="s">
        <v>729</v>
      </c>
      <c r="O85" t="s">
        <v>730</v>
      </c>
      <c r="P85" t="s">
        <v>23</v>
      </c>
      <c r="Q85" t="s">
        <v>24</v>
      </c>
      <c r="R85" t="s">
        <v>25</v>
      </c>
      <c r="S85" t="s">
        <v>26</v>
      </c>
      <c r="T85" s="6">
        <v>46307</v>
      </c>
      <c r="U85">
        <v>96</v>
      </c>
      <c r="V85">
        <v>96</v>
      </c>
      <c r="W85">
        <v>102</v>
      </c>
      <c r="X85">
        <v>102</v>
      </c>
      <c r="Y85">
        <f t="shared" si="9"/>
        <v>0</v>
      </c>
      <c r="Z85">
        <f t="shared" si="10"/>
        <v>-6</v>
      </c>
      <c r="AC85" s="1">
        <v>0</v>
      </c>
      <c r="AF85">
        <f t="shared" si="11"/>
        <v>96</v>
      </c>
      <c r="AG85" s="41">
        <v>6</v>
      </c>
      <c r="AH85">
        <f t="shared" si="12"/>
        <v>96</v>
      </c>
      <c r="AI85">
        <f t="shared" si="13"/>
        <v>0</v>
      </c>
      <c r="AK85">
        <f t="shared" si="14"/>
        <v>16</v>
      </c>
      <c r="AL85">
        <v>14.78</v>
      </c>
      <c r="AM85" t="s">
        <v>27</v>
      </c>
      <c r="AN85">
        <v>14.78</v>
      </c>
      <c r="AO85" t="b">
        <f t="shared" si="15"/>
        <v>1</v>
      </c>
      <c r="AR85" t="s">
        <v>5061</v>
      </c>
      <c r="AS85" s="21">
        <v>46276</v>
      </c>
      <c r="AT85" t="s">
        <v>5064</v>
      </c>
      <c r="AU85" t="s">
        <v>5066</v>
      </c>
      <c r="AV85" t="s">
        <v>5088</v>
      </c>
      <c r="AW85" t="s">
        <v>5086</v>
      </c>
    </row>
    <row r="86" spans="1:49" hidden="1" x14ac:dyDescent="0.35">
      <c r="A86" t="s">
        <v>73</v>
      </c>
      <c r="B86" t="s">
        <v>74</v>
      </c>
      <c r="C86" t="s">
        <v>4818</v>
      </c>
      <c r="D86" t="s">
        <v>18</v>
      </c>
      <c r="E86" t="s">
        <v>731</v>
      </c>
      <c r="F86" t="s">
        <v>732</v>
      </c>
      <c r="G86" t="s">
        <v>21</v>
      </c>
      <c r="H86" t="s">
        <v>4834</v>
      </c>
      <c r="I86" t="s">
        <v>4849</v>
      </c>
      <c r="J86" s="4" t="s">
        <v>4850</v>
      </c>
      <c r="K86" s="4" t="s">
        <v>4852</v>
      </c>
      <c r="L86" s="4" t="s">
        <v>4851</v>
      </c>
      <c r="M86" s="4" t="s">
        <v>5035</v>
      </c>
      <c r="N86" t="s">
        <v>733</v>
      </c>
      <c r="O86" t="s">
        <v>734</v>
      </c>
      <c r="P86" t="s">
        <v>23</v>
      </c>
      <c r="Q86" t="s">
        <v>24</v>
      </c>
      <c r="R86" t="s">
        <v>25</v>
      </c>
      <c r="S86" t="s">
        <v>26</v>
      </c>
      <c r="T86" s="6">
        <v>46307</v>
      </c>
      <c r="U86">
        <v>120</v>
      </c>
      <c r="V86">
        <v>120</v>
      </c>
      <c r="W86">
        <v>126</v>
      </c>
      <c r="X86">
        <v>126</v>
      </c>
      <c r="Y86">
        <f t="shared" si="9"/>
        <v>0</v>
      </c>
      <c r="Z86">
        <f t="shared" si="10"/>
        <v>-6</v>
      </c>
      <c r="AC86" s="1">
        <v>0</v>
      </c>
      <c r="AF86">
        <f t="shared" si="11"/>
        <v>120</v>
      </c>
      <c r="AG86" s="41">
        <v>6</v>
      </c>
      <c r="AH86">
        <f t="shared" si="12"/>
        <v>120</v>
      </c>
      <c r="AI86">
        <f t="shared" si="13"/>
        <v>0</v>
      </c>
      <c r="AK86">
        <f t="shared" si="14"/>
        <v>20</v>
      </c>
      <c r="AL86">
        <v>14.78</v>
      </c>
      <c r="AM86" t="s">
        <v>27</v>
      </c>
      <c r="AN86">
        <v>14.78</v>
      </c>
      <c r="AO86" t="b">
        <f t="shared" si="15"/>
        <v>1</v>
      </c>
      <c r="AR86" t="s">
        <v>5061</v>
      </c>
      <c r="AS86" s="21">
        <v>46276</v>
      </c>
      <c r="AT86" t="s">
        <v>5064</v>
      </c>
      <c r="AU86" t="s">
        <v>5066</v>
      </c>
      <c r="AV86" t="s">
        <v>5088</v>
      </c>
      <c r="AW86" t="s">
        <v>5086</v>
      </c>
    </row>
    <row r="87" spans="1:49" hidden="1" x14ac:dyDescent="0.35">
      <c r="A87" t="s">
        <v>73</v>
      </c>
      <c r="B87" t="s">
        <v>74</v>
      </c>
      <c r="C87" t="s">
        <v>4818</v>
      </c>
      <c r="D87" t="s">
        <v>18</v>
      </c>
      <c r="E87" t="s">
        <v>735</v>
      </c>
      <c r="F87" t="s">
        <v>736</v>
      </c>
      <c r="G87" t="s">
        <v>21</v>
      </c>
      <c r="H87" t="s">
        <v>4834</v>
      </c>
      <c r="I87" t="s">
        <v>4839</v>
      </c>
      <c r="J87" s="4" t="s">
        <v>4840</v>
      </c>
      <c r="K87" s="4" t="s">
        <v>4832</v>
      </c>
      <c r="L87" s="4" t="s">
        <v>4866</v>
      </c>
      <c r="M87" s="4" t="s">
        <v>5035</v>
      </c>
      <c r="N87" t="s">
        <v>737</v>
      </c>
      <c r="O87" t="s">
        <v>738</v>
      </c>
      <c r="P87" t="s">
        <v>23</v>
      </c>
      <c r="Q87" t="s">
        <v>24</v>
      </c>
      <c r="R87" t="s">
        <v>25</v>
      </c>
      <c r="S87" t="s">
        <v>26</v>
      </c>
      <c r="T87" s="6">
        <v>46307</v>
      </c>
      <c r="U87">
        <v>130</v>
      </c>
      <c r="V87">
        <v>130</v>
      </c>
      <c r="W87">
        <v>140</v>
      </c>
      <c r="X87">
        <v>140</v>
      </c>
      <c r="Y87">
        <f t="shared" si="9"/>
        <v>0</v>
      </c>
      <c r="Z87">
        <f t="shared" si="10"/>
        <v>-10</v>
      </c>
      <c r="AC87" s="1">
        <v>0</v>
      </c>
      <c r="AF87">
        <f t="shared" si="11"/>
        <v>130</v>
      </c>
      <c r="AG87" s="41">
        <v>10</v>
      </c>
      <c r="AH87">
        <f t="shared" si="12"/>
        <v>130</v>
      </c>
      <c r="AI87">
        <f t="shared" si="13"/>
        <v>0</v>
      </c>
      <c r="AK87">
        <f t="shared" si="14"/>
        <v>13</v>
      </c>
      <c r="AL87">
        <v>20.420000000000002</v>
      </c>
      <c r="AM87" t="s">
        <v>27</v>
      </c>
      <c r="AN87">
        <v>20.420000000000002</v>
      </c>
      <c r="AO87" t="b">
        <f t="shared" si="15"/>
        <v>1</v>
      </c>
      <c r="AR87" t="s">
        <v>5061</v>
      </c>
      <c r="AS87" s="21">
        <v>46276</v>
      </c>
      <c r="AT87" t="s">
        <v>5064</v>
      </c>
      <c r="AU87" t="s">
        <v>5065</v>
      </c>
      <c r="AV87" t="s">
        <v>5088</v>
      </c>
      <c r="AW87" t="s">
        <v>5086</v>
      </c>
    </row>
    <row r="88" spans="1:49" hidden="1" x14ac:dyDescent="0.35">
      <c r="A88" t="s">
        <v>73</v>
      </c>
      <c r="B88" t="s">
        <v>74</v>
      </c>
      <c r="C88" t="s">
        <v>4818</v>
      </c>
      <c r="D88" t="s">
        <v>18</v>
      </c>
      <c r="E88" t="s">
        <v>739</v>
      </c>
      <c r="F88" t="s">
        <v>740</v>
      </c>
      <c r="G88" t="s">
        <v>21</v>
      </c>
      <c r="H88" t="s">
        <v>4834</v>
      </c>
      <c r="I88" t="s">
        <v>4849</v>
      </c>
      <c r="J88" s="4" t="s">
        <v>4850</v>
      </c>
      <c r="K88" s="4" t="s">
        <v>4837</v>
      </c>
      <c r="L88" s="4" t="s">
        <v>4863</v>
      </c>
      <c r="M88" s="4" t="s">
        <v>5035</v>
      </c>
      <c r="N88" t="s">
        <v>741</v>
      </c>
      <c r="O88" t="s">
        <v>742</v>
      </c>
      <c r="P88" t="s">
        <v>23</v>
      </c>
      <c r="Q88" t="s">
        <v>24</v>
      </c>
      <c r="R88" t="s">
        <v>25</v>
      </c>
      <c r="S88" t="s">
        <v>26</v>
      </c>
      <c r="T88" s="6">
        <v>46307</v>
      </c>
      <c r="U88">
        <v>60</v>
      </c>
      <c r="V88">
        <v>60</v>
      </c>
      <c r="W88">
        <v>60</v>
      </c>
      <c r="X88">
        <v>60</v>
      </c>
      <c r="Y88">
        <f t="shared" si="9"/>
        <v>0</v>
      </c>
      <c r="Z88">
        <f t="shared" si="10"/>
        <v>0</v>
      </c>
      <c r="AC88" s="1">
        <v>0</v>
      </c>
      <c r="AF88">
        <f t="shared" si="11"/>
        <v>60</v>
      </c>
      <c r="AG88" s="41">
        <v>6</v>
      </c>
      <c r="AH88">
        <f t="shared" si="12"/>
        <v>60</v>
      </c>
      <c r="AI88">
        <f t="shared" si="13"/>
        <v>0</v>
      </c>
      <c r="AK88">
        <f t="shared" si="14"/>
        <v>10</v>
      </c>
      <c r="AL88">
        <v>14.78</v>
      </c>
      <c r="AM88" t="s">
        <v>27</v>
      </c>
      <c r="AN88">
        <v>14.78</v>
      </c>
      <c r="AO88" t="b">
        <f t="shared" si="15"/>
        <v>1</v>
      </c>
      <c r="AR88" t="s">
        <v>5061</v>
      </c>
      <c r="AS88" s="21">
        <v>46276</v>
      </c>
      <c r="AT88" t="s">
        <v>5064</v>
      </c>
      <c r="AU88" t="s">
        <v>5066</v>
      </c>
      <c r="AV88" t="s">
        <v>5088</v>
      </c>
      <c r="AW88" t="s">
        <v>5086</v>
      </c>
    </row>
    <row r="89" spans="1:49" hidden="1" x14ac:dyDescent="0.35">
      <c r="A89" t="s">
        <v>73</v>
      </c>
      <c r="B89" t="s">
        <v>74</v>
      </c>
      <c r="C89" t="s">
        <v>4818</v>
      </c>
      <c r="D89" t="s">
        <v>18</v>
      </c>
      <c r="E89" t="s">
        <v>751</v>
      </c>
      <c r="F89" t="s">
        <v>752</v>
      </c>
      <c r="G89" t="s">
        <v>21</v>
      </c>
      <c r="H89" t="s">
        <v>4834</v>
      </c>
      <c r="I89" t="s">
        <v>4849</v>
      </c>
      <c r="J89" s="4" t="s">
        <v>4850</v>
      </c>
      <c r="K89" s="4" t="s">
        <v>4837</v>
      </c>
      <c r="L89" s="4" t="s">
        <v>4884</v>
      </c>
      <c r="M89" s="4" t="s">
        <v>5035</v>
      </c>
      <c r="N89" t="s">
        <v>753</v>
      </c>
      <c r="O89" t="s">
        <v>754</v>
      </c>
      <c r="P89" t="s">
        <v>23</v>
      </c>
      <c r="Q89" t="s">
        <v>24</v>
      </c>
      <c r="R89" t="s">
        <v>25</v>
      </c>
      <c r="S89" t="s">
        <v>26</v>
      </c>
      <c r="T89" s="6">
        <v>46307</v>
      </c>
      <c r="U89">
        <v>12</v>
      </c>
      <c r="V89">
        <v>12</v>
      </c>
      <c r="W89">
        <v>12</v>
      </c>
      <c r="X89">
        <v>12</v>
      </c>
      <c r="Y89">
        <f t="shared" si="9"/>
        <v>0</v>
      </c>
      <c r="Z89">
        <f t="shared" si="10"/>
        <v>0</v>
      </c>
      <c r="AC89" s="1">
        <v>0</v>
      </c>
      <c r="AF89">
        <f t="shared" si="11"/>
        <v>12</v>
      </c>
      <c r="AG89" s="41">
        <v>6</v>
      </c>
      <c r="AH89">
        <f t="shared" si="12"/>
        <v>12</v>
      </c>
      <c r="AI89">
        <f t="shared" si="13"/>
        <v>0</v>
      </c>
      <c r="AK89">
        <f t="shared" si="14"/>
        <v>2</v>
      </c>
      <c r="AL89">
        <v>14.78</v>
      </c>
      <c r="AM89" t="s">
        <v>27</v>
      </c>
      <c r="AN89">
        <v>14.78</v>
      </c>
      <c r="AO89" t="b">
        <f t="shared" si="15"/>
        <v>1</v>
      </c>
      <c r="AR89" t="s">
        <v>5061</v>
      </c>
      <c r="AS89" s="21">
        <v>46276</v>
      </c>
      <c r="AT89" t="s">
        <v>5064</v>
      </c>
      <c r="AU89" t="s">
        <v>5066</v>
      </c>
      <c r="AV89" t="s">
        <v>5088</v>
      </c>
      <c r="AW89" t="s">
        <v>5086</v>
      </c>
    </row>
    <row r="90" spans="1:49" hidden="1" x14ac:dyDescent="0.35">
      <c r="A90" t="s">
        <v>73</v>
      </c>
      <c r="B90" t="s">
        <v>74</v>
      </c>
      <c r="C90" t="s">
        <v>4818</v>
      </c>
      <c r="D90" t="s">
        <v>18</v>
      </c>
      <c r="E90" t="s">
        <v>755</v>
      </c>
      <c r="F90" t="s">
        <v>756</v>
      </c>
      <c r="G90" t="s">
        <v>21</v>
      </c>
      <c r="H90" t="s">
        <v>4834</v>
      </c>
      <c r="I90" t="s">
        <v>4839</v>
      </c>
      <c r="J90" s="4" t="s">
        <v>4840</v>
      </c>
      <c r="K90" s="4" t="s">
        <v>4843</v>
      </c>
      <c r="L90" s="4" t="s">
        <v>4861</v>
      </c>
      <c r="M90" s="4" t="s">
        <v>5035</v>
      </c>
      <c r="N90" t="s">
        <v>757</v>
      </c>
      <c r="O90" t="s">
        <v>758</v>
      </c>
      <c r="P90" t="s">
        <v>23</v>
      </c>
      <c r="Q90" t="s">
        <v>24</v>
      </c>
      <c r="R90" t="s">
        <v>25</v>
      </c>
      <c r="S90" t="s">
        <v>26</v>
      </c>
      <c r="T90" s="6">
        <v>46307</v>
      </c>
      <c r="U90">
        <v>50</v>
      </c>
      <c r="V90">
        <v>50</v>
      </c>
      <c r="W90">
        <v>50</v>
      </c>
      <c r="X90">
        <v>50</v>
      </c>
      <c r="Y90">
        <f t="shared" si="9"/>
        <v>0</v>
      </c>
      <c r="Z90">
        <f t="shared" si="10"/>
        <v>0</v>
      </c>
      <c r="AC90" s="1">
        <v>0</v>
      </c>
      <c r="AF90">
        <f t="shared" si="11"/>
        <v>50</v>
      </c>
      <c r="AG90" s="41">
        <v>10</v>
      </c>
      <c r="AH90">
        <f t="shared" si="12"/>
        <v>50</v>
      </c>
      <c r="AI90">
        <f t="shared" si="13"/>
        <v>0</v>
      </c>
      <c r="AK90">
        <f t="shared" si="14"/>
        <v>5</v>
      </c>
      <c r="AL90">
        <v>20.420000000000002</v>
      </c>
      <c r="AM90" t="s">
        <v>27</v>
      </c>
      <c r="AN90">
        <v>20.420000000000002</v>
      </c>
      <c r="AO90" t="b">
        <f t="shared" si="15"/>
        <v>1</v>
      </c>
      <c r="AR90" t="s">
        <v>5061</v>
      </c>
      <c r="AS90" s="21">
        <v>46276</v>
      </c>
      <c r="AT90" t="s">
        <v>5064</v>
      </c>
      <c r="AU90" t="s">
        <v>5065</v>
      </c>
      <c r="AV90" t="s">
        <v>5088</v>
      </c>
      <c r="AW90" t="s">
        <v>5086</v>
      </c>
    </row>
    <row r="91" spans="1:49" hidden="1" x14ac:dyDescent="0.35">
      <c r="A91" t="s">
        <v>73</v>
      </c>
      <c r="B91" t="s">
        <v>74</v>
      </c>
      <c r="C91" t="s">
        <v>4818</v>
      </c>
      <c r="D91" t="s">
        <v>18</v>
      </c>
      <c r="E91" t="s">
        <v>767</v>
      </c>
      <c r="F91" t="s">
        <v>768</v>
      </c>
      <c r="G91" t="s">
        <v>21</v>
      </c>
      <c r="H91" t="s">
        <v>4834</v>
      </c>
      <c r="I91" t="s">
        <v>4849</v>
      </c>
      <c r="J91" s="4" t="s">
        <v>4850</v>
      </c>
      <c r="K91" s="4" t="s">
        <v>4837</v>
      </c>
      <c r="L91" s="4" t="s">
        <v>4855</v>
      </c>
      <c r="M91" s="4" t="s">
        <v>5035</v>
      </c>
      <c r="N91" t="s">
        <v>769</v>
      </c>
      <c r="O91" t="s">
        <v>770</v>
      </c>
      <c r="P91" t="s">
        <v>23</v>
      </c>
      <c r="Q91" t="s">
        <v>24</v>
      </c>
      <c r="R91" t="s">
        <v>25</v>
      </c>
      <c r="S91" t="s">
        <v>26</v>
      </c>
      <c r="T91" s="6">
        <v>46307</v>
      </c>
      <c r="U91">
        <v>18</v>
      </c>
      <c r="V91">
        <v>18</v>
      </c>
      <c r="W91">
        <v>18</v>
      </c>
      <c r="X91">
        <v>18</v>
      </c>
      <c r="Y91">
        <f t="shared" si="9"/>
        <v>0</v>
      </c>
      <c r="Z91">
        <f t="shared" si="10"/>
        <v>0</v>
      </c>
      <c r="AC91" s="1">
        <v>0</v>
      </c>
      <c r="AF91">
        <f t="shared" si="11"/>
        <v>18</v>
      </c>
      <c r="AG91" s="41">
        <v>6</v>
      </c>
      <c r="AH91">
        <f t="shared" si="12"/>
        <v>18</v>
      </c>
      <c r="AI91">
        <f t="shared" si="13"/>
        <v>0</v>
      </c>
      <c r="AK91">
        <f t="shared" si="14"/>
        <v>3</v>
      </c>
      <c r="AL91">
        <v>14.78</v>
      </c>
      <c r="AM91" t="s">
        <v>27</v>
      </c>
      <c r="AN91">
        <v>14.78</v>
      </c>
      <c r="AO91" t="b">
        <f t="shared" si="15"/>
        <v>1</v>
      </c>
      <c r="AR91" t="s">
        <v>5061</v>
      </c>
      <c r="AS91" s="21">
        <v>46276</v>
      </c>
      <c r="AT91" t="s">
        <v>5064</v>
      </c>
      <c r="AU91" t="s">
        <v>5066</v>
      </c>
      <c r="AV91" t="s">
        <v>5088</v>
      </c>
      <c r="AW91" t="s">
        <v>5086</v>
      </c>
    </row>
    <row r="92" spans="1:49" hidden="1" x14ac:dyDescent="0.35">
      <c r="A92" t="s">
        <v>73</v>
      </c>
      <c r="B92" t="s">
        <v>74</v>
      </c>
      <c r="C92" t="s">
        <v>4818</v>
      </c>
      <c r="D92" t="s">
        <v>18</v>
      </c>
      <c r="E92" t="s">
        <v>771</v>
      </c>
      <c r="F92" t="s">
        <v>772</v>
      </c>
      <c r="G92" t="s">
        <v>21</v>
      </c>
      <c r="H92" t="s">
        <v>4834</v>
      </c>
      <c r="I92" t="s">
        <v>4849</v>
      </c>
      <c r="J92" s="4" t="s">
        <v>4850</v>
      </c>
      <c r="K92" s="4" t="s">
        <v>4854</v>
      </c>
      <c r="L92" s="4" t="s">
        <v>4885</v>
      </c>
      <c r="M92" s="4" t="s">
        <v>5035</v>
      </c>
      <c r="N92" t="s">
        <v>773</v>
      </c>
      <c r="O92" t="s">
        <v>774</v>
      </c>
      <c r="P92" t="s">
        <v>23</v>
      </c>
      <c r="Q92" t="s">
        <v>24</v>
      </c>
      <c r="R92" t="s">
        <v>25</v>
      </c>
      <c r="S92" t="s">
        <v>26</v>
      </c>
      <c r="T92" s="6">
        <v>46307</v>
      </c>
      <c r="U92">
        <v>102</v>
      </c>
      <c r="V92">
        <v>102</v>
      </c>
      <c r="W92">
        <v>108</v>
      </c>
      <c r="X92">
        <v>108</v>
      </c>
      <c r="Y92">
        <f t="shared" si="9"/>
        <v>0</v>
      </c>
      <c r="Z92">
        <f t="shared" si="10"/>
        <v>-6</v>
      </c>
      <c r="AC92" s="1">
        <v>0</v>
      </c>
      <c r="AF92">
        <f t="shared" si="11"/>
        <v>102</v>
      </c>
      <c r="AG92" s="41">
        <v>6</v>
      </c>
      <c r="AH92">
        <f t="shared" si="12"/>
        <v>102</v>
      </c>
      <c r="AI92">
        <f t="shared" si="13"/>
        <v>0</v>
      </c>
      <c r="AK92">
        <f t="shared" si="14"/>
        <v>17</v>
      </c>
      <c r="AL92">
        <v>14.78</v>
      </c>
      <c r="AM92" t="s">
        <v>27</v>
      </c>
      <c r="AN92">
        <v>14.78</v>
      </c>
      <c r="AO92" t="b">
        <f t="shared" si="15"/>
        <v>1</v>
      </c>
      <c r="AR92" t="s">
        <v>5061</v>
      </c>
      <c r="AS92" s="21">
        <v>46276</v>
      </c>
      <c r="AT92" t="s">
        <v>5064</v>
      </c>
      <c r="AU92" t="s">
        <v>5066</v>
      </c>
      <c r="AV92" t="s">
        <v>5088</v>
      </c>
      <c r="AW92" t="s">
        <v>5086</v>
      </c>
    </row>
    <row r="93" spans="1:49" hidden="1" x14ac:dyDescent="0.35">
      <c r="A93" t="s">
        <v>73</v>
      </c>
      <c r="B93" t="s">
        <v>74</v>
      </c>
      <c r="C93" t="s">
        <v>4818</v>
      </c>
      <c r="D93" t="s">
        <v>18</v>
      </c>
      <c r="E93" t="s">
        <v>775</v>
      </c>
      <c r="F93" t="s">
        <v>776</v>
      </c>
      <c r="G93" t="s">
        <v>21</v>
      </c>
      <c r="H93" t="s">
        <v>4834</v>
      </c>
      <c r="I93" t="s">
        <v>4839</v>
      </c>
      <c r="J93" s="4" t="s">
        <v>4840</v>
      </c>
      <c r="K93" s="4" t="s">
        <v>4832</v>
      </c>
      <c r="L93" s="4" t="s">
        <v>4861</v>
      </c>
      <c r="M93" s="4" t="s">
        <v>5035</v>
      </c>
      <c r="N93" t="s">
        <v>777</v>
      </c>
      <c r="O93" t="s">
        <v>778</v>
      </c>
      <c r="P93" t="s">
        <v>23</v>
      </c>
      <c r="Q93" t="s">
        <v>24</v>
      </c>
      <c r="R93" t="s">
        <v>25</v>
      </c>
      <c r="S93" t="s">
        <v>26</v>
      </c>
      <c r="T93" s="6">
        <v>46307</v>
      </c>
      <c r="U93">
        <v>100</v>
      </c>
      <c r="V93">
        <v>100</v>
      </c>
      <c r="W93">
        <v>100</v>
      </c>
      <c r="X93">
        <v>100</v>
      </c>
      <c r="Y93">
        <f t="shared" si="9"/>
        <v>0</v>
      </c>
      <c r="Z93">
        <f t="shared" si="10"/>
        <v>0</v>
      </c>
      <c r="AC93" s="1">
        <v>0</v>
      </c>
      <c r="AF93">
        <f t="shared" si="11"/>
        <v>100</v>
      </c>
      <c r="AG93" s="41">
        <v>10</v>
      </c>
      <c r="AH93">
        <f t="shared" si="12"/>
        <v>100</v>
      </c>
      <c r="AI93">
        <f t="shared" si="13"/>
        <v>0</v>
      </c>
      <c r="AK93">
        <f t="shared" si="14"/>
        <v>10</v>
      </c>
      <c r="AL93">
        <v>20.420000000000002</v>
      </c>
      <c r="AM93" t="s">
        <v>27</v>
      </c>
      <c r="AN93">
        <v>20.420000000000002</v>
      </c>
      <c r="AO93" t="b">
        <f t="shared" si="15"/>
        <v>1</v>
      </c>
      <c r="AR93" t="s">
        <v>5061</v>
      </c>
      <c r="AS93" s="21">
        <v>46276</v>
      </c>
      <c r="AT93" t="s">
        <v>5064</v>
      </c>
      <c r="AU93" t="s">
        <v>5065</v>
      </c>
      <c r="AV93" t="s">
        <v>5088</v>
      </c>
      <c r="AW93" t="s">
        <v>5086</v>
      </c>
    </row>
    <row r="94" spans="1:49" hidden="1" x14ac:dyDescent="0.35">
      <c r="A94" t="s">
        <v>73</v>
      </c>
      <c r="B94" t="s">
        <v>74</v>
      </c>
      <c r="C94" t="s">
        <v>4818</v>
      </c>
      <c r="D94" t="s">
        <v>18</v>
      </c>
      <c r="E94" t="s">
        <v>787</v>
      </c>
      <c r="F94" t="s">
        <v>788</v>
      </c>
      <c r="G94" t="s">
        <v>21</v>
      </c>
      <c r="H94" t="s">
        <v>4834</v>
      </c>
      <c r="I94" t="s">
        <v>4849</v>
      </c>
      <c r="J94" s="4" t="s">
        <v>4850</v>
      </c>
      <c r="K94" s="4" t="s">
        <v>4837</v>
      </c>
      <c r="L94" s="4" t="s">
        <v>4885</v>
      </c>
      <c r="M94" s="4" t="s">
        <v>5035</v>
      </c>
      <c r="N94" t="s">
        <v>789</v>
      </c>
      <c r="O94" t="s">
        <v>790</v>
      </c>
      <c r="P94" t="s">
        <v>23</v>
      </c>
      <c r="Q94" t="s">
        <v>24</v>
      </c>
      <c r="R94" t="s">
        <v>25</v>
      </c>
      <c r="S94" t="s">
        <v>26</v>
      </c>
      <c r="T94" s="6">
        <v>46307</v>
      </c>
      <c r="U94">
        <v>36</v>
      </c>
      <c r="V94">
        <v>36</v>
      </c>
      <c r="W94">
        <v>36</v>
      </c>
      <c r="X94">
        <v>36</v>
      </c>
      <c r="Y94">
        <f t="shared" si="9"/>
        <v>0</v>
      </c>
      <c r="Z94">
        <f t="shared" si="10"/>
        <v>0</v>
      </c>
      <c r="AC94" s="1"/>
      <c r="AF94">
        <f t="shared" si="11"/>
        <v>36</v>
      </c>
      <c r="AG94" s="41">
        <v>6</v>
      </c>
      <c r="AH94">
        <f t="shared" si="12"/>
        <v>36</v>
      </c>
      <c r="AI94">
        <f t="shared" si="13"/>
        <v>0</v>
      </c>
      <c r="AK94">
        <f t="shared" si="14"/>
        <v>6</v>
      </c>
      <c r="AL94">
        <v>14.78</v>
      </c>
      <c r="AM94" t="s">
        <v>27</v>
      </c>
      <c r="AN94">
        <v>14.78</v>
      </c>
      <c r="AO94" t="b">
        <f t="shared" si="15"/>
        <v>1</v>
      </c>
      <c r="AR94" t="s">
        <v>5061</v>
      </c>
      <c r="AS94" s="21">
        <v>46276</v>
      </c>
      <c r="AT94" t="s">
        <v>5064</v>
      </c>
      <c r="AU94" t="s">
        <v>5066</v>
      </c>
      <c r="AV94" t="s">
        <v>5088</v>
      </c>
      <c r="AW94" t="s">
        <v>5086</v>
      </c>
    </row>
    <row r="95" spans="1:49" hidden="1" x14ac:dyDescent="0.35">
      <c r="A95" t="s">
        <v>73</v>
      </c>
      <c r="B95" t="s">
        <v>74</v>
      </c>
      <c r="C95" t="s">
        <v>4818</v>
      </c>
      <c r="D95" t="s">
        <v>18</v>
      </c>
      <c r="E95" t="s">
        <v>791</v>
      </c>
      <c r="F95" t="s">
        <v>792</v>
      </c>
      <c r="G95" t="s">
        <v>21</v>
      </c>
      <c r="H95" t="s">
        <v>4834</v>
      </c>
      <c r="I95" t="s">
        <v>4839</v>
      </c>
      <c r="J95" s="4" t="s">
        <v>4840</v>
      </c>
      <c r="K95" s="4" t="s">
        <v>4854</v>
      </c>
      <c r="L95" s="4" t="s">
        <v>4860</v>
      </c>
      <c r="M95" s="4" t="s">
        <v>5035</v>
      </c>
      <c r="N95" t="s">
        <v>793</v>
      </c>
      <c r="O95" t="s">
        <v>794</v>
      </c>
      <c r="P95" t="s">
        <v>23</v>
      </c>
      <c r="Q95" t="s">
        <v>24</v>
      </c>
      <c r="R95" t="s">
        <v>25</v>
      </c>
      <c r="S95" t="s">
        <v>26</v>
      </c>
      <c r="T95" s="6">
        <v>46307</v>
      </c>
      <c r="U95">
        <v>220</v>
      </c>
      <c r="V95">
        <v>220</v>
      </c>
      <c r="W95">
        <v>230</v>
      </c>
      <c r="X95">
        <v>230</v>
      </c>
      <c r="Y95">
        <f t="shared" si="9"/>
        <v>0</v>
      </c>
      <c r="Z95">
        <f t="shared" si="10"/>
        <v>-10</v>
      </c>
      <c r="AC95" s="1">
        <v>0</v>
      </c>
      <c r="AF95">
        <f t="shared" si="11"/>
        <v>220</v>
      </c>
      <c r="AG95" s="41">
        <v>10</v>
      </c>
      <c r="AH95">
        <f t="shared" si="12"/>
        <v>220</v>
      </c>
      <c r="AI95">
        <f t="shared" si="13"/>
        <v>0</v>
      </c>
      <c r="AK95">
        <f t="shared" si="14"/>
        <v>22</v>
      </c>
      <c r="AL95">
        <v>20.420000000000002</v>
      </c>
      <c r="AM95" t="s">
        <v>27</v>
      </c>
      <c r="AN95">
        <v>20.420000000000002</v>
      </c>
      <c r="AO95" t="b">
        <f t="shared" si="15"/>
        <v>1</v>
      </c>
      <c r="AR95" t="s">
        <v>5061</v>
      </c>
      <c r="AS95" s="21">
        <v>46276</v>
      </c>
      <c r="AT95" t="s">
        <v>5064</v>
      </c>
      <c r="AU95" t="s">
        <v>5065</v>
      </c>
      <c r="AV95" t="s">
        <v>5088</v>
      </c>
      <c r="AW95" t="s">
        <v>5086</v>
      </c>
    </row>
    <row r="96" spans="1:49" hidden="1" x14ac:dyDescent="0.35">
      <c r="A96" t="s">
        <v>73</v>
      </c>
      <c r="B96" t="s">
        <v>74</v>
      </c>
      <c r="C96" t="s">
        <v>4818</v>
      </c>
      <c r="D96" t="s">
        <v>18</v>
      </c>
      <c r="E96" t="s">
        <v>807</v>
      </c>
      <c r="F96" t="s">
        <v>808</v>
      </c>
      <c r="G96" t="s">
        <v>21</v>
      </c>
      <c r="H96" t="s">
        <v>4834</v>
      </c>
      <c r="I96" t="s">
        <v>4849</v>
      </c>
      <c r="J96" s="4" t="s">
        <v>4850</v>
      </c>
      <c r="K96" s="4" t="s">
        <v>4837</v>
      </c>
      <c r="L96" s="4" t="s">
        <v>4877</v>
      </c>
      <c r="M96" s="4" t="s">
        <v>5035</v>
      </c>
      <c r="N96" t="s">
        <v>809</v>
      </c>
      <c r="O96" t="s">
        <v>810</v>
      </c>
      <c r="P96" t="s">
        <v>23</v>
      </c>
      <c r="Q96" t="s">
        <v>24</v>
      </c>
      <c r="R96" t="s">
        <v>25</v>
      </c>
      <c r="S96" t="s">
        <v>26</v>
      </c>
      <c r="T96" s="6">
        <v>46307</v>
      </c>
      <c r="U96">
        <v>132</v>
      </c>
      <c r="V96">
        <v>132</v>
      </c>
      <c r="W96">
        <v>138</v>
      </c>
      <c r="X96">
        <v>138</v>
      </c>
      <c r="Y96">
        <f t="shared" si="9"/>
        <v>0</v>
      </c>
      <c r="Z96">
        <f t="shared" si="10"/>
        <v>-6</v>
      </c>
      <c r="AC96" s="1">
        <v>0</v>
      </c>
      <c r="AF96">
        <f t="shared" si="11"/>
        <v>132</v>
      </c>
      <c r="AG96" s="41">
        <v>6</v>
      </c>
      <c r="AH96">
        <f t="shared" si="12"/>
        <v>132</v>
      </c>
      <c r="AI96">
        <f t="shared" si="13"/>
        <v>0</v>
      </c>
      <c r="AK96">
        <f t="shared" si="14"/>
        <v>22</v>
      </c>
      <c r="AL96">
        <v>14.78</v>
      </c>
      <c r="AM96" t="s">
        <v>27</v>
      </c>
      <c r="AN96">
        <v>14.78</v>
      </c>
      <c r="AO96" t="b">
        <f t="shared" si="15"/>
        <v>1</v>
      </c>
      <c r="AR96" t="s">
        <v>5061</v>
      </c>
      <c r="AS96" s="21">
        <v>46276</v>
      </c>
      <c r="AT96" t="s">
        <v>5064</v>
      </c>
      <c r="AU96" t="s">
        <v>5066</v>
      </c>
      <c r="AV96" t="s">
        <v>5088</v>
      </c>
      <c r="AW96" t="s">
        <v>5086</v>
      </c>
    </row>
    <row r="97" spans="1:49" hidden="1" x14ac:dyDescent="0.35">
      <c r="A97" t="s">
        <v>73</v>
      </c>
      <c r="B97" t="s">
        <v>74</v>
      </c>
      <c r="C97" t="s">
        <v>4818</v>
      </c>
      <c r="D97" t="s">
        <v>18</v>
      </c>
      <c r="E97" t="s">
        <v>819</v>
      </c>
      <c r="F97" t="s">
        <v>820</v>
      </c>
      <c r="G97" t="s">
        <v>21</v>
      </c>
      <c r="H97" t="s">
        <v>4834</v>
      </c>
      <c r="I97" t="s">
        <v>4839</v>
      </c>
      <c r="J97" s="4" t="s">
        <v>4840</v>
      </c>
      <c r="K97" s="4" t="s">
        <v>4854</v>
      </c>
      <c r="L97" s="4" t="s">
        <v>4841</v>
      </c>
      <c r="M97" s="4" t="s">
        <v>5035</v>
      </c>
      <c r="N97" t="s">
        <v>821</v>
      </c>
      <c r="O97" t="s">
        <v>822</v>
      </c>
      <c r="P97" t="s">
        <v>23</v>
      </c>
      <c r="Q97" t="s">
        <v>24</v>
      </c>
      <c r="R97" t="s">
        <v>25</v>
      </c>
      <c r="S97" t="s">
        <v>26</v>
      </c>
      <c r="T97" s="6">
        <v>46307</v>
      </c>
      <c r="U97">
        <v>70</v>
      </c>
      <c r="V97">
        <v>70</v>
      </c>
      <c r="W97">
        <v>70</v>
      </c>
      <c r="X97">
        <v>70</v>
      </c>
      <c r="Y97">
        <f t="shared" si="9"/>
        <v>0</v>
      </c>
      <c r="Z97">
        <f t="shared" si="10"/>
        <v>0</v>
      </c>
      <c r="AC97" s="1">
        <v>0</v>
      </c>
      <c r="AF97">
        <f t="shared" si="11"/>
        <v>70</v>
      </c>
      <c r="AG97" s="41">
        <v>10</v>
      </c>
      <c r="AH97">
        <f t="shared" si="12"/>
        <v>70</v>
      </c>
      <c r="AI97">
        <f t="shared" si="13"/>
        <v>0</v>
      </c>
      <c r="AK97">
        <f t="shared" si="14"/>
        <v>7</v>
      </c>
      <c r="AL97">
        <v>20.420000000000002</v>
      </c>
      <c r="AM97" t="s">
        <v>27</v>
      </c>
      <c r="AN97">
        <v>20.420000000000002</v>
      </c>
      <c r="AO97" t="b">
        <f t="shared" si="15"/>
        <v>1</v>
      </c>
      <c r="AR97" t="s">
        <v>5061</v>
      </c>
      <c r="AS97" s="21">
        <v>46276</v>
      </c>
      <c r="AT97" t="s">
        <v>5064</v>
      </c>
      <c r="AU97" t="s">
        <v>5065</v>
      </c>
      <c r="AV97" t="s">
        <v>5088</v>
      </c>
      <c r="AW97" t="s">
        <v>5086</v>
      </c>
    </row>
    <row r="98" spans="1:49" hidden="1" x14ac:dyDescent="0.35">
      <c r="A98" t="s">
        <v>73</v>
      </c>
      <c r="B98" t="s">
        <v>74</v>
      </c>
      <c r="C98" t="s">
        <v>4818</v>
      </c>
      <c r="D98" t="s">
        <v>18</v>
      </c>
      <c r="E98" t="s">
        <v>823</v>
      </c>
      <c r="F98" t="s">
        <v>824</v>
      </c>
      <c r="G98" t="s">
        <v>21</v>
      </c>
      <c r="H98" t="s">
        <v>4834</v>
      </c>
      <c r="I98" t="s">
        <v>4839</v>
      </c>
      <c r="J98" s="4" t="s">
        <v>4840</v>
      </c>
      <c r="K98" s="4" t="s">
        <v>4832</v>
      </c>
      <c r="L98" s="4" t="s">
        <v>4865</v>
      </c>
      <c r="M98" s="4" t="s">
        <v>5035</v>
      </c>
      <c r="N98" t="s">
        <v>825</v>
      </c>
      <c r="O98" t="s">
        <v>826</v>
      </c>
      <c r="P98" t="s">
        <v>23</v>
      </c>
      <c r="Q98" t="s">
        <v>24</v>
      </c>
      <c r="R98" t="s">
        <v>25</v>
      </c>
      <c r="S98" t="s">
        <v>26</v>
      </c>
      <c r="T98" s="6">
        <v>46307</v>
      </c>
      <c r="U98">
        <v>20</v>
      </c>
      <c r="V98">
        <v>20</v>
      </c>
      <c r="W98">
        <v>20</v>
      </c>
      <c r="X98">
        <v>20</v>
      </c>
      <c r="Y98">
        <f t="shared" si="9"/>
        <v>0</v>
      </c>
      <c r="Z98">
        <f t="shared" si="10"/>
        <v>0</v>
      </c>
      <c r="AC98" s="1">
        <v>0</v>
      </c>
      <c r="AF98">
        <f t="shared" si="11"/>
        <v>20</v>
      </c>
      <c r="AG98" s="41">
        <v>10</v>
      </c>
      <c r="AH98">
        <f t="shared" si="12"/>
        <v>20</v>
      </c>
      <c r="AI98">
        <f t="shared" si="13"/>
        <v>0</v>
      </c>
      <c r="AK98">
        <f t="shared" si="14"/>
        <v>2</v>
      </c>
      <c r="AL98">
        <v>20.420000000000002</v>
      </c>
      <c r="AM98" t="s">
        <v>27</v>
      </c>
      <c r="AN98">
        <v>20.420000000000002</v>
      </c>
      <c r="AO98" t="b">
        <f t="shared" si="15"/>
        <v>1</v>
      </c>
      <c r="AR98" t="s">
        <v>5061</v>
      </c>
      <c r="AS98" s="21">
        <v>46276</v>
      </c>
      <c r="AT98" t="s">
        <v>5064</v>
      </c>
      <c r="AU98" t="s">
        <v>5065</v>
      </c>
      <c r="AV98" t="s">
        <v>5088</v>
      </c>
      <c r="AW98" t="s">
        <v>5086</v>
      </c>
    </row>
    <row r="99" spans="1:49" hidden="1" x14ac:dyDescent="0.35">
      <c r="A99" t="s">
        <v>73</v>
      </c>
      <c r="B99" t="s">
        <v>74</v>
      </c>
      <c r="C99" t="s">
        <v>4818</v>
      </c>
      <c r="D99" t="s">
        <v>18</v>
      </c>
      <c r="E99" t="s">
        <v>847</v>
      </c>
      <c r="F99" t="s">
        <v>848</v>
      </c>
      <c r="G99" t="s">
        <v>21</v>
      </c>
      <c r="H99" t="s">
        <v>4834</v>
      </c>
      <c r="I99" t="s">
        <v>4849</v>
      </c>
      <c r="J99" s="4" t="s">
        <v>4850</v>
      </c>
      <c r="K99" s="4" t="s">
        <v>4862</v>
      </c>
      <c r="L99" s="4" t="s">
        <v>4886</v>
      </c>
      <c r="M99" s="4" t="s">
        <v>5035</v>
      </c>
      <c r="N99" t="s">
        <v>849</v>
      </c>
      <c r="O99" t="s">
        <v>850</v>
      </c>
      <c r="P99" t="s">
        <v>23</v>
      </c>
      <c r="Q99" t="s">
        <v>24</v>
      </c>
      <c r="R99" t="s">
        <v>25</v>
      </c>
      <c r="S99" t="s">
        <v>26</v>
      </c>
      <c r="T99" s="6">
        <v>46307</v>
      </c>
      <c r="U99">
        <v>108</v>
      </c>
      <c r="V99">
        <v>108</v>
      </c>
      <c r="W99">
        <v>114</v>
      </c>
      <c r="X99">
        <v>114</v>
      </c>
      <c r="Y99">
        <f t="shared" si="9"/>
        <v>0</v>
      </c>
      <c r="Z99">
        <f t="shared" si="10"/>
        <v>-6</v>
      </c>
      <c r="AC99" s="1">
        <v>0</v>
      </c>
      <c r="AF99">
        <f t="shared" ref="AF99:AF104" si="16">V99</f>
        <v>108</v>
      </c>
      <c r="AG99" s="41">
        <v>6</v>
      </c>
      <c r="AH99">
        <f t="shared" si="12"/>
        <v>108</v>
      </c>
      <c r="AI99">
        <f t="shared" si="13"/>
        <v>0</v>
      </c>
      <c r="AK99">
        <f t="shared" si="14"/>
        <v>18</v>
      </c>
      <c r="AL99">
        <v>14.78</v>
      </c>
      <c r="AM99" t="s">
        <v>27</v>
      </c>
      <c r="AN99">
        <v>14.78</v>
      </c>
      <c r="AO99" t="b">
        <f t="shared" si="15"/>
        <v>1</v>
      </c>
      <c r="AR99" t="s">
        <v>5061</v>
      </c>
      <c r="AS99" s="21">
        <v>46276</v>
      </c>
      <c r="AT99" t="s">
        <v>5064</v>
      </c>
      <c r="AU99" t="s">
        <v>5066</v>
      </c>
      <c r="AV99" t="s">
        <v>5088</v>
      </c>
      <c r="AW99" t="s">
        <v>5086</v>
      </c>
    </row>
    <row r="100" spans="1:49" hidden="1" x14ac:dyDescent="0.35">
      <c r="A100" t="s">
        <v>73</v>
      </c>
      <c r="B100" t="s">
        <v>74</v>
      </c>
      <c r="C100" t="s">
        <v>4818</v>
      </c>
      <c r="D100" t="s">
        <v>18</v>
      </c>
      <c r="E100" t="s">
        <v>851</v>
      </c>
      <c r="F100" t="s">
        <v>852</v>
      </c>
      <c r="G100" t="s">
        <v>21</v>
      </c>
      <c r="H100" t="s">
        <v>4834</v>
      </c>
      <c r="I100" t="s">
        <v>4849</v>
      </c>
      <c r="J100" s="4" t="s">
        <v>4850</v>
      </c>
      <c r="K100" s="4" t="s">
        <v>4854</v>
      </c>
      <c r="L100" s="4" t="s">
        <v>4853</v>
      </c>
      <c r="M100" s="4" t="s">
        <v>5035</v>
      </c>
      <c r="N100" t="s">
        <v>853</v>
      </c>
      <c r="O100" t="s">
        <v>854</v>
      </c>
      <c r="P100" t="s">
        <v>23</v>
      </c>
      <c r="Q100" t="s">
        <v>24</v>
      </c>
      <c r="R100" t="s">
        <v>25</v>
      </c>
      <c r="S100" t="s">
        <v>26</v>
      </c>
      <c r="T100" s="6">
        <v>46307</v>
      </c>
      <c r="U100">
        <v>78</v>
      </c>
      <c r="V100">
        <v>78</v>
      </c>
      <c r="W100">
        <v>84</v>
      </c>
      <c r="X100">
        <v>84</v>
      </c>
      <c r="Y100">
        <f t="shared" si="9"/>
        <v>0</v>
      </c>
      <c r="Z100">
        <f t="shared" si="10"/>
        <v>-6</v>
      </c>
      <c r="AC100" s="1">
        <v>0</v>
      </c>
      <c r="AF100">
        <f t="shared" si="16"/>
        <v>78</v>
      </c>
      <c r="AG100" s="41">
        <v>6</v>
      </c>
      <c r="AH100">
        <f t="shared" si="12"/>
        <v>78</v>
      </c>
      <c r="AI100">
        <f t="shared" si="13"/>
        <v>0</v>
      </c>
      <c r="AK100">
        <f t="shared" si="14"/>
        <v>13</v>
      </c>
      <c r="AL100">
        <v>14.78</v>
      </c>
      <c r="AM100" t="s">
        <v>27</v>
      </c>
      <c r="AN100">
        <v>14.78</v>
      </c>
      <c r="AO100" t="b">
        <f t="shared" si="15"/>
        <v>1</v>
      </c>
      <c r="AR100" t="s">
        <v>5061</v>
      </c>
      <c r="AS100" s="21">
        <v>46276</v>
      </c>
      <c r="AT100" t="s">
        <v>5064</v>
      </c>
      <c r="AU100" t="s">
        <v>5066</v>
      </c>
      <c r="AV100" t="s">
        <v>5088</v>
      </c>
      <c r="AW100" t="s">
        <v>5086</v>
      </c>
    </row>
    <row r="101" spans="1:49" hidden="1" x14ac:dyDescent="0.35">
      <c r="A101" t="s">
        <v>73</v>
      </c>
      <c r="B101" t="s">
        <v>74</v>
      </c>
      <c r="C101" t="s">
        <v>4818</v>
      </c>
      <c r="D101" t="s">
        <v>18</v>
      </c>
      <c r="E101" t="s">
        <v>863</v>
      </c>
      <c r="F101" t="s">
        <v>864</v>
      </c>
      <c r="G101" t="s">
        <v>21</v>
      </c>
      <c r="H101" t="s">
        <v>4834</v>
      </c>
      <c r="I101" t="s">
        <v>4849</v>
      </c>
      <c r="J101" s="4" t="s">
        <v>4850</v>
      </c>
      <c r="K101" s="4" t="s">
        <v>4852</v>
      </c>
      <c r="L101" s="4" t="s">
        <v>4877</v>
      </c>
      <c r="M101" s="4" t="s">
        <v>5035</v>
      </c>
      <c r="N101" t="s">
        <v>865</v>
      </c>
      <c r="O101" t="s">
        <v>866</v>
      </c>
      <c r="P101" t="s">
        <v>23</v>
      </c>
      <c r="Q101" t="s">
        <v>24</v>
      </c>
      <c r="R101" t="s">
        <v>25</v>
      </c>
      <c r="S101" t="s">
        <v>26</v>
      </c>
      <c r="T101" s="6">
        <v>46307</v>
      </c>
      <c r="U101">
        <v>54</v>
      </c>
      <c r="V101">
        <v>54</v>
      </c>
      <c r="W101">
        <v>54</v>
      </c>
      <c r="X101">
        <v>54</v>
      </c>
      <c r="Y101">
        <f t="shared" si="9"/>
        <v>0</v>
      </c>
      <c r="Z101">
        <f t="shared" si="10"/>
        <v>0</v>
      </c>
      <c r="AC101" s="1">
        <v>0</v>
      </c>
      <c r="AF101">
        <f t="shared" si="16"/>
        <v>54</v>
      </c>
      <c r="AG101" s="41">
        <v>6</v>
      </c>
      <c r="AH101">
        <f t="shared" si="12"/>
        <v>54</v>
      </c>
      <c r="AI101">
        <f t="shared" si="13"/>
        <v>0</v>
      </c>
      <c r="AK101">
        <f t="shared" si="14"/>
        <v>9</v>
      </c>
      <c r="AL101">
        <v>14.78</v>
      </c>
      <c r="AM101" t="s">
        <v>27</v>
      </c>
      <c r="AN101">
        <v>14.78</v>
      </c>
      <c r="AO101" t="b">
        <f t="shared" si="15"/>
        <v>1</v>
      </c>
      <c r="AR101" t="s">
        <v>5061</v>
      </c>
      <c r="AS101" s="21">
        <v>46276</v>
      </c>
      <c r="AT101" t="s">
        <v>5064</v>
      </c>
      <c r="AU101" t="s">
        <v>5066</v>
      </c>
      <c r="AV101" t="s">
        <v>5088</v>
      </c>
      <c r="AW101" t="s">
        <v>5086</v>
      </c>
    </row>
    <row r="102" spans="1:49" hidden="1" x14ac:dyDescent="0.35">
      <c r="A102" t="s">
        <v>73</v>
      </c>
      <c r="B102" t="s">
        <v>74</v>
      </c>
      <c r="C102" t="s">
        <v>4818</v>
      </c>
      <c r="D102" t="s">
        <v>18</v>
      </c>
      <c r="E102" t="s">
        <v>867</v>
      </c>
      <c r="F102" t="s">
        <v>868</v>
      </c>
      <c r="G102" t="s">
        <v>21</v>
      </c>
      <c r="H102" t="s">
        <v>4834</v>
      </c>
      <c r="I102" t="s">
        <v>4849</v>
      </c>
      <c r="J102" s="4" t="s">
        <v>4850</v>
      </c>
      <c r="K102" s="4" t="s">
        <v>4862</v>
      </c>
      <c r="L102" s="4" t="s">
        <v>4873</v>
      </c>
      <c r="M102" s="4" t="s">
        <v>5035</v>
      </c>
      <c r="N102" t="s">
        <v>869</v>
      </c>
      <c r="O102" t="s">
        <v>870</v>
      </c>
      <c r="P102" t="s">
        <v>23</v>
      </c>
      <c r="Q102" t="s">
        <v>24</v>
      </c>
      <c r="R102" t="s">
        <v>25</v>
      </c>
      <c r="S102" t="s">
        <v>26</v>
      </c>
      <c r="T102" s="6">
        <v>46307</v>
      </c>
      <c r="U102">
        <v>66</v>
      </c>
      <c r="V102">
        <v>66</v>
      </c>
      <c r="W102">
        <v>72</v>
      </c>
      <c r="X102">
        <v>72</v>
      </c>
      <c r="Y102">
        <f t="shared" si="9"/>
        <v>0</v>
      </c>
      <c r="Z102">
        <f t="shared" si="10"/>
        <v>-6</v>
      </c>
      <c r="AC102" s="1">
        <v>0</v>
      </c>
      <c r="AF102">
        <f t="shared" si="16"/>
        <v>66</v>
      </c>
      <c r="AG102" s="41">
        <v>6</v>
      </c>
      <c r="AH102">
        <f t="shared" si="12"/>
        <v>66</v>
      </c>
      <c r="AI102">
        <f t="shared" si="13"/>
        <v>0</v>
      </c>
      <c r="AK102">
        <f t="shared" si="14"/>
        <v>11</v>
      </c>
      <c r="AL102">
        <v>14.78</v>
      </c>
      <c r="AM102" t="s">
        <v>27</v>
      </c>
      <c r="AN102">
        <v>14.78</v>
      </c>
      <c r="AO102" t="b">
        <f t="shared" si="15"/>
        <v>1</v>
      </c>
      <c r="AR102" t="s">
        <v>5061</v>
      </c>
      <c r="AS102" s="21">
        <v>46276</v>
      </c>
      <c r="AT102" t="s">
        <v>5064</v>
      </c>
      <c r="AU102" t="s">
        <v>5066</v>
      </c>
      <c r="AV102" t="s">
        <v>5088</v>
      </c>
      <c r="AW102" t="s">
        <v>5086</v>
      </c>
    </row>
    <row r="103" spans="1:49" hidden="1" x14ac:dyDescent="0.35">
      <c r="A103" t="s">
        <v>871</v>
      </c>
      <c r="B103" t="s">
        <v>872</v>
      </c>
      <c r="C103" t="s">
        <v>4818</v>
      </c>
      <c r="D103" t="s">
        <v>18</v>
      </c>
      <c r="E103" t="s">
        <v>873</v>
      </c>
      <c r="F103" t="s">
        <v>874</v>
      </c>
      <c r="G103" t="s">
        <v>21</v>
      </c>
      <c r="H103" t="s">
        <v>4888</v>
      </c>
      <c r="I103" t="s">
        <v>4889</v>
      </c>
      <c r="J103" s="4" t="s">
        <v>4890</v>
      </c>
      <c r="K103" s="4" t="s">
        <v>4891</v>
      </c>
      <c r="L103" s="4" t="s">
        <v>4892</v>
      </c>
      <c r="M103" s="4" t="s">
        <v>5035</v>
      </c>
      <c r="N103" t="s">
        <v>875</v>
      </c>
      <c r="O103" t="s">
        <v>876</v>
      </c>
      <c r="P103" t="s">
        <v>23</v>
      </c>
      <c r="Q103" t="s">
        <v>24</v>
      </c>
      <c r="R103" t="s">
        <v>25</v>
      </c>
      <c r="S103" t="s">
        <v>26</v>
      </c>
      <c r="T103" s="6">
        <v>46307</v>
      </c>
      <c r="U103">
        <v>96</v>
      </c>
      <c r="V103">
        <v>96</v>
      </c>
      <c r="W103">
        <v>108</v>
      </c>
      <c r="X103">
        <v>108</v>
      </c>
      <c r="Y103">
        <f t="shared" si="9"/>
        <v>0</v>
      </c>
      <c r="Z103">
        <f t="shared" si="10"/>
        <v>-12</v>
      </c>
      <c r="AC103" s="1">
        <v>0</v>
      </c>
      <c r="AF103">
        <f t="shared" si="16"/>
        <v>96</v>
      </c>
      <c r="AG103" s="41">
        <v>12</v>
      </c>
      <c r="AH103">
        <f t="shared" si="12"/>
        <v>96</v>
      </c>
      <c r="AI103">
        <f t="shared" si="13"/>
        <v>0</v>
      </c>
      <c r="AK103">
        <f t="shared" si="14"/>
        <v>8</v>
      </c>
      <c r="AL103">
        <v>11.2</v>
      </c>
      <c r="AM103" t="s">
        <v>27</v>
      </c>
      <c r="AN103">
        <v>11.2</v>
      </c>
      <c r="AO103" t="b">
        <f t="shared" si="15"/>
        <v>1</v>
      </c>
      <c r="AR103" t="s">
        <v>5061</v>
      </c>
      <c r="AS103" s="21">
        <v>46276</v>
      </c>
      <c r="AT103" t="s">
        <v>5062</v>
      </c>
      <c r="AU103" t="s">
        <v>5067</v>
      </c>
      <c r="AV103" t="s">
        <v>5062</v>
      </c>
      <c r="AW103" t="s">
        <v>5086</v>
      </c>
    </row>
    <row r="104" spans="1:49" hidden="1" x14ac:dyDescent="0.35">
      <c r="A104" t="s">
        <v>871</v>
      </c>
      <c r="B104" t="s">
        <v>872</v>
      </c>
      <c r="C104" t="s">
        <v>4818</v>
      </c>
      <c r="D104" t="s">
        <v>18</v>
      </c>
      <c r="E104" t="s">
        <v>877</v>
      </c>
      <c r="F104" t="s">
        <v>878</v>
      </c>
      <c r="G104" t="s">
        <v>21</v>
      </c>
      <c r="H104" t="s">
        <v>4888</v>
      </c>
      <c r="I104" t="s">
        <v>4893</v>
      </c>
      <c r="J104" s="4" t="s">
        <v>4894</v>
      </c>
      <c r="K104" s="4" t="s">
        <v>4837</v>
      </c>
      <c r="L104" s="4" t="s">
        <v>4895</v>
      </c>
      <c r="M104" s="4" t="s">
        <v>5035</v>
      </c>
      <c r="N104" t="s">
        <v>879</v>
      </c>
      <c r="O104" t="s">
        <v>880</v>
      </c>
      <c r="P104" t="s">
        <v>23</v>
      </c>
      <c r="Q104" t="s">
        <v>24</v>
      </c>
      <c r="R104" t="s">
        <v>25</v>
      </c>
      <c r="S104" t="s">
        <v>26</v>
      </c>
      <c r="T104" s="6">
        <v>46307</v>
      </c>
      <c r="U104">
        <v>60</v>
      </c>
      <c r="V104">
        <v>60</v>
      </c>
      <c r="W104">
        <v>72</v>
      </c>
      <c r="X104">
        <v>72</v>
      </c>
      <c r="Y104">
        <f t="shared" si="9"/>
        <v>0</v>
      </c>
      <c r="Z104">
        <f t="shared" si="10"/>
        <v>-12</v>
      </c>
      <c r="AC104" s="1">
        <v>0</v>
      </c>
      <c r="AF104">
        <f t="shared" si="16"/>
        <v>60</v>
      </c>
      <c r="AG104" s="41">
        <v>12</v>
      </c>
      <c r="AH104">
        <f t="shared" si="12"/>
        <v>60</v>
      </c>
      <c r="AI104">
        <f t="shared" si="13"/>
        <v>0</v>
      </c>
      <c r="AK104">
        <f t="shared" si="14"/>
        <v>5</v>
      </c>
      <c r="AL104">
        <v>10.06</v>
      </c>
      <c r="AM104" t="s">
        <v>27</v>
      </c>
      <c r="AN104">
        <v>10.06</v>
      </c>
      <c r="AO104" t="b">
        <f t="shared" si="15"/>
        <v>1</v>
      </c>
      <c r="AR104" t="s">
        <v>5061</v>
      </c>
      <c r="AS104" s="21">
        <v>46276</v>
      </c>
      <c r="AT104" t="s">
        <v>5062</v>
      </c>
      <c r="AU104" t="s">
        <v>5068</v>
      </c>
      <c r="AV104" t="s">
        <v>5062</v>
      </c>
      <c r="AW104" t="s">
        <v>5086</v>
      </c>
    </row>
    <row r="105" spans="1:49" hidden="1" x14ac:dyDescent="0.35">
      <c r="A105" t="s">
        <v>871</v>
      </c>
      <c r="B105" t="s">
        <v>872</v>
      </c>
      <c r="C105" t="s">
        <v>4818</v>
      </c>
      <c r="D105" t="s">
        <v>18</v>
      </c>
      <c r="E105" t="s">
        <v>881</v>
      </c>
      <c r="F105" t="s">
        <v>882</v>
      </c>
      <c r="G105" t="s">
        <v>21</v>
      </c>
      <c r="H105" t="s">
        <v>4888</v>
      </c>
      <c r="I105" t="s">
        <v>4893</v>
      </c>
      <c r="J105" s="4" t="s">
        <v>4894</v>
      </c>
      <c r="K105" s="4" t="s">
        <v>4837</v>
      </c>
      <c r="L105" s="4" t="s">
        <v>4869</v>
      </c>
      <c r="M105" s="4" t="s">
        <v>5035</v>
      </c>
      <c r="N105" t="s">
        <v>883</v>
      </c>
      <c r="O105" t="s">
        <v>884</v>
      </c>
      <c r="P105" t="s">
        <v>23</v>
      </c>
      <c r="Q105" t="s">
        <v>24</v>
      </c>
      <c r="R105" t="s">
        <v>25</v>
      </c>
      <c r="S105" t="s">
        <v>26</v>
      </c>
      <c r="T105" s="6">
        <v>46307</v>
      </c>
      <c r="U105">
        <v>84</v>
      </c>
      <c r="V105">
        <v>84</v>
      </c>
      <c r="W105">
        <v>72</v>
      </c>
      <c r="X105">
        <v>72</v>
      </c>
      <c r="Y105">
        <f t="shared" si="9"/>
        <v>0</v>
      </c>
      <c r="Z105">
        <f t="shared" si="10"/>
        <v>12</v>
      </c>
      <c r="AA105">
        <f t="shared" ref="AA105:AA106" si="17">Z105</f>
        <v>12</v>
      </c>
      <c r="AC105" s="1">
        <v>0</v>
      </c>
      <c r="AF105">
        <f>X105</f>
        <v>72</v>
      </c>
      <c r="AG105" s="41">
        <v>12</v>
      </c>
      <c r="AH105">
        <f t="shared" si="12"/>
        <v>72</v>
      </c>
      <c r="AI105">
        <f t="shared" si="13"/>
        <v>12</v>
      </c>
      <c r="AK105">
        <f t="shared" si="14"/>
        <v>6</v>
      </c>
      <c r="AL105">
        <v>10.06</v>
      </c>
      <c r="AM105" t="s">
        <v>27</v>
      </c>
      <c r="AN105">
        <v>10.06</v>
      </c>
      <c r="AO105" t="b">
        <f t="shared" si="15"/>
        <v>1</v>
      </c>
      <c r="AR105" t="s">
        <v>5061</v>
      </c>
      <c r="AS105" s="21">
        <v>46276</v>
      </c>
      <c r="AT105" t="s">
        <v>5062</v>
      </c>
      <c r="AU105" t="s">
        <v>5068</v>
      </c>
      <c r="AV105" t="s">
        <v>5062</v>
      </c>
      <c r="AW105" t="s">
        <v>5086</v>
      </c>
    </row>
    <row r="106" spans="1:49" hidden="1" x14ac:dyDescent="0.35">
      <c r="A106" t="s">
        <v>871</v>
      </c>
      <c r="B106" t="s">
        <v>872</v>
      </c>
      <c r="C106" t="s">
        <v>4818</v>
      </c>
      <c r="D106" t="s">
        <v>18</v>
      </c>
      <c r="E106" t="s">
        <v>885</v>
      </c>
      <c r="F106" t="s">
        <v>886</v>
      </c>
      <c r="G106" t="s">
        <v>21</v>
      </c>
      <c r="H106" t="s">
        <v>4888</v>
      </c>
      <c r="I106" t="s">
        <v>4893</v>
      </c>
      <c r="J106" s="4" t="s">
        <v>4894</v>
      </c>
      <c r="K106" s="4" t="s">
        <v>4896</v>
      </c>
      <c r="L106" s="4" t="s">
        <v>4897</v>
      </c>
      <c r="M106" s="4" t="s">
        <v>5035</v>
      </c>
      <c r="N106" t="s">
        <v>887</v>
      </c>
      <c r="O106" t="s">
        <v>888</v>
      </c>
      <c r="P106" t="s">
        <v>23</v>
      </c>
      <c r="Q106" t="s">
        <v>24</v>
      </c>
      <c r="R106" t="s">
        <v>25</v>
      </c>
      <c r="S106" t="s">
        <v>26</v>
      </c>
      <c r="T106" s="6">
        <v>46307</v>
      </c>
      <c r="U106">
        <v>108</v>
      </c>
      <c r="V106">
        <v>108</v>
      </c>
      <c r="W106">
        <v>96</v>
      </c>
      <c r="X106">
        <v>96</v>
      </c>
      <c r="Y106">
        <f t="shared" si="9"/>
        <v>0</v>
      </c>
      <c r="Z106">
        <f t="shared" si="10"/>
        <v>12</v>
      </c>
      <c r="AA106">
        <f t="shared" si="17"/>
        <v>12</v>
      </c>
      <c r="AC106" s="1">
        <v>0</v>
      </c>
      <c r="AF106">
        <f>X106</f>
        <v>96</v>
      </c>
      <c r="AG106" s="41">
        <v>12</v>
      </c>
      <c r="AH106">
        <f t="shared" si="12"/>
        <v>96</v>
      </c>
      <c r="AI106">
        <f t="shared" si="13"/>
        <v>12</v>
      </c>
      <c r="AK106">
        <f t="shared" si="14"/>
        <v>8</v>
      </c>
      <c r="AL106">
        <v>10.220000000000001</v>
      </c>
      <c r="AM106" t="s">
        <v>27</v>
      </c>
      <c r="AN106">
        <v>10.220000000000001</v>
      </c>
      <c r="AO106" t="b">
        <f t="shared" si="15"/>
        <v>1</v>
      </c>
      <c r="AR106" t="s">
        <v>5061</v>
      </c>
      <c r="AS106" s="21">
        <v>46276</v>
      </c>
      <c r="AT106" t="s">
        <v>5062</v>
      </c>
      <c r="AU106" t="s">
        <v>5068</v>
      </c>
      <c r="AV106" t="s">
        <v>5062</v>
      </c>
      <c r="AW106" t="s">
        <v>5086</v>
      </c>
    </row>
    <row r="107" spans="1:49" hidden="1" x14ac:dyDescent="0.35">
      <c r="A107" t="s">
        <v>871</v>
      </c>
      <c r="B107" t="s">
        <v>872</v>
      </c>
      <c r="C107" t="s">
        <v>4818</v>
      </c>
      <c r="D107" t="s">
        <v>18</v>
      </c>
      <c r="E107" t="s">
        <v>889</v>
      </c>
      <c r="F107" t="s">
        <v>890</v>
      </c>
      <c r="G107" t="s">
        <v>21</v>
      </c>
      <c r="H107" t="s">
        <v>4888</v>
      </c>
      <c r="I107" t="s">
        <v>4893</v>
      </c>
      <c r="J107" s="4" t="s">
        <v>4894</v>
      </c>
      <c r="K107" s="4" t="s">
        <v>4896</v>
      </c>
      <c r="L107" s="4" t="s">
        <v>4853</v>
      </c>
      <c r="M107" s="4" t="s">
        <v>5035</v>
      </c>
      <c r="N107" t="s">
        <v>891</v>
      </c>
      <c r="O107" t="s">
        <v>892</v>
      </c>
      <c r="P107" t="s">
        <v>23</v>
      </c>
      <c r="Q107" t="s">
        <v>24</v>
      </c>
      <c r="R107" t="s">
        <v>25</v>
      </c>
      <c r="S107" t="s">
        <v>26</v>
      </c>
      <c r="T107" s="6">
        <v>46307</v>
      </c>
      <c r="U107">
        <v>24</v>
      </c>
      <c r="V107">
        <v>24</v>
      </c>
      <c r="W107">
        <v>24</v>
      </c>
      <c r="X107">
        <v>24</v>
      </c>
      <c r="Y107">
        <f t="shared" si="9"/>
        <v>0</v>
      </c>
      <c r="Z107">
        <f t="shared" si="10"/>
        <v>0</v>
      </c>
      <c r="AC107" s="1">
        <v>0</v>
      </c>
      <c r="AF107">
        <f>V107</f>
        <v>24</v>
      </c>
      <c r="AG107" s="41">
        <v>12</v>
      </c>
      <c r="AH107">
        <f t="shared" si="12"/>
        <v>24</v>
      </c>
      <c r="AI107">
        <f t="shared" si="13"/>
        <v>0</v>
      </c>
      <c r="AK107">
        <f t="shared" si="14"/>
        <v>2</v>
      </c>
      <c r="AL107">
        <v>10.220000000000001</v>
      </c>
      <c r="AM107" t="s">
        <v>27</v>
      </c>
      <c r="AN107">
        <v>10.220000000000001</v>
      </c>
      <c r="AO107" t="b">
        <f t="shared" si="15"/>
        <v>1</v>
      </c>
      <c r="AR107" t="s">
        <v>5061</v>
      </c>
      <c r="AS107" s="21">
        <v>46276</v>
      </c>
      <c r="AT107" t="s">
        <v>5062</v>
      </c>
      <c r="AU107" t="s">
        <v>5068</v>
      </c>
      <c r="AV107" t="s">
        <v>5062</v>
      </c>
      <c r="AW107" t="s">
        <v>5086</v>
      </c>
    </row>
    <row r="108" spans="1:49" hidden="1" x14ac:dyDescent="0.35">
      <c r="A108" t="s">
        <v>871</v>
      </c>
      <c r="B108" t="s">
        <v>872</v>
      </c>
      <c r="C108" t="s">
        <v>4818</v>
      </c>
      <c r="D108" t="s">
        <v>18</v>
      </c>
      <c r="E108" t="s">
        <v>893</v>
      </c>
      <c r="F108" t="s">
        <v>894</v>
      </c>
      <c r="G108" t="s">
        <v>21</v>
      </c>
      <c r="H108" t="s">
        <v>4888</v>
      </c>
      <c r="I108" t="s">
        <v>4893</v>
      </c>
      <c r="J108" s="4" t="s">
        <v>4894</v>
      </c>
      <c r="K108" s="4" t="s">
        <v>4837</v>
      </c>
      <c r="L108" s="4" t="s">
        <v>4898</v>
      </c>
      <c r="M108" s="4" t="s">
        <v>5035</v>
      </c>
      <c r="N108" t="s">
        <v>895</v>
      </c>
      <c r="O108" t="s">
        <v>896</v>
      </c>
      <c r="P108" t="s">
        <v>23</v>
      </c>
      <c r="Q108" t="s">
        <v>24</v>
      </c>
      <c r="R108" t="s">
        <v>25</v>
      </c>
      <c r="S108" t="s">
        <v>26</v>
      </c>
      <c r="T108" s="6">
        <v>46307</v>
      </c>
      <c r="U108">
        <v>96</v>
      </c>
      <c r="V108">
        <v>96</v>
      </c>
      <c r="W108">
        <v>84</v>
      </c>
      <c r="X108">
        <v>84</v>
      </c>
      <c r="Y108">
        <f t="shared" si="9"/>
        <v>0</v>
      </c>
      <c r="Z108">
        <f t="shared" si="10"/>
        <v>12</v>
      </c>
      <c r="AA108">
        <f>Z108</f>
        <v>12</v>
      </c>
      <c r="AC108" s="1">
        <v>0</v>
      </c>
      <c r="AF108">
        <f>X108</f>
        <v>84</v>
      </c>
      <c r="AG108" s="41">
        <v>12</v>
      </c>
      <c r="AH108">
        <f t="shared" si="12"/>
        <v>84</v>
      </c>
      <c r="AI108">
        <f t="shared" si="13"/>
        <v>12</v>
      </c>
      <c r="AK108">
        <f t="shared" si="14"/>
        <v>7</v>
      </c>
      <c r="AL108">
        <v>10.06</v>
      </c>
      <c r="AM108" t="s">
        <v>27</v>
      </c>
      <c r="AN108">
        <v>10.06</v>
      </c>
      <c r="AO108" t="b">
        <f t="shared" si="15"/>
        <v>1</v>
      </c>
      <c r="AR108" t="s">
        <v>5061</v>
      </c>
      <c r="AS108" s="21">
        <v>46276</v>
      </c>
      <c r="AT108" t="s">
        <v>5062</v>
      </c>
      <c r="AU108" t="s">
        <v>5068</v>
      </c>
      <c r="AV108" t="s">
        <v>5062</v>
      </c>
      <c r="AW108" t="s">
        <v>5086</v>
      </c>
    </row>
    <row r="109" spans="1:49" hidden="1" x14ac:dyDescent="0.35">
      <c r="A109" t="s">
        <v>871</v>
      </c>
      <c r="B109" t="s">
        <v>872</v>
      </c>
      <c r="C109" t="s">
        <v>4818</v>
      </c>
      <c r="D109" t="s">
        <v>18</v>
      </c>
      <c r="E109" t="s">
        <v>897</v>
      </c>
      <c r="F109" t="s">
        <v>898</v>
      </c>
      <c r="G109" t="s">
        <v>21</v>
      </c>
      <c r="H109" t="s">
        <v>4888</v>
      </c>
      <c r="I109" t="s">
        <v>4889</v>
      </c>
      <c r="J109" s="4" t="s">
        <v>4890</v>
      </c>
      <c r="K109" s="4" t="s">
        <v>4899</v>
      </c>
      <c r="L109" s="4" t="s">
        <v>4900</v>
      </c>
      <c r="M109" s="4" t="s">
        <v>5035</v>
      </c>
      <c r="N109" t="s">
        <v>899</v>
      </c>
      <c r="O109" t="s">
        <v>900</v>
      </c>
      <c r="P109" t="s">
        <v>23</v>
      </c>
      <c r="Q109" t="s">
        <v>24</v>
      </c>
      <c r="R109" t="s">
        <v>25</v>
      </c>
      <c r="S109" t="s">
        <v>26</v>
      </c>
      <c r="T109" s="6">
        <v>46307</v>
      </c>
      <c r="U109">
        <v>48</v>
      </c>
      <c r="V109">
        <v>48</v>
      </c>
      <c r="W109">
        <v>48</v>
      </c>
      <c r="X109">
        <v>48</v>
      </c>
      <c r="Y109">
        <f t="shared" si="9"/>
        <v>0</v>
      </c>
      <c r="Z109">
        <f t="shared" si="10"/>
        <v>0</v>
      </c>
      <c r="AC109" s="1">
        <v>0</v>
      </c>
      <c r="AF109">
        <f>V109</f>
        <v>48</v>
      </c>
      <c r="AG109" s="41">
        <v>12</v>
      </c>
      <c r="AH109">
        <f t="shared" si="12"/>
        <v>48</v>
      </c>
      <c r="AI109">
        <f t="shared" si="13"/>
        <v>0</v>
      </c>
      <c r="AK109">
        <f t="shared" si="14"/>
        <v>4</v>
      </c>
      <c r="AL109">
        <v>10.9</v>
      </c>
      <c r="AM109" t="s">
        <v>27</v>
      </c>
      <c r="AN109">
        <v>10.9</v>
      </c>
      <c r="AO109" t="b">
        <f t="shared" si="15"/>
        <v>1</v>
      </c>
      <c r="AR109" t="s">
        <v>5061</v>
      </c>
      <c r="AS109" s="21">
        <v>46276</v>
      </c>
      <c r="AT109" t="s">
        <v>5062</v>
      </c>
      <c r="AU109" t="s">
        <v>5067</v>
      </c>
      <c r="AV109" t="s">
        <v>5062</v>
      </c>
      <c r="AW109" t="s">
        <v>5086</v>
      </c>
    </row>
    <row r="110" spans="1:49" hidden="1" x14ac:dyDescent="0.35">
      <c r="A110" t="s">
        <v>871</v>
      </c>
      <c r="B110" t="s">
        <v>872</v>
      </c>
      <c r="C110" t="s">
        <v>4818</v>
      </c>
      <c r="D110" t="s">
        <v>18</v>
      </c>
      <c r="E110" t="s">
        <v>901</v>
      </c>
      <c r="F110" t="s">
        <v>902</v>
      </c>
      <c r="G110" t="s">
        <v>21</v>
      </c>
      <c r="H110" t="s">
        <v>4888</v>
      </c>
      <c r="I110" t="s">
        <v>4893</v>
      </c>
      <c r="J110" s="4" t="s">
        <v>4894</v>
      </c>
      <c r="K110" s="4" t="s">
        <v>4837</v>
      </c>
      <c r="L110" s="4" t="s">
        <v>4877</v>
      </c>
      <c r="M110" s="4" t="s">
        <v>5035</v>
      </c>
      <c r="N110" t="s">
        <v>903</v>
      </c>
      <c r="O110" t="s">
        <v>904</v>
      </c>
      <c r="P110" t="s">
        <v>23</v>
      </c>
      <c r="Q110" t="s">
        <v>24</v>
      </c>
      <c r="R110" t="s">
        <v>25</v>
      </c>
      <c r="S110" t="s">
        <v>26</v>
      </c>
      <c r="T110" s="6">
        <v>46307</v>
      </c>
      <c r="U110">
        <v>120</v>
      </c>
      <c r="V110">
        <v>120</v>
      </c>
      <c r="W110">
        <v>108</v>
      </c>
      <c r="X110">
        <v>108</v>
      </c>
      <c r="Y110">
        <f t="shared" si="9"/>
        <v>0</v>
      </c>
      <c r="Z110">
        <f t="shared" si="10"/>
        <v>12</v>
      </c>
      <c r="AA110">
        <f>Z110</f>
        <v>12</v>
      </c>
      <c r="AC110" s="1">
        <v>0</v>
      </c>
      <c r="AF110">
        <f>X110</f>
        <v>108</v>
      </c>
      <c r="AG110" s="41">
        <v>12</v>
      </c>
      <c r="AH110">
        <f t="shared" si="12"/>
        <v>108</v>
      </c>
      <c r="AI110">
        <f t="shared" si="13"/>
        <v>12</v>
      </c>
      <c r="AK110">
        <f t="shared" si="14"/>
        <v>9</v>
      </c>
      <c r="AL110">
        <v>10.06</v>
      </c>
      <c r="AM110" t="s">
        <v>27</v>
      </c>
      <c r="AN110">
        <v>10.06</v>
      </c>
      <c r="AO110" t="b">
        <f t="shared" si="15"/>
        <v>1</v>
      </c>
      <c r="AR110" t="s">
        <v>5061</v>
      </c>
      <c r="AS110" s="21">
        <v>46276</v>
      </c>
      <c r="AT110" t="s">
        <v>5062</v>
      </c>
      <c r="AU110" t="s">
        <v>5068</v>
      </c>
      <c r="AV110" t="s">
        <v>5062</v>
      </c>
      <c r="AW110" t="s">
        <v>5086</v>
      </c>
    </row>
    <row r="111" spans="1:49" hidden="1" x14ac:dyDescent="0.35">
      <c r="A111" t="s">
        <v>871</v>
      </c>
      <c r="B111" t="s">
        <v>872</v>
      </c>
      <c r="C111" t="s">
        <v>4818</v>
      </c>
      <c r="D111" t="s">
        <v>18</v>
      </c>
      <c r="E111" t="s">
        <v>905</v>
      </c>
      <c r="F111" t="s">
        <v>906</v>
      </c>
      <c r="G111" t="s">
        <v>21</v>
      </c>
      <c r="H111" t="s">
        <v>4888</v>
      </c>
      <c r="I111" t="s">
        <v>4893</v>
      </c>
      <c r="J111" s="4" t="s">
        <v>4894</v>
      </c>
      <c r="K111" s="4" t="s">
        <v>4837</v>
      </c>
      <c r="L111" s="4" t="s">
        <v>4901</v>
      </c>
      <c r="M111" s="4" t="s">
        <v>5035</v>
      </c>
      <c r="N111" t="s">
        <v>907</v>
      </c>
      <c r="O111" t="s">
        <v>908</v>
      </c>
      <c r="P111" t="s">
        <v>23</v>
      </c>
      <c r="Q111" t="s">
        <v>24</v>
      </c>
      <c r="R111" t="s">
        <v>25</v>
      </c>
      <c r="S111" t="s">
        <v>26</v>
      </c>
      <c r="T111" s="6">
        <v>46307</v>
      </c>
      <c r="U111">
        <v>24</v>
      </c>
      <c r="V111">
        <v>24</v>
      </c>
      <c r="W111">
        <v>24</v>
      </c>
      <c r="X111">
        <v>24</v>
      </c>
      <c r="Y111">
        <f t="shared" si="9"/>
        <v>0</v>
      </c>
      <c r="Z111">
        <f t="shared" si="10"/>
        <v>0</v>
      </c>
      <c r="AC111" s="1">
        <v>0</v>
      </c>
      <c r="AF111">
        <f>V111</f>
        <v>24</v>
      </c>
      <c r="AG111" s="41">
        <v>12</v>
      </c>
      <c r="AH111">
        <f t="shared" si="12"/>
        <v>24</v>
      </c>
      <c r="AI111">
        <f t="shared" si="13"/>
        <v>0</v>
      </c>
      <c r="AK111">
        <f t="shared" si="14"/>
        <v>2</v>
      </c>
      <c r="AL111">
        <v>10.06</v>
      </c>
      <c r="AM111" t="s">
        <v>27</v>
      </c>
      <c r="AN111">
        <v>10.06</v>
      </c>
      <c r="AO111" t="b">
        <f t="shared" si="15"/>
        <v>1</v>
      </c>
      <c r="AR111" t="s">
        <v>5061</v>
      </c>
      <c r="AS111" s="21">
        <v>46276</v>
      </c>
      <c r="AT111" t="s">
        <v>5062</v>
      </c>
      <c r="AU111" t="s">
        <v>5068</v>
      </c>
      <c r="AV111" t="s">
        <v>5062</v>
      </c>
      <c r="AW111" t="s">
        <v>5086</v>
      </c>
    </row>
    <row r="112" spans="1:49" hidden="1" x14ac:dyDescent="0.35">
      <c r="A112" t="s">
        <v>871</v>
      </c>
      <c r="B112" t="s">
        <v>872</v>
      </c>
      <c r="C112" t="s">
        <v>4818</v>
      </c>
      <c r="D112" t="s">
        <v>18</v>
      </c>
      <c r="E112" t="s">
        <v>909</v>
      </c>
      <c r="F112" t="s">
        <v>910</v>
      </c>
      <c r="G112" t="s">
        <v>21</v>
      </c>
      <c r="H112" t="s">
        <v>4888</v>
      </c>
      <c r="I112" t="s">
        <v>4902</v>
      </c>
      <c r="J112" s="4" t="s">
        <v>4903</v>
      </c>
      <c r="K112" s="4" t="s">
        <v>4899</v>
      </c>
      <c r="L112" s="4" t="s">
        <v>4853</v>
      </c>
      <c r="M112" s="4" t="s">
        <v>5035</v>
      </c>
      <c r="N112" t="s">
        <v>911</v>
      </c>
      <c r="O112" t="s">
        <v>912</v>
      </c>
      <c r="P112" t="s">
        <v>23</v>
      </c>
      <c r="Q112" t="s">
        <v>24</v>
      </c>
      <c r="R112" t="s">
        <v>25</v>
      </c>
      <c r="S112" t="s">
        <v>26</v>
      </c>
      <c r="T112" s="6">
        <v>46307</v>
      </c>
      <c r="U112">
        <v>204</v>
      </c>
      <c r="V112">
        <v>204</v>
      </c>
      <c r="W112">
        <v>216</v>
      </c>
      <c r="X112">
        <v>216</v>
      </c>
      <c r="Y112">
        <f t="shared" si="9"/>
        <v>0</v>
      </c>
      <c r="Z112">
        <f t="shared" si="10"/>
        <v>-12</v>
      </c>
      <c r="AC112" s="1"/>
      <c r="AF112">
        <f>V112</f>
        <v>204</v>
      </c>
      <c r="AG112" s="41">
        <v>12</v>
      </c>
      <c r="AH112">
        <f t="shared" si="12"/>
        <v>204</v>
      </c>
      <c r="AI112">
        <f t="shared" si="13"/>
        <v>0</v>
      </c>
      <c r="AK112">
        <f t="shared" si="14"/>
        <v>17</v>
      </c>
      <c r="AL112">
        <v>10.49</v>
      </c>
      <c r="AM112" t="s">
        <v>27</v>
      </c>
      <c r="AN112">
        <v>10.49</v>
      </c>
      <c r="AO112" t="b">
        <f t="shared" si="15"/>
        <v>1</v>
      </c>
      <c r="AR112" t="s">
        <v>5061</v>
      </c>
      <c r="AS112" s="21">
        <v>46276</v>
      </c>
      <c r="AT112" t="s">
        <v>5062</v>
      </c>
      <c r="AU112" t="s">
        <v>5069</v>
      </c>
      <c r="AV112" t="s">
        <v>5062</v>
      </c>
      <c r="AW112" t="s">
        <v>5086</v>
      </c>
    </row>
    <row r="113" spans="1:49" hidden="1" x14ac:dyDescent="0.35">
      <c r="A113" t="s">
        <v>871</v>
      </c>
      <c r="B113" t="s">
        <v>872</v>
      </c>
      <c r="C113" t="s">
        <v>4818</v>
      </c>
      <c r="D113" t="s">
        <v>18</v>
      </c>
      <c r="E113" t="s">
        <v>913</v>
      </c>
      <c r="F113" t="s">
        <v>914</v>
      </c>
      <c r="G113" t="s">
        <v>21</v>
      </c>
      <c r="H113" t="s">
        <v>4888</v>
      </c>
      <c r="I113" t="s">
        <v>4902</v>
      </c>
      <c r="J113" s="4" t="s">
        <v>4903</v>
      </c>
      <c r="K113" s="4" t="s">
        <v>4899</v>
      </c>
      <c r="L113" s="4" t="s">
        <v>4879</v>
      </c>
      <c r="M113" s="4" t="s">
        <v>5035</v>
      </c>
      <c r="N113" t="s">
        <v>915</v>
      </c>
      <c r="O113" t="s">
        <v>916</v>
      </c>
      <c r="P113" t="s">
        <v>23</v>
      </c>
      <c r="Q113" t="s">
        <v>24</v>
      </c>
      <c r="R113" t="s">
        <v>25</v>
      </c>
      <c r="S113" t="s">
        <v>26</v>
      </c>
      <c r="T113" s="6">
        <v>46307</v>
      </c>
      <c r="U113">
        <v>108</v>
      </c>
      <c r="V113">
        <v>108</v>
      </c>
      <c r="W113">
        <v>96</v>
      </c>
      <c r="X113">
        <v>96</v>
      </c>
      <c r="Y113">
        <f t="shared" si="9"/>
        <v>0</v>
      </c>
      <c r="Z113">
        <f t="shared" si="10"/>
        <v>12</v>
      </c>
      <c r="AA113">
        <f t="shared" ref="AA113:AA114" si="18">Z113</f>
        <v>12</v>
      </c>
      <c r="AC113" s="1">
        <v>0</v>
      </c>
      <c r="AF113">
        <f>X113</f>
        <v>96</v>
      </c>
      <c r="AG113" s="41">
        <v>12</v>
      </c>
      <c r="AH113">
        <f t="shared" si="12"/>
        <v>96</v>
      </c>
      <c r="AI113">
        <f t="shared" si="13"/>
        <v>12</v>
      </c>
      <c r="AK113">
        <f t="shared" si="14"/>
        <v>8</v>
      </c>
      <c r="AL113">
        <v>10.49</v>
      </c>
      <c r="AM113" t="s">
        <v>27</v>
      </c>
      <c r="AN113">
        <v>10.49</v>
      </c>
      <c r="AO113" t="b">
        <f t="shared" si="15"/>
        <v>1</v>
      </c>
      <c r="AR113" t="s">
        <v>5061</v>
      </c>
      <c r="AS113" s="21">
        <v>46276</v>
      </c>
      <c r="AT113" t="s">
        <v>5062</v>
      </c>
      <c r="AU113" t="s">
        <v>5069</v>
      </c>
      <c r="AV113" t="s">
        <v>5062</v>
      </c>
      <c r="AW113" t="s">
        <v>5086</v>
      </c>
    </row>
    <row r="114" spans="1:49" hidden="1" x14ac:dyDescent="0.35">
      <c r="A114" t="s">
        <v>871</v>
      </c>
      <c r="B114" t="s">
        <v>872</v>
      </c>
      <c r="C114" t="s">
        <v>4818</v>
      </c>
      <c r="D114" t="s">
        <v>18</v>
      </c>
      <c r="E114" t="s">
        <v>917</v>
      </c>
      <c r="F114" t="s">
        <v>918</v>
      </c>
      <c r="G114" t="s">
        <v>21</v>
      </c>
      <c r="H114" t="s">
        <v>4888</v>
      </c>
      <c r="I114" t="s">
        <v>4893</v>
      </c>
      <c r="J114" s="4" t="s">
        <v>4894</v>
      </c>
      <c r="K114" s="4" t="s">
        <v>4904</v>
      </c>
      <c r="L114" s="4" t="s">
        <v>4871</v>
      </c>
      <c r="M114" s="4" t="s">
        <v>5035</v>
      </c>
      <c r="N114" t="s">
        <v>919</v>
      </c>
      <c r="O114" t="s">
        <v>920</v>
      </c>
      <c r="P114" t="s">
        <v>23</v>
      </c>
      <c r="Q114" t="s">
        <v>24</v>
      </c>
      <c r="R114" t="s">
        <v>25</v>
      </c>
      <c r="S114" t="s">
        <v>26</v>
      </c>
      <c r="T114" s="6">
        <v>46307</v>
      </c>
      <c r="U114">
        <v>36</v>
      </c>
      <c r="V114">
        <v>36</v>
      </c>
      <c r="W114">
        <v>24</v>
      </c>
      <c r="X114">
        <v>24</v>
      </c>
      <c r="Y114">
        <f t="shared" si="9"/>
        <v>0</v>
      </c>
      <c r="Z114">
        <f t="shared" si="10"/>
        <v>12</v>
      </c>
      <c r="AA114">
        <f t="shared" si="18"/>
        <v>12</v>
      </c>
      <c r="AC114" s="1">
        <v>0</v>
      </c>
      <c r="AF114">
        <f>X114</f>
        <v>24</v>
      </c>
      <c r="AG114" s="41">
        <v>12</v>
      </c>
      <c r="AH114">
        <f t="shared" si="12"/>
        <v>24</v>
      </c>
      <c r="AI114">
        <f t="shared" si="13"/>
        <v>12</v>
      </c>
      <c r="AK114">
        <f t="shared" si="14"/>
        <v>2</v>
      </c>
      <c r="AL114">
        <v>10.16</v>
      </c>
      <c r="AM114" t="s">
        <v>27</v>
      </c>
      <c r="AN114">
        <v>10.16</v>
      </c>
      <c r="AO114" t="b">
        <f t="shared" si="15"/>
        <v>1</v>
      </c>
      <c r="AR114" t="s">
        <v>5061</v>
      </c>
      <c r="AS114" s="21">
        <v>46276</v>
      </c>
      <c r="AT114" t="s">
        <v>5062</v>
      </c>
      <c r="AU114" t="s">
        <v>5068</v>
      </c>
      <c r="AV114" t="s">
        <v>5062</v>
      </c>
      <c r="AW114" t="s">
        <v>5086</v>
      </c>
    </row>
    <row r="115" spans="1:49" hidden="1" x14ac:dyDescent="0.35">
      <c r="A115" t="s">
        <v>871</v>
      </c>
      <c r="B115" t="s">
        <v>872</v>
      </c>
      <c r="C115" t="s">
        <v>4818</v>
      </c>
      <c r="D115" t="s">
        <v>18</v>
      </c>
      <c r="E115" t="s">
        <v>921</v>
      </c>
      <c r="F115" t="s">
        <v>922</v>
      </c>
      <c r="G115" t="s">
        <v>21</v>
      </c>
      <c r="H115" t="s">
        <v>4888</v>
      </c>
      <c r="I115" t="s">
        <v>4893</v>
      </c>
      <c r="J115" s="4" t="s">
        <v>4894</v>
      </c>
      <c r="K115" s="4" t="s">
        <v>4837</v>
      </c>
      <c r="L115" s="4" t="s">
        <v>4905</v>
      </c>
      <c r="M115" s="4" t="s">
        <v>5035</v>
      </c>
      <c r="N115" t="s">
        <v>923</v>
      </c>
      <c r="O115" t="s">
        <v>924</v>
      </c>
      <c r="P115" t="s">
        <v>23</v>
      </c>
      <c r="Q115" t="s">
        <v>24</v>
      </c>
      <c r="R115" t="s">
        <v>25</v>
      </c>
      <c r="S115" t="s">
        <v>26</v>
      </c>
      <c r="T115" s="6">
        <v>46307</v>
      </c>
      <c r="U115">
        <v>24</v>
      </c>
      <c r="V115">
        <v>24</v>
      </c>
      <c r="W115">
        <v>24</v>
      </c>
      <c r="X115">
        <v>24</v>
      </c>
      <c r="Y115">
        <f t="shared" si="9"/>
        <v>0</v>
      </c>
      <c r="Z115">
        <f t="shared" si="10"/>
        <v>0</v>
      </c>
      <c r="AC115" s="1">
        <v>0</v>
      </c>
      <c r="AF115">
        <f>V115</f>
        <v>24</v>
      </c>
      <c r="AG115" s="41">
        <v>12</v>
      </c>
      <c r="AH115">
        <f t="shared" si="12"/>
        <v>24</v>
      </c>
      <c r="AI115">
        <f t="shared" si="13"/>
        <v>0</v>
      </c>
      <c r="AK115">
        <f t="shared" si="14"/>
        <v>2</v>
      </c>
      <c r="AL115">
        <v>10.06</v>
      </c>
      <c r="AM115" t="s">
        <v>27</v>
      </c>
      <c r="AN115">
        <v>10.06</v>
      </c>
      <c r="AO115" t="b">
        <f t="shared" si="15"/>
        <v>1</v>
      </c>
      <c r="AR115" t="s">
        <v>5061</v>
      </c>
      <c r="AS115" s="21">
        <v>46276</v>
      </c>
      <c r="AT115" t="s">
        <v>5062</v>
      </c>
      <c r="AU115" t="s">
        <v>5068</v>
      </c>
      <c r="AV115" t="s">
        <v>5062</v>
      </c>
      <c r="AW115" t="s">
        <v>5086</v>
      </c>
    </row>
    <row r="116" spans="1:49" hidden="1" x14ac:dyDescent="0.35">
      <c r="A116" t="s">
        <v>871</v>
      </c>
      <c r="B116" t="s">
        <v>872</v>
      </c>
      <c r="C116" t="s">
        <v>4818</v>
      </c>
      <c r="D116" t="s">
        <v>18</v>
      </c>
      <c r="E116" t="s">
        <v>925</v>
      </c>
      <c r="F116" t="s">
        <v>926</v>
      </c>
      <c r="G116" t="s">
        <v>21</v>
      </c>
      <c r="H116" t="s">
        <v>4888</v>
      </c>
      <c r="I116" t="s">
        <v>4906</v>
      </c>
      <c r="J116" s="4" t="s">
        <v>4907</v>
      </c>
      <c r="K116" s="4" t="s">
        <v>4908</v>
      </c>
      <c r="L116" s="4" t="s">
        <v>4851</v>
      </c>
      <c r="M116" s="4" t="s">
        <v>5035</v>
      </c>
      <c r="N116" t="s">
        <v>927</v>
      </c>
      <c r="O116" t="s">
        <v>928</v>
      </c>
      <c r="P116" t="s">
        <v>23</v>
      </c>
      <c r="Q116" t="s">
        <v>24</v>
      </c>
      <c r="R116" t="s">
        <v>25</v>
      </c>
      <c r="S116" t="s">
        <v>26</v>
      </c>
      <c r="T116" s="6">
        <v>46307</v>
      </c>
      <c r="U116">
        <v>132</v>
      </c>
      <c r="V116">
        <v>132</v>
      </c>
      <c r="W116">
        <v>144</v>
      </c>
      <c r="X116">
        <v>144</v>
      </c>
      <c r="Y116">
        <f t="shared" si="9"/>
        <v>0</v>
      </c>
      <c r="Z116">
        <f t="shared" si="10"/>
        <v>-12</v>
      </c>
      <c r="AC116" s="1">
        <v>0</v>
      </c>
      <c r="AF116">
        <f>V116</f>
        <v>132</v>
      </c>
      <c r="AG116" s="41">
        <v>12</v>
      </c>
      <c r="AH116">
        <f t="shared" si="12"/>
        <v>132</v>
      </c>
      <c r="AI116">
        <f t="shared" si="13"/>
        <v>0</v>
      </c>
      <c r="AK116">
        <f t="shared" si="14"/>
        <v>11</v>
      </c>
      <c r="AL116">
        <v>10.19</v>
      </c>
      <c r="AM116" t="s">
        <v>27</v>
      </c>
      <c r="AN116">
        <v>10.19</v>
      </c>
      <c r="AO116" t="b">
        <f t="shared" si="15"/>
        <v>1</v>
      </c>
      <c r="AR116" t="s">
        <v>5061</v>
      </c>
      <c r="AS116" s="21">
        <v>46276</v>
      </c>
      <c r="AT116" t="s">
        <v>5062</v>
      </c>
      <c r="AU116" t="s">
        <v>5070</v>
      </c>
      <c r="AV116" t="s">
        <v>5062</v>
      </c>
      <c r="AW116" t="s">
        <v>5086</v>
      </c>
    </row>
    <row r="117" spans="1:49" hidden="1" x14ac:dyDescent="0.35">
      <c r="A117" t="s">
        <v>871</v>
      </c>
      <c r="B117" t="s">
        <v>872</v>
      </c>
      <c r="C117" t="s">
        <v>4818</v>
      </c>
      <c r="D117" t="s">
        <v>18</v>
      </c>
      <c r="E117" t="s">
        <v>929</v>
      </c>
      <c r="F117" t="s">
        <v>930</v>
      </c>
      <c r="G117" t="s">
        <v>21</v>
      </c>
      <c r="H117" t="s">
        <v>4888</v>
      </c>
      <c r="I117" t="s">
        <v>4893</v>
      </c>
      <c r="J117" s="4" t="s">
        <v>4894</v>
      </c>
      <c r="K117" s="4" t="s">
        <v>4837</v>
      </c>
      <c r="L117" s="4" t="s">
        <v>4909</v>
      </c>
      <c r="M117" s="4" t="s">
        <v>5035</v>
      </c>
      <c r="N117" t="s">
        <v>931</v>
      </c>
      <c r="O117" t="s">
        <v>932</v>
      </c>
      <c r="P117" t="s">
        <v>23</v>
      </c>
      <c r="Q117" t="s">
        <v>24</v>
      </c>
      <c r="R117" t="s">
        <v>25</v>
      </c>
      <c r="S117" t="s">
        <v>26</v>
      </c>
      <c r="T117" s="6">
        <v>46307</v>
      </c>
      <c r="U117">
        <v>108</v>
      </c>
      <c r="V117">
        <v>108</v>
      </c>
      <c r="W117">
        <v>120</v>
      </c>
      <c r="X117">
        <v>120</v>
      </c>
      <c r="Y117">
        <f t="shared" si="9"/>
        <v>0</v>
      </c>
      <c r="Z117">
        <f t="shared" si="10"/>
        <v>-12</v>
      </c>
      <c r="AC117" s="1">
        <v>0</v>
      </c>
      <c r="AF117">
        <f>V117</f>
        <v>108</v>
      </c>
      <c r="AG117" s="41">
        <v>12</v>
      </c>
      <c r="AH117">
        <f t="shared" si="12"/>
        <v>108</v>
      </c>
      <c r="AI117">
        <f t="shared" si="13"/>
        <v>0</v>
      </c>
      <c r="AK117">
        <f t="shared" si="14"/>
        <v>9</v>
      </c>
      <c r="AL117">
        <v>10.06</v>
      </c>
      <c r="AM117" t="s">
        <v>27</v>
      </c>
      <c r="AN117">
        <v>10.06</v>
      </c>
      <c r="AO117" t="b">
        <f t="shared" si="15"/>
        <v>1</v>
      </c>
      <c r="AR117" t="s">
        <v>5061</v>
      </c>
      <c r="AS117" s="21">
        <v>46276</v>
      </c>
      <c r="AT117" t="s">
        <v>5062</v>
      </c>
      <c r="AU117" t="s">
        <v>5068</v>
      </c>
      <c r="AV117" t="s">
        <v>5062</v>
      </c>
      <c r="AW117" t="s">
        <v>5086</v>
      </c>
    </row>
    <row r="118" spans="1:49" hidden="1" x14ac:dyDescent="0.35">
      <c r="A118" t="s">
        <v>871</v>
      </c>
      <c r="B118" t="s">
        <v>872</v>
      </c>
      <c r="C118" t="s">
        <v>4818</v>
      </c>
      <c r="D118" t="s">
        <v>18</v>
      </c>
      <c r="E118" t="s">
        <v>933</v>
      </c>
      <c r="F118" t="s">
        <v>934</v>
      </c>
      <c r="G118" t="s">
        <v>21</v>
      </c>
      <c r="H118" t="s">
        <v>4888</v>
      </c>
      <c r="I118" t="s">
        <v>4906</v>
      </c>
      <c r="J118" s="4" t="s">
        <v>4907</v>
      </c>
      <c r="K118" s="4" t="s">
        <v>4908</v>
      </c>
      <c r="L118" s="4" t="s">
        <v>4910</v>
      </c>
      <c r="M118" s="4" t="s">
        <v>5035</v>
      </c>
      <c r="N118" t="s">
        <v>935</v>
      </c>
      <c r="O118" t="s">
        <v>936</v>
      </c>
      <c r="P118" t="s">
        <v>23</v>
      </c>
      <c r="Q118" t="s">
        <v>24</v>
      </c>
      <c r="R118" t="s">
        <v>25</v>
      </c>
      <c r="S118" t="s">
        <v>26</v>
      </c>
      <c r="T118" s="6">
        <v>46307</v>
      </c>
      <c r="U118">
        <v>36</v>
      </c>
      <c r="V118">
        <v>36</v>
      </c>
      <c r="W118">
        <v>36</v>
      </c>
      <c r="X118">
        <v>36</v>
      </c>
      <c r="Y118">
        <f t="shared" si="9"/>
        <v>0</v>
      </c>
      <c r="Z118">
        <f t="shared" si="10"/>
        <v>0</v>
      </c>
      <c r="AC118" s="1"/>
      <c r="AF118">
        <f>V118</f>
        <v>36</v>
      </c>
      <c r="AG118" s="41">
        <v>12</v>
      </c>
      <c r="AH118">
        <f t="shared" si="12"/>
        <v>36</v>
      </c>
      <c r="AI118">
        <f t="shared" si="13"/>
        <v>0</v>
      </c>
      <c r="AK118">
        <f t="shared" si="14"/>
        <v>3</v>
      </c>
      <c r="AL118">
        <v>10.19</v>
      </c>
      <c r="AM118" t="s">
        <v>27</v>
      </c>
      <c r="AN118">
        <v>10.19</v>
      </c>
      <c r="AO118" t="b">
        <f t="shared" si="15"/>
        <v>1</v>
      </c>
      <c r="AR118" t="s">
        <v>5061</v>
      </c>
      <c r="AS118" s="21">
        <v>46276</v>
      </c>
      <c r="AT118" t="s">
        <v>5062</v>
      </c>
      <c r="AU118" t="s">
        <v>5070</v>
      </c>
      <c r="AV118" t="s">
        <v>5062</v>
      </c>
      <c r="AW118" t="s">
        <v>5086</v>
      </c>
    </row>
    <row r="119" spans="1:49" hidden="1" x14ac:dyDescent="0.35">
      <c r="A119" t="s">
        <v>871</v>
      </c>
      <c r="B119" t="s">
        <v>872</v>
      </c>
      <c r="C119" t="s">
        <v>4818</v>
      </c>
      <c r="D119" t="s">
        <v>18</v>
      </c>
      <c r="E119" t="s">
        <v>937</v>
      </c>
      <c r="F119" t="s">
        <v>938</v>
      </c>
      <c r="G119" t="s">
        <v>21</v>
      </c>
      <c r="H119" t="s">
        <v>4888</v>
      </c>
      <c r="I119" t="s">
        <v>4893</v>
      </c>
      <c r="J119" s="4" t="s">
        <v>4894</v>
      </c>
      <c r="K119" s="4" t="s">
        <v>4837</v>
      </c>
      <c r="L119" s="4" t="s">
        <v>4871</v>
      </c>
      <c r="M119" s="4" t="s">
        <v>5035</v>
      </c>
      <c r="N119" t="s">
        <v>939</v>
      </c>
      <c r="O119" t="s">
        <v>940</v>
      </c>
      <c r="P119" t="s">
        <v>23</v>
      </c>
      <c r="Q119" t="s">
        <v>24</v>
      </c>
      <c r="R119" t="s">
        <v>25</v>
      </c>
      <c r="S119" t="s">
        <v>26</v>
      </c>
      <c r="T119" s="6">
        <v>46307</v>
      </c>
      <c r="U119">
        <v>312</v>
      </c>
      <c r="V119">
        <v>312</v>
      </c>
      <c r="W119">
        <v>276</v>
      </c>
      <c r="X119">
        <v>276</v>
      </c>
      <c r="Y119">
        <f t="shared" si="9"/>
        <v>0</v>
      </c>
      <c r="Z119">
        <f t="shared" si="10"/>
        <v>36</v>
      </c>
      <c r="AA119">
        <f>Z119</f>
        <v>36</v>
      </c>
      <c r="AC119" s="1">
        <v>0</v>
      </c>
      <c r="AF119">
        <f>X119</f>
        <v>276</v>
      </c>
      <c r="AG119" s="41">
        <v>12</v>
      </c>
      <c r="AH119">
        <f t="shared" si="12"/>
        <v>276</v>
      </c>
      <c r="AI119">
        <f t="shared" si="13"/>
        <v>36</v>
      </c>
      <c r="AK119">
        <f t="shared" si="14"/>
        <v>23</v>
      </c>
      <c r="AL119">
        <v>10.06</v>
      </c>
      <c r="AM119" t="s">
        <v>27</v>
      </c>
      <c r="AN119">
        <v>10.06</v>
      </c>
      <c r="AO119" t="b">
        <f t="shared" si="15"/>
        <v>1</v>
      </c>
      <c r="AR119" t="s">
        <v>5061</v>
      </c>
      <c r="AS119" s="21">
        <v>46276</v>
      </c>
      <c r="AT119" t="s">
        <v>5062</v>
      </c>
      <c r="AU119" t="s">
        <v>5068</v>
      </c>
      <c r="AV119" t="s">
        <v>5062</v>
      </c>
      <c r="AW119" t="s">
        <v>5086</v>
      </c>
    </row>
    <row r="120" spans="1:49" hidden="1" x14ac:dyDescent="0.35">
      <c r="A120" t="s">
        <v>871</v>
      </c>
      <c r="B120" t="s">
        <v>872</v>
      </c>
      <c r="C120" t="s">
        <v>4818</v>
      </c>
      <c r="D120" t="s">
        <v>18</v>
      </c>
      <c r="E120" t="s">
        <v>941</v>
      </c>
      <c r="F120" t="s">
        <v>942</v>
      </c>
      <c r="G120" t="s">
        <v>21</v>
      </c>
      <c r="H120" t="s">
        <v>4888</v>
      </c>
      <c r="I120" t="s">
        <v>4889</v>
      </c>
      <c r="J120" s="4" t="s">
        <v>4890</v>
      </c>
      <c r="K120" s="4" t="s">
        <v>4911</v>
      </c>
      <c r="L120" s="4" t="s">
        <v>4912</v>
      </c>
      <c r="M120" s="4" t="s">
        <v>5035</v>
      </c>
      <c r="N120" t="s">
        <v>943</v>
      </c>
      <c r="O120" t="s">
        <v>944</v>
      </c>
      <c r="P120" t="s">
        <v>23</v>
      </c>
      <c r="Q120" t="s">
        <v>24</v>
      </c>
      <c r="R120" t="s">
        <v>25</v>
      </c>
      <c r="S120" t="s">
        <v>26</v>
      </c>
      <c r="T120" s="6">
        <v>46307</v>
      </c>
      <c r="U120">
        <v>48</v>
      </c>
      <c r="V120">
        <v>48</v>
      </c>
      <c r="W120">
        <v>48</v>
      </c>
      <c r="X120">
        <v>48</v>
      </c>
      <c r="Y120">
        <f t="shared" si="9"/>
        <v>0</v>
      </c>
      <c r="Z120">
        <f t="shared" si="10"/>
        <v>0</v>
      </c>
      <c r="AC120" s="1">
        <v>0</v>
      </c>
      <c r="AF120">
        <f>V120</f>
        <v>48</v>
      </c>
      <c r="AG120" s="41">
        <v>12</v>
      </c>
      <c r="AH120">
        <f t="shared" si="12"/>
        <v>48</v>
      </c>
      <c r="AI120">
        <f t="shared" si="13"/>
        <v>0</v>
      </c>
      <c r="AK120">
        <f t="shared" si="14"/>
        <v>4</v>
      </c>
      <c r="AL120">
        <v>11.87</v>
      </c>
      <c r="AM120" t="s">
        <v>27</v>
      </c>
      <c r="AN120">
        <v>11.87</v>
      </c>
      <c r="AO120" t="b">
        <f t="shared" si="15"/>
        <v>1</v>
      </c>
      <c r="AR120" t="s">
        <v>5061</v>
      </c>
      <c r="AS120" s="21">
        <v>46276</v>
      </c>
      <c r="AT120" t="s">
        <v>5062</v>
      </c>
      <c r="AU120" t="s">
        <v>5067</v>
      </c>
      <c r="AV120" t="s">
        <v>5062</v>
      </c>
      <c r="AW120" t="s">
        <v>5086</v>
      </c>
    </row>
    <row r="121" spans="1:49" hidden="1" x14ac:dyDescent="0.35">
      <c r="A121" t="s">
        <v>871</v>
      </c>
      <c r="B121" t="s">
        <v>872</v>
      </c>
      <c r="C121" t="s">
        <v>4818</v>
      </c>
      <c r="D121" t="s">
        <v>18</v>
      </c>
      <c r="E121" t="s">
        <v>945</v>
      </c>
      <c r="F121" t="s">
        <v>946</v>
      </c>
      <c r="G121" t="s">
        <v>21</v>
      </c>
      <c r="H121" t="s">
        <v>4888</v>
      </c>
      <c r="I121" t="s">
        <v>4893</v>
      </c>
      <c r="J121" s="4" t="s">
        <v>4894</v>
      </c>
      <c r="K121" s="4" t="s">
        <v>4913</v>
      </c>
      <c r="L121" s="4" t="s">
        <v>4879</v>
      </c>
      <c r="M121" s="4" t="s">
        <v>5035</v>
      </c>
      <c r="N121" t="s">
        <v>947</v>
      </c>
      <c r="O121" t="s">
        <v>948</v>
      </c>
      <c r="P121" t="s">
        <v>23</v>
      </c>
      <c r="Q121" t="s">
        <v>24</v>
      </c>
      <c r="R121" t="s">
        <v>25</v>
      </c>
      <c r="S121" t="s">
        <v>26</v>
      </c>
      <c r="T121" s="6">
        <v>46307</v>
      </c>
      <c r="U121">
        <v>24</v>
      </c>
      <c r="V121">
        <v>24</v>
      </c>
      <c r="W121">
        <v>24</v>
      </c>
      <c r="X121">
        <v>24</v>
      </c>
      <c r="Y121">
        <f t="shared" si="9"/>
        <v>0</v>
      </c>
      <c r="Z121">
        <f t="shared" si="10"/>
        <v>0</v>
      </c>
      <c r="AC121" s="1">
        <v>0</v>
      </c>
      <c r="AF121">
        <f>V121</f>
        <v>24</v>
      </c>
      <c r="AG121" s="41">
        <v>12</v>
      </c>
      <c r="AH121">
        <f t="shared" si="12"/>
        <v>24</v>
      </c>
      <c r="AI121">
        <f t="shared" si="13"/>
        <v>0</v>
      </c>
      <c r="AK121">
        <f t="shared" si="14"/>
        <v>2</v>
      </c>
      <c r="AL121">
        <v>9.9499999999999993</v>
      </c>
      <c r="AM121" t="s">
        <v>27</v>
      </c>
      <c r="AN121">
        <v>9.9499999999999993</v>
      </c>
      <c r="AO121" t="b">
        <f t="shared" si="15"/>
        <v>1</v>
      </c>
      <c r="AR121" t="s">
        <v>5061</v>
      </c>
      <c r="AS121" s="21">
        <v>46276</v>
      </c>
      <c r="AT121" t="s">
        <v>5062</v>
      </c>
      <c r="AU121" t="s">
        <v>5068</v>
      </c>
      <c r="AV121" t="s">
        <v>5062</v>
      </c>
      <c r="AW121" t="s">
        <v>5086</v>
      </c>
    </row>
    <row r="122" spans="1:49" hidden="1" x14ac:dyDescent="0.35">
      <c r="A122" t="s">
        <v>871</v>
      </c>
      <c r="B122" t="s">
        <v>872</v>
      </c>
      <c r="C122" t="s">
        <v>4818</v>
      </c>
      <c r="D122" t="s">
        <v>18</v>
      </c>
      <c r="E122" t="s">
        <v>949</v>
      </c>
      <c r="F122" t="s">
        <v>950</v>
      </c>
      <c r="G122" t="s">
        <v>21</v>
      </c>
      <c r="H122" t="s">
        <v>4888</v>
      </c>
      <c r="I122" t="s">
        <v>4893</v>
      </c>
      <c r="J122" s="4" t="s">
        <v>4894</v>
      </c>
      <c r="K122" s="4" t="s">
        <v>4837</v>
      </c>
      <c r="L122" s="4" t="s">
        <v>4914</v>
      </c>
      <c r="M122" s="4" t="s">
        <v>5035</v>
      </c>
      <c r="N122" t="s">
        <v>951</v>
      </c>
      <c r="O122" t="s">
        <v>952</v>
      </c>
      <c r="P122" t="s">
        <v>23</v>
      </c>
      <c r="Q122" t="s">
        <v>24</v>
      </c>
      <c r="R122" t="s">
        <v>25</v>
      </c>
      <c r="S122" t="s">
        <v>26</v>
      </c>
      <c r="T122" s="6">
        <v>46307</v>
      </c>
      <c r="U122">
        <v>156</v>
      </c>
      <c r="V122">
        <v>156</v>
      </c>
      <c r="W122">
        <v>168</v>
      </c>
      <c r="X122">
        <v>168</v>
      </c>
      <c r="Y122">
        <f t="shared" si="9"/>
        <v>0</v>
      </c>
      <c r="Z122">
        <f t="shared" si="10"/>
        <v>-12</v>
      </c>
      <c r="AC122" s="1"/>
      <c r="AF122">
        <f>V122</f>
        <v>156</v>
      </c>
      <c r="AG122" s="41">
        <v>12</v>
      </c>
      <c r="AH122">
        <f t="shared" si="12"/>
        <v>156</v>
      </c>
      <c r="AI122">
        <f t="shared" si="13"/>
        <v>0</v>
      </c>
      <c r="AK122">
        <f t="shared" si="14"/>
        <v>13</v>
      </c>
      <c r="AL122">
        <v>10.06</v>
      </c>
      <c r="AM122" t="s">
        <v>27</v>
      </c>
      <c r="AN122">
        <v>10.06</v>
      </c>
      <c r="AO122" t="b">
        <f t="shared" si="15"/>
        <v>1</v>
      </c>
      <c r="AR122" t="s">
        <v>5061</v>
      </c>
      <c r="AS122" s="21">
        <v>46276</v>
      </c>
      <c r="AT122" t="s">
        <v>5062</v>
      </c>
      <c r="AU122" t="s">
        <v>5068</v>
      </c>
      <c r="AV122" t="s">
        <v>5062</v>
      </c>
      <c r="AW122" t="s">
        <v>5086</v>
      </c>
    </row>
    <row r="123" spans="1:49" hidden="1" x14ac:dyDescent="0.35">
      <c r="A123" t="s">
        <v>871</v>
      </c>
      <c r="B123" t="s">
        <v>872</v>
      </c>
      <c r="C123" t="s">
        <v>4818</v>
      </c>
      <c r="D123" t="s">
        <v>18</v>
      </c>
      <c r="E123" t="s">
        <v>953</v>
      </c>
      <c r="F123" t="s">
        <v>954</v>
      </c>
      <c r="G123" t="s">
        <v>21</v>
      </c>
      <c r="H123" t="s">
        <v>4888</v>
      </c>
      <c r="I123" t="s">
        <v>4893</v>
      </c>
      <c r="J123" s="4" t="s">
        <v>4894</v>
      </c>
      <c r="K123" s="4" t="s">
        <v>4904</v>
      </c>
      <c r="L123" s="4" t="s">
        <v>4886</v>
      </c>
      <c r="M123" s="4" t="s">
        <v>5035</v>
      </c>
      <c r="N123" t="s">
        <v>955</v>
      </c>
      <c r="O123" t="s">
        <v>956</v>
      </c>
      <c r="P123" t="s">
        <v>23</v>
      </c>
      <c r="Q123" t="s">
        <v>24</v>
      </c>
      <c r="R123" t="s">
        <v>25</v>
      </c>
      <c r="S123" t="s">
        <v>26</v>
      </c>
      <c r="T123" s="6">
        <v>46307</v>
      </c>
      <c r="U123">
        <v>48</v>
      </c>
      <c r="V123">
        <v>48</v>
      </c>
      <c r="W123">
        <v>60</v>
      </c>
      <c r="X123">
        <v>60</v>
      </c>
      <c r="Y123">
        <f t="shared" si="9"/>
        <v>0</v>
      </c>
      <c r="Z123">
        <f t="shared" si="10"/>
        <v>-12</v>
      </c>
      <c r="AC123" s="1">
        <v>0</v>
      </c>
      <c r="AF123">
        <f>V123</f>
        <v>48</v>
      </c>
      <c r="AG123" s="41">
        <v>12</v>
      </c>
      <c r="AH123">
        <f t="shared" si="12"/>
        <v>48</v>
      </c>
      <c r="AI123">
        <f t="shared" si="13"/>
        <v>0</v>
      </c>
      <c r="AK123">
        <f t="shared" si="14"/>
        <v>4</v>
      </c>
      <c r="AL123">
        <v>10.16</v>
      </c>
      <c r="AM123" t="s">
        <v>27</v>
      </c>
      <c r="AN123">
        <v>10.16</v>
      </c>
      <c r="AO123" t="b">
        <f t="shared" si="15"/>
        <v>1</v>
      </c>
      <c r="AR123" t="s">
        <v>5061</v>
      </c>
      <c r="AS123" s="21">
        <v>46276</v>
      </c>
      <c r="AT123" t="s">
        <v>5062</v>
      </c>
      <c r="AU123" t="s">
        <v>5068</v>
      </c>
      <c r="AV123" t="s">
        <v>5062</v>
      </c>
      <c r="AW123" t="s">
        <v>5086</v>
      </c>
    </row>
    <row r="124" spans="1:49" hidden="1" x14ac:dyDescent="0.35">
      <c r="A124" t="s">
        <v>871</v>
      </c>
      <c r="B124" t="s">
        <v>872</v>
      </c>
      <c r="C124" t="s">
        <v>4818</v>
      </c>
      <c r="D124" t="s">
        <v>18</v>
      </c>
      <c r="E124" t="s">
        <v>957</v>
      </c>
      <c r="F124" t="s">
        <v>958</v>
      </c>
      <c r="G124" t="s">
        <v>21</v>
      </c>
      <c r="H124" t="s">
        <v>4888</v>
      </c>
      <c r="I124" t="s">
        <v>4902</v>
      </c>
      <c r="J124" s="4" t="s">
        <v>4903</v>
      </c>
      <c r="K124" s="4" t="s">
        <v>4899</v>
      </c>
      <c r="L124" s="4" t="s">
        <v>4867</v>
      </c>
      <c r="M124" s="4" t="s">
        <v>5035</v>
      </c>
      <c r="N124" t="s">
        <v>959</v>
      </c>
      <c r="O124" t="s">
        <v>960</v>
      </c>
      <c r="P124" t="s">
        <v>23</v>
      </c>
      <c r="Q124" t="s">
        <v>24</v>
      </c>
      <c r="R124" t="s">
        <v>25</v>
      </c>
      <c r="S124" t="s">
        <v>26</v>
      </c>
      <c r="T124" s="6">
        <v>46307</v>
      </c>
      <c r="U124">
        <v>60</v>
      </c>
      <c r="V124">
        <v>60</v>
      </c>
      <c r="W124">
        <v>48</v>
      </c>
      <c r="X124">
        <v>48</v>
      </c>
      <c r="Y124">
        <f t="shared" si="9"/>
        <v>0</v>
      </c>
      <c r="Z124">
        <f t="shared" si="10"/>
        <v>12</v>
      </c>
      <c r="AA124">
        <f t="shared" ref="AA124:AA125" si="19">Z124</f>
        <v>12</v>
      </c>
      <c r="AC124" s="1">
        <v>0</v>
      </c>
      <c r="AF124">
        <f>X124</f>
        <v>48</v>
      </c>
      <c r="AG124" s="41">
        <v>12</v>
      </c>
      <c r="AH124">
        <f t="shared" si="12"/>
        <v>48</v>
      </c>
      <c r="AI124">
        <f t="shared" si="13"/>
        <v>12</v>
      </c>
      <c r="AK124">
        <f t="shared" si="14"/>
        <v>4</v>
      </c>
      <c r="AL124">
        <v>10.49</v>
      </c>
      <c r="AM124" t="s">
        <v>27</v>
      </c>
      <c r="AN124">
        <v>10.49</v>
      </c>
      <c r="AO124" t="b">
        <f t="shared" si="15"/>
        <v>1</v>
      </c>
      <c r="AR124" t="s">
        <v>5061</v>
      </c>
      <c r="AS124" s="21">
        <v>46276</v>
      </c>
      <c r="AT124" t="s">
        <v>5062</v>
      </c>
      <c r="AU124" t="s">
        <v>5069</v>
      </c>
      <c r="AV124" t="s">
        <v>5062</v>
      </c>
      <c r="AW124" t="s">
        <v>5086</v>
      </c>
    </row>
    <row r="125" spans="1:49" hidden="1" x14ac:dyDescent="0.35">
      <c r="A125" t="s">
        <v>871</v>
      </c>
      <c r="B125" t="s">
        <v>872</v>
      </c>
      <c r="C125" t="s">
        <v>4818</v>
      </c>
      <c r="D125" t="s">
        <v>18</v>
      </c>
      <c r="E125" t="s">
        <v>961</v>
      </c>
      <c r="F125" t="s">
        <v>962</v>
      </c>
      <c r="G125" t="s">
        <v>21</v>
      </c>
      <c r="H125" t="s">
        <v>4888</v>
      </c>
      <c r="I125" t="s">
        <v>4893</v>
      </c>
      <c r="J125" s="4" t="s">
        <v>4894</v>
      </c>
      <c r="K125" s="4" t="s">
        <v>4896</v>
      </c>
      <c r="L125" s="4" t="s">
        <v>4864</v>
      </c>
      <c r="M125" s="4" t="s">
        <v>5035</v>
      </c>
      <c r="N125" t="s">
        <v>963</v>
      </c>
      <c r="O125" t="s">
        <v>964</v>
      </c>
      <c r="P125" t="s">
        <v>23</v>
      </c>
      <c r="Q125" t="s">
        <v>24</v>
      </c>
      <c r="R125" t="s">
        <v>25</v>
      </c>
      <c r="S125" t="s">
        <v>26</v>
      </c>
      <c r="T125" s="6">
        <v>46307</v>
      </c>
      <c r="U125">
        <v>156</v>
      </c>
      <c r="V125">
        <v>156</v>
      </c>
      <c r="W125">
        <v>144</v>
      </c>
      <c r="X125">
        <v>144</v>
      </c>
      <c r="Y125">
        <f t="shared" si="9"/>
        <v>0</v>
      </c>
      <c r="Z125">
        <f t="shared" si="10"/>
        <v>12</v>
      </c>
      <c r="AA125">
        <f t="shared" si="19"/>
        <v>12</v>
      </c>
      <c r="AC125" s="1">
        <v>0</v>
      </c>
      <c r="AF125">
        <f>X125</f>
        <v>144</v>
      </c>
      <c r="AG125" s="41">
        <v>12</v>
      </c>
      <c r="AH125">
        <f t="shared" si="12"/>
        <v>144</v>
      </c>
      <c r="AI125">
        <f t="shared" si="13"/>
        <v>12</v>
      </c>
      <c r="AK125">
        <f t="shared" si="14"/>
        <v>12</v>
      </c>
      <c r="AL125">
        <v>10.220000000000001</v>
      </c>
      <c r="AM125" t="s">
        <v>27</v>
      </c>
      <c r="AN125">
        <v>10.220000000000001</v>
      </c>
      <c r="AO125" t="b">
        <f t="shared" si="15"/>
        <v>1</v>
      </c>
      <c r="AR125" t="s">
        <v>5061</v>
      </c>
      <c r="AS125" s="21">
        <v>46276</v>
      </c>
      <c r="AT125" t="s">
        <v>5062</v>
      </c>
      <c r="AU125" t="s">
        <v>5068</v>
      </c>
      <c r="AV125" t="s">
        <v>5062</v>
      </c>
      <c r="AW125" t="s">
        <v>5086</v>
      </c>
    </row>
    <row r="126" spans="1:49" hidden="1" x14ac:dyDescent="0.35">
      <c r="A126" t="s">
        <v>871</v>
      </c>
      <c r="B126" t="s">
        <v>872</v>
      </c>
      <c r="C126" t="s">
        <v>4818</v>
      </c>
      <c r="D126" t="s">
        <v>18</v>
      </c>
      <c r="E126" t="s">
        <v>965</v>
      </c>
      <c r="F126" t="s">
        <v>966</v>
      </c>
      <c r="G126" t="s">
        <v>21</v>
      </c>
      <c r="H126" t="s">
        <v>4888</v>
      </c>
      <c r="I126" t="s">
        <v>4902</v>
      </c>
      <c r="J126" s="4" t="s">
        <v>4903</v>
      </c>
      <c r="K126" s="4" t="s">
        <v>4915</v>
      </c>
      <c r="L126" s="4" t="s">
        <v>4916</v>
      </c>
      <c r="M126" s="4" t="s">
        <v>5035</v>
      </c>
      <c r="N126" t="s">
        <v>967</v>
      </c>
      <c r="O126" t="s">
        <v>968</v>
      </c>
      <c r="P126" t="s">
        <v>23</v>
      </c>
      <c r="Q126" t="s">
        <v>24</v>
      </c>
      <c r="R126" t="s">
        <v>25</v>
      </c>
      <c r="S126" t="s">
        <v>26</v>
      </c>
      <c r="T126" s="6">
        <v>46307</v>
      </c>
      <c r="U126">
        <v>108</v>
      </c>
      <c r="V126">
        <v>108</v>
      </c>
      <c r="W126">
        <v>108</v>
      </c>
      <c r="X126">
        <v>108</v>
      </c>
      <c r="Y126">
        <f t="shared" si="9"/>
        <v>0</v>
      </c>
      <c r="Z126">
        <f t="shared" si="10"/>
        <v>0</v>
      </c>
      <c r="AC126" s="1">
        <v>0</v>
      </c>
      <c r="AF126">
        <f>V126</f>
        <v>108</v>
      </c>
      <c r="AG126" s="41">
        <v>12</v>
      </c>
      <c r="AH126">
        <f t="shared" si="12"/>
        <v>108</v>
      </c>
      <c r="AI126">
        <f t="shared" si="13"/>
        <v>0</v>
      </c>
      <c r="AK126">
        <f t="shared" si="14"/>
        <v>9</v>
      </c>
      <c r="AL126">
        <v>10.66</v>
      </c>
      <c r="AM126" t="s">
        <v>27</v>
      </c>
      <c r="AN126">
        <v>10.66</v>
      </c>
      <c r="AO126" t="b">
        <f t="shared" si="15"/>
        <v>1</v>
      </c>
      <c r="AR126" t="s">
        <v>5061</v>
      </c>
      <c r="AS126" s="21">
        <v>46276</v>
      </c>
      <c r="AT126" t="s">
        <v>5062</v>
      </c>
      <c r="AU126" t="s">
        <v>5069</v>
      </c>
      <c r="AV126" t="s">
        <v>5062</v>
      </c>
      <c r="AW126" t="s">
        <v>5086</v>
      </c>
    </row>
    <row r="127" spans="1:49" hidden="1" x14ac:dyDescent="0.35">
      <c r="A127" t="s">
        <v>871</v>
      </c>
      <c r="B127" t="s">
        <v>872</v>
      </c>
      <c r="C127" t="s">
        <v>4818</v>
      </c>
      <c r="D127" t="s">
        <v>18</v>
      </c>
      <c r="E127" t="s">
        <v>969</v>
      </c>
      <c r="F127" t="s">
        <v>970</v>
      </c>
      <c r="G127" t="s">
        <v>21</v>
      </c>
      <c r="H127" t="s">
        <v>4888</v>
      </c>
      <c r="I127" t="s">
        <v>4893</v>
      </c>
      <c r="J127" s="4" t="s">
        <v>4894</v>
      </c>
      <c r="K127" s="4" t="s">
        <v>4896</v>
      </c>
      <c r="L127" s="4" t="s">
        <v>4873</v>
      </c>
      <c r="M127" s="4" t="s">
        <v>5035</v>
      </c>
      <c r="N127" t="s">
        <v>971</v>
      </c>
      <c r="O127" t="s">
        <v>972</v>
      </c>
      <c r="P127" t="s">
        <v>23</v>
      </c>
      <c r="Q127" t="s">
        <v>24</v>
      </c>
      <c r="R127" t="s">
        <v>25</v>
      </c>
      <c r="S127" t="s">
        <v>26</v>
      </c>
      <c r="T127" s="6">
        <v>46307</v>
      </c>
      <c r="U127">
        <v>36</v>
      </c>
      <c r="V127">
        <v>36</v>
      </c>
      <c r="W127">
        <v>36</v>
      </c>
      <c r="X127">
        <v>36</v>
      </c>
      <c r="Y127">
        <f t="shared" si="9"/>
        <v>0</v>
      </c>
      <c r="Z127">
        <f t="shared" si="10"/>
        <v>0</v>
      </c>
      <c r="AC127" s="1">
        <v>0</v>
      </c>
      <c r="AF127">
        <f>V127</f>
        <v>36</v>
      </c>
      <c r="AG127" s="41">
        <v>12</v>
      </c>
      <c r="AH127">
        <f t="shared" si="12"/>
        <v>36</v>
      </c>
      <c r="AI127">
        <f t="shared" si="13"/>
        <v>0</v>
      </c>
      <c r="AK127">
        <f t="shared" si="14"/>
        <v>3</v>
      </c>
      <c r="AL127">
        <v>10.220000000000001</v>
      </c>
      <c r="AM127" t="s">
        <v>27</v>
      </c>
      <c r="AN127">
        <v>10.220000000000001</v>
      </c>
      <c r="AO127" t="b">
        <f t="shared" si="15"/>
        <v>1</v>
      </c>
      <c r="AR127" t="s">
        <v>5061</v>
      </c>
      <c r="AS127" s="21">
        <v>46276</v>
      </c>
      <c r="AT127" t="s">
        <v>5062</v>
      </c>
      <c r="AU127" t="s">
        <v>5068</v>
      </c>
      <c r="AV127" t="s">
        <v>5062</v>
      </c>
      <c r="AW127" t="s">
        <v>5086</v>
      </c>
    </row>
    <row r="128" spans="1:49" hidden="1" x14ac:dyDescent="0.35">
      <c r="A128" t="s">
        <v>871</v>
      </c>
      <c r="B128" t="s">
        <v>872</v>
      </c>
      <c r="C128" t="s">
        <v>4818</v>
      </c>
      <c r="D128" t="s">
        <v>18</v>
      </c>
      <c r="E128" t="s">
        <v>973</v>
      </c>
      <c r="F128" t="s">
        <v>974</v>
      </c>
      <c r="G128" t="s">
        <v>21</v>
      </c>
      <c r="H128" t="s">
        <v>4888</v>
      </c>
      <c r="I128" t="s">
        <v>4902</v>
      </c>
      <c r="J128" s="4" t="s">
        <v>4903</v>
      </c>
      <c r="K128" s="4" t="s">
        <v>4915</v>
      </c>
      <c r="L128" s="4" t="s">
        <v>4877</v>
      </c>
      <c r="M128" s="4" t="s">
        <v>5035</v>
      </c>
      <c r="N128" t="s">
        <v>975</v>
      </c>
      <c r="O128" t="s">
        <v>976</v>
      </c>
      <c r="P128" t="s">
        <v>23</v>
      </c>
      <c r="Q128" t="s">
        <v>24</v>
      </c>
      <c r="R128" t="s">
        <v>25</v>
      </c>
      <c r="S128" t="s">
        <v>26</v>
      </c>
      <c r="T128" s="6">
        <v>46307</v>
      </c>
      <c r="U128">
        <v>228</v>
      </c>
      <c r="V128">
        <v>228</v>
      </c>
      <c r="W128">
        <v>252</v>
      </c>
      <c r="X128">
        <v>252</v>
      </c>
      <c r="Y128">
        <f t="shared" si="9"/>
        <v>0</v>
      </c>
      <c r="Z128">
        <f t="shared" si="10"/>
        <v>-24</v>
      </c>
      <c r="AC128" s="1">
        <v>0</v>
      </c>
      <c r="AF128">
        <f>V128</f>
        <v>228</v>
      </c>
      <c r="AG128" s="41">
        <v>12</v>
      </c>
      <c r="AH128">
        <f t="shared" si="12"/>
        <v>228</v>
      </c>
      <c r="AI128">
        <f t="shared" si="13"/>
        <v>0</v>
      </c>
      <c r="AK128">
        <f t="shared" si="14"/>
        <v>19</v>
      </c>
      <c r="AL128">
        <v>10.66</v>
      </c>
      <c r="AM128" t="s">
        <v>27</v>
      </c>
      <c r="AN128">
        <v>10.66</v>
      </c>
      <c r="AO128" t="b">
        <f t="shared" si="15"/>
        <v>1</v>
      </c>
      <c r="AR128" t="s">
        <v>5061</v>
      </c>
      <c r="AS128" s="21">
        <v>46276</v>
      </c>
      <c r="AT128" t="s">
        <v>5062</v>
      </c>
      <c r="AU128" t="s">
        <v>5069</v>
      </c>
      <c r="AV128" t="s">
        <v>5062</v>
      </c>
      <c r="AW128" t="s">
        <v>5086</v>
      </c>
    </row>
    <row r="129" spans="1:49" hidden="1" x14ac:dyDescent="0.35">
      <c r="A129" t="s">
        <v>871</v>
      </c>
      <c r="B129" t="s">
        <v>872</v>
      </c>
      <c r="C129" t="s">
        <v>4818</v>
      </c>
      <c r="D129" t="s">
        <v>18</v>
      </c>
      <c r="E129" t="s">
        <v>977</v>
      </c>
      <c r="F129" t="s">
        <v>978</v>
      </c>
      <c r="G129" t="s">
        <v>21</v>
      </c>
      <c r="H129" t="s">
        <v>4888</v>
      </c>
      <c r="I129" t="s">
        <v>4893</v>
      </c>
      <c r="J129" s="4" t="s">
        <v>4894</v>
      </c>
      <c r="K129" s="4" t="s">
        <v>4896</v>
      </c>
      <c r="L129" s="4" t="s">
        <v>4917</v>
      </c>
      <c r="M129" s="4" t="s">
        <v>5035</v>
      </c>
      <c r="N129" t="s">
        <v>979</v>
      </c>
      <c r="O129" t="s">
        <v>980</v>
      </c>
      <c r="P129" t="s">
        <v>23</v>
      </c>
      <c r="Q129" t="s">
        <v>24</v>
      </c>
      <c r="R129" t="s">
        <v>25</v>
      </c>
      <c r="S129" t="s">
        <v>26</v>
      </c>
      <c r="T129" s="6">
        <v>46307</v>
      </c>
      <c r="U129">
        <v>36</v>
      </c>
      <c r="V129">
        <v>36</v>
      </c>
      <c r="W129">
        <v>36</v>
      </c>
      <c r="X129">
        <v>36</v>
      </c>
      <c r="Y129">
        <f t="shared" si="9"/>
        <v>0</v>
      </c>
      <c r="Z129">
        <f t="shared" si="10"/>
        <v>0</v>
      </c>
      <c r="AC129" s="1">
        <v>0</v>
      </c>
      <c r="AF129">
        <f>V129</f>
        <v>36</v>
      </c>
      <c r="AG129" s="41">
        <v>12</v>
      </c>
      <c r="AH129">
        <f t="shared" si="12"/>
        <v>36</v>
      </c>
      <c r="AI129">
        <f t="shared" si="13"/>
        <v>0</v>
      </c>
      <c r="AK129">
        <f t="shared" si="14"/>
        <v>3</v>
      </c>
      <c r="AL129">
        <v>10.220000000000001</v>
      </c>
      <c r="AM129" t="s">
        <v>27</v>
      </c>
      <c r="AN129">
        <v>10.220000000000001</v>
      </c>
      <c r="AO129" t="b">
        <f t="shared" si="15"/>
        <v>1</v>
      </c>
      <c r="AR129" t="s">
        <v>5061</v>
      </c>
      <c r="AS129" s="21">
        <v>46276</v>
      </c>
      <c r="AT129" t="s">
        <v>5062</v>
      </c>
      <c r="AU129" t="s">
        <v>5068</v>
      </c>
      <c r="AV129" t="s">
        <v>5062</v>
      </c>
      <c r="AW129" t="s">
        <v>5086</v>
      </c>
    </row>
    <row r="130" spans="1:49" hidden="1" x14ac:dyDescent="0.35">
      <c r="A130" t="s">
        <v>871</v>
      </c>
      <c r="B130" t="s">
        <v>872</v>
      </c>
      <c r="C130" t="s">
        <v>4818</v>
      </c>
      <c r="D130" t="s">
        <v>18</v>
      </c>
      <c r="E130" t="s">
        <v>981</v>
      </c>
      <c r="F130" t="s">
        <v>982</v>
      </c>
      <c r="G130" t="s">
        <v>21</v>
      </c>
      <c r="H130" t="s">
        <v>4888</v>
      </c>
      <c r="I130" t="s">
        <v>4889</v>
      </c>
      <c r="J130" s="4" t="s">
        <v>4890</v>
      </c>
      <c r="K130" s="4" t="s">
        <v>4911</v>
      </c>
      <c r="L130" s="4" t="s">
        <v>4909</v>
      </c>
      <c r="M130" s="4" t="s">
        <v>5035</v>
      </c>
      <c r="N130" t="s">
        <v>983</v>
      </c>
      <c r="O130" t="s">
        <v>984</v>
      </c>
      <c r="P130" t="s">
        <v>23</v>
      </c>
      <c r="Q130" t="s">
        <v>24</v>
      </c>
      <c r="R130" t="s">
        <v>25</v>
      </c>
      <c r="S130" t="s">
        <v>26</v>
      </c>
      <c r="T130" s="6">
        <v>46307</v>
      </c>
      <c r="U130">
        <v>48</v>
      </c>
      <c r="V130">
        <v>48</v>
      </c>
      <c r="W130">
        <v>36</v>
      </c>
      <c r="X130">
        <v>36</v>
      </c>
      <c r="Y130">
        <f t="shared" si="9"/>
        <v>0</v>
      </c>
      <c r="Z130">
        <f t="shared" si="10"/>
        <v>12</v>
      </c>
      <c r="AA130">
        <f>Z130</f>
        <v>12</v>
      </c>
      <c r="AC130" s="1">
        <v>0</v>
      </c>
      <c r="AF130">
        <f>X130</f>
        <v>36</v>
      </c>
      <c r="AG130" s="41">
        <v>12</v>
      </c>
      <c r="AH130">
        <f t="shared" si="12"/>
        <v>36</v>
      </c>
      <c r="AI130">
        <f t="shared" si="13"/>
        <v>12</v>
      </c>
      <c r="AK130">
        <f t="shared" si="14"/>
        <v>3</v>
      </c>
      <c r="AL130">
        <v>11.87</v>
      </c>
      <c r="AM130" t="s">
        <v>27</v>
      </c>
      <c r="AN130">
        <v>11.87</v>
      </c>
      <c r="AO130" t="b">
        <f t="shared" si="15"/>
        <v>1</v>
      </c>
      <c r="AR130" t="s">
        <v>5061</v>
      </c>
      <c r="AS130" s="21">
        <v>46276</v>
      </c>
      <c r="AT130" t="s">
        <v>5062</v>
      </c>
      <c r="AU130" t="s">
        <v>5067</v>
      </c>
      <c r="AV130" t="s">
        <v>5062</v>
      </c>
      <c r="AW130" t="s">
        <v>5086</v>
      </c>
    </row>
    <row r="131" spans="1:49" hidden="1" x14ac:dyDescent="0.35">
      <c r="A131" t="s">
        <v>871</v>
      </c>
      <c r="B131" t="s">
        <v>872</v>
      </c>
      <c r="C131" t="s">
        <v>4818</v>
      </c>
      <c r="D131" t="s">
        <v>18</v>
      </c>
      <c r="E131" t="s">
        <v>985</v>
      </c>
      <c r="F131" t="s">
        <v>986</v>
      </c>
      <c r="G131" t="s">
        <v>21</v>
      </c>
      <c r="H131" t="s">
        <v>4888</v>
      </c>
      <c r="I131" t="s">
        <v>4906</v>
      </c>
      <c r="J131" s="4" t="s">
        <v>4907</v>
      </c>
      <c r="K131" s="4" t="s">
        <v>4908</v>
      </c>
      <c r="L131" s="4" t="s">
        <v>4885</v>
      </c>
      <c r="M131" s="4" t="s">
        <v>5035</v>
      </c>
      <c r="N131" t="s">
        <v>987</v>
      </c>
      <c r="O131" t="s">
        <v>988</v>
      </c>
      <c r="P131" t="s">
        <v>23</v>
      </c>
      <c r="Q131" t="s">
        <v>24</v>
      </c>
      <c r="R131" t="s">
        <v>25</v>
      </c>
      <c r="S131" t="s">
        <v>26</v>
      </c>
      <c r="T131" s="6">
        <v>46307</v>
      </c>
      <c r="U131">
        <v>156</v>
      </c>
      <c r="V131">
        <v>156</v>
      </c>
      <c r="W131">
        <v>168</v>
      </c>
      <c r="X131">
        <v>168</v>
      </c>
      <c r="Y131">
        <f t="shared" ref="Y131:Y194" si="20">W131-X131</f>
        <v>0</v>
      </c>
      <c r="Z131">
        <f t="shared" ref="Z131:Z194" si="21">V131-X131</f>
        <v>-12</v>
      </c>
      <c r="AC131" s="1">
        <v>0</v>
      </c>
      <c r="AF131">
        <f>V131</f>
        <v>156</v>
      </c>
      <c r="AG131" s="41">
        <v>12</v>
      </c>
      <c r="AH131">
        <f t="shared" ref="AH131:AH194" si="22">ROUNDUP(AF131/AG131,0)*AG131</f>
        <v>156</v>
      </c>
      <c r="AI131">
        <f t="shared" ref="AI131:AI194" si="23">V131-AH131</f>
        <v>0</v>
      </c>
      <c r="AK131">
        <f t="shared" ref="AK131:AK194" si="24">AH131/AG131</f>
        <v>13</v>
      </c>
      <c r="AL131">
        <v>10.19</v>
      </c>
      <c r="AM131" t="s">
        <v>27</v>
      </c>
      <c r="AN131">
        <v>10.19</v>
      </c>
      <c r="AO131" t="b">
        <f t="shared" ref="AO131:AO194" si="25">AL131=AN131</f>
        <v>1</v>
      </c>
      <c r="AR131" t="s">
        <v>5061</v>
      </c>
      <c r="AS131" s="21">
        <v>46276</v>
      </c>
      <c r="AT131" t="s">
        <v>5062</v>
      </c>
      <c r="AU131" t="s">
        <v>5070</v>
      </c>
      <c r="AV131" t="s">
        <v>5062</v>
      </c>
      <c r="AW131" t="s">
        <v>5086</v>
      </c>
    </row>
    <row r="132" spans="1:49" hidden="1" x14ac:dyDescent="0.35">
      <c r="A132" t="s">
        <v>871</v>
      </c>
      <c r="B132" t="s">
        <v>872</v>
      </c>
      <c r="C132" t="s">
        <v>4818</v>
      </c>
      <c r="D132" t="s">
        <v>18</v>
      </c>
      <c r="E132" t="s">
        <v>989</v>
      </c>
      <c r="F132" t="s">
        <v>990</v>
      </c>
      <c r="G132" t="s">
        <v>21</v>
      </c>
      <c r="H132" t="s">
        <v>4888</v>
      </c>
      <c r="I132" t="s">
        <v>4902</v>
      </c>
      <c r="J132" s="4" t="s">
        <v>4903</v>
      </c>
      <c r="K132" s="4" t="s">
        <v>4915</v>
      </c>
      <c r="L132" s="4" t="s">
        <v>4918</v>
      </c>
      <c r="M132" s="4" t="s">
        <v>5035</v>
      </c>
      <c r="N132" t="s">
        <v>991</v>
      </c>
      <c r="O132" t="s">
        <v>992</v>
      </c>
      <c r="P132" t="s">
        <v>23</v>
      </c>
      <c r="Q132" t="s">
        <v>24</v>
      </c>
      <c r="R132" t="s">
        <v>25</v>
      </c>
      <c r="S132" t="s">
        <v>26</v>
      </c>
      <c r="T132" s="6">
        <v>46307</v>
      </c>
      <c r="U132">
        <v>12</v>
      </c>
      <c r="V132">
        <v>12</v>
      </c>
      <c r="W132">
        <v>12</v>
      </c>
      <c r="X132">
        <v>12</v>
      </c>
      <c r="Y132">
        <f t="shared" si="20"/>
        <v>0</v>
      </c>
      <c r="Z132">
        <f t="shared" si="21"/>
        <v>0</v>
      </c>
      <c r="AC132" s="1">
        <v>0</v>
      </c>
      <c r="AF132">
        <f>V132</f>
        <v>12</v>
      </c>
      <c r="AG132" s="41">
        <v>12</v>
      </c>
      <c r="AH132">
        <f t="shared" si="22"/>
        <v>12</v>
      </c>
      <c r="AI132">
        <f t="shared" si="23"/>
        <v>0</v>
      </c>
      <c r="AK132">
        <f t="shared" si="24"/>
        <v>1</v>
      </c>
      <c r="AL132">
        <v>10.66</v>
      </c>
      <c r="AM132" t="s">
        <v>27</v>
      </c>
      <c r="AN132">
        <v>10.66</v>
      </c>
      <c r="AO132" t="b">
        <f t="shared" si="25"/>
        <v>1</v>
      </c>
      <c r="AR132" t="s">
        <v>5061</v>
      </c>
      <c r="AS132" s="21">
        <v>46276</v>
      </c>
      <c r="AT132" t="s">
        <v>5062</v>
      </c>
      <c r="AU132" t="s">
        <v>5069</v>
      </c>
      <c r="AV132" t="s">
        <v>5062</v>
      </c>
      <c r="AW132" t="s">
        <v>5086</v>
      </c>
    </row>
    <row r="133" spans="1:49" hidden="1" x14ac:dyDescent="0.35">
      <c r="A133" t="s">
        <v>871</v>
      </c>
      <c r="B133" t="s">
        <v>872</v>
      </c>
      <c r="C133" t="s">
        <v>4818</v>
      </c>
      <c r="D133" t="s">
        <v>18</v>
      </c>
      <c r="E133" t="s">
        <v>993</v>
      </c>
      <c r="F133" t="s">
        <v>994</v>
      </c>
      <c r="G133" t="s">
        <v>21</v>
      </c>
      <c r="H133" t="s">
        <v>4888</v>
      </c>
      <c r="I133" t="s">
        <v>4889</v>
      </c>
      <c r="J133" s="4" t="s">
        <v>4890</v>
      </c>
      <c r="K133" s="4" t="s">
        <v>4891</v>
      </c>
      <c r="L133" s="4" t="s">
        <v>4900</v>
      </c>
      <c r="M133" s="4" t="s">
        <v>5035</v>
      </c>
      <c r="N133" t="s">
        <v>995</v>
      </c>
      <c r="O133" t="s">
        <v>996</v>
      </c>
      <c r="P133" t="s">
        <v>23</v>
      </c>
      <c r="Q133" t="s">
        <v>24</v>
      </c>
      <c r="R133" t="s">
        <v>25</v>
      </c>
      <c r="S133" t="s">
        <v>26</v>
      </c>
      <c r="T133" s="6">
        <v>46307</v>
      </c>
      <c r="U133">
        <v>168</v>
      </c>
      <c r="V133">
        <v>168</v>
      </c>
      <c r="W133">
        <v>144</v>
      </c>
      <c r="X133">
        <v>144</v>
      </c>
      <c r="Y133">
        <f t="shared" si="20"/>
        <v>0</v>
      </c>
      <c r="Z133">
        <f t="shared" si="21"/>
        <v>24</v>
      </c>
      <c r="AA133">
        <f>Z133</f>
        <v>24</v>
      </c>
      <c r="AC133" s="1">
        <v>0</v>
      </c>
      <c r="AF133">
        <f>X133</f>
        <v>144</v>
      </c>
      <c r="AG133" s="41">
        <v>12</v>
      </c>
      <c r="AH133">
        <f t="shared" si="22"/>
        <v>144</v>
      </c>
      <c r="AI133">
        <f t="shared" si="23"/>
        <v>24</v>
      </c>
      <c r="AK133">
        <f t="shared" si="24"/>
        <v>12</v>
      </c>
      <c r="AL133">
        <v>11.2</v>
      </c>
      <c r="AM133" t="s">
        <v>27</v>
      </c>
      <c r="AN133">
        <v>11.2</v>
      </c>
      <c r="AO133" t="b">
        <f t="shared" si="25"/>
        <v>1</v>
      </c>
      <c r="AR133" t="s">
        <v>5061</v>
      </c>
      <c r="AS133" s="21">
        <v>46276</v>
      </c>
      <c r="AT133" t="s">
        <v>5062</v>
      </c>
      <c r="AU133" t="s">
        <v>5067</v>
      </c>
      <c r="AV133" t="s">
        <v>5062</v>
      </c>
      <c r="AW133" t="s">
        <v>5086</v>
      </c>
    </row>
    <row r="134" spans="1:49" hidden="1" x14ac:dyDescent="0.35">
      <c r="A134" t="s">
        <v>871</v>
      </c>
      <c r="B134" t="s">
        <v>872</v>
      </c>
      <c r="C134" t="s">
        <v>4818</v>
      </c>
      <c r="D134" t="s">
        <v>18</v>
      </c>
      <c r="E134" t="s">
        <v>997</v>
      </c>
      <c r="F134" t="s">
        <v>998</v>
      </c>
      <c r="G134" t="s">
        <v>21</v>
      </c>
      <c r="H134" t="s">
        <v>4888</v>
      </c>
      <c r="I134" t="s">
        <v>4889</v>
      </c>
      <c r="J134" s="4" t="s">
        <v>4890</v>
      </c>
      <c r="K134" s="4" t="s">
        <v>4911</v>
      </c>
      <c r="L134" s="4" t="s">
        <v>4851</v>
      </c>
      <c r="M134" s="4" t="s">
        <v>5035</v>
      </c>
      <c r="N134" t="s">
        <v>999</v>
      </c>
      <c r="O134" t="s">
        <v>1000</v>
      </c>
      <c r="P134" t="s">
        <v>23</v>
      </c>
      <c r="Q134" t="s">
        <v>24</v>
      </c>
      <c r="R134" t="s">
        <v>25</v>
      </c>
      <c r="S134" t="s">
        <v>26</v>
      </c>
      <c r="T134" s="6">
        <v>46307</v>
      </c>
      <c r="U134">
        <v>36</v>
      </c>
      <c r="V134">
        <v>36</v>
      </c>
      <c r="W134">
        <v>36</v>
      </c>
      <c r="X134">
        <v>36</v>
      </c>
      <c r="Y134">
        <f t="shared" si="20"/>
        <v>0</v>
      </c>
      <c r="Z134">
        <f t="shared" si="21"/>
        <v>0</v>
      </c>
      <c r="AC134" s="1">
        <v>0</v>
      </c>
      <c r="AF134">
        <f>V134</f>
        <v>36</v>
      </c>
      <c r="AG134" s="41">
        <v>12</v>
      </c>
      <c r="AH134">
        <f t="shared" si="22"/>
        <v>36</v>
      </c>
      <c r="AI134">
        <f t="shared" si="23"/>
        <v>0</v>
      </c>
      <c r="AK134">
        <f t="shared" si="24"/>
        <v>3</v>
      </c>
      <c r="AL134">
        <v>11.87</v>
      </c>
      <c r="AM134" t="s">
        <v>27</v>
      </c>
      <c r="AN134">
        <v>11.87</v>
      </c>
      <c r="AO134" t="b">
        <f t="shared" si="25"/>
        <v>1</v>
      </c>
      <c r="AR134" t="s">
        <v>5061</v>
      </c>
      <c r="AS134" s="21">
        <v>46276</v>
      </c>
      <c r="AT134" t="s">
        <v>5062</v>
      </c>
      <c r="AU134" t="s">
        <v>5067</v>
      </c>
      <c r="AV134" t="s">
        <v>5062</v>
      </c>
      <c r="AW134" t="s">
        <v>5086</v>
      </c>
    </row>
    <row r="135" spans="1:49" hidden="1" x14ac:dyDescent="0.35">
      <c r="A135" t="s">
        <v>871</v>
      </c>
      <c r="B135" t="s">
        <v>872</v>
      </c>
      <c r="C135" t="s">
        <v>4818</v>
      </c>
      <c r="D135" t="s">
        <v>18</v>
      </c>
      <c r="E135" t="s">
        <v>1001</v>
      </c>
      <c r="F135" t="s">
        <v>1002</v>
      </c>
      <c r="G135" t="s">
        <v>21</v>
      </c>
      <c r="H135" t="s">
        <v>4888</v>
      </c>
      <c r="I135" t="s">
        <v>4889</v>
      </c>
      <c r="J135" s="4" t="s">
        <v>4890</v>
      </c>
      <c r="K135" s="4" t="s">
        <v>4911</v>
      </c>
      <c r="L135" s="4" t="s">
        <v>4867</v>
      </c>
      <c r="M135" s="4" t="s">
        <v>5035</v>
      </c>
      <c r="N135" t="s">
        <v>1003</v>
      </c>
      <c r="O135" t="s">
        <v>1004</v>
      </c>
      <c r="P135" t="s">
        <v>23</v>
      </c>
      <c r="Q135" t="s">
        <v>24</v>
      </c>
      <c r="R135" t="s">
        <v>25</v>
      </c>
      <c r="S135" t="s">
        <v>26</v>
      </c>
      <c r="T135" s="6">
        <v>46307</v>
      </c>
      <c r="U135">
        <v>48</v>
      </c>
      <c r="V135">
        <v>48</v>
      </c>
      <c r="W135">
        <v>36</v>
      </c>
      <c r="X135">
        <v>36</v>
      </c>
      <c r="Y135">
        <f t="shared" si="20"/>
        <v>0</v>
      </c>
      <c r="Z135">
        <f t="shared" si="21"/>
        <v>12</v>
      </c>
      <c r="AA135">
        <f>Z135</f>
        <v>12</v>
      </c>
      <c r="AC135" s="1">
        <v>0</v>
      </c>
      <c r="AF135">
        <f>X135</f>
        <v>36</v>
      </c>
      <c r="AG135" s="41">
        <v>12</v>
      </c>
      <c r="AH135">
        <f t="shared" si="22"/>
        <v>36</v>
      </c>
      <c r="AI135">
        <f t="shared" si="23"/>
        <v>12</v>
      </c>
      <c r="AK135">
        <f t="shared" si="24"/>
        <v>3</v>
      </c>
      <c r="AL135">
        <v>11.87</v>
      </c>
      <c r="AM135" t="s">
        <v>27</v>
      </c>
      <c r="AN135">
        <v>11.87</v>
      </c>
      <c r="AO135" t="b">
        <f t="shared" si="25"/>
        <v>1</v>
      </c>
      <c r="AR135" t="s">
        <v>5061</v>
      </c>
      <c r="AS135" s="21">
        <v>46276</v>
      </c>
      <c r="AT135" t="s">
        <v>5062</v>
      </c>
      <c r="AU135" t="s">
        <v>5067</v>
      </c>
      <c r="AV135" t="s">
        <v>5062</v>
      </c>
      <c r="AW135" t="s">
        <v>5086</v>
      </c>
    </row>
    <row r="136" spans="1:49" hidden="1" x14ac:dyDescent="0.35">
      <c r="A136" t="s">
        <v>871</v>
      </c>
      <c r="B136" t="s">
        <v>872</v>
      </c>
      <c r="C136" t="s">
        <v>4818</v>
      </c>
      <c r="D136" t="s">
        <v>18</v>
      </c>
      <c r="E136" t="s">
        <v>1005</v>
      </c>
      <c r="F136" t="s">
        <v>1006</v>
      </c>
      <c r="G136" t="s">
        <v>21</v>
      </c>
      <c r="H136" t="s">
        <v>4888</v>
      </c>
      <c r="I136" t="s">
        <v>4902</v>
      </c>
      <c r="J136" s="4" t="s">
        <v>4903</v>
      </c>
      <c r="K136" s="4" t="s">
        <v>4899</v>
      </c>
      <c r="L136" s="4" t="s">
        <v>4919</v>
      </c>
      <c r="M136" s="4" t="s">
        <v>5035</v>
      </c>
      <c r="N136" t="s">
        <v>1007</v>
      </c>
      <c r="O136" t="s">
        <v>1008</v>
      </c>
      <c r="P136" t="s">
        <v>23</v>
      </c>
      <c r="Q136" t="s">
        <v>24</v>
      </c>
      <c r="R136" t="s">
        <v>25</v>
      </c>
      <c r="S136" t="s">
        <v>26</v>
      </c>
      <c r="T136" s="6">
        <v>46307</v>
      </c>
      <c r="U136">
        <v>36</v>
      </c>
      <c r="V136">
        <v>36</v>
      </c>
      <c r="W136">
        <v>36</v>
      </c>
      <c r="X136">
        <v>36</v>
      </c>
      <c r="Y136">
        <f t="shared" si="20"/>
        <v>0</v>
      </c>
      <c r="Z136">
        <f t="shared" si="21"/>
        <v>0</v>
      </c>
      <c r="AC136" s="1">
        <v>0</v>
      </c>
      <c r="AF136">
        <f>V136</f>
        <v>36</v>
      </c>
      <c r="AG136" s="41">
        <v>12</v>
      </c>
      <c r="AH136">
        <f t="shared" si="22"/>
        <v>36</v>
      </c>
      <c r="AI136">
        <f t="shared" si="23"/>
        <v>0</v>
      </c>
      <c r="AK136">
        <f t="shared" si="24"/>
        <v>3</v>
      </c>
      <c r="AL136">
        <v>10.49</v>
      </c>
      <c r="AM136" t="s">
        <v>27</v>
      </c>
      <c r="AN136">
        <v>10.49</v>
      </c>
      <c r="AO136" t="b">
        <f t="shared" si="25"/>
        <v>1</v>
      </c>
      <c r="AR136" t="s">
        <v>5061</v>
      </c>
      <c r="AS136" s="21">
        <v>46276</v>
      </c>
      <c r="AT136" t="s">
        <v>5062</v>
      </c>
      <c r="AU136" t="s">
        <v>5069</v>
      </c>
      <c r="AV136" t="s">
        <v>5062</v>
      </c>
      <c r="AW136" t="s">
        <v>5086</v>
      </c>
    </row>
    <row r="137" spans="1:49" hidden="1" x14ac:dyDescent="0.35">
      <c r="A137" t="s">
        <v>871</v>
      </c>
      <c r="B137" t="s">
        <v>872</v>
      </c>
      <c r="C137" t="s">
        <v>4818</v>
      </c>
      <c r="D137" t="s">
        <v>18</v>
      </c>
      <c r="E137" t="s">
        <v>1009</v>
      </c>
      <c r="F137" t="s">
        <v>1010</v>
      </c>
      <c r="G137" t="s">
        <v>21</v>
      </c>
      <c r="H137" t="s">
        <v>4888</v>
      </c>
      <c r="I137" t="s">
        <v>4902</v>
      </c>
      <c r="J137" s="4" t="s">
        <v>4903</v>
      </c>
      <c r="K137" s="4" t="s">
        <v>4915</v>
      </c>
      <c r="L137" s="4" t="s">
        <v>4885</v>
      </c>
      <c r="M137" s="4" t="s">
        <v>5035</v>
      </c>
      <c r="N137" t="s">
        <v>1011</v>
      </c>
      <c r="O137" t="s">
        <v>1012</v>
      </c>
      <c r="P137" t="s">
        <v>23</v>
      </c>
      <c r="Q137" t="s">
        <v>24</v>
      </c>
      <c r="R137" t="s">
        <v>25</v>
      </c>
      <c r="S137" t="s">
        <v>26</v>
      </c>
      <c r="T137" s="6">
        <v>46307</v>
      </c>
      <c r="U137">
        <v>348</v>
      </c>
      <c r="V137">
        <v>348</v>
      </c>
      <c r="W137">
        <v>372</v>
      </c>
      <c r="X137">
        <v>372</v>
      </c>
      <c r="Y137">
        <f t="shared" si="20"/>
        <v>0</v>
      </c>
      <c r="Z137">
        <f t="shared" si="21"/>
        <v>-24</v>
      </c>
      <c r="AC137" s="1"/>
      <c r="AF137">
        <f>V137</f>
        <v>348</v>
      </c>
      <c r="AG137" s="41">
        <v>12</v>
      </c>
      <c r="AH137">
        <f t="shared" si="22"/>
        <v>348</v>
      </c>
      <c r="AI137">
        <f t="shared" si="23"/>
        <v>0</v>
      </c>
      <c r="AK137">
        <f t="shared" si="24"/>
        <v>29</v>
      </c>
      <c r="AL137">
        <v>10.66</v>
      </c>
      <c r="AM137" t="s">
        <v>27</v>
      </c>
      <c r="AN137">
        <v>10.66</v>
      </c>
      <c r="AO137" t="b">
        <f t="shared" si="25"/>
        <v>1</v>
      </c>
      <c r="AR137" t="s">
        <v>5061</v>
      </c>
      <c r="AS137" s="21">
        <v>46276</v>
      </c>
      <c r="AT137" t="s">
        <v>5062</v>
      </c>
      <c r="AU137" t="s">
        <v>5069</v>
      </c>
      <c r="AV137" t="s">
        <v>5062</v>
      </c>
      <c r="AW137" t="s">
        <v>5086</v>
      </c>
    </row>
    <row r="138" spans="1:49" hidden="1" x14ac:dyDescent="0.35">
      <c r="A138" t="s">
        <v>871</v>
      </c>
      <c r="B138" t="s">
        <v>872</v>
      </c>
      <c r="C138" t="s">
        <v>4818</v>
      </c>
      <c r="D138" t="s">
        <v>18</v>
      </c>
      <c r="E138" t="s">
        <v>1013</v>
      </c>
      <c r="F138" t="s">
        <v>1014</v>
      </c>
      <c r="G138" t="s">
        <v>21</v>
      </c>
      <c r="H138" t="s">
        <v>4888</v>
      </c>
      <c r="I138" t="s">
        <v>4893</v>
      </c>
      <c r="J138" s="4" t="s">
        <v>4894</v>
      </c>
      <c r="K138" s="4" t="s">
        <v>4913</v>
      </c>
      <c r="L138" s="4" t="s">
        <v>4920</v>
      </c>
      <c r="M138" s="4" t="s">
        <v>5035</v>
      </c>
      <c r="N138" t="s">
        <v>1015</v>
      </c>
      <c r="O138" t="s">
        <v>1016</v>
      </c>
      <c r="P138" t="s">
        <v>23</v>
      </c>
      <c r="Q138" t="s">
        <v>24</v>
      </c>
      <c r="R138" t="s">
        <v>25</v>
      </c>
      <c r="S138" t="s">
        <v>26</v>
      </c>
      <c r="T138" s="6">
        <v>46307</v>
      </c>
      <c r="U138">
        <v>36</v>
      </c>
      <c r="V138">
        <v>36</v>
      </c>
      <c r="W138">
        <v>36</v>
      </c>
      <c r="X138">
        <v>36</v>
      </c>
      <c r="Y138">
        <f t="shared" si="20"/>
        <v>0</v>
      </c>
      <c r="Z138">
        <f t="shared" si="21"/>
        <v>0</v>
      </c>
      <c r="AC138" s="1">
        <v>0</v>
      </c>
      <c r="AF138">
        <f>V138</f>
        <v>36</v>
      </c>
      <c r="AG138" s="41">
        <v>12</v>
      </c>
      <c r="AH138">
        <f t="shared" si="22"/>
        <v>36</v>
      </c>
      <c r="AI138">
        <f t="shared" si="23"/>
        <v>0</v>
      </c>
      <c r="AK138">
        <f t="shared" si="24"/>
        <v>3</v>
      </c>
      <c r="AL138">
        <v>9.9499999999999993</v>
      </c>
      <c r="AM138" t="s">
        <v>27</v>
      </c>
      <c r="AN138">
        <v>9.9499999999999993</v>
      </c>
      <c r="AO138" t="b">
        <f t="shared" si="25"/>
        <v>1</v>
      </c>
      <c r="AR138" t="s">
        <v>5061</v>
      </c>
      <c r="AS138" s="21">
        <v>46276</v>
      </c>
      <c r="AT138" t="s">
        <v>5062</v>
      </c>
      <c r="AU138" t="s">
        <v>5068</v>
      </c>
      <c r="AV138" t="s">
        <v>5062</v>
      </c>
      <c r="AW138" t="s">
        <v>5086</v>
      </c>
    </row>
    <row r="139" spans="1:49" hidden="1" x14ac:dyDescent="0.35">
      <c r="A139" t="s">
        <v>871</v>
      </c>
      <c r="B139" t="s">
        <v>872</v>
      </c>
      <c r="C139" t="s">
        <v>4818</v>
      </c>
      <c r="D139" t="s">
        <v>18</v>
      </c>
      <c r="E139" t="s">
        <v>1017</v>
      </c>
      <c r="F139" t="s">
        <v>1018</v>
      </c>
      <c r="G139" t="s">
        <v>21</v>
      </c>
      <c r="H139" t="s">
        <v>4888</v>
      </c>
      <c r="I139" t="s">
        <v>4902</v>
      </c>
      <c r="J139" s="4" t="s">
        <v>4903</v>
      </c>
      <c r="K139" s="4" t="s">
        <v>4915</v>
      </c>
      <c r="L139" s="4" t="s">
        <v>4921</v>
      </c>
      <c r="M139" s="4" t="s">
        <v>5035</v>
      </c>
      <c r="N139" t="s">
        <v>1019</v>
      </c>
      <c r="O139" t="s">
        <v>1020</v>
      </c>
      <c r="P139" t="s">
        <v>23</v>
      </c>
      <c r="Q139" t="s">
        <v>24</v>
      </c>
      <c r="R139" t="s">
        <v>25</v>
      </c>
      <c r="S139" t="s">
        <v>26</v>
      </c>
      <c r="T139" s="6">
        <v>46307</v>
      </c>
      <c r="U139">
        <v>24</v>
      </c>
      <c r="V139">
        <v>24</v>
      </c>
      <c r="W139">
        <v>24</v>
      </c>
      <c r="X139">
        <v>24</v>
      </c>
      <c r="Y139">
        <f t="shared" si="20"/>
        <v>0</v>
      </c>
      <c r="Z139">
        <f t="shared" si="21"/>
        <v>0</v>
      </c>
      <c r="AC139" s="1">
        <v>0</v>
      </c>
      <c r="AF139">
        <f>V139</f>
        <v>24</v>
      </c>
      <c r="AG139" s="41">
        <v>12</v>
      </c>
      <c r="AH139">
        <f t="shared" si="22"/>
        <v>24</v>
      </c>
      <c r="AI139">
        <f t="shared" si="23"/>
        <v>0</v>
      </c>
      <c r="AK139">
        <f t="shared" si="24"/>
        <v>2</v>
      </c>
      <c r="AL139">
        <v>10.66</v>
      </c>
      <c r="AM139" t="s">
        <v>27</v>
      </c>
      <c r="AN139">
        <v>10.66</v>
      </c>
      <c r="AO139" t="b">
        <f t="shared" si="25"/>
        <v>1</v>
      </c>
      <c r="AR139" t="s">
        <v>5061</v>
      </c>
      <c r="AS139" s="21">
        <v>46276</v>
      </c>
      <c r="AT139" t="s">
        <v>5062</v>
      </c>
      <c r="AU139" t="s">
        <v>5069</v>
      </c>
      <c r="AV139" t="s">
        <v>5062</v>
      </c>
      <c r="AW139" t="s">
        <v>5086</v>
      </c>
    </row>
    <row r="140" spans="1:49" hidden="1" x14ac:dyDescent="0.35">
      <c r="A140" t="s">
        <v>871</v>
      </c>
      <c r="B140" t="s">
        <v>872</v>
      </c>
      <c r="C140" t="s">
        <v>4818</v>
      </c>
      <c r="D140" t="s">
        <v>18</v>
      </c>
      <c r="E140" t="s">
        <v>1021</v>
      </c>
      <c r="F140" t="s">
        <v>1022</v>
      </c>
      <c r="G140" t="s">
        <v>21</v>
      </c>
      <c r="H140" t="s">
        <v>4888</v>
      </c>
      <c r="I140" t="s">
        <v>4902</v>
      </c>
      <c r="J140" s="4" t="s">
        <v>4903</v>
      </c>
      <c r="K140" s="4" t="s">
        <v>4915</v>
      </c>
      <c r="L140" s="4" t="s">
        <v>4917</v>
      </c>
      <c r="M140" s="4" t="s">
        <v>5035</v>
      </c>
      <c r="N140" t="s">
        <v>1023</v>
      </c>
      <c r="O140" t="s">
        <v>1024</v>
      </c>
      <c r="P140" t="s">
        <v>23</v>
      </c>
      <c r="Q140" t="s">
        <v>24</v>
      </c>
      <c r="R140" t="s">
        <v>25</v>
      </c>
      <c r="S140" t="s">
        <v>26</v>
      </c>
      <c r="T140" s="6">
        <v>46307</v>
      </c>
      <c r="U140">
        <v>60</v>
      </c>
      <c r="V140">
        <v>60</v>
      </c>
      <c r="W140">
        <v>72</v>
      </c>
      <c r="X140">
        <v>72</v>
      </c>
      <c r="Y140">
        <f t="shared" si="20"/>
        <v>0</v>
      </c>
      <c r="Z140">
        <f t="shared" si="21"/>
        <v>-12</v>
      </c>
      <c r="AC140" s="1">
        <v>0</v>
      </c>
      <c r="AF140">
        <f>V140</f>
        <v>60</v>
      </c>
      <c r="AG140" s="41">
        <v>12</v>
      </c>
      <c r="AH140">
        <f t="shared" si="22"/>
        <v>60</v>
      </c>
      <c r="AI140">
        <f t="shared" si="23"/>
        <v>0</v>
      </c>
      <c r="AK140">
        <f t="shared" si="24"/>
        <v>5</v>
      </c>
      <c r="AL140">
        <v>10.66</v>
      </c>
      <c r="AM140" t="s">
        <v>27</v>
      </c>
      <c r="AN140">
        <v>10.66</v>
      </c>
      <c r="AO140" t="b">
        <f t="shared" si="25"/>
        <v>1</v>
      </c>
      <c r="AR140" t="s">
        <v>5061</v>
      </c>
      <c r="AS140" s="21">
        <v>46276</v>
      </c>
      <c r="AT140" t="s">
        <v>5062</v>
      </c>
      <c r="AU140" t="s">
        <v>5069</v>
      </c>
      <c r="AV140" t="s">
        <v>5062</v>
      </c>
      <c r="AW140" t="s">
        <v>5086</v>
      </c>
    </row>
    <row r="141" spans="1:49" hidden="1" x14ac:dyDescent="0.35">
      <c r="A141" t="s">
        <v>871</v>
      </c>
      <c r="B141" t="s">
        <v>872</v>
      </c>
      <c r="C141" t="s">
        <v>4818</v>
      </c>
      <c r="D141" t="s">
        <v>18</v>
      </c>
      <c r="E141" t="s">
        <v>1025</v>
      </c>
      <c r="F141" t="s">
        <v>1026</v>
      </c>
      <c r="G141" t="s">
        <v>21</v>
      </c>
      <c r="H141" t="s">
        <v>4888</v>
      </c>
      <c r="I141" t="s">
        <v>4902</v>
      </c>
      <c r="J141" s="4" t="s">
        <v>4903</v>
      </c>
      <c r="K141" s="4" t="s">
        <v>4899</v>
      </c>
      <c r="L141" s="4" t="s">
        <v>4885</v>
      </c>
      <c r="M141" s="4" t="s">
        <v>5035</v>
      </c>
      <c r="N141" t="s">
        <v>1027</v>
      </c>
      <c r="O141" t="s">
        <v>1028</v>
      </c>
      <c r="P141" t="s">
        <v>23</v>
      </c>
      <c r="Q141" t="s">
        <v>24</v>
      </c>
      <c r="R141" t="s">
        <v>25</v>
      </c>
      <c r="S141" t="s">
        <v>26</v>
      </c>
      <c r="T141" s="6">
        <v>46307</v>
      </c>
      <c r="U141">
        <v>72</v>
      </c>
      <c r="V141">
        <v>72</v>
      </c>
      <c r="W141">
        <v>60</v>
      </c>
      <c r="X141">
        <v>60</v>
      </c>
      <c r="Y141">
        <f t="shared" si="20"/>
        <v>0</v>
      </c>
      <c r="Z141">
        <f t="shared" si="21"/>
        <v>12</v>
      </c>
      <c r="AA141">
        <f>Z141</f>
        <v>12</v>
      </c>
      <c r="AC141" s="1">
        <v>0</v>
      </c>
      <c r="AF141">
        <f>X141</f>
        <v>60</v>
      </c>
      <c r="AG141" s="41">
        <v>12</v>
      </c>
      <c r="AH141">
        <f t="shared" si="22"/>
        <v>60</v>
      </c>
      <c r="AI141">
        <f t="shared" si="23"/>
        <v>12</v>
      </c>
      <c r="AK141">
        <f t="shared" si="24"/>
        <v>5</v>
      </c>
      <c r="AL141">
        <v>10.49</v>
      </c>
      <c r="AM141" t="s">
        <v>27</v>
      </c>
      <c r="AN141">
        <v>10.49</v>
      </c>
      <c r="AO141" t="b">
        <f t="shared" si="25"/>
        <v>1</v>
      </c>
      <c r="AR141" t="s">
        <v>5061</v>
      </c>
      <c r="AS141" s="21">
        <v>46276</v>
      </c>
      <c r="AT141" t="s">
        <v>5062</v>
      </c>
      <c r="AU141" t="s">
        <v>5069</v>
      </c>
      <c r="AV141" t="s">
        <v>5062</v>
      </c>
      <c r="AW141" t="s">
        <v>5086</v>
      </c>
    </row>
    <row r="142" spans="1:49" hidden="1" x14ac:dyDescent="0.35">
      <c r="A142" t="s">
        <v>871</v>
      </c>
      <c r="B142" t="s">
        <v>872</v>
      </c>
      <c r="C142" t="s">
        <v>4818</v>
      </c>
      <c r="D142" t="s">
        <v>18</v>
      </c>
      <c r="E142" t="s">
        <v>1029</v>
      </c>
      <c r="F142" t="s">
        <v>1030</v>
      </c>
      <c r="G142" t="s">
        <v>21</v>
      </c>
      <c r="H142" t="s">
        <v>4888</v>
      </c>
      <c r="I142" t="s">
        <v>4893</v>
      </c>
      <c r="J142" s="4" t="s">
        <v>4894</v>
      </c>
      <c r="K142" s="4" t="s">
        <v>4837</v>
      </c>
      <c r="L142" s="4" t="s">
        <v>4879</v>
      </c>
      <c r="M142" s="4" t="s">
        <v>5035</v>
      </c>
      <c r="N142" t="s">
        <v>1031</v>
      </c>
      <c r="O142" t="s">
        <v>1032</v>
      </c>
      <c r="P142" t="s">
        <v>23</v>
      </c>
      <c r="Q142" t="s">
        <v>24</v>
      </c>
      <c r="R142" t="s">
        <v>25</v>
      </c>
      <c r="S142" t="s">
        <v>26</v>
      </c>
      <c r="T142" s="6">
        <v>46307</v>
      </c>
      <c r="U142">
        <v>48</v>
      </c>
      <c r="V142">
        <v>48</v>
      </c>
      <c r="W142">
        <v>48</v>
      </c>
      <c r="X142">
        <v>48</v>
      </c>
      <c r="Y142">
        <f t="shared" si="20"/>
        <v>0</v>
      </c>
      <c r="Z142">
        <f t="shared" si="21"/>
        <v>0</v>
      </c>
      <c r="AC142" s="1">
        <v>0</v>
      </c>
      <c r="AF142">
        <f>V142</f>
        <v>48</v>
      </c>
      <c r="AG142" s="41">
        <v>12</v>
      </c>
      <c r="AH142">
        <f t="shared" si="22"/>
        <v>48</v>
      </c>
      <c r="AI142">
        <f t="shared" si="23"/>
        <v>0</v>
      </c>
      <c r="AK142">
        <f t="shared" si="24"/>
        <v>4</v>
      </c>
      <c r="AL142">
        <v>10.06</v>
      </c>
      <c r="AM142" t="s">
        <v>27</v>
      </c>
      <c r="AN142">
        <v>10.06</v>
      </c>
      <c r="AO142" t="b">
        <f t="shared" si="25"/>
        <v>1</v>
      </c>
      <c r="AR142" t="s">
        <v>5061</v>
      </c>
      <c r="AS142" s="21">
        <v>46276</v>
      </c>
      <c r="AT142" t="s">
        <v>5062</v>
      </c>
      <c r="AU142" t="s">
        <v>5068</v>
      </c>
      <c r="AV142" t="s">
        <v>5062</v>
      </c>
      <c r="AW142" t="s">
        <v>5086</v>
      </c>
    </row>
    <row r="143" spans="1:49" hidden="1" x14ac:dyDescent="0.35">
      <c r="A143" t="s">
        <v>871</v>
      </c>
      <c r="B143" t="s">
        <v>872</v>
      </c>
      <c r="C143" t="s">
        <v>4818</v>
      </c>
      <c r="D143" t="s">
        <v>18</v>
      </c>
      <c r="E143" t="s">
        <v>1033</v>
      </c>
      <c r="F143" t="s">
        <v>1034</v>
      </c>
      <c r="G143" t="s">
        <v>21</v>
      </c>
      <c r="H143" t="s">
        <v>4888</v>
      </c>
      <c r="I143" t="s">
        <v>4893</v>
      </c>
      <c r="J143" s="4" t="s">
        <v>4894</v>
      </c>
      <c r="K143" s="4" t="s">
        <v>4837</v>
      </c>
      <c r="L143" s="4" t="s">
        <v>4916</v>
      </c>
      <c r="M143" s="4" t="s">
        <v>5035</v>
      </c>
      <c r="N143" t="s">
        <v>1035</v>
      </c>
      <c r="O143" t="s">
        <v>1036</v>
      </c>
      <c r="P143" t="s">
        <v>23</v>
      </c>
      <c r="Q143" t="s">
        <v>24</v>
      </c>
      <c r="R143" t="s">
        <v>25</v>
      </c>
      <c r="S143" t="s">
        <v>26</v>
      </c>
      <c r="T143" s="6">
        <v>46307</v>
      </c>
      <c r="U143">
        <v>96</v>
      </c>
      <c r="V143">
        <v>96</v>
      </c>
      <c r="W143">
        <v>84</v>
      </c>
      <c r="X143">
        <v>84</v>
      </c>
      <c r="Y143">
        <f t="shared" si="20"/>
        <v>0</v>
      </c>
      <c r="Z143">
        <f t="shared" si="21"/>
        <v>12</v>
      </c>
      <c r="AA143">
        <f>Z143</f>
        <v>12</v>
      </c>
      <c r="AC143" s="1">
        <v>0</v>
      </c>
      <c r="AF143">
        <f>X143</f>
        <v>84</v>
      </c>
      <c r="AG143" s="41">
        <v>12</v>
      </c>
      <c r="AH143">
        <f t="shared" si="22"/>
        <v>84</v>
      </c>
      <c r="AI143">
        <f t="shared" si="23"/>
        <v>12</v>
      </c>
      <c r="AK143">
        <f t="shared" si="24"/>
        <v>7</v>
      </c>
      <c r="AL143">
        <v>10.06</v>
      </c>
      <c r="AM143" t="s">
        <v>27</v>
      </c>
      <c r="AN143">
        <v>10.06</v>
      </c>
      <c r="AO143" t="b">
        <f t="shared" si="25"/>
        <v>1</v>
      </c>
      <c r="AR143" t="s">
        <v>5061</v>
      </c>
      <c r="AS143" s="21">
        <v>46276</v>
      </c>
      <c r="AT143" t="s">
        <v>5062</v>
      </c>
      <c r="AU143" t="s">
        <v>5068</v>
      </c>
      <c r="AV143" t="s">
        <v>5062</v>
      </c>
      <c r="AW143" t="s">
        <v>5086</v>
      </c>
    </row>
    <row r="144" spans="1:49" hidden="1" x14ac:dyDescent="0.35">
      <c r="A144" t="s">
        <v>871</v>
      </c>
      <c r="B144" t="s">
        <v>872</v>
      </c>
      <c r="C144" t="s">
        <v>4818</v>
      </c>
      <c r="D144" t="s">
        <v>18</v>
      </c>
      <c r="E144" t="s">
        <v>1037</v>
      </c>
      <c r="F144" t="s">
        <v>1038</v>
      </c>
      <c r="G144" t="s">
        <v>21</v>
      </c>
      <c r="H144" t="s">
        <v>4888</v>
      </c>
      <c r="I144" t="s">
        <v>4893</v>
      </c>
      <c r="J144" s="4" t="s">
        <v>4894</v>
      </c>
      <c r="K144" s="4" t="s">
        <v>4837</v>
      </c>
      <c r="L144" s="4" t="s">
        <v>4855</v>
      </c>
      <c r="M144" s="4" t="s">
        <v>5035</v>
      </c>
      <c r="N144" t="s">
        <v>1039</v>
      </c>
      <c r="O144" t="s">
        <v>1040</v>
      </c>
      <c r="P144" t="s">
        <v>23</v>
      </c>
      <c r="Q144" t="s">
        <v>24</v>
      </c>
      <c r="R144" t="s">
        <v>25</v>
      </c>
      <c r="S144" t="s">
        <v>26</v>
      </c>
      <c r="T144" s="6">
        <v>46307</v>
      </c>
      <c r="U144">
        <v>36</v>
      </c>
      <c r="V144">
        <v>36</v>
      </c>
      <c r="W144">
        <v>36</v>
      </c>
      <c r="X144">
        <v>36</v>
      </c>
      <c r="Y144">
        <f t="shared" si="20"/>
        <v>0</v>
      </c>
      <c r="Z144">
        <f t="shared" si="21"/>
        <v>0</v>
      </c>
      <c r="AC144" s="1">
        <v>0</v>
      </c>
      <c r="AF144">
        <f>V144</f>
        <v>36</v>
      </c>
      <c r="AG144" s="41">
        <v>12</v>
      </c>
      <c r="AH144">
        <f t="shared" si="22"/>
        <v>36</v>
      </c>
      <c r="AI144">
        <f t="shared" si="23"/>
        <v>0</v>
      </c>
      <c r="AK144">
        <f t="shared" si="24"/>
        <v>3</v>
      </c>
      <c r="AL144">
        <v>10.06</v>
      </c>
      <c r="AM144" t="s">
        <v>27</v>
      </c>
      <c r="AN144">
        <v>10.06</v>
      </c>
      <c r="AO144" t="b">
        <f t="shared" si="25"/>
        <v>1</v>
      </c>
      <c r="AR144" t="s">
        <v>5061</v>
      </c>
      <c r="AS144" s="21">
        <v>46276</v>
      </c>
      <c r="AT144" t="s">
        <v>5062</v>
      </c>
      <c r="AU144" t="s">
        <v>5068</v>
      </c>
      <c r="AV144" t="s">
        <v>5062</v>
      </c>
      <c r="AW144" t="s">
        <v>5086</v>
      </c>
    </row>
    <row r="145" spans="1:49" hidden="1" x14ac:dyDescent="0.35">
      <c r="A145" t="s">
        <v>871</v>
      </c>
      <c r="B145" t="s">
        <v>872</v>
      </c>
      <c r="C145" t="s">
        <v>4818</v>
      </c>
      <c r="D145" t="s">
        <v>18</v>
      </c>
      <c r="E145" t="s">
        <v>1041</v>
      </c>
      <c r="F145" t="s">
        <v>1042</v>
      </c>
      <c r="G145" t="s">
        <v>21</v>
      </c>
      <c r="H145" t="s">
        <v>4888</v>
      </c>
      <c r="I145" t="s">
        <v>4893</v>
      </c>
      <c r="J145" s="4" t="s">
        <v>4894</v>
      </c>
      <c r="K145" s="4" t="s">
        <v>4837</v>
      </c>
      <c r="L145" s="4" t="s">
        <v>4873</v>
      </c>
      <c r="M145" s="4" t="s">
        <v>5035</v>
      </c>
      <c r="N145" t="s">
        <v>1043</v>
      </c>
      <c r="O145" t="s">
        <v>1044</v>
      </c>
      <c r="P145" t="s">
        <v>23</v>
      </c>
      <c r="Q145" t="s">
        <v>24</v>
      </c>
      <c r="R145" t="s">
        <v>25</v>
      </c>
      <c r="S145" t="s">
        <v>26</v>
      </c>
      <c r="T145" s="6">
        <v>46307</v>
      </c>
      <c r="U145">
        <v>84</v>
      </c>
      <c r="V145">
        <v>84</v>
      </c>
      <c r="W145">
        <v>72</v>
      </c>
      <c r="X145">
        <v>72</v>
      </c>
      <c r="Y145">
        <f t="shared" si="20"/>
        <v>0</v>
      </c>
      <c r="Z145">
        <f t="shared" si="21"/>
        <v>12</v>
      </c>
      <c r="AA145">
        <f>Z145</f>
        <v>12</v>
      </c>
      <c r="AC145" s="1">
        <v>0</v>
      </c>
      <c r="AF145">
        <f>X145</f>
        <v>72</v>
      </c>
      <c r="AG145" s="41">
        <v>12</v>
      </c>
      <c r="AH145">
        <f t="shared" si="22"/>
        <v>72</v>
      </c>
      <c r="AI145">
        <f t="shared" si="23"/>
        <v>12</v>
      </c>
      <c r="AK145">
        <f t="shared" si="24"/>
        <v>6</v>
      </c>
      <c r="AL145">
        <v>10.06</v>
      </c>
      <c r="AM145" t="s">
        <v>27</v>
      </c>
      <c r="AN145">
        <v>10.06</v>
      </c>
      <c r="AO145" t="b">
        <f t="shared" si="25"/>
        <v>1</v>
      </c>
      <c r="AR145" t="s">
        <v>5061</v>
      </c>
      <c r="AS145" s="21">
        <v>46276</v>
      </c>
      <c r="AT145" t="s">
        <v>5062</v>
      </c>
      <c r="AU145" t="s">
        <v>5068</v>
      </c>
      <c r="AV145" t="s">
        <v>5062</v>
      </c>
      <c r="AW145" t="s">
        <v>5086</v>
      </c>
    </row>
    <row r="146" spans="1:49" hidden="1" x14ac:dyDescent="0.35">
      <c r="A146" t="s">
        <v>871</v>
      </c>
      <c r="B146" t="s">
        <v>872</v>
      </c>
      <c r="C146" t="s">
        <v>4818</v>
      </c>
      <c r="D146" t="s">
        <v>18</v>
      </c>
      <c r="E146" t="s">
        <v>1045</v>
      </c>
      <c r="F146" t="s">
        <v>1046</v>
      </c>
      <c r="G146" t="s">
        <v>21</v>
      </c>
      <c r="H146" t="s">
        <v>4888</v>
      </c>
      <c r="I146" t="s">
        <v>4906</v>
      </c>
      <c r="J146" s="4" t="s">
        <v>4907</v>
      </c>
      <c r="K146" s="4" t="s">
        <v>4908</v>
      </c>
      <c r="L146" s="4" t="s">
        <v>4867</v>
      </c>
      <c r="M146" s="4" t="s">
        <v>5035</v>
      </c>
      <c r="N146" t="s">
        <v>1047</v>
      </c>
      <c r="O146" t="s">
        <v>1048</v>
      </c>
      <c r="P146" t="s">
        <v>23</v>
      </c>
      <c r="Q146" t="s">
        <v>24</v>
      </c>
      <c r="R146" t="s">
        <v>25</v>
      </c>
      <c r="S146" t="s">
        <v>26</v>
      </c>
      <c r="T146" s="6">
        <v>46307</v>
      </c>
      <c r="U146">
        <v>60</v>
      </c>
      <c r="V146">
        <v>60</v>
      </c>
      <c r="W146">
        <v>60</v>
      </c>
      <c r="X146">
        <v>60</v>
      </c>
      <c r="Y146">
        <f t="shared" si="20"/>
        <v>0</v>
      </c>
      <c r="Z146">
        <f t="shared" si="21"/>
        <v>0</v>
      </c>
      <c r="AC146" s="1">
        <v>0</v>
      </c>
      <c r="AF146">
        <f>V146</f>
        <v>60</v>
      </c>
      <c r="AG146" s="41">
        <v>12</v>
      </c>
      <c r="AH146">
        <f t="shared" si="22"/>
        <v>60</v>
      </c>
      <c r="AI146">
        <f t="shared" si="23"/>
        <v>0</v>
      </c>
      <c r="AK146">
        <f t="shared" si="24"/>
        <v>5</v>
      </c>
      <c r="AL146">
        <v>10.19</v>
      </c>
      <c r="AM146" t="s">
        <v>27</v>
      </c>
      <c r="AN146">
        <v>10.19</v>
      </c>
      <c r="AO146" t="b">
        <f t="shared" si="25"/>
        <v>1</v>
      </c>
      <c r="AR146" t="s">
        <v>5061</v>
      </c>
      <c r="AS146" s="21">
        <v>46276</v>
      </c>
      <c r="AT146" t="s">
        <v>5062</v>
      </c>
      <c r="AU146" t="s">
        <v>5070</v>
      </c>
      <c r="AV146" t="s">
        <v>5062</v>
      </c>
      <c r="AW146" t="s">
        <v>5086</v>
      </c>
    </row>
    <row r="147" spans="1:49" hidden="1" x14ac:dyDescent="0.35">
      <c r="A147" t="s">
        <v>871</v>
      </c>
      <c r="B147" t="s">
        <v>872</v>
      </c>
      <c r="C147" t="s">
        <v>4818</v>
      </c>
      <c r="D147" t="s">
        <v>18</v>
      </c>
      <c r="E147" t="s">
        <v>1049</v>
      </c>
      <c r="F147" t="s">
        <v>1050</v>
      </c>
      <c r="G147" t="s">
        <v>21</v>
      </c>
      <c r="H147" t="s">
        <v>4888</v>
      </c>
      <c r="I147" t="s">
        <v>4889</v>
      </c>
      <c r="J147" s="4" t="s">
        <v>4890</v>
      </c>
      <c r="K147" s="4" t="s">
        <v>4911</v>
      </c>
      <c r="L147" s="4" t="s">
        <v>4857</v>
      </c>
      <c r="M147" s="4" t="s">
        <v>5035</v>
      </c>
      <c r="N147" t="s">
        <v>1051</v>
      </c>
      <c r="O147" t="s">
        <v>1052</v>
      </c>
      <c r="P147" t="s">
        <v>23</v>
      </c>
      <c r="Q147" t="s">
        <v>24</v>
      </c>
      <c r="R147" t="s">
        <v>25</v>
      </c>
      <c r="S147" t="s">
        <v>26</v>
      </c>
      <c r="T147" s="6">
        <v>46307</v>
      </c>
      <c r="U147">
        <v>24</v>
      </c>
      <c r="V147">
        <v>24</v>
      </c>
      <c r="W147">
        <v>24</v>
      </c>
      <c r="X147">
        <v>24</v>
      </c>
      <c r="Y147">
        <f t="shared" si="20"/>
        <v>0</v>
      </c>
      <c r="Z147">
        <f t="shared" si="21"/>
        <v>0</v>
      </c>
      <c r="AC147" s="1">
        <v>0</v>
      </c>
      <c r="AF147">
        <f>V147</f>
        <v>24</v>
      </c>
      <c r="AG147" s="41">
        <v>12</v>
      </c>
      <c r="AH147">
        <f t="shared" si="22"/>
        <v>24</v>
      </c>
      <c r="AI147">
        <f t="shared" si="23"/>
        <v>0</v>
      </c>
      <c r="AK147">
        <f t="shared" si="24"/>
        <v>2</v>
      </c>
      <c r="AL147">
        <v>11.87</v>
      </c>
      <c r="AM147" t="s">
        <v>27</v>
      </c>
      <c r="AN147">
        <v>11.87</v>
      </c>
      <c r="AO147" t="b">
        <f t="shared" si="25"/>
        <v>1</v>
      </c>
      <c r="AR147" t="s">
        <v>5061</v>
      </c>
      <c r="AS147" s="21">
        <v>46276</v>
      </c>
      <c r="AT147" t="s">
        <v>5062</v>
      </c>
      <c r="AU147" t="s">
        <v>5067</v>
      </c>
      <c r="AV147" t="s">
        <v>5062</v>
      </c>
      <c r="AW147" t="s">
        <v>5086</v>
      </c>
    </row>
    <row r="148" spans="1:49" hidden="1" x14ac:dyDescent="0.35">
      <c r="A148" t="s">
        <v>871</v>
      </c>
      <c r="B148" t="s">
        <v>872</v>
      </c>
      <c r="C148" t="s">
        <v>4818</v>
      </c>
      <c r="D148" t="s">
        <v>18</v>
      </c>
      <c r="E148" t="s">
        <v>1053</v>
      </c>
      <c r="F148" t="s">
        <v>1054</v>
      </c>
      <c r="G148" t="s">
        <v>21</v>
      </c>
      <c r="H148" t="s">
        <v>4888</v>
      </c>
      <c r="I148" t="s">
        <v>4889</v>
      </c>
      <c r="J148" s="4" t="s">
        <v>4890</v>
      </c>
      <c r="K148" s="4" t="s">
        <v>4911</v>
      </c>
      <c r="L148" s="4" t="s">
        <v>4864</v>
      </c>
      <c r="M148" s="4" t="s">
        <v>5035</v>
      </c>
      <c r="N148" t="s">
        <v>1055</v>
      </c>
      <c r="O148" t="s">
        <v>1056</v>
      </c>
      <c r="P148" t="s">
        <v>23</v>
      </c>
      <c r="Q148" t="s">
        <v>24</v>
      </c>
      <c r="R148" t="s">
        <v>25</v>
      </c>
      <c r="S148" t="s">
        <v>26</v>
      </c>
      <c r="T148" s="6">
        <v>46307</v>
      </c>
      <c r="U148">
        <v>60</v>
      </c>
      <c r="V148">
        <v>60</v>
      </c>
      <c r="W148">
        <v>48</v>
      </c>
      <c r="X148">
        <v>48</v>
      </c>
      <c r="Y148">
        <f t="shared" si="20"/>
        <v>0</v>
      </c>
      <c r="Z148">
        <f t="shared" si="21"/>
        <v>12</v>
      </c>
      <c r="AA148">
        <f>Z148</f>
        <v>12</v>
      </c>
      <c r="AC148" s="1">
        <v>0</v>
      </c>
      <c r="AF148">
        <f>X148</f>
        <v>48</v>
      </c>
      <c r="AG148" s="41">
        <v>12</v>
      </c>
      <c r="AH148">
        <f t="shared" si="22"/>
        <v>48</v>
      </c>
      <c r="AI148">
        <f t="shared" si="23"/>
        <v>12</v>
      </c>
      <c r="AK148">
        <f t="shared" si="24"/>
        <v>4</v>
      </c>
      <c r="AL148">
        <v>11.87</v>
      </c>
      <c r="AM148" t="s">
        <v>27</v>
      </c>
      <c r="AN148">
        <v>11.87</v>
      </c>
      <c r="AO148" t="b">
        <f t="shared" si="25"/>
        <v>1</v>
      </c>
      <c r="AR148" t="s">
        <v>5061</v>
      </c>
      <c r="AS148" s="21">
        <v>46276</v>
      </c>
      <c r="AT148" t="s">
        <v>5062</v>
      </c>
      <c r="AU148" t="s">
        <v>5067</v>
      </c>
      <c r="AV148" t="s">
        <v>5062</v>
      </c>
      <c r="AW148" t="s">
        <v>5086</v>
      </c>
    </row>
    <row r="149" spans="1:49" hidden="1" x14ac:dyDescent="0.35">
      <c r="A149" t="s">
        <v>871</v>
      </c>
      <c r="B149" t="s">
        <v>872</v>
      </c>
      <c r="C149" t="s">
        <v>4818</v>
      </c>
      <c r="D149" t="s">
        <v>18</v>
      </c>
      <c r="E149" t="s">
        <v>1057</v>
      </c>
      <c r="F149" t="s">
        <v>1058</v>
      </c>
      <c r="G149" t="s">
        <v>21</v>
      </c>
      <c r="H149" t="s">
        <v>4888</v>
      </c>
      <c r="I149" t="s">
        <v>4893</v>
      </c>
      <c r="J149" s="4" t="s">
        <v>4894</v>
      </c>
      <c r="K149" s="4" t="s">
        <v>4904</v>
      </c>
      <c r="L149" s="4" t="s">
        <v>4922</v>
      </c>
      <c r="M149" s="4" t="s">
        <v>5035</v>
      </c>
      <c r="N149" t="s">
        <v>1059</v>
      </c>
      <c r="O149" t="s">
        <v>1060</v>
      </c>
      <c r="P149" t="s">
        <v>23</v>
      </c>
      <c r="Q149" t="s">
        <v>24</v>
      </c>
      <c r="R149" t="s">
        <v>25</v>
      </c>
      <c r="S149" t="s">
        <v>26</v>
      </c>
      <c r="T149" s="6">
        <v>46307</v>
      </c>
      <c r="U149">
        <v>168</v>
      </c>
      <c r="V149">
        <v>168</v>
      </c>
      <c r="W149">
        <v>180</v>
      </c>
      <c r="X149">
        <v>180</v>
      </c>
      <c r="Y149">
        <f t="shared" si="20"/>
        <v>0</v>
      </c>
      <c r="Z149">
        <f t="shared" si="21"/>
        <v>-12</v>
      </c>
      <c r="AC149" s="1">
        <v>0</v>
      </c>
      <c r="AF149">
        <f>V149</f>
        <v>168</v>
      </c>
      <c r="AG149" s="41">
        <v>12</v>
      </c>
      <c r="AH149">
        <f t="shared" si="22"/>
        <v>168</v>
      </c>
      <c r="AI149">
        <f t="shared" si="23"/>
        <v>0</v>
      </c>
      <c r="AK149">
        <f t="shared" si="24"/>
        <v>14</v>
      </c>
      <c r="AL149">
        <v>10.16</v>
      </c>
      <c r="AM149" t="s">
        <v>27</v>
      </c>
      <c r="AN149">
        <v>10.16</v>
      </c>
      <c r="AO149" t="b">
        <f t="shared" si="25"/>
        <v>1</v>
      </c>
      <c r="AR149" t="s">
        <v>5061</v>
      </c>
      <c r="AS149" s="21">
        <v>46276</v>
      </c>
      <c r="AT149" t="s">
        <v>5062</v>
      </c>
      <c r="AU149" t="s">
        <v>5068</v>
      </c>
      <c r="AV149" t="s">
        <v>5062</v>
      </c>
      <c r="AW149" t="s">
        <v>5086</v>
      </c>
    </row>
    <row r="150" spans="1:49" hidden="1" x14ac:dyDescent="0.35">
      <c r="A150" t="s">
        <v>871</v>
      </c>
      <c r="B150" t="s">
        <v>872</v>
      </c>
      <c r="C150" t="s">
        <v>4818</v>
      </c>
      <c r="D150" t="s">
        <v>18</v>
      </c>
      <c r="E150" t="s">
        <v>1061</v>
      </c>
      <c r="F150" t="s">
        <v>1062</v>
      </c>
      <c r="G150" t="s">
        <v>21</v>
      </c>
      <c r="H150" t="s">
        <v>4888</v>
      </c>
      <c r="I150" t="s">
        <v>4893</v>
      </c>
      <c r="J150" s="4" t="s">
        <v>4894</v>
      </c>
      <c r="K150" s="4" t="s">
        <v>4904</v>
      </c>
      <c r="L150" s="4" t="s">
        <v>4869</v>
      </c>
      <c r="M150" s="4" t="s">
        <v>5035</v>
      </c>
      <c r="N150" t="s">
        <v>1063</v>
      </c>
      <c r="O150" t="s">
        <v>1064</v>
      </c>
      <c r="P150" t="s">
        <v>23</v>
      </c>
      <c r="Q150" t="s">
        <v>24</v>
      </c>
      <c r="R150" t="s">
        <v>25</v>
      </c>
      <c r="S150" t="s">
        <v>26</v>
      </c>
      <c r="T150" s="6">
        <v>46307</v>
      </c>
      <c r="U150">
        <v>84</v>
      </c>
      <c r="V150">
        <v>84</v>
      </c>
      <c r="W150">
        <v>72</v>
      </c>
      <c r="X150">
        <v>72</v>
      </c>
      <c r="Y150">
        <f t="shared" si="20"/>
        <v>0</v>
      </c>
      <c r="Z150">
        <f t="shared" si="21"/>
        <v>12</v>
      </c>
      <c r="AA150">
        <f>Z150</f>
        <v>12</v>
      </c>
      <c r="AC150" s="1">
        <v>0</v>
      </c>
      <c r="AF150">
        <f>X150</f>
        <v>72</v>
      </c>
      <c r="AG150" s="41">
        <v>12</v>
      </c>
      <c r="AH150">
        <f t="shared" si="22"/>
        <v>72</v>
      </c>
      <c r="AI150">
        <f t="shared" si="23"/>
        <v>12</v>
      </c>
      <c r="AK150">
        <f t="shared" si="24"/>
        <v>6</v>
      </c>
      <c r="AL150">
        <v>10.16</v>
      </c>
      <c r="AM150" t="s">
        <v>27</v>
      </c>
      <c r="AN150">
        <v>10.16</v>
      </c>
      <c r="AO150" t="b">
        <f t="shared" si="25"/>
        <v>1</v>
      </c>
      <c r="AR150" t="s">
        <v>5061</v>
      </c>
      <c r="AS150" s="21">
        <v>46276</v>
      </c>
      <c r="AT150" t="s">
        <v>5062</v>
      </c>
      <c r="AU150" t="s">
        <v>5068</v>
      </c>
      <c r="AV150" t="s">
        <v>5062</v>
      </c>
      <c r="AW150" t="s">
        <v>5086</v>
      </c>
    </row>
    <row r="151" spans="1:49" hidden="1" x14ac:dyDescent="0.35">
      <c r="A151" t="s">
        <v>871</v>
      </c>
      <c r="B151" t="s">
        <v>872</v>
      </c>
      <c r="C151" t="s">
        <v>4818</v>
      </c>
      <c r="D151" t="s">
        <v>18</v>
      </c>
      <c r="E151" t="s">
        <v>1065</v>
      </c>
      <c r="F151" t="s">
        <v>1066</v>
      </c>
      <c r="G151" t="s">
        <v>21</v>
      </c>
      <c r="H151" t="s">
        <v>4888</v>
      </c>
      <c r="I151" t="s">
        <v>4902</v>
      </c>
      <c r="J151" s="4" t="s">
        <v>4903</v>
      </c>
      <c r="K151" s="4" t="s">
        <v>4899</v>
      </c>
      <c r="L151" s="4" t="s">
        <v>4901</v>
      </c>
      <c r="M151" s="4" t="s">
        <v>5035</v>
      </c>
      <c r="N151" t="s">
        <v>1067</v>
      </c>
      <c r="O151" t="s">
        <v>1068</v>
      </c>
      <c r="P151" t="s">
        <v>23</v>
      </c>
      <c r="Q151" t="s">
        <v>24</v>
      </c>
      <c r="R151" t="s">
        <v>25</v>
      </c>
      <c r="S151" t="s">
        <v>26</v>
      </c>
      <c r="T151" s="6">
        <v>46307</v>
      </c>
      <c r="U151">
        <v>12</v>
      </c>
      <c r="V151">
        <v>12</v>
      </c>
      <c r="W151">
        <v>12</v>
      </c>
      <c r="X151">
        <v>12</v>
      </c>
      <c r="Y151">
        <f t="shared" si="20"/>
        <v>0</v>
      </c>
      <c r="Z151">
        <f t="shared" si="21"/>
        <v>0</v>
      </c>
      <c r="AC151" s="1">
        <v>0</v>
      </c>
      <c r="AF151">
        <f>V151</f>
        <v>12</v>
      </c>
      <c r="AG151" s="41">
        <v>12</v>
      </c>
      <c r="AH151">
        <f t="shared" si="22"/>
        <v>12</v>
      </c>
      <c r="AI151">
        <f t="shared" si="23"/>
        <v>0</v>
      </c>
      <c r="AK151">
        <f t="shared" si="24"/>
        <v>1</v>
      </c>
      <c r="AL151">
        <v>10.49</v>
      </c>
      <c r="AM151" t="s">
        <v>27</v>
      </c>
      <c r="AN151">
        <v>10.49</v>
      </c>
      <c r="AO151" t="b">
        <f t="shared" si="25"/>
        <v>1</v>
      </c>
      <c r="AR151" t="s">
        <v>5061</v>
      </c>
      <c r="AS151" s="21">
        <v>46276</v>
      </c>
      <c r="AT151" t="s">
        <v>5062</v>
      </c>
      <c r="AU151" t="s">
        <v>5069</v>
      </c>
      <c r="AV151" t="s">
        <v>5062</v>
      </c>
      <c r="AW151" t="s">
        <v>5086</v>
      </c>
    </row>
    <row r="152" spans="1:49" hidden="1" x14ac:dyDescent="0.35">
      <c r="A152" t="s">
        <v>871</v>
      </c>
      <c r="B152" t="s">
        <v>872</v>
      </c>
      <c r="C152" t="s">
        <v>4818</v>
      </c>
      <c r="D152" t="s">
        <v>18</v>
      </c>
      <c r="E152" t="s">
        <v>1069</v>
      </c>
      <c r="F152" t="s">
        <v>1070</v>
      </c>
      <c r="G152" t="s">
        <v>21</v>
      </c>
      <c r="H152" t="s">
        <v>4888</v>
      </c>
      <c r="I152" t="s">
        <v>4906</v>
      </c>
      <c r="J152" s="4" t="s">
        <v>4907</v>
      </c>
      <c r="K152" s="4" t="s">
        <v>4908</v>
      </c>
      <c r="L152" s="4" t="s">
        <v>4923</v>
      </c>
      <c r="M152" s="4" t="s">
        <v>5035</v>
      </c>
      <c r="N152" t="s">
        <v>1071</v>
      </c>
      <c r="O152" t="s">
        <v>1072</v>
      </c>
      <c r="P152" t="s">
        <v>23</v>
      </c>
      <c r="Q152" t="s">
        <v>24</v>
      </c>
      <c r="R152" t="s">
        <v>25</v>
      </c>
      <c r="S152" t="s">
        <v>26</v>
      </c>
      <c r="T152" s="6">
        <v>46307</v>
      </c>
      <c r="U152">
        <v>60</v>
      </c>
      <c r="V152">
        <v>60</v>
      </c>
      <c r="W152">
        <v>48</v>
      </c>
      <c r="X152">
        <v>48</v>
      </c>
      <c r="Y152">
        <f t="shared" si="20"/>
        <v>0</v>
      </c>
      <c r="Z152">
        <f t="shared" si="21"/>
        <v>12</v>
      </c>
      <c r="AA152">
        <f>Z152</f>
        <v>12</v>
      </c>
      <c r="AC152" s="1">
        <v>0</v>
      </c>
      <c r="AF152">
        <f>X152</f>
        <v>48</v>
      </c>
      <c r="AG152" s="41">
        <v>12</v>
      </c>
      <c r="AH152">
        <f t="shared" si="22"/>
        <v>48</v>
      </c>
      <c r="AI152">
        <f t="shared" si="23"/>
        <v>12</v>
      </c>
      <c r="AK152">
        <f t="shared" si="24"/>
        <v>4</v>
      </c>
      <c r="AL152">
        <v>10.19</v>
      </c>
      <c r="AM152" t="s">
        <v>27</v>
      </c>
      <c r="AN152">
        <v>10.19</v>
      </c>
      <c r="AO152" t="b">
        <f t="shared" si="25"/>
        <v>1</v>
      </c>
      <c r="AR152" t="s">
        <v>5061</v>
      </c>
      <c r="AS152" s="21">
        <v>46276</v>
      </c>
      <c r="AT152" t="s">
        <v>5062</v>
      </c>
      <c r="AU152" t="s">
        <v>5070</v>
      </c>
      <c r="AV152" t="s">
        <v>5062</v>
      </c>
      <c r="AW152" t="s">
        <v>5086</v>
      </c>
    </row>
    <row r="153" spans="1:49" hidden="1" x14ac:dyDescent="0.35">
      <c r="A153" t="s">
        <v>871</v>
      </c>
      <c r="B153" t="s">
        <v>872</v>
      </c>
      <c r="C153" t="s">
        <v>4818</v>
      </c>
      <c r="D153" t="s">
        <v>18</v>
      </c>
      <c r="E153" t="s">
        <v>1073</v>
      </c>
      <c r="F153" t="s">
        <v>1074</v>
      </c>
      <c r="G153" t="s">
        <v>21</v>
      </c>
      <c r="H153" t="s">
        <v>4888</v>
      </c>
      <c r="I153" t="s">
        <v>4889</v>
      </c>
      <c r="J153" s="4" t="s">
        <v>4890</v>
      </c>
      <c r="K153" s="4" t="s">
        <v>4899</v>
      </c>
      <c r="L153" s="4" t="s">
        <v>4924</v>
      </c>
      <c r="M153" s="4" t="s">
        <v>5035</v>
      </c>
      <c r="N153" t="s">
        <v>1075</v>
      </c>
      <c r="O153" t="s">
        <v>1076</v>
      </c>
      <c r="P153" t="s">
        <v>23</v>
      </c>
      <c r="Q153" t="s">
        <v>24</v>
      </c>
      <c r="R153" t="s">
        <v>25</v>
      </c>
      <c r="S153" t="s">
        <v>26</v>
      </c>
      <c r="T153" s="6">
        <v>46307</v>
      </c>
      <c r="U153">
        <v>132</v>
      </c>
      <c r="V153">
        <v>132</v>
      </c>
      <c r="W153">
        <v>132</v>
      </c>
      <c r="X153">
        <v>132</v>
      </c>
      <c r="Y153">
        <f t="shared" si="20"/>
        <v>0</v>
      </c>
      <c r="Z153">
        <f t="shared" si="21"/>
        <v>0</v>
      </c>
      <c r="AC153" s="1">
        <v>0</v>
      </c>
      <c r="AF153">
        <f>V153</f>
        <v>132</v>
      </c>
      <c r="AG153" s="41">
        <v>12</v>
      </c>
      <c r="AH153">
        <f t="shared" si="22"/>
        <v>132</v>
      </c>
      <c r="AI153">
        <f t="shared" si="23"/>
        <v>0</v>
      </c>
      <c r="AK153">
        <f t="shared" si="24"/>
        <v>11</v>
      </c>
      <c r="AL153">
        <v>10.9</v>
      </c>
      <c r="AM153" t="s">
        <v>27</v>
      </c>
      <c r="AN153">
        <v>10.9</v>
      </c>
      <c r="AO153" t="b">
        <f t="shared" si="25"/>
        <v>1</v>
      </c>
      <c r="AR153" t="s">
        <v>5061</v>
      </c>
      <c r="AS153" s="21">
        <v>46276</v>
      </c>
      <c r="AT153" t="s">
        <v>5062</v>
      </c>
      <c r="AU153" t="s">
        <v>5067</v>
      </c>
      <c r="AV153" t="s">
        <v>5062</v>
      </c>
      <c r="AW153" t="s">
        <v>5086</v>
      </c>
    </row>
    <row r="154" spans="1:49" hidden="1" x14ac:dyDescent="0.35">
      <c r="A154" t="s">
        <v>871</v>
      </c>
      <c r="B154" t="s">
        <v>872</v>
      </c>
      <c r="C154" t="s">
        <v>4818</v>
      </c>
      <c r="D154" t="s">
        <v>18</v>
      </c>
      <c r="E154" t="s">
        <v>1077</v>
      </c>
      <c r="F154" t="s">
        <v>1078</v>
      </c>
      <c r="G154" t="s">
        <v>21</v>
      </c>
      <c r="H154" t="s">
        <v>4888</v>
      </c>
      <c r="I154" t="s">
        <v>4889</v>
      </c>
      <c r="J154" s="4" t="s">
        <v>4890</v>
      </c>
      <c r="K154" s="4" t="s">
        <v>4911</v>
      </c>
      <c r="L154" s="4" t="s">
        <v>4917</v>
      </c>
      <c r="M154" s="4" t="s">
        <v>5035</v>
      </c>
      <c r="N154" t="s">
        <v>1079</v>
      </c>
      <c r="O154" t="s">
        <v>1080</v>
      </c>
      <c r="P154" t="s">
        <v>23</v>
      </c>
      <c r="Q154" t="s">
        <v>24</v>
      </c>
      <c r="R154" t="s">
        <v>25</v>
      </c>
      <c r="S154" t="s">
        <v>26</v>
      </c>
      <c r="T154" s="6">
        <v>46307</v>
      </c>
      <c r="U154">
        <v>144</v>
      </c>
      <c r="V154">
        <v>144</v>
      </c>
      <c r="W154">
        <v>132</v>
      </c>
      <c r="X154">
        <v>132</v>
      </c>
      <c r="Y154">
        <f t="shared" si="20"/>
        <v>0</v>
      </c>
      <c r="Z154">
        <f t="shared" si="21"/>
        <v>12</v>
      </c>
      <c r="AA154">
        <f>Z154</f>
        <v>12</v>
      </c>
      <c r="AC154" s="1">
        <v>0</v>
      </c>
      <c r="AF154">
        <f>X154</f>
        <v>132</v>
      </c>
      <c r="AG154" s="41">
        <v>12</v>
      </c>
      <c r="AH154">
        <f t="shared" si="22"/>
        <v>132</v>
      </c>
      <c r="AI154">
        <f t="shared" si="23"/>
        <v>12</v>
      </c>
      <c r="AK154">
        <f t="shared" si="24"/>
        <v>11</v>
      </c>
      <c r="AL154">
        <v>11.87</v>
      </c>
      <c r="AM154" t="s">
        <v>27</v>
      </c>
      <c r="AN154">
        <v>11.87</v>
      </c>
      <c r="AO154" t="b">
        <f t="shared" si="25"/>
        <v>1</v>
      </c>
      <c r="AR154" t="s">
        <v>5061</v>
      </c>
      <c r="AS154" s="21">
        <v>46276</v>
      </c>
      <c r="AT154" t="s">
        <v>5062</v>
      </c>
      <c r="AU154" t="s">
        <v>5067</v>
      </c>
      <c r="AV154" t="s">
        <v>5062</v>
      </c>
      <c r="AW154" t="s">
        <v>5086</v>
      </c>
    </row>
    <row r="155" spans="1:49" hidden="1" x14ac:dyDescent="0.35">
      <c r="A155" t="s">
        <v>871</v>
      </c>
      <c r="B155" t="s">
        <v>872</v>
      </c>
      <c r="C155" t="s">
        <v>4818</v>
      </c>
      <c r="D155" t="s">
        <v>18</v>
      </c>
      <c r="E155" t="s">
        <v>1081</v>
      </c>
      <c r="F155" t="s">
        <v>1082</v>
      </c>
      <c r="G155" t="s">
        <v>21</v>
      </c>
      <c r="H155" t="s">
        <v>4888</v>
      </c>
      <c r="I155" t="s">
        <v>4906</v>
      </c>
      <c r="J155" s="4" t="s">
        <v>4907</v>
      </c>
      <c r="K155" s="4" t="s">
        <v>4908</v>
      </c>
      <c r="L155" s="4" t="s">
        <v>4884</v>
      </c>
      <c r="M155" s="4" t="s">
        <v>5035</v>
      </c>
      <c r="N155" t="s">
        <v>1083</v>
      </c>
      <c r="O155" t="s">
        <v>1084</v>
      </c>
      <c r="P155" t="s">
        <v>23</v>
      </c>
      <c r="Q155" t="s">
        <v>24</v>
      </c>
      <c r="R155" t="s">
        <v>25</v>
      </c>
      <c r="S155" t="s">
        <v>26</v>
      </c>
      <c r="T155" s="6">
        <v>46307</v>
      </c>
      <c r="U155">
        <v>24</v>
      </c>
      <c r="V155">
        <v>24</v>
      </c>
      <c r="W155">
        <v>24</v>
      </c>
      <c r="X155">
        <v>24</v>
      </c>
      <c r="Y155">
        <f t="shared" si="20"/>
        <v>0</v>
      </c>
      <c r="Z155">
        <f t="shared" si="21"/>
        <v>0</v>
      </c>
      <c r="AC155" s="1">
        <v>0</v>
      </c>
      <c r="AF155">
        <f>V155</f>
        <v>24</v>
      </c>
      <c r="AG155" s="41">
        <v>12</v>
      </c>
      <c r="AH155">
        <f t="shared" si="22"/>
        <v>24</v>
      </c>
      <c r="AI155">
        <f t="shared" si="23"/>
        <v>0</v>
      </c>
      <c r="AK155">
        <f t="shared" si="24"/>
        <v>2</v>
      </c>
      <c r="AL155">
        <v>10.19</v>
      </c>
      <c r="AM155" t="s">
        <v>27</v>
      </c>
      <c r="AN155">
        <v>10.19</v>
      </c>
      <c r="AO155" t="b">
        <f t="shared" si="25"/>
        <v>1</v>
      </c>
      <c r="AR155" t="s">
        <v>5061</v>
      </c>
      <c r="AS155" s="21">
        <v>46276</v>
      </c>
      <c r="AT155" t="s">
        <v>5062</v>
      </c>
      <c r="AU155" t="s">
        <v>5070</v>
      </c>
      <c r="AV155" t="s">
        <v>5062</v>
      </c>
      <c r="AW155" t="s">
        <v>5086</v>
      </c>
    </row>
    <row r="156" spans="1:49" hidden="1" x14ac:dyDescent="0.35">
      <c r="A156" t="s">
        <v>871</v>
      </c>
      <c r="B156" t="s">
        <v>872</v>
      </c>
      <c r="C156" t="s">
        <v>4818</v>
      </c>
      <c r="D156" t="s">
        <v>18</v>
      </c>
      <c r="E156" t="s">
        <v>1085</v>
      </c>
      <c r="F156" t="s">
        <v>1086</v>
      </c>
      <c r="G156" t="s">
        <v>21</v>
      </c>
      <c r="H156" t="s">
        <v>4888</v>
      </c>
      <c r="I156" t="s">
        <v>4893</v>
      </c>
      <c r="J156" s="4" t="s">
        <v>4894</v>
      </c>
      <c r="K156" s="4" t="s">
        <v>4837</v>
      </c>
      <c r="L156" s="4" t="s">
        <v>4885</v>
      </c>
      <c r="M156" s="4" t="s">
        <v>5035</v>
      </c>
      <c r="N156" t="s">
        <v>1087</v>
      </c>
      <c r="O156" t="s">
        <v>1088</v>
      </c>
      <c r="P156" t="s">
        <v>23</v>
      </c>
      <c r="Q156" t="s">
        <v>24</v>
      </c>
      <c r="R156" t="s">
        <v>25</v>
      </c>
      <c r="S156" t="s">
        <v>26</v>
      </c>
      <c r="T156" s="6">
        <v>46307</v>
      </c>
      <c r="U156">
        <v>360</v>
      </c>
      <c r="V156">
        <v>360</v>
      </c>
      <c r="W156">
        <v>324</v>
      </c>
      <c r="X156">
        <v>324</v>
      </c>
      <c r="Y156">
        <f t="shared" si="20"/>
        <v>0</v>
      </c>
      <c r="Z156">
        <f t="shared" si="21"/>
        <v>36</v>
      </c>
      <c r="AA156">
        <f t="shared" ref="AA156:AA157" si="26">Z156</f>
        <v>36</v>
      </c>
      <c r="AC156" s="1">
        <v>0</v>
      </c>
      <c r="AF156">
        <f>X156</f>
        <v>324</v>
      </c>
      <c r="AG156" s="41">
        <v>12</v>
      </c>
      <c r="AH156">
        <f t="shared" si="22"/>
        <v>324</v>
      </c>
      <c r="AI156">
        <f t="shared" si="23"/>
        <v>36</v>
      </c>
      <c r="AK156">
        <f t="shared" si="24"/>
        <v>27</v>
      </c>
      <c r="AL156">
        <v>10.06</v>
      </c>
      <c r="AM156" t="s">
        <v>27</v>
      </c>
      <c r="AN156">
        <v>10.06</v>
      </c>
      <c r="AO156" t="b">
        <f t="shared" si="25"/>
        <v>1</v>
      </c>
      <c r="AR156" t="s">
        <v>5061</v>
      </c>
      <c r="AS156" s="21">
        <v>46276</v>
      </c>
      <c r="AT156" t="s">
        <v>5062</v>
      </c>
      <c r="AU156" t="s">
        <v>5068</v>
      </c>
      <c r="AV156" t="s">
        <v>5062</v>
      </c>
      <c r="AW156" t="s">
        <v>5086</v>
      </c>
    </row>
    <row r="157" spans="1:49" hidden="1" x14ac:dyDescent="0.35">
      <c r="A157" t="s">
        <v>871</v>
      </c>
      <c r="B157" t="s">
        <v>872</v>
      </c>
      <c r="C157" t="s">
        <v>4818</v>
      </c>
      <c r="D157" t="s">
        <v>18</v>
      </c>
      <c r="E157" t="s">
        <v>1089</v>
      </c>
      <c r="F157" t="s">
        <v>1090</v>
      </c>
      <c r="G157" t="s">
        <v>21</v>
      </c>
      <c r="H157" t="s">
        <v>4888</v>
      </c>
      <c r="I157" t="s">
        <v>4902</v>
      </c>
      <c r="J157" s="4" t="s">
        <v>4903</v>
      </c>
      <c r="K157" s="4" t="s">
        <v>4915</v>
      </c>
      <c r="L157" s="4" t="s">
        <v>4925</v>
      </c>
      <c r="M157" s="4" t="s">
        <v>5035</v>
      </c>
      <c r="N157" t="s">
        <v>1091</v>
      </c>
      <c r="O157" t="s">
        <v>1092</v>
      </c>
      <c r="P157" t="s">
        <v>23</v>
      </c>
      <c r="Q157" t="s">
        <v>24</v>
      </c>
      <c r="R157" t="s">
        <v>25</v>
      </c>
      <c r="S157" t="s">
        <v>26</v>
      </c>
      <c r="T157" s="6">
        <v>46307</v>
      </c>
      <c r="U157">
        <v>120</v>
      </c>
      <c r="V157">
        <v>120</v>
      </c>
      <c r="W157">
        <v>108</v>
      </c>
      <c r="X157">
        <v>108</v>
      </c>
      <c r="Y157">
        <f t="shared" si="20"/>
        <v>0</v>
      </c>
      <c r="Z157">
        <f t="shared" si="21"/>
        <v>12</v>
      </c>
      <c r="AA157">
        <f t="shared" si="26"/>
        <v>12</v>
      </c>
      <c r="AC157" s="1">
        <v>0</v>
      </c>
      <c r="AF157">
        <f>X157</f>
        <v>108</v>
      </c>
      <c r="AG157" s="41">
        <v>12</v>
      </c>
      <c r="AH157">
        <f t="shared" si="22"/>
        <v>108</v>
      </c>
      <c r="AI157">
        <f t="shared" si="23"/>
        <v>12</v>
      </c>
      <c r="AK157">
        <f t="shared" si="24"/>
        <v>9</v>
      </c>
      <c r="AL157">
        <v>10.66</v>
      </c>
      <c r="AM157" t="s">
        <v>27</v>
      </c>
      <c r="AN157">
        <v>10.66</v>
      </c>
      <c r="AO157" t="b">
        <f t="shared" si="25"/>
        <v>1</v>
      </c>
      <c r="AR157" t="s">
        <v>5061</v>
      </c>
      <c r="AS157" s="21">
        <v>46276</v>
      </c>
      <c r="AT157" t="s">
        <v>5062</v>
      </c>
      <c r="AU157" t="s">
        <v>5069</v>
      </c>
      <c r="AV157" t="s">
        <v>5062</v>
      </c>
      <c r="AW157" t="s">
        <v>5086</v>
      </c>
    </row>
    <row r="158" spans="1:49" hidden="1" x14ac:dyDescent="0.35">
      <c r="A158" t="s">
        <v>871</v>
      </c>
      <c r="B158" t="s">
        <v>872</v>
      </c>
      <c r="C158" t="s">
        <v>4818</v>
      </c>
      <c r="D158" t="s">
        <v>18</v>
      </c>
      <c r="E158" t="s">
        <v>1093</v>
      </c>
      <c r="F158" t="s">
        <v>1094</v>
      </c>
      <c r="G158" t="s">
        <v>21</v>
      </c>
      <c r="H158" t="s">
        <v>4888</v>
      </c>
      <c r="I158" t="s">
        <v>4906</v>
      </c>
      <c r="J158" s="4" t="s">
        <v>4907</v>
      </c>
      <c r="K158" s="4" t="s">
        <v>4908</v>
      </c>
      <c r="L158" s="4" t="s">
        <v>4870</v>
      </c>
      <c r="M158" s="4" t="s">
        <v>5035</v>
      </c>
      <c r="N158" t="s">
        <v>1095</v>
      </c>
      <c r="O158" t="s">
        <v>1096</v>
      </c>
      <c r="P158" t="s">
        <v>23</v>
      </c>
      <c r="Q158" t="s">
        <v>24</v>
      </c>
      <c r="R158" t="s">
        <v>25</v>
      </c>
      <c r="S158" t="s">
        <v>26</v>
      </c>
      <c r="T158" s="6">
        <v>46307</v>
      </c>
      <c r="U158">
        <v>120</v>
      </c>
      <c r="V158">
        <v>120</v>
      </c>
      <c r="W158">
        <v>132</v>
      </c>
      <c r="X158">
        <v>132</v>
      </c>
      <c r="Y158">
        <f t="shared" si="20"/>
        <v>0</v>
      </c>
      <c r="Z158">
        <f t="shared" si="21"/>
        <v>-12</v>
      </c>
      <c r="AC158" s="1">
        <v>0</v>
      </c>
      <c r="AF158">
        <f>V158</f>
        <v>120</v>
      </c>
      <c r="AG158" s="41">
        <v>12</v>
      </c>
      <c r="AH158">
        <f t="shared" si="22"/>
        <v>120</v>
      </c>
      <c r="AI158">
        <f t="shared" si="23"/>
        <v>0</v>
      </c>
      <c r="AK158">
        <f t="shared" si="24"/>
        <v>10</v>
      </c>
      <c r="AL158">
        <v>10.19</v>
      </c>
      <c r="AM158" t="s">
        <v>27</v>
      </c>
      <c r="AN158">
        <v>10.19</v>
      </c>
      <c r="AO158" t="b">
        <f t="shared" si="25"/>
        <v>1</v>
      </c>
      <c r="AR158" t="s">
        <v>5061</v>
      </c>
      <c r="AS158" s="21">
        <v>46276</v>
      </c>
      <c r="AT158" t="s">
        <v>5062</v>
      </c>
      <c r="AU158" t="s">
        <v>5070</v>
      </c>
      <c r="AV158" t="s">
        <v>5062</v>
      </c>
      <c r="AW158" t="s">
        <v>5086</v>
      </c>
    </row>
    <row r="159" spans="1:49" hidden="1" x14ac:dyDescent="0.35">
      <c r="A159" t="s">
        <v>871</v>
      </c>
      <c r="B159" t="s">
        <v>872</v>
      </c>
      <c r="C159" t="s">
        <v>4818</v>
      </c>
      <c r="D159" t="s">
        <v>18</v>
      </c>
      <c r="E159" t="s">
        <v>1097</v>
      </c>
      <c r="F159" t="s">
        <v>1098</v>
      </c>
      <c r="G159" t="s">
        <v>21</v>
      </c>
      <c r="H159" t="s">
        <v>4888</v>
      </c>
      <c r="I159" t="s">
        <v>4906</v>
      </c>
      <c r="J159" s="4" t="s">
        <v>4907</v>
      </c>
      <c r="K159" s="4" t="s">
        <v>4908</v>
      </c>
      <c r="L159" s="4" t="s">
        <v>4864</v>
      </c>
      <c r="M159" s="4" t="s">
        <v>5035</v>
      </c>
      <c r="N159" t="s">
        <v>1099</v>
      </c>
      <c r="O159" t="s">
        <v>1100</v>
      </c>
      <c r="P159" t="s">
        <v>23</v>
      </c>
      <c r="Q159" t="s">
        <v>24</v>
      </c>
      <c r="R159" t="s">
        <v>25</v>
      </c>
      <c r="S159" t="s">
        <v>26</v>
      </c>
      <c r="T159" s="6">
        <v>46307</v>
      </c>
      <c r="U159">
        <v>72</v>
      </c>
      <c r="V159">
        <v>72</v>
      </c>
      <c r="W159">
        <v>84</v>
      </c>
      <c r="X159">
        <v>84</v>
      </c>
      <c r="Y159">
        <f t="shared" si="20"/>
        <v>0</v>
      </c>
      <c r="Z159">
        <f t="shared" si="21"/>
        <v>-12</v>
      </c>
      <c r="AC159" s="1">
        <v>0</v>
      </c>
      <c r="AF159">
        <f>V159</f>
        <v>72</v>
      </c>
      <c r="AG159" s="41">
        <v>12</v>
      </c>
      <c r="AH159">
        <f t="shared" si="22"/>
        <v>72</v>
      </c>
      <c r="AI159">
        <f t="shared" si="23"/>
        <v>0</v>
      </c>
      <c r="AK159">
        <f t="shared" si="24"/>
        <v>6</v>
      </c>
      <c r="AL159">
        <v>10.19</v>
      </c>
      <c r="AM159" t="s">
        <v>27</v>
      </c>
      <c r="AN159">
        <v>10.19</v>
      </c>
      <c r="AO159" t="b">
        <f t="shared" si="25"/>
        <v>1</v>
      </c>
      <c r="AR159" t="s">
        <v>5061</v>
      </c>
      <c r="AS159" s="21">
        <v>46276</v>
      </c>
      <c r="AT159" t="s">
        <v>5062</v>
      </c>
      <c r="AU159" t="s">
        <v>5070</v>
      </c>
      <c r="AV159" t="s">
        <v>5062</v>
      </c>
      <c r="AW159" t="s">
        <v>5086</v>
      </c>
    </row>
    <row r="160" spans="1:49" hidden="1" x14ac:dyDescent="0.35">
      <c r="A160" t="s">
        <v>871</v>
      </c>
      <c r="B160" t="s">
        <v>872</v>
      </c>
      <c r="C160" t="s">
        <v>4818</v>
      </c>
      <c r="D160" t="s">
        <v>18</v>
      </c>
      <c r="E160" t="s">
        <v>1101</v>
      </c>
      <c r="F160" t="s">
        <v>1102</v>
      </c>
      <c r="G160" t="s">
        <v>21</v>
      </c>
      <c r="H160" t="s">
        <v>4888</v>
      </c>
      <c r="I160" t="s">
        <v>4902</v>
      </c>
      <c r="J160" s="4" t="s">
        <v>4903</v>
      </c>
      <c r="K160" s="4" t="s">
        <v>4915</v>
      </c>
      <c r="L160" s="4" t="s">
        <v>4867</v>
      </c>
      <c r="M160" s="4" t="s">
        <v>5035</v>
      </c>
      <c r="N160" t="s">
        <v>1103</v>
      </c>
      <c r="O160" t="s">
        <v>1104</v>
      </c>
      <c r="P160" t="s">
        <v>23</v>
      </c>
      <c r="Q160" t="s">
        <v>24</v>
      </c>
      <c r="R160" t="s">
        <v>25</v>
      </c>
      <c r="S160" t="s">
        <v>26</v>
      </c>
      <c r="T160" s="6">
        <v>46307</v>
      </c>
      <c r="U160">
        <v>324</v>
      </c>
      <c r="V160">
        <v>324</v>
      </c>
      <c r="W160">
        <v>288</v>
      </c>
      <c r="X160">
        <v>288</v>
      </c>
      <c r="Y160">
        <f t="shared" si="20"/>
        <v>0</v>
      </c>
      <c r="Z160">
        <f t="shared" si="21"/>
        <v>36</v>
      </c>
      <c r="AA160">
        <f t="shared" ref="AA160:AA161" si="27">Z160</f>
        <v>36</v>
      </c>
      <c r="AC160" s="1">
        <v>0</v>
      </c>
      <c r="AF160">
        <f>X160</f>
        <v>288</v>
      </c>
      <c r="AG160" s="41">
        <v>12</v>
      </c>
      <c r="AH160">
        <f t="shared" si="22"/>
        <v>288</v>
      </c>
      <c r="AI160">
        <f t="shared" si="23"/>
        <v>36</v>
      </c>
      <c r="AK160">
        <f t="shared" si="24"/>
        <v>24</v>
      </c>
      <c r="AL160">
        <v>10.66</v>
      </c>
      <c r="AM160" t="s">
        <v>27</v>
      </c>
      <c r="AN160">
        <v>10.66</v>
      </c>
      <c r="AO160" t="b">
        <f t="shared" si="25"/>
        <v>1</v>
      </c>
      <c r="AR160" t="s">
        <v>5061</v>
      </c>
      <c r="AS160" s="21">
        <v>46276</v>
      </c>
      <c r="AT160" t="s">
        <v>5062</v>
      </c>
      <c r="AU160" t="s">
        <v>5069</v>
      </c>
      <c r="AV160" t="s">
        <v>5062</v>
      </c>
      <c r="AW160" t="s">
        <v>5086</v>
      </c>
    </row>
    <row r="161" spans="1:49" hidden="1" x14ac:dyDescent="0.35">
      <c r="A161" t="s">
        <v>871</v>
      </c>
      <c r="B161" t="s">
        <v>872</v>
      </c>
      <c r="C161" t="s">
        <v>4818</v>
      </c>
      <c r="D161" t="s">
        <v>18</v>
      </c>
      <c r="E161" t="s">
        <v>1105</v>
      </c>
      <c r="F161" t="s">
        <v>1106</v>
      </c>
      <c r="G161" t="s">
        <v>21</v>
      </c>
      <c r="H161" t="s">
        <v>4888</v>
      </c>
      <c r="I161" t="s">
        <v>4893</v>
      </c>
      <c r="J161" s="4" t="s">
        <v>4894</v>
      </c>
      <c r="K161" s="4" t="s">
        <v>4837</v>
      </c>
      <c r="L161" s="4" t="s">
        <v>4900</v>
      </c>
      <c r="M161" s="4" t="s">
        <v>5035</v>
      </c>
      <c r="N161" t="s">
        <v>1107</v>
      </c>
      <c r="O161" t="s">
        <v>1108</v>
      </c>
      <c r="P161" t="s">
        <v>23</v>
      </c>
      <c r="Q161" t="s">
        <v>24</v>
      </c>
      <c r="R161" t="s">
        <v>25</v>
      </c>
      <c r="S161" t="s">
        <v>26</v>
      </c>
      <c r="T161" s="6">
        <v>46307</v>
      </c>
      <c r="U161">
        <v>132</v>
      </c>
      <c r="V161">
        <v>132</v>
      </c>
      <c r="W161">
        <v>120</v>
      </c>
      <c r="X161">
        <v>120</v>
      </c>
      <c r="Y161">
        <f t="shared" si="20"/>
        <v>0</v>
      </c>
      <c r="Z161">
        <f t="shared" si="21"/>
        <v>12</v>
      </c>
      <c r="AA161">
        <f t="shared" si="27"/>
        <v>12</v>
      </c>
      <c r="AC161" s="1">
        <v>0</v>
      </c>
      <c r="AF161">
        <f>X161</f>
        <v>120</v>
      </c>
      <c r="AG161" s="41">
        <v>12</v>
      </c>
      <c r="AH161">
        <f t="shared" si="22"/>
        <v>120</v>
      </c>
      <c r="AI161">
        <f t="shared" si="23"/>
        <v>12</v>
      </c>
      <c r="AK161">
        <f t="shared" si="24"/>
        <v>10</v>
      </c>
      <c r="AL161">
        <v>10.06</v>
      </c>
      <c r="AM161" t="s">
        <v>27</v>
      </c>
      <c r="AN161">
        <v>10.06</v>
      </c>
      <c r="AO161" t="b">
        <f t="shared" si="25"/>
        <v>1</v>
      </c>
      <c r="AR161" t="s">
        <v>5061</v>
      </c>
      <c r="AS161" s="21">
        <v>46276</v>
      </c>
      <c r="AT161" t="s">
        <v>5062</v>
      </c>
      <c r="AU161" t="s">
        <v>5068</v>
      </c>
      <c r="AV161" t="s">
        <v>5062</v>
      </c>
      <c r="AW161" t="s">
        <v>5086</v>
      </c>
    </row>
    <row r="162" spans="1:49" hidden="1" x14ac:dyDescent="0.35">
      <c r="A162" t="s">
        <v>871</v>
      </c>
      <c r="B162" t="s">
        <v>872</v>
      </c>
      <c r="C162" t="s">
        <v>4818</v>
      </c>
      <c r="D162" t="s">
        <v>18</v>
      </c>
      <c r="E162" t="s">
        <v>1109</v>
      </c>
      <c r="F162" t="s">
        <v>1110</v>
      </c>
      <c r="G162" t="s">
        <v>21</v>
      </c>
      <c r="H162" t="s">
        <v>4888</v>
      </c>
      <c r="I162" t="s">
        <v>4906</v>
      </c>
      <c r="J162" s="4" t="s">
        <v>4907</v>
      </c>
      <c r="K162" s="4" t="s">
        <v>4908</v>
      </c>
      <c r="L162" s="4" t="s">
        <v>4926</v>
      </c>
      <c r="M162" s="4" t="s">
        <v>5035</v>
      </c>
      <c r="N162" t="s">
        <v>1111</v>
      </c>
      <c r="O162" t="s">
        <v>1112</v>
      </c>
      <c r="P162" t="s">
        <v>23</v>
      </c>
      <c r="Q162" t="s">
        <v>24</v>
      </c>
      <c r="R162" t="s">
        <v>25</v>
      </c>
      <c r="S162" t="s">
        <v>26</v>
      </c>
      <c r="T162" s="6">
        <v>46307</v>
      </c>
      <c r="U162">
        <v>48</v>
      </c>
      <c r="V162">
        <v>48</v>
      </c>
      <c r="W162">
        <v>48</v>
      </c>
      <c r="X162">
        <v>48</v>
      </c>
      <c r="Y162">
        <f t="shared" si="20"/>
        <v>0</v>
      </c>
      <c r="Z162">
        <f t="shared" si="21"/>
        <v>0</v>
      </c>
      <c r="AC162" s="1">
        <v>0</v>
      </c>
      <c r="AF162">
        <f>V162</f>
        <v>48</v>
      </c>
      <c r="AG162" s="41">
        <v>12</v>
      </c>
      <c r="AH162">
        <f t="shared" si="22"/>
        <v>48</v>
      </c>
      <c r="AI162">
        <f t="shared" si="23"/>
        <v>0</v>
      </c>
      <c r="AK162">
        <f t="shared" si="24"/>
        <v>4</v>
      </c>
      <c r="AL162">
        <v>10.19</v>
      </c>
      <c r="AM162" t="s">
        <v>27</v>
      </c>
      <c r="AN162">
        <v>10.19</v>
      </c>
      <c r="AO162" t="b">
        <f t="shared" si="25"/>
        <v>1</v>
      </c>
      <c r="AR162" t="s">
        <v>5061</v>
      </c>
      <c r="AS162" s="21">
        <v>46276</v>
      </c>
      <c r="AT162" t="s">
        <v>5062</v>
      </c>
      <c r="AU162" t="s">
        <v>5070</v>
      </c>
      <c r="AV162" t="s">
        <v>5062</v>
      </c>
      <c r="AW162" t="s">
        <v>5086</v>
      </c>
    </row>
    <row r="163" spans="1:49" hidden="1" x14ac:dyDescent="0.35">
      <c r="A163" t="s">
        <v>871</v>
      </c>
      <c r="B163" t="s">
        <v>872</v>
      </c>
      <c r="C163" t="s">
        <v>4818</v>
      </c>
      <c r="D163" t="s">
        <v>18</v>
      </c>
      <c r="E163" t="s">
        <v>1113</v>
      </c>
      <c r="F163" t="s">
        <v>1114</v>
      </c>
      <c r="G163" t="s">
        <v>21</v>
      </c>
      <c r="H163" t="s">
        <v>4888</v>
      </c>
      <c r="I163" t="s">
        <v>4893</v>
      </c>
      <c r="J163" s="4" t="s">
        <v>4894</v>
      </c>
      <c r="K163" s="4" t="s">
        <v>4904</v>
      </c>
      <c r="L163" s="4" t="s">
        <v>4898</v>
      </c>
      <c r="M163" s="4" t="s">
        <v>5035</v>
      </c>
      <c r="N163" t="s">
        <v>1115</v>
      </c>
      <c r="O163" t="s">
        <v>1116</v>
      </c>
      <c r="P163" t="s">
        <v>23</v>
      </c>
      <c r="Q163" t="s">
        <v>24</v>
      </c>
      <c r="R163" t="s">
        <v>25</v>
      </c>
      <c r="S163" t="s">
        <v>26</v>
      </c>
      <c r="T163" s="6">
        <v>46307</v>
      </c>
      <c r="U163">
        <v>60</v>
      </c>
      <c r="V163">
        <v>60</v>
      </c>
      <c r="W163">
        <v>72</v>
      </c>
      <c r="X163">
        <v>72</v>
      </c>
      <c r="Y163">
        <f t="shared" si="20"/>
        <v>0</v>
      </c>
      <c r="Z163">
        <f t="shared" si="21"/>
        <v>-12</v>
      </c>
      <c r="AC163" s="1">
        <v>0</v>
      </c>
      <c r="AF163">
        <f>V163</f>
        <v>60</v>
      </c>
      <c r="AG163" s="41">
        <v>12</v>
      </c>
      <c r="AH163">
        <f t="shared" si="22"/>
        <v>60</v>
      </c>
      <c r="AI163">
        <f t="shared" si="23"/>
        <v>0</v>
      </c>
      <c r="AK163">
        <f t="shared" si="24"/>
        <v>5</v>
      </c>
      <c r="AL163">
        <v>10.16</v>
      </c>
      <c r="AM163" t="s">
        <v>27</v>
      </c>
      <c r="AN163">
        <v>10.16</v>
      </c>
      <c r="AO163" t="b">
        <f t="shared" si="25"/>
        <v>1</v>
      </c>
      <c r="AR163" t="s">
        <v>5061</v>
      </c>
      <c r="AS163" s="21">
        <v>46276</v>
      </c>
      <c r="AT163" t="s">
        <v>5062</v>
      </c>
      <c r="AU163" t="s">
        <v>5068</v>
      </c>
      <c r="AV163" t="s">
        <v>5062</v>
      </c>
      <c r="AW163" t="s">
        <v>5086</v>
      </c>
    </row>
    <row r="164" spans="1:49" hidden="1" x14ac:dyDescent="0.35">
      <c r="A164" t="s">
        <v>871</v>
      </c>
      <c r="B164" t="s">
        <v>872</v>
      </c>
      <c r="C164" t="s">
        <v>4818</v>
      </c>
      <c r="D164" t="s">
        <v>18</v>
      </c>
      <c r="E164" t="s">
        <v>1117</v>
      </c>
      <c r="F164" t="s">
        <v>1118</v>
      </c>
      <c r="G164" t="s">
        <v>21</v>
      </c>
      <c r="H164" t="s">
        <v>4888</v>
      </c>
      <c r="I164" t="s">
        <v>4893</v>
      </c>
      <c r="J164" s="4" t="s">
        <v>4894</v>
      </c>
      <c r="K164" s="4" t="s">
        <v>4913</v>
      </c>
      <c r="L164" s="4" t="s">
        <v>4927</v>
      </c>
      <c r="M164" s="4" t="s">
        <v>5035</v>
      </c>
      <c r="N164" t="s">
        <v>1119</v>
      </c>
      <c r="O164" t="s">
        <v>1120</v>
      </c>
      <c r="P164" t="s">
        <v>23</v>
      </c>
      <c r="Q164" t="s">
        <v>24</v>
      </c>
      <c r="R164" t="s">
        <v>25</v>
      </c>
      <c r="S164" t="s">
        <v>26</v>
      </c>
      <c r="T164" s="6">
        <v>46307</v>
      </c>
      <c r="U164">
        <v>48</v>
      </c>
      <c r="V164">
        <v>48</v>
      </c>
      <c r="W164">
        <v>60</v>
      </c>
      <c r="X164">
        <v>60</v>
      </c>
      <c r="Y164">
        <f t="shared" si="20"/>
        <v>0</v>
      </c>
      <c r="Z164">
        <f t="shared" si="21"/>
        <v>-12</v>
      </c>
      <c r="AC164" s="1">
        <v>0</v>
      </c>
      <c r="AF164">
        <f>V164</f>
        <v>48</v>
      </c>
      <c r="AG164" s="41">
        <v>12</v>
      </c>
      <c r="AH164">
        <f t="shared" si="22"/>
        <v>48</v>
      </c>
      <c r="AI164">
        <f t="shared" si="23"/>
        <v>0</v>
      </c>
      <c r="AK164">
        <f t="shared" si="24"/>
        <v>4</v>
      </c>
      <c r="AL164">
        <v>9.9499999999999993</v>
      </c>
      <c r="AM164" t="s">
        <v>27</v>
      </c>
      <c r="AN164">
        <v>9.9499999999999993</v>
      </c>
      <c r="AO164" t="b">
        <f t="shared" si="25"/>
        <v>1</v>
      </c>
      <c r="AR164" t="s">
        <v>5061</v>
      </c>
      <c r="AS164" s="21">
        <v>46276</v>
      </c>
      <c r="AT164" t="s">
        <v>5062</v>
      </c>
      <c r="AU164" t="s">
        <v>5068</v>
      </c>
      <c r="AV164" t="s">
        <v>5062</v>
      </c>
      <c r="AW164" t="s">
        <v>5086</v>
      </c>
    </row>
    <row r="165" spans="1:49" hidden="1" x14ac:dyDescent="0.35">
      <c r="A165" t="s">
        <v>871</v>
      </c>
      <c r="B165" t="s">
        <v>872</v>
      </c>
      <c r="C165" t="s">
        <v>4818</v>
      </c>
      <c r="D165" t="s">
        <v>18</v>
      </c>
      <c r="E165" t="s">
        <v>1121</v>
      </c>
      <c r="F165" t="s">
        <v>1122</v>
      </c>
      <c r="G165" t="s">
        <v>21</v>
      </c>
      <c r="H165" t="s">
        <v>4888</v>
      </c>
      <c r="I165" t="s">
        <v>4889</v>
      </c>
      <c r="J165" s="4" t="s">
        <v>4890</v>
      </c>
      <c r="K165" s="4" t="s">
        <v>4911</v>
      </c>
      <c r="L165" s="4" t="s">
        <v>4886</v>
      </c>
      <c r="M165" s="4" t="s">
        <v>5035</v>
      </c>
      <c r="N165" t="s">
        <v>1123</v>
      </c>
      <c r="O165" t="s">
        <v>1124</v>
      </c>
      <c r="P165" t="s">
        <v>23</v>
      </c>
      <c r="Q165" t="s">
        <v>24</v>
      </c>
      <c r="R165" t="s">
        <v>25</v>
      </c>
      <c r="S165" t="s">
        <v>26</v>
      </c>
      <c r="T165" s="6">
        <v>46307</v>
      </c>
      <c r="U165">
        <v>60</v>
      </c>
      <c r="V165">
        <v>60</v>
      </c>
      <c r="W165">
        <v>60</v>
      </c>
      <c r="X165">
        <v>60</v>
      </c>
      <c r="Y165">
        <f t="shared" si="20"/>
        <v>0</v>
      </c>
      <c r="Z165">
        <f t="shared" si="21"/>
        <v>0</v>
      </c>
      <c r="AC165" s="1">
        <v>0</v>
      </c>
      <c r="AF165">
        <f>V165</f>
        <v>60</v>
      </c>
      <c r="AG165" s="41">
        <v>12</v>
      </c>
      <c r="AH165">
        <f t="shared" si="22"/>
        <v>60</v>
      </c>
      <c r="AI165">
        <f t="shared" si="23"/>
        <v>0</v>
      </c>
      <c r="AK165">
        <f t="shared" si="24"/>
        <v>5</v>
      </c>
      <c r="AL165">
        <v>11.87</v>
      </c>
      <c r="AM165" t="s">
        <v>27</v>
      </c>
      <c r="AN165">
        <v>11.87</v>
      </c>
      <c r="AO165" t="b">
        <f t="shared" si="25"/>
        <v>1</v>
      </c>
      <c r="AR165" t="s">
        <v>5061</v>
      </c>
      <c r="AS165" s="21">
        <v>46276</v>
      </c>
      <c r="AT165" t="s">
        <v>5062</v>
      </c>
      <c r="AU165" t="s">
        <v>5067</v>
      </c>
      <c r="AV165" t="s">
        <v>5062</v>
      </c>
      <c r="AW165" t="s">
        <v>5086</v>
      </c>
    </row>
    <row r="166" spans="1:49" hidden="1" x14ac:dyDescent="0.35">
      <c r="A166" t="s">
        <v>871</v>
      </c>
      <c r="B166" t="s">
        <v>872</v>
      </c>
      <c r="C166" t="s">
        <v>4818</v>
      </c>
      <c r="D166" t="s">
        <v>18</v>
      </c>
      <c r="E166" t="s">
        <v>1125</v>
      </c>
      <c r="F166" t="s">
        <v>1126</v>
      </c>
      <c r="G166" t="s">
        <v>21</v>
      </c>
      <c r="H166" t="s">
        <v>4888</v>
      </c>
      <c r="I166" t="s">
        <v>4889</v>
      </c>
      <c r="J166" s="4" t="s">
        <v>4890</v>
      </c>
      <c r="K166" s="4" t="s">
        <v>4899</v>
      </c>
      <c r="L166" s="4" t="s">
        <v>4919</v>
      </c>
      <c r="M166" s="4" t="s">
        <v>5035</v>
      </c>
      <c r="N166" t="s">
        <v>1127</v>
      </c>
      <c r="O166" t="s">
        <v>1128</v>
      </c>
      <c r="P166" t="s">
        <v>23</v>
      </c>
      <c r="Q166" t="s">
        <v>24</v>
      </c>
      <c r="R166" t="s">
        <v>25</v>
      </c>
      <c r="S166" t="s">
        <v>26</v>
      </c>
      <c r="T166" s="6">
        <v>46307</v>
      </c>
      <c r="U166">
        <v>264</v>
      </c>
      <c r="V166">
        <v>264</v>
      </c>
      <c r="W166">
        <v>240</v>
      </c>
      <c r="X166">
        <v>240</v>
      </c>
      <c r="Y166">
        <f t="shared" si="20"/>
        <v>0</v>
      </c>
      <c r="Z166">
        <f t="shared" si="21"/>
        <v>24</v>
      </c>
      <c r="AA166">
        <f>Z166</f>
        <v>24</v>
      </c>
      <c r="AC166" s="1">
        <v>0</v>
      </c>
      <c r="AF166">
        <f>X166</f>
        <v>240</v>
      </c>
      <c r="AG166" s="41">
        <v>12</v>
      </c>
      <c r="AH166">
        <f t="shared" si="22"/>
        <v>240</v>
      </c>
      <c r="AI166">
        <f t="shared" si="23"/>
        <v>24</v>
      </c>
      <c r="AK166">
        <f t="shared" si="24"/>
        <v>20</v>
      </c>
      <c r="AL166">
        <v>10.9</v>
      </c>
      <c r="AM166" t="s">
        <v>27</v>
      </c>
      <c r="AN166">
        <v>10.9</v>
      </c>
      <c r="AO166" t="b">
        <f t="shared" si="25"/>
        <v>1</v>
      </c>
      <c r="AR166" t="s">
        <v>5061</v>
      </c>
      <c r="AS166" s="21">
        <v>46276</v>
      </c>
      <c r="AT166" t="s">
        <v>5062</v>
      </c>
      <c r="AU166" t="s">
        <v>5067</v>
      </c>
      <c r="AV166" t="s">
        <v>5062</v>
      </c>
      <c r="AW166" t="s">
        <v>5086</v>
      </c>
    </row>
    <row r="167" spans="1:49" hidden="1" x14ac:dyDescent="0.35">
      <c r="A167" t="s">
        <v>871</v>
      </c>
      <c r="B167" t="s">
        <v>872</v>
      </c>
      <c r="C167" t="s">
        <v>4818</v>
      </c>
      <c r="D167" t="s">
        <v>18</v>
      </c>
      <c r="E167" t="s">
        <v>1129</v>
      </c>
      <c r="F167" t="s">
        <v>1130</v>
      </c>
      <c r="G167" t="s">
        <v>21</v>
      </c>
      <c r="H167" t="s">
        <v>4888</v>
      </c>
      <c r="I167" t="s">
        <v>4893</v>
      </c>
      <c r="J167" s="4" t="s">
        <v>4894</v>
      </c>
      <c r="K167" s="4" t="s">
        <v>4904</v>
      </c>
      <c r="L167" s="4" t="s">
        <v>4895</v>
      </c>
      <c r="M167" s="4" t="s">
        <v>5035</v>
      </c>
      <c r="N167" t="s">
        <v>1131</v>
      </c>
      <c r="O167" t="s">
        <v>1132</v>
      </c>
      <c r="P167" t="s">
        <v>23</v>
      </c>
      <c r="Q167" t="s">
        <v>24</v>
      </c>
      <c r="R167" t="s">
        <v>25</v>
      </c>
      <c r="S167" t="s">
        <v>26</v>
      </c>
      <c r="T167" s="6">
        <v>46307</v>
      </c>
      <c r="U167">
        <v>24</v>
      </c>
      <c r="V167">
        <v>24</v>
      </c>
      <c r="W167">
        <v>24</v>
      </c>
      <c r="X167">
        <v>24</v>
      </c>
      <c r="Y167">
        <f t="shared" si="20"/>
        <v>0</v>
      </c>
      <c r="Z167">
        <f t="shared" si="21"/>
        <v>0</v>
      </c>
      <c r="AC167" s="1">
        <v>0</v>
      </c>
      <c r="AF167">
        <f>V167</f>
        <v>24</v>
      </c>
      <c r="AG167" s="41">
        <v>12</v>
      </c>
      <c r="AH167">
        <f t="shared" si="22"/>
        <v>24</v>
      </c>
      <c r="AI167">
        <f t="shared" si="23"/>
        <v>0</v>
      </c>
      <c r="AK167">
        <f t="shared" si="24"/>
        <v>2</v>
      </c>
      <c r="AL167">
        <v>10.16</v>
      </c>
      <c r="AM167" t="s">
        <v>27</v>
      </c>
      <c r="AN167">
        <v>10.16</v>
      </c>
      <c r="AO167" t="b">
        <f t="shared" si="25"/>
        <v>1</v>
      </c>
      <c r="AR167" t="s">
        <v>5061</v>
      </c>
      <c r="AS167" s="21">
        <v>46276</v>
      </c>
      <c r="AT167" t="s">
        <v>5062</v>
      </c>
      <c r="AU167" t="s">
        <v>5068</v>
      </c>
      <c r="AV167" t="s">
        <v>5062</v>
      </c>
      <c r="AW167" t="s">
        <v>5086</v>
      </c>
    </row>
    <row r="168" spans="1:49" hidden="1" x14ac:dyDescent="0.35">
      <c r="A168" t="s">
        <v>871</v>
      </c>
      <c r="B168" t="s">
        <v>872</v>
      </c>
      <c r="C168" t="s">
        <v>4818</v>
      </c>
      <c r="D168" t="s">
        <v>18</v>
      </c>
      <c r="E168" t="s">
        <v>1133</v>
      </c>
      <c r="F168" t="s">
        <v>1134</v>
      </c>
      <c r="G168" t="s">
        <v>21</v>
      </c>
      <c r="H168" t="s">
        <v>4888</v>
      </c>
      <c r="I168" t="s">
        <v>4906</v>
      </c>
      <c r="J168" s="4" t="s">
        <v>4907</v>
      </c>
      <c r="K168" s="4" t="s">
        <v>4908</v>
      </c>
      <c r="L168" s="4" t="s">
        <v>4928</v>
      </c>
      <c r="M168" s="4" t="s">
        <v>5035</v>
      </c>
      <c r="N168" t="s">
        <v>1135</v>
      </c>
      <c r="O168" t="s">
        <v>1136</v>
      </c>
      <c r="P168" t="s">
        <v>23</v>
      </c>
      <c r="Q168" t="s">
        <v>24</v>
      </c>
      <c r="R168" t="s">
        <v>25</v>
      </c>
      <c r="S168" t="s">
        <v>26</v>
      </c>
      <c r="T168" s="6">
        <v>46307</v>
      </c>
      <c r="U168">
        <v>36</v>
      </c>
      <c r="V168">
        <v>36</v>
      </c>
      <c r="W168">
        <v>36</v>
      </c>
      <c r="X168">
        <v>36</v>
      </c>
      <c r="Y168">
        <f t="shared" si="20"/>
        <v>0</v>
      </c>
      <c r="Z168">
        <f t="shared" si="21"/>
        <v>0</v>
      </c>
      <c r="AC168" s="1">
        <v>0</v>
      </c>
      <c r="AF168">
        <f>V168</f>
        <v>36</v>
      </c>
      <c r="AG168" s="41">
        <v>12</v>
      </c>
      <c r="AH168">
        <f t="shared" si="22"/>
        <v>36</v>
      </c>
      <c r="AI168">
        <f t="shared" si="23"/>
        <v>0</v>
      </c>
      <c r="AK168">
        <f t="shared" si="24"/>
        <v>3</v>
      </c>
      <c r="AL168">
        <v>10.19</v>
      </c>
      <c r="AM168" t="s">
        <v>27</v>
      </c>
      <c r="AN168">
        <v>10.19</v>
      </c>
      <c r="AO168" t="b">
        <f t="shared" si="25"/>
        <v>1</v>
      </c>
      <c r="AR168" t="s">
        <v>5061</v>
      </c>
      <c r="AS168" s="21">
        <v>46276</v>
      </c>
      <c r="AT168" t="s">
        <v>5062</v>
      </c>
      <c r="AU168" t="s">
        <v>5070</v>
      </c>
      <c r="AV168" t="s">
        <v>5062</v>
      </c>
      <c r="AW168" t="s">
        <v>5086</v>
      </c>
    </row>
    <row r="169" spans="1:49" hidden="1" x14ac:dyDescent="0.35">
      <c r="A169" t="s">
        <v>871</v>
      </c>
      <c r="B169" t="s">
        <v>872</v>
      </c>
      <c r="C169" t="s">
        <v>4818</v>
      </c>
      <c r="D169" t="s">
        <v>18</v>
      </c>
      <c r="E169" t="s">
        <v>1137</v>
      </c>
      <c r="F169" t="s">
        <v>1138</v>
      </c>
      <c r="G169" t="s">
        <v>21</v>
      </c>
      <c r="H169" t="s">
        <v>4888</v>
      </c>
      <c r="I169" t="s">
        <v>4893</v>
      </c>
      <c r="J169" s="4" t="s">
        <v>4894</v>
      </c>
      <c r="K169" s="4" t="s">
        <v>4837</v>
      </c>
      <c r="L169" s="4" t="s">
        <v>4886</v>
      </c>
      <c r="M169" s="4" t="s">
        <v>5035</v>
      </c>
      <c r="N169" t="s">
        <v>1139</v>
      </c>
      <c r="O169" t="s">
        <v>1140</v>
      </c>
      <c r="P169" t="s">
        <v>23</v>
      </c>
      <c r="Q169" t="s">
        <v>24</v>
      </c>
      <c r="R169" t="s">
        <v>25</v>
      </c>
      <c r="S169" t="s">
        <v>26</v>
      </c>
      <c r="T169" s="6">
        <v>46307</v>
      </c>
      <c r="U169">
        <v>156</v>
      </c>
      <c r="V169">
        <v>156</v>
      </c>
      <c r="W169">
        <v>144</v>
      </c>
      <c r="X169">
        <v>144</v>
      </c>
      <c r="Y169">
        <f t="shared" si="20"/>
        <v>0</v>
      </c>
      <c r="Z169">
        <f t="shared" si="21"/>
        <v>12</v>
      </c>
      <c r="AA169">
        <f t="shared" ref="AA169:AA172" si="28">Z169</f>
        <v>12</v>
      </c>
      <c r="AC169" s="1">
        <v>0</v>
      </c>
      <c r="AF169">
        <f>X169</f>
        <v>144</v>
      </c>
      <c r="AG169" s="41">
        <v>12</v>
      </c>
      <c r="AH169">
        <f t="shared" si="22"/>
        <v>144</v>
      </c>
      <c r="AI169">
        <f t="shared" si="23"/>
        <v>12</v>
      </c>
      <c r="AK169">
        <f t="shared" si="24"/>
        <v>12</v>
      </c>
      <c r="AL169">
        <v>10.06</v>
      </c>
      <c r="AM169" t="s">
        <v>27</v>
      </c>
      <c r="AN169">
        <v>10.06</v>
      </c>
      <c r="AO169" t="b">
        <f t="shared" si="25"/>
        <v>1</v>
      </c>
      <c r="AR169" t="s">
        <v>5061</v>
      </c>
      <c r="AS169" s="21">
        <v>46276</v>
      </c>
      <c r="AT169" t="s">
        <v>5062</v>
      </c>
      <c r="AU169" t="s">
        <v>5068</v>
      </c>
      <c r="AV169" t="s">
        <v>5062</v>
      </c>
      <c r="AW169" t="s">
        <v>5086</v>
      </c>
    </row>
    <row r="170" spans="1:49" hidden="1" x14ac:dyDescent="0.35">
      <c r="A170" t="s">
        <v>871</v>
      </c>
      <c r="B170" t="s">
        <v>872</v>
      </c>
      <c r="C170" t="s">
        <v>4818</v>
      </c>
      <c r="D170" t="s">
        <v>18</v>
      </c>
      <c r="E170" t="s">
        <v>1141</v>
      </c>
      <c r="F170" t="s">
        <v>1142</v>
      </c>
      <c r="G170" t="s">
        <v>21</v>
      </c>
      <c r="H170" t="s">
        <v>4888</v>
      </c>
      <c r="I170" t="s">
        <v>4893</v>
      </c>
      <c r="J170" s="4" t="s">
        <v>4894</v>
      </c>
      <c r="K170" s="4" t="s">
        <v>4837</v>
      </c>
      <c r="L170" s="4" t="s">
        <v>4919</v>
      </c>
      <c r="M170" s="4" t="s">
        <v>5035</v>
      </c>
      <c r="N170" t="s">
        <v>1143</v>
      </c>
      <c r="O170" t="s">
        <v>1144</v>
      </c>
      <c r="P170" t="s">
        <v>23</v>
      </c>
      <c r="Q170" t="s">
        <v>24</v>
      </c>
      <c r="R170" t="s">
        <v>25</v>
      </c>
      <c r="S170" t="s">
        <v>26</v>
      </c>
      <c r="T170" s="6">
        <v>46307</v>
      </c>
      <c r="U170">
        <v>120</v>
      </c>
      <c r="V170">
        <v>120</v>
      </c>
      <c r="W170">
        <v>108</v>
      </c>
      <c r="X170">
        <v>108</v>
      </c>
      <c r="Y170">
        <f t="shared" si="20"/>
        <v>0</v>
      </c>
      <c r="Z170">
        <f t="shared" si="21"/>
        <v>12</v>
      </c>
      <c r="AA170">
        <f t="shared" si="28"/>
        <v>12</v>
      </c>
      <c r="AC170" s="1">
        <v>0</v>
      </c>
      <c r="AF170">
        <f>X170</f>
        <v>108</v>
      </c>
      <c r="AG170" s="41">
        <v>12</v>
      </c>
      <c r="AH170">
        <f t="shared" si="22"/>
        <v>108</v>
      </c>
      <c r="AI170">
        <f t="shared" si="23"/>
        <v>12</v>
      </c>
      <c r="AK170">
        <f t="shared" si="24"/>
        <v>9</v>
      </c>
      <c r="AL170">
        <v>10.06</v>
      </c>
      <c r="AM170" t="s">
        <v>27</v>
      </c>
      <c r="AN170">
        <v>10.06</v>
      </c>
      <c r="AO170" t="b">
        <f t="shared" si="25"/>
        <v>1</v>
      </c>
      <c r="AR170" t="s">
        <v>5061</v>
      </c>
      <c r="AS170" s="21">
        <v>46276</v>
      </c>
      <c r="AT170" t="s">
        <v>5062</v>
      </c>
      <c r="AU170" t="s">
        <v>5068</v>
      </c>
      <c r="AV170" t="s">
        <v>5062</v>
      </c>
      <c r="AW170" t="s">
        <v>5086</v>
      </c>
    </row>
    <row r="171" spans="1:49" hidden="1" x14ac:dyDescent="0.35">
      <c r="A171" t="s">
        <v>871</v>
      </c>
      <c r="B171" t="s">
        <v>872</v>
      </c>
      <c r="C171" t="s">
        <v>4818</v>
      </c>
      <c r="D171" t="s">
        <v>18</v>
      </c>
      <c r="E171" t="s">
        <v>1145</v>
      </c>
      <c r="F171" t="s">
        <v>1146</v>
      </c>
      <c r="G171" t="s">
        <v>21</v>
      </c>
      <c r="H171" t="s">
        <v>4888</v>
      </c>
      <c r="I171" t="s">
        <v>4893</v>
      </c>
      <c r="J171" s="4" t="s">
        <v>4894</v>
      </c>
      <c r="K171" s="4" t="s">
        <v>4837</v>
      </c>
      <c r="L171" s="4" t="s">
        <v>4927</v>
      </c>
      <c r="M171" s="4" t="s">
        <v>5035</v>
      </c>
      <c r="N171" t="s">
        <v>1147</v>
      </c>
      <c r="O171" t="s">
        <v>1148</v>
      </c>
      <c r="P171" t="s">
        <v>23</v>
      </c>
      <c r="Q171" t="s">
        <v>24</v>
      </c>
      <c r="R171" t="s">
        <v>25</v>
      </c>
      <c r="S171" t="s">
        <v>26</v>
      </c>
      <c r="T171" s="6">
        <v>46307</v>
      </c>
      <c r="U171">
        <v>108</v>
      </c>
      <c r="V171">
        <v>108</v>
      </c>
      <c r="W171">
        <v>96</v>
      </c>
      <c r="X171">
        <v>96</v>
      </c>
      <c r="Y171">
        <f t="shared" si="20"/>
        <v>0</v>
      </c>
      <c r="Z171">
        <f t="shared" si="21"/>
        <v>12</v>
      </c>
      <c r="AA171">
        <f t="shared" si="28"/>
        <v>12</v>
      </c>
      <c r="AC171" s="1">
        <v>0</v>
      </c>
      <c r="AF171">
        <f>X171</f>
        <v>96</v>
      </c>
      <c r="AG171" s="41">
        <v>12</v>
      </c>
      <c r="AH171">
        <f t="shared" si="22"/>
        <v>96</v>
      </c>
      <c r="AI171">
        <f t="shared" si="23"/>
        <v>12</v>
      </c>
      <c r="AK171">
        <f t="shared" si="24"/>
        <v>8</v>
      </c>
      <c r="AL171">
        <v>10.06</v>
      </c>
      <c r="AM171" t="s">
        <v>27</v>
      </c>
      <c r="AN171">
        <v>10.06</v>
      </c>
      <c r="AO171" t="b">
        <f t="shared" si="25"/>
        <v>1</v>
      </c>
      <c r="AR171" t="s">
        <v>5061</v>
      </c>
      <c r="AS171" s="21">
        <v>46276</v>
      </c>
      <c r="AT171" t="s">
        <v>5062</v>
      </c>
      <c r="AU171" t="s">
        <v>5068</v>
      </c>
      <c r="AV171" t="s">
        <v>5062</v>
      </c>
      <c r="AW171" t="s">
        <v>5086</v>
      </c>
    </row>
    <row r="172" spans="1:49" hidden="1" x14ac:dyDescent="0.35">
      <c r="A172" t="s">
        <v>871</v>
      </c>
      <c r="B172" t="s">
        <v>872</v>
      </c>
      <c r="C172" t="s">
        <v>4818</v>
      </c>
      <c r="D172" t="s">
        <v>18</v>
      </c>
      <c r="E172" t="s">
        <v>1149</v>
      </c>
      <c r="F172" t="s">
        <v>1150</v>
      </c>
      <c r="G172" t="s">
        <v>21</v>
      </c>
      <c r="H172" t="s">
        <v>4888</v>
      </c>
      <c r="I172" t="s">
        <v>4893</v>
      </c>
      <c r="J172" s="4" t="s">
        <v>4894</v>
      </c>
      <c r="K172" s="4" t="s">
        <v>4896</v>
      </c>
      <c r="L172" s="4" t="s">
        <v>4855</v>
      </c>
      <c r="M172" s="4" t="s">
        <v>5035</v>
      </c>
      <c r="N172" t="s">
        <v>1151</v>
      </c>
      <c r="O172" t="s">
        <v>1152</v>
      </c>
      <c r="P172" t="s">
        <v>23</v>
      </c>
      <c r="Q172" t="s">
        <v>24</v>
      </c>
      <c r="R172" t="s">
        <v>25</v>
      </c>
      <c r="S172" t="s">
        <v>26</v>
      </c>
      <c r="T172" s="6">
        <v>46307</v>
      </c>
      <c r="U172">
        <v>120</v>
      </c>
      <c r="V172">
        <v>120</v>
      </c>
      <c r="W172">
        <v>108</v>
      </c>
      <c r="X172">
        <v>108</v>
      </c>
      <c r="Y172">
        <f t="shared" si="20"/>
        <v>0</v>
      </c>
      <c r="Z172">
        <f t="shared" si="21"/>
        <v>12</v>
      </c>
      <c r="AA172">
        <f t="shared" si="28"/>
        <v>12</v>
      </c>
      <c r="AC172" s="1">
        <v>0</v>
      </c>
      <c r="AF172">
        <f>X172</f>
        <v>108</v>
      </c>
      <c r="AG172" s="41">
        <v>12</v>
      </c>
      <c r="AH172">
        <f t="shared" si="22"/>
        <v>108</v>
      </c>
      <c r="AI172">
        <f t="shared" si="23"/>
        <v>12</v>
      </c>
      <c r="AK172">
        <f t="shared" si="24"/>
        <v>9</v>
      </c>
      <c r="AL172">
        <v>10.220000000000001</v>
      </c>
      <c r="AM172" t="s">
        <v>27</v>
      </c>
      <c r="AN172">
        <v>10.220000000000001</v>
      </c>
      <c r="AO172" t="b">
        <f t="shared" si="25"/>
        <v>1</v>
      </c>
      <c r="AR172" t="s">
        <v>5061</v>
      </c>
      <c r="AS172" s="21">
        <v>46276</v>
      </c>
      <c r="AT172" t="s">
        <v>5062</v>
      </c>
      <c r="AU172" t="s">
        <v>5068</v>
      </c>
      <c r="AV172" t="s">
        <v>5062</v>
      </c>
      <c r="AW172" t="s">
        <v>5086</v>
      </c>
    </row>
    <row r="173" spans="1:49" hidden="1" x14ac:dyDescent="0.35">
      <c r="A173" t="s">
        <v>871</v>
      </c>
      <c r="B173" t="s">
        <v>872</v>
      </c>
      <c r="C173" t="s">
        <v>4818</v>
      </c>
      <c r="D173" t="s">
        <v>18</v>
      </c>
      <c r="E173" t="s">
        <v>1153</v>
      </c>
      <c r="F173" t="s">
        <v>1154</v>
      </c>
      <c r="G173" t="s">
        <v>21</v>
      </c>
      <c r="H173" t="s">
        <v>4888</v>
      </c>
      <c r="I173" t="s">
        <v>4902</v>
      </c>
      <c r="J173" s="4" t="s">
        <v>4903</v>
      </c>
      <c r="K173" s="4" t="s">
        <v>4899</v>
      </c>
      <c r="L173" s="4" t="s">
        <v>4923</v>
      </c>
      <c r="M173" s="4" t="s">
        <v>5035</v>
      </c>
      <c r="N173" t="s">
        <v>1155</v>
      </c>
      <c r="O173" t="s">
        <v>1156</v>
      </c>
      <c r="P173" t="s">
        <v>23</v>
      </c>
      <c r="Q173" t="s">
        <v>24</v>
      </c>
      <c r="R173" t="s">
        <v>25</v>
      </c>
      <c r="S173" t="s">
        <v>26</v>
      </c>
      <c r="T173" s="6">
        <v>46307</v>
      </c>
      <c r="U173">
        <v>36</v>
      </c>
      <c r="V173">
        <v>36</v>
      </c>
      <c r="W173">
        <v>36</v>
      </c>
      <c r="X173">
        <v>36</v>
      </c>
      <c r="Y173">
        <f t="shared" si="20"/>
        <v>0</v>
      </c>
      <c r="Z173">
        <f t="shared" si="21"/>
        <v>0</v>
      </c>
      <c r="AC173" s="1">
        <v>0</v>
      </c>
      <c r="AF173">
        <f t="shared" ref="AF173:AF178" si="29">V173</f>
        <v>36</v>
      </c>
      <c r="AG173" s="41">
        <v>12</v>
      </c>
      <c r="AH173">
        <f t="shared" si="22"/>
        <v>36</v>
      </c>
      <c r="AI173">
        <f t="shared" si="23"/>
        <v>0</v>
      </c>
      <c r="AK173">
        <f t="shared" si="24"/>
        <v>3</v>
      </c>
      <c r="AL173">
        <v>10.49</v>
      </c>
      <c r="AM173" t="s">
        <v>27</v>
      </c>
      <c r="AN173">
        <v>10.49</v>
      </c>
      <c r="AO173" t="b">
        <f t="shared" si="25"/>
        <v>1</v>
      </c>
      <c r="AR173" t="s">
        <v>5061</v>
      </c>
      <c r="AS173" s="21">
        <v>46276</v>
      </c>
      <c r="AT173" t="s">
        <v>5062</v>
      </c>
      <c r="AU173" t="s">
        <v>5069</v>
      </c>
      <c r="AV173" t="s">
        <v>5062</v>
      </c>
      <c r="AW173" t="s">
        <v>5086</v>
      </c>
    </row>
    <row r="174" spans="1:49" hidden="1" x14ac:dyDescent="0.35">
      <c r="A174" t="s">
        <v>871</v>
      </c>
      <c r="B174" t="s">
        <v>872</v>
      </c>
      <c r="C174" t="s">
        <v>4818</v>
      </c>
      <c r="D174" t="s">
        <v>18</v>
      </c>
      <c r="E174" t="s">
        <v>1157</v>
      </c>
      <c r="F174" t="s">
        <v>1158</v>
      </c>
      <c r="G174" t="s">
        <v>21</v>
      </c>
      <c r="H174" t="s">
        <v>4888</v>
      </c>
      <c r="I174" t="s">
        <v>4902</v>
      </c>
      <c r="J174" s="4" t="s">
        <v>4903</v>
      </c>
      <c r="K174" s="4" t="s">
        <v>4915</v>
      </c>
      <c r="L174" s="4" t="s">
        <v>4919</v>
      </c>
      <c r="M174" s="4" t="s">
        <v>5035</v>
      </c>
      <c r="N174" t="s">
        <v>1159</v>
      </c>
      <c r="O174" t="s">
        <v>1160</v>
      </c>
      <c r="P174" t="s">
        <v>23</v>
      </c>
      <c r="Q174" t="s">
        <v>24</v>
      </c>
      <c r="R174" t="s">
        <v>25</v>
      </c>
      <c r="S174" t="s">
        <v>26</v>
      </c>
      <c r="T174" s="6">
        <v>46307</v>
      </c>
      <c r="U174">
        <v>288</v>
      </c>
      <c r="V174">
        <v>288</v>
      </c>
      <c r="W174">
        <v>312</v>
      </c>
      <c r="X174">
        <v>312</v>
      </c>
      <c r="Y174">
        <f t="shared" si="20"/>
        <v>0</v>
      </c>
      <c r="Z174">
        <f t="shared" si="21"/>
        <v>-24</v>
      </c>
      <c r="AC174" s="1">
        <v>0</v>
      </c>
      <c r="AF174">
        <f t="shared" si="29"/>
        <v>288</v>
      </c>
      <c r="AG174" s="41">
        <v>12</v>
      </c>
      <c r="AH174">
        <f t="shared" si="22"/>
        <v>288</v>
      </c>
      <c r="AI174">
        <f t="shared" si="23"/>
        <v>0</v>
      </c>
      <c r="AK174">
        <f t="shared" si="24"/>
        <v>24</v>
      </c>
      <c r="AL174">
        <v>10.66</v>
      </c>
      <c r="AM174" t="s">
        <v>27</v>
      </c>
      <c r="AN174">
        <v>10.66</v>
      </c>
      <c r="AO174" t="b">
        <f t="shared" si="25"/>
        <v>1</v>
      </c>
      <c r="AR174" t="s">
        <v>5061</v>
      </c>
      <c r="AS174" s="21">
        <v>46276</v>
      </c>
      <c r="AT174" t="s">
        <v>5062</v>
      </c>
      <c r="AU174" t="s">
        <v>5069</v>
      </c>
      <c r="AV174" t="s">
        <v>5062</v>
      </c>
      <c r="AW174" t="s">
        <v>5086</v>
      </c>
    </row>
    <row r="175" spans="1:49" hidden="1" x14ac:dyDescent="0.35">
      <c r="A175" t="s">
        <v>871</v>
      </c>
      <c r="B175" t="s">
        <v>872</v>
      </c>
      <c r="C175" t="s">
        <v>4818</v>
      </c>
      <c r="D175" t="s">
        <v>18</v>
      </c>
      <c r="E175" t="s">
        <v>1161</v>
      </c>
      <c r="F175" t="s">
        <v>1162</v>
      </c>
      <c r="G175" t="s">
        <v>21</v>
      </c>
      <c r="H175" t="s">
        <v>4888</v>
      </c>
      <c r="I175" t="s">
        <v>4902</v>
      </c>
      <c r="J175" s="4" t="s">
        <v>4903</v>
      </c>
      <c r="K175" s="4" t="s">
        <v>4915</v>
      </c>
      <c r="L175" s="4" t="s">
        <v>4929</v>
      </c>
      <c r="M175" s="4" t="s">
        <v>5035</v>
      </c>
      <c r="N175" t="s">
        <v>1163</v>
      </c>
      <c r="O175" t="s">
        <v>1164</v>
      </c>
      <c r="P175" t="s">
        <v>23</v>
      </c>
      <c r="Q175" t="s">
        <v>24</v>
      </c>
      <c r="R175" t="s">
        <v>25</v>
      </c>
      <c r="S175" t="s">
        <v>26</v>
      </c>
      <c r="T175" s="6">
        <v>46307</v>
      </c>
      <c r="U175">
        <v>180</v>
      </c>
      <c r="V175">
        <v>180</v>
      </c>
      <c r="W175">
        <v>192</v>
      </c>
      <c r="X175">
        <v>192</v>
      </c>
      <c r="Y175">
        <f t="shared" si="20"/>
        <v>0</v>
      </c>
      <c r="Z175">
        <f t="shared" si="21"/>
        <v>-12</v>
      </c>
      <c r="AC175" s="1"/>
      <c r="AF175">
        <f t="shared" si="29"/>
        <v>180</v>
      </c>
      <c r="AG175" s="41">
        <v>12</v>
      </c>
      <c r="AH175">
        <f t="shared" si="22"/>
        <v>180</v>
      </c>
      <c r="AI175">
        <f t="shared" si="23"/>
        <v>0</v>
      </c>
      <c r="AK175">
        <f t="shared" si="24"/>
        <v>15</v>
      </c>
      <c r="AL175">
        <v>10.66</v>
      </c>
      <c r="AM175" t="s">
        <v>27</v>
      </c>
      <c r="AN175">
        <v>10.66</v>
      </c>
      <c r="AO175" t="b">
        <f t="shared" si="25"/>
        <v>1</v>
      </c>
      <c r="AR175" t="s">
        <v>5061</v>
      </c>
      <c r="AS175" s="21">
        <v>46276</v>
      </c>
      <c r="AT175" t="s">
        <v>5062</v>
      </c>
      <c r="AU175" t="s">
        <v>5069</v>
      </c>
      <c r="AV175" t="s">
        <v>5062</v>
      </c>
      <c r="AW175" t="s">
        <v>5086</v>
      </c>
    </row>
    <row r="176" spans="1:49" hidden="1" x14ac:dyDescent="0.35">
      <c r="A176" t="s">
        <v>871</v>
      </c>
      <c r="B176" t="s">
        <v>872</v>
      </c>
      <c r="C176" t="s">
        <v>4818</v>
      </c>
      <c r="D176" t="s">
        <v>18</v>
      </c>
      <c r="E176" t="s">
        <v>1165</v>
      </c>
      <c r="F176" t="s">
        <v>1166</v>
      </c>
      <c r="G176" t="s">
        <v>21</v>
      </c>
      <c r="H176" t="s">
        <v>4888</v>
      </c>
      <c r="I176" t="s">
        <v>4889</v>
      </c>
      <c r="J176" s="4" t="s">
        <v>4890</v>
      </c>
      <c r="K176" s="4" t="s">
        <v>4911</v>
      </c>
      <c r="L176" s="4" t="s">
        <v>4928</v>
      </c>
      <c r="M176" s="4" t="s">
        <v>5035</v>
      </c>
      <c r="N176" t="s">
        <v>1167</v>
      </c>
      <c r="O176" t="s">
        <v>1168</v>
      </c>
      <c r="P176" t="s">
        <v>23</v>
      </c>
      <c r="Q176" t="s">
        <v>24</v>
      </c>
      <c r="R176" t="s">
        <v>25</v>
      </c>
      <c r="S176" t="s">
        <v>26</v>
      </c>
      <c r="T176" s="6">
        <v>46307</v>
      </c>
      <c r="U176">
        <v>12</v>
      </c>
      <c r="V176">
        <v>12</v>
      </c>
      <c r="W176">
        <v>12</v>
      </c>
      <c r="X176">
        <v>12</v>
      </c>
      <c r="Y176">
        <f t="shared" si="20"/>
        <v>0</v>
      </c>
      <c r="Z176">
        <f t="shared" si="21"/>
        <v>0</v>
      </c>
      <c r="AC176" s="1">
        <v>0</v>
      </c>
      <c r="AF176">
        <f t="shared" si="29"/>
        <v>12</v>
      </c>
      <c r="AG176" s="41">
        <v>12</v>
      </c>
      <c r="AH176">
        <f t="shared" si="22"/>
        <v>12</v>
      </c>
      <c r="AI176">
        <f t="shared" si="23"/>
        <v>0</v>
      </c>
      <c r="AK176">
        <f t="shared" si="24"/>
        <v>1</v>
      </c>
      <c r="AL176">
        <v>11.87</v>
      </c>
      <c r="AM176" t="s">
        <v>27</v>
      </c>
      <c r="AN176">
        <v>11.87</v>
      </c>
      <c r="AO176" t="b">
        <f t="shared" si="25"/>
        <v>1</v>
      </c>
      <c r="AR176" t="s">
        <v>5061</v>
      </c>
      <c r="AS176" s="21">
        <v>46276</v>
      </c>
      <c r="AT176" t="s">
        <v>5062</v>
      </c>
      <c r="AU176" t="s">
        <v>5067</v>
      </c>
      <c r="AV176" t="s">
        <v>5062</v>
      </c>
      <c r="AW176" t="s">
        <v>5086</v>
      </c>
    </row>
    <row r="177" spans="1:49" hidden="1" x14ac:dyDescent="0.35">
      <c r="A177" t="s">
        <v>871</v>
      </c>
      <c r="B177" t="s">
        <v>872</v>
      </c>
      <c r="C177" t="s">
        <v>4818</v>
      </c>
      <c r="D177" t="s">
        <v>18</v>
      </c>
      <c r="E177" t="s">
        <v>1169</v>
      </c>
      <c r="F177" t="s">
        <v>1170</v>
      </c>
      <c r="G177" t="s">
        <v>21</v>
      </c>
      <c r="H177" t="s">
        <v>4888</v>
      </c>
      <c r="I177" t="s">
        <v>4893</v>
      </c>
      <c r="J177" s="4" t="s">
        <v>4894</v>
      </c>
      <c r="K177" s="4" t="s">
        <v>4913</v>
      </c>
      <c r="L177" s="4" t="s">
        <v>4897</v>
      </c>
      <c r="M177" s="4" t="s">
        <v>5035</v>
      </c>
      <c r="N177" t="s">
        <v>1171</v>
      </c>
      <c r="O177" t="s">
        <v>1172</v>
      </c>
      <c r="P177" t="s">
        <v>23</v>
      </c>
      <c r="Q177" t="s">
        <v>24</v>
      </c>
      <c r="R177" t="s">
        <v>25</v>
      </c>
      <c r="S177" t="s">
        <v>26</v>
      </c>
      <c r="T177" s="6">
        <v>46307</v>
      </c>
      <c r="U177">
        <v>72</v>
      </c>
      <c r="V177">
        <v>72</v>
      </c>
      <c r="W177">
        <v>84</v>
      </c>
      <c r="X177">
        <v>84</v>
      </c>
      <c r="Y177">
        <f t="shared" si="20"/>
        <v>0</v>
      </c>
      <c r="Z177">
        <f t="shared" si="21"/>
        <v>-12</v>
      </c>
      <c r="AC177" s="1">
        <v>0</v>
      </c>
      <c r="AF177">
        <f t="shared" si="29"/>
        <v>72</v>
      </c>
      <c r="AG177" s="41">
        <v>12</v>
      </c>
      <c r="AH177">
        <f t="shared" si="22"/>
        <v>72</v>
      </c>
      <c r="AI177">
        <f t="shared" si="23"/>
        <v>0</v>
      </c>
      <c r="AK177">
        <f t="shared" si="24"/>
        <v>6</v>
      </c>
      <c r="AL177">
        <v>9.9499999999999993</v>
      </c>
      <c r="AM177" t="s">
        <v>27</v>
      </c>
      <c r="AN177">
        <v>9.9499999999999993</v>
      </c>
      <c r="AO177" t="b">
        <f t="shared" si="25"/>
        <v>1</v>
      </c>
      <c r="AR177" t="s">
        <v>5061</v>
      </c>
      <c r="AS177" s="21">
        <v>46276</v>
      </c>
      <c r="AT177" t="s">
        <v>5062</v>
      </c>
      <c r="AU177" t="s">
        <v>5068</v>
      </c>
      <c r="AV177" t="s">
        <v>5062</v>
      </c>
      <c r="AW177" t="s">
        <v>5086</v>
      </c>
    </row>
    <row r="178" spans="1:49" hidden="1" x14ac:dyDescent="0.35">
      <c r="A178" t="s">
        <v>871</v>
      </c>
      <c r="B178" t="s">
        <v>872</v>
      </c>
      <c r="C178" t="s">
        <v>4818</v>
      </c>
      <c r="D178" t="s">
        <v>18</v>
      </c>
      <c r="E178" t="s">
        <v>1173</v>
      </c>
      <c r="F178" t="s">
        <v>1174</v>
      </c>
      <c r="G178" t="s">
        <v>21</v>
      </c>
      <c r="H178" t="s">
        <v>4888</v>
      </c>
      <c r="I178" t="s">
        <v>4893</v>
      </c>
      <c r="J178" s="4" t="s">
        <v>4894</v>
      </c>
      <c r="K178" s="4" t="s">
        <v>4837</v>
      </c>
      <c r="L178" s="4" t="s">
        <v>4880</v>
      </c>
      <c r="M178" s="4" t="s">
        <v>5035</v>
      </c>
      <c r="N178" t="s">
        <v>1175</v>
      </c>
      <c r="O178" t="s">
        <v>1176</v>
      </c>
      <c r="P178" t="s">
        <v>23</v>
      </c>
      <c r="Q178" t="s">
        <v>24</v>
      </c>
      <c r="R178" t="s">
        <v>25</v>
      </c>
      <c r="S178" t="s">
        <v>26</v>
      </c>
      <c r="T178" s="6">
        <v>46307</v>
      </c>
      <c r="U178">
        <v>60</v>
      </c>
      <c r="V178">
        <v>60</v>
      </c>
      <c r="W178">
        <v>60</v>
      </c>
      <c r="X178">
        <v>60</v>
      </c>
      <c r="Y178">
        <f t="shared" si="20"/>
        <v>0</v>
      </c>
      <c r="Z178">
        <f t="shared" si="21"/>
        <v>0</v>
      </c>
      <c r="AC178" s="1">
        <v>0</v>
      </c>
      <c r="AF178">
        <f t="shared" si="29"/>
        <v>60</v>
      </c>
      <c r="AG178" s="41">
        <v>12</v>
      </c>
      <c r="AH178">
        <f t="shared" si="22"/>
        <v>60</v>
      </c>
      <c r="AI178">
        <f t="shared" si="23"/>
        <v>0</v>
      </c>
      <c r="AK178">
        <f t="shared" si="24"/>
        <v>5</v>
      </c>
      <c r="AL178">
        <v>10.06</v>
      </c>
      <c r="AM178" t="s">
        <v>27</v>
      </c>
      <c r="AN178">
        <v>10.06</v>
      </c>
      <c r="AO178" t="b">
        <f t="shared" si="25"/>
        <v>1</v>
      </c>
      <c r="AR178" t="s">
        <v>5061</v>
      </c>
      <c r="AS178" s="21">
        <v>46276</v>
      </c>
      <c r="AT178" t="s">
        <v>5062</v>
      </c>
      <c r="AU178" t="s">
        <v>5068</v>
      </c>
      <c r="AV178" t="s">
        <v>5062</v>
      </c>
      <c r="AW178" t="s">
        <v>5086</v>
      </c>
    </row>
    <row r="179" spans="1:49" hidden="1" x14ac:dyDescent="0.35">
      <c r="A179" t="s">
        <v>871</v>
      </c>
      <c r="B179" t="s">
        <v>872</v>
      </c>
      <c r="C179" t="s">
        <v>4818</v>
      </c>
      <c r="D179" t="s">
        <v>18</v>
      </c>
      <c r="E179" t="s">
        <v>1177</v>
      </c>
      <c r="F179" t="s">
        <v>1178</v>
      </c>
      <c r="G179" t="s">
        <v>21</v>
      </c>
      <c r="H179" t="s">
        <v>4888</v>
      </c>
      <c r="I179" t="s">
        <v>4893</v>
      </c>
      <c r="J179" s="4" t="s">
        <v>4894</v>
      </c>
      <c r="K179" s="4" t="s">
        <v>4896</v>
      </c>
      <c r="L179" s="4" t="s">
        <v>4910</v>
      </c>
      <c r="M179" s="4" t="s">
        <v>5035</v>
      </c>
      <c r="N179" t="s">
        <v>1179</v>
      </c>
      <c r="O179" t="s">
        <v>1180</v>
      </c>
      <c r="P179" t="s">
        <v>23</v>
      </c>
      <c r="Q179" t="s">
        <v>24</v>
      </c>
      <c r="R179" t="s">
        <v>25</v>
      </c>
      <c r="S179" t="s">
        <v>26</v>
      </c>
      <c r="T179" s="6">
        <v>46307</v>
      </c>
      <c r="U179">
        <v>36</v>
      </c>
      <c r="V179">
        <v>36</v>
      </c>
      <c r="W179">
        <v>24</v>
      </c>
      <c r="X179">
        <v>24</v>
      </c>
      <c r="Y179">
        <f t="shared" si="20"/>
        <v>0</v>
      </c>
      <c r="Z179">
        <f t="shared" si="21"/>
        <v>12</v>
      </c>
      <c r="AA179">
        <f t="shared" ref="AA179:AA180" si="30">Z179</f>
        <v>12</v>
      </c>
      <c r="AC179" s="1">
        <v>0</v>
      </c>
      <c r="AF179">
        <f>X179</f>
        <v>24</v>
      </c>
      <c r="AG179" s="41">
        <v>12</v>
      </c>
      <c r="AH179">
        <f t="shared" si="22"/>
        <v>24</v>
      </c>
      <c r="AI179">
        <f t="shared" si="23"/>
        <v>12</v>
      </c>
      <c r="AK179">
        <f t="shared" si="24"/>
        <v>2</v>
      </c>
      <c r="AL179">
        <v>10.220000000000001</v>
      </c>
      <c r="AM179" t="s">
        <v>27</v>
      </c>
      <c r="AN179">
        <v>10.220000000000001</v>
      </c>
      <c r="AO179" t="b">
        <f t="shared" si="25"/>
        <v>1</v>
      </c>
      <c r="AR179" t="s">
        <v>5061</v>
      </c>
      <c r="AS179" s="21">
        <v>46276</v>
      </c>
      <c r="AT179" t="s">
        <v>5062</v>
      </c>
      <c r="AU179" t="s">
        <v>5068</v>
      </c>
      <c r="AV179" t="s">
        <v>5062</v>
      </c>
      <c r="AW179" t="s">
        <v>5086</v>
      </c>
    </row>
    <row r="180" spans="1:49" hidden="1" x14ac:dyDescent="0.35">
      <c r="A180" t="s">
        <v>871</v>
      </c>
      <c r="B180" t="s">
        <v>872</v>
      </c>
      <c r="C180" t="s">
        <v>4818</v>
      </c>
      <c r="D180" t="s">
        <v>18</v>
      </c>
      <c r="E180" t="s">
        <v>1181</v>
      </c>
      <c r="F180" t="s">
        <v>1182</v>
      </c>
      <c r="G180" t="s">
        <v>21</v>
      </c>
      <c r="H180" t="s">
        <v>4888</v>
      </c>
      <c r="I180" t="s">
        <v>4893</v>
      </c>
      <c r="J180" s="4" t="s">
        <v>4894</v>
      </c>
      <c r="K180" s="4" t="s">
        <v>4896</v>
      </c>
      <c r="L180" s="4" t="s">
        <v>4871</v>
      </c>
      <c r="M180" s="4" t="s">
        <v>5035</v>
      </c>
      <c r="N180" t="s">
        <v>1183</v>
      </c>
      <c r="O180" t="s">
        <v>1184</v>
      </c>
      <c r="P180" t="s">
        <v>23</v>
      </c>
      <c r="Q180" t="s">
        <v>24</v>
      </c>
      <c r="R180" t="s">
        <v>25</v>
      </c>
      <c r="S180" t="s">
        <v>26</v>
      </c>
      <c r="T180" s="6">
        <v>46307</v>
      </c>
      <c r="U180">
        <v>252</v>
      </c>
      <c r="V180">
        <v>252</v>
      </c>
      <c r="W180">
        <v>228</v>
      </c>
      <c r="X180">
        <v>228</v>
      </c>
      <c r="Y180">
        <f t="shared" si="20"/>
        <v>0</v>
      </c>
      <c r="Z180">
        <f t="shared" si="21"/>
        <v>24</v>
      </c>
      <c r="AA180">
        <f t="shared" si="30"/>
        <v>24</v>
      </c>
      <c r="AC180" s="1">
        <v>0</v>
      </c>
      <c r="AF180">
        <f>X180</f>
        <v>228</v>
      </c>
      <c r="AG180" s="41">
        <v>12</v>
      </c>
      <c r="AH180">
        <f t="shared" si="22"/>
        <v>228</v>
      </c>
      <c r="AI180">
        <f t="shared" si="23"/>
        <v>24</v>
      </c>
      <c r="AK180">
        <f t="shared" si="24"/>
        <v>19</v>
      </c>
      <c r="AL180">
        <v>10.220000000000001</v>
      </c>
      <c r="AM180" t="s">
        <v>27</v>
      </c>
      <c r="AN180">
        <v>10.220000000000001</v>
      </c>
      <c r="AO180" t="b">
        <f t="shared" si="25"/>
        <v>1</v>
      </c>
      <c r="AR180" t="s">
        <v>5061</v>
      </c>
      <c r="AS180" s="21">
        <v>46276</v>
      </c>
      <c r="AT180" t="s">
        <v>5062</v>
      </c>
      <c r="AU180" t="s">
        <v>5068</v>
      </c>
      <c r="AV180" t="s">
        <v>5062</v>
      </c>
      <c r="AW180" t="s">
        <v>5086</v>
      </c>
    </row>
    <row r="181" spans="1:49" hidden="1" x14ac:dyDescent="0.35">
      <c r="A181" t="s">
        <v>871</v>
      </c>
      <c r="B181" t="s">
        <v>872</v>
      </c>
      <c r="C181" t="s">
        <v>4818</v>
      </c>
      <c r="D181" t="s">
        <v>18</v>
      </c>
      <c r="E181" t="s">
        <v>1185</v>
      </c>
      <c r="F181" t="s">
        <v>1186</v>
      </c>
      <c r="G181" t="s">
        <v>21</v>
      </c>
      <c r="H181" t="s">
        <v>4888</v>
      </c>
      <c r="I181" t="s">
        <v>4893</v>
      </c>
      <c r="J181" s="4" t="s">
        <v>4894</v>
      </c>
      <c r="K181" s="4" t="s">
        <v>4837</v>
      </c>
      <c r="L181" s="4" t="s">
        <v>4857</v>
      </c>
      <c r="M181" s="4" t="s">
        <v>5035</v>
      </c>
      <c r="N181" t="s">
        <v>1187</v>
      </c>
      <c r="O181" t="s">
        <v>1188</v>
      </c>
      <c r="P181" t="s">
        <v>23</v>
      </c>
      <c r="Q181" t="s">
        <v>24</v>
      </c>
      <c r="R181" t="s">
        <v>25</v>
      </c>
      <c r="S181" t="s">
        <v>26</v>
      </c>
      <c r="T181" s="6">
        <v>46307</v>
      </c>
      <c r="U181">
        <v>36</v>
      </c>
      <c r="V181">
        <v>36</v>
      </c>
      <c r="W181">
        <v>36</v>
      </c>
      <c r="X181">
        <v>36</v>
      </c>
      <c r="Y181">
        <f t="shared" si="20"/>
        <v>0</v>
      </c>
      <c r="Z181">
        <f t="shared" si="21"/>
        <v>0</v>
      </c>
      <c r="AC181" s="1">
        <v>0</v>
      </c>
      <c r="AF181">
        <f>V181</f>
        <v>36</v>
      </c>
      <c r="AG181" s="41">
        <v>12</v>
      </c>
      <c r="AH181">
        <f t="shared" si="22"/>
        <v>36</v>
      </c>
      <c r="AI181">
        <f t="shared" si="23"/>
        <v>0</v>
      </c>
      <c r="AK181">
        <f t="shared" si="24"/>
        <v>3</v>
      </c>
      <c r="AL181">
        <v>10.06</v>
      </c>
      <c r="AM181" t="s">
        <v>27</v>
      </c>
      <c r="AN181">
        <v>10.06</v>
      </c>
      <c r="AO181" t="b">
        <f t="shared" si="25"/>
        <v>1</v>
      </c>
      <c r="AR181" t="s">
        <v>5061</v>
      </c>
      <c r="AS181" s="21">
        <v>46276</v>
      </c>
      <c r="AT181" t="s">
        <v>5062</v>
      </c>
      <c r="AU181" t="s">
        <v>5068</v>
      </c>
      <c r="AV181" t="s">
        <v>5062</v>
      </c>
      <c r="AW181" t="s">
        <v>5086</v>
      </c>
    </row>
    <row r="182" spans="1:49" hidden="1" x14ac:dyDescent="0.35">
      <c r="A182" t="s">
        <v>871</v>
      </c>
      <c r="B182" t="s">
        <v>872</v>
      </c>
      <c r="C182" t="s">
        <v>4818</v>
      </c>
      <c r="D182" t="s">
        <v>18</v>
      </c>
      <c r="E182" t="s">
        <v>1189</v>
      </c>
      <c r="F182" t="s">
        <v>1190</v>
      </c>
      <c r="G182" t="s">
        <v>21</v>
      </c>
      <c r="H182" t="s">
        <v>4888</v>
      </c>
      <c r="I182" t="s">
        <v>4906</v>
      </c>
      <c r="J182" s="4" t="s">
        <v>4907</v>
      </c>
      <c r="K182" s="4" t="s">
        <v>4908</v>
      </c>
      <c r="L182" s="4" t="s">
        <v>4930</v>
      </c>
      <c r="M182" s="4" t="s">
        <v>5035</v>
      </c>
      <c r="N182" t="s">
        <v>1191</v>
      </c>
      <c r="O182" t="s">
        <v>1192</v>
      </c>
      <c r="P182" t="s">
        <v>23</v>
      </c>
      <c r="Q182" t="s">
        <v>24</v>
      </c>
      <c r="R182" t="s">
        <v>25</v>
      </c>
      <c r="S182" t="s">
        <v>26</v>
      </c>
      <c r="T182" s="6">
        <v>46307</v>
      </c>
      <c r="U182">
        <v>24</v>
      </c>
      <c r="V182">
        <v>24</v>
      </c>
      <c r="W182">
        <v>24</v>
      </c>
      <c r="X182">
        <v>24</v>
      </c>
      <c r="Y182">
        <f t="shared" si="20"/>
        <v>0</v>
      </c>
      <c r="Z182">
        <f t="shared" si="21"/>
        <v>0</v>
      </c>
      <c r="AC182" s="1">
        <v>0</v>
      </c>
      <c r="AF182">
        <f>V182</f>
        <v>24</v>
      </c>
      <c r="AG182" s="41">
        <v>12</v>
      </c>
      <c r="AH182">
        <f t="shared" si="22"/>
        <v>24</v>
      </c>
      <c r="AI182">
        <f t="shared" si="23"/>
        <v>0</v>
      </c>
      <c r="AK182">
        <f t="shared" si="24"/>
        <v>2</v>
      </c>
      <c r="AL182">
        <v>10.19</v>
      </c>
      <c r="AM182" t="s">
        <v>27</v>
      </c>
      <c r="AN182">
        <v>10.19</v>
      </c>
      <c r="AO182" t="b">
        <f t="shared" si="25"/>
        <v>1</v>
      </c>
      <c r="AR182" t="s">
        <v>5061</v>
      </c>
      <c r="AS182" s="21">
        <v>46276</v>
      </c>
      <c r="AT182" t="s">
        <v>5062</v>
      </c>
      <c r="AU182" t="s">
        <v>5070</v>
      </c>
      <c r="AV182" t="s">
        <v>5062</v>
      </c>
      <c r="AW182" t="s">
        <v>5086</v>
      </c>
    </row>
    <row r="183" spans="1:49" hidden="1" x14ac:dyDescent="0.35">
      <c r="A183" t="s">
        <v>871</v>
      </c>
      <c r="B183" t="s">
        <v>872</v>
      </c>
      <c r="C183" t="s">
        <v>4818</v>
      </c>
      <c r="D183" t="s">
        <v>18</v>
      </c>
      <c r="E183" t="s">
        <v>1193</v>
      </c>
      <c r="F183" t="s">
        <v>1194</v>
      </c>
      <c r="G183" t="s">
        <v>21</v>
      </c>
      <c r="H183" t="s">
        <v>4888</v>
      </c>
      <c r="I183" t="s">
        <v>4902</v>
      </c>
      <c r="J183" s="4" t="s">
        <v>4903</v>
      </c>
      <c r="K183" s="4" t="s">
        <v>4915</v>
      </c>
      <c r="L183" s="4" t="s">
        <v>4923</v>
      </c>
      <c r="M183" s="4" t="s">
        <v>5035</v>
      </c>
      <c r="N183" t="s">
        <v>1195</v>
      </c>
      <c r="O183" t="s">
        <v>1196</v>
      </c>
      <c r="P183" t="s">
        <v>23</v>
      </c>
      <c r="Q183" t="s">
        <v>24</v>
      </c>
      <c r="R183" t="s">
        <v>25</v>
      </c>
      <c r="S183" t="s">
        <v>26</v>
      </c>
      <c r="T183" s="6">
        <v>46307</v>
      </c>
      <c r="U183">
        <v>108</v>
      </c>
      <c r="V183">
        <v>108</v>
      </c>
      <c r="W183">
        <v>96</v>
      </c>
      <c r="X183">
        <v>96</v>
      </c>
      <c r="Y183">
        <f t="shared" si="20"/>
        <v>0</v>
      </c>
      <c r="Z183">
        <f t="shared" si="21"/>
        <v>12</v>
      </c>
      <c r="AA183">
        <f>Z183</f>
        <v>12</v>
      </c>
      <c r="AC183" s="1">
        <v>0</v>
      </c>
      <c r="AF183">
        <f>X183</f>
        <v>96</v>
      </c>
      <c r="AG183" s="41">
        <v>12</v>
      </c>
      <c r="AH183">
        <f t="shared" si="22"/>
        <v>96</v>
      </c>
      <c r="AI183">
        <f t="shared" si="23"/>
        <v>12</v>
      </c>
      <c r="AK183">
        <f t="shared" si="24"/>
        <v>8</v>
      </c>
      <c r="AL183">
        <v>10.66</v>
      </c>
      <c r="AM183" t="s">
        <v>27</v>
      </c>
      <c r="AN183">
        <v>10.66</v>
      </c>
      <c r="AO183" t="b">
        <f t="shared" si="25"/>
        <v>1</v>
      </c>
      <c r="AR183" t="s">
        <v>5061</v>
      </c>
      <c r="AS183" s="21">
        <v>46276</v>
      </c>
      <c r="AT183" t="s">
        <v>5062</v>
      </c>
      <c r="AU183" t="s">
        <v>5069</v>
      </c>
      <c r="AV183" t="s">
        <v>5062</v>
      </c>
      <c r="AW183" t="s">
        <v>5086</v>
      </c>
    </row>
    <row r="184" spans="1:49" hidden="1" x14ac:dyDescent="0.35">
      <c r="A184" t="s">
        <v>871</v>
      </c>
      <c r="B184" t="s">
        <v>872</v>
      </c>
      <c r="C184" t="s">
        <v>4818</v>
      </c>
      <c r="D184" t="s">
        <v>18</v>
      </c>
      <c r="E184" t="s">
        <v>1197</v>
      </c>
      <c r="F184" t="s">
        <v>1198</v>
      </c>
      <c r="G184" t="s">
        <v>21</v>
      </c>
      <c r="H184" t="s">
        <v>4888</v>
      </c>
      <c r="I184" t="s">
        <v>4902</v>
      </c>
      <c r="J184" s="4" t="s">
        <v>4903</v>
      </c>
      <c r="K184" s="4" t="s">
        <v>4899</v>
      </c>
      <c r="L184" s="4" t="s">
        <v>4910</v>
      </c>
      <c r="M184" s="4" t="s">
        <v>5035</v>
      </c>
      <c r="N184" t="s">
        <v>1199</v>
      </c>
      <c r="O184" t="s">
        <v>1200</v>
      </c>
      <c r="P184" t="s">
        <v>23</v>
      </c>
      <c r="Q184" t="s">
        <v>24</v>
      </c>
      <c r="R184" t="s">
        <v>25</v>
      </c>
      <c r="S184" t="s">
        <v>26</v>
      </c>
      <c r="T184" s="6">
        <v>46307</v>
      </c>
      <c r="U184">
        <v>84</v>
      </c>
      <c r="V184">
        <v>84</v>
      </c>
      <c r="W184">
        <v>84</v>
      </c>
      <c r="X184">
        <v>84</v>
      </c>
      <c r="Y184">
        <f t="shared" si="20"/>
        <v>0</v>
      </c>
      <c r="Z184">
        <f t="shared" si="21"/>
        <v>0</v>
      </c>
      <c r="AC184" s="1">
        <v>0</v>
      </c>
      <c r="AF184">
        <f>V184</f>
        <v>84</v>
      </c>
      <c r="AG184" s="41">
        <v>12</v>
      </c>
      <c r="AH184">
        <f t="shared" si="22"/>
        <v>84</v>
      </c>
      <c r="AI184">
        <f t="shared" si="23"/>
        <v>0</v>
      </c>
      <c r="AK184">
        <f t="shared" si="24"/>
        <v>7</v>
      </c>
      <c r="AL184">
        <v>10.49</v>
      </c>
      <c r="AM184" t="s">
        <v>27</v>
      </c>
      <c r="AN184">
        <v>10.49</v>
      </c>
      <c r="AO184" t="b">
        <f t="shared" si="25"/>
        <v>1</v>
      </c>
      <c r="AR184" t="s">
        <v>5061</v>
      </c>
      <c r="AS184" s="21">
        <v>46276</v>
      </c>
      <c r="AT184" t="s">
        <v>5062</v>
      </c>
      <c r="AU184" t="s">
        <v>5069</v>
      </c>
      <c r="AV184" t="s">
        <v>5062</v>
      </c>
      <c r="AW184" t="s">
        <v>5086</v>
      </c>
    </row>
    <row r="185" spans="1:49" hidden="1" x14ac:dyDescent="0.35">
      <c r="A185" t="s">
        <v>871</v>
      </c>
      <c r="B185" t="s">
        <v>872</v>
      </c>
      <c r="C185" t="s">
        <v>4818</v>
      </c>
      <c r="D185" t="s">
        <v>18</v>
      </c>
      <c r="E185" t="s">
        <v>1201</v>
      </c>
      <c r="F185" t="s">
        <v>1202</v>
      </c>
      <c r="G185" t="s">
        <v>21</v>
      </c>
      <c r="H185" t="s">
        <v>4888</v>
      </c>
      <c r="I185" t="s">
        <v>4902</v>
      </c>
      <c r="J185" s="4" t="s">
        <v>4903</v>
      </c>
      <c r="K185" s="4" t="s">
        <v>4899</v>
      </c>
      <c r="L185" s="4" t="s">
        <v>4925</v>
      </c>
      <c r="M185" s="4" t="s">
        <v>5035</v>
      </c>
      <c r="N185" t="s">
        <v>1203</v>
      </c>
      <c r="O185" t="s">
        <v>1204</v>
      </c>
      <c r="P185" t="s">
        <v>23</v>
      </c>
      <c r="Q185" t="s">
        <v>24</v>
      </c>
      <c r="R185" t="s">
        <v>25</v>
      </c>
      <c r="S185" t="s">
        <v>26</v>
      </c>
      <c r="T185" s="6">
        <v>46307</v>
      </c>
      <c r="U185">
        <v>156</v>
      </c>
      <c r="V185">
        <v>156</v>
      </c>
      <c r="W185">
        <v>168</v>
      </c>
      <c r="X185">
        <v>168</v>
      </c>
      <c r="Y185">
        <f t="shared" si="20"/>
        <v>0</v>
      </c>
      <c r="Z185">
        <f t="shared" si="21"/>
        <v>-12</v>
      </c>
      <c r="AC185" s="1"/>
      <c r="AF185">
        <f>V185</f>
        <v>156</v>
      </c>
      <c r="AG185" s="41">
        <v>12</v>
      </c>
      <c r="AH185">
        <f t="shared" si="22"/>
        <v>156</v>
      </c>
      <c r="AI185">
        <f t="shared" si="23"/>
        <v>0</v>
      </c>
      <c r="AK185">
        <f t="shared" si="24"/>
        <v>13</v>
      </c>
      <c r="AL185">
        <v>10.49</v>
      </c>
      <c r="AM185" t="s">
        <v>27</v>
      </c>
      <c r="AN185">
        <v>10.49</v>
      </c>
      <c r="AO185" t="b">
        <f t="shared" si="25"/>
        <v>1</v>
      </c>
      <c r="AR185" t="s">
        <v>5061</v>
      </c>
      <c r="AS185" s="21">
        <v>46276</v>
      </c>
      <c r="AT185" t="s">
        <v>5062</v>
      </c>
      <c r="AU185" t="s">
        <v>5069</v>
      </c>
      <c r="AV185" t="s">
        <v>5062</v>
      </c>
      <c r="AW185" t="s">
        <v>5086</v>
      </c>
    </row>
    <row r="186" spans="1:49" hidden="1" x14ac:dyDescent="0.35">
      <c r="A186" t="s">
        <v>871</v>
      </c>
      <c r="B186" t="s">
        <v>872</v>
      </c>
      <c r="C186" t="s">
        <v>4818</v>
      </c>
      <c r="D186" t="s">
        <v>18</v>
      </c>
      <c r="E186" t="s">
        <v>1205</v>
      </c>
      <c r="F186" t="s">
        <v>1206</v>
      </c>
      <c r="G186" t="s">
        <v>21</v>
      </c>
      <c r="H186" t="s">
        <v>4888</v>
      </c>
      <c r="I186" t="s">
        <v>4893</v>
      </c>
      <c r="J186" s="4" t="s">
        <v>4894</v>
      </c>
      <c r="K186" s="4" t="s">
        <v>4837</v>
      </c>
      <c r="L186" s="4" t="s">
        <v>4918</v>
      </c>
      <c r="M186" s="4" t="s">
        <v>5035</v>
      </c>
      <c r="N186" t="s">
        <v>1207</v>
      </c>
      <c r="O186" t="s">
        <v>1208</v>
      </c>
      <c r="P186" t="s">
        <v>23</v>
      </c>
      <c r="Q186" t="s">
        <v>24</v>
      </c>
      <c r="R186" t="s">
        <v>25</v>
      </c>
      <c r="S186" t="s">
        <v>26</v>
      </c>
      <c r="T186" s="6">
        <v>46307</v>
      </c>
      <c r="U186">
        <v>132</v>
      </c>
      <c r="V186">
        <v>132</v>
      </c>
      <c r="W186">
        <v>120</v>
      </c>
      <c r="X186">
        <v>120</v>
      </c>
      <c r="Y186">
        <f t="shared" si="20"/>
        <v>0</v>
      </c>
      <c r="Z186">
        <f t="shared" si="21"/>
        <v>12</v>
      </c>
      <c r="AA186">
        <f>Z186</f>
        <v>12</v>
      </c>
      <c r="AC186" s="1">
        <v>0</v>
      </c>
      <c r="AF186">
        <f>X186</f>
        <v>120</v>
      </c>
      <c r="AG186" s="41">
        <v>12</v>
      </c>
      <c r="AH186">
        <f t="shared" si="22"/>
        <v>120</v>
      </c>
      <c r="AI186">
        <f t="shared" si="23"/>
        <v>12</v>
      </c>
      <c r="AK186">
        <f t="shared" si="24"/>
        <v>10</v>
      </c>
      <c r="AL186">
        <v>10.06</v>
      </c>
      <c r="AM186" t="s">
        <v>27</v>
      </c>
      <c r="AN186">
        <v>10.06</v>
      </c>
      <c r="AO186" t="b">
        <f t="shared" si="25"/>
        <v>1</v>
      </c>
      <c r="AR186" t="s">
        <v>5061</v>
      </c>
      <c r="AS186" s="21">
        <v>46276</v>
      </c>
      <c r="AT186" t="s">
        <v>5062</v>
      </c>
      <c r="AU186" t="s">
        <v>5068</v>
      </c>
      <c r="AV186" t="s">
        <v>5062</v>
      </c>
      <c r="AW186" t="s">
        <v>5086</v>
      </c>
    </row>
    <row r="187" spans="1:49" hidden="1" x14ac:dyDescent="0.35">
      <c r="A187" t="s">
        <v>871</v>
      </c>
      <c r="B187" t="s">
        <v>872</v>
      </c>
      <c r="C187" t="s">
        <v>4818</v>
      </c>
      <c r="D187" t="s">
        <v>18</v>
      </c>
      <c r="E187" t="s">
        <v>1209</v>
      </c>
      <c r="F187" t="s">
        <v>1210</v>
      </c>
      <c r="G187" t="s">
        <v>21</v>
      </c>
      <c r="H187" t="s">
        <v>4888</v>
      </c>
      <c r="I187" t="s">
        <v>4889</v>
      </c>
      <c r="J187" s="4" t="s">
        <v>4890</v>
      </c>
      <c r="K187" s="4" t="s">
        <v>4911</v>
      </c>
      <c r="L187" s="4" t="s">
        <v>4873</v>
      </c>
      <c r="M187" s="4" t="s">
        <v>5035</v>
      </c>
      <c r="N187" t="s">
        <v>1211</v>
      </c>
      <c r="O187" t="s">
        <v>1212</v>
      </c>
      <c r="P187" t="s">
        <v>23</v>
      </c>
      <c r="Q187" t="s">
        <v>24</v>
      </c>
      <c r="R187" t="s">
        <v>25</v>
      </c>
      <c r="S187" t="s">
        <v>26</v>
      </c>
      <c r="T187" s="6">
        <v>46307</v>
      </c>
      <c r="U187">
        <v>96</v>
      </c>
      <c r="V187">
        <v>96</v>
      </c>
      <c r="W187">
        <v>108</v>
      </c>
      <c r="X187">
        <v>108</v>
      </c>
      <c r="Y187">
        <f t="shared" si="20"/>
        <v>0</v>
      </c>
      <c r="Z187">
        <f t="shared" si="21"/>
        <v>-12</v>
      </c>
      <c r="AC187" s="1">
        <v>0</v>
      </c>
      <c r="AF187">
        <f>V187</f>
        <v>96</v>
      </c>
      <c r="AG187" s="41">
        <v>12</v>
      </c>
      <c r="AH187">
        <f t="shared" si="22"/>
        <v>96</v>
      </c>
      <c r="AI187">
        <f t="shared" si="23"/>
        <v>0</v>
      </c>
      <c r="AK187">
        <f t="shared" si="24"/>
        <v>8</v>
      </c>
      <c r="AL187">
        <v>11.87</v>
      </c>
      <c r="AM187" t="s">
        <v>27</v>
      </c>
      <c r="AN187">
        <v>11.87</v>
      </c>
      <c r="AO187" t="b">
        <f t="shared" si="25"/>
        <v>1</v>
      </c>
      <c r="AR187" t="s">
        <v>5061</v>
      </c>
      <c r="AS187" s="21">
        <v>46276</v>
      </c>
      <c r="AT187" t="s">
        <v>5062</v>
      </c>
      <c r="AU187" t="s">
        <v>5067</v>
      </c>
      <c r="AV187" t="s">
        <v>5062</v>
      </c>
      <c r="AW187" t="s">
        <v>5086</v>
      </c>
    </row>
    <row r="188" spans="1:49" hidden="1" x14ac:dyDescent="0.35">
      <c r="A188" t="s">
        <v>871</v>
      </c>
      <c r="B188" t="s">
        <v>872</v>
      </c>
      <c r="C188" t="s">
        <v>4818</v>
      </c>
      <c r="D188" t="s">
        <v>18</v>
      </c>
      <c r="E188" t="s">
        <v>1213</v>
      </c>
      <c r="F188" t="s">
        <v>1214</v>
      </c>
      <c r="G188" t="s">
        <v>21</v>
      </c>
      <c r="H188" t="s">
        <v>4888</v>
      </c>
      <c r="I188" t="s">
        <v>4889</v>
      </c>
      <c r="J188" s="4" t="s">
        <v>4890</v>
      </c>
      <c r="K188" s="4" t="s">
        <v>4899</v>
      </c>
      <c r="L188" s="4" t="s">
        <v>4870</v>
      </c>
      <c r="M188" s="4" t="s">
        <v>5035</v>
      </c>
      <c r="N188" t="s">
        <v>1215</v>
      </c>
      <c r="O188" t="s">
        <v>1216</v>
      </c>
      <c r="P188" t="s">
        <v>23</v>
      </c>
      <c r="Q188" t="s">
        <v>24</v>
      </c>
      <c r="R188" t="s">
        <v>25</v>
      </c>
      <c r="S188" t="s">
        <v>26</v>
      </c>
      <c r="T188" s="6">
        <v>46307</v>
      </c>
      <c r="U188">
        <v>204</v>
      </c>
      <c r="V188">
        <v>204</v>
      </c>
      <c r="W188">
        <v>180</v>
      </c>
      <c r="X188">
        <v>180</v>
      </c>
      <c r="Y188">
        <f t="shared" si="20"/>
        <v>0</v>
      </c>
      <c r="Z188">
        <f t="shared" si="21"/>
        <v>24</v>
      </c>
      <c r="AA188">
        <f t="shared" ref="AA188:AA189" si="31">Z188</f>
        <v>24</v>
      </c>
      <c r="AC188" s="1">
        <v>0</v>
      </c>
      <c r="AF188">
        <f>X188</f>
        <v>180</v>
      </c>
      <c r="AG188" s="41">
        <v>12</v>
      </c>
      <c r="AH188">
        <f t="shared" si="22"/>
        <v>180</v>
      </c>
      <c r="AI188">
        <f t="shared" si="23"/>
        <v>24</v>
      </c>
      <c r="AK188">
        <f t="shared" si="24"/>
        <v>15</v>
      </c>
      <c r="AL188">
        <v>10.9</v>
      </c>
      <c r="AM188" t="s">
        <v>27</v>
      </c>
      <c r="AN188">
        <v>10.9</v>
      </c>
      <c r="AO188" t="b">
        <f t="shared" si="25"/>
        <v>1</v>
      </c>
      <c r="AR188" t="s">
        <v>5061</v>
      </c>
      <c r="AS188" s="21">
        <v>46276</v>
      </c>
      <c r="AT188" t="s">
        <v>5062</v>
      </c>
      <c r="AU188" t="s">
        <v>5067</v>
      </c>
      <c r="AV188" t="s">
        <v>5062</v>
      </c>
      <c r="AW188" t="s">
        <v>5086</v>
      </c>
    </row>
    <row r="189" spans="1:49" hidden="1" x14ac:dyDescent="0.35">
      <c r="A189" t="s">
        <v>871</v>
      </c>
      <c r="B189" t="s">
        <v>872</v>
      </c>
      <c r="C189" t="s">
        <v>4818</v>
      </c>
      <c r="D189" t="s">
        <v>18</v>
      </c>
      <c r="E189" t="s">
        <v>1217</v>
      </c>
      <c r="F189" t="s">
        <v>1218</v>
      </c>
      <c r="G189" t="s">
        <v>21</v>
      </c>
      <c r="H189" t="s">
        <v>4888</v>
      </c>
      <c r="I189" t="s">
        <v>4893</v>
      </c>
      <c r="J189" s="4" t="s">
        <v>4894</v>
      </c>
      <c r="K189" s="4" t="s">
        <v>4896</v>
      </c>
      <c r="L189" s="4" t="s">
        <v>4919</v>
      </c>
      <c r="M189" s="4" t="s">
        <v>5035</v>
      </c>
      <c r="N189" t="s">
        <v>1219</v>
      </c>
      <c r="O189" t="s">
        <v>1220</v>
      </c>
      <c r="P189" t="s">
        <v>23</v>
      </c>
      <c r="Q189" t="s">
        <v>24</v>
      </c>
      <c r="R189" t="s">
        <v>25</v>
      </c>
      <c r="S189" t="s">
        <v>26</v>
      </c>
      <c r="T189" s="6">
        <v>46307</v>
      </c>
      <c r="U189">
        <v>24</v>
      </c>
      <c r="V189">
        <v>24</v>
      </c>
      <c r="W189">
        <v>12</v>
      </c>
      <c r="X189">
        <v>12</v>
      </c>
      <c r="Y189">
        <f t="shared" si="20"/>
        <v>0</v>
      </c>
      <c r="Z189">
        <f t="shared" si="21"/>
        <v>12</v>
      </c>
      <c r="AA189">
        <f t="shared" si="31"/>
        <v>12</v>
      </c>
      <c r="AC189" s="1">
        <v>0</v>
      </c>
      <c r="AF189">
        <f>X189</f>
        <v>12</v>
      </c>
      <c r="AG189" s="41">
        <v>12</v>
      </c>
      <c r="AH189">
        <f t="shared" si="22"/>
        <v>12</v>
      </c>
      <c r="AI189">
        <f t="shared" si="23"/>
        <v>12</v>
      </c>
      <c r="AK189">
        <f t="shared" si="24"/>
        <v>1</v>
      </c>
      <c r="AL189">
        <v>10.220000000000001</v>
      </c>
      <c r="AM189" t="s">
        <v>27</v>
      </c>
      <c r="AN189">
        <v>10.220000000000001</v>
      </c>
      <c r="AO189" t="b">
        <f t="shared" si="25"/>
        <v>1</v>
      </c>
      <c r="AR189" t="s">
        <v>5061</v>
      </c>
      <c r="AS189" s="21">
        <v>46276</v>
      </c>
      <c r="AT189" t="s">
        <v>5062</v>
      </c>
      <c r="AU189" t="s">
        <v>5068</v>
      </c>
      <c r="AV189" t="s">
        <v>5062</v>
      </c>
      <c r="AW189" t="s">
        <v>5086</v>
      </c>
    </row>
    <row r="190" spans="1:49" hidden="1" x14ac:dyDescent="0.35">
      <c r="A190" t="s">
        <v>871</v>
      </c>
      <c r="B190" t="s">
        <v>872</v>
      </c>
      <c r="C190" t="s">
        <v>4818</v>
      </c>
      <c r="D190" t="s">
        <v>18</v>
      </c>
      <c r="E190" t="s">
        <v>1221</v>
      </c>
      <c r="F190" t="s">
        <v>1222</v>
      </c>
      <c r="G190" t="s">
        <v>21</v>
      </c>
      <c r="H190" t="s">
        <v>4888</v>
      </c>
      <c r="I190" t="s">
        <v>4889</v>
      </c>
      <c r="J190" s="4" t="s">
        <v>4890</v>
      </c>
      <c r="K190" s="4" t="s">
        <v>4911</v>
      </c>
      <c r="L190" s="4" t="s">
        <v>4930</v>
      </c>
      <c r="M190" s="4" t="s">
        <v>5035</v>
      </c>
      <c r="N190" t="s">
        <v>1223</v>
      </c>
      <c r="O190" t="s">
        <v>1224</v>
      </c>
      <c r="P190" t="s">
        <v>23</v>
      </c>
      <c r="Q190" t="s">
        <v>24</v>
      </c>
      <c r="R190" t="s">
        <v>25</v>
      </c>
      <c r="S190" t="s">
        <v>26</v>
      </c>
      <c r="T190" s="6">
        <v>46307</v>
      </c>
      <c r="U190">
        <v>36</v>
      </c>
      <c r="V190">
        <v>36</v>
      </c>
      <c r="W190">
        <v>36</v>
      </c>
      <c r="X190">
        <v>36</v>
      </c>
      <c r="Y190">
        <f t="shared" si="20"/>
        <v>0</v>
      </c>
      <c r="Z190">
        <f t="shared" si="21"/>
        <v>0</v>
      </c>
      <c r="AC190" s="1">
        <v>0</v>
      </c>
      <c r="AF190">
        <f t="shared" ref="AF190:AF196" si="32">V190</f>
        <v>36</v>
      </c>
      <c r="AG190" s="41">
        <v>12</v>
      </c>
      <c r="AH190">
        <f t="shared" si="22"/>
        <v>36</v>
      </c>
      <c r="AI190">
        <f t="shared" si="23"/>
        <v>0</v>
      </c>
      <c r="AK190">
        <f t="shared" si="24"/>
        <v>3</v>
      </c>
      <c r="AL190">
        <v>11.87</v>
      </c>
      <c r="AM190" t="s">
        <v>27</v>
      </c>
      <c r="AN190">
        <v>11.87</v>
      </c>
      <c r="AO190" t="b">
        <f t="shared" si="25"/>
        <v>1</v>
      </c>
      <c r="AR190" t="s">
        <v>5061</v>
      </c>
      <c r="AS190" s="21">
        <v>46276</v>
      </c>
      <c r="AT190" t="s">
        <v>5062</v>
      </c>
      <c r="AU190" t="s">
        <v>5067</v>
      </c>
      <c r="AV190" t="s">
        <v>5062</v>
      </c>
      <c r="AW190" t="s">
        <v>5086</v>
      </c>
    </row>
    <row r="191" spans="1:49" hidden="1" x14ac:dyDescent="0.35">
      <c r="A191" t="s">
        <v>871</v>
      </c>
      <c r="B191" t="s">
        <v>872</v>
      </c>
      <c r="C191" t="s">
        <v>4818</v>
      </c>
      <c r="D191" t="s">
        <v>18</v>
      </c>
      <c r="E191" t="s">
        <v>1225</v>
      </c>
      <c r="F191" t="s">
        <v>1226</v>
      </c>
      <c r="G191" t="s">
        <v>21</v>
      </c>
      <c r="H191" t="s">
        <v>4888</v>
      </c>
      <c r="I191" t="s">
        <v>4906</v>
      </c>
      <c r="J191" s="4" t="s">
        <v>4907</v>
      </c>
      <c r="K191" s="4" t="s">
        <v>4908</v>
      </c>
      <c r="L191" s="4" t="s">
        <v>4931</v>
      </c>
      <c r="M191" s="4" t="s">
        <v>5035</v>
      </c>
      <c r="N191" t="s">
        <v>1227</v>
      </c>
      <c r="O191" t="s">
        <v>1228</v>
      </c>
      <c r="P191" t="s">
        <v>23</v>
      </c>
      <c r="Q191" t="s">
        <v>24</v>
      </c>
      <c r="R191" t="s">
        <v>25</v>
      </c>
      <c r="S191" t="s">
        <v>26</v>
      </c>
      <c r="T191" s="6">
        <v>46307</v>
      </c>
      <c r="U191">
        <v>108</v>
      </c>
      <c r="V191">
        <v>108</v>
      </c>
      <c r="W191">
        <v>120</v>
      </c>
      <c r="X191">
        <v>120</v>
      </c>
      <c r="Y191">
        <f t="shared" si="20"/>
        <v>0</v>
      </c>
      <c r="Z191">
        <f t="shared" si="21"/>
        <v>-12</v>
      </c>
      <c r="AC191" s="1">
        <v>0</v>
      </c>
      <c r="AF191">
        <f t="shared" si="32"/>
        <v>108</v>
      </c>
      <c r="AG191" s="41">
        <v>12</v>
      </c>
      <c r="AH191">
        <f t="shared" si="22"/>
        <v>108</v>
      </c>
      <c r="AI191">
        <f t="shared" si="23"/>
        <v>0</v>
      </c>
      <c r="AK191">
        <f t="shared" si="24"/>
        <v>9</v>
      </c>
      <c r="AL191">
        <v>10.19</v>
      </c>
      <c r="AM191" t="s">
        <v>27</v>
      </c>
      <c r="AN191">
        <v>10.19</v>
      </c>
      <c r="AO191" t="b">
        <f t="shared" si="25"/>
        <v>1</v>
      </c>
      <c r="AR191" t="s">
        <v>5061</v>
      </c>
      <c r="AS191" s="21">
        <v>46276</v>
      </c>
      <c r="AT191" t="s">
        <v>5062</v>
      </c>
      <c r="AU191" t="s">
        <v>5070</v>
      </c>
      <c r="AV191" t="s">
        <v>5062</v>
      </c>
      <c r="AW191" t="s">
        <v>5086</v>
      </c>
    </row>
    <row r="192" spans="1:49" hidden="1" x14ac:dyDescent="0.35">
      <c r="A192" t="s">
        <v>871</v>
      </c>
      <c r="B192" t="s">
        <v>872</v>
      </c>
      <c r="C192" t="s">
        <v>4818</v>
      </c>
      <c r="D192" t="s">
        <v>18</v>
      </c>
      <c r="E192" t="s">
        <v>1229</v>
      </c>
      <c r="F192" t="s">
        <v>1230</v>
      </c>
      <c r="G192" t="s">
        <v>21</v>
      </c>
      <c r="H192" t="s">
        <v>4888</v>
      </c>
      <c r="I192" t="s">
        <v>4889</v>
      </c>
      <c r="J192" s="4" t="s">
        <v>4890</v>
      </c>
      <c r="K192" s="4" t="s">
        <v>4891</v>
      </c>
      <c r="L192" s="4" t="s">
        <v>4886</v>
      </c>
      <c r="M192" s="4" t="s">
        <v>5035</v>
      </c>
      <c r="N192" t="s">
        <v>1231</v>
      </c>
      <c r="O192" t="s">
        <v>1232</v>
      </c>
      <c r="P192" t="s">
        <v>23</v>
      </c>
      <c r="Q192" t="s">
        <v>24</v>
      </c>
      <c r="R192" t="s">
        <v>25</v>
      </c>
      <c r="S192" t="s">
        <v>26</v>
      </c>
      <c r="T192" s="6">
        <v>46307</v>
      </c>
      <c r="U192">
        <v>324</v>
      </c>
      <c r="V192">
        <v>324</v>
      </c>
      <c r="W192">
        <v>348</v>
      </c>
      <c r="X192">
        <v>348</v>
      </c>
      <c r="Y192">
        <f t="shared" si="20"/>
        <v>0</v>
      </c>
      <c r="Z192">
        <f t="shared" si="21"/>
        <v>-24</v>
      </c>
      <c r="AC192" s="1"/>
      <c r="AF192">
        <f t="shared" si="32"/>
        <v>324</v>
      </c>
      <c r="AG192" s="41">
        <v>12</v>
      </c>
      <c r="AH192">
        <f t="shared" si="22"/>
        <v>324</v>
      </c>
      <c r="AI192">
        <f t="shared" si="23"/>
        <v>0</v>
      </c>
      <c r="AK192">
        <f t="shared" si="24"/>
        <v>27</v>
      </c>
      <c r="AL192">
        <v>11.2</v>
      </c>
      <c r="AM192" t="s">
        <v>27</v>
      </c>
      <c r="AN192">
        <v>11.2</v>
      </c>
      <c r="AO192" t="b">
        <f t="shared" si="25"/>
        <v>1</v>
      </c>
      <c r="AR192" t="s">
        <v>5061</v>
      </c>
      <c r="AS192" s="21">
        <v>46276</v>
      </c>
      <c r="AT192" t="s">
        <v>5062</v>
      </c>
      <c r="AU192" t="s">
        <v>5067</v>
      </c>
      <c r="AV192" t="s">
        <v>5062</v>
      </c>
      <c r="AW192" t="s">
        <v>5086</v>
      </c>
    </row>
    <row r="193" spans="1:49" hidden="1" x14ac:dyDescent="0.35">
      <c r="A193" t="s">
        <v>871</v>
      </c>
      <c r="B193" t="s">
        <v>872</v>
      </c>
      <c r="C193" t="s">
        <v>4818</v>
      </c>
      <c r="D193" t="s">
        <v>18</v>
      </c>
      <c r="E193" t="s">
        <v>1233</v>
      </c>
      <c r="F193" t="s">
        <v>1234</v>
      </c>
      <c r="G193" t="s">
        <v>21</v>
      </c>
      <c r="H193" t="s">
        <v>4888</v>
      </c>
      <c r="I193" t="s">
        <v>4902</v>
      </c>
      <c r="J193" s="4" t="s">
        <v>4903</v>
      </c>
      <c r="K193" s="4" t="s">
        <v>4915</v>
      </c>
      <c r="L193" s="4" t="s">
        <v>4910</v>
      </c>
      <c r="M193" s="4" t="s">
        <v>5035</v>
      </c>
      <c r="N193" t="s">
        <v>1235</v>
      </c>
      <c r="O193" t="s">
        <v>1236</v>
      </c>
      <c r="P193" t="s">
        <v>23</v>
      </c>
      <c r="Q193" t="s">
        <v>24</v>
      </c>
      <c r="R193" t="s">
        <v>25</v>
      </c>
      <c r="S193" t="s">
        <v>26</v>
      </c>
      <c r="T193" s="6">
        <v>46307</v>
      </c>
      <c r="U193">
        <v>144</v>
      </c>
      <c r="V193">
        <v>144</v>
      </c>
      <c r="W193">
        <v>156</v>
      </c>
      <c r="X193">
        <v>156</v>
      </c>
      <c r="Y193">
        <f t="shared" si="20"/>
        <v>0</v>
      </c>
      <c r="Z193">
        <f t="shared" si="21"/>
        <v>-12</v>
      </c>
      <c r="AC193" s="1">
        <v>0</v>
      </c>
      <c r="AF193">
        <f t="shared" si="32"/>
        <v>144</v>
      </c>
      <c r="AG193" s="41">
        <v>12</v>
      </c>
      <c r="AH193">
        <f t="shared" si="22"/>
        <v>144</v>
      </c>
      <c r="AI193">
        <f t="shared" si="23"/>
        <v>0</v>
      </c>
      <c r="AK193">
        <f t="shared" si="24"/>
        <v>12</v>
      </c>
      <c r="AL193">
        <v>10.66</v>
      </c>
      <c r="AM193" t="s">
        <v>27</v>
      </c>
      <c r="AN193">
        <v>10.66</v>
      </c>
      <c r="AO193" t="b">
        <f t="shared" si="25"/>
        <v>1</v>
      </c>
      <c r="AR193" t="s">
        <v>5061</v>
      </c>
      <c r="AS193" s="21">
        <v>46276</v>
      </c>
      <c r="AT193" t="s">
        <v>5062</v>
      </c>
      <c r="AU193" t="s">
        <v>5069</v>
      </c>
      <c r="AV193" t="s">
        <v>5062</v>
      </c>
      <c r="AW193" t="s">
        <v>5086</v>
      </c>
    </row>
    <row r="194" spans="1:49" hidden="1" x14ac:dyDescent="0.35">
      <c r="A194" t="s">
        <v>871</v>
      </c>
      <c r="B194" t="s">
        <v>872</v>
      </c>
      <c r="C194" t="s">
        <v>4818</v>
      </c>
      <c r="D194" t="s">
        <v>18</v>
      </c>
      <c r="E194" t="s">
        <v>1237</v>
      </c>
      <c r="F194" t="s">
        <v>1238</v>
      </c>
      <c r="G194" t="s">
        <v>21</v>
      </c>
      <c r="H194" t="s">
        <v>4888</v>
      </c>
      <c r="I194" t="s">
        <v>4889</v>
      </c>
      <c r="J194" s="4" t="s">
        <v>4890</v>
      </c>
      <c r="K194" s="4" t="s">
        <v>4891</v>
      </c>
      <c r="L194" s="4" t="s">
        <v>4898</v>
      </c>
      <c r="M194" s="4" t="s">
        <v>5035</v>
      </c>
      <c r="N194" t="s">
        <v>1239</v>
      </c>
      <c r="O194" t="s">
        <v>1240</v>
      </c>
      <c r="P194" t="s">
        <v>23</v>
      </c>
      <c r="Q194" t="s">
        <v>24</v>
      </c>
      <c r="R194" t="s">
        <v>25</v>
      </c>
      <c r="S194" t="s">
        <v>26</v>
      </c>
      <c r="T194" s="6">
        <v>46307</v>
      </c>
      <c r="U194">
        <v>300</v>
      </c>
      <c r="V194">
        <v>300</v>
      </c>
      <c r="W194">
        <v>324</v>
      </c>
      <c r="X194">
        <v>324</v>
      </c>
      <c r="Y194">
        <f t="shared" si="20"/>
        <v>0</v>
      </c>
      <c r="Z194">
        <f t="shared" si="21"/>
        <v>-24</v>
      </c>
      <c r="AC194" s="1"/>
      <c r="AF194">
        <f t="shared" si="32"/>
        <v>300</v>
      </c>
      <c r="AG194" s="41">
        <v>12</v>
      </c>
      <c r="AH194">
        <f t="shared" si="22"/>
        <v>300</v>
      </c>
      <c r="AI194">
        <f t="shared" si="23"/>
        <v>0</v>
      </c>
      <c r="AK194">
        <f t="shared" si="24"/>
        <v>25</v>
      </c>
      <c r="AL194">
        <v>11.2</v>
      </c>
      <c r="AM194" t="s">
        <v>27</v>
      </c>
      <c r="AN194">
        <v>11.2</v>
      </c>
      <c r="AO194" t="b">
        <f t="shared" si="25"/>
        <v>1</v>
      </c>
      <c r="AR194" t="s">
        <v>5061</v>
      </c>
      <c r="AS194" s="21">
        <v>46276</v>
      </c>
      <c r="AT194" t="s">
        <v>5062</v>
      </c>
      <c r="AU194" t="s">
        <v>5067</v>
      </c>
      <c r="AV194" t="s">
        <v>5062</v>
      </c>
      <c r="AW194" t="s">
        <v>5086</v>
      </c>
    </row>
    <row r="195" spans="1:49" hidden="1" x14ac:dyDescent="0.35">
      <c r="A195" t="s">
        <v>871</v>
      </c>
      <c r="B195" t="s">
        <v>872</v>
      </c>
      <c r="C195" t="s">
        <v>4818</v>
      </c>
      <c r="D195" t="s">
        <v>18</v>
      </c>
      <c r="E195" t="s">
        <v>1241</v>
      </c>
      <c r="F195" t="s">
        <v>1242</v>
      </c>
      <c r="G195" t="s">
        <v>21</v>
      </c>
      <c r="H195" t="s">
        <v>4888</v>
      </c>
      <c r="I195" t="s">
        <v>4893</v>
      </c>
      <c r="J195" s="4" t="s">
        <v>4894</v>
      </c>
      <c r="K195" s="4" t="s">
        <v>4896</v>
      </c>
      <c r="L195" s="4" t="s">
        <v>4857</v>
      </c>
      <c r="M195" s="4" t="s">
        <v>5035</v>
      </c>
      <c r="N195" t="s">
        <v>1243</v>
      </c>
      <c r="O195" t="s">
        <v>1244</v>
      </c>
      <c r="P195" t="s">
        <v>23</v>
      </c>
      <c r="Q195" t="s">
        <v>24</v>
      </c>
      <c r="R195" t="s">
        <v>25</v>
      </c>
      <c r="S195" t="s">
        <v>26</v>
      </c>
      <c r="T195" s="6">
        <v>46307</v>
      </c>
      <c r="U195">
        <v>24</v>
      </c>
      <c r="V195">
        <v>24</v>
      </c>
      <c r="W195">
        <v>24</v>
      </c>
      <c r="X195">
        <v>24</v>
      </c>
      <c r="Y195">
        <f t="shared" ref="Y195:Y258" si="33">W195-X195</f>
        <v>0</v>
      </c>
      <c r="Z195">
        <f t="shared" ref="Z195:Z258" si="34">V195-X195</f>
        <v>0</v>
      </c>
      <c r="AC195" s="1">
        <v>0</v>
      </c>
      <c r="AF195">
        <f t="shared" si="32"/>
        <v>24</v>
      </c>
      <c r="AG195" s="41">
        <v>12</v>
      </c>
      <c r="AH195">
        <f t="shared" ref="AH195:AH258" si="35">ROUNDUP(AF195/AG195,0)*AG195</f>
        <v>24</v>
      </c>
      <c r="AI195">
        <f t="shared" ref="AI195:AI258" si="36">V195-AH195</f>
        <v>0</v>
      </c>
      <c r="AK195">
        <f t="shared" ref="AK195:AK258" si="37">AH195/AG195</f>
        <v>2</v>
      </c>
      <c r="AL195">
        <v>10.220000000000001</v>
      </c>
      <c r="AM195" t="s">
        <v>27</v>
      </c>
      <c r="AN195">
        <v>10.220000000000001</v>
      </c>
      <c r="AO195" t="b">
        <f t="shared" ref="AO195:AO258" si="38">AL195=AN195</f>
        <v>1</v>
      </c>
      <c r="AR195" t="s">
        <v>5061</v>
      </c>
      <c r="AS195" s="21">
        <v>46276</v>
      </c>
      <c r="AT195" t="s">
        <v>5062</v>
      </c>
      <c r="AU195" t="s">
        <v>5068</v>
      </c>
      <c r="AV195" t="s">
        <v>5062</v>
      </c>
      <c r="AW195" t="s">
        <v>5086</v>
      </c>
    </row>
    <row r="196" spans="1:49" hidden="1" x14ac:dyDescent="0.35">
      <c r="A196" t="s">
        <v>871</v>
      </c>
      <c r="B196" t="s">
        <v>872</v>
      </c>
      <c r="C196" t="s">
        <v>4818</v>
      </c>
      <c r="D196" t="s">
        <v>18</v>
      </c>
      <c r="E196" t="s">
        <v>1245</v>
      </c>
      <c r="F196" t="s">
        <v>1246</v>
      </c>
      <c r="G196" t="s">
        <v>21</v>
      </c>
      <c r="H196" t="s">
        <v>4888</v>
      </c>
      <c r="I196" t="s">
        <v>4906</v>
      </c>
      <c r="J196" s="4" t="s">
        <v>4907</v>
      </c>
      <c r="K196" s="4" t="s">
        <v>4908</v>
      </c>
      <c r="L196" s="4" t="s">
        <v>4909</v>
      </c>
      <c r="M196" s="4" t="s">
        <v>5035</v>
      </c>
      <c r="N196" t="s">
        <v>1247</v>
      </c>
      <c r="O196" t="s">
        <v>1248</v>
      </c>
      <c r="P196" t="s">
        <v>23</v>
      </c>
      <c r="Q196" t="s">
        <v>24</v>
      </c>
      <c r="R196" t="s">
        <v>25</v>
      </c>
      <c r="S196" t="s">
        <v>26</v>
      </c>
      <c r="T196" s="6">
        <v>46307</v>
      </c>
      <c r="U196">
        <v>36</v>
      </c>
      <c r="V196">
        <v>36</v>
      </c>
      <c r="W196">
        <v>36</v>
      </c>
      <c r="X196">
        <v>36</v>
      </c>
      <c r="Y196">
        <f t="shared" si="33"/>
        <v>0</v>
      </c>
      <c r="Z196">
        <f t="shared" si="34"/>
        <v>0</v>
      </c>
      <c r="AC196" s="1">
        <v>0</v>
      </c>
      <c r="AF196">
        <f t="shared" si="32"/>
        <v>36</v>
      </c>
      <c r="AG196" s="41">
        <v>12</v>
      </c>
      <c r="AH196">
        <f t="shared" si="35"/>
        <v>36</v>
      </c>
      <c r="AI196">
        <f t="shared" si="36"/>
        <v>0</v>
      </c>
      <c r="AK196">
        <f t="shared" si="37"/>
        <v>3</v>
      </c>
      <c r="AL196">
        <v>10.19</v>
      </c>
      <c r="AM196" t="s">
        <v>27</v>
      </c>
      <c r="AN196">
        <v>10.19</v>
      </c>
      <c r="AO196" t="b">
        <f t="shared" si="38"/>
        <v>1</v>
      </c>
      <c r="AR196" t="s">
        <v>5061</v>
      </c>
      <c r="AS196" s="21">
        <v>46276</v>
      </c>
      <c r="AT196" t="s">
        <v>5062</v>
      </c>
      <c r="AU196" t="s">
        <v>5070</v>
      </c>
      <c r="AV196" t="s">
        <v>5062</v>
      </c>
      <c r="AW196" t="s">
        <v>5086</v>
      </c>
    </row>
    <row r="197" spans="1:49" hidden="1" x14ac:dyDescent="0.35">
      <c r="A197" t="s">
        <v>871</v>
      </c>
      <c r="B197" t="s">
        <v>872</v>
      </c>
      <c r="C197" t="s">
        <v>4818</v>
      </c>
      <c r="D197" t="s">
        <v>18</v>
      </c>
      <c r="E197" t="s">
        <v>1249</v>
      </c>
      <c r="F197" t="s">
        <v>1250</v>
      </c>
      <c r="G197" t="s">
        <v>21</v>
      </c>
      <c r="H197" t="s">
        <v>4888</v>
      </c>
      <c r="I197" t="s">
        <v>4889</v>
      </c>
      <c r="J197" s="4" t="s">
        <v>4890</v>
      </c>
      <c r="K197" s="4" t="s">
        <v>4891</v>
      </c>
      <c r="L197" s="4" t="s">
        <v>4870</v>
      </c>
      <c r="M197" s="4" t="s">
        <v>5035</v>
      </c>
      <c r="N197" t="s">
        <v>1251</v>
      </c>
      <c r="O197" t="s">
        <v>1252</v>
      </c>
      <c r="P197" t="s">
        <v>23</v>
      </c>
      <c r="Q197" t="s">
        <v>24</v>
      </c>
      <c r="R197" t="s">
        <v>25</v>
      </c>
      <c r="S197" t="s">
        <v>26</v>
      </c>
      <c r="T197" s="6">
        <v>46307</v>
      </c>
      <c r="U197">
        <v>288</v>
      </c>
      <c r="V197">
        <v>288</v>
      </c>
      <c r="W197">
        <v>264</v>
      </c>
      <c r="X197">
        <v>264</v>
      </c>
      <c r="Y197">
        <f t="shared" si="33"/>
        <v>0</v>
      </c>
      <c r="Z197">
        <f t="shared" si="34"/>
        <v>24</v>
      </c>
      <c r="AA197">
        <f t="shared" ref="AA197:AA199" si="39">Z197</f>
        <v>24</v>
      </c>
      <c r="AC197" s="1">
        <v>0</v>
      </c>
      <c r="AF197">
        <f>X197</f>
        <v>264</v>
      </c>
      <c r="AG197" s="41">
        <v>12</v>
      </c>
      <c r="AH197">
        <f t="shared" si="35"/>
        <v>264</v>
      </c>
      <c r="AI197">
        <f t="shared" si="36"/>
        <v>24</v>
      </c>
      <c r="AK197">
        <f t="shared" si="37"/>
        <v>22</v>
      </c>
      <c r="AL197">
        <v>11.2</v>
      </c>
      <c r="AM197" t="s">
        <v>27</v>
      </c>
      <c r="AN197">
        <v>11.2</v>
      </c>
      <c r="AO197" t="b">
        <f t="shared" si="38"/>
        <v>1</v>
      </c>
      <c r="AR197" t="s">
        <v>5061</v>
      </c>
      <c r="AS197" s="21">
        <v>46276</v>
      </c>
      <c r="AT197" t="s">
        <v>5062</v>
      </c>
      <c r="AU197" t="s">
        <v>5067</v>
      </c>
      <c r="AV197" t="s">
        <v>5062</v>
      </c>
      <c r="AW197" t="s">
        <v>5086</v>
      </c>
    </row>
    <row r="198" spans="1:49" hidden="1" x14ac:dyDescent="0.35">
      <c r="A198" t="s">
        <v>871</v>
      </c>
      <c r="B198" t="s">
        <v>872</v>
      </c>
      <c r="C198" t="s">
        <v>4818</v>
      </c>
      <c r="D198" t="s">
        <v>18</v>
      </c>
      <c r="E198" t="s">
        <v>1253</v>
      </c>
      <c r="F198" t="s">
        <v>1254</v>
      </c>
      <c r="G198" t="s">
        <v>21</v>
      </c>
      <c r="H198" t="s">
        <v>4888</v>
      </c>
      <c r="I198" t="s">
        <v>4893</v>
      </c>
      <c r="J198" s="4" t="s">
        <v>4894</v>
      </c>
      <c r="K198" s="4" t="s">
        <v>4904</v>
      </c>
      <c r="L198" s="4" t="s">
        <v>4864</v>
      </c>
      <c r="M198" s="4" t="s">
        <v>5035</v>
      </c>
      <c r="N198" t="s">
        <v>1255</v>
      </c>
      <c r="O198" t="s">
        <v>1256</v>
      </c>
      <c r="P198" t="s">
        <v>23</v>
      </c>
      <c r="Q198" t="s">
        <v>24</v>
      </c>
      <c r="R198" t="s">
        <v>25</v>
      </c>
      <c r="S198" t="s">
        <v>26</v>
      </c>
      <c r="T198" s="6">
        <v>46307</v>
      </c>
      <c r="U198">
        <v>132</v>
      </c>
      <c r="V198">
        <v>132</v>
      </c>
      <c r="W198">
        <v>120</v>
      </c>
      <c r="X198">
        <v>120</v>
      </c>
      <c r="Y198">
        <f t="shared" si="33"/>
        <v>0</v>
      </c>
      <c r="Z198">
        <f t="shared" si="34"/>
        <v>12</v>
      </c>
      <c r="AA198">
        <f t="shared" si="39"/>
        <v>12</v>
      </c>
      <c r="AC198" s="1">
        <v>0</v>
      </c>
      <c r="AF198">
        <f>X198</f>
        <v>120</v>
      </c>
      <c r="AG198" s="41">
        <v>12</v>
      </c>
      <c r="AH198">
        <f t="shared" si="35"/>
        <v>120</v>
      </c>
      <c r="AI198">
        <f t="shared" si="36"/>
        <v>12</v>
      </c>
      <c r="AK198">
        <f t="shared" si="37"/>
        <v>10</v>
      </c>
      <c r="AL198">
        <v>10.16</v>
      </c>
      <c r="AM198" t="s">
        <v>27</v>
      </c>
      <c r="AN198">
        <v>10.16</v>
      </c>
      <c r="AO198" t="b">
        <f t="shared" si="38"/>
        <v>1</v>
      </c>
      <c r="AR198" t="s">
        <v>5061</v>
      </c>
      <c r="AS198" s="21">
        <v>46276</v>
      </c>
      <c r="AT198" t="s">
        <v>5062</v>
      </c>
      <c r="AU198" t="s">
        <v>5068</v>
      </c>
      <c r="AV198" t="s">
        <v>5062</v>
      </c>
      <c r="AW198" t="s">
        <v>5086</v>
      </c>
    </row>
    <row r="199" spans="1:49" hidden="1" x14ac:dyDescent="0.35">
      <c r="A199" t="s">
        <v>871</v>
      </c>
      <c r="B199" t="s">
        <v>872</v>
      </c>
      <c r="C199" t="s">
        <v>4818</v>
      </c>
      <c r="D199" t="s">
        <v>18</v>
      </c>
      <c r="E199" t="s">
        <v>1257</v>
      </c>
      <c r="F199" t="s">
        <v>1258</v>
      </c>
      <c r="G199" t="s">
        <v>21</v>
      </c>
      <c r="H199" t="s">
        <v>4888</v>
      </c>
      <c r="I199" t="s">
        <v>4893</v>
      </c>
      <c r="J199" s="4" t="s">
        <v>4894</v>
      </c>
      <c r="K199" s="4" t="s">
        <v>4896</v>
      </c>
      <c r="L199" s="4" t="s">
        <v>4877</v>
      </c>
      <c r="M199" s="4" t="s">
        <v>5035</v>
      </c>
      <c r="N199" t="s">
        <v>1259</v>
      </c>
      <c r="O199" t="s">
        <v>1260</v>
      </c>
      <c r="P199" t="s">
        <v>23</v>
      </c>
      <c r="Q199" t="s">
        <v>24</v>
      </c>
      <c r="R199" t="s">
        <v>25</v>
      </c>
      <c r="S199" t="s">
        <v>26</v>
      </c>
      <c r="T199" s="6">
        <v>46307</v>
      </c>
      <c r="U199">
        <v>228</v>
      </c>
      <c r="V199">
        <v>228</v>
      </c>
      <c r="W199">
        <v>216</v>
      </c>
      <c r="X199">
        <v>216</v>
      </c>
      <c r="Y199">
        <f t="shared" si="33"/>
        <v>0</v>
      </c>
      <c r="Z199">
        <f t="shared" si="34"/>
        <v>12</v>
      </c>
      <c r="AA199">
        <f t="shared" si="39"/>
        <v>12</v>
      </c>
      <c r="AC199" s="1">
        <v>0</v>
      </c>
      <c r="AF199">
        <f>X199</f>
        <v>216</v>
      </c>
      <c r="AG199" s="41">
        <v>12</v>
      </c>
      <c r="AH199">
        <f t="shared" si="35"/>
        <v>216</v>
      </c>
      <c r="AI199">
        <f t="shared" si="36"/>
        <v>12</v>
      </c>
      <c r="AK199">
        <f t="shared" si="37"/>
        <v>18</v>
      </c>
      <c r="AL199">
        <v>10.220000000000001</v>
      </c>
      <c r="AM199" t="s">
        <v>27</v>
      </c>
      <c r="AN199">
        <v>10.220000000000001</v>
      </c>
      <c r="AO199" t="b">
        <f t="shared" si="38"/>
        <v>1</v>
      </c>
      <c r="AR199" t="s">
        <v>5061</v>
      </c>
      <c r="AS199" s="21">
        <v>46276</v>
      </c>
      <c r="AT199" t="s">
        <v>5062</v>
      </c>
      <c r="AU199" t="s">
        <v>5068</v>
      </c>
      <c r="AV199" t="s">
        <v>5062</v>
      </c>
      <c r="AW199" t="s">
        <v>5086</v>
      </c>
    </row>
    <row r="200" spans="1:49" hidden="1" x14ac:dyDescent="0.35">
      <c r="A200" t="s">
        <v>871</v>
      </c>
      <c r="B200" t="s">
        <v>872</v>
      </c>
      <c r="C200" t="s">
        <v>4818</v>
      </c>
      <c r="D200" t="s">
        <v>18</v>
      </c>
      <c r="E200" t="s">
        <v>1261</v>
      </c>
      <c r="F200" t="s">
        <v>1262</v>
      </c>
      <c r="G200" t="s">
        <v>21</v>
      </c>
      <c r="H200" t="s">
        <v>4888</v>
      </c>
      <c r="I200" t="s">
        <v>4902</v>
      </c>
      <c r="J200" s="4" t="s">
        <v>4903</v>
      </c>
      <c r="K200" s="4" t="s">
        <v>4915</v>
      </c>
      <c r="L200" s="4" t="s">
        <v>4900</v>
      </c>
      <c r="M200" s="4" t="s">
        <v>5035</v>
      </c>
      <c r="N200" t="s">
        <v>1263</v>
      </c>
      <c r="O200" t="s">
        <v>1264</v>
      </c>
      <c r="P200" t="s">
        <v>23</v>
      </c>
      <c r="Q200" t="s">
        <v>24</v>
      </c>
      <c r="R200" t="s">
        <v>25</v>
      </c>
      <c r="S200" t="s">
        <v>26</v>
      </c>
      <c r="T200" s="6">
        <v>46307</v>
      </c>
      <c r="U200">
        <v>84</v>
      </c>
      <c r="V200">
        <v>84</v>
      </c>
      <c r="W200">
        <v>84</v>
      </c>
      <c r="X200">
        <v>84</v>
      </c>
      <c r="Y200">
        <f t="shared" si="33"/>
        <v>0</v>
      </c>
      <c r="Z200">
        <f t="shared" si="34"/>
        <v>0</v>
      </c>
      <c r="AC200" s="1">
        <v>0</v>
      </c>
      <c r="AF200">
        <f>V200</f>
        <v>84</v>
      </c>
      <c r="AG200" s="41">
        <v>12</v>
      </c>
      <c r="AH200">
        <f t="shared" si="35"/>
        <v>84</v>
      </c>
      <c r="AI200">
        <f t="shared" si="36"/>
        <v>0</v>
      </c>
      <c r="AK200">
        <f t="shared" si="37"/>
        <v>7</v>
      </c>
      <c r="AL200">
        <v>10.66</v>
      </c>
      <c r="AM200" t="s">
        <v>27</v>
      </c>
      <c r="AN200">
        <v>10.66</v>
      </c>
      <c r="AO200" t="b">
        <f t="shared" si="38"/>
        <v>1</v>
      </c>
      <c r="AR200" t="s">
        <v>5061</v>
      </c>
      <c r="AS200" s="21">
        <v>46276</v>
      </c>
      <c r="AT200" t="s">
        <v>5062</v>
      </c>
      <c r="AU200" t="s">
        <v>5069</v>
      </c>
      <c r="AV200" t="s">
        <v>5062</v>
      </c>
      <c r="AW200" t="s">
        <v>5086</v>
      </c>
    </row>
    <row r="201" spans="1:49" hidden="1" x14ac:dyDescent="0.35">
      <c r="A201" t="s">
        <v>871</v>
      </c>
      <c r="B201" t="s">
        <v>872</v>
      </c>
      <c r="C201" t="s">
        <v>4818</v>
      </c>
      <c r="D201" t="s">
        <v>18</v>
      </c>
      <c r="E201" t="s">
        <v>1265</v>
      </c>
      <c r="F201" t="s">
        <v>1266</v>
      </c>
      <c r="G201" t="s">
        <v>21</v>
      </c>
      <c r="H201" t="s">
        <v>4888</v>
      </c>
      <c r="I201" t="s">
        <v>4893</v>
      </c>
      <c r="J201" s="4" t="s">
        <v>4894</v>
      </c>
      <c r="K201" s="4" t="s">
        <v>4837</v>
      </c>
      <c r="L201" s="4" t="s">
        <v>4922</v>
      </c>
      <c r="M201" s="4" t="s">
        <v>5035</v>
      </c>
      <c r="N201" t="s">
        <v>1267</v>
      </c>
      <c r="O201" t="s">
        <v>1268</v>
      </c>
      <c r="P201" t="s">
        <v>23</v>
      </c>
      <c r="Q201" t="s">
        <v>24</v>
      </c>
      <c r="R201" t="s">
        <v>25</v>
      </c>
      <c r="S201" t="s">
        <v>26</v>
      </c>
      <c r="T201" s="6">
        <v>46307</v>
      </c>
      <c r="U201">
        <v>60</v>
      </c>
      <c r="V201">
        <v>60</v>
      </c>
      <c r="W201">
        <v>60</v>
      </c>
      <c r="X201">
        <v>60</v>
      </c>
      <c r="Y201">
        <f t="shared" si="33"/>
        <v>0</v>
      </c>
      <c r="Z201">
        <f t="shared" si="34"/>
        <v>0</v>
      </c>
      <c r="AC201" s="1">
        <v>0</v>
      </c>
      <c r="AF201">
        <f>V201</f>
        <v>60</v>
      </c>
      <c r="AG201" s="41">
        <v>12</v>
      </c>
      <c r="AH201">
        <f t="shared" si="35"/>
        <v>60</v>
      </c>
      <c r="AI201">
        <f t="shared" si="36"/>
        <v>0</v>
      </c>
      <c r="AK201">
        <f t="shared" si="37"/>
        <v>5</v>
      </c>
      <c r="AL201">
        <v>10.06</v>
      </c>
      <c r="AM201" t="s">
        <v>27</v>
      </c>
      <c r="AN201">
        <v>10.06</v>
      </c>
      <c r="AO201" t="b">
        <f t="shared" si="38"/>
        <v>1</v>
      </c>
      <c r="AR201" t="s">
        <v>5061</v>
      </c>
      <c r="AS201" s="21">
        <v>46276</v>
      </c>
      <c r="AT201" t="s">
        <v>5062</v>
      </c>
      <c r="AU201" t="s">
        <v>5068</v>
      </c>
      <c r="AV201" t="s">
        <v>5062</v>
      </c>
      <c r="AW201" t="s">
        <v>5086</v>
      </c>
    </row>
    <row r="202" spans="1:49" hidden="1" x14ac:dyDescent="0.35">
      <c r="A202" t="s">
        <v>871</v>
      </c>
      <c r="B202" t="s">
        <v>872</v>
      </c>
      <c r="C202" t="s">
        <v>4818</v>
      </c>
      <c r="D202" t="s">
        <v>18</v>
      </c>
      <c r="E202" t="s">
        <v>1269</v>
      </c>
      <c r="F202" t="s">
        <v>1270</v>
      </c>
      <c r="G202" t="s">
        <v>21</v>
      </c>
      <c r="H202" t="s">
        <v>4888</v>
      </c>
      <c r="I202" t="s">
        <v>4889</v>
      </c>
      <c r="J202" s="4" t="s">
        <v>4890</v>
      </c>
      <c r="K202" s="4" t="s">
        <v>4911</v>
      </c>
      <c r="L202" s="4" t="s">
        <v>4871</v>
      </c>
      <c r="M202" s="4" t="s">
        <v>5035</v>
      </c>
      <c r="N202" t="s">
        <v>1271</v>
      </c>
      <c r="O202" t="s">
        <v>1272</v>
      </c>
      <c r="P202" t="s">
        <v>23</v>
      </c>
      <c r="Q202" t="s">
        <v>24</v>
      </c>
      <c r="R202" t="s">
        <v>25</v>
      </c>
      <c r="S202" t="s">
        <v>26</v>
      </c>
      <c r="T202" s="6">
        <v>46307</v>
      </c>
      <c r="U202">
        <v>216</v>
      </c>
      <c r="V202">
        <v>216</v>
      </c>
      <c r="W202">
        <v>228</v>
      </c>
      <c r="X202">
        <v>228</v>
      </c>
      <c r="Y202">
        <f t="shared" si="33"/>
        <v>0</v>
      </c>
      <c r="Z202">
        <f t="shared" si="34"/>
        <v>-12</v>
      </c>
      <c r="AC202" s="1">
        <v>0</v>
      </c>
      <c r="AF202">
        <f>V202</f>
        <v>216</v>
      </c>
      <c r="AG202" s="41">
        <v>12</v>
      </c>
      <c r="AH202">
        <f t="shared" si="35"/>
        <v>216</v>
      </c>
      <c r="AI202">
        <f t="shared" si="36"/>
        <v>0</v>
      </c>
      <c r="AK202">
        <f t="shared" si="37"/>
        <v>18</v>
      </c>
      <c r="AL202">
        <v>11.87</v>
      </c>
      <c r="AM202" t="s">
        <v>27</v>
      </c>
      <c r="AN202">
        <v>11.87</v>
      </c>
      <c r="AO202" t="b">
        <f t="shared" si="38"/>
        <v>1</v>
      </c>
      <c r="AR202" t="s">
        <v>5061</v>
      </c>
      <c r="AS202" s="21">
        <v>46276</v>
      </c>
      <c r="AT202" t="s">
        <v>5062</v>
      </c>
      <c r="AU202" t="s">
        <v>5067</v>
      </c>
      <c r="AV202" t="s">
        <v>5062</v>
      </c>
      <c r="AW202" t="s">
        <v>5086</v>
      </c>
    </row>
    <row r="203" spans="1:49" hidden="1" x14ac:dyDescent="0.35">
      <c r="A203" t="s">
        <v>871</v>
      </c>
      <c r="B203" t="s">
        <v>872</v>
      </c>
      <c r="C203" t="s">
        <v>4818</v>
      </c>
      <c r="D203" t="s">
        <v>18</v>
      </c>
      <c r="E203" t="s">
        <v>1273</v>
      </c>
      <c r="F203" t="s">
        <v>1274</v>
      </c>
      <c r="G203" t="s">
        <v>21</v>
      </c>
      <c r="H203" t="s">
        <v>4888</v>
      </c>
      <c r="I203" t="s">
        <v>4893</v>
      </c>
      <c r="J203" s="4" t="s">
        <v>4894</v>
      </c>
      <c r="K203" s="4" t="s">
        <v>4896</v>
      </c>
      <c r="L203" s="4" t="s">
        <v>4895</v>
      </c>
      <c r="M203" s="4" t="s">
        <v>5035</v>
      </c>
      <c r="N203" t="s">
        <v>1275</v>
      </c>
      <c r="O203" t="s">
        <v>1276</v>
      </c>
      <c r="P203" t="s">
        <v>23</v>
      </c>
      <c r="Q203" t="s">
        <v>24</v>
      </c>
      <c r="R203" t="s">
        <v>25</v>
      </c>
      <c r="S203" t="s">
        <v>26</v>
      </c>
      <c r="T203" s="6">
        <v>46307</v>
      </c>
      <c r="U203">
        <v>120</v>
      </c>
      <c r="V203">
        <v>120</v>
      </c>
      <c r="W203">
        <v>108</v>
      </c>
      <c r="X203">
        <v>108</v>
      </c>
      <c r="Y203">
        <f t="shared" si="33"/>
        <v>0</v>
      </c>
      <c r="Z203">
        <f t="shared" si="34"/>
        <v>12</v>
      </c>
      <c r="AA203">
        <f>Z203</f>
        <v>12</v>
      </c>
      <c r="AC203" s="1">
        <v>0</v>
      </c>
      <c r="AF203">
        <f>X203</f>
        <v>108</v>
      </c>
      <c r="AG203" s="41">
        <v>12</v>
      </c>
      <c r="AH203">
        <f t="shared" si="35"/>
        <v>108</v>
      </c>
      <c r="AI203">
        <f t="shared" si="36"/>
        <v>12</v>
      </c>
      <c r="AK203">
        <f t="shared" si="37"/>
        <v>9</v>
      </c>
      <c r="AL203">
        <v>10.220000000000001</v>
      </c>
      <c r="AM203" t="s">
        <v>27</v>
      </c>
      <c r="AN203">
        <v>10.220000000000001</v>
      </c>
      <c r="AO203" t="b">
        <f t="shared" si="38"/>
        <v>1</v>
      </c>
      <c r="AR203" t="s">
        <v>5061</v>
      </c>
      <c r="AS203" s="21">
        <v>46276</v>
      </c>
      <c r="AT203" t="s">
        <v>5062</v>
      </c>
      <c r="AU203" t="s">
        <v>5068</v>
      </c>
      <c r="AV203" t="s">
        <v>5062</v>
      </c>
      <c r="AW203" t="s">
        <v>5086</v>
      </c>
    </row>
    <row r="204" spans="1:49" hidden="1" x14ac:dyDescent="0.35">
      <c r="A204" t="s">
        <v>871</v>
      </c>
      <c r="B204" t="s">
        <v>872</v>
      </c>
      <c r="C204" t="s">
        <v>4818</v>
      </c>
      <c r="D204" t="s">
        <v>18</v>
      </c>
      <c r="E204" t="s">
        <v>1277</v>
      </c>
      <c r="F204" t="s">
        <v>1278</v>
      </c>
      <c r="G204" t="s">
        <v>21</v>
      </c>
      <c r="H204" t="s">
        <v>4888</v>
      </c>
      <c r="I204" t="s">
        <v>4889</v>
      </c>
      <c r="J204" s="4" t="s">
        <v>4890</v>
      </c>
      <c r="K204" s="4" t="s">
        <v>4911</v>
      </c>
      <c r="L204" s="4" t="s">
        <v>4925</v>
      </c>
      <c r="M204" s="4" t="s">
        <v>5035</v>
      </c>
      <c r="N204" t="s">
        <v>1279</v>
      </c>
      <c r="O204" t="s">
        <v>1280</v>
      </c>
      <c r="P204" t="s">
        <v>23</v>
      </c>
      <c r="Q204" t="s">
        <v>24</v>
      </c>
      <c r="R204" t="s">
        <v>25</v>
      </c>
      <c r="S204" t="s">
        <v>26</v>
      </c>
      <c r="T204" s="6">
        <v>46307</v>
      </c>
      <c r="U204">
        <v>72</v>
      </c>
      <c r="V204">
        <v>72</v>
      </c>
      <c r="W204">
        <v>72</v>
      </c>
      <c r="X204">
        <v>72</v>
      </c>
      <c r="Y204">
        <f t="shared" si="33"/>
        <v>0</v>
      </c>
      <c r="Z204">
        <f t="shared" si="34"/>
        <v>0</v>
      </c>
      <c r="AC204" s="1">
        <v>0</v>
      </c>
      <c r="AF204">
        <f>V204</f>
        <v>72</v>
      </c>
      <c r="AG204" s="41">
        <v>12</v>
      </c>
      <c r="AH204">
        <f t="shared" si="35"/>
        <v>72</v>
      </c>
      <c r="AI204">
        <f t="shared" si="36"/>
        <v>0</v>
      </c>
      <c r="AK204">
        <f t="shared" si="37"/>
        <v>6</v>
      </c>
      <c r="AL204">
        <v>11.87</v>
      </c>
      <c r="AM204" t="s">
        <v>27</v>
      </c>
      <c r="AN204">
        <v>11.87</v>
      </c>
      <c r="AO204" t="b">
        <f t="shared" si="38"/>
        <v>1</v>
      </c>
      <c r="AR204" t="s">
        <v>5061</v>
      </c>
      <c r="AS204" s="21">
        <v>46276</v>
      </c>
      <c r="AT204" t="s">
        <v>5062</v>
      </c>
      <c r="AU204" t="s">
        <v>5067</v>
      </c>
      <c r="AV204" t="s">
        <v>5062</v>
      </c>
      <c r="AW204" t="s">
        <v>5086</v>
      </c>
    </row>
    <row r="205" spans="1:49" hidden="1" x14ac:dyDescent="0.35">
      <c r="A205" t="s">
        <v>871</v>
      </c>
      <c r="B205" t="s">
        <v>872</v>
      </c>
      <c r="C205" t="s">
        <v>4818</v>
      </c>
      <c r="D205" t="s">
        <v>18</v>
      </c>
      <c r="E205" t="s">
        <v>1281</v>
      </c>
      <c r="F205" t="s">
        <v>1282</v>
      </c>
      <c r="G205" t="s">
        <v>21</v>
      </c>
      <c r="H205" t="s">
        <v>4888</v>
      </c>
      <c r="I205" t="s">
        <v>4893</v>
      </c>
      <c r="J205" s="4" t="s">
        <v>4894</v>
      </c>
      <c r="K205" s="4" t="s">
        <v>4896</v>
      </c>
      <c r="L205" s="4" t="s">
        <v>4905</v>
      </c>
      <c r="M205" s="4" t="s">
        <v>5035</v>
      </c>
      <c r="N205" t="s">
        <v>1283</v>
      </c>
      <c r="O205" t="s">
        <v>1284</v>
      </c>
      <c r="P205" t="s">
        <v>23</v>
      </c>
      <c r="Q205" t="s">
        <v>24</v>
      </c>
      <c r="R205" t="s">
        <v>25</v>
      </c>
      <c r="S205" t="s">
        <v>26</v>
      </c>
      <c r="T205" s="6">
        <v>46307</v>
      </c>
      <c r="U205">
        <v>24</v>
      </c>
      <c r="V205">
        <v>24</v>
      </c>
      <c r="W205">
        <v>12</v>
      </c>
      <c r="X205">
        <v>12</v>
      </c>
      <c r="Y205">
        <f t="shared" si="33"/>
        <v>0</v>
      </c>
      <c r="Z205">
        <f t="shared" si="34"/>
        <v>12</v>
      </c>
      <c r="AA205">
        <f>Z205</f>
        <v>12</v>
      </c>
      <c r="AC205" s="1">
        <v>0</v>
      </c>
      <c r="AF205">
        <f>X205</f>
        <v>12</v>
      </c>
      <c r="AG205" s="41">
        <v>12</v>
      </c>
      <c r="AH205">
        <f t="shared" si="35"/>
        <v>12</v>
      </c>
      <c r="AI205">
        <f t="shared" si="36"/>
        <v>12</v>
      </c>
      <c r="AK205">
        <f t="shared" si="37"/>
        <v>1</v>
      </c>
      <c r="AL205">
        <v>10.220000000000001</v>
      </c>
      <c r="AM205" t="s">
        <v>27</v>
      </c>
      <c r="AN205">
        <v>10.220000000000001</v>
      </c>
      <c r="AO205" t="b">
        <f t="shared" si="38"/>
        <v>1</v>
      </c>
      <c r="AR205" t="s">
        <v>5061</v>
      </c>
      <c r="AS205" s="21">
        <v>46276</v>
      </c>
      <c r="AT205" t="s">
        <v>5062</v>
      </c>
      <c r="AU205" t="s">
        <v>5068</v>
      </c>
      <c r="AV205" t="s">
        <v>5062</v>
      </c>
      <c r="AW205" t="s">
        <v>5086</v>
      </c>
    </row>
    <row r="206" spans="1:49" hidden="1" x14ac:dyDescent="0.35">
      <c r="A206" t="s">
        <v>871</v>
      </c>
      <c r="B206" t="s">
        <v>872</v>
      </c>
      <c r="C206" t="s">
        <v>4818</v>
      </c>
      <c r="D206" t="s">
        <v>18</v>
      </c>
      <c r="E206" t="s">
        <v>1285</v>
      </c>
      <c r="F206" t="s">
        <v>1286</v>
      </c>
      <c r="G206" t="s">
        <v>21</v>
      </c>
      <c r="H206" t="s">
        <v>4888</v>
      </c>
      <c r="I206" t="s">
        <v>4889</v>
      </c>
      <c r="J206" s="4" t="s">
        <v>4890</v>
      </c>
      <c r="K206" s="4" t="s">
        <v>4911</v>
      </c>
      <c r="L206" s="4" t="s">
        <v>4877</v>
      </c>
      <c r="M206" s="4" t="s">
        <v>5035</v>
      </c>
      <c r="N206" t="s">
        <v>1287</v>
      </c>
      <c r="O206" t="s">
        <v>1288</v>
      </c>
      <c r="P206" t="s">
        <v>23</v>
      </c>
      <c r="Q206" t="s">
        <v>24</v>
      </c>
      <c r="R206" t="s">
        <v>25</v>
      </c>
      <c r="S206" t="s">
        <v>26</v>
      </c>
      <c r="T206" s="6">
        <v>46307</v>
      </c>
      <c r="U206">
        <v>216</v>
      </c>
      <c r="V206">
        <v>216</v>
      </c>
      <c r="W206">
        <v>240</v>
      </c>
      <c r="X206">
        <v>240</v>
      </c>
      <c r="Y206">
        <f t="shared" si="33"/>
        <v>0</v>
      </c>
      <c r="Z206">
        <f t="shared" si="34"/>
        <v>-24</v>
      </c>
      <c r="AC206" s="1">
        <v>0</v>
      </c>
      <c r="AF206">
        <f t="shared" ref="AF206:AF211" si="40">V206</f>
        <v>216</v>
      </c>
      <c r="AG206" s="41">
        <v>12</v>
      </c>
      <c r="AH206">
        <f t="shared" si="35"/>
        <v>216</v>
      </c>
      <c r="AI206">
        <f t="shared" si="36"/>
        <v>0</v>
      </c>
      <c r="AK206">
        <f t="shared" si="37"/>
        <v>18</v>
      </c>
      <c r="AL206">
        <v>11.87</v>
      </c>
      <c r="AM206" t="s">
        <v>27</v>
      </c>
      <c r="AN206">
        <v>11.87</v>
      </c>
      <c r="AO206" t="b">
        <f t="shared" si="38"/>
        <v>1</v>
      </c>
      <c r="AR206" t="s">
        <v>5061</v>
      </c>
      <c r="AS206" s="21">
        <v>46276</v>
      </c>
      <c r="AT206" t="s">
        <v>5062</v>
      </c>
      <c r="AU206" t="s">
        <v>5067</v>
      </c>
      <c r="AV206" t="s">
        <v>5062</v>
      </c>
      <c r="AW206" t="s">
        <v>5086</v>
      </c>
    </row>
    <row r="207" spans="1:49" hidden="1" x14ac:dyDescent="0.35">
      <c r="A207" t="s">
        <v>871</v>
      </c>
      <c r="B207" t="s">
        <v>872</v>
      </c>
      <c r="C207" t="s">
        <v>4818</v>
      </c>
      <c r="D207" t="s">
        <v>18</v>
      </c>
      <c r="E207" t="s">
        <v>1289</v>
      </c>
      <c r="F207" t="s">
        <v>1290</v>
      </c>
      <c r="G207" t="s">
        <v>21</v>
      </c>
      <c r="H207" t="s">
        <v>4888</v>
      </c>
      <c r="I207" t="s">
        <v>4889</v>
      </c>
      <c r="J207" s="4" t="s">
        <v>4890</v>
      </c>
      <c r="K207" s="4" t="s">
        <v>4899</v>
      </c>
      <c r="L207" s="4" t="s">
        <v>4930</v>
      </c>
      <c r="M207" s="4" t="s">
        <v>5035</v>
      </c>
      <c r="N207" t="s">
        <v>1291</v>
      </c>
      <c r="O207" t="s">
        <v>1292</v>
      </c>
      <c r="P207" t="s">
        <v>23</v>
      </c>
      <c r="Q207" t="s">
        <v>24</v>
      </c>
      <c r="R207" t="s">
        <v>25</v>
      </c>
      <c r="S207" t="s">
        <v>26</v>
      </c>
      <c r="T207" s="6">
        <v>46307</v>
      </c>
      <c r="U207">
        <v>12</v>
      </c>
      <c r="V207">
        <v>12</v>
      </c>
      <c r="W207">
        <v>12</v>
      </c>
      <c r="X207">
        <v>12</v>
      </c>
      <c r="Y207">
        <f t="shared" si="33"/>
        <v>0</v>
      </c>
      <c r="Z207">
        <f t="shared" si="34"/>
        <v>0</v>
      </c>
      <c r="AC207" s="1">
        <v>0</v>
      </c>
      <c r="AF207">
        <f t="shared" si="40"/>
        <v>12</v>
      </c>
      <c r="AG207" s="41">
        <v>12</v>
      </c>
      <c r="AH207">
        <f t="shared" si="35"/>
        <v>12</v>
      </c>
      <c r="AI207">
        <f t="shared" si="36"/>
        <v>0</v>
      </c>
      <c r="AK207">
        <f t="shared" si="37"/>
        <v>1</v>
      </c>
      <c r="AL207">
        <v>10.9</v>
      </c>
      <c r="AM207" t="s">
        <v>27</v>
      </c>
      <c r="AN207">
        <v>10.9</v>
      </c>
      <c r="AO207" t="b">
        <f t="shared" si="38"/>
        <v>1</v>
      </c>
      <c r="AR207" t="s">
        <v>5061</v>
      </c>
      <c r="AS207" s="21">
        <v>46276</v>
      </c>
      <c r="AT207" t="s">
        <v>5062</v>
      </c>
      <c r="AU207" t="s">
        <v>5067</v>
      </c>
      <c r="AV207" t="s">
        <v>5062</v>
      </c>
      <c r="AW207" t="s">
        <v>5086</v>
      </c>
    </row>
    <row r="208" spans="1:49" hidden="1" x14ac:dyDescent="0.35">
      <c r="A208" t="s">
        <v>871</v>
      </c>
      <c r="B208" t="s">
        <v>872</v>
      </c>
      <c r="C208" t="s">
        <v>4818</v>
      </c>
      <c r="D208" t="s">
        <v>18</v>
      </c>
      <c r="E208" t="s">
        <v>1293</v>
      </c>
      <c r="F208" t="s">
        <v>1294</v>
      </c>
      <c r="G208" t="s">
        <v>21</v>
      </c>
      <c r="H208" t="s">
        <v>4888</v>
      </c>
      <c r="I208" t="s">
        <v>4889</v>
      </c>
      <c r="J208" s="4" t="s">
        <v>4890</v>
      </c>
      <c r="K208" s="4" t="s">
        <v>4911</v>
      </c>
      <c r="L208" s="4" t="s">
        <v>4884</v>
      </c>
      <c r="M208" s="4" t="s">
        <v>5035</v>
      </c>
      <c r="N208" t="s">
        <v>1295</v>
      </c>
      <c r="O208" t="s">
        <v>1296</v>
      </c>
      <c r="P208" t="s">
        <v>23</v>
      </c>
      <c r="Q208" t="s">
        <v>24</v>
      </c>
      <c r="R208" t="s">
        <v>25</v>
      </c>
      <c r="S208" t="s">
        <v>26</v>
      </c>
      <c r="T208" s="6">
        <v>46307</v>
      </c>
      <c r="U208">
        <v>96</v>
      </c>
      <c r="V208">
        <v>96</v>
      </c>
      <c r="W208">
        <v>108</v>
      </c>
      <c r="X208">
        <v>108</v>
      </c>
      <c r="Y208">
        <f t="shared" si="33"/>
        <v>0</v>
      </c>
      <c r="Z208">
        <f t="shared" si="34"/>
        <v>-12</v>
      </c>
      <c r="AC208" s="1">
        <v>0</v>
      </c>
      <c r="AF208">
        <f t="shared" si="40"/>
        <v>96</v>
      </c>
      <c r="AG208" s="41">
        <v>12</v>
      </c>
      <c r="AH208">
        <f t="shared" si="35"/>
        <v>96</v>
      </c>
      <c r="AI208">
        <f t="shared" si="36"/>
        <v>0</v>
      </c>
      <c r="AK208">
        <f t="shared" si="37"/>
        <v>8</v>
      </c>
      <c r="AL208">
        <v>11.87</v>
      </c>
      <c r="AM208" t="s">
        <v>27</v>
      </c>
      <c r="AN208">
        <v>11.87</v>
      </c>
      <c r="AO208" t="b">
        <f t="shared" si="38"/>
        <v>1</v>
      </c>
      <c r="AR208" t="s">
        <v>5061</v>
      </c>
      <c r="AS208" s="21">
        <v>46276</v>
      </c>
      <c r="AT208" t="s">
        <v>5062</v>
      </c>
      <c r="AU208" t="s">
        <v>5067</v>
      </c>
      <c r="AV208" t="s">
        <v>5062</v>
      </c>
      <c r="AW208" t="s">
        <v>5086</v>
      </c>
    </row>
    <row r="209" spans="1:49" hidden="1" x14ac:dyDescent="0.35">
      <c r="A209" t="s">
        <v>871</v>
      </c>
      <c r="B209" t="s">
        <v>872</v>
      </c>
      <c r="C209" t="s">
        <v>4818</v>
      </c>
      <c r="D209" t="s">
        <v>18</v>
      </c>
      <c r="E209" t="s">
        <v>1297</v>
      </c>
      <c r="F209" t="s">
        <v>1298</v>
      </c>
      <c r="G209" t="s">
        <v>21</v>
      </c>
      <c r="H209" t="s">
        <v>4888</v>
      </c>
      <c r="I209" t="s">
        <v>4889</v>
      </c>
      <c r="J209" s="4" t="s">
        <v>4890</v>
      </c>
      <c r="K209" s="4" t="s">
        <v>4911</v>
      </c>
      <c r="L209" s="4" t="s">
        <v>4923</v>
      </c>
      <c r="M209" s="4" t="s">
        <v>5035</v>
      </c>
      <c r="N209" t="s">
        <v>1299</v>
      </c>
      <c r="O209" t="s">
        <v>1300</v>
      </c>
      <c r="P209" t="s">
        <v>23</v>
      </c>
      <c r="Q209" t="s">
        <v>24</v>
      </c>
      <c r="R209" t="s">
        <v>25</v>
      </c>
      <c r="S209" t="s">
        <v>26</v>
      </c>
      <c r="T209" s="6">
        <v>46307</v>
      </c>
      <c r="U209">
        <v>12</v>
      </c>
      <c r="V209">
        <v>12</v>
      </c>
      <c r="W209">
        <v>12</v>
      </c>
      <c r="X209">
        <v>12</v>
      </c>
      <c r="Y209">
        <f t="shared" si="33"/>
        <v>0</v>
      </c>
      <c r="Z209">
        <f t="shared" si="34"/>
        <v>0</v>
      </c>
      <c r="AC209" s="1">
        <v>0</v>
      </c>
      <c r="AF209">
        <f t="shared" si="40"/>
        <v>12</v>
      </c>
      <c r="AG209" s="41">
        <v>12</v>
      </c>
      <c r="AH209">
        <f t="shared" si="35"/>
        <v>12</v>
      </c>
      <c r="AI209">
        <f t="shared" si="36"/>
        <v>0</v>
      </c>
      <c r="AK209">
        <f t="shared" si="37"/>
        <v>1</v>
      </c>
      <c r="AL209">
        <v>11.87</v>
      </c>
      <c r="AM209" t="s">
        <v>27</v>
      </c>
      <c r="AN209">
        <v>11.87</v>
      </c>
      <c r="AO209" t="b">
        <f t="shared" si="38"/>
        <v>1</v>
      </c>
      <c r="AR209" t="s">
        <v>5061</v>
      </c>
      <c r="AS209" s="21">
        <v>46276</v>
      </c>
      <c r="AT209" t="s">
        <v>5062</v>
      </c>
      <c r="AU209" t="s">
        <v>5067</v>
      </c>
      <c r="AV209" t="s">
        <v>5062</v>
      </c>
      <c r="AW209" t="s">
        <v>5086</v>
      </c>
    </row>
    <row r="210" spans="1:49" hidden="1" x14ac:dyDescent="0.35">
      <c r="A210" t="s">
        <v>871</v>
      </c>
      <c r="B210" t="s">
        <v>872</v>
      </c>
      <c r="C210" t="s">
        <v>4818</v>
      </c>
      <c r="D210" t="s">
        <v>18</v>
      </c>
      <c r="E210" t="s">
        <v>1301</v>
      </c>
      <c r="F210" t="s">
        <v>1302</v>
      </c>
      <c r="G210" t="s">
        <v>21</v>
      </c>
      <c r="H210" t="s">
        <v>4888</v>
      </c>
      <c r="I210" t="s">
        <v>4906</v>
      </c>
      <c r="J210" s="4" t="s">
        <v>4907</v>
      </c>
      <c r="K210" s="4" t="s">
        <v>4908</v>
      </c>
      <c r="L210" s="4" t="s">
        <v>4880</v>
      </c>
      <c r="M210" s="4" t="s">
        <v>5035</v>
      </c>
      <c r="N210" t="s">
        <v>1303</v>
      </c>
      <c r="O210" t="s">
        <v>1304</v>
      </c>
      <c r="P210" t="s">
        <v>23</v>
      </c>
      <c r="Q210" t="s">
        <v>24</v>
      </c>
      <c r="R210" t="s">
        <v>25</v>
      </c>
      <c r="S210" t="s">
        <v>26</v>
      </c>
      <c r="T210" s="6">
        <v>46307</v>
      </c>
      <c r="U210">
        <v>108</v>
      </c>
      <c r="V210">
        <v>108</v>
      </c>
      <c r="W210">
        <v>120</v>
      </c>
      <c r="X210">
        <v>120</v>
      </c>
      <c r="Y210">
        <f t="shared" si="33"/>
        <v>0</v>
      </c>
      <c r="Z210">
        <f t="shared" si="34"/>
        <v>-12</v>
      </c>
      <c r="AC210" s="1">
        <v>0</v>
      </c>
      <c r="AF210">
        <f t="shared" si="40"/>
        <v>108</v>
      </c>
      <c r="AG210" s="41">
        <v>12</v>
      </c>
      <c r="AH210">
        <f t="shared" si="35"/>
        <v>108</v>
      </c>
      <c r="AI210">
        <f t="shared" si="36"/>
        <v>0</v>
      </c>
      <c r="AK210">
        <f t="shared" si="37"/>
        <v>9</v>
      </c>
      <c r="AL210">
        <v>10.19</v>
      </c>
      <c r="AM210" t="s">
        <v>27</v>
      </c>
      <c r="AN210">
        <v>10.19</v>
      </c>
      <c r="AO210" t="b">
        <f t="shared" si="38"/>
        <v>1</v>
      </c>
      <c r="AR210" t="s">
        <v>5061</v>
      </c>
      <c r="AS210" s="21">
        <v>46276</v>
      </c>
      <c r="AT210" t="s">
        <v>5062</v>
      </c>
      <c r="AU210" t="s">
        <v>5070</v>
      </c>
      <c r="AV210" t="s">
        <v>5062</v>
      </c>
      <c r="AW210" t="s">
        <v>5086</v>
      </c>
    </row>
    <row r="211" spans="1:49" hidden="1" x14ac:dyDescent="0.35">
      <c r="A211" t="s">
        <v>871</v>
      </c>
      <c r="B211" t="s">
        <v>872</v>
      </c>
      <c r="C211" t="s">
        <v>4818</v>
      </c>
      <c r="D211" t="s">
        <v>18</v>
      </c>
      <c r="E211" t="s">
        <v>1305</v>
      </c>
      <c r="F211" t="s">
        <v>1306</v>
      </c>
      <c r="G211" t="s">
        <v>21</v>
      </c>
      <c r="H211" t="s">
        <v>4888</v>
      </c>
      <c r="I211" t="s">
        <v>4906</v>
      </c>
      <c r="J211" s="4" t="s">
        <v>4907</v>
      </c>
      <c r="K211" s="4" t="s">
        <v>4908</v>
      </c>
      <c r="L211" s="4" t="s">
        <v>4886</v>
      </c>
      <c r="M211" s="4" t="s">
        <v>5035</v>
      </c>
      <c r="N211" t="s">
        <v>1307</v>
      </c>
      <c r="O211" t="s">
        <v>1308</v>
      </c>
      <c r="P211" t="s">
        <v>23</v>
      </c>
      <c r="Q211" t="s">
        <v>24</v>
      </c>
      <c r="R211" t="s">
        <v>25</v>
      </c>
      <c r="S211" t="s">
        <v>26</v>
      </c>
      <c r="T211" s="6">
        <v>46307</v>
      </c>
      <c r="U211">
        <v>108</v>
      </c>
      <c r="V211">
        <v>108</v>
      </c>
      <c r="W211">
        <v>120</v>
      </c>
      <c r="X211">
        <v>120</v>
      </c>
      <c r="Y211">
        <f t="shared" si="33"/>
        <v>0</v>
      </c>
      <c r="Z211">
        <f t="shared" si="34"/>
        <v>-12</v>
      </c>
      <c r="AC211" s="1">
        <v>0</v>
      </c>
      <c r="AF211">
        <f t="shared" si="40"/>
        <v>108</v>
      </c>
      <c r="AG211" s="41">
        <v>12</v>
      </c>
      <c r="AH211">
        <f t="shared" si="35"/>
        <v>108</v>
      </c>
      <c r="AI211">
        <f t="shared" si="36"/>
        <v>0</v>
      </c>
      <c r="AK211">
        <f t="shared" si="37"/>
        <v>9</v>
      </c>
      <c r="AL211">
        <v>10.19</v>
      </c>
      <c r="AM211" t="s">
        <v>27</v>
      </c>
      <c r="AN211">
        <v>10.19</v>
      </c>
      <c r="AO211" t="b">
        <f t="shared" si="38"/>
        <v>1</v>
      </c>
      <c r="AR211" t="s">
        <v>5061</v>
      </c>
      <c r="AS211" s="21">
        <v>46276</v>
      </c>
      <c r="AT211" t="s">
        <v>5062</v>
      </c>
      <c r="AU211" t="s">
        <v>5070</v>
      </c>
      <c r="AV211" t="s">
        <v>5062</v>
      </c>
      <c r="AW211" t="s">
        <v>5086</v>
      </c>
    </row>
    <row r="212" spans="1:49" hidden="1" x14ac:dyDescent="0.35">
      <c r="A212" t="s">
        <v>871</v>
      </c>
      <c r="B212" t="s">
        <v>872</v>
      </c>
      <c r="C212" t="s">
        <v>4818</v>
      </c>
      <c r="D212" t="s">
        <v>18</v>
      </c>
      <c r="E212" t="s">
        <v>1309</v>
      </c>
      <c r="F212" t="s">
        <v>1310</v>
      </c>
      <c r="G212" t="s">
        <v>21</v>
      </c>
      <c r="H212" t="s">
        <v>4888</v>
      </c>
      <c r="I212" t="s">
        <v>4902</v>
      </c>
      <c r="J212" s="4" t="s">
        <v>4903</v>
      </c>
      <c r="K212" s="4" t="s">
        <v>4915</v>
      </c>
      <c r="L212" s="4" t="s">
        <v>4851</v>
      </c>
      <c r="M212" s="4" t="s">
        <v>5035</v>
      </c>
      <c r="N212" t="s">
        <v>1311</v>
      </c>
      <c r="O212" t="s">
        <v>1312</v>
      </c>
      <c r="P212" t="s">
        <v>23</v>
      </c>
      <c r="Q212" t="s">
        <v>24</v>
      </c>
      <c r="R212" t="s">
        <v>25</v>
      </c>
      <c r="S212" t="s">
        <v>26</v>
      </c>
      <c r="T212" s="6">
        <v>46307</v>
      </c>
      <c r="U212">
        <v>252</v>
      </c>
      <c r="V212">
        <v>252</v>
      </c>
      <c r="W212">
        <v>228</v>
      </c>
      <c r="X212">
        <v>228</v>
      </c>
      <c r="Y212">
        <f t="shared" si="33"/>
        <v>0</v>
      </c>
      <c r="Z212">
        <f t="shared" si="34"/>
        <v>24</v>
      </c>
      <c r="AA212">
        <f>Z212</f>
        <v>24</v>
      </c>
      <c r="AC212" s="1">
        <v>0</v>
      </c>
      <c r="AF212">
        <f>X212</f>
        <v>228</v>
      </c>
      <c r="AG212" s="41">
        <v>12</v>
      </c>
      <c r="AH212">
        <f t="shared" si="35"/>
        <v>228</v>
      </c>
      <c r="AI212">
        <f t="shared" si="36"/>
        <v>24</v>
      </c>
      <c r="AK212">
        <f t="shared" si="37"/>
        <v>19</v>
      </c>
      <c r="AL212">
        <v>10.66</v>
      </c>
      <c r="AM212" t="s">
        <v>27</v>
      </c>
      <c r="AN212">
        <v>10.66</v>
      </c>
      <c r="AO212" t="b">
        <f t="shared" si="38"/>
        <v>1</v>
      </c>
      <c r="AR212" t="s">
        <v>5061</v>
      </c>
      <c r="AS212" s="21">
        <v>46276</v>
      </c>
      <c r="AT212" t="s">
        <v>5062</v>
      </c>
      <c r="AU212" t="s">
        <v>5069</v>
      </c>
      <c r="AV212" t="s">
        <v>5062</v>
      </c>
      <c r="AW212" t="s">
        <v>5086</v>
      </c>
    </row>
    <row r="213" spans="1:49" hidden="1" x14ac:dyDescent="0.35">
      <c r="A213" t="s">
        <v>871</v>
      </c>
      <c r="B213" t="s">
        <v>872</v>
      </c>
      <c r="C213" t="s">
        <v>4818</v>
      </c>
      <c r="D213" t="s">
        <v>18</v>
      </c>
      <c r="E213" t="s">
        <v>1313</v>
      </c>
      <c r="F213" t="s">
        <v>1314</v>
      </c>
      <c r="G213" t="s">
        <v>21</v>
      </c>
      <c r="H213" t="s">
        <v>4888</v>
      </c>
      <c r="I213" t="s">
        <v>4902</v>
      </c>
      <c r="J213" s="4" t="s">
        <v>4903</v>
      </c>
      <c r="K213" s="4" t="s">
        <v>4899</v>
      </c>
      <c r="L213" s="4" t="s">
        <v>4927</v>
      </c>
      <c r="M213" s="4" t="s">
        <v>5035</v>
      </c>
      <c r="N213" t="s">
        <v>1315</v>
      </c>
      <c r="O213" t="s">
        <v>1316</v>
      </c>
      <c r="P213" t="s">
        <v>23</v>
      </c>
      <c r="Q213" t="s">
        <v>24</v>
      </c>
      <c r="R213" t="s">
        <v>25</v>
      </c>
      <c r="S213" t="s">
        <v>26</v>
      </c>
      <c r="T213" s="6">
        <v>46307</v>
      </c>
      <c r="U213">
        <v>24</v>
      </c>
      <c r="V213">
        <v>24</v>
      </c>
      <c r="W213">
        <v>24</v>
      </c>
      <c r="X213">
        <v>24</v>
      </c>
      <c r="Y213">
        <f t="shared" si="33"/>
        <v>0</v>
      </c>
      <c r="Z213">
        <f t="shared" si="34"/>
        <v>0</v>
      </c>
      <c r="AC213" s="1">
        <v>0</v>
      </c>
      <c r="AF213">
        <f>V213</f>
        <v>24</v>
      </c>
      <c r="AG213" s="41">
        <v>12</v>
      </c>
      <c r="AH213">
        <f t="shared" si="35"/>
        <v>24</v>
      </c>
      <c r="AI213">
        <f t="shared" si="36"/>
        <v>0</v>
      </c>
      <c r="AK213">
        <f t="shared" si="37"/>
        <v>2</v>
      </c>
      <c r="AL213">
        <v>10.49</v>
      </c>
      <c r="AM213" t="s">
        <v>27</v>
      </c>
      <c r="AN213">
        <v>10.49</v>
      </c>
      <c r="AO213" t="b">
        <f t="shared" si="38"/>
        <v>1</v>
      </c>
      <c r="AR213" t="s">
        <v>5061</v>
      </c>
      <c r="AS213" s="21">
        <v>46276</v>
      </c>
      <c r="AT213" t="s">
        <v>5062</v>
      </c>
      <c r="AU213" t="s">
        <v>5069</v>
      </c>
      <c r="AV213" t="s">
        <v>5062</v>
      </c>
      <c r="AW213" t="s">
        <v>5086</v>
      </c>
    </row>
    <row r="214" spans="1:49" hidden="1" x14ac:dyDescent="0.35">
      <c r="A214" t="s">
        <v>871</v>
      </c>
      <c r="B214" t="s">
        <v>872</v>
      </c>
      <c r="C214" t="s">
        <v>4818</v>
      </c>
      <c r="D214" t="s">
        <v>18</v>
      </c>
      <c r="E214" t="s">
        <v>1317</v>
      </c>
      <c r="F214" t="s">
        <v>1318</v>
      </c>
      <c r="G214" t="s">
        <v>21</v>
      </c>
      <c r="H214" t="s">
        <v>4888</v>
      </c>
      <c r="I214" t="s">
        <v>4889</v>
      </c>
      <c r="J214" s="4" t="s">
        <v>4890</v>
      </c>
      <c r="K214" s="4" t="s">
        <v>4899</v>
      </c>
      <c r="L214" s="4" t="s">
        <v>4909</v>
      </c>
      <c r="M214" s="4" t="s">
        <v>5035</v>
      </c>
      <c r="N214" t="s">
        <v>1319</v>
      </c>
      <c r="O214" t="s">
        <v>1320</v>
      </c>
      <c r="P214" t="s">
        <v>23</v>
      </c>
      <c r="Q214" t="s">
        <v>24</v>
      </c>
      <c r="R214" t="s">
        <v>25</v>
      </c>
      <c r="S214" t="s">
        <v>26</v>
      </c>
      <c r="T214" s="6">
        <v>46307</v>
      </c>
      <c r="U214">
        <v>24</v>
      </c>
      <c r="V214">
        <v>24</v>
      </c>
      <c r="W214">
        <v>24</v>
      </c>
      <c r="X214">
        <v>24</v>
      </c>
      <c r="Y214">
        <f t="shared" si="33"/>
        <v>0</v>
      </c>
      <c r="Z214">
        <f t="shared" si="34"/>
        <v>0</v>
      </c>
      <c r="AC214" s="1">
        <v>0</v>
      </c>
      <c r="AF214">
        <f>V214</f>
        <v>24</v>
      </c>
      <c r="AG214" s="41">
        <v>12</v>
      </c>
      <c r="AH214">
        <f t="shared" si="35"/>
        <v>24</v>
      </c>
      <c r="AI214">
        <f t="shared" si="36"/>
        <v>0</v>
      </c>
      <c r="AK214">
        <f t="shared" si="37"/>
        <v>2</v>
      </c>
      <c r="AL214">
        <v>10.9</v>
      </c>
      <c r="AM214" t="s">
        <v>27</v>
      </c>
      <c r="AN214">
        <v>10.9</v>
      </c>
      <c r="AO214" t="b">
        <f t="shared" si="38"/>
        <v>1</v>
      </c>
      <c r="AR214" t="s">
        <v>5061</v>
      </c>
      <c r="AS214" s="21">
        <v>46276</v>
      </c>
      <c r="AT214" t="s">
        <v>5062</v>
      </c>
      <c r="AU214" t="s">
        <v>5067</v>
      </c>
      <c r="AV214" t="s">
        <v>5062</v>
      </c>
      <c r="AW214" t="s">
        <v>5086</v>
      </c>
    </row>
    <row r="215" spans="1:49" hidden="1" x14ac:dyDescent="0.35">
      <c r="A215" t="s">
        <v>871</v>
      </c>
      <c r="B215" t="s">
        <v>872</v>
      </c>
      <c r="C215" t="s">
        <v>4818</v>
      </c>
      <c r="D215" t="s">
        <v>18</v>
      </c>
      <c r="E215" t="s">
        <v>1321</v>
      </c>
      <c r="F215" t="s">
        <v>1322</v>
      </c>
      <c r="G215" t="s">
        <v>21</v>
      </c>
      <c r="H215" t="s">
        <v>4888</v>
      </c>
      <c r="I215" t="s">
        <v>4893</v>
      </c>
      <c r="J215" s="4" t="s">
        <v>4894</v>
      </c>
      <c r="K215" s="4" t="s">
        <v>4837</v>
      </c>
      <c r="L215" s="4" t="s">
        <v>4924</v>
      </c>
      <c r="M215" s="4" t="s">
        <v>5035</v>
      </c>
      <c r="N215" t="s">
        <v>1323</v>
      </c>
      <c r="O215" t="s">
        <v>1324</v>
      </c>
      <c r="P215" t="s">
        <v>23</v>
      </c>
      <c r="Q215" t="s">
        <v>24</v>
      </c>
      <c r="R215" t="s">
        <v>25</v>
      </c>
      <c r="S215" t="s">
        <v>26</v>
      </c>
      <c r="T215" s="6">
        <v>46307</v>
      </c>
      <c r="U215">
        <v>96</v>
      </c>
      <c r="V215">
        <v>96</v>
      </c>
      <c r="W215">
        <v>84</v>
      </c>
      <c r="X215">
        <v>84</v>
      </c>
      <c r="Y215">
        <f t="shared" si="33"/>
        <v>0</v>
      </c>
      <c r="Z215">
        <f t="shared" si="34"/>
        <v>12</v>
      </c>
      <c r="AA215">
        <f>Z215</f>
        <v>12</v>
      </c>
      <c r="AC215" s="1">
        <v>0</v>
      </c>
      <c r="AF215">
        <f>X215</f>
        <v>84</v>
      </c>
      <c r="AG215" s="41">
        <v>12</v>
      </c>
      <c r="AH215">
        <f t="shared" si="35"/>
        <v>84</v>
      </c>
      <c r="AI215">
        <f t="shared" si="36"/>
        <v>12</v>
      </c>
      <c r="AK215">
        <f t="shared" si="37"/>
        <v>7</v>
      </c>
      <c r="AL215">
        <v>10.06</v>
      </c>
      <c r="AM215" t="s">
        <v>27</v>
      </c>
      <c r="AN215">
        <v>10.06</v>
      </c>
      <c r="AO215" t="b">
        <f t="shared" si="38"/>
        <v>1</v>
      </c>
      <c r="AR215" t="s">
        <v>5061</v>
      </c>
      <c r="AS215" s="21">
        <v>46276</v>
      </c>
      <c r="AT215" t="s">
        <v>5062</v>
      </c>
      <c r="AU215" t="s">
        <v>5068</v>
      </c>
      <c r="AV215" t="s">
        <v>5062</v>
      </c>
      <c r="AW215" t="s">
        <v>5086</v>
      </c>
    </row>
    <row r="216" spans="1:49" hidden="1" x14ac:dyDescent="0.35">
      <c r="A216" t="s">
        <v>871</v>
      </c>
      <c r="B216" t="s">
        <v>872</v>
      </c>
      <c r="C216" t="s">
        <v>4818</v>
      </c>
      <c r="D216" t="s">
        <v>18</v>
      </c>
      <c r="E216" t="s">
        <v>1325</v>
      </c>
      <c r="F216" t="s">
        <v>1326</v>
      </c>
      <c r="G216" t="s">
        <v>21</v>
      </c>
      <c r="H216" t="s">
        <v>4888</v>
      </c>
      <c r="I216" t="s">
        <v>4889</v>
      </c>
      <c r="J216" s="4" t="s">
        <v>4890</v>
      </c>
      <c r="K216" s="4" t="s">
        <v>4891</v>
      </c>
      <c r="L216" s="4" t="s">
        <v>4885</v>
      </c>
      <c r="M216" s="4" t="s">
        <v>5035</v>
      </c>
      <c r="N216" t="s">
        <v>1327</v>
      </c>
      <c r="O216" t="s">
        <v>1328</v>
      </c>
      <c r="P216" t="s">
        <v>23</v>
      </c>
      <c r="Q216" t="s">
        <v>24</v>
      </c>
      <c r="R216" t="s">
        <v>25</v>
      </c>
      <c r="S216" t="s">
        <v>26</v>
      </c>
      <c r="T216" s="6">
        <v>46307</v>
      </c>
      <c r="U216">
        <v>12</v>
      </c>
      <c r="V216">
        <v>12</v>
      </c>
      <c r="W216">
        <v>12</v>
      </c>
      <c r="X216">
        <v>12</v>
      </c>
      <c r="Y216">
        <f t="shared" si="33"/>
        <v>0</v>
      </c>
      <c r="Z216">
        <f t="shared" si="34"/>
        <v>0</v>
      </c>
      <c r="AC216" s="1">
        <v>0</v>
      </c>
      <c r="AF216">
        <f>V216</f>
        <v>12</v>
      </c>
      <c r="AG216" s="41">
        <v>12</v>
      </c>
      <c r="AH216">
        <f t="shared" si="35"/>
        <v>12</v>
      </c>
      <c r="AI216">
        <f t="shared" si="36"/>
        <v>0</v>
      </c>
      <c r="AK216">
        <f t="shared" si="37"/>
        <v>1</v>
      </c>
      <c r="AL216">
        <v>11.2</v>
      </c>
      <c r="AM216" t="s">
        <v>27</v>
      </c>
      <c r="AN216">
        <v>11.2</v>
      </c>
      <c r="AO216" t="b">
        <f t="shared" si="38"/>
        <v>1</v>
      </c>
      <c r="AR216" t="s">
        <v>5061</v>
      </c>
      <c r="AS216" s="21">
        <v>46276</v>
      </c>
      <c r="AT216" t="s">
        <v>5062</v>
      </c>
      <c r="AU216" t="s">
        <v>5067</v>
      </c>
      <c r="AV216" t="s">
        <v>5062</v>
      </c>
      <c r="AW216" t="s">
        <v>5086</v>
      </c>
    </row>
    <row r="217" spans="1:49" hidden="1" x14ac:dyDescent="0.35">
      <c r="A217" t="s">
        <v>871</v>
      </c>
      <c r="B217" t="s">
        <v>872</v>
      </c>
      <c r="C217" t="s">
        <v>4818</v>
      </c>
      <c r="D217" t="s">
        <v>18</v>
      </c>
      <c r="E217" t="s">
        <v>1329</v>
      </c>
      <c r="F217" t="s">
        <v>1330</v>
      </c>
      <c r="G217" t="s">
        <v>21</v>
      </c>
      <c r="H217" t="s">
        <v>4888</v>
      </c>
      <c r="I217" t="s">
        <v>4893</v>
      </c>
      <c r="J217" s="4" t="s">
        <v>4894</v>
      </c>
      <c r="K217" s="4" t="s">
        <v>4913</v>
      </c>
      <c r="L217" s="4" t="s">
        <v>4885</v>
      </c>
      <c r="M217" s="4" t="s">
        <v>5035</v>
      </c>
      <c r="N217" t="s">
        <v>1331</v>
      </c>
      <c r="O217" t="s">
        <v>1332</v>
      </c>
      <c r="P217" t="s">
        <v>23</v>
      </c>
      <c r="Q217" t="s">
        <v>24</v>
      </c>
      <c r="R217" t="s">
        <v>25</v>
      </c>
      <c r="S217" t="s">
        <v>26</v>
      </c>
      <c r="T217" s="6">
        <v>46307</v>
      </c>
      <c r="U217">
        <v>60</v>
      </c>
      <c r="V217">
        <v>60</v>
      </c>
      <c r="W217">
        <v>48</v>
      </c>
      <c r="X217">
        <v>48</v>
      </c>
      <c r="Y217">
        <f t="shared" si="33"/>
        <v>0</v>
      </c>
      <c r="Z217">
        <f t="shared" si="34"/>
        <v>12</v>
      </c>
      <c r="AA217">
        <f>Z217</f>
        <v>12</v>
      </c>
      <c r="AC217" s="1">
        <v>0</v>
      </c>
      <c r="AF217">
        <f>X217</f>
        <v>48</v>
      </c>
      <c r="AG217" s="41">
        <v>12</v>
      </c>
      <c r="AH217">
        <f t="shared" si="35"/>
        <v>48</v>
      </c>
      <c r="AI217">
        <f t="shared" si="36"/>
        <v>12</v>
      </c>
      <c r="AK217">
        <f t="shared" si="37"/>
        <v>4</v>
      </c>
      <c r="AL217">
        <v>9.9499999999999993</v>
      </c>
      <c r="AM217" t="s">
        <v>27</v>
      </c>
      <c r="AN217">
        <v>9.9499999999999993</v>
      </c>
      <c r="AO217" t="b">
        <f t="shared" si="38"/>
        <v>1</v>
      </c>
      <c r="AR217" t="s">
        <v>5061</v>
      </c>
      <c r="AS217" s="21">
        <v>46276</v>
      </c>
      <c r="AT217" t="s">
        <v>5062</v>
      </c>
      <c r="AU217" t="s">
        <v>5068</v>
      </c>
      <c r="AV217" t="s">
        <v>5062</v>
      </c>
      <c r="AW217" t="s">
        <v>5086</v>
      </c>
    </row>
    <row r="218" spans="1:49" hidden="1" x14ac:dyDescent="0.35">
      <c r="A218" t="s">
        <v>871</v>
      </c>
      <c r="B218" t="s">
        <v>872</v>
      </c>
      <c r="C218" t="s">
        <v>4818</v>
      </c>
      <c r="D218" t="s">
        <v>18</v>
      </c>
      <c r="E218" t="s">
        <v>1333</v>
      </c>
      <c r="F218" t="s">
        <v>1334</v>
      </c>
      <c r="G218" t="s">
        <v>21</v>
      </c>
      <c r="H218" t="s">
        <v>4888</v>
      </c>
      <c r="I218" t="s">
        <v>4902</v>
      </c>
      <c r="J218" s="4" t="s">
        <v>4903</v>
      </c>
      <c r="K218" s="4" t="s">
        <v>4915</v>
      </c>
      <c r="L218" s="4" t="s">
        <v>4901</v>
      </c>
      <c r="M218" s="4" t="s">
        <v>5035</v>
      </c>
      <c r="N218" t="s">
        <v>1335</v>
      </c>
      <c r="O218" t="s">
        <v>1336</v>
      </c>
      <c r="P218" t="s">
        <v>23</v>
      </c>
      <c r="Q218" t="s">
        <v>24</v>
      </c>
      <c r="R218" t="s">
        <v>25</v>
      </c>
      <c r="S218" t="s">
        <v>26</v>
      </c>
      <c r="T218" s="6">
        <v>46307</v>
      </c>
      <c r="U218">
        <v>48</v>
      </c>
      <c r="V218">
        <v>48</v>
      </c>
      <c r="W218">
        <v>48</v>
      </c>
      <c r="X218">
        <v>48</v>
      </c>
      <c r="Y218">
        <f t="shared" si="33"/>
        <v>0</v>
      </c>
      <c r="Z218">
        <f t="shared" si="34"/>
        <v>0</v>
      </c>
      <c r="AC218" s="1">
        <v>0</v>
      </c>
      <c r="AF218">
        <f>V218</f>
        <v>48</v>
      </c>
      <c r="AG218" s="41">
        <v>12</v>
      </c>
      <c r="AH218">
        <f t="shared" si="35"/>
        <v>48</v>
      </c>
      <c r="AI218">
        <f t="shared" si="36"/>
        <v>0</v>
      </c>
      <c r="AK218">
        <f t="shared" si="37"/>
        <v>4</v>
      </c>
      <c r="AL218">
        <v>10.66</v>
      </c>
      <c r="AM218" t="s">
        <v>27</v>
      </c>
      <c r="AN218">
        <v>10.66</v>
      </c>
      <c r="AO218" t="b">
        <f t="shared" si="38"/>
        <v>1</v>
      </c>
      <c r="AR218" t="s">
        <v>5061</v>
      </c>
      <c r="AS218" s="21">
        <v>46276</v>
      </c>
      <c r="AT218" t="s">
        <v>5062</v>
      </c>
      <c r="AU218" t="s">
        <v>5069</v>
      </c>
      <c r="AV218" t="s">
        <v>5062</v>
      </c>
      <c r="AW218" t="s">
        <v>5086</v>
      </c>
    </row>
    <row r="219" spans="1:49" hidden="1" x14ac:dyDescent="0.35">
      <c r="A219" t="s">
        <v>871</v>
      </c>
      <c r="B219" t="s">
        <v>872</v>
      </c>
      <c r="C219" t="s">
        <v>4818</v>
      </c>
      <c r="D219" t="s">
        <v>18</v>
      </c>
      <c r="E219" t="s">
        <v>1337</v>
      </c>
      <c r="F219" t="s">
        <v>1338</v>
      </c>
      <c r="G219" t="s">
        <v>21</v>
      </c>
      <c r="H219" t="s">
        <v>4888</v>
      </c>
      <c r="I219" t="s">
        <v>4893</v>
      </c>
      <c r="J219" s="4" t="s">
        <v>4894</v>
      </c>
      <c r="K219" s="4" t="s">
        <v>4913</v>
      </c>
      <c r="L219" s="4" t="s">
        <v>4886</v>
      </c>
      <c r="M219" s="4" t="s">
        <v>5035</v>
      </c>
      <c r="N219" t="s">
        <v>1339</v>
      </c>
      <c r="O219" t="s">
        <v>1340</v>
      </c>
      <c r="P219" t="s">
        <v>23</v>
      </c>
      <c r="Q219" t="s">
        <v>24</v>
      </c>
      <c r="R219" t="s">
        <v>25</v>
      </c>
      <c r="S219" t="s">
        <v>26</v>
      </c>
      <c r="T219" s="6">
        <v>46307</v>
      </c>
      <c r="U219">
        <v>84</v>
      </c>
      <c r="V219">
        <v>84</v>
      </c>
      <c r="W219">
        <v>72</v>
      </c>
      <c r="X219">
        <v>72</v>
      </c>
      <c r="Y219">
        <f t="shared" si="33"/>
        <v>0</v>
      </c>
      <c r="Z219">
        <f t="shared" si="34"/>
        <v>12</v>
      </c>
      <c r="AA219">
        <f>Z219</f>
        <v>12</v>
      </c>
      <c r="AC219" s="1">
        <v>0</v>
      </c>
      <c r="AF219">
        <f>X219</f>
        <v>72</v>
      </c>
      <c r="AG219" s="41">
        <v>12</v>
      </c>
      <c r="AH219">
        <f t="shared" si="35"/>
        <v>72</v>
      </c>
      <c r="AI219">
        <f t="shared" si="36"/>
        <v>12</v>
      </c>
      <c r="AK219">
        <f t="shared" si="37"/>
        <v>6</v>
      </c>
      <c r="AL219">
        <v>9.9499999999999993</v>
      </c>
      <c r="AM219" t="s">
        <v>27</v>
      </c>
      <c r="AN219">
        <v>9.9499999999999993</v>
      </c>
      <c r="AO219" t="b">
        <f t="shared" si="38"/>
        <v>1</v>
      </c>
      <c r="AR219" t="s">
        <v>5061</v>
      </c>
      <c r="AS219" s="21">
        <v>46276</v>
      </c>
      <c r="AT219" t="s">
        <v>5062</v>
      </c>
      <c r="AU219" t="s">
        <v>5068</v>
      </c>
      <c r="AV219" t="s">
        <v>5062</v>
      </c>
      <c r="AW219" t="s">
        <v>5086</v>
      </c>
    </row>
    <row r="220" spans="1:49" hidden="1" x14ac:dyDescent="0.35">
      <c r="A220" t="s">
        <v>871</v>
      </c>
      <c r="B220" t="s">
        <v>872</v>
      </c>
      <c r="C220" t="s">
        <v>4818</v>
      </c>
      <c r="D220" t="s">
        <v>18</v>
      </c>
      <c r="E220" t="s">
        <v>1341</v>
      </c>
      <c r="F220" t="s">
        <v>1342</v>
      </c>
      <c r="G220" t="s">
        <v>21</v>
      </c>
      <c r="H220" t="s">
        <v>4888</v>
      </c>
      <c r="I220" t="s">
        <v>4906</v>
      </c>
      <c r="J220" s="4" t="s">
        <v>4907</v>
      </c>
      <c r="K220" s="4" t="s">
        <v>4908</v>
      </c>
      <c r="L220" s="4" t="s">
        <v>4929</v>
      </c>
      <c r="M220" s="4" t="s">
        <v>5035</v>
      </c>
      <c r="N220" t="s">
        <v>1343</v>
      </c>
      <c r="O220" t="s">
        <v>1344</v>
      </c>
      <c r="P220" t="s">
        <v>23</v>
      </c>
      <c r="Q220" t="s">
        <v>24</v>
      </c>
      <c r="R220" t="s">
        <v>25</v>
      </c>
      <c r="S220" t="s">
        <v>26</v>
      </c>
      <c r="T220" s="6">
        <v>46307</v>
      </c>
      <c r="U220">
        <v>72</v>
      </c>
      <c r="V220">
        <v>72</v>
      </c>
      <c r="W220">
        <v>84</v>
      </c>
      <c r="X220">
        <v>84</v>
      </c>
      <c r="Y220">
        <f t="shared" si="33"/>
        <v>0</v>
      </c>
      <c r="Z220">
        <f t="shared" si="34"/>
        <v>-12</v>
      </c>
      <c r="AC220" s="1">
        <v>0</v>
      </c>
      <c r="AF220">
        <f>V220</f>
        <v>72</v>
      </c>
      <c r="AG220" s="41">
        <v>12</v>
      </c>
      <c r="AH220">
        <f t="shared" si="35"/>
        <v>72</v>
      </c>
      <c r="AI220">
        <f t="shared" si="36"/>
        <v>0</v>
      </c>
      <c r="AK220">
        <f t="shared" si="37"/>
        <v>6</v>
      </c>
      <c r="AL220">
        <v>10.19</v>
      </c>
      <c r="AM220" t="s">
        <v>27</v>
      </c>
      <c r="AN220">
        <v>10.19</v>
      </c>
      <c r="AO220" t="b">
        <f t="shared" si="38"/>
        <v>1</v>
      </c>
      <c r="AR220" t="s">
        <v>5061</v>
      </c>
      <c r="AS220" s="21">
        <v>46276</v>
      </c>
      <c r="AT220" t="s">
        <v>5062</v>
      </c>
      <c r="AU220" t="s">
        <v>5070</v>
      </c>
      <c r="AV220" t="s">
        <v>5062</v>
      </c>
      <c r="AW220" t="s">
        <v>5086</v>
      </c>
    </row>
    <row r="221" spans="1:49" hidden="1" x14ac:dyDescent="0.35">
      <c r="A221" t="s">
        <v>871</v>
      </c>
      <c r="B221" t="s">
        <v>872</v>
      </c>
      <c r="C221" t="s">
        <v>4818</v>
      </c>
      <c r="D221" t="s">
        <v>18</v>
      </c>
      <c r="E221" t="s">
        <v>1345</v>
      </c>
      <c r="F221" t="s">
        <v>1346</v>
      </c>
      <c r="G221" t="s">
        <v>21</v>
      </c>
      <c r="H221" t="s">
        <v>4888</v>
      </c>
      <c r="I221" t="s">
        <v>4902</v>
      </c>
      <c r="J221" s="4" t="s">
        <v>4903</v>
      </c>
      <c r="K221" s="4" t="s">
        <v>4899</v>
      </c>
      <c r="L221" s="4" t="s">
        <v>4922</v>
      </c>
      <c r="M221" s="4" t="s">
        <v>5035</v>
      </c>
      <c r="N221" t="s">
        <v>1347</v>
      </c>
      <c r="O221" t="s">
        <v>1348</v>
      </c>
      <c r="P221" t="s">
        <v>23</v>
      </c>
      <c r="Q221" t="s">
        <v>24</v>
      </c>
      <c r="R221" t="s">
        <v>25</v>
      </c>
      <c r="S221" t="s">
        <v>26</v>
      </c>
      <c r="T221" s="6">
        <v>46307</v>
      </c>
      <c r="U221">
        <v>108</v>
      </c>
      <c r="V221">
        <v>108</v>
      </c>
      <c r="W221">
        <v>108</v>
      </c>
      <c r="X221">
        <v>108</v>
      </c>
      <c r="Y221">
        <f t="shared" si="33"/>
        <v>0</v>
      </c>
      <c r="Z221">
        <f t="shared" si="34"/>
        <v>0</v>
      </c>
      <c r="AC221" s="1">
        <v>0</v>
      </c>
      <c r="AF221">
        <f>V221</f>
        <v>108</v>
      </c>
      <c r="AG221" s="41">
        <v>12</v>
      </c>
      <c r="AH221">
        <f t="shared" si="35"/>
        <v>108</v>
      </c>
      <c r="AI221">
        <f t="shared" si="36"/>
        <v>0</v>
      </c>
      <c r="AK221">
        <f t="shared" si="37"/>
        <v>9</v>
      </c>
      <c r="AL221">
        <v>10.49</v>
      </c>
      <c r="AM221" t="s">
        <v>27</v>
      </c>
      <c r="AN221">
        <v>10.49</v>
      </c>
      <c r="AO221" t="b">
        <f t="shared" si="38"/>
        <v>1</v>
      </c>
      <c r="AR221" t="s">
        <v>5061</v>
      </c>
      <c r="AS221" s="21">
        <v>46276</v>
      </c>
      <c r="AT221" t="s">
        <v>5062</v>
      </c>
      <c r="AU221" t="s">
        <v>5069</v>
      </c>
      <c r="AV221" t="s">
        <v>5062</v>
      </c>
      <c r="AW221" t="s">
        <v>5086</v>
      </c>
    </row>
    <row r="222" spans="1:49" hidden="1" x14ac:dyDescent="0.35">
      <c r="A222" t="s">
        <v>871</v>
      </c>
      <c r="B222" t="s">
        <v>872</v>
      </c>
      <c r="C222" t="s">
        <v>4818</v>
      </c>
      <c r="D222" t="s">
        <v>18</v>
      </c>
      <c r="E222" t="s">
        <v>1349</v>
      </c>
      <c r="F222" t="s">
        <v>1350</v>
      </c>
      <c r="G222" t="s">
        <v>21</v>
      </c>
      <c r="H222" t="s">
        <v>4888</v>
      </c>
      <c r="I222" t="s">
        <v>4906</v>
      </c>
      <c r="J222" s="4" t="s">
        <v>4907</v>
      </c>
      <c r="K222" s="4" t="s">
        <v>4908</v>
      </c>
      <c r="L222" s="4" t="s">
        <v>4863</v>
      </c>
      <c r="M222" s="4" t="s">
        <v>5035</v>
      </c>
      <c r="N222" t="s">
        <v>1351</v>
      </c>
      <c r="O222" t="s">
        <v>1352</v>
      </c>
      <c r="P222" t="s">
        <v>23</v>
      </c>
      <c r="Q222" t="s">
        <v>24</v>
      </c>
      <c r="R222" t="s">
        <v>25</v>
      </c>
      <c r="S222" t="s">
        <v>26</v>
      </c>
      <c r="T222" s="6">
        <v>46307</v>
      </c>
      <c r="U222">
        <v>120</v>
      </c>
      <c r="V222">
        <v>120</v>
      </c>
      <c r="W222">
        <v>132</v>
      </c>
      <c r="X222">
        <v>132</v>
      </c>
      <c r="Y222">
        <f t="shared" si="33"/>
        <v>0</v>
      </c>
      <c r="Z222">
        <f t="shared" si="34"/>
        <v>-12</v>
      </c>
      <c r="AC222" s="1">
        <v>0</v>
      </c>
      <c r="AF222">
        <f>V222</f>
        <v>120</v>
      </c>
      <c r="AG222" s="41">
        <v>12</v>
      </c>
      <c r="AH222">
        <f t="shared" si="35"/>
        <v>120</v>
      </c>
      <c r="AI222">
        <f t="shared" si="36"/>
        <v>0</v>
      </c>
      <c r="AK222">
        <f t="shared" si="37"/>
        <v>10</v>
      </c>
      <c r="AL222">
        <v>10.19</v>
      </c>
      <c r="AM222" t="s">
        <v>27</v>
      </c>
      <c r="AN222">
        <v>10.19</v>
      </c>
      <c r="AO222" t="b">
        <f t="shared" si="38"/>
        <v>1</v>
      </c>
      <c r="AR222" t="s">
        <v>5061</v>
      </c>
      <c r="AS222" s="21">
        <v>46276</v>
      </c>
      <c r="AT222" t="s">
        <v>5062</v>
      </c>
      <c r="AU222" t="s">
        <v>5070</v>
      </c>
      <c r="AV222" t="s">
        <v>5062</v>
      </c>
      <c r="AW222" t="s">
        <v>5086</v>
      </c>
    </row>
    <row r="223" spans="1:49" hidden="1" x14ac:dyDescent="0.35">
      <c r="A223" t="s">
        <v>871</v>
      </c>
      <c r="B223" t="s">
        <v>872</v>
      </c>
      <c r="C223" t="s">
        <v>4818</v>
      </c>
      <c r="D223" t="s">
        <v>18</v>
      </c>
      <c r="E223" t="s">
        <v>1353</v>
      </c>
      <c r="F223" t="s">
        <v>1354</v>
      </c>
      <c r="G223" t="s">
        <v>21</v>
      </c>
      <c r="H223" t="s">
        <v>4888</v>
      </c>
      <c r="I223" t="s">
        <v>4906</v>
      </c>
      <c r="J223" s="4" t="s">
        <v>4907</v>
      </c>
      <c r="K223" s="4" t="s">
        <v>4908</v>
      </c>
      <c r="L223" s="4" t="s">
        <v>4900</v>
      </c>
      <c r="M223" s="4" t="s">
        <v>5035</v>
      </c>
      <c r="N223" t="s">
        <v>1355</v>
      </c>
      <c r="O223" t="s">
        <v>1356</v>
      </c>
      <c r="P223" t="s">
        <v>23</v>
      </c>
      <c r="Q223" t="s">
        <v>24</v>
      </c>
      <c r="R223" t="s">
        <v>25</v>
      </c>
      <c r="S223" t="s">
        <v>26</v>
      </c>
      <c r="T223" s="6">
        <v>46307</v>
      </c>
      <c r="U223">
        <v>72</v>
      </c>
      <c r="V223">
        <v>72</v>
      </c>
      <c r="W223">
        <v>72</v>
      </c>
      <c r="X223">
        <v>72</v>
      </c>
      <c r="Y223">
        <f t="shared" si="33"/>
        <v>0</v>
      </c>
      <c r="Z223">
        <f t="shared" si="34"/>
        <v>0</v>
      </c>
      <c r="AC223" s="1">
        <v>0</v>
      </c>
      <c r="AF223">
        <f>V223</f>
        <v>72</v>
      </c>
      <c r="AG223" s="41">
        <v>12</v>
      </c>
      <c r="AH223">
        <f t="shared" si="35"/>
        <v>72</v>
      </c>
      <c r="AI223">
        <f t="shared" si="36"/>
        <v>0</v>
      </c>
      <c r="AK223">
        <f t="shared" si="37"/>
        <v>6</v>
      </c>
      <c r="AL223">
        <v>10.19</v>
      </c>
      <c r="AM223" t="s">
        <v>27</v>
      </c>
      <c r="AN223">
        <v>10.19</v>
      </c>
      <c r="AO223" t="b">
        <f t="shared" si="38"/>
        <v>1</v>
      </c>
      <c r="AR223" t="s">
        <v>5061</v>
      </c>
      <c r="AS223" s="21">
        <v>46276</v>
      </c>
      <c r="AT223" t="s">
        <v>5062</v>
      </c>
      <c r="AU223" t="s">
        <v>5070</v>
      </c>
      <c r="AV223" t="s">
        <v>5062</v>
      </c>
      <c r="AW223" t="s">
        <v>5086</v>
      </c>
    </row>
    <row r="224" spans="1:49" hidden="1" x14ac:dyDescent="0.35">
      <c r="A224" t="s">
        <v>871</v>
      </c>
      <c r="B224" t="s">
        <v>872</v>
      </c>
      <c r="C224" t="s">
        <v>4818</v>
      </c>
      <c r="D224" t="s">
        <v>18</v>
      </c>
      <c r="E224" t="s">
        <v>1357</v>
      </c>
      <c r="F224" t="s">
        <v>1358</v>
      </c>
      <c r="G224" t="s">
        <v>21</v>
      </c>
      <c r="H224" t="s">
        <v>4888</v>
      </c>
      <c r="I224" t="s">
        <v>4893</v>
      </c>
      <c r="J224" s="4" t="s">
        <v>4894</v>
      </c>
      <c r="K224" s="4" t="s">
        <v>4913</v>
      </c>
      <c r="L224" s="4" t="s">
        <v>4880</v>
      </c>
      <c r="M224" s="4" t="s">
        <v>5035</v>
      </c>
      <c r="N224" t="s">
        <v>1359</v>
      </c>
      <c r="O224" t="s">
        <v>1360</v>
      </c>
      <c r="P224" t="s">
        <v>23</v>
      </c>
      <c r="Q224" t="s">
        <v>24</v>
      </c>
      <c r="R224" t="s">
        <v>25</v>
      </c>
      <c r="S224" t="s">
        <v>26</v>
      </c>
      <c r="T224" s="6">
        <v>46307</v>
      </c>
      <c r="U224">
        <v>36</v>
      </c>
      <c r="V224">
        <v>36</v>
      </c>
      <c r="W224">
        <v>36</v>
      </c>
      <c r="X224">
        <v>36</v>
      </c>
      <c r="Y224">
        <f t="shared" si="33"/>
        <v>0</v>
      </c>
      <c r="Z224">
        <f t="shared" si="34"/>
        <v>0</v>
      </c>
      <c r="AC224" s="1">
        <v>0</v>
      </c>
      <c r="AF224">
        <f>V224</f>
        <v>36</v>
      </c>
      <c r="AG224" s="41">
        <v>12</v>
      </c>
      <c r="AH224">
        <f t="shared" si="35"/>
        <v>36</v>
      </c>
      <c r="AI224">
        <f t="shared" si="36"/>
        <v>0</v>
      </c>
      <c r="AK224">
        <f t="shared" si="37"/>
        <v>3</v>
      </c>
      <c r="AL224">
        <v>9.9499999999999993</v>
      </c>
      <c r="AM224" t="s">
        <v>27</v>
      </c>
      <c r="AN224">
        <v>9.9499999999999993</v>
      </c>
      <c r="AO224" t="b">
        <f t="shared" si="38"/>
        <v>1</v>
      </c>
      <c r="AR224" t="s">
        <v>5061</v>
      </c>
      <c r="AS224" s="21">
        <v>46276</v>
      </c>
      <c r="AT224" t="s">
        <v>5062</v>
      </c>
      <c r="AU224" t="s">
        <v>5068</v>
      </c>
      <c r="AV224" t="s">
        <v>5062</v>
      </c>
      <c r="AW224" t="s">
        <v>5086</v>
      </c>
    </row>
    <row r="225" spans="1:49" hidden="1" x14ac:dyDescent="0.35">
      <c r="A225" t="s">
        <v>871</v>
      </c>
      <c r="B225" t="s">
        <v>872</v>
      </c>
      <c r="C225" t="s">
        <v>4818</v>
      </c>
      <c r="D225" t="s">
        <v>18</v>
      </c>
      <c r="E225" t="s">
        <v>1361</v>
      </c>
      <c r="F225" t="s">
        <v>1362</v>
      </c>
      <c r="G225" t="s">
        <v>21</v>
      </c>
      <c r="H225" t="s">
        <v>4888</v>
      </c>
      <c r="I225" t="s">
        <v>4893</v>
      </c>
      <c r="J225" s="4" t="s">
        <v>4894</v>
      </c>
      <c r="K225" s="4" t="s">
        <v>4837</v>
      </c>
      <c r="L225" s="4" t="s">
        <v>4884</v>
      </c>
      <c r="M225" s="4" t="s">
        <v>5035</v>
      </c>
      <c r="N225" t="s">
        <v>1363</v>
      </c>
      <c r="O225" t="s">
        <v>1364</v>
      </c>
      <c r="P225" t="s">
        <v>23</v>
      </c>
      <c r="Q225" t="s">
        <v>24</v>
      </c>
      <c r="R225" t="s">
        <v>25</v>
      </c>
      <c r="S225" t="s">
        <v>26</v>
      </c>
      <c r="T225" s="6">
        <v>46307</v>
      </c>
      <c r="U225">
        <v>156</v>
      </c>
      <c r="V225">
        <v>156</v>
      </c>
      <c r="W225">
        <v>144</v>
      </c>
      <c r="X225">
        <v>144</v>
      </c>
      <c r="Y225">
        <f t="shared" si="33"/>
        <v>0</v>
      </c>
      <c r="Z225">
        <f t="shared" si="34"/>
        <v>12</v>
      </c>
      <c r="AA225">
        <f t="shared" ref="AA225:AA227" si="41">Z225</f>
        <v>12</v>
      </c>
      <c r="AC225" s="1">
        <v>0</v>
      </c>
      <c r="AF225">
        <f>X225</f>
        <v>144</v>
      </c>
      <c r="AG225" s="41">
        <v>12</v>
      </c>
      <c r="AH225">
        <f t="shared" si="35"/>
        <v>144</v>
      </c>
      <c r="AI225">
        <f t="shared" si="36"/>
        <v>12</v>
      </c>
      <c r="AK225">
        <f t="shared" si="37"/>
        <v>12</v>
      </c>
      <c r="AL225">
        <v>10.06</v>
      </c>
      <c r="AM225" t="s">
        <v>27</v>
      </c>
      <c r="AN225">
        <v>10.06</v>
      </c>
      <c r="AO225" t="b">
        <f t="shared" si="38"/>
        <v>1</v>
      </c>
      <c r="AR225" t="s">
        <v>5061</v>
      </c>
      <c r="AS225" s="21">
        <v>46276</v>
      </c>
      <c r="AT225" t="s">
        <v>5062</v>
      </c>
      <c r="AU225" t="s">
        <v>5068</v>
      </c>
      <c r="AV225" t="s">
        <v>5062</v>
      </c>
      <c r="AW225" t="s">
        <v>5086</v>
      </c>
    </row>
    <row r="226" spans="1:49" hidden="1" x14ac:dyDescent="0.35">
      <c r="A226" t="s">
        <v>871</v>
      </c>
      <c r="B226" t="s">
        <v>872</v>
      </c>
      <c r="C226" t="s">
        <v>4818</v>
      </c>
      <c r="D226" t="s">
        <v>18</v>
      </c>
      <c r="E226" t="s">
        <v>1365</v>
      </c>
      <c r="F226" t="s">
        <v>1366</v>
      </c>
      <c r="G226" t="s">
        <v>21</v>
      </c>
      <c r="H226" t="s">
        <v>4888</v>
      </c>
      <c r="I226" t="s">
        <v>4893</v>
      </c>
      <c r="J226" s="4" t="s">
        <v>4894</v>
      </c>
      <c r="K226" s="4" t="s">
        <v>4837</v>
      </c>
      <c r="L226" s="4" t="s">
        <v>4926</v>
      </c>
      <c r="M226" s="4" t="s">
        <v>5035</v>
      </c>
      <c r="N226" t="s">
        <v>1367</v>
      </c>
      <c r="O226" t="s">
        <v>1368</v>
      </c>
      <c r="P226" t="s">
        <v>23</v>
      </c>
      <c r="Q226" t="s">
        <v>24</v>
      </c>
      <c r="R226" t="s">
        <v>25</v>
      </c>
      <c r="S226" t="s">
        <v>26</v>
      </c>
      <c r="T226" s="6">
        <v>46307</v>
      </c>
      <c r="U226">
        <v>48</v>
      </c>
      <c r="V226">
        <v>48</v>
      </c>
      <c r="W226">
        <v>36</v>
      </c>
      <c r="X226">
        <v>36</v>
      </c>
      <c r="Y226">
        <f t="shared" si="33"/>
        <v>0</v>
      </c>
      <c r="Z226">
        <f t="shared" si="34"/>
        <v>12</v>
      </c>
      <c r="AA226">
        <f t="shared" si="41"/>
        <v>12</v>
      </c>
      <c r="AC226" s="1">
        <v>0</v>
      </c>
      <c r="AF226">
        <f>X226</f>
        <v>36</v>
      </c>
      <c r="AG226" s="41">
        <v>12</v>
      </c>
      <c r="AH226">
        <f t="shared" si="35"/>
        <v>36</v>
      </c>
      <c r="AI226">
        <f t="shared" si="36"/>
        <v>12</v>
      </c>
      <c r="AK226">
        <f t="shared" si="37"/>
        <v>3</v>
      </c>
      <c r="AL226">
        <v>10.06</v>
      </c>
      <c r="AM226" t="s">
        <v>27</v>
      </c>
      <c r="AN226">
        <v>10.06</v>
      </c>
      <c r="AO226" t="b">
        <f t="shared" si="38"/>
        <v>1</v>
      </c>
      <c r="AR226" t="s">
        <v>5061</v>
      </c>
      <c r="AS226" s="21">
        <v>46276</v>
      </c>
      <c r="AT226" t="s">
        <v>5062</v>
      </c>
      <c r="AU226" t="s">
        <v>5068</v>
      </c>
      <c r="AV226" t="s">
        <v>5062</v>
      </c>
      <c r="AW226" t="s">
        <v>5086</v>
      </c>
    </row>
    <row r="227" spans="1:49" hidden="1" x14ac:dyDescent="0.35">
      <c r="A227" t="s">
        <v>871</v>
      </c>
      <c r="B227" t="s">
        <v>872</v>
      </c>
      <c r="C227" t="s">
        <v>4818</v>
      </c>
      <c r="D227" t="s">
        <v>18</v>
      </c>
      <c r="E227" t="s">
        <v>1369</v>
      </c>
      <c r="F227" t="s">
        <v>1370</v>
      </c>
      <c r="G227" t="s">
        <v>21</v>
      </c>
      <c r="H227" t="s">
        <v>4888</v>
      </c>
      <c r="I227" t="s">
        <v>4893</v>
      </c>
      <c r="J227" s="4" t="s">
        <v>4894</v>
      </c>
      <c r="K227" s="4" t="s">
        <v>4837</v>
      </c>
      <c r="L227" s="4" t="s">
        <v>4932</v>
      </c>
      <c r="M227" s="4" t="s">
        <v>5035</v>
      </c>
      <c r="N227" t="s">
        <v>1371</v>
      </c>
      <c r="O227" t="s">
        <v>1372</v>
      </c>
      <c r="P227" t="s">
        <v>23</v>
      </c>
      <c r="Q227" t="s">
        <v>24</v>
      </c>
      <c r="R227" t="s">
        <v>25</v>
      </c>
      <c r="S227" t="s">
        <v>26</v>
      </c>
      <c r="T227" s="6">
        <v>46307</v>
      </c>
      <c r="U227">
        <v>72</v>
      </c>
      <c r="V227">
        <v>72</v>
      </c>
      <c r="W227">
        <v>60</v>
      </c>
      <c r="X227">
        <v>60</v>
      </c>
      <c r="Y227">
        <f t="shared" si="33"/>
        <v>0</v>
      </c>
      <c r="Z227">
        <f t="shared" si="34"/>
        <v>12</v>
      </c>
      <c r="AA227">
        <f t="shared" si="41"/>
        <v>12</v>
      </c>
      <c r="AC227" s="1">
        <v>0</v>
      </c>
      <c r="AF227">
        <f>X227</f>
        <v>60</v>
      </c>
      <c r="AG227" s="41">
        <v>12</v>
      </c>
      <c r="AH227">
        <f t="shared" si="35"/>
        <v>60</v>
      </c>
      <c r="AI227">
        <f t="shared" si="36"/>
        <v>12</v>
      </c>
      <c r="AK227">
        <f t="shared" si="37"/>
        <v>5</v>
      </c>
      <c r="AL227">
        <v>10.06</v>
      </c>
      <c r="AM227" t="s">
        <v>27</v>
      </c>
      <c r="AN227">
        <v>10.06</v>
      </c>
      <c r="AO227" t="b">
        <f t="shared" si="38"/>
        <v>1</v>
      </c>
      <c r="AR227" t="s">
        <v>5061</v>
      </c>
      <c r="AS227" s="21">
        <v>46276</v>
      </c>
      <c r="AT227" t="s">
        <v>5062</v>
      </c>
      <c r="AU227" t="s">
        <v>5068</v>
      </c>
      <c r="AV227" t="s">
        <v>5062</v>
      </c>
      <c r="AW227" t="s">
        <v>5086</v>
      </c>
    </row>
    <row r="228" spans="1:49" hidden="1" x14ac:dyDescent="0.35">
      <c r="A228" t="s">
        <v>871</v>
      </c>
      <c r="B228" t="s">
        <v>872</v>
      </c>
      <c r="C228" t="s">
        <v>4818</v>
      </c>
      <c r="D228" t="s">
        <v>18</v>
      </c>
      <c r="E228" t="s">
        <v>1373</v>
      </c>
      <c r="F228" t="s">
        <v>1374</v>
      </c>
      <c r="G228" t="s">
        <v>21</v>
      </c>
      <c r="H228" t="s">
        <v>4888</v>
      </c>
      <c r="I228" t="s">
        <v>4893</v>
      </c>
      <c r="J228" s="4" t="s">
        <v>4894</v>
      </c>
      <c r="K228" s="4" t="s">
        <v>4904</v>
      </c>
      <c r="L228" s="4" t="s">
        <v>4863</v>
      </c>
      <c r="M228" s="4" t="s">
        <v>5035</v>
      </c>
      <c r="N228" t="s">
        <v>1375</v>
      </c>
      <c r="O228" t="s">
        <v>1376</v>
      </c>
      <c r="P228" t="s">
        <v>23</v>
      </c>
      <c r="Q228" t="s">
        <v>24</v>
      </c>
      <c r="R228" t="s">
        <v>25</v>
      </c>
      <c r="S228" t="s">
        <v>26</v>
      </c>
      <c r="T228" s="6">
        <v>46307</v>
      </c>
      <c r="U228">
        <v>12</v>
      </c>
      <c r="V228">
        <v>12</v>
      </c>
      <c r="W228">
        <v>12</v>
      </c>
      <c r="X228">
        <v>12</v>
      </c>
      <c r="Y228">
        <f t="shared" si="33"/>
        <v>0</v>
      </c>
      <c r="Z228">
        <f t="shared" si="34"/>
        <v>0</v>
      </c>
      <c r="AC228" s="1">
        <v>0</v>
      </c>
      <c r="AF228">
        <f>V228</f>
        <v>12</v>
      </c>
      <c r="AG228" s="41">
        <v>12</v>
      </c>
      <c r="AH228">
        <f t="shared" si="35"/>
        <v>12</v>
      </c>
      <c r="AI228">
        <f t="shared" si="36"/>
        <v>0</v>
      </c>
      <c r="AK228">
        <f t="shared" si="37"/>
        <v>1</v>
      </c>
      <c r="AL228">
        <v>10.16</v>
      </c>
      <c r="AM228" t="s">
        <v>27</v>
      </c>
      <c r="AN228">
        <v>10.16</v>
      </c>
      <c r="AO228" t="b">
        <f t="shared" si="38"/>
        <v>1</v>
      </c>
      <c r="AR228" t="s">
        <v>5061</v>
      </c>
      <c r="AS228" s="21">
        <v>46276</v>
      </c>
      <c r="AT228" t="s">
        <v>5062</v>
      </c>
      <c r="AU228" t="s">
        <v>5068</v>
      </c>
      <c r="AV228" t="s">
        <v>5062</v>
      </c>
      <c r="AW228" t="s">
        <v>5086</v>
      </c>
    </row>
    <row r="229" spans="1:49" hidden="1" x14ac:dyDescent="0.35">
      <c r="A229" t="s">
        <v>871</v>
      </c>
      <c r="B229" t="s">
        <v>872</v>
      </c>
      <c r="C229" t="s">
        <v>4818</v>
      </c>
      <c r="D229" t="s">
        <v>18</v>
      </c>
      <c r="E229" t="s">
        <v>1377</v>
      </c>
      <c r="F229" t="s">
        <v>1378</v>
      </c>
      <c r="G229" t="s">
        <v>21</v>
      </c>
      <c r="H229" t="s">
        <v>4888</v>
      </c>
      <c r="I229" t="s">
        <v>4893</v>
      </c>
      <c r="J229" s="4" t="s">
        <v>4894</v>
      </c>
      <c r="K229" s="4" t="s">
        <v>4896</v>
      </c>
      <c r="L229" s="4" t="s">
        <v>4927</v>
      </c>
      <c r="M229" s="4" t="s">
        <v>5035</v>
      </c>
      <c r="N229" t="s">
        <v>1379</v>
      </c>
      <c r="O229" t="s">
        <v>1380</v>
      </c>
      <c r="P229" t="s">
        <v>23</v>
      </c>
      <c r="Q229" t="s">
        <v>24</v>
      </c>
      <c r="R229" t="s">
        <v>25</v>
      </c>
      <c r="S229" t="s">
        <v>26</v>
      </c>
      <c r="T229" s="6">
        <v>46307</v>
      </c>
      <c r="U229">
        <v>96</v>
      </c>
      <c r="V229">
        <v>96</v>
      </c>
      <c r="W229">
        <v>84</v>
      </c>
      <c r="X229">
        <v>84</v>
      </c>
      <c r="Y229">
        <f t="shared" si="33"/>
        <v>0</v>
      </c>
      <c r="Z229">
        <f t="shared" si="34"/>
        <v>12</v>
      </c>
      <c r="AA229">
        <f t="shared" ref="AA229:AA230" si="42">Z229</f>
        <v>12</v>
      </c>
      <c r="AC229" s="1">
        <v>0</v>
      </c>
      <c r="AF229">
        <f>X229</f>
        <v>84</v>
      </c>
      <c r="AG229" s="41">
        <v>12</v>
      </c>
      <c r="AH229">
        <f t="shared" si="35"/>
        <v>84</v>
      </c>
      <c r="AI229">
        <f t="shared" si="36"/>
        <v>12</v>
      </c>
      <c r="AK229">
        <f t="shared" si="37"/>
        <v>7</v>
      </c>
      <c r="AL229">
        <v>10.220000000000001</v>
      </c>
      <c r="AM229" t="s">
        <v>27</v>
      </c>
      <c r="AN229">
        <v>10.220000000000001</v>
      </c>
      <c r="AO229" t="b">
        <f t="shared" si="38"/>
        <v>1</v>
      </c>
      <c r="AR229" t="s">
        <v>5061</v>
      </c>
      <c r="AS229" s="21">
        <v>46276</v>
      </c>
      <c r="AT229" t="s">
        <v>5062</v>
      </c>
      <c r="AU229" t="s">
        <v>5068</v>
      </c>
      <c r="AV229" t="s">
        <v>5062</v>
      </c>
      <c r="AW229" t="s">
        <v>5086</v>
      </c>
    </row>
    <row r="230" spans="1:49" hidden="1" x14ac:dyDescent="0.35">
      <c r="A230" t="s">
        <v>871</v>
      </c>
      <c r="B230" t="s">
        <v>872</v>
      </c>
      <c r="C230" t="s">
        <v>4818</v>
      </c>
      <c r="D230" t="s">
        <v>18</v>
      </c>
      <c r="E230" t="s">
        <v>1381</v>
      </c>
      <c r="F230" t="s">
        <v>1382</v>
      </c>
      <c r="G230" t="s">
        <v>21</v>
      </c>
      <c r="H230" t="s">
        <v>4888</v>
      </c>
      <c r="I230" t="s">
        <v>4893</v>
      </c>
      <c r="J230" s="4" t="s">
        <v>4894</v>
      </c>
      <c r="K230" s="4" t="s">
        <v>4896</v>
      </c>
      <c r="L230" s="4" t="s">
        <v>4898</v>
      </c>
      <c r="M230" s="4" t="s">
        <v>5035</v>
      </c>
      <c r="N230" t="s">
        <v>1383</v>
      </c>
      <c r="O230" t="s">
        <v>1384</v>
      </c>
      <c r="P230" t="s">
        <v>23</v>
      </c>
      <c r="Q230" t="s">
        <v>24</v>
      </c>
      <c r="R230" t="s">
        <v>25</v>
      </c>
      <c r="S230" t="s">
        <v>26</v>
      </c>
      <c r="T230" s="6">
        <v>46307</v>
      </c>
      <c r="U230">
        <v>108</v>
      </c>
      <c r="V230">
        <v>108</v>
      </c>
      <c r="W230">
        <v>96</v>
      </c>
      <c r="X230">
        <v>96</v>
      </c>
      <c r="Y230">
        <f t="shared" si="33"/>
        <v>0</v>
      </c>
      <c r="Z230">
        <f t="shared" si="34"/>
        <v>12</v>
      </c>
      <c r="AA230">
        <f t="shared" si="42"/>
        <v>12</v>
      </c>
      <c r="AC230" s="1">
        <v>0</v>
      </c>
      <c r="AF230">
        <f>X230</f>
        <v>96</v>
      </c>
      <c r="AG230" s="41">
        <v>12</v>
      </c>
      <c r="AH230">
        <f t="shared" si="35"/>
        <v>96</v>
      </c>
      <c r="AI230">
        <f t="shared" si="36"/>
        <v>12</v>
      </c>
      <c r="AK230">
        <f t="shared" si="37"/>
        <v>8</v>
      </c>
      <c r="AL230">
        <v>10.220000000000001</v>
      </c>
      <c r="AM230" t="s">
        <v>27</v>
      </c>
      <c r="AN230">
        <v>10.220000000000001</v>
      </c>
      <c r="AO230" t="b">
        <f t="shared" si="38"/>
        <v>1</v>
      </c>
      <c r="AR230" t="s">
        <v>5061</v>
      </c>
      <c r="AS230" s="21">
        <v>46276</v>
      </c>
      <c r="AT230" t="s">
        <v>5062</v>
      </c>
      <c r="AU230" t="s">
        <v>5068</v>
      </c>
      <c r="AV230" t="s">
        <v>5062</v>
      </c>
      <c r="AW230" t="s">
        <v>5086</v>
      </c>
    </row>
    <row r="231" spans="1:49" hidden="1" x14ac:dyDescent="0.35">
      <c r="A231" t="s">
        <v>871</v>
      </c>
      <c r="B231" t="s">
        <v>872</v>
      </c>
      <c r="C231" t="s">
        <v>4818</v>
      </c>
      <c r="D231" t="s">
        <v>18</v>
      </c>
      <c r="E231" t="s">
        <v>1385</v>
      </c>
      <c r="F231" t="s">
        <v>1386</v>
      </c>
      <c r="G231" t="s">
        <v>21</v>
      </c>
      <c r="H231" t="s">
        <v>4888</v>
      </c>
      <c r="I231" t="s">
        <v>4889</v>
      </c>
      <c r="J231" s="4" t="s">
        <v>4890</v>
      </c>
      <c r="K231" s="4" t="s">
        <v>4911</v>
      </c>
      <c r="L231" s="4" t="s">
        <v>4905</v>
      </c>
      <c r="M231" s="4" t="s">
        <v>5035</v>
      </c>
      <c r="N231" t="s">
        <v>1387</v>
      </c>
      <c r="O231" t="s">
        <v>1388</v>
      </c>
      <c r="P231" t="s">
        <v>23</v>
      </c>
      <c r="Q231" t="s">
        <v>24</v>
      </c>
      <c r="R231" t="s">
        <v>25</v>
      </c>
      <c r="S231" t="s">
        <v>26</v>
      </c>
      <c r="T231" s="6">
        <v>46307</v>
      </c>
      <c r="U231">
        <v>60</v>
      </c>
      <c r="V231">
        <v>60</v>
      </c>
      <c r="W231">
        <v>60</v>
      </c>
      <c r="X231">
        <v>60</v>
      </c>
      <c r="Y231">
        <f t="shared" si="33"/>
        <v>0</v>
      </c>
      <c r="Z231">
        <f t="shared" si="34"/>
        <v>0</v>
      </c>
      <c r="AC231" s="1">
        <v>0</v>
      </c>
      <c r="AF231">
        <f>V231</f>
        <v>60</v>
      </c>
      <c r="AG231" s="41">
        <v>12</v>
      </c>
      <c r="AH231">
        <f t="shared" si="35"/>
        <v>60</v>
      </c>
      <c r="AI231">
        <f t="shared" si="36"/>
        <v>0</v>
      </c>
      <c r="AK231">
        <f t="shared" si="37"/>
        <v>5</v>
      </c>
      <c r="AL231">
        <v>11.87</v>
      </c>
      <c r="AM231" t="s">
        <v>27</v>
      </c>
      <c r="AN231">
        <v>11.87</v>
      </c>
      <c r="AO231" t="b">
        <f t="shared" si="38"/>
        <v>1</v>
      </c>
      <c r="AR231" t="s">
        <v>5061</v>
      </c>
      <c r="AS231" s="21">
        <v>46276</v>
      </c>
      <c r="AT231" t="s">
        <v>5062</v>
      </c>
      <c r="AU231" t="s">
        <v>5067</v>
      </c>
      <c r="AV231" t="s">
        <v>5062</v>
      </c>
      <c r="AW231" t="s">
        <v>5086</v>
      </c>
    </row>
    <row r="232" spans="1:49" hidden="1" x14ac:dyDescent="0.35">
      <c r="A232" t="s">
        <v>871</v>
      </c>
      <c r="B232" t="s">
        <v>872</v>
      </c>
      <c r="C232" t="s">
        <v>4818</v>
      </c>
      <c r="D232" t="s">
        <v>18</v>
      </c>
      <c r="E232" t="s">
        <v>1389</v>
      </c>
      <c r="F232" t="s">
        <v>1390</v>
      </c>
      <c r="G232" t="s">
        <v>21</v>
      </c>
      <c r="H232" t="s">
        <v>4888</v>
      </c>
      <c r="I232" t="s">
        <v>4889</v>
      </c>
      <c r="J232" s="4" t="s">
        <v>4890</v>
      </c>
      <c r="K232" s="4" t="s">
        <v>4911</v>
      </c>
      <c r="L232" s="4" t="s">
        <v>4880</v>
      </c>
      <c r="M232" s="4" t="s">
        <v>5035</v>
      </c>
      <c r="N232" t="s">
        <v>1391</v>
      </c>
      <c r="O232" t="s">
        <v>1392</v>
      </c>
      <c r="P232" t="s">
        <v>23</v>
      </c>
      <c r="Q232" t="s">
        <v>24</v>
      </c>
      <c r="R232" t="s">
        <v>25</v>
      </c>
      <c r="S232" t="s">
        <v>26</v>
      </c>
      <c r="T232" s="6">
        <v>46307</v>
      </c>
      <c r="U232">
        <v>120</v>
      </c>
      <c r="V232">
        <v>120</v>
      </c>
      <c r="W232">
        <v>120</v>
      </c>
      <c r="X232">
        <v>120</v>
      </c>
      <c r="Y232">
        <f t="shared" si="33"/>
        <v>0</v>
      </c>
      <c r="Z232">
        <f t="shared" si="34"/>
        <v>0</v>
      </c>
      <c r="AC232" s="1">
        <v>0</v>
      </c>
      <c r="AF232">
        <f>V232</f>
        <v>120</v>
      </c>
      <c r="AG232" s="41">
        <v>12</v>
      </c>
      <c r="AH232">
        <f t="shared" si="35"/>
        <v>120</v>
      </c>
      <c r="AI232">
        <f t="shared" si="36"/>
        <v>0</v>
      </c>
      <c r="AK232">
        <f t="shared" si="37"/>
        <v>10</v>
      </c>
      <c r="AL232">
        <v>11.87</v>
      </c>
      <c r="AM232" t="s">
        <v>27</v>
      </c>
      <c r="AN232">
        <v>11.87</v>
      </c>
      <c r="AO232" t="b">
        <f t="shared" si="38"/>
        <v>1</v>
      </c>
      <c r="AR232" t="s">
        <v>5061</v>
      </c>
      <c r="AS232" s="21">
        <v>46276</v>
      </c>
      <c r="AT232" t="s">
        <v>5062</v>
      </c>
      <c r="AU232" t="s">
        <v>5067</v>
      </c>
      <c r="AV232" t="s">
        <v>5062</v>
      </c>
      <c r="AW232" t="s">
        <v>5086</v>
      </c>
    </row>
    <row r="233" spans="1:49" hidden="1" x14ac:dyDescent="0.35">
      <c r="A233" t="s">
        <v>871</v>
      </c>
      <c r="B233" t="s">
        <v>872</v>
      </c>
      <c r="C233" t="s">
        <v>4818</v>
      </c>
      <c r="D233" t="s">
        <v>18</v>
      </c>
      <c r="E233" t="s">
        <v>1393</v>
      </c>
      <c r="F233" t="s">
        <v>1394</v>
      </c>
      <c r="G233" t="s">
        <v>21</v>
      </c>
      <c r="H233" t="s">
        <v>4888</v>
      </c>
      <c r="I233" t="s">
        <v>4889</v>
      </c>
      <c r="J233" s="4" t="s">
        <v>4890</v>
      </c>
      <c r="K233" s="4" t="s">
        <v>4899</v>
      </c>
      <c r="L233" s="4" t="s">
        <v>4933</v>
      </c>
      <c r="M233" s="4" t="s">
        <v>5035</v>
      </c>
      <c r="N233" t="s">
        <v>1395</v>
      </c>
      <c r="O233" t="s">
        <v>1396</v>
      </c>
      <c r="P233" t="s">
        <v>23</v>
      </c>
      <c r="Q233" t="s">
        <v>24</v>
      </c>
      <c r="R233" t="s">
        <v>25</v>
      </c>
      <c r="S233" t="s">
        <v>26</v>
      </c>
      <c r="T233" s="6">
        <v>46307</v>
      </c>
      <c r="U233">
        <v>96</v>
      </c>
      <c r="V233">
        <v>96</v>
      </c>
      <c r="W233">
        <v>84</v>
      </c>
      <c r="X233">
        <v>84</v>
      </c>
      <c r="Y233">
        <f t="shared" si="33"/>
        <v>0</v>
      </c>
      <c r="Z233">
        <f t="shared" si="34"/>
        <v>12</v>
      </c>
      <c r="AA233">
        <f>Z233</f>
        <v>12</v>
      </c>
      <c r="AC233" s="1">
        <v>0</v>
      </c>
      <c r="AF233">
        <f>X233</f>
        <v>84</v>
      </c>
      <c r="AG233" s="41">
        <v>12</v>
      </c>
      <c r="AH233">
        <f t="shared" si="35"/>
        <v>84</v>
      </c>
      <c r="AI233">
        <f t="shared" si="36"/>
        <v>12</v>
      </c>
      <c r="AK233">
        <f t="shared" si="37"/>
        <v>7</v>
      </c>
      <c r="AL233">
        <v>10.9</v>
      </c>
      <c r="AM233" t="s">
        <v>27</v>
      </c>
      <c r="AN233">
        <v>10.9</v>
      </c>
      <c r="AO233" t="b">
        <f t="shared" si="38"/>
        <v>1</v>
      </c>
      <c r="AR233" t="s">
        <v>5061</v>
      </c>
      <c r="AS233" s="21">
        <v>46276</v>
      </c>
      <c r="AT233" t="s">
        <v>5062</v>
      </c>
      <c r="AU233" t="s">
        <v>5067</v>
      </c>
      <c r="AV233" t="s">
        <v>5062</v>
      </c>
      <c r="AW233" t="s">
        <v>5086</v>
      </c>
    </row>
    <row r="234" spans="1:49" hidden="1" x14ac:dyDescent="0.35">
      <c r="A234" t="s">
        <v>871</v>
      </c>
      <c r="B234" t="s">
        <v>872</v>
      </c>
      <c r="C234" t="s">
        <v>4818</v>
      </c>
      <c r="D234" t="s">
        <v>18</v>
      </c>
      <c r="E234" t="s">
        <v>1397</v>
      </c>
      <c r="F234" t="s">
        <v>1398</v>
      </c>
      <c r="G234" t="s">
        <v>21</v>
      </c>
      <c r="H234" t="s">
        <v>4888</v>
      </c>
      <c r="I234" t="s">
        <v>4906</v>
      </c>
      <c r="J234" s="4" t="s">
        <v>4907</v>
      </c>
      <c r="K234" s="4" t="s">
        <v>4908</v>
      </c>
      <c r="L234" s="4" t="s">
        <v>4853</v>
      </c>
      <c r="M234" s="4" t="s">
        <v>5035</v>
      </c>
      <c r="N234" t="s">
        <v>1399</v>
      </c>
      <c r="O234" t="s">
        <v>1400</v>
      </c>
      <c r="P234" t="s">
        <v>23</v>
      </c>
      <c r="Q234" t="s">
        <v>24</v>
      </c>
      <c r="R234" t="s">
        <v>25</v>
      </c>
      <c r="S234" t="s">
        <v>26</v>
      </c>
      <c r="T234" s="6">
        <v>46307</v>
      </c>
      <c r="U234">
        <v>132</v>
      </c>
      <c r="V234">
        <v>132</v>
      </c>
      <c r="W234">
        <v>144</v>
      </c>
      <c r="X234">
        <v>144</v>
      </c>
      <c r="Y234">
        <f t="shared" si="33"/>
        <v>0</v>
      </c>
      <c r="Z234">
        <f t="shared" si="34"/>
        <v>-12</v>
      </c>
      <c r="AC234" s="1">
        <v>0</v>
      </c>
      <c r="AF234">
        <f>V234</f>
        <v>132</v>
      </c>
      <c r="AG234" s="41">
        <v>12</v>
      </c>
      <c r="AH234">
        <f t="shared" si="35"/>
        <v>132</v>
      </c>
      <c r="AI234">
        <f t="shared" si="36"/>
        <v>0</v>
      </c>
      <c r="AK234">
        <f t="shared" si="37"/>
        <v>11</v>
      </c>
      <c r="AL234">
        <v>10.19</v>
      </c>
      <c r="AM234" t="s">
        <v>27</v>
      </c>
      <c r="AN234">
        <v>10.19</v>
      </c>
      <c r="AO234" t="b">
        <f t="shared" si="38"/>
        <v>1</v>
      </c>
      <c r="AR234" t="s">
        <v>5061</v>
      </c>
      <c r="AS234" s="21">
        <v>46276</v>
      </c>
      <c r="AT234" t="s">
        <v>5062</v>
      </c>
      <c r="AU234" t="s">
        <v>5070</v>
      </c>
      <c r="AV234" t="s">
        <v>5062</v>
      </c>
      <c r="AW234" t="s">
        <v>5086</v>
      </c>
    </row>
    <row r="235" spans="1:49" hidden="1" x14ac:dyDescent="0.35">
      <c r="A235" t="s">
        <v>871</v>
      </c>
      <c r="B235" t="s">
        <v>872</v>
      </c>
      <c r="C235" t="s">
        <v>4818</v>
      </c>
      <c r="D235" t="s">
        <v>18</v>
      </c>
      <c r="E235" t="s">
        <v>1401</v>
      </c>
      <c r="F235" t="s">
        <v>1402</v>
      </c>
      <c r="G235" t="s">
        <v>21</v>
      </c>
      <c r="H235" t="s">
        <v>4888</v>
      </c>
      <c r="I235" t="s">
        <v>4906</v>
      </c>
      <c r="J235" s="4" t="s">
        <v>4907</v>
      </c>
      <c r="K235" s="4" t="s">
        <v>4908</v>
      </c>
      <c r="L235" s="4" t="s">
        <v>4875</v>
      </c>
      <c r="M235" s="4" t="s">
        <v>5035</v>
      </c>
      <c r="N235" t="s">
        <v>1403</v>
      </c>
      <c r="O235" t="s">
        <v>1404</v>
      </c>
      <c r="P235" t="s">
        <v>23</v>
      </c>
      <c r="Q235" t="s">
        <v>24</v>
      </c>
      <c r="R235" t="s">
        <v>25</v>
      </c>
      <c r="S235" t="s">
        <v>26</v>
      </c>
      <c r="T235" s="6">
        <v>46307</v>
      </c>
      <c r="U235">
        <v>60</v>
      </c>
      <c r="V235">
        <v>60</v>
      </c>
      <c r="W235">
        <v>72</v>
      </c>
      <c r="X235">
        <v>72</v>
      </c>
      <c r="Y235">
        <f t="shared" si="33"/>
        <v>0</v>
      </c>
      <c r="Z235">
        <f t="shared" si="34"/>
        <v>-12</v>
      </c>
      <c r="AC235" s="1">
        <v>0</v>
      </c>
      <c r="AF235">
        <f>V235</f>
        <v>60</v>
      </c>
      <c r="AG235" s="41">
        <v>12</v>
      </c>
      <c r="AH235">
        <f t="shared" si="35"/>
        <v>60</v>
      </c>
      <c r="AI235">
        <f t="shared" si="36"/>
        <v>0</v>
      </c>
      <c r="AK235">
        <f t="shared" si="37"/>
        <v>5</v>
      </c>
      <c r="AL235">
        <v>10.19</v>
      </c>
      <c r="AM235" t="s">
        <v>27</v>
      </c>
      <c r="AN235">
        <v>10.19</v>
      </c>
      <c r="AO235" t="b">
        <f t="shared" si="38"/>
        <v>1</v>
      </c>
      <c r="AR235" t="s">
        <v>5061</v>
      </c>
      <c r="AS235" s="21">
        <v>46276</v>
      </c>
      <c r="AT235" t="s">
        <v>5062</v>
      </c>
      <c r="AU235" t="s">
        <v>5070</v>
      </c>
      <c r="AV235" t="s">
        <v>5062</v>
      </c>
      <c r="AW235" t="s">
        <v>5086</v>
      </c>
    </row>
    <row r="236" spans="1:49" hidden="1" x14ac:dyDescent="0.35">
      <c r="A236" t="s">
        <v>871</v>
      </c>
      <c r="B236" t="s">
        <v>872</v>
      </c>
      <c r="C236" t="s">
        <v>4818</v>
      </c>
      <c r="D236" t="s">
        <v>18</v>
      </c>
      <c r="E236" t="s">
        <v>1405</v>
      </c>
      <c r="F236" t="s">
        <v>1406</v>
      </c>
      <c r="G236" t="s">
        <v>21</v>
      </c>
      <c r="H236" t="s">
        <v>4888</v>
      </c>
      <c r="I236" t="s">
        <v>4906</v>
      </c>
      <c r="J236" s="4" t="s">
        <v>4907</v>
      </c>
      <c r="K236" s="4" t="s">
        <v>4908</v>
      </c>
      <c r="L236" s="4" t="s">
        <v>4873</v>
      </c>
      <c r="M236" s="4" t="s">
        <v>5035</v>
      </c>
      <c r="N236" t="s">
        <v>1407</v>
      </c>
      <c r="O236" t="s">
        <v>1408</v>
      </c>
      <c r="P236" t="s">
        <v>23</v>
      </c>
      <c r="Q236" t="s">
        <v>24</v>
      </c>
      <c r="R236" t="s">
        <v>25</v>
      </c>
      <c r="S236" t="s">
        <v>26</v>
      </c>
      <c r="T236" s="6">
        <v>46307</v>
      </c>
      <c r="U236">
        <v>108</v>
      </c>
      <c r="V236">
        <v>108</v>
      </c>
      <c r="W236">
        <v>120</v>
      </c>
      <c r="X236">
        <v>120</v>
      </c>
      <c r="Y236">
        <f t="shared" si="33"/>
        <v>0</v>
      </c>
      <c r="Z236">
        <f t="shared" si="34"/>
        <v>-12</v>
      </c>
      <c r="AC236" s="1"/>
      <c r="AF236">
        <f>V236</f>
        <v>108</v>
      </c>
      <c r="AG236" s="41">
        <v>12</v>
      </c>
      <c r="AH236">
        <f t="shared" si="35"/>
        <v>108</v>
      </c>
      <c r="AI236">
        <f t="shared" si="36"/>
        <v>0</v>
      </c>
      <c r="AK236">
        <f t="shared" si="37"/>
        <v>9</v>
      </c>
      <c r="AL236">
        <v>10.19</v>
      </c>
      <c r="AM236" t="s">
        <v>27</v>
      </c>
      <c r="AN236">
        <v>10.19</v>
      </c>
      <c r="AO236" t="b">
        <f t="shared" si="38"/>
        <v>1</v>
      </c>
      <c r="AR236" t="s">
        <v>5061</v>
      </c>
      <c r="AS236" s="21">
        <v>46276</v>
      </c>
      <c r="AT236" t="s">
        <v>5062</v>
      </c>
      <c r="AU236" t="s">
        <v>5070</v>
      </c>
      <c r="AV236" t="s">
        <v>5062</v>
      </c>
      <c r="AW236" t="s">
        <v>5086</v>
      </c>
    </row>
    <row r="237" spans="1:49" hidden="1" x14ac:dyDescent="0.35">
      <c r="A237" t="s">
        <v>871</v>
      </c>
      <c r="B237" t="s">
        <v>872</v>
      </c>
      <c r="C237" t="s">
        <v>4818</v>
      </c>
      <c r="D237" t="s">
        <v>18</v>
      </c>
      <c r="E237" t="s">
        <v>1409</v>
      </c>
      <c r="F237" t="s">
        <v>1410</v>
      </c>
      <c r="G237" t="s">
        <v>21</v>
      </c>
      <c r="H237" t="s">
        <v>4888</v>
      </c>
      <c r="I237" t="s">
        <v>4889</v>
      </c>
      <c r="J237" s="4" t="s">
        <v>4890</v>
      </c>
      <c r="K237" s="4" t="s">
        <v>4891</v>
      </c>
      <c r="L237" s="4" t="s">
        <v>4912</v>
      </c>
      <c r="M237" s="4" t="s">
        <v>5035</v>
      </c>
      <c r="N237" t="s">
        <v>1411</v>
      </c>
      <c r="O237" t="s">
        <v>1412</v>
      </c>
      <c r="P237" t="s">
        <v>23</v>
      </c>
      <c r="Q237" t="s">
        <v>24</v>
      </c>
      <c r="R237" t="s">
        <v>25</v>
      </c>
      <c r="S237" t="s">
        <v>26</v>
      </c>
      <c r="T237" s="6">
        <v>46307</v>
      </c>
      <c r="U237">
        <v>240</v>
      </c>
      <c r="V237">
        <v>240</v>
      </c>
      <c r="W237">
        <v>264</v>
      </c>
      <c r="X237">
        <v>264</v>
      </c>
      <c r="Y237">
        <f t="shared" si="33"/>
        <v>0</v>
      </c>
      <c r="Z237">
        <f t="shared" si="34"/>
        <v>-24</v>
      </c>
      <c r="AC237" s="1">
        <v>0</v>
      </c>
      <c r="AF237">
        <f>V237</f>
        <v>240</v>
      </c>
      <c r="AG237" s="41">
        <v>12</v>
      </c>
      <c r="AH237">
        <f t="shared" si="35"/>
        <v>240</v>
      </c>
      <c r="AI237">
        <f t="shared" si="36"/>
        <v>0</v>
      </c>
      <c r="AK237">
        <f t="shared" si="37"/>
        <v>20</v>
      </c>
      <c r="AL237">
        <v>11.2</v>
      </c>
      <c r="AM237" t="s">
        <v>27</v>
      </c>
      <c r="AN237">
        <v>11.2</v>
      </c>
      <c r="AO237" t="b">
        <f t="shared" si="38"/>
        <v>1</v>
      </c>
      <c r="AR237" t="s">
        <v>5061</v>
      </c>
      <c r="AS237" s="21">
        <v>46276</v>
      </c>
      <c r="AT237" t="s">
        <v>5062</v>
      </c>
      <c r="AU237" t="s">
        <v>5067</v>
      </c>
      <c r="AV237" t="s">
        <v>5062</v>
      </c>
      <c r="AW237" t="s">
        <v>5086</v>
      </c>
    </row>
    <row r="238" spans="1:49" hidden="1" x14ac:dyDescent="0.35">
      <c r="A238" t="s">
        <v>871</v>
      </c>
      <c r="B238" t="s">
        <v>872</v>
      </c>
      <c r="C238" t="s">
        <v>4818</v>
      </c>
      <c r="D238" t="s">
        <v>18</v>
      </c>
      <c r="E238" t="s">
        <v>1413</v>
      </c>
      <c r="F238" t="s">
        <v>1414</v>
      </c>
      <c r="G238" t="s">
        <v>21</v>
      </c>
      <c r="H238" t="s">
        <v>4888</v>
      </c>
      <c r="I238" t="s">
        <v>4889</v>
      </c>
      <c r="J238" s="4" t="s">
        <v>4890</v>
      </c>
      <c r="K238" s="4" t="s">
        <v>4891</v>
      </c>
      <c r="L238" s="4" t="s">
        <v>4867</v>
      </c>
      <c r="M238" s="4" t="s">
        <v>5035</v>
      </c>
      <c r="N238" t="s">
        <v>1415</v>
      </c>
      <c r="O238" t="s">
        <v>1416</v>
      </c>
      <c r="P238" t="s">
        <v>23</v>
      </c>
      <c r="Q238" t="s">
        <v>24</v>
      </c>
      <c r="R238" t="s">
        <v>25</v>
      </c>
      <c r="S238" t="s">
        <v>26</v>
      </c>
      <c r="T238" s="6">
        <v>46307</v>
      </c>
      <c r="U238">
        <v>156</v>
      </c>
      <c r="V238">
        <v>156</v>
      </c>
      <c r="W238">
        <v>144</v>
      </c>
      <c r="X238">
        <v>144</v>
      </c>
      <c r="Y238">
        <f t="shared" si="33"/>
        <v>0</v>
      </c>
      <c r="Z238">
        <f t="shared" si="34"/>
        <v>12</v>
      </c>
      <c r="AA238">
        <f t="shared" ref="AA238:AA239" si="43">Z238</f>
        <v>12</v>
      </c>
      <c r="AC238" s="1">
        <v>0</v>
      </c>
      <c r="AF238">
        <f>X238</f>
        <v>144</v>
      </c>
      <c r="AG238" s="41">
        <v>12</v>
      </c>
      <c r="AH238">
        <f t="shared" si="35"/>
        <v>144</v>
      </c>
      <c r="AI238">
        <f t="shared" si="36"/>
        <v>12</v>
      </c>
      <c r="AK238">
        <f t="shared" si="37"/>
        <v>12</v>
      </c>
      <c r="AL238">
        <v>11.2</v>
      </c>
      <c r="AM238" t="s">
        <v>27</v>
      </c>
      <c r="AN238">
        <v>11.2</v>
      </c>
      <c r="AO238" t="b">
        <f t="shared" si="38"/>
        <v>1</v>
      </c>
      <c r="AR238" t="s">
        <v>5061</v>
      </c>
      <c r="AS238" s="21">
        <v>46276</v>
      </c>
      <c r="AT238" t="s">
        <v>5062</v>
      </c>
      <c r="AU238" t="s">
        <v>5067</v>
      </c>
      <c r="AV238" t="s">
        <v>5062</v>
      </c>
      <c r="AW238" t="s">
        <v>5086</v>
      </c>
    </row>
    <row r="239" spans="1:49" hidden="1" x14ac:dyDescent="0.35">
      <c r="A239" t="s">
        <v>871</v>
      </c>
      <c r="B239" t="s">
        <v>872</v>
      </c>
      <c r="C239" t="s">
        <v>4818</v>
      </c>
      <c r="D239" t="s">
        <v>18</v>
      </c>
      <c r="E239" t="s">
        <v>1417</v>
      </c>
      <c r="F239" t="s">
        <v>1418</v>
      </c>
      <c r="G239" t="s">
        <v>21</v>
      </c>
      <c r="H239" t="s">
        <v>4888</v>
      </c>
      <c r="I239" t="s">
        <v>4902</v>
      </c>
      <c r="J239" s="4" t="s">
        <v>4903</v>
      </c>
      <c r="K239" s="4" t="s">
        <v>4915</v>
      </c>
      <c r="L239" s="4" t="s">
        <v>4892</v>
      </c>
      <c r="M239" s="4" t="s">
        <v>5035</v>
      </c>
      <c r="N239" t="s">
        <v>1419</v>
      </c>
      <c r="O239" t="s">
        <v>1420</v>
      </c>
      <c r="P239" t="s">
        <v>23</v>
      </c>
      <c r="Q239" t="s">
        <v>24</v>
      </c>
      <c r="R239" t="s">
        <v>25</v>
      </c>
      <c r="S239" t="s">
        <v>26</v>
      </c>
      <c r="T239" s="6">
        <v>46307</v>
      </c>
      <c r="U239">
        <v>24</v>
      </c>
      <c r="V239">
        <v>24</v>
      </c>
      <c r="W239">
        <v>12</v>
      </c>
      <c r="X239">
        <v>12</v>
      </c>
      <c r="Y239">
        <f t="shared" si="33"/>
        <v>0</v>
      </c>
      <c r="Z239">
        <f t="shared" si="34"/>
        <v>12</v>
      </c>
      <c r="AA239">
        <f t="shared" si="43"/>
        <v>12</v>
      </c>
      <c r="AC239" s="1">
        <v>0</v>
      </c>
      <c r="AF239">
        <f>X239</f>
        <v>12</v>
      </c>
      <c r="AG239" s="41">
        <v>12</v>
      </c>
      <c r="AH239">
        <f t="shared" si="35"/>
        <v>12</v>
      </c>
      <c r="AI239">
        <f t="shared" si="36"/>
        <v>12</v>
      </c>
      <c r="AK239">
        <f t="shared" si="37"/>
        <v>1</v>
      </c>
      <c r="AL239">
        <v>10.66</v>
      </c>
      <c r="AM239" t="s">
        <v>27</v>
      </c>
      <c r="AN239">
        <v>10.66</v>
      </c>
      <c r="AO239" t="b">
        <f t="shared" si="38"/>
        <v>1</v>
      </c>
      <c r="AR239" t="s">
        <v>5061</v>
      </c>
      <c r="AS239" s="21">
        <v>46276</v>
      </c>
      <c r="AT239" t="s">
        <v>5062</v>
      </c>
      <c r="AU239" t="s">
        <v>5069</v>
      </c>
      <c r="AV239" t="s">
        <v>5062</v>
      </c>
      <c r="AW239" t="s">
        <v>5086</v>
      </c>
    </row>
    <row r="240" spans="1:49" hidden="1" x14ac:dyDescent="0.35">
      <c r="A240" t="s">
        <v>871</v>
      </c>
      <c r="B240" t="s">
        <v>872</v>
      </c>
      <c r="C240" t="s">
        <v>4818</v>
      </c>
      <c r="D240" t="s">
        <v>18</v>
      </c>
      <c r="E240" t="s">
        <v>1421</v>
      </c>
      <c r="F240" t="s">
        <v>1422</v>
      </c>
      <c r="G240" t="s">
        <v>21</v>
      </c>
      <c r="H240" t="s">
        <v>4888</v>
      </c>
      <c r="I240" t="s">
        <v>4889</v>
      </c>
      <c r="J240" s="4" t="s">
        <v>4890</v>
      </c>
      <c r="K240" s="4" t="s">
        <v>4891</v>
      </c>
      <c r="L240" s="4" t="s">
        <v>4933</v>
      </c>
      <c r="M240" s="4" t="s">
        <v>5035</v>
      </c>
      <c r="N240" t="s">
        <v>1423</v>
      </c>
      <c r="O240" t="s">
        <v>1424</v>
      </c>
      <c r="P240" t="s">
        <v>23</v>
      </c>
      <c r="Q240" t="s">
        <v>24</v>
      </c>
      <c r="R240" t="s">
        <v>25</v>
      </c>
      <c r="S240" t="s">
        <v>26</v>
      </c>
      <c r="T240" s="6">
        <v>46307</v>
      </c>
      <c r="U240">
        <v>12</v>
      </c>
      <c r="V240">
        <v>12</v>
      </c>
      <c r="W240">
        <v>12</v>
      </c>
      <c r="X240">
        <v>12</v>
      </c>
      <c r="Y240">
        <f t="shared" si="33"/>
        <v>0</v>
      </c>
      <c r="Z240">
        <f t="shared" si="34"/>
        <v>0</v>
      </c>
      <c r="AC240" s="1">
        <v>0</v>
      </c>
      <c r="AF240">
        <f>V240</f>
        <v>12</v>
      </c>
      <c r="AG240" s="41">
        <v>12</v>
      </c>
      <c r="AH240">
        <f t="shared" si="35"/>
        <v>12</v>
      </c>
      <c r="AI240">
        <f t="shared" si="36"/>
        <v>0</v>
      </c>
      <c r="AK240">
        <f t="shared" si="37"/>
        <v>1</v>
      </c>
      <c r="AL240">
        <v>11.2</v>
      </c>
      <c r="AM240" t="s">
        <v>27</v>
      </c>
      <c r="AN240">
        <v>11.2</v>
      </c>
      <c r="AO240" t="b">
        <f t="shared" si="38"/>
        <v>1</v>
      </c>
      <c r="AR240" t="s">
        <v>5061</v>
      </c>
      <c r="AS240" s="21">
        <v>46276</v>
      </c>
      <c r="AT240" t="s">
        <v>5062</v>
      </c>
      <c r="AU240" t="s">
        <v>5067</v>
      </c>
      <c r="AV240" t="s">
        <v>5062</v>
      </c>
      <c r="AW240" t="s">
        <v>5086</v>
      </c>
    </row>
    <row r="241" spans="1:49" hidden="1" x14ac:dyDescent="0.35">
      <c r="A241" t="s">
        <v>871</v>
      </c>
      <c r="B241" t="s">
        <v>872</v>
      </c>
      <c r="C241" t="s">
        <v>4818</v>
      </c>
      <c r="D241" t="s">
        <v>18</v>
      </c>
      <c r="E241" t="s">
        <v>1425</v>
      </c>
      <c r="F241" t="s">
        <v>1426</v>
      </c>
      <c r="G241" t="s">
        <v>21</v>
      </c>
      <c r="H241" t="s">
        <v>4888</v>
      </c>
      <c r="I241" t="s">
        <v>4906</v>
      </c>
      <c r="J241" s="4" t="s">
        <v>4907</v>
      </c>
      <c r="K241" s="4" t="s">
        <v>4908</v>
      </c>
      <c r="L241" s="4" t="s">
        <v>4892</v>
      </c>
      <c r="M241" s="4" t="s">
        <v>5035</v>
      </c>
      <c r="N241" t="s">
        <v>1427</v>
      </c>
      <c r="O241" t="s">
        <v>1428</v>
      </c>
      <c r="P241" t="s">
        <v>23</v>
      </c>
      <c r="Q241" t="s">
        <v>24</v>
      </c>
      <c r="R241" t="s">
        <v>25</v>
      </c>
      <c r="S241" t="s">
        <v>26</v>
      </c>
      <c r="T241" s="6">
        <v>46307</v>
      </c>
      <c r="U241">
        <v>72</v>
      </c>
      <c r="V241">
        <v>72</v>
      </c>
      <c r="W241">
        <v>72</v>
      </c>
      <c r="X241">
        <v>72</v>
      </c>
      <c r="Y241">
        <f t="shared" si="33"/>
        <v>0</v>
      </c>
      <c r="Z241">
        <f t="shared" si="34"/>
        <v>0</v>
      </c>
      <c r="AC241" s="1">
        <v>0</v>
      </c>
      <c r="AF241">
        <f>V241</f>
        <v>72</v>
      </c>
      <c r="AG241" s="41">
        <v>12</v>
      </c>
      <c r="AH241">
        <f t="shared" si="35"/>
        <v>72</v>
      </c>
      <c r="AI241">
        <f t="shared" si="36"/>
        <v>0</v>
      </c>
      <c r="AK241">
        <f t="shared" si="37"/>
        <v>6</v>
      </c>
      <c r="AL241">
        <v>10.19</v>
      </c>
      <c r="AM241" t="s">
        <v>27</v>
      </c>
      <c r="AN241">
        <v>10.19</v>
      </c>
      <c r="AO241" t="b">
        <f t="shared" si="38"/>
        <v>1</v>
      </c>
      <c r="AR241" t="s">
        <v>5061</v>
      </c>
      <c r="AS241" s="21">
        <v>46276</v>
      </c>
      <c r="AT241" t="s">
        <v>5062</v>
      </c>
      <c r="AU241" t="s">
        <v>5070</v>
      </c>
      <c r="AV241" t="s">
        <v>5062</v>
      </c>
      <c r="AW241" t="s">
        <v>5086</v>
      </c>
    </row>
    <row r="242" spans="1:49" hidden="1" x14ac:dyDescent="0.35">
      <c r="A242" t="s">
        <v>871</v>
      </c>
      <c r="B242" t="s">
        <v>872</v>
      </c>
      <c r="C242" t="s">
        <v>4818</v>
      </c>
      <c r="D242" t="s">
        <v>18</v>
      </c>
      <c r="E242" t="s">
        <v>1429</v>
      </c>
      <c r="F242" t="s">
        <v>1430</v>
      </c>
      <c r="G242" t="s">
        <v>21</v>
      </c>
      <c r="H242" t="s">
        <v>4888</v>
      </c>
      <c r="I242" t="s">
        <v>4889</v>
      </c>
      <c r="J242" s="4" t="s">
        <v>4890</v>
      </c>
      <c r="K242" s="4" t="s">
        <v>4911</v>
      </c>
      <c r="L242" s="4" t="s">
        <v>4875</v>
      </c>
      <c r="M242" s="4" t="s">
        <v>5035</v>
      </c>
      <c r="N242" t="s">
        <v>1431</v>
      </c>
      <c r="O242" t="s">
        <v>1432</v>
      </c>
      <c r="P242" t="s">
        <v>23</v>
      </c>
      <c r="Q242" t="s">
        <v>24</v>
      </c>
      <c r="R242" t="s">
        <v>25</v>
      </c>
      <c r="S242" t="s">
        <v>26</v>
      </c>
      <c r="T242" s="6">
        <v>46307</v>
      </c>
      <c r="U242">
        <v>60</v>
      </c>
      <c r="V242">
        <v>60</v>
      </c>
      <c r="W242">
        <v>72</v>
      </c>
      <c r="X242">
        <v>72</v>
      </c>
      <c r="Y242">
        <f t="shared" si="33"/>
        <v>0</v>
      </c>
      <c r="Z242">
        <f t="shared" si="34"/>
        <v>-12</v>
      </c>
      <c r="AC242" s="1">
        <v>0</v>
      </c>
      <c r="AF242">
        <f>V242</f>
        <v>60</v>
      </c>
      <c r="AG242" s="41">
        <v>12</v>
      </c>
      <c r="AH242">
        <f t="shared" si="35"/>
        <v>60</v>
      </c>
      <c r="AI242">
        <f t="shared" si="36"/>
        <v>0</v>
      </c>
      <c r="AK242">
        <f t="shared" si="37"/>
        <v>5</v>
      </c>
      <c r="AL242">
        <v>11.87</v>
      </c>
      <c r="AM242" t="s">
        <v>27</v>
      </c>
      <c r="AN242">
        <v>11.87</v>
      </c>
      <c r="AO242" t="b">
        <f t="shared" si="38"/>
        <v>1</v>
      </c>
      <c r="AR242" t="s">
        <v>5061</v>
      </c>
      <c r="AS242" s="21">
        <v>46276</v>
      </c>
      <c r="AT242" t="s">
        <v>5062</v>
      </c>
      <c r="AU242" t="s">
        <v>5067</v>
      </c>
      <c r="AV242" t="s">
        <v>5062</v>
      </c>
      <c r="AW242" t="s">
        <v>5086</v>
      </c>
    </row>
    <row r="243" spans="1:49" hidden="1" x14ac:dyDescent="0.35">
      <c r="A243" t="s">
        <v>871</v>
      </c>
      <c r="B243" t="s">
        <v>872</v>
      </c>
      <c r="C243" t="s">
        <v>4818</v>
      </c>
      <c r="D243" t="s">
        <v>18</v>
      </c>
      <c r="E243" t="s">
        <v>1433</v>
      </c>
      <c r="F243" t="s">
        <v>1434</v>
      </c>
      <c r="G243" t="s">
        <v>21</v>
      </c>
      <c r="H243" t="s">
        <v>4888</v>
      </c>
      <c r="I243" t="s">
        <v>4893</v>
      </c>
      <c r="J243" s="4" t="s">
        <v>4894</v>
      </c>
      <c r="K243" s="4" t="s">
        <v>4837</v>
      </c>
      <c r="L243" s="4" t="s">
        <v>4863</v>
      </c>
      <c r="M243" s="4" t="s">
        <v>5035</v>
      </c>
      <c r="N243" t="s">
        <v>1435</v>
      </c>
      <c r="O243" t="s">
        <v>1436</v>
      </c>
      <c r="P243" t="s">
        <v>23</v>
      </c>
      <c r="Q243" t="s">
        <v>24</v>
      </c>
      <c r="R243" t="s">
        <v>25</v>
      </c>
      <c r="S243" t="s">
        <v>26</v>
      </c>
      <c r="T243" s="6">
        <v>46307</v>
      </c>
      <c r="U243">
        <v>72</v>
      </c>
      <c r="V243">
        <v>72</v>
      </c>
      <c r="W243">
        <v>84</v>
      </c>
      <c r="X243">
        <v>84</v>
      </c>
      <c r="Y243">
        <f t="shared" si="33"/>
        <v>0</v>
      </c>
      <c r="Z243">
        <f t="shared" si="34"/>
        <v>-12</v>
      </c>
      <c r="AC243" s="1">
        <v>0</v>
      </c>
      <c r="AF243">
        <f>V243</f>
        <v>72</v>
      </c>
      <c r="AG243" s="41">
        <v>12</v>
      </c>
      <c r="AH243">
        <f t="shared" si="35"/>
        <v>72</v>
      </c>
      <c r="AI243">
        <f t="shared" si="36"/>
        <v>0</v>
      </c>
      <c r="AK243">
        <f t="shared" si="37"/>
        <v>6</v>
      </c>
      <c r="AL243">
        <v>10.06</v>
      </c>
      <c r="AM243" t="s">
        <v>27</v>
      </c>
      <c r="AN243">
        <v>10.06</v>
      </c>
      <c r="AO243" t="b">
        <f t="shared" si="38"/>
        <v>1</v>
      </c>
      <c r="AR243" t="s">
        <v>5061</v>
      </c>
      <c r="AS243" s="21">
        <v>46276</v>
      </c>
      <c r="AT243" t="s">
        <v>5062</v>
      </c>
      <c r="AU243" t="s">
        <v>5068</v>
      </c>
      <c r="AV243" t="s">
        <v>5062</v>
      </c>
      <c r="AW243" t="s">
        <v>5086</v>
      </c>
    </row>
    <row r="244" spans="1:49" hidden="1" x14ac:dyDescent="0.35">
      <c r="A244" t="s">
        <v>871</v>
      </c>
      <c r="B244" t="s">
        <v>872</v>
      </c>
      <c r="C244" t="s">
        <v>4818</v>
      </c>
      <c r="D244" t="s">
        <v>18</v>
      </c>
      <c r="E244" t="s">
        <v>1437</v>
      </c>
      <c r="F244" t="s">
        <v>1438</v>
      </c>
      <c r="G244" t="s">
        <v>21</v>
      </c>
      <c r="H244" t="s">
        <v>4888</v>
      </c>
      <c r="I244" t="s">
        <v>4893</v>
      </c>
      <c r="J244" s="4" t="s">
        <v>4894</v>
      </c>
      <c r="K244" s="4" t="s">
        <v>4896</v>
      </c>
      <c r="L244" s="4" t="s">
        <v>4921</v>
      </c>
      <c r="M244" s="4" t="s">
        <v>5035</v>
      </c>
      <c r="N244" t="s">
        <v>1439</v>
      </c>
      <c r="O244" t="s">
        <v>1440</v>
      </c>
      <c r="P244" t="s">
        <v>23</v>
      </c>
      <c r="Q244" t="s">
        <v>24</v>
      </c>
      <c r="R244" t="s">
        <v>25</v>
      </c>
      <c r="S244" t="s">
        <v>26</v>
      </c>
      <c r="T244" s="6">
        <v>46307</v>
      </c>
      <c r="U244">
        <v>24</v>
      </c>
      <c r="V244">
        <v>24</v>
      </c>
      <c r="W244">
        <v>24</v>
      </c>
      <c r="X244">
        <v>24</v>
      </c>
      <c r="Y244">
        <f t="shared" si="33"/>
        <v>0</v>
      </c>
      <c r="Z244">
        <f t="shared" si="34"/>
        <v>0</v>
      </c>
      <c r="AC244" s="1">
        <v>0</v>
      </c>
      <c r="AF244">
        <f>V244</f>
        <v>24</v>
      </c>
      <c r="AG244" s="41">
        <v>12</v>
      </c>
      <c r="AH244">
        <f t="shared" si="35"/>
        <v>24</v>
      </c>
      <c r="AI244">
        <f t="shared" si="36"/>
        <v>0</v>
      </c>
      <c r="AK244">
        <f t="shared" si="37"/>
        <v>2</v>
      </c>
      <c r="AL244">
        <v>10.220000000000001</v>
      </c>
      <c r="AM244" t="s">
        <v>27</v>
      </c>
      <c r="AN244">
        <v>10.220000000000001</v>
      </c>
      <c r="AO244" t="b">
        <f t="shared" si="38"/>
        <v>1</v>
      </c>
      <c r="AR244" t="s">
        <v>5061</v>
      </c>
      <c r="AS244" s="21">
        <v>46276</v>
      </c>
      <c r="AT244" t="s">
        <v>5062</v>
      </c>
      <c r="AU244" t="s">
        <v>5068</v>
      </c>
      <c r="AV244" t="s">
        <v>5062</v>
      </c>
      <c r="AW244" t="s">
        <v>5086</v>
      </c>
    </row>
    <row r="245" spans="1:49" hidden="1" x14ac:dyDescent="0.35">
      <c r="A245" t="s">
        <v>871</v>
      </c>
      <c r="B245" t="s">
        <v>872</v>
      </c>
      <c r="C245" t="s">
        <v>4818</v>
      </c>
      <c r="D245" t="s">
        <v>18</v>
      </c>
      <c r="E245" t="s">
        <v>1441</v>
      </c>
      <c r="F245" t="s">
        <v>1442</v>
      </c>
      <c r="G245" t="s">
        <v>21</v>
      </c>
      <c r="H245" t="s">
        <v>4888</v>
      </c>
      <c r="I245" t="s">
        <v>4889</v>
      </c>
      <c r="J245" s="4" t="s">
        <v>4890</v>
      </c>
      <c r="K245" s="4" t="s">
        <v>4911</v>
      </c>
      <c r="L245" s="4" t="s">
        <v>4931</v>
      </c>
      <c r="M245" s="4" t="s">
        <v>5035</v>
      </c>
      <c r="N245" t="s">
        <v>1443</v>
      </c>
      <c r="O245" t="s">
        <v>1444</v>
      </c>
      <c r="P245" t="s">
        <v>23</v>
      </c>
      <c r="Q245" t="s">
        <v>24</v>
      </c>
      <c r="R245" t="s">
        <v>25</v>
      </c>
      <c r="S245" t="s">
        <v>26</v>
      </c>
      <c r="T245" s="6">
        <v>46307</v>
      </c>
      <c r="U245">
        <v>108</v>
      </c>
      <c r="V245">
        <v>108</v>
      </c>
      <c r="W245">
        <v>96</v>
      </c>
      <c r="X245">
        <v>96</v>
      </c>
      <c r="Y245">
        <f t="shared" si="33"/>
        <v>0</v>
      </c>
      <c r="Z245">
        <f t="shared" si="34"/>
        <v>12</v>
      </c>
      <c r="AA245">
        <f>Z245</f>
        <v>12</v>
      </c>
      <c r="AC245" s="1">
        <v>0</v>
      </c>
      <c r="AF245">
        <f>X245</f>
        <v>96</v>
      </c>
      <c r="AG245" s="41">
        <v>12</v>
      </c>
      <c r="AH245">
        <f t="shared" si="35"/>
        <v>96</v>
      </c>
      <c r="AI245">
        <f t="shared" si="36"/>
        <v>12</v>
      </c>
      <c r="AK245">
        <f t="shared" si="37"/>
        <v>8</v>
      </c>
      <c r="AL245">
        <v>11.87</v>
      </c>
      <c r="AM245" t="s">
        <v>27</v>
      </c>
      <c r="AN245">
        <v>11.87</v>
      </c>
      <c r="AO245" t="b">
        <f t="shared" si="38"/>
        <v>1</v>
      </c>
      <c r="AR245" t="s">
        <v>5061</v>
      </c>
      <c r="AS245" s="21">
        <v>46276</v>
      </c>
      <c r="AT245" t="s">
        <v>5062</v>
      </c>
      <c r="AU245" t="s">
        <v>5067</v>
      </c>
      <c r="AV245" t="s">
        <v>5062</v>
      </c>
      <c r="AW245" t="s">
        <v>5086</v>
      </c>
    </row>
    <row r="246" spans="1:49" hidden="1" x14ac:dyDescent="0.35">
      <c r="A246" t="s">
        <v>871</v>
      </c>
      <c r="B246" t="s">
        <v>872</v>
      </c>
      <c r="C246" t="s">
        <v>4818</v>
      </c>
      <c r="D246" t="s">
        <v>18</v>
      </c>
      <c r="E246" t="s">
        <v>1445</v>
      </c>
      <c r="F246" t="s">
        <v>1446</v>
      </c>
      <c r="G246" t="s">
        <v>21</v>
      </c>
      <c r="H246" t="s">
        <v>4888</v>
      </c>
      <c r="I246" t="s">
        <v>4893</v>
      </c>
      <c r="J246" s="4" t="s">
        <v>4894</v>
      </c>
      <c r="K246" s="4" t="s">
        <v>4913</v>
      </c>
      <c r="L246" s="4" t="s">
        <v>4929</v>
      </c>
      <c r="M246" s="4" t="s">
        <v>5035</v>
      </c>
      <c r="N246" t="s">
        <v>1447</v>
      </c>
      <c r="O246" t="s">
        <v>1448</v>
      </c>
      <c r="P246" t="s">
        <v>23</v>
      </c>
      <c r="Q246" t="s">
        <v>24</v>
      </c>
      <c r="R246" t="s">
        <v>25</v>
      </c>
      <c r="S246" t="s">
        <v>26</v>
      </c>
      <c r="T246" s="6">
        <v>46307</v>
      </c>
      <c r="U246">
        <v>60</v>
      </c>
      <c r="V246">
        <v>60</v>
      </c>
      <c r="W246">
        <v>60</v>
      </c>
      <c r="X246">
        <v>60</v>
      </c>
      <c r="Y246">
        <f t="shared" si="33"/>
        <v>0</v>
      </c>
      <c r="Z246">
        <f t="shared" si="34"/>
        <v>0</v>
      </c>
      <c r="AC246" s="1">
        <v>0</v>
      </c>
      <c r="AF246">
        <f>V246</f>
        <v>60</v>
      </c>
      <c r="AG246" s="41">
        <v>12</v>
      </c>
      <c r="AH246">
        <f t="shared" si="35"/>
        <v>60</v>
      </c>
      <c r="AI246">
        <f t="shared" si="36"/>
        <v>0</v>
      </c>
      <c r="AK246">
        <f t="shared" si="37"/>
        <v>5</v>
      </c>
      <c r="AL246">
        <v>9.9499999999999993</v>
      </c>
      <c r="AM246" t="s">
        <v>27</v>
      </c>
      <c r="AN246">
        <v>9.9499999999999993</v>
      </c>
      <c r="AO246" t="b">
        <f t="shared" si="38"/>
        <v>1</v>
      </c>
      <c r="AR246" t="s">
        <v>5061</v>
      </c>
      <c r="AS246" s="21">
        <v>46276</v>
      </c>
      <c r="AT246" t="s">
        <v>5062</v>
      </c>
      <c r="AU246" t="s">
        <v>5068</v>
      </c>
      <c r="AV246" t="s">
        <v>5062</v>
      </c>
      <c r="AW246" t="s">
        <v>5086</v>
      </c>
    </row>
    <row r="247" spans="1:49" hidden="1" x14ac:dyDescent="0.35">
      <c r="A247" t="s">
        <v>871</v>
      </c>
      <c r="B247" t="s">
        <v>872</v>
      </c>
      <c r="C247" t="s">
        <v>4818</v>
      </c>
      <c r="D247" t="s">
        <v>18</v>
      </c>
      <c r="E247" t="s">
        <v>1449</v>
      </c>
      <c r="F247" t="s">
        <v>1450</v>
      </c>
      <c r="G247" t="s">
        <v>21</v>
      </c>
      <c r="H247" t="s">
        <v>4888</v>
      </c>
      <c r="I247" t="s">
        <v>4902</v>
      </c>
      <c r="J247" s="4" t="s">
        <v>4903</v>
      </c>
      <c r="K247" s="4" t="s">
        <v>4899</v>
      </c>
      <c r="L247" s="4" t="s">
        <v>4918</v>
      </c>
      <c r="M247" s="4" t="s">
        <v>5035</v>
      </c>
      <c r="N247" t="s">
        <v>1451</v>
      </c>
      <c r="O247" t="s">
        <v>1452</v>
      </c>
      <c r="P247" t="s">
        <v>23</v>
      </c>
      <c r="Q247" t="s">
        <v>24</v>
      </c>
      <c r="R247" t="s">
        <v>25</v>
      </c>
      <c r="S247" t="s">
        <v>26</v>
      </c>
      <c r="T247" s="6">
        <v>46307</v>
      </c>
      <c r="U247">
        <v>24</v>
      </c>
      <c r="V247">
        <v>24</v>
      </c>
      <c r="W247">
        <v>12</v>
      </c>
      <c r="X247">
        <v>12</v>
      </c>
      <c r="Y247">
        <f t="shared" si="33"/>
        <v>0</v>
      </c>
      <c r="Z247">
        <f t="shared" si="34"/>
        <v>12</v>
      </c>
      <c r="AA247">
        <f>Z247</f>
        <v>12</v>
      </c>
      <c r="AC247" s="1">
        <v>0</v>
      </c>
      <c r="AF247">
        <f>X247</f>
        <v>12</v>
      </c>
      <c r="AG247" s="41">
        <v>12</v>
      </c>
      <c r="AH247">
        <f t="shared" si="35"/>
        <v>12</v>
      </c>
      <c r="AI247">
        <f t="shared" si="36"/>
        <v>12</v>
      </c>
      <c r="AK247">
        <f t="shared" si="37"/>
        <v>1</v>
      </c>
      <c r="AL247">
        <v>10.49</v>
      </c>
      <c r="AM247" t="s">
        <v>27</v>
      </c>
      <c r="AN247">
        <v>10.49</v>
      </c>
      <c r="AO247" t="b">
        <f t="shared" si="38"/>
        <v>1</v>
      </c>
      <c r="AR247" t="s">
        <v>5061</v>
      </c>
      <c r="AS247" s="21">
        <v>46276</v>
      </c>
      <c r="AT247" t="s">
        <v>5062</v>
      </c>
      <c r="AU247" t="s">
        <v>5069</v>
      </c>
      <c r="AV247" t="s">
        <v>5062</v>
      </c>
      <c r="AW247" t="s">
        <v>5086</v>
      </c>
    </row>
    <row r="248" spans="1:49" hidden="1" x14ac:dyDescent="0.35">
      <c r="A248" t="s">
        <v>871</v>
      </c>
      <c r="B248" t="s">
        <v>872</v>
      </c>
      <c r="C248" t="s">
        <v>4818</v>
      </c>
      <c r="D248" t="s">
        <v>18</v>
      </c>
      <c r="E248" t="s">
        <v>1453</v>
      </c>
      <c r="F248" t="s">
        <v>1454</v>
      </c>
      <c r="G248" t="s">
        <v>21</v>
      </c>
      <c r="H248" t="s">
        <v>4888</v>
      </c>
      <c r="I248" t="s">
        <v>4893</v>
      </c>
      <c r="J248" s="4" t="s">
        <v>4894</v>
      </c>
      <c r="K248" s="4" t="s">
        <v>4904</v>
      </c>
      <c r="L248" s="4" t="s">
        <v>4851</v>
      </c>
      <c r="M248" s="4" t="s">
        <v>5035</v>
      </c>
      <c r="N248" t="s">
        <v>1455</v>
      </c>
      <c r="O248" t="s">
        <v>1456</v>
      </c>
      <c r="P248" t="s">
        <v>23</v>
      </c>
      <c r="Q248" t="s">
        <v>24</v>
      </c>
      <c r="R248" t="s">
        <v>25</v>
      </c>
      <c r="S248" t="s">
        <v>26</v>
      </c>
      <c r="T248" s="6">
        <v>46307</v>
      </c>
      <c r="U248">
        <v>84</v>
      </c>
      <c r="V248">
        <v>84</v>
      </c>
      <c r="W248">
        <v>84</v>
      </c>
      <c r="X248">
        <v>84</v>
      </c>
      <c r="Y248">
        <f t="shared" si="33"/>
        <v>0</v>
      </c>
      <c r="Z248">
        <f t="shared" si="34"/>
        <v>0</v>
      </c>
      <c r="AC248" s="1">
        <v>0</v>
      </c>
      <c r="AF248">
        <f>V248</f>
        <v>84</v>
      </c>
      <c r="AG248" s="41">
        <v>12</v>
      </c>
      <c r="AH248">
        <f t="shared" si="35"/>
        <v>84</v>
      </c>
      <c r="AI248">
        <f t="shared" si="36"/>
        <v>0</v>
      </c>
      <c r="AK248">
        <f t="shared" si="37"/>
        <v>7</v>
      </c>
      <c r="AL248">
        <v>10.16</v>
      </c>
      <c r="AM248" t="s">
        <v>27</v>
      </c>
      <c r="AN248">
        <v>10.16</v>
      </c>
      <c r="AO248" t="b">
        <f t="shared" si="38"/>
        <v>1</v>
      </c>
      <c r="AR248" t="s">
        <v>5061</v>
      </c>
      <c r="AS248" s="21">
        <v>46276</v>
      </c>
      <c r="AT248" t="s">
        <v>5062</v>
      </c>
      <c r="AU248" t="s">
        <v>5068</v>
      </c>
      <c r="AV248" t="s">
        <v>5062</v>
      </c>
      <c r="AW248" t="s">
        <v>5086</v>
      </c>
    </row>
    <row r="249" spans="1:49" hidden="1" x14ac:dyDescent="0.35">
      <c r="A249" t="s">
        <v>871</v>
      </c>
      <c r="B249" t="s">
        <v>872</v>
      </c>
      <c r="C249" t="s">
        <v>4818</v>
      </c>
      <c r="D249" t="s">
        <v>18</v>
      </c>
      <c r="E249" t="s">
        <v>1457</v>
      </c>
      <c r="F249" t="s">
        <v>1458</v>
      </c>
      <c r="G249" t="s">
        <v>21</v>
      </c>
      <c r="H249" t="s">
        <v>4888</v>
      </c>
      <c r="I249" t="s">
        <v>4906</v>
      </c>
      <c r="J249" s="4" t="s">
        <v>4907</v>
      </c>
      <c r="K249" s="4" t="s">
        <v>4908</v>
      </c>
      <c r="L249" s="4" t="s">
        <v>4897</v>
      </c>
      <c r="M249" s="4" t="s">
        <v>5035</v>
      </c>
      <c r="N249" t="s">
        <v>1459</v>
      </c>
      <c r="O249" t="s">
        <v>1460</v>
      </c>
      <c r="P249" t="s">
        <v>23</v>
      </c>
      <c r="Q249" t="s">
        <v>24</v>
      </c>
      <c r="R249" t="s">
        <v>25</v>
      </c>
      <c r="S249" t="s">
        <v>26</v>
      </c>
      <c r="T249" s="6">
        <v>46307</v>
      </c>
      <c r="U249">
        <v>24</v>
      </c>
      <c r="V249">
        <v>24</v>
      </c>
      <c r="W249">
        <v>24</v>
      </c>
      <c r="X249">
        <v>24</v>
      </c>
      <c r="Y249">
        <f t="shared" si="33"/>
        <v>0</v>
      </c>
      <c r="Z249">
        <f t="shared" si="34"/>
        <v>0</v>
      </c>
      <c r="AC249" s="1">
        <v>0</v>
      </c>
      <c r="AF249">
        <f>V249</f>
        <v>24</v>
      </c>
      <c r="AG249" s="41">
        <v>12</v>
      </c>
      <c r="AH249">
        <f t="shared" si="35"/>
        <v>24</v>
      </c>
      <c r="AI249">
        <f t="shared" si="36"/>
        <v>0</v>
      </c>
      <c r="AK249">
        <f t="shared" si="37"/>
        <v>2</v>
      </c>
      <c r="AL249">
        <v>10.19</v>
      </c>
      <c r="AM249" t="s">
        <v>27</v>
      </c>
      <c r="AN249">
        <v>10.19</v>
      </c>
      <c r="AO249" t="b">
        <f t="shared" si="38"/>
        <v>1</v>
      </c>
      <c r="AR249" t="s">
        <v>5061</v>
      </c>
      <c r="AS249" s="21">
        <v>46276</v>
      </c>
      <c r="AT249" t="s">
        <v>5062</v>
      </c>
      <c r="AU249" t="s">
        <v>5070</v>
      </c>
      <c r="AV249" t="s">
        <v>5062</v>
      </c>
      <c r="AW249" t="s">
        <v>5086</v>
      </c>
    </row>
    <row r="250" spans="1:49" hidden="1" x14ac:dyDescent="0.35">
      <c r="A250" t="s">
        <v>871</v>
      </c>
      <c r="B250" t="s">
        <v>872</v>
      </c>
      <c r="C250" t="s">
        <v>4818</v>
      </c>
      <c r="D250" t="s">
        <v>18</v>
      </c>
      <c r="E250" t="s">
        <v>1461</v>
      </c>
      <c r="F250" t="s">
        <v>1462</v>
      </c>
      <c r="G250" t="s">
        <v>21</v>
      </c>
      <c r="H250" t="s">
        <v>4888</v>
      </c>
      <c r="I250" t="s">
        <v>4889</v>
      </c>
      <c r="J250" s="4" t="s">
        <v>4890</v>
      </c>
      <c r="K250" s="4" t="s">
        <v>4899</v>
      </c>
      <c r="L250" s="4" t="s">
        <v>4885</v>
      </c>
      <c r="M250" s="4" t="s">
        <v>5035</v>
      </c>
      <c r="N250" t="s">
        <v>1463</v>
      </c>
      <c r="O250" t="s">
        <v>1464</v>
      </c>
      <c r="P250" t="s">
        <v>23</v>
      </c>
      <c r="Q250" t="s">
        <v>24</v>
      </c>
      <c r="R250" t="s">
        <v>25</v>
      </c>
      <c r="S250" t="s">
        <v>26</v>
      </c>
      <c r="T250" s="6">
        <v>46307</v>
      </c>
      <c r="U250">
        <v>72</v>
      </c>
      <c r="V250">
        <v>72</v>
      </c>
      <c r="W250">
        <v>60</v>
      </c>
      <c r="X250">
        <v>60</v>
      </c>
      <c r="Y250">
        <f t="shared" si="33"/>
        <v>0</v>
      </c>
      <c r="Z250">
        <f t="shared" si="34"/>
        <v>12</v>
      </c>
      <c r="AA250">
        <f>Z250</f>
        <v>12</v>
      </c>
      <c r="AC250" s="1">
        <v>0</v>
      </c>
      <c r="AF250">
        <f>X250</f>
        <v>60</v>
      </c>
      <c r="AG250" s="41">
        <v>12</v>
      </c>
      <c r="AH250">
        <f t="shared" si="35"/>
        <v>60</v>
      </c>
      <c r="AI250">
        <f t="shared" si="36"/>
        <v>12</v>
      </c>
      <c r="AK250">
        <f t="shared" si="37"/>
        <v>5</v>
      </c>
      <c r="AL250">
        <v>10.9</v>
      </c>
      <c r="AM250" t="s">
        <v>27</v>
      </c>
      <c r="AN250">
        <v>10.9</v>
      </c>
      <c r="AO250" t="b">
        <f t="shared" si="38"/>
        <v>1</v>
      </c>
      <c r="AR250" t="s">
        <v>5061</v>
      </c>
      <c r="AS250" s="21">
        <v>46276</v>
      </c>
      <c r="AT250" t="s">
        <v>5062</v>
      </c>
      <c r="AU250" t="s">
        <v>5067</v>
      </c>
      <c r="AV250" t="s">
        <v>5062</v>
      </c>
      <c r="AW250" t="s">
        <v>5086</v>
      </c>
    </row>
    <row r="251" spans="1:49" hidden="1" x14ac:dyDescent="0.35">
      <c r="A251" t="s">
        <v>871</v>
      </c>
      <c r="B251" t="s">
        <v>872</v>
      </c>
      <c r="C251" t="s">
        <v>4818</v>
      </c>
      <c r="D251" t="s">
        <v>18</v>
      </c>
      <c r="E251" t="s">
        <v>1465</v>
      </c>
      <c r="F251" t="s">
        <v>1466</v>
      </c>
      <c r="G251" t="s">
        <v>21</v>
      </c>
      <c r="H251" t="s">
        <v>4888</v>
      </c>
      <c r="I251" t="s">
        <v>4906</v>
      </c>
      <c r="J251" s="4" t="s">
        <v>4907</v>
      </c>
      <c r="K251" s="4" t="s">
        <v>4908</v>
      </c>
      <c r="L251" s="4" t="s">
        <v>4879</v>
      </c>
      <c r="M251" s="4" t="s">
        <v>5035</v>
      </c>
      <c r="N251" t="s">
        <v>1467</v>
      </c>
      <c r="O251" t="s">
        <v>1468</v>
      </c>
      <c r="P251" t="s">
        <v>23</v>
      </c>
      <c r="Q251" t="s">
        <v>24</v>
      </c>
      <c r="R251" t="s">
        <v>25</v>
      </c>
      <c r="S251" t="s">
        <v>26</v>
      </c>
      <c r="T251" s="6">
        <v>46307</v>
      </c>
      <c r="U251">
        <v>144</v>
      </c>
      <c r="V251">
        <v>144</v>
      </c>
      <c r="W251">
        <v>156</v>
      </c>
      <c r="X251">
        <v>156</v>
      </c>
      <c r="Y251">
        <f t="shared" si="33"/>
        <v>0</v>
      </c>
      <c r="Z251">
        <f t="shared" si="34"/>
        <v>-12</v>
      </c>
      <c r="AC251" s="1"/>
      <c r="AF251">
        <f t="shared" ref="AF251:AF258" si="44">V251</f>
        <v>144</v>
      </c>
      <c r="AG251" s="41">
        <v>12</v>
      </c>
      <c r="AH251">
        <f t="shared" si="35"/>
        <v>144</v>
      </c>
      <c r="AI251">
        <f t="shared" si="36"/>
        <v>0</v>
      </c>
      <c r="AK251">
        <f t="shared" si="37"/>
        <v>12</v>
      </c>
      <c r="AL251">
        <v>10.19</v>
      </c>
      <c r="AM251" t="s">
        <v>27</v>
      </c>
      <c r="AN251">
        <v>10.19</v>
      </c>
      <c r="AO251" t="b">
        <f t="shared" si="38"/>
        <v>1</v>
      </c>
      <c r="AR251" t="s">
        <v>5061</v>
      </c>
      <c r="AS251" s="21">
        <v>46276</v>
      </c>
      <c r="AT251" t="s">
        <v>5062</v>
      </c>
      <c r="AU251" t="s">
        <v>5070</v>
      </c>
      <c r="AV251" t="s">
        <v>5062</v>
      </c>
      <c r="AW251" t="s">
        <v>5086</v>
      </c>
    </row>
    <row r="252" spans="1:49" hidden="1" x14ac:dyDescent="0.35">
      <c r="A252" t="s">
        <v>871</v>
      </c>
      <c r="B252" t="s">
        <v>872</v>
      </c>
      <c r="C252" t="s">
        <v>4818</v>
      </c>
      <c r="D252" t="s">
        <v>18</v>
      </c>
      <c r="E252" t="s">
        <v>1469</v>
      </c>
      <c r="F252" t="s">
        <v>1470</v>
      </c>
      <c r="G252" t="s">
        <v>21</v>
      </c>
      <c r="H252" t="s">
        <v>4888</v>
      </c>
      <c r="I252" t="s">
        <v>4902</v>
      </c>
      <c r="J252" s="4" t="s">
        <v>4903</v>
      </c>
      <c r="K252" s="4" t="s">
        <v>4915</v>
      </c>
      <c r="L252" s="4" t="s">
        <v>4933</v>
      </c>
      <c r="M252" s="4" t="s">
        <v>5035</v>
      </c>
      <c r="N252" t="s">
        <v>1471</v>
      </c>
      <c r="O252" t="s">
        <v>1472</v>
      </c>
      <c r="P252" t="s">
        <v>23</v>
      </c>
      <c r="Q252" t="s">
        <v>24</v>
      </c>
      <c r="R252" t="s">
        <v>25</v>
      </c>
      <c r="S252" t="s">
        <v>26</v>
      </c>
      <c r="T252" s="6">
        <v>46307</v>
      </c>
      <c r="U252">
        <v>12</v>
      </c>
      <c r="V252">
        <v>12</v>
      </c>
      <c r="W252">
        <v>12</v>
      </c>
      <c r="X252">
        <v>12</v>
      </c>
      <c r="Y252">
        <f t="shared" si="33"/>
        <v>0</v>
      </c>
      <c r="Z252">
        <f t="shared" si="34"/>
        <v>0</v>
      </c>
      <c r="AC252" s="1">
        <v>0</v>
      </c>
      <c r="AF252">
        <f t="shared" si="44"/>
        <v>12</v>
      </c>
      <c r="AG252" s="41">
        <v>12</v>
      </c>
      <c r="AH252">
        <f t="shared" si="35"/>
        <v>12</v>
      </c>
      <c r="AI252">
        <f t="shared" si="36"/>
        <v>0</v>
      </c>
      <c r="AK252">
        <f t="shared" si="37"/>
        <v>1</v>
      </c>
      <c r="AL252">
        <v>10.66</v>
      </c>
      <c r="AM252" t="s">
        <v>27</v>
      </c>
      <c r="AN252">
        <v>10.66</v>
      </c>
      <c r="AO252" t="b">
        <f t="shared" si="38"/>
        <v>1</v>
      </c>
      <c r="AR252" t="s">
        <v>5061</v>
      </c>
      <c r="AS252" s="21">
        <v>46276</v>
      </c>
      <c r="AT252" t="s">
        <v>5062</v>
      </c>
      <c r="AU252" t="s">
        <v>5069</v>
      </c>
      <c r="AV252" t="s">
        <v>5062</v>
      </c>
      <c r="AW252" t="s">
        <v>5086</v>
      </c>
    </row>
    <row r="253" spans="1:49" hidden="1" x14ac:dyDescent="0.35">
      <c r="A253" t="s">
        <v>871</v>
      </c>
      <c r="B253" t="s">
        <v>872</v>
      </c>
      <c r="C253" t="s">
        <v>4818</v>
      </c>
      <c r="D253" t="s">
        <v>18</v>
      </c>
      <c r="E253" t="s">
        <v>1473</v>
      </c>
      <c r="F253" t="s">
        <v>1474</v>
      </c>
      <c r="G253" t="s">
        <v>21</v>
      </c>
      <c r="H253" t="s">
        <v>4888</v>
      </c>
      <c r="I253" t="s">
        <v>4893</v>
      </c>
      <c r="J253" s="4" t="s">
        <v>4894</v>
      </c>
      <c r="K253" s="4" t="s">
        <v>4837</v>
      </c>
      <c r="L253" s="4" t="s">
        <v>4897</v>
      </c>
      <c r="M253" s="4" t="s">
        <v>5035</v>
      </c>
      <c r="N253" t="s">
        <v>1475</v>
      </c>
      <c r="O253" t="s">
        <v>1476</v>
      </c>
      <c r="P253" t="s">
        <v>23</v>
      </c>
      <c r="Q253" t="s">
        <v>24</v>
      </c>
      <c r="R253" t="s">
        <v>25</v>
      </c>
      <c r="S253" t="s">
        <v>26</v>
      </c>
      <c r="T253" s="6">
        <v>46307</v>
      </c>
      <c r="U253">
        <v>84</v>
      </c>
      <c r="V253">
        <v>84</v>
      </c>
      <c r="W253">
        <v>84</v>
      </c>
      <c r="X253">
        <v>84</v>
      </c>
      <c r="Y253">
        <f t="shared" si="33"/>
        <v>0</v>
      </c>
      <c r="Z253">
        <f t="shared" si="34"/>
        <v>0</v>
      </c>
      <c r="AC253" s="1">
        <v>0</v>
      </c>
      <c r="AF253">
        <f t="shared" si="44"/>
        <v>84</v>
      </c>
      <c r="AG253" s="41">
        <v>12</v>
      </c>
      <c r="AH253">
        <f t="shared" si="35"/>
        <v>84</v>
      </c>
      <c r="AI253">
        <f t="shared" si="36"/>
        <v>0</v>
      </c>
      <c r="AK253">
        <f t="shared" si="37"/>
        <v>7</v>
      </c>
      <c r="AL253">
        <v>10.06</v>
      </c>
      <c r="AM253" t="s">
        <v>27</v>
      </c>
      <c r="AN253">
        <v>10.06</v>
      </c>
      <c r="AO253" t="b">
        <f t="shared" si="38"/>
        <v>1</v>
      </c>
      <c r="AR253" t="s">
        <v>5061</v>
      </c>
      <c r="AS253" s="21">
        <v>46276</v>
      </c>
      <c r="AT253" t="s">
        <v>5062</v>
      </c>
      <c r="AU253" t="s">
        <v>5068</v>
      </c>
      <c r="AV253" t="s">
        <v>5062</v>
      </c>
      <c r="AW253" t="s">
        <v>5086</v>
      </c>
    </row>
    <row r="254" spans="1:49" hidden="1" x14ac:dyDescent="0.35">
      <c r="A254" t="s">
        <v>871</v>
      </c>
      <c r="B254" t="s">
        <v>872</v>
      </c>
      <c r="C254" t="s">
        <v>4818</v>
      </c>
      <c r="D254" t="s">
        <v>18</v>
      </c>
      <c r="E254" t="s">
        <v>1477</v>
      </c>
      <c r="F254" t="s">
        <v>1478</v>
      </c>
      <c r="G254" t="s">
        <v>21</v>
      </c>
      <c r="H254" t="s">
        <v>4888</v>
      </c>
      <c r="I254" t="s">
        <v>4889</v>
      </c>
      <c r="J254" s="4" t="s">
        <v>4890</v>
      </c>
      <c r="K254" s="4" t="s">
        <v>4891</v>
      </c>
      <c r="L254" s="4" t="s">
        <v>4922</v>
      </c>
      <c r="M254" s="4" t="s">
        <v>5035</v>
      </c>
      <c r="N254" t="s">
        <v>1479</v>
      </c>
      <c r="O254" t="s">
        <v>1480</v>
      </c>
      <c r="P254" t="s">
        <v>23</v>
      </c>
      <c r="Q254" t="s">
        <v>24</v>
      </c>
      <c r="R254" t="s">
        <v>25</v>
      </c>
      <c r="S254" t="s">
        <v>26</v>
      </c>
      <c r="T254" s="6">
        <v>46307</v>
      </c>
      <c r="U254">
        <v>96</v>
      </c>
      <c r="V254">
        <v>96</v>
      </c>
      <c r="W254">
        <v>96</v>
      </c>
      <c r="X254">
        <v>96</v>
      </c>
      <c r="Y254">
        <f t="shared" si="33"/>
        <v>0</v>
      </c>
      <c r="Z254">
        <f t="shared" si="34"/>
        <v>0</v>
      </c>
      <c r="AC254" s="1">
        <v>0</v>
      </c>
      <c r="AF254">
        <f t="shared" si="44"/>
        <v>96</v>
      </c>
      <c r="AG254" s="41">
        <v>12</v>
      </c>
      <c r="AH254">
        <f t="shared" si="35"/>
        <v>96</v>
      </c>
      <c r="AI254">
        <f t="shared" si="36"/>
        <v>0</v>
      </c>
      <c r="AK254">
        <f t="shared" si="37"/>
        <v>8</v>
      </c>
      <c r="AL254">
        <v>11.2</v>
      </c>
      <c r="AM254" t="s">
        <v>27</v>
      </c>
      <c r="AN254">
        <v>11.2</v>
      </c>
      <c r="AO254" t="b">
        <f t="shared" si="38"/>
        <v>1</v>
      </c>
      <c r="AR254" t="s">
        <v>5061</v>
      </c>
      <c r="AS254" s="21">
        <v>46276</v>
      </c>
      <c r="AT254" t="s">
        <v>5062</v>
      </c>
      <c r="AU254" t="s">
        <v>5067</v>
      </c>
      <c r="AV254" t="s">
        <v>5062</v>
      </c>
      <c r="AW254" t="s">
        <v>5086</v>
      </c>
    </row>
    <row r="255" spans="1:49" hidden="1" x14ac:dyDescent="0.35">
      <c r="A255" t="s">
        <v>871</v>
      </c>
      <c r="B255" t="s">
        <v>872</v>
      </c>
      <c r="C255" t="s">
        <v>4818</v>
      </c>
      <c r="D255" t="s">
        <v>18</v>
      </c>
      <c r="E255" t="s">
        <v>1481</v>
      </c>
      <c r="F255" t="s">
        <v>1482</v>
      </c>
      <c r="G255" t="s">
        <v>21</v>
      </c>
      <c r="H255" t="s">
        <v>4888</v>
      </c>
      <c r="I255" t="s">
        <v>4889</v>
      </c>
      <c r="J255" s="4" t="s">
        <v>4890</v>
      </c>
      <c r="K255" s="4" t="s">
        <v>4891</v>
      </c>
      <c r="L255" s="4" t="s">
        <v>4926</v>
      </c>
      <c r="M255" s="4" t="s">
        <v>5035</v>
      </c>
      <c r="N255" t="s">
        <v>1483</v>
      </c>
      <c r="O255" t="s">
        <v>1484</v>
      </c>
      <c r="P255" t="s">
        <v>23</v>
      </c>
      <c r="Q255" t="s">
        <v>24</v>
      </c>
      <c r="R255" t="s">
        <v>25</v>
      </c>
      <c r="S255" t="s">
        <v>26</v>
      </c>
      <c r="T255" s="6">
        <v>46307</v>
      </c>
      <c r="U255">
        <v>204</v>
      </c>
      <c r="V255">
        <v>204</v>
      </c>
      <c r="W255">
        <v>216</v>
      </c>
      <c r="X255">
        <v>216</v>
      </c>
      <c r="Y255">
        <f t="shared" si="33"/>
        <v>0</v>
      </c>
      <c r="Z255">
        <f t="shared" si="34"/>
        <v>-12</v>
      </c>
      <c r="AC255" s="1">
        <v>0</v>
      </c>
      <c r="AF255">
        <f t="shared" si="44"/>
        <v>204</v>
      </c>
      <c r="AG255" s="41">
        <v>12</v>
      </c>
      <c r="AH255">
        <f t="shared" si="35"/>
        <v>204</v>
      </c>
      <c r="AI255">
        <f t="shared" si="36"/>
        <v>0</v>
      </c>
      <c r="AK255">
        <f t="shared" si="37"/>
        <v>17</v>
      </c>
      <c r="AL255">
        <v>11.2</v>
      </c>
      <c r="AM255" t="s">
        <v>27</v>
      </c>
      <c r="AN255">
        <v>11.2</v>
      </c>
      <c r="AO255" t="b">
        <f t="shared" si="38"/>
        <v>1</v>
      </c>
      <c r="AR255" t="s">
        <v>5061</v>
      </c>
      <c r="AS255" s="21">
        <v>46276</v>
      </c>
      <c r="AT255" t="s">
        <v>5062</v>
      </c>
      <c r="AU255" t="s">
        <v>5067</v>
      </c>
      <c r="AV255" t="s">
        <v>5062</v>
      </c>
      <c r="AW255" t="s">
        <v>5086</v>
      </c>
    </row>
    <row r="256" spans="1:49" hidden="1" x14ac:dyDescent="0.35">
      <c r="A256" t="s">
        <v>871</v>
      </c>
      <c r="B256" t="s">
        <v>872</v>
      </c>
      <c r="C256" t="s">
        <v>4818</v>
      </c>
      <c r="D256" t="s">
        <v>18</v>
      </c>
      <c r="E256" t="s">
        <v>1485</v>
      </c>
      <c r="F256" t="s">
        <v>1486</v>
      </c>
      <c r="G256" t="s">
        <v>21</v>
      </c>
      <c r="H256" t="s">
        <v>4888</v>
      </c>
      <c r="I256" t="s">
        <v>4889</v>
      </c>
      <c r="J256" s="4" t="s">
        <v>4890</v>
      </c>
      <c r="K256" s="4" t="s">
        <v>4911</v>
      </c>
      <c r="L256" s="4" t="s">
        <v>4901</v>
      </c>
      <c r="M256" s="4" t="s">
        <v>5035</v>
      </c>
      <c r="N256" t="s">
        <v>1487</v>
      </c>
      <c r="O256" t="s">
        <v>1488</v>
      </c>
      <c r="P256" t="s">
        <v>23</v>
      </c>
      <c r="Q256" t="s">
        <v>24</v>
      </c>
      <c r="R256" t="s">
        <v>25</v>
      </c>
      <c r="S256" t="s">
        <v>26</v>
      </c>
      <c r="T256" s="6">
        <v>46307</v>
      </c>
      <c r="U256">
        <v>24</v>
      </c>
      <c r="V256">
        <v>24</v>
      </c>
      <c r="W256">
        <v>24</v>
      </c>
      <c r="X256">
        <v>24</v>
      </c>
      <c r="Y256">
        <f t="shared" si="33"/>
        <v>0</v>
      </c>
      <c r="Z256">
        <f t="shared" si="34"/>
        <v>0</v>
      </c>
      <c r="AC256" s="1">
        <v>0</v>
      </c>
      <c r="AF256">
        <f t="shared" si="44"/>
        <v>24</v>
      </c>
      <c r="AG256" s="41">
        <v>12</v>
      </c>
      <c r="AH256">
        <f t="shared" si="35"/>
        <v>24</v>
      </c>
      <c r="AI256">
        <f t="shared" si="36"/>
        <v>0</v>
      </c>
      <c r="AK256">
        <f t="shared" si="37"/>
        <v>2</v>
      </c>
      <c r="AL256">
        <v>11.87</v>
      </c>
      <c r="AM256" t="s">
        <v>27</v>
      </c>
      <c r="AN256">
        <v>11.87</v>
      </c>
      <c r="AO256" t="b">
        <f t="shared" si="38"/>
        <v>1</v>
      </c>
      <c r="AR256" t="s">
        <v>5061</v>
      </c>
      <c r="AS256" s="21">
        <v>46276</v>
      </c>
      <c r="AT256" t="s">
        <v>5062</v>
      </c>
      <c r="AU256" t="s">
        <v>5067</v>
      </c>
      <c r="AV256" t="s">
        <v>5062</v>
      </c>
      <c r="AW256" t="s">
        <v>5086</v>
      </c>
    </row>
    <row r="257" spans="1:49" hidden="1" x14ac:dyDescent="0.35">
      <c r="A257" t="s">
        <v>871</v>
      </c>
      <c r="B257" t="s">
        <v>872</v>
      </c>
      <c r="C257" t="s">
        <v>4818</v>
      </c>
      <c r="D257" t="s">
        <v>18</v>
      </c>
      <c r="E257" t="s">
        <v>1489</v>
      </c>
      <c r="F257" t="s">
        <v>1490</v>
      </c>
      <c r="G257" t="s">
        <v>21</v>
      </c>
      <c r="H257" t="s">
        <v>4888</v>
      </c>
      <c r="I257" t="s">
        <v>4906</v>
      </c>
      <c r="J257" s="4" t="s">
        <v>4907</v>
      </c>
      <c r="K257" s="4" t="s">
        <v>4908</v>
      </c>
      <c r="L257" s="4" t="s">
        <v>4855</v>
      </c>
      <c r="M257" s="4" t="s">
        <v>5035</v>
      </c>
      <c r="N257" t="s">
        <v>1491</v>
      </c>
      <c r="O257" t="s">
        <v>1492</v>
      </c>
      <c r="P257" t="s">
        <v>23</v>
      </c>
      <c r="Q257" t="s">
        <v>24</v>
      </c>
      <c r="R257" t="s">
        <v>25</v>
      </c>
      <c r="S257" t="s">
        <v>26</v>
      </c>
      <c r="T257" s="6">
        <v>46307</v>
      </c>
      <c r="U257">
        <v>108</v>
      </c>
      <c r="V257">
        <v>108</v>
      </c>
      <c r="W257">
        <v>108</v>
      </c>
      <c r="X257">
        <v>108</v>
      </c>
      <c r="Y257">
        <f t="shared" si="33"/>
        <v>0</v>
      </c>
      <c r="Z257">
        <f t="shared" si="34"/>
        <v>0</v>
      </c>
      <c r="AC257" s="1">
        <v>0</v>
      </c>
      <c r="AF257">
        <f t="shared" si="44"/>
        <v>108</v>
      </c>
      <c r="AG257" s="41">
        <v>12</v>
      </c>
      <c r="AH257">
        <f t="shared" si="35"/>
        <v>108</v>
      </c>
      <c r="AI257">
        <f t="shared" si="36"/>
        <v>0</v>
      </c>
      <c r="AK257">
        <f t="shared" si="37"/>
        <v>9</v>
      </c>
      <c r="AL257">
        <v>10.19</v>
      </c>
      <c r="AM257" t="s">
        <v>27</v>
      </c>
      <c r="AN257">
        <v>10.19</v>
      </c>
      <c r="AO257" t="b">
        <f t="shared" si="38"/>
        <v>1</v>
      </c>
      <c r="AR257" t="s">
        <v>5061</v>
      </c>
      <c r="AS257" s="21">
        <v>46276</v>
      </c>
      <c r="AT257" t="s">
        <v>5062</v>
      </c>
      <c r="AU257" t="s">
        <v>5070</v>
      </c>
      <c r="AV257" t="s">
        <v>5062</v>
      </c>
      <c r="AW257" t="s">
        <v>5086</v>
      </c>
    </row>
    <row r="258" spans="1:49" hidden="1" x14ac:dyDescent="0.35">
      <c r="A258" t="s">
        <v>871</v>
      </c>
      <c r="B258" t="s">
        <v>872</v>
      </c>
      <c r="C258" t="s">
        <v>4818</v>
      </c>
      <c r="D258" t="s">
        <v>18</v>
      </c>
      <c r="E258" t="s">
        <v>1493</v>
      </c>
      <c r="F258" t="s">
        <v>1494</v>
      </c>
      <c r="G258" t="s">
        <v>21</v>
      </c>
      <c r="H258" t="s">
        <v>4888</v>
      </c>
      <c r="I258" t="s">
        <v>4893</v>
      </c>
      <c r="J258" s="4" t="s">
        <v>4894</v>
      </c>
      <c r="K258" s="4" t="s">
        <v>4837</v>
      </c>
      <c r="L258" s="4" t="s">
        <v>4930</v>
      </c>
      <c r="M258" s="4" t="s">
        <v>5035</v>
      </c>
      <c r="N258" t="s">
        <v>1495</v>
      </c>
      <c r="O258" t="s">
        <v>1496</v>
      </c>
      <c r="P258" t="s">
        <v>23</v>
      </c>
      <c r="Q258" t="s">
        <v>24</v>
      </c>
      <c r="R258" t="s">
        <v>25</v>
      </c>
      <c r="S258" t="s">
        <v>26</v>
      </c>
      <c r="T258" s="6">
        <v>46307</v>
      </c>
      <c r="U258">
        <v>12</v>
      </c>
      <c r="V258">
        <v>12</v>
      </c>
      <c r="W258">
        <v>12</v>
      </c>
      <c r="X258">
        <v>12</v>
      </c>
      <c r="Y258">
        <f t="shared" si="33"/>
        <v>0</v>
      </c>
      <c r="Z258">
        <f t="shared" si="34"/>
        <v>0</v>
      </c>
      <c r="AC258" s="1">
        <v>0</v>
      </c>
      <c r="AF258">
        <f t="shared" si="44"/>
        <v>12</v>
      </c>
      <c r="AG258" s="41">
        <v>12</v>
      </c>
      <c r="AH258">
        <f t="shared" si="35"/>
        <v>12</v>
      </c>
      <c r="AI258">
        <f t="shared" si="36"/>
        <v>0</v>
      </c>
      <c r="AK258">
        <f t="shared" si="37"/>
        <v>1</v>
      </c>
      <c r="AL258">
        <v>10.06</v>
      </c>
      <c r="AM258" t="s">
        <v>27</v>
      </c>
      <c r="AN258">
        <v>10.06</v>
      </c>
      <c r="AO258" t="b">
        <f t="shared" si="38"/>
        <v>1</v>
      </c>
      <c r="AR258" t="s">
        <v>5061</v>
      </c>
      <c r="AS258" s="21">
        <v>46276</v>
      </c>
      <c r="AT258" t="s">
        <v>5062</v>
      </c>
      <c r="AU258" t="s">
        <v>5068</v>
      </c>
      <c r="AV258" t="s">
        <v>5062</v>
      </c>
      <c r="AW258" t="s">
        <v>5086</v>
      </c>
    </row>
    <row r="259" spans="1:49" hidden="1" x14ac:dyDescent="0.35">
      <c r="A259" t="s">
        <v>871</v>
      </c>
      <c r="B259" t="s">
        <v>872</v>
      </c>
      <c r="C259" t="s">
        <v>4818</v>
      </c>
      <c r="D259" t="s">
        <v>18</v>
      </c>
      <c r="E259" t="s">
        <v>1497</v>
      </c>
      <c r="F259" t="s">
        <v>1498</v>
      </c>
      <c r="G259" t="s">
        <v>21</v>
      </c>
      <c r="H259" t="s">
        <v>4888</v>
      </c>
      <c r="I259" t="s">
        <v>4889</v>
      </c>
      <c r="J259" s="4" t="s">
        <v>4890</v>
      </c>
      <c r="K259" s="4" t="s">
        <v>4891</v>
      </c>
      <c r="L259" s="4" t="s">
        <v>4857</v>
      </c>
      <c r="M259" s="4" t="s">
        <v>5035</v>
      </c>
      <c r="N259" t="s">
        <v>1499</v>
      </c>
      <c r="O259" t="s">
        <v>1500</v>
      </c>
      <c r="P259" t="s">
        <v>23</v>
      </c>
      <c r="Q259" t="s">
        <v>24</v>
      </c>
      <c r="R259" t="s">
        <v>25</v>
      </c>
      <c r="S259" t="s">
        <v>26</v>
      </c>
      <c r="T259" s="6">
        <v>46307</v>
      </c>
      <c r="U259">
        <v>24</v>
      </c>
      <c r="V259">
        <v>24</v>
      </c>
      <c r="W259">
        <v>12</v>
      </c>
      <c r="X259">
        <v>12</v>
      </c>
      <c r="Y259">
        <f t="shared" ref="Y259:Y322" si="45">W259-X259</f>
        <v>0</v>
      </c>
      <c r="Z259">
        <f t="shared" ref="Z259:Z322" si="46">V259-X259</f>
        <v>12</v>
      </c>
      <c r="AA259">
        <f>Z259</f>
        <v>12</v>
      </c>
      <c r="AC259" s="1">
        <v>0</v>
      </c>
      <c r="AF259">
        <f>X259</f>
        <v>12</v>
      </c>
      <c r="AG259" s="41">
        <v>12</v>
      </c>
      <c r="AH259">
        <f t="shared" ref="AH259:AH322" si="47">ROUNDUP(AF259/AG259,0)*AG259</f>
        <v>12</v>
      </c>
      <c r="AI259">
        <f t="shared" ref="AI259:AI322" si="48">V259-AH259</f>
        <v>12</v>
      </c>
      <c r="AK259">
        <f t="shared" ref="AK259:AK322" si="49">AH259/AG259</f>
        <v>1</v>
      </c>
      <c r="AL259">
        <v>11.2</v>
      </c>
      <c r="AM259" t="s">
        <v>27</v>
      </c>
      <c r="AN259">
        <v>11.2</v>
      </c>
      <c r="AO259" t="b">
        <f t="shared" ref="AO259:AO322" si="50">AL259=AN259</f>
        <v>1</v>
      </c>
      <c r="AR259" t="s">
        <v>5061</v>
      </c>
      <c r="AS259" s="21">
        <v>46276</v>
      </c>
      <c r="AT259" t="s">
        <v>5062</v>
      </c>
      <c r="AU259" t="s">
        <v>5067</v>
      </c>
      <c r="AV259" t="s">
        <v>5062</v>
      </c>
      <c r="AW259" t="s">
        <v>5086</v>
      </c>
    </row>
    <row r="260" spans="1:49" hidden="1" x14ac:dyDescent="0.35">
      <c r="A260" t="s">
        <v>871</v>
      </c>
      <c r="B260" t="s">
        <v>872</v>
      </c>
      <c r="C260" t="s">
        <v>4818</v>
      </c>
      <c r="D260" t="s">
        <v>18</v>
      </c>
      <c r="E260" t="s">
        <v>1501</v>
      </c>
      <c r="F260" t="s">
        <v>1502</v>
      </c>
      <c r="G260" t="s">
        <v>21</v>
      </c>
      <c r="H260" t="s">
        <v>4888</v>
      </c>
      <c r="I260" t="s">
        <v>4889</v>
      </c>
      <c r="J260" s="4" t="s">
        <v>4890</v>
      </c>
      <c r="K260" s="4" t="s">
        <v>4911</v>
      </c>
      <c r="L260" s="4" t="s">
        <v>4879</v>
      </c>
      <c r="M260" s="4" t="s">
        <v>5035</v>
      </c>
      <c r="N260" t="s">
        <v>1503</v>
      </c>
      <c r="O260" t="s">
        <v>1504</v>
      </c>
      <c r="P260" t="s">
        <v>23</v>
      </c>
      <c r="Q260" t="s">
        <v>24</v>
      </c>
      <c r="R260" t="s">
        <v>25</v>
      </c>
      <c r="S260" t="s">
        <v>26</v>
      </c>
      <c r="T260" s="6">
        <v>46307</v>
      </c>
      <c r="U260">
        <v>168</v>
      </c>
      <c r="V260">
        <v>168</v>
      </c>
      <c r="W260">
        <v>168</v>
      </c>
      <c r="X260">
        <v>168</v>
      </c>
      <c r="Y260">
        <f t="shared" si="45"/>
        <v>0</v>
      </c>
      <c r="Z260">
        <f t="shared" si="46"/>
        <v>0</v>
      </c>
      <c r="AC260" s="1">
        <v>0</v>
      </c>
      <c r="AF260">
        <f>V260</f>
        <v>168</v>
      </c>
      <c r="AG260" s="41">
        <v>12</v>
      </c>
      <c r="AH260">
        <f t="shared" si="47"/>
        <v>168</v>
      </c>
      <c r="AI260">
        <f t="shared" si="48"/>
        <v>0</v>
      </c>
      <c r="AK260">
        <f t="shared" si="49"/>
        <v>14</v>
      </c>
      <c r="AL260">
        <v>11.87</v>
      </c>
      <c r="AM260" t="s">
        <v>27</v>
      </c>
      <c r="AN260">
        <v>11.87</v>
      </c>
      <c r="AO260" t="b">
        <f t="shared" si="50"/>
        <v>1</v>
      </c>
      <c r="AR260" t="s">
        <v>5061</v>
      </c>
      <c r="AS260" s="21">
        <v>46276</v>
      </c>
      <c r="AT260" t="s">
        <v>5062</v>
      </c>
      <c r="AU260" t="s">
        <v>5067</v>
      </c>
      <c r="AV260" t="s">
        <v>5062</v>
      </c>
      <c r="AW260" t="s">
        <v>5086</v>
      </c>
    </row>
    <row r="261" spans="1:49" hidden="1" x14ac:dyDescent="0.35">
      <c r="A261" t="s">
        <v>871</v>
      </c>
      <c r="B261" t="s">
        <v>872</v>
      </c>
      <c r="C261" t="s">
        <v>4818</v>
      </c>
      <c r="D261" t="s">
        <v>18</v>
      </c>
      <c r="E261" t="s">
        <v>1505</v>
      </c>
      <c r="F261" t="s">
        <v>1506</v>
      </c>
      <c r="G261" t="s">
        <v>21</v>
      </c>
      <c r="H261" t="s">
        <v>4888</v>
      </c>
      <c r="I261" t="s">
        <v>4889</v>
      </c>
      <c r="J261" s="4" t="s">
        <v>4890</v>
      </c>
      <c r="K261" s="4" t="s">
        <v>4911</v>
      </c>
      <c r="L261" s="4" t="s">
        <v>4897</v>
      </c>
      <c r="M261" s="4" t="s">
        <v>5035</v>
      </c>
      <c r="N261" t="s">
        <v>1507</v>
      </c>
      <c r="O261" t="s">
        <v>1508</v>
      </c>
      <c r="P261" t="s">
        <v>23</v>
      </c>
      <c r="Q261" t="s">
        <v>24</v>
      </c>
      <c r="R261" t="s">
        <v>25</v>
      </c>
      <c r="S261" t="s">
        <v>26</v>
      </c>
      <c r="T261" s="6">
        <v>46307</v>
      </c>
      <c r="U261">
        <v>60</v>
      </c>
      <c r="V261">
        <v>60</v>
      </c>
      <c r="W261">
        <v>72</v>
      </c>
      <c r="X261">
        <v>72</v>
      </c>
      <c r="Y261">
        <f t="shared" si="45"/>
        <v>0</v>
      </c>
      <c r="Z261">
        <f t="shared" si="46"/>
        <v>-12</v>
      </c>
      <c r="AC261" s="1">
        <v>0</v>
      </c>
      <c r="AF261">
        <f>V261</f>
        <v>60</v>
      </c>
      <c r="AG261" s="41">
        <v>12</v>
      </c>
      <c r="AH261">
        <f t="shared" si="47"/>
        <v>60</v>
      </c>
      <c r="AI261">
        <f t="shared" si="48"/>
        <v>0</v>
      </c>
      <c r="AK261">
        <f t="shared" si="49"/>
        <v>5</v>
      </c>
      <c r="AL261">
        <v>11.87</v>
      </c>
      <c r="AM261" t="s">
        <v>27</v>
      </c>
      <c r="AN261">
        <v>11.87</v>
      </c>
      <c r="AO261" t="b">
        <f t="shared" si="50"/>
        <v>1</v>
      </c>
      <c r="AR261" t="s">
        <v>5061</v>
      </c>
      <c r="AS261" s="21">
        <v>46276</v>
      </c>
      <c r="AT261" t="s">
        <v>5062</v>
      </c>
      <c r="AU261" t="s">
        <v>5067</v>
      </c>
      <c r="AV261" t="s">
        <v>5062</v>
      </c>
      <c r="AW261" t="s">
        <v>5086</v>
      </c>
    </row>
    <row r="262" spans="1:49" hidden="1" x14ac:dyDescent="0.35">
      <c r="A262" t="s">
        <v>871</v>
      </c>
      <c r="B262" t="s">
        <v>872</v>
      </c>
      <c r="C262" t="s">
        <v>4818</v>
      </c>
      <c r="D262" t="s">
        <v>18</v>
      </c>
      <c r="E262" t="s">
        <v>1509</v>
      </c>
      <c r="F262" t="s">
        <v>1510</v>
      </c>
      <c r="G262" t="s">
        <v>21</v>
      </c>
      <c r="H262" t="s">
        <v>4888</v>
      </c>
      <c r="I262" t="s">
        <v>4906</v>
      </c>
      <c r="J262" s="4" t="s">
        <v>4907</v>
      </c>
      <c r="K262" s="4" t="s">
        <v>4908</v>
      </c>
      <c r="L262" s="4" t="s">
        <v>4869</v>
      </c>
      <c r="M262" s="4" t="s">
        <v>5035</v>
      </c>
      <c r="N262" t="s">
        <v>1511</v>
      </c>
      <c r="O262" t="s">
        <v>1512</v>
      </c>
      <c r="P262" t="s">
        <v>23</v>
      </c>
      <c r="Q262" t="s">
        <v>24</v>
      </c>
      <c r="R262" t="s">
        <v>25</v>
      </c>
      <c r="S262" t="s">
        <v>26</v>
      </c>
      <c r="T262" s="6">
        <v>46307</v>
      </c>
      <c r="U262">
        <v>96</v>
      </c>
      <c r="V262">
        <v>96</v>
      </c>
      <c r="W262">
        <v>108</v>
      </c>
      <c r="X262">
        <v>108</v>
      </c>
      <c r="Y262">
        <f t="shared" si="45"/>
        <v>0</v>
      </c>
      <c r="Z262">
        <f t="shared" si="46"/>
        <v>-12</v>
      </c>
      <c r="AC262" s="1">
        <v>0</v>
      </c>
      <c r="AF262">
        <f>V262</f>
        <v>96</v>
      </c>
      <c r="AG262" s="41">
        <v>12</v>
      </c>
      <c r="AH262">
        <f t="shared" si="47"/>
        <v>96</v>
      </c>
      <c r="AI262">
        <f t="shared" si="48"/>
        <v>0</v>
      </c>
      <c r="AK262">
        <f t="shared" si="49"/>
        <v>8</v>
      </c>
      <c r="AL262">
        <v>10.19</v>
      </c>
      <c r="AM262" t="s">
        <v>27</v>
      </c>
      <c r="AN262">
        <v>10.19</v>
      </c>
      <c r="AO262" t="b">
        <f t="shared" si="50"/>
        <v>1</v>
      </c>
      <c r="AR262" t="s">
        <v>5061</v>
      </c>
      <c r="AS262" s="21">
        <v>46276</v>
      </c>
      <c r="AT262" t="s">
        <v>5062</v>
      </c>
      <c r="AU262" t="s">
        <v>5070</v>
      </c>
      <c r="AV262" t="s">
        <v>5062</v>
      </c>
      <c r="AW262" t="s">
        <v>5086</v>
      </c>
    </row>
    <row r="263" spans="1:49" hidden="1" x14ac:dyDescent="0.35">
      <c r="A263" t="s">
        <v>871</v>
      </c>
      <c r="B263" t="s">
        <v>872</v>
      </c>
      <c r="C263" t="s">
        <v>4818</v>
      </c>
      <c r="D263" t="s">
        <v>18</v>
      </c>
      <c r="E263" t="s">
        <v>1513</v>
      </c>
      <c r="F263" t="s">
        <v>1514</v>
      </c>
      <c r="G263" t="s">
        <v>21</v>
      </c>
      <c r="H263" t="s">
        <v>4888</v>
      </c>
      <c r="I263" t="s">
        <v>4893</v>
      </c>
      <c r="J263" s="4" t="s">
        <v>4894</v>
      </c>
      <c r="K263" s="4" t="s">
        <v>4913</v>
      </c>
      <c r="L263" s="4" t="s">
        <v>4853</v>
      </c>
      <c r="M263" s="4" t="s">
        <v>5035</v>
      </c>
      <c r="N263" t="s">
        <v>1515</v>
      </c>
      <c r="O263" t="s">
        <v>1516</v>
      </c>
      <c r="P263" t="s">
        <v>23</v>
      </c>
      <c r="Q263" t="s">
        <v>24</v>
      </c>
      <c r="R263" t="s">
        <v>25</v>
      </c>
      <c r="S263" t="s">
        <v>26</v>
      </c>
      <c r="T263" s="6">
        <v>46307</v>
      </c>
      <c r="U263">
        <v>240</v>
      </c>
      <c r="V263">
        <v>240</v>
      </c>
      <c r="W263">
        <v>264</v>
      </c>
      <c r="X263">
        <v>264</v>
      </c>
      <c r="Y263">
        <f t="shared" si="45"/>
        <v>0</v>
      </c>
      <c r="Z263">
        <f t="shared" si="46"/>
        <v>-24</v>
      </c>
      <c r="AC263" s="1">
        <v>0</v>
      </c>
      <c r="AF263">
        <f>V263</f>
        <v>240</v>
      </c>
      <c r="AG263" s="41">
        <v>12</v>
      </c>
      <c r="AH263">
        <f t="shared" si="47"/>
        <v>240</v>
      </c>
      <c r="AI263">
        <f t="shared" si="48"/>
        <v>0</v>
      </c>
      <c r="AK263">
        <f t="shared" si="49"/>
        <v>20</v>
      </c>
      <c r="AL263">
        <v>9.9499999999999993</v>
      </c>
      <c r="AM263" t="s">
        <v>27</v>
      </c>
      <c r="AN263">
        <v>9.9499999999999993</v>
      </c>
      <c r="AO263" t="b">
        <f t="shared" si="50"/>
        <v>1</v>
      </c>
      <c r="AR263" t="s">
        <v>5061</v>
      </c>
      <c r="AS263" s="21">
        <v>46276</v>
      </c>
      <c r="AT263" t="s">
        <v>5062</v>
      </c>
      <c r="AU263" t="s">
        <v>5068</v>
      </c>
      <c r="AV263" t="s">
        <v>5062</v>
      </c>
      <c r="AW263" t="s">
        <v>5086</v>
      </c>
    </row>
    <row r="264" spans="1:49" hidden="1" x14ac:dyDescent="0.35">
      <c r="A264" t="s">
        <v>871</v>
      </c>
      <c r="B264" t="s">
        <v>872</v>
      </c>
      <c r="C264" t="s">
        <v>4818</v>
      </c>
      <c r="D264" t="s">
        <v>18</v>
      </c>
      <c r="E264" t="s">
        <v>1517</v>
      </c>
      <c r="F264" t="s">
        <v>1518</v>
      </c>
      <c r="G264" t="s">
        <v>21</v>
      </c>
      <c r="H264" t="s">
        <v>4888</v>
      </c>
      <c r="I264" t="s">
        <v>4893</v>
      </c>
      <c r="J264" s="4" t="s">
        <v>4894</v>
      </c>
      <c r="K264" s="4" t="s">
        <v>4904</v>
      </c>
      <c r="L264" s="4" t="s">
        <v>4920</v>
      </c>
      <c r="M264" s="4" t="s">
        <v>5035</v>
      </c>
      <c r="N264" t="s">
        <v>1519</v>
      </c>
      <c r="O264" t="s">
        <v>1520</v>
      </c>
      <c r="P264" t="s">
        <v>23</v>
      </c>
      <c r="Q264" t="s">
        <v>24</v>
      </c>
      <c r="R264" t="s">
        <v>25</v>
      </c>
      <c r="S264" t="s">
        <v>26</v>
      </c>
      <c r="T264" s="6">
        <v>46307</v>
      </c>
      <c r="U264">
        <v>84</v>
      </c>
      <c r="V264">
        <v>84</v>
      </c>
      <c r="W264">
        <v>72</v>
      </c>
      <c r="X264">
        <v>72</v>
      </c>
      <c r="Y264">
        <f t="shared" si="45"/>
        <v>0</v>
      </c>
      <c r="Z264">
        <f t="shared" si="46"/>
        <v>12</v>
      </c>
      <c r="AA264">
        <f t="shared" ref="AA264:AA265" si="51">Z264</f>
        <v>12</v>
      </c>
      <c r="AC264" s="1">
        <v>0</v>
      </c>
      <c r="AF264">
        <f>X264</f>
        <v>72</v>
      </c>
      <c r="AG264" s="41">
        <v>12</v>
      </c>
      <c r="AH264">
        <f t="shared" si="47"/>
        <v>72</v>
      </c>
      <c r="AI264">
        <f t="shared" si="48"/>
        <v>12</v>
      </c>
      <c r="AK264">
        <f t="shared" si="49"/>
        <v>6</v>
      </c>
      <c r="AL264">
        <v>10.16</v>
      </c>
      <c r="AM264" t="s">
        <v>27</v>
      </c>
      <c r="AN264">
        <v>10.16</v>
      </c>
      <c r="AO264" t="b">
        <f t="shared" si="50"/>
        <v>1</v>
      </c>
      <c r="AR264" t="s">
        <v>5061</v>
      </c>
      <c r="AS264" s="21">
        <v>46276</v>
      </c>
      <c r="AT264" t="s">
        <v>5062</v>
      </c>
      <c r="AU264" t="s">
        <v>5068</v>
      </c>
      <c r="AV264" t="s">
        <v>5062</v>
      </c>
      <c r="AW264" t="s">
        <v>5086</v>
      </c>
    </row>
    <row r="265" spans="1:49" hidden="1" x14ac:dyDescent="0.35">
      <c r="A265" t="s">
        <v>871</v>
      </c>
      <c r="B265" t="s">
        <v>872</v>
      </c>
      <c r="C265" t="s">
        <v>4818</v>
      </c>
      <c r="D265" t="s">
        <v>18</v>
      </c>
      <c r="E265" t="s">
        <v>1521</v>
      </c>
      <c r="F265" t="s">
        <v>1522</v>
      </c>
      <c r="G265" t="s">
        <v>21</v>
      </c>
      <c r="H265" t="s">
        <v>4888</v>
      </c>
      <c r="I265" t="s">
        <v>4889</v>
      </c>
      <c r="J265" s="4" t="s">
        <v>4890</v>
      </c>
      <c r="K265" s="4" t="s">
        <v>4911</v>
      </c>
      <c r="L265" s="4" t="s">
        <v>4892</v>
      </c>
      <c r="M265" s="4" t="s">
        <v>5035</v>
      </c>
      <c r="N265" t="s">
        <v>1523</v>
      </c>
      <c r="O265" t="s">
        <v>1524</v>
      </c>
      <c r="P265" t="s">
        <v>23</v>
      </c>
      <c r="Q265" t="s">
        <v>24</v>
      </c>
      <c r="R265" t="s">
        <v>25</v>
      </c>
      <c r="S265" t="s">
        <v>26</v>
      </c>
      <c r="T265" s="6">
        <v>46307</v>
      </c>
      <c r="U265">
        <v>60</v>
      </c>
      <c r="V265">
        <v>60</v>
      </c>
      <c r="W265">
        <v>48</v>
      </c>
      <c r="X265">
        <v>48</v>
      </c>
      <c r="Y265">
        <f t="shared" si="45"/>
        <v>0</v>
      </c>
      <c r="Z265">
        <f t="shared" si="46"/>
        <v>12</v>
      </c>
      <c r="AA265">
        <f t="shared" si="51"/>
        <v>12</v>
      </c>
      <c r="AC265" s="1">
        <v>0</v>
      </c>
      <c r="AF265">
        <f>X265</f>
        <v>48</v>
      </c>
      <c r="AG265" s="41">
        <v>12</v>
      </c>
      <c r="AH265">
        <f t="shared" si="47"/>
        <v>48</v>
      </c>
      <c r="AI265">
        <f t="shared" si="48"/>
        <v>12</v>
      </c>
      <c r="AK265">
        <f t="shared" si="49"/>
        <v>4</v>
      </c>
      <c r="AL265">
        <v>11.87</v>
      </c>
      <c r="AM265" t="s">
        <v>27</v>
      </c>
      <c r="AN265">
        <v>11.87</v>
      </c>
      <c r="AO265" t="b">
        <f t="shared" si="50"/>
        <v>1</v>
      </c>
      <c r="AR265" t="s">
        <v>5061</v>
      </c>
      <c r="AS265" s="21">
        <v>46276</v>
      </c>
      <c r="AT265" t="s">
        <v>5062</v>
      </c>
      <c r="AU265" t="s">
        <v>5067</v>
      </c>
      <c r="AV265" t="s">
        <v>5062</v>
      </c>
      <c r="AW265" t="s">
        <v>5086</v>
      </c>
    </row>
    <row r="266" spans="1:49" hidden="1" x14ac:dyDescent="0.35">
      <c r="A266" t="s">
        <v>871</v>
      </c>
      <c r="B266" t="s">
        <v>872</v>
      </c>
      <c r="C266" t="s">
        <v>4818</v>
      </c>
      <c r="D266" t="s">
        <v>18</v>
      </c>
      <c r="E266" t="s">
        <v>1525</v>
      </c>
      <c r="F266" t="s">
        <v>1526</v>
      </c>
      <c r="G266" t="s">
        <v>21</v>
      </c>
      <c r="H266" t="s">
        <v>4888</v>
      </c>
      <c r="I266" t="s">
        <v>4889</v>
      </c>
      <c r="J266" s="4" t="s">
        <v>4890</v>
      </c>
      <c r="K266" s="4" t="s">
        <v>4911</v>
      </c>
      <c r="L266" s="4" t="s">
        <v>4853</v>
      </c>
      <c r="M266" s="4" t="s">
        <v>5035</v>
      </c>
      <c r="N266" t="s">
        <v>1527</v>
      </c>
      <c r="O266" t="s">
        <v>1528</v>
      </c>
      <c r="P266" t="s">
        <v>23</v>
      </c>
      <c r="Q266" t="s">
        <v>24</v>
      </c>
      <c r="R266" t="s">
        <v>25</v>
      </c>
      <c r="S266" t="s">
        <v>26</v>
      </c>
      <c r="T266" s="6">
        <v>46307</v>
      </c>
      <c r="U266">
        <v>48</v>
      </c>
      <c r="V266">
        <v>48</v>
      </c>
      <c r="W266">
        <v>48</v>
      </c>
      <c r="X266">
        <v>48</v>
      </c>
      <c r="Y266">
        <f t="shared" si="45"/>
        <v>0</v>
      </c>
      <c r="Z266">
        <f t="shared" si="46"/>
        <v>0</v>
      </c>
      <c r="AC266" s="1">
        <v>0</v>
      </c>
      <c r="AF266">
        <f>V266</f>
        <v>48</v>
      </c>
      <c r="AG266" s="41">
        <v>12</v>
      </c>
      <c r="AH266">
        <f t="shared" si="47"/>
        <v>48</v>
      </c>
      <c r="AI266">
        <f t="shared" si="48"/>
        <v>0</v>
      </c>
      <c r="AK266">
        <f t="shared" si="49"/>
        <v>4</v>
      </c>
      <c r="AL266">
        <v>11.87</v>
      </c>
      <c r="AM266" t="s">
        <v>27</v>
      </c>
      <c r="AN266">
        <v>11.87</v>
      </c>
      <c r="AO266" t="b">
        <f t="shared" si="50"/>
        <v>1</v>
      </c>
      <c r="AR266" t="s">
        <v>5061</v>
      </c>
      <c r="AS266" s="21">
        <v>46276</v>
      </c>
      <c r="AT266" t="s">
        <v>5062</v>
      </c>
      <c r="AU266" t="s">
        <v>5067</v>
      </c>
      <c r="AV266" t="s">
        <v>5062</v>
      </c>
      <c r="AW266" t="s">
        <v>5086</v>
      </c>
    </row>
    <row r="267" spans="1:49" hidden="1" x14ac:dyDescent="0.35">
      <c r="A267" t="s">
        <v>871</v>
      </c>
      <c r="B267" t="s">
        <v>872</v>
      </c>
      <c r="C267" t="s">
        <v>4818</v>
      </c>
      <c r="D267" t="s">
        <v>18</v>
      </c>
      <c r="E267" t="s">
        <v>1529</v>
      </c>
      <c r="F267" t="s">
        <v>1530</v>
      </c>
      <c r="G267" t="s">
        <v>21</v>
      </c>
      <c r="H267" t="s">
        <v>4888</v>
      </c>
      <c r="I267" t="s">
        <v>4889</v>
      </c>
      <c r="J267" s="4" t="s">
        <v>4890</v>
      </c>
      <c r="K267" s="4" t="s">
        <v>4899</v>
      </c>
      <c r="L267" s="4" t="s">
        <v>4926</v>
      </c>
      <c r="M267" s="4" t="s">
        <v>5035</v>
      </c>
      <c r="N267" t="s">
        <v>1531</v>
      </c>
      <c r="O267" t="s">
        <v>1532</v>
      </c>
      <c r="P267" t="s">
        <v>23</v>
      </c>
      <c r="Q267" t="s">
        <v>24</v>
      </c>
      <c r="R267" t="s">
        <v>25</v>
      </c>
      <c r="S267" t="s">
        <v>26</v>
      </c>
      <c r="T267" s="6">
        <v>46307</v>
      </c>
      <c r="U267">
        <v>48</v>
      </c>
      <c r="V267">
        <v>48</v>
      </c>
      <c r="W267">
        <v>36</v>
      </c>
      <c r="X267">
        <v>36</v>
      </c>
      <c r="Y267">
        <f t="shared" si="45"/>
        <v>0</v>
      </c>
      <c r="Z267">
        <f t="shared" si="46"/>
        <v>12</v>
      </c>
      <c r="AA267">
        <f>Z267</f>
        <v>12</v>
      </c>
      <c r="AC267" s="1">
        <v>0</v>
      </c>
      <c r="AF267">
        <f>X267</f>
        <v>36</v>
      </c>
      <c r="AG267" s="41">
        <v>12</v>
      </c>
      <c r="AH267">
        <f t="shared" si="47"/>
        <v>36</v>
      </c>
      <c r="AI267">
        <f t="shared" si="48"/>
        <v>12</v>
      </c>
      <c r="AK267">
        <f t="shared" si="49"/>
        <v>3</v>
      </c>
      <c r="AL267">
        <v>10.9</v>
      </c>
      <c r="AM267" t="s">
        <v>27</v>
      </c>
      <c r="AN267">
        <v>10.9</v>
      </c>
      <c r="AO267" t="b">
        <f t="shared" si="50"/>
        <v>1</v>
      </c>
      <c r="AR267" t="s">
        <v>5061</v>
      </c>
      <c r="AS267" s="21">
        <v>46276</v>
      </c>
      <c r="AT267" t="s">
        <v>5062</v>
      </c>
      <c r="AU267" t="s">
        <v>5067</v>
      </c>
      <c r="AV267" t="s">
        <v>5062</v>
      </c>
      <c r="AW267" t="s">
        <v>5086</v>
      </c>
    </row>
    <row r="268" spans="1:49" hidden="1" x14ac:dyDescent="0.35">
      <c r="A268" t="s">
        <v>871</v>
      </c>
      <c r="B268" t="s">
        <v>872</v>
      </c>
      <c r="C268" t="s">
        <v>4818</v>
      </c>
      <c r="D268" t="s">
        <v>18</v>
      </c>
      <c r="E268" t="s">
        <v>1533</v>
      </c>
      <c r="F268" t="s">
        <v>1534</v>
      </c>
      <c r="G268" t="s">
        <v>21</v>
      </c>
      <c r="H268" t="s">
        <v>4888</v>
      </c>
      <c r="I268" t="s">
        <v>4889</v>
      </c>
      <c r="J268" s="4" t="s">
        <v>4890</v>
      </c>
      <c r="K268" s="4" t="s">
        <v>4911</v>
      </c>
      <c r="L268" s="4" t="s">
        <v>4898</v>
      </c>
      <c r="M268" s="4" t="s">
        <v>5035</v>
      </c>
      <c r="N268" t="s">
        <v>1535</v>
      </c>
      <c r="O268" t="s">
        <v>1536</v>
      </c>
      <c r="P268" t="s">
        <v>23</v>
      </c>
      <c r="Q268" t="s">
        <v>24</v>
      </c>
      <c r="R268" t="s">
        <v>25</v>
      </c>
      <c r="S268" t="s">
        <v>26</v>
      </c>
      <c r="T268" s="6">
        <v>46307</v>
      </c>
      <c r="U268">
        <v>36</v>
      </c>
      <c r="V268">
        <v>36</v>
      </c>
      <c r="W268">
        <v>36</v>
      </c>
      <c r="X268">
        <v>36</v>
      </c>
      <c r="Y268">
        <f t="shared" si="45"/>
        <v>0</v>
      </c>
      <c r="Z268">
        <f t="shared" si="46"/>
        <v>0</v>
      </c>
      <c r="AC268" s="1">
        <v>0</v>
      </c>
      <c r="AF268">
        <f>V268</f>
        <v>36</v>
      </c>
      <c r="AG268" s="41">
        <v>12</v>
      </c>
      <c r="AH268">
        <f t="shared" si="47"/>
        <v>36</v>
      </c>
      <c r="AI268">
        <f t="shared" si="48"/>
        <v>0</v>
      </c>
      <c r="AK268">
        <f t="shared" si="49"/>
        <v>3</v>
      </c>
      <c r="AL268">
        <v>11.87</v>
      </c>
      <c r="AM268" t="s">
        <v>27</v>
      </c>
      <c r="AN268">
        <v>11.87</v>
      </c>
      <c r="AO268" t="b">
        <f t="shared" si="50"/>
        <v>1</v>
      </c>
      <c r="AR268" t="s">
        <v>5061</v>
      </c>
      <c r="AS268" s="21">
        <v>46276</v>
      </c>
      <c r="AT268" t="s">
        <v>5062</v>
      </c>
      <c r="AU268" t="s">
        <v>5067</v>
      </c>
      <c r="AV268" t="s">
        <v>5062</v>
      </c>
      <c r="AW268" t="s">
        <v>5086</v>
      </c>
    </row>
    <row r="269" spans="1:49" hidden="1" x14ac:dyDescent="0.35">
      <c r="A269" t="s">
        <v>871</v>
      </c>
      <c r="B269" t="s">
        <v>872</v>
      </c>
      <c r="C269" t="s">
        <v>4818</v>
      </c>
      <c r="D269" t="s">
        <v>18</v>
      </c>
      <c r="E269" t="s">
        <v>1537</v>
      </c>
      <c r="F269" t="s">
        <v>1538</v>
      </c>
      <c r="G269" t="s">
        <v>21</v>
      </c>
      <c r="H269" t="s">
        <v>4888</v>
      </c>
      <c r="I269" t="s">
        <v>4889</v>
      </c>
      <c r="J269" s="4" t="s">
        <v>4890</v>
      </c>
      <c r="K269" s="4" t="s">
        <v>4911</v>
      </c>
      <c r="L269" s="4" t="s">
        <v>4914</v>
      </c>
      <c r="M269" s="4" t="s">
        <v>5035</v>
      </c>
      <c r="N269" t="s">
        <v>1539</v>
      </c>
      <c r="O269" t="s">
        <v>1540</v>
      </c>
      <c r="P269" t="s">
        <v>23</v>
      </c>
      <c r="Q269" t="s">
        <v>24</v>
      </c>
      <c r="R269" t="s">
        <v>25</v>
      </c>
      <c r="S269" t="s">
        <v>26</v>
      </c>
      <c r="T269" s="6">
        <v>46307</v>
      </c>
      <c r="U269">
        <v>24</v>
      </c>
      <c r="V269">
        <v>24</v>
      </c>
      <c r="W269">
        <v>24</v>
      </c>
      <c r="X269">
        <v>24</v>
      </c>
      <c r="Y269">
        <f t="shared" si="45"/>
        <v>0</v>
      </c>
      <c r="Z269">
        <f t="shared" si="46"/>
        <v>0</v>
      </c>
      <c r="AC269" s="1">
        <v>0</v>
      </c>
      <c r="AF269">
        <f>V269</f>
        <v>24</v>
      </c>
      <c r="AG269" s="41">
        <v>12</v>
      </c>
      <c r="AH269">
        <f t="shared" si="47"/>
        <v>24</v>
      </c>
      <c r="AI269">
        <f t="shared" si="48"/>
        <v>0</v>
      </c>
      <c r="AK269">
        <f t="shared" si="49"/>
        <v>2</v>
      </c>
      <c r="AL269">
        <v>11.87</v>
      </c>
      <c r="AM269" t="s">
        <v>27</v>
      </c>
      <c r="AN269">
        <v>11.87</v>
      </c>
      <c r="AO269" t="b">
        <f t="shared" si="50"/>
        <v>1</v>
      </c>
      <c r="AR269" t="s">
        <v>5061</v>
      </c>
      <c r="AS269" s="21">
        <v>46276</v>
      </c>
      <c r="AT269" t="s">
        <v>5062</v>
      </c>
      <c r="AU269" t="s">
        <v>5067</v>
      </c>
      <c r="AV269" t="s">
        <v>5062</v>
      </c>
      <c r="AW269" t="s">
        <v>5086</v>
      </c>
    </row>
    <row r="270" spans="1:49" hidden="1" x14ac:dyDescent="0.35">
      <c r="A270" t="s">
        <v>871</v>
      </c>
      <c r="B270" t="s">
        <v>872</v>
      </c>
      <c r="C270" t="s">
        <v>4818</v>
      </c>
      <c r="D270" t="s">
        <v>18</v>
      </c>
      <c r="E270" t="s">
        <v>1541</v>
      </c>
      <c r="F270" t="s">
        <v>1542</v>
      </c>
      <c r="G270" t="s">
        <v>21</v>
      </c>
      <c r="H270" t="s">
        <v>4888</v>
      </c>
      <c r="I270" t="s">
        <v>4893</v>
      </c>
      <c r="J270" s="4" t="s">
        <v>4894</v>
      </c>
      <c r="K270" s="4" t="s">
        <v>4904</v>
      </c>
      <c r="L270" s="4" t="s">
        <v>4855</v>
      </c>
      <c r="M270" s="4" t="s">
        <v>5035</v>
      </c>
      <c r="N270" t="s">
        <v>1543</v>
      </c>
      <c r="O270" t="s">
        <v>1544</v>
      </c>
      <c r="P270" t="s">
        <v>23</v>
      </c>
      <c r="Q270" t="s">
        <v>24</v>
      </c>
      <c r="R270" t="s">
        <v>25</v>
      </c>
      <c r="S270" t="s">
        <v>26</v>
      </c>
      <c r="T270" s="6">
        <v>46307</v>
      </c>
      <c r="U270">
        <v>60</v>
      </c>
      <c r="V270">
        <v>60</v>
      </c>
      <c r="W270">
        <v>60</v>
      </c>
      <c r="X270">
        <v>60</v>
      </c>
      <c r="Y270">
        <f t="shared" si="45"/>
        <v>0</v>
      </c>
      <c r="Z270">
        <f t="shared" si="46"/>
        <v>0</v>
      </c>
      <c r="AC270" s="1">
        <v>0</v>
      </c>
      <c r="AF270">
        <f>V270</f>
        <v>60</v>
      </c>
      <c r="AG270" s="41">
        <v>12</v>
      </c>
      <c r="AH270">
        <f t="shared" si="47"/>
        <v>60</v>
      </c>
      <c r="AI270">
        <f t="shared" si="48"/>
        <v>0</v>
      </c>
      <c r="AK270">
        <f t="shared" si="49"/>
        <v>5</v>
      </c>
      <c r="AL270">
        <v>10.16</v>
      </c>
      <c r="AM270" t="s">
        <v>27</v>
      </c>
      <c r="AN270">
        <v>10.16</v>
      </c>
      <c r="AO270" t="b">
        <f t="shared" si="50"/>
        <v>1</v>
      </c>
      <c r="AR270" t="s">
        <v>5061</v>
      </c>
      <c r="AS270" s="21">
        <v>46276</v>
      </c>
      <c r="AT270" t="s">
        <v>5062</v>
      </c>
      <c r="AU270" t="s">
        <v>5068</v>
      </c>
      <c r="AV270" t="s">
        <v>5062</v>
      </c>
      <c r="AW270" t="s">
        <v>5086</v>
      </c>
    </row>
    <row r="271" spans="1:49" hidden="1" x14ac:dyDescent="0.35">
      <c r="A271" t="s">
        <v>871</v>
      </c>
      <c r="B271" t="s">
        <v>872</v>
      </c>
      <c r="C271" t="s">
        <v>4818</v>
      </c>
      <c r="D271" t="s">
        <v>18</v>
      </c>
      <c r="E271" t="s">
        <v>1545</v>
      </c>
      <c r="F271" t="s">
        <v>1546</v>
      </c>
      <c r="G271" t="s">
        <v>21</v>
      </c>
      <c r="H271" t="s">
        <v>4888</v>
      </c>
      <c r="I271" t="s">
        <v>4902</v>
      </c>
      <c r="J271" s="4" t="s">
        <v>4903</v>
      </c>
      <c r="K271" s="4" t="s">
        <v>4915</v>
      </c>
      <c r="L271" s="4" t="s">
        <v>4879</v>
      </c>
      <c r="M271" s="4" t="s">
        <v>5035</v>
      </c>
      <c r="N271" t="s">
        <v>1547</v>
      </c>
      <c r="O271" t="s">
        <v>1548</v>
      </c>
      <c r="P271" t="s">
        <v>23</v>
      </c>
      <c r="Q271" t="s">
        <v>24</v>
      </c>
      <c r="R271" t="s">
        <v>25</v>
      </c>
      <c r="S271" t="s">
        <v>26</v>
      </c>
      <c r="T271" s="6">
        <v>46307</v>
      </c>
      <c r="U271">
        <v>240</v>
      </c>
      <c r="V271">
        <v>240</v>
      </c>
      <c r="W271">
        <v>216</v>
      </c>
      <c r="X271">
        <v>216</v>
      </c>
      <c r="Y271">
        <f t="shared" si="45"/>
        <v>0</v>
      </c>
      <c r="Z271">
        <f t="shared" si="46"/>
        <v>24</v>
      </c>
      <c r="AA271">
        <f t="shared" ref="AA271:AA273" si="52">Z271</f>
        <v>24</v>
      </c>
      <c r="AC271" s="1">
        <v>0</v>
      </c>
      <c r="AF271">
        <f>X271</f>
        <v>216</v>
      </c>
      <c r="AG271" s="41">
        <v>12</v>
      </c>
      <c r="AH271">
        <f t="shared" si="47"/>
        <v>216</v>
      </c>
      <c r="AI271">
        <f t="shared" si="48"/>
        <v>24</v>
      </c>
      <c r="AK271">
        <f t="shared" si="49"/>
        <v>18</v>
      </c>
      <c r="AL271">
        <v>10.66</v>
      </c>
      <c r="AM271" t="s">
        <v>27</v>
      </c>
      <c r="AN271">
        <v>10.66</v>
      </c>
      <c r="AO271" t="b">
        <f t="shared" si="50"/>
        <v>1</v>
      </c>
      <c r="AR271" t="s">
        <v>5061</v>
      </c>
      <c r="AS271" s="21">
        <v>46276</v>
      </c>
      <c r="AT271" t="s">
        <v>5062</v>
      </c>
      <c r="AU271" t="s">
        <v>5069</v>
      </c>
      <c r="AV271" t="s">
        <v>5062</v>
      </c>
      <c r="AW271" t="s">
        <v>5086</v>
      </c>
    </row>
    <row r="272" spans="1:49" hidden="1" x14ac:dyDescent="0.35">
      <c r="A272" t="s">
        <v>871</v>
      </c>
      <c r="B272" t="s">
        <v>872</v>
      </c>
      <c r="C272" t="s">
        <v>4818</v>
      </c>
      <c r="D272" t="s">
        <v>18</v>
      </c>
      <c r="E272" t="s">
        <v>1549</v>
      </c>
      <c r="F272" t="s">
        <v>1550</v>
      </c>
      <c r="G272" t="s">
        <v>21</v>
      </c>
      <c r="H272" t="s">
        <v>4888</v>
      </c>
      <c r="I272" t="s">
        <v>4893</v>
      </c>
      <c r="J272" s="4" t="s">
        <v>4894</v>
      </c>
      <c r="K272" s="4" t="s">
        <v>4904</v>
      </c>
      <c r="L272" s="4" t="s">
        <v>4919</v>
      </c>
      <c r="M272" s="4" t="s">
        <v>5035</v>
      </c>
      <c r="N272" t="s">
        <v>1551</v>
      </c>
      <c r="O272" t="s">
        <v>1552</v>
      </c>
      <c r="P272" t="s">
        <v>23</v>
      </c>
      <c r="Q272" t="s">
        <v>24</v>
      </c>
      <c r="R272" t="s">
        <v>25</v>
      </c>
      <c r="S272" t="s">
        <v>26</v>
      </c>
      <c r="T272" s="6">
        <v>46307</v>
      </c>
      <c r="U272">
        <v>144</v>
      </c>
      <c r="V272">
        <v>144</v>
      </c>
      <c r="W272">
        <v>120</v>
      </c>
      <c r="X272">
        <v>120</v>
      </c>
      <c r="Y272">
        <f t="shared" si="45"/>
        <v>0</v>
      </c>
      <c r="Z272">
        <f t="shared" si="46"/>
        <v>24</v>
      </c>
      <c r="AA272">
        <f t="shared" si="52"/>
        <v>24</v>
      </c>
      <c r="AC272" s="1">
        <v>0</v>
      </c>
      <c r="AF272">
        <f>X272</f>
        <v>120</v>
      </c>
      <c r="AG272" s="41">
        <v>12</v>
      </c>
      <c r="AH272">
        <f t="shared" si="47"/>
        <v>120</v>
      </c>
      <c r="AI272">
        <f t="shared" si="48"/>
        <v>24</v>
      </c>
      <c r="AK272">
        <f t="shared" si="49"/>
        <v>10</v>
      </c>
      <c r="AL272">
        <v>10.16</v>
      </c>
      <c r="AM272" t="s">
        <v>27</v>
      </c>
      <c r="AN272">
        <v>10.16</v>
      </c>
      <c r="AO272" t="b">
        <f t="shared" si="50"/>
        <v>1</v>
      </c>
      <c r="AR272" t="s">
        <v>5061</v>
      </c>
      <c r="AS272" s="21">
        <v>46276</v>
      </c>
      <c r="AT272" t="s">
        <v>5062</v>
      </c>
      <c r="AU272" t="s">
        <v>5068</v>
      </c>
      <c r="AV272" t="s">
        <v>5062</v>
      </c>
      <c r="AW272" t="s">
        <v>5086</v>
      </c>
    </row>
    <row r="273" spans="1:49" hidden="1" x14ac:dyDescent="0.35">
      <c r="A273" t="s">
        <v>871</v>
      </c>
      <c r="B273" t="s">
        <v>872</v>
      </c>
      <c r="C273" t="s">
        <v>4818</v>
      </c>
      <c r="D273" t="s">
        <v>18</v>
      </c>
      <c r="E273" t="s">
        <v>1553</v>
      </c>
      <c r="F273" t="s">
        <v>1554</v>
      </c>
      <c r="G273" t="s">
        <v>21</v>
      </c>
      <c r="H273" t="s">
        <v>4888</v>
      </c>
      <c r="I273" t="s">
        <v>4889</v>
      </c>
      <c r="J273" s="4" t="s">
        <v>4890</v>
      </c>
      <c r="K273" s="4" t="s">
        <v>4899</v>
      </c>
      <c r="L273" s="4" t="s">
        <v>4875</v>
      </c>
      <c r="M273" s="4" t="s">
        <v>5035</v>
      </c>
      <c r="N273" t="s">
        <v>1555</v>
      </c>
      <c r="O273" t="s">
        <v>1556</v>
      </c>
      <c r="P273" t="s">
        <v>23</v>
      </c>
      <c r="Q273" t="s">
        <v>24</v>
      </c>
      <c r="R273" t="s">
        <v>25</v>
      </c>
      <c r="S273" t="s">
        <v>26</v>
      </c>
      <c r="T273" s="6">
        <v>46307</v>
      </c>
      <c r="U273">
        <v>276</v>
      </c>
      <c r="V273">
        <v>276</v>
      </c>
      <c r="W273">
        <v>252</v>
      </c>
      <c r="X273">
        <v>252</v>
      </c>
      <c r="Y273">
        <f t="shared" si="45"/>
        <v>0</v>
      </c>
      <c r="Z273">
        <f t="shared" si="46"/>
        <v>24</v>
      </c>
      <c r="AA273">
        <f t="shared" si="52"/>
        <v>24</v>
      </c>
      <c r="AC273" s="1">
        <v>0</v>
      </c>
      <c r="AF273">
        <f>X273</f>
        <v>252</v>
      </c>
      <c r="AG273" s="41">
        <v>12</v>
      </c>
      <c r="AH273">
        <f t="shared" si="47"/>
        <v>252</v>
      </c>
      <c r="AI273">
        <f t="shared" si="48"/>
        <v>24</v>
      </c>
      <c r="AK273">
        <f t="shared" si="49"/>
        <v>21</v>
      </c>
      <c r="AL273">
        <v>10.9</v>
      </c>
      <c r="AM273" t="s">
        <v>27</v>
      </c>
      <c r="AN273">
        <v>10.9</v>
      </c>
      <c r="AO273" t="b">
        <f t="shared" si="50"/>
        <v>1</v>
      </c>
      <c r="AR273" t="s">
        <v>5061</v>
      </c>
      <c r="AS273" s="21">
        <v>46276</v>
      </c>
      <c r="AT273" t="s">
        <v>5062</v>
      </c>
      <c r="AU273" t="s">
        <v>5067</v>
      </c>
      <c r="AV273" t="s">
        <v>5062</v>
      </c>
      <c r="AW273" t="s">
        <v>5086</v>
      </c>
    </row>
    <row r="274" spans="1:49" hidden="1" x14ac:dyDescent="0.35">
      <c r="A274" t="s">
        <v>871</v>
      </c>
      <c r="B274" t="s">
        <v>872</v>
      </c>
      <c r="C274" t="s">
        <v>4818</v>
      </c>
      <c r="D274" t="s">
        <v>18</v>
      </c>
      <c r="E274" t="s">
        <v>1557</v>
      </c>
      <c r="F274" t="s">
        <v>1558</v>
      </c>
      <c r="G274" t="s">
        <v>21</v>
      </c>
      <c r="H274" t="s">
        <v>4888</v>
      </c>
      <c r="I274" t="s">
        <v>4893</v>
      </c>
      <c r="J274" s="4" t="s">
        <v>4894</v>
      </c>
      <c r="K274" s="4" t="s">
        <v>4837</v>
      </c>
      <c r="L274" s="4" t="s">
        <v>4853</v>
      </c>
      <c r="M274" s="4" t="s">
        <v>5035</v>
      </c>
      <c r="N274" t="s">
        <v>1559</v>
      </c>
      <c r="O274" t="s">
        <v>1560</v>
      </c>
      <c r="P274" t="s">
        <v>23</v>
      </c>
      <c r="Q274" t="s">
        <v>24</v>
      </c>
      <c r="R274" t="s">
        <v>25</v>
      </c>
      <c r="S274" t="s">
        <v>26</v>
      </c>
      <c r="T274" s="6">
        <v>46307</v>
      </c>
      <c r="U274">
        <v>72</v>
      </c>
      <c r="V274">
        <v>72</v>
      </c>
      <c r="W274">
        <v>72</v>
      </c>
      <c r="X274">
        <v>72</v>
      </c>
      <c r="Y274">
        <f t="shared" si="45"/>
        <v>0</v>
      </c>
      <c r="Z274">
        <f t="shared" si="46"/>
        <v>0</v>
      </c>
      <c r="AC274" s="1">
        <v>0</v>
      </c>
      <c r="AF274">
        <f t="shared" ref="AF274:AF281" si="53">V274</f>
        <v>72</v>
      </c>
      <c r="AG274" s="41">
        <v>12</v>
      </c>
      <c r="AH274">
        <f t="shared" si="47"/>
        <v>72</v>
      </c>
      <c r="AI274">
        <f t="shared" si="48"/>
        <v>0</v>
      </c>
      <c r="AK274">
        <f t="shared" si="49"/>
        <v>6</v>
      </c>
      <c r="AL274">
        <v>10.06</v>
      </c>
      <c r="AM274" t="s">
        <v>27</v>
      </c>
      <c r="AN274">
        <v>10.06</v>
      </c>
      <c r="AO274" t="b">
        <f t="shared" si="50"/>
        <v>1</v>
      </c>
      <c r="AR274" t="s">
        <v>5061</v>
      </c>
      <c r="AS274" s="21">
        <v>46276</v>
      </c>
      <c r="AT274" t="s">
        <v>5062</v>
      </c>
      <c r="AU274" t="s">
        <v>5068</v>
      </c>
      <c r="AV274" t="s">
        <v>5062</v>
      </c>
      <c r="AW274" t="s">
        <v>5086</v>
      </c>
    </row>
    <row r="275" spans="1:49" hidden="1" x14ac:dyDescent="0.35">
      <c r="A275" t="s">
        <v>871</v>
      </c>
      <c r="B275" t="s">
        <v>872</v>
      </c>
      <c r="C275" t="s">
        <v>4818</v>
      </c>
      <c r="D275" t="s">
        <v>18</v>
      </c>
      <c r="E275" t="s">
        <v>1561</v>
      </c>
      <c r="F275" t="s">
        <v>1562</v>
      </c>
      <c r="G275" t="s">
        <v>21</v>
      </c>
      <c r="H275" t="s">
        <v>4888</v>
      </c>
      <c r="I275" t="s">
        <v>4889</v>
      </c>
      <c r="J275" s="4" t="s">
        <v>4890</v>
      </c>
      <c r="K275" s="4" t="s">
        <v>4891</v>
      </c>
      <c r="L275" s="4" t="s">
        <v>4934</v>
      </c>
      <c r="M275" s="4" t="s">
        <v>5035</v>
      </c>
      <c r="N275" t="s">
        <v>1563</v>
      </c>
      <c r="O275" t="s">
        <v>1564</v>
      </c>
      <c r="P275" t="s">
        <v>23</v>
      </c>
      <c r="Q275" t="s">
        <v>24</v>
      </c>
      <c r="R275" t="s">
        <v>25</v>
      </c>
      <c r="S275" t="s">
        <v>26</v>
      </c>
      <c r="T275" s="6">
        <v>46307</v>
      </c>
      <c r="U275">
        <v>84</v>
      </c>
      <c r="V275">
        <v>84</v>
      </c>
      <c r="W275">
        <v>96</v>
      </c>
      <c r="X275">
        <v>96</v>
      </c>
      <c r="Y275">
        <f t="shared" si="45"/>
        <v>0</v>
      </c>
      <c r="Z275">
        <f t="shared" si="46"/>
        <v>-12</v>
      </c>
      <c r="AC275" s="1">
        <v>0</v>
      </c>
      <c r="AF275">
        <f t="shared" si="53"/>
        <v>84</v>
      </c>
      <c r="AG275" s="41">
        <v>12</v>
      </c>
      <c r="AH275">
        <f t="shared" si="47"/>
        <v>84</v>
      </c>
      <c r="AI275">
        <f t="shared" si="48"/>
        <v>0</v>
      </c>
      <c r="AK275">
        <f t="shared" si="49"/>
        <v>7</v>
      </c>
      <c r="AL275">
        <v>11.2</v>
      </c>
      <c r="AM275" t="s">
        <v>27</v>
      </c>
      <c r="AN275">
        <v>11.2</v>
      </c>
      <c r="AO275" t="b">
        <f t="shared" si="50"/>
        <v>1</v>
      </c>
      <c r="AR275" t="s">
        <v>5061</v>
      </c>
      <c r="AS275" s="21">
        <v>46276</v>
      </c>
      <c r="AT275" t="s">
        <v>5062</v>
      </c>
      <c r="AU275" t="s">
        <v>5067</v>
      </c>
      <c r="AV275" t="s">
        <v>5062</v>
      </c>
      <c r="AW275" t="s">
        <v>5086</v>
      </c>
    </row>
    <row r="276" spans="1:49" hidden="1" x14ac:dyDescent="0.35">
      <c r="A276" t="s">
        <v>871</v>
      </c>
      <c r="B276" t="s">
        <v>872</v>
      </c>
      <c r="C276" t="s">
        <v>4818</v>
      </c>
      <c r="D276" t="s">
        <v>18</v>
      </c>
      <c r="E276" t="s">
        <v>1565</v>
      </c>
      <c r="F276" t="s">
        <v>1566</v>
      </c>
      <c r="G276" t="s">
        <v>21</v>
      </c>
      <c r="H276" t="s">
        <v>4888</v>
      </c>
      <c r="I276" t="s">
        <v>4893</v>
      </c>
      <c r="J276" s="4" t="s">
        <v>4894</v>
      </c>
      <c r="K276" s="4" t="s">
        <v>4904</v>
      </c>
      <c r="L276" s="4" t="s">
        <v>4884</v>
      </c>
      <c r="M276" s="4" t="s">
        <v>5035</v>
      </c>
      <c r="N276" t="s">
        <v>1567</v>
      </c>
      <c r="O276" t="s">
        <v>1568</v>
      </c>
      <c r="P276" t="s">
        <v>23</v>
      </c>
      <c r="Q276" t="s">
        <v>24</v>
      </c>
      <c r="R276" t="s">
        <v>25</v>
      </c>
      <c r="S276" t="s">
        <v>26</v>
      </c>
      <c r="T276" s="6">
        <v>46307</v>
      </c>
      <c r="U276">
        <v>12</v>
      </c>
      <c r="V276">
        <v>12</v>
      </c>
      <c r="W276">
        <v>12</v>
      </c>
      <c r="X276">
        <v>12</v>
      </c>
      <c r="Y276">
        <f t="shared" si="45"/>
        <v>0</v>
      </c>
      <c r="Z276">
        <f t="shared" si="46"/>
        <v>0</v>
      </c>
      <c r="AC276" s="1">
        <v>0</v>
      </c>
      <c r="AF276">
        <f t="shared" si="53"/>
        <v>12</v>
      </c>
      <c r="AG276" s="41">
        <v>12</v>
      </c>
      <c r="AH276">
        <f t="shared" si="47"/>
        <v>12</v>
      </c>
      <c r="AI276">
        <f t="shared" si="48"/>
        <v>0</v>
      </c>
      <c r="AK276">
        <f t="shared" si="49"/>
        <v>1</v>
      </c>
      <c r="AL276">
        <v>10.16</v>
      </c>
      <c r="AM276" t="s">
        <v>27</v>
      </c>
      <c r="AN276">
        <v>10.16</v>
      </c>
      <c r="AO276" t="b">
        <f t="shared" si="50"/>
        <v>1</v>
      </c>
      <c r="AR276" t="s">
        <v>5061</v>
      </c>
      <c r="AS276" s="21">
        <v>46276</v>
      </c>
      <c r="AT276" t="s">
        <v>5062</v>
      </c>
      <c r="AU276" t="s">
        <v>5068</v>
      </c>
      <c r="AV276" t="s">
        <v>5062</v>
      </c>
      <c r="AW276" t="s">
        <v>5086</v>
      </c>
    </row>
    <row r="277" spans="1:49" hidden="1" x14ac:dyDescent="0.35">
      <c r="A277" t="s">
        <v>871</v>
      </c>
      <c r="B277" t="s">
        <v>872</v>
      </c>
      <c r="C277" t="s">
        <v>4818</v>
      </c>
      <c r="D277" t="s">
        <v>18</v>
      </c>
      <c r="E277" t="s">
        <v>1569</v>
      </c>
      <c r="F277" t="s">
        <v>1570</v>
      </c>
      <c r="G277" t="s">
        <v>21</v>
      </c>
      <c r="H277" t="s">
        <v>4888</v>
      </c>
      <c r="I277" t="s">
        <v>4893</v>
      </c>
      <c r="J277" s="4" t="s">
        <v>4894</v>
      </c>
      <c r="K277" s="4" t="s">
        <v>4913</v>
      </c>
      <c r="L277" s="4" t="s">
        <v>4864</v>
      </c>
      <c r="M277" s="4" t="s">
        <v>5035</v>
      </c>
      <c r="N277" t="s">
        <v>1571</v>
      </c>
      <c r="O277" t="s">
        <v>1572</v>
      </c>
      <c r="P277" t="s">
        <v>23</v>
      </c>
      <c r="Q277" t="s">
        <v>24</v>
      </c>
      <c r="R277" t="s">
        <v>25</v>
      </c>
      <c r="S277" t="s">
        <v>26</v>
      </c>
      <c r="T277" s="6">
        <v>46307</v>
      </c>
      <c r="U277">
        <v>84</v>
      </c>
      <c r="V277">
        <v>84</v>
      </c>
      <c r="W277">
        <v>96</v>
      </c>
      <c r="X277">
        <v>96</v>
      </c>
      <c r="Y277">
        <f t="shared" si="45"/>
        <v>0</v>
      </c>
      <c r="Z277">
        <f t="shared" si="46"/>
        <v>-12</v>
      </c>
      <c r="AC277" s="1">
        <v>0</v>
      </c>
      <c r="AF277">
        <f t="shared" si="53"/>
        <v>84</v>
      </c>
      <c r="AG277" s="41">
        <v>12</v>
      </c>
      <c r="AH277">
        <f t="shared" si="47"/>
        <v>84</v>
      </c>
      <c r="AI277">
        <f t="shared" si="48"/>
        <v>0</v>
      </c>
      <c r="AK277">
        <f t="shared" si="49"/>
        <v>7</v>
      </c>
      <c r="AL277">
        <v>9.9499999999999993</v>
      </c>
      <c r="AM277" t="s">
        <v>27</v>
      </c>
      <c r="AN277">
        <v>9.9499999999999993</v>
      </c>
      <c r="AO277" t="b">
        <f t="shared" si="50"/>
        <v>1</v>
      </c>
      <c r="AR277" t="s">
        <v>5061</v>
      </c>
      <c r="AS277" s="21">
        <v>46276</v>
      </c>
      <c r="AT277" t="s">
        <v>5062</v>
      </c>
      <c r="AU277" t="s">
        <v>5068</v>
      </c>
      <c r="AV277" t="s">
        <v>5062</v>
      </c>
      <c r="AW277" t="s">
        <v>5086</v>
      </c>
    </row>
    <row r="278" spans="1:49" hidden="1" x14ac:dyDescent="0.35">
      <c r="A278" t="s">
        <v>871</v>
      </c>
      <c r="B278" t="s">
        <v>872</v>
      </c>
      <c r="C278" t="s">
        <v>4818</v>
      </c>
      <c r="D278" t="s">
        <v>18</v>
      </c>
      <c r="E278" t="s">
        <v>1573</v>
      </c>
      <c r="F278" t="s">
        <v>1574</v>
      </c>
      <c r="G278" t="s">
        <v>21</v>
      </c>
      <c r="H278" t="s">
        <v>4888</v>
      </c>
      <c r="I278" t="s">
        <v>4893</v>
      </c>
      <c r="J278" s="4" t="s">
        <v>4894</v>
      </c>
      <c r="K278" s="4" t="s">
        <v>4904</v>
      </c>
      <c r="L278" s="4" t="s">
        <v>4933</v>
      </c>
      <c r="M278" s="4" t="s">
        <v>5035</v>
      </c>
      <c r="N278" t="s">
        <v>1575</v>
      </c>
      <c r="O278" t="s">
        <v>1576</v>
      </c>
      <c r="P278" t="s">
        <v>23</v>
      </c>
      <c r="Q278" t="s">
        <v>24</v>
      </c>
      <c r="R278" t="s">
        <v>25</v>
      </c>
      <c r="S278" t="s">
        <v>26</v>
      </c>
      <c r="T278" s="6">
        <v>46307</v>
      </c>
      <c r="U278">
        <v>72</v>
      </c>
      <c r="V278">
        <v>72</v>
      </c>
      <c r="W278">
        <v>84</v>
      </c>
      <c r="X278">
        <v>84</v>
      </c>
      <c r="Y278">
        <f t="shared" si="45"/>
        <v>0</v>
      </c>
      <c r="Z278">
        <f t="shared" si="46"/>
        <v>-12</v>
      </c>
      <c r="AC278" s="1">
        <v>0</v>
      </c>
      <c r="AF278">
        <f t="shared" si="53"/>
        <v>72</v>
      </c>
      <c r="AG278" s="41">
        <v>12</v>
      </c>
      <c r="AH278">
        <f t="shared" si="47"/>
        <v>72</v>
      </c>
      <c r="AI278">
        <f t="shared" si="48"/>
        <v>0</v>
      </c>
      <c r="AK278">
        <f t="shared" si="49"/>
        <v>6</v>
      </c>
      <c r="AL278">
        <v>10.16</v>
      </c>
      <c r="AM278" t="s">
        <v>27</v>
      </c>
      <c r="AN278">
        <v>10.16</v>
      </c>
      <c r="AO278" t="b">
        <f t="shared" si="50"/>
        <v>1</v>
      </c>
      <c r="AR278" t="s">
        <v>5061</v>
      </c>
      <c r="AS278" s="21">
        <v>46276</v>
      </c>
      <c r="AT278" t="s">
        <v>5062</v>
      </c>
      <c r="AU278" t="s">
        <v>5068</v>
      </c>
      <c r="AV278" t="s">
        <v>5062</v>
      </c>
      <c r="AW278" t="s">
        <v>5086</v>
      </c>
    </row>
    <row r="279" spans="1:49" hidden="1" x14ac:dyDescent="0.35">
      <c r="A279" t="s">
        <v>871</v>
      </c>
      <c r="B279" t="s">
        <v>872</v>
      </c>
      <c r="C279" t="s">
        <v>4818</v>
      </c>
      <c r="D279" t="s">
        <v>18</v>
      </c>
      <c r="E279" t="s">
        <v>1577</v>
      </c>
      <c r="F279" t="s">
        <v>1578</v>
      </c>
      <c r="G279" t="s">
        <v>21</v>
      </c>
      <c r="H279" t="s">
        <v>4888</v>
      </c>
      <c r="I279" t="s">
        <v>4893</v>
      </c>
      <c r="J279" s="4" t="s">
        <v>4894</v>
      </c>
      <c r="K279" s="4" t="s">
        <v>4837</v>
      </c>
      <c r="L279" s="4" t="s">
        <v>4934</v>
      </c>
      <c r="M279" s="4" t="s">
        <v>5035</v>
      </c>
      <c r="N279" t="s">
        <v>1579</v>
      </c>
      <c r="O279" t="s">
        <v>1580</v>
      </c>
      <c r="P279" t="s">
        <v>23</v>
      </c>
      <c r="Q279" t="s">
        <v>24</v>
      </c>
      <c r="R279" t="s">
        <v>25</v>
      </c>
      <c r="S279" t="s">
        <v>26</v>
      </c>
      <c r="T279" s="6">
        <v>46307</v>
      </c>
      <c r="U279">
        <v>96</v>
      </c>
      <c r="V279">
        <v>96</v>
      </c>
      <c r="W279">
        <v>96</v>
      </c>
      <c r="X279">
        <v>96</v>
      </c>
      <c r="Y279">
        <f t="shared" si="45"/>
        <v>0</v>
      </c>
      <c r="Z279">
        <f t="shared" si="46"/>
        <v>0</v>
      </c>
      <c r="AC279" s="1">
        <v>0</v>
      </c>
      <c r="AF279">
        <f t="shared" si="53"/>
        <v>96</v>
      </c>
      <c r="AG279" s="41">
        <v>12</v>
      </c>
      <c r="AH279">
        <f t="shared" si="47"/>
        <v>96</v>
      </c>
      <c r="AI279">
        <f t="shared" si="48"/>
        <v>0</v>
      </c>
      <c r="AK279">
        <f t="shared" si="49"/>
        <v>8</v>
      </c>
      <c r="AL279">
        <v>10.06</v>
      </c>
      <c r="AM279" t="s">
        <v>27</v>
      </c>
      <c r="AN279">
        <v>10.06</v>
      </c>
      <c r="AO279" t="b">
        <f t="shared" si="50"/>
        <v>1</v>
      </c>
      <c r="AR279" t="s">
        <v>5061</v>
      </c>
      <c r="AS279" s="21">
        <v>46276</v>
      </c>
      <c r="AT279" t="s">
        <v>5062</v>
      </c>
      <c r="AU279" t="s">
        <v>5068</v>
      </c>
      <c r="AV279" t="s">
        <v>5062</v>
      </c>
      <c r="AW279" t="s">
        <v>5086</v>
      </c>
    </row>
    <row r="280" spans="1:49" hidden="1" x14ac:dyDescent="0.35">
      <c r="A280" t="s">
        <v>871</v>
      </c>
      <c r="B280" t="s">
        <v>872</v>
      </c>
      <c r="C280" t="s">
        <v>4818</v>
      </c>
      <c r="D280" t="s">
        <v>18</v>
      </c>
      <c r="E280" t="s">
        <v>1581</v>
      </c>
      <c r="F280" t="s">
        <v>1582</v>
      </c>
      <c r="G280" t="s">
        <v>21</v>
      </c>
      <c r="H280" t="s">
        <v>4888</v>
      </c>
      <c r="I280" t="s">
        <v>4893</v>
      </c>
      <c r="J280" s="4" t="s">
        <v>4894</v>
      </c>
      <c r="K280" s="4" t="s">
        <v>4837</v>
      </c>
      <c r="L280" s="4" t="s">
        <v>4917</v>
      </c>
      <c r="M280" s="4" t="s">
        <v>5035</v>
      </c>
      <c r="N280" t="s">
        <v>1583</v>
      </c>
      <c r="O280" t="s">
        <v>1584</v>
      </c>
      <c r="P280" t="s">
        <v>23</v>
      </c>
      <c r="Q280" t="s">
        <v>24</v>
      </c>
      <c r="R280" t="s">
        <v>25</v>
      </c>
      <c r="S280" t="s">
        <v>26</v>
      </c>
      <c r="T280" s="6">
        <v>46307</v>
      </c>
      <c r="U280">
        <v>12</v>
      </c>
      <c r="V280">
        <v>12</v>
      </c>
      <c r="W280">
        <v>12</v>
      </c>
      <c r="X280">
        <v>12</v>
      </c>
      <c r="Y280">
        <f t="shared" si="45"/>
        <v>0</v>
      </c>
      <c r="Z280">
        <f t="shared" si="46"/>
        <v>0</v>
      </c>
      <c r="AC280" s="1">
        <v>0</v>
      </c>
      <c r="AF280">
        <f t="shared" si="53"/>
        <v>12</v>
      </c>
      <c r="AG280" s="41">
        <v>12</v>
      </c>
      <c r="AH280">
        <f t="shared" si="47"/>
        <v>12</v>
      </c>
      <c r="AI280">
        <f t="shared" si="48"/>
        <v>0</v>
      </c>
      <c r="AK280">
        <f t="shared" si="49"/>
        <v>1</v>
      </c>
      <c r="AL280">
        <v>10.06</v>
      </c>
      <c r="AM280" t="s">
        <v>27</v>
      </c>
      <c r="AN280">
        <v>10.06</v>
      </c>
      <c r="AO280" t="b">
        <f t="shared" si="50"/>
        <v>1</v>
      </c>
      <c r="AR280" t="s">
        <v>5061</v>
      </c>
      <c r="AS280" s="21">
        <v>46276</v>
      </c>
      <c r="AT280" t="s">
        <v>5062</v>
      </c>
      <c r="AU280" t="s">
        <v>5068</v>
      </c>
      <c r="AV280" t="s">
        <v>5062</v>
      </c>
      <c r="AW280" t="s">
        <v>5086</v>
      </c>
    </row>
    <row r="281" spans="1:49" hidden="1" x14ac:dyDescent="0.35">
      <c r="A281" t="s">
        <v>871</v>
      </c>
      <c r="B281" t="s">
        <v>872</v>
      </c>
      <c r="C281" t="s">
        <v>4818</v>
      </c>
      <c r="D281" t="s">
        <v>18</v>
      </c>
      <c r="E281" t="s">
        <v>1585</v>
      </c>
      <c r="F281" t="s">
        <v>1586</v>
      </c>
      <c r="G281" t="s">
        <v>21</v>
      </c>
      <c r="H281" t="s">
        <v>4888</v>
      </c>
      <c r="I281" t="s">
        <v>4893</v>
      </c>
      <c r="J281" s="4" t="s">
        <v>4894</v>
      </c>
      <c r="K281" s="4" t="s">
        <v>4896</v>
      </c>
      <c r="L281" s="4" t="s">
        <v>4900</v>
      </c>
      <c r="M281" s="4" t="s">
        <v>5035</v>
      </c>
      <c r="N281" t="s">
        <v>1587</v>
      </c>
      <c r="O281" t="s">
        <v>1588</v>
      </c>
      <c r="P281" t="s">
        <v>23</v>
      </c>
      <c r="Q281" t="s">
        <v>24</v>
      </c>
      <c r="R281" t="s">
        <v>25</v>
      </c>
      <c r="S281" t="s">
        <v>26</v>
      </c>
      <c r="T281" s="6">
        <v>46307</v>
      </c>
      <c r="U281">
        <v>36</v>
      </c>
      <c r="V281">
        <v>36</v>
      </c>
      <c r="W281">
        <v>36</v>
      </c>
      <c r="X281">
        <v>36</v>
      </c>
      <c r="Y281">
        <f t="shared" si="45"/>
        <v>0</v>
      </c>
      <c r="Z281">
        <f t="shared" si="46"/>
        <v>0</v>
      </c>
      <c r="AC281" s="1">
        <v>0</v>
      </c>
      <c r="AF281">
        <f t="shared" si="53"/>
        <v>36</v>
      </c>
      <c r="AG281" s="41">
        <v>12</v>
      </c>
      <c r="AH281">
        <f t="shared" si="47"/>
        <v>36</v>
      </c>
      <c r="AI281">
        <f t="shared" si="48"/>
        <v>0</v>
      </c>
      <c r="AK281">
        <f t="shared" si="49"/>
        <v>3</v>
      </c>
      <c r="AL281">
        <v>10.220000000000001</v>
      </c>
      <c r="AM281" t="s">
        <v>27</v>
      </c>
      <c r="AN281">
        <v>10.220000000000001</v>
      </c>
      <c r="AO281" t="b">
        <f t="shared" si="50"/>
        <v>1</v>
      </c>
      <c r="AR281" t="s">
        <v>5061</v>
      </c>
      <c r="AS281" s="21">
        <v>46276</v>
      </c>
      <c r="AT281" t="s">
        <v>5062</v>
      </c>
      <c r="AU281" t="s">
        <v>5068</v>
      </c>
      <c r="AV281" t="s">
        <v>5062</v>
      </c>
      <c r="AW281" t="s">
        <v>5086</v>
      </c>
    </row>
    <row r="282" spans="1:49" hidden="1" x14ac:dyDescent="0.35">
      <c r="A282" t="s">
        <v>871</v>
      </c>
      <c r="B282" t="s">
        <v>872</v>
      </c>
      <c r="C282" t="s">
        <v>4818</v>
      </c>
      <c r="D282" t="s">
        <v>18</v>
      </c>
      <c r="E282" t="s">
        <v>1589</v>
      </c>
      <c r="F282" t="s">
        <v>1590</v>
      </c>
      <c r="G282" t="s">
        <v>21</v>
      </c>
      <c r="H282" t="s">
        <v>4888</v>
      </c>
      <c r="I282" t="s">
        <v>4889</v>
      </c>
      <c r="J282" s="4" t="s">
        <v>4890</v>
      </c>
      <c r="K282" s="4" t="s">
        <v>4911</v>
      </c>
      <c r="L282" s="4" t="s">
        <v>4926</v>
      </c>
      <c r="M282" s="4" t="s">
        <v>5035</v>
      </c>
      <c r="N282" t="s">
        <v>1591</v>
      </c>
      <c r="O282" t="s">
        <v>1592</v>
      </c>
      <c r="P282" t="s">
        <v>23</v>
      </c>
      <c r="Q282" t="s">
        <v>24</v>
      </c>
      <c r="R282" t="s">
        <v>25</v>
      </c>
      <c r="S282" t="s">
        <v>26</v>
      </c>
      <c r="T282" s="6">
        <v>46307</v>
      </c>
      <c r="U282">
        <v>132</v>
      </c>
      <c r="V282">
        <v>132</v>
      </c>
      <c r="W282">
        <v>120</v>
      </c>
      <c r="X282">
        <v>120</v>
      </c>
      <c r="Y282">
        <f t="shared" si="45"/>
        <v>0</v>
      </c>
      <c r="Z282">
        <f t="shared" si="46"/>
        <v>12</v>
      </c>
      <c r="AA282">
        <f>Z282</f>
        <v>12</v>
      </c>
      <c r="AC282" s="1">
        <v>0</v>
      </c>
      <c r="AF282">
        <f>X282</f>
        <v>120</v>
      </c>
      <c r="AG282" s="41">
        <v>12</v>
      </c>
      <c r="AH282">
        <f t="shared" si="47"/>
        <v>120</v>
      </c>
      <c r="AI282">
        <f t="shared" si="48"/>
        <v>12</v>
      </c>
      <c r="AK282">
        <f t="shared" si="49"/>
        <v>10</v>
      </c>
      <c r="AL282">
        <v>11.87</v>
      </c>
      <c r="AM282" t="s">
        <v>27</v>
      </c>
      <c r="AN282">
        <v>11.87</v>
      </c>
      <c r="AO282" t="b">
        <f t="shared" si="50"/>
        <v>1</v>
      </c>
      <c r="AR282" t="s">
        <v>5061</v>
      </c>
      <c r="AS282" s="21">
        <v>46276</v>
      </c>
      <c r="AT282" t="s">
        <v>5062</v>
      </c>
      <c r="AU282" t="s">
        <v>5067</v>
      </c>
      <c r="AV282" t="s">
        <v>5062</v>
      </c>
      <c r="AW282" t="s">
        <v>5086</v>
      </c>
    </row>
    <row r="283" spans="1:49" hidden="1" x14ac:dyDescent="0.35">
      <c r="A283" t="s">
        <v>871</v>
      </c>
      <c r="B283" t="s">
        <v>872</v>
      </c>
      <c r="C283" t="s">
        <v>4818</v>
      </c>
      <c r="D283" t="s">
        <v>18</v>
      </c>
      <c r="E283" t="s">
        <v>1593</v>
      </c>
      <c r="F283" t="s">
        <v>1594</v>
      </c>
      <c r="G283" t="s">
        <v>21</v>
      </c>
      <c r="H283" t="s">
        <v>4888</v>
      </c>
      <c r="I283" t="s">
        <v>4889</v>
      </c>
      <c r="J283" s="4" t="s">
        <v>4890</v>
      </c>
      <c r="K283" s="4" t="s">
        <v>4911</v>
      </c>
      <c r="L283" s="4" t="s">
        <v>4933</v>
      </c>
      <c r="M283" s="4" t="s">
        <v>5035</v>
      </c>
      <c r="N283" t="s">
        <v>1595</v>
      </c>
      <c r="O283" t="s">
        <v>1596</v>
      </c>
      <c r="P283" t="s">
        <v>23</v>
      </c>
      <c r="Q283" t="s">
        <v>24</v>
      </c>
      <c r="R283" t="s">
        <v>25</v>
      </c>
      <c r="S283" t="s">
        <v>26</v>
      </c>
      <c r="T283" s="6">
        <v>46307</v>
      </c>
      <c r="U283">
        <v>120</v>
      </c>
      <c r="V283">
        <v>120</v>
      </c>
      <c r="W283">
        <v>132</v>
      </c>
      <c r="X283">
        <v>132</v>
      </c>
      <c r="Y283">
        <f t="shared" si="45"/>
        <v>0</v>
      </c>
      <c r="Z283">
        <f t="shared" si="46"/>
        <v>-12</v>
      </c>
      <c r="AC283" s="1">
        <v>0</v>
      </c>
      <c r="AF283">
        <f>V283</f>
        <v>120</v>
      </c>
      <c r="AG283" s="41">
        <v>12</v>
      </c>
      <c r="AH283">
        <f t="shared" si="47"/>
        <v>120</v>
      </c>
      <c r="AI283">
        <f t="shared" si="48"/>
        <v>0</v>
      </c>
      <c r="AK283">
        <f t="shared" si="49"/>
        <v>10</v>
      </c>
      <c r="AL283">
        <v>11.87</v>
      </c>
      <c r="AM283" t="s">
        <v>27</v>
      </c>
      <c r="AN283">
        <v>11.87</v>
      </c>
      <c r="AO283" t="b">
        <f t="shared" si="50"/>
        <v>1</v>
      </c>
      <c r="AR283" t="s">
        <v>5061</v>
      </c>
      <c r="AS283" s="21">
        <v>46276</v>
      </c>
      <c r="AT283" t="s">
        <v>5062</v>
      </c>
      <c r="AU283" t="s">
        <v>5067</v>
      </c>
      <c r="AV283" t="s">
        <v>5062</v>
      </c>
      <c r="AW283" t="s">
        <v>5086</v>
      </c>
    </row>
    <row r="284" spans="1:49" hidden="1" x14ac:dyDescent="0.35">
      <c r="A284" t="s">
        <v>871</v>
      </c>
      <c r="B284" t="s">
        <v>872</v>
      </c>
      <c r="C284" t="s">
        <v>4818</v>
      </c>
      <c r="D284" t="s">
        <v>18</v>
      </c>
      <c r="E284" t="s">
        <v>1597</v>
      </c>
      <c r="F284" t="s">
        <v>1598</v>
      </c>
      <c r="G284" t="s">
        <v>21</v>
      </c>
      <c r="H284" t="s">
        <v>4888</v>
      </c>
      <c r="I284" t="s">
        <v>4889</v>
      </c>
      <c r="J284" s="4" t="s">
        <v>4890</v>
      </c>
      <c r="K284" s="4" t="s">
        <v>4891</v>
      </c>
      <c r="L284" s="4" t="s">
        <v>4909</v>
      </c>
      <c r="M284" s="4" t="s">
        <v>5035</v>
      </c>
      <c r="N284" t="s">
        <v>1599</v>
      </c>
      <c r="O284" t="s">
        <v>1600</v>
      </c>
      <c r="P284" t="s">
        <v>23</v>
      </c>
      <c r="Q284" t="s">
        <v>24</v>
      </c>
      <c r="R284" t="s">
        <v>25</v>
      </c>
      <c r="S284" t="s">
        <v>26</v>
      </c>
      <c r="T284" s="6">
        <v>46307</v>
      </c>
      <c r="U284">
        <v>84</v>
      </c>
      <c r="V284">
        <v>84</v>
      </c>
      <c r="W284">
        <v>72</v>
      </c>
      <c r="X284">
        <v>72</v>
      </c>
      <c r="Y284">
        <f t="shared" si="45"/>
        <v>0</v>
      </c>
      <c r="Z284">
        <f t="shared" si="46"/>
        <v>12</v>
      </c>
      <c r="AA284">
        <f>Z284</f>
        <v>12</v>
      </c>
      <c r="AC284" s="1">
        <v>0</v>
      </c>
      <c r="AF284">
        <f>X284</f>
        <v>72</v>
      </c>
      <c r="AG284" s="41">
        <v>12</v>
      </c>
      <c r="AH284">
        <f t="shared" si="47"/>
        <v>72</v>
      </c>
      <c r="AI284">
        <f t="shared" si="48"/>
        <v>12</v>
      </c>
      <c r="AK284">
        <f t="shared" si="49"/>
        <v>6</v>
      </c>
      <c r="AL284">
        <v>11.2</v>
      </c>
      <c r="AM284" t="s">
        <v>27</v>
      </c>
      <c r="AN284">
        <v>11.2</v>
      </c>
      <c r="AO284" t="b">
        <f t="shared" si="50"/>
        <v>1</v>
      </c>
      <c r="AR284" t="s">
        <v>5061</v>
      </c>
      <c r="AS284" s="21">
        <v>46276</v>
      </c>
      <c r="AT284" t="s">
        <v>5062</v>
      </c>
      <c r="AU284" t="s">
        <v>5067</v>
      </c>
      <c r="AV284" t="s">
        <v>5062</v>
      </c>
      <c r="AW284" t="s">
        <v>5086</v>
      </c>
    </row>
    <row r="285" spans="1:49" hidden="1" x14ac:dyDescent="0.35">
      <c r="A285" t="s">
        <v>871</v>
      </c>
      <c r="B285" t="s">
        <v>872</v>
      </c>
      <c r="C285" t="s">
        <v>4818</v>
      </c>
      <c r="D285" t="s">
        <v>18</v>
      </c>
      <c r="E285" t="s">
        <v>1601</v>
      </c>
      <c r="F285" t="s">
        <v>1602</v>
      </c>
      <c r="G285" t="s">
        <v>21</v>
      </c>
      <c r="H285" t="s">
        <v>4888</v>
      </c>
      <c r="I285" t="s">
        <v>4893</v>
      </c>
      <c r="J285" s="4" t="s">
        <v>4894</v>
      </c>
      <c r="K285" s="4" t="s">
        <v>4913</v>
      </c>
      <c r="L285" s="4" t="s">
        <v>4919</v>
      </c>
      <c r="M285" s="4" t="s">
        <v>5035</v>
      </c>
      <c r="N285" t="s">
        <v>1603</v>
      </c>
      <c r="O285" t="s">
        <v>1604</v>
      </c>
      <c r="P285" t="s">
        <v>23</v>
      </c>
      <c r="Q285" t="s">
        <v>24</v>
      </c>
      <c r="R285" t="s">
        <v>25</v>
      </c>
      <c r="S285" t="s">
        <v>26</v>
      </c>
      <c r="T285" s="6">
        <v>46307</v>
      </c>
      <c r="U285">
        <v>24</v>
      </c>
      <c r="V285">
        <v>24</v>
      </c>
      <c r="W285">
        <v>24</v>
      </c>
      <c r="X285">
        <v>24</v>
      </c>
      <c r="Y285">
        <f t="shared" si="45"/>
        <v>0</v>
      </c>
      <c r="Z285">
        <f t="shared" si="46"/>
        <v>0</v>
      </c>
      <c r="AC285" s="1">
        <v>0</v>
      </c>
      <c r="AF285">
        <f>V285</f>
        <v>24</v>
      </c>
      <c r="AG285" s="41">
        <v>12</v>
      </c>
      <c r="AH285">
        <f t="shared" si="47"/>
        <v>24</v>
      </c>
      <c r="AI285">
        <f t="shared" si="48"/>
        <v>0</v>
      </c>
      <c r="AK285">
        <f t="shared" si="49"/>
        <v>2</v>
      </c>
      <c r="AL285">
        <v>9.9499999999999993</v>
      </c>
      <c r="AM285" t="s">
        <v>27</v>
      </c>
      <c r="AN285">
        <v>9.9499999999999993</v>
      </c>
      <c r="AO285" t="b">
        <f t="shared" si="50"/>
        <v>1</v>
      </c>
      <c r="AR285" t="s">
        <v>5061</v>
      </c>
      <c r="AS285" s="21">
        <v>46276</v>
      </c>
      <c r="AT285" t="s">
        <v>5062</v>
      </c>
      <c r="AU285" t="s">
        <v>5068</v>
      </c>
      <c r="AV285" t="s">
        <v>5062</v>
      </c>
      <c r="AW285" t="s">
        <v>5086</v>
      </c>
    </row>
    <row r="286" spans="1:49" hidden="1" x14ac:dyDescent="0.35">
      <c r="A286" t="s">
        <v>871</v>
      </c>
      <c r="B286" t="s">
        <v>872</v>
      </c>
      <c r="C286" t="s">
        <v>4818</v>
      </c>
      <c r="D286" t="s">
        <v>18</v>
      </c>
      <c r="E286" t="s">
        <v>1605</v>
      </c>
      <c r="F286" t="s">
        <v>1606</v>
      </c>
      <c r="G286" t="s">
        <v>21</v>
      </c>
      <c r="H286" t="s">
        <v>4888</v>
      </c>
      <c r="I286" t="s">
        <v>4889</v>
      </c>
      <c r="J286" s="4" t="s">
        <v>4890</v>
      </c>
      <c r="K286" s="4" t="s">
        <v>4899</v>
      </c>
      <c r="L286" s="4" t="s">
        <v>4879</v>
      </c>
      <c r="M286" s="4" t="s">
        <v>5035</v>
      </c>
      <c r="N286" t="s">
        <v>1607</v>
      </c>
      <c r="O286" t="s">
        <v>1608</v>
      </c>
      <c r="P286" t="s">
        <v>23</v>
      </c>
      <c r="Q286" t="s">
        <v>24</v>
      </c>
      <c r="R286" t="s">
        <v>25</v>
      </c>
      <c r="S286" t="s">
        <v>26</v>
      </c>
      <c r="T286" s="6">
        <v>46307</v>
      </c>
      <c r="U286">
        <v>120</v>
      </c>
      <c r="V286">
        <v>120</v>
      </c>
      <c r="W286">
        <v>108</v>
      </c>
      <c r="X286">
        <v>108</v>
      </c>
      <c r="Y286">
        <f t="shared" si="45"/>
        <v>0</v>
      </c>
      <c r="Z286">
        <f t="shared" si="46"/>
        <v>12</v>
      </c>
      <c r="AA286">
        <f>Z286</f>
        <v>12</v>
      </c>
      <c r="AC286" s="1">
        <v>0</v>
      </c>
      <c r="AF286">
        <f>X286</f>
        <v>108</v>
      </c>
      <c r="AG286" s="41">
        <v>12</v>
      </c>
      <c r="AH286">
        <f t="shared" si="47"/>
        <v>108</v>
      </c>
      <c r="AI286">
        <f t="shared" si="48"/>
        <v>12</v>
      </c>
      <c r="AK286">
        <f t="shared" si="49"/>
        <v>9</v>
      </c>
      <c r="AL286">
        <v>10.9</v>
      </c>
      <c r="AM286" t="s">
        <v>27</v>
      </c>
      <c r="AN286">
        <v>10.9</v>
      </c>
      <c r="AO286" t="b">
        <f t="shared" si="50"/>
        <v>1</v>
      </c>
      <c r="AR286" t="s">
        <v>5061</v>
      </c>
      <c r="AS286" s="21">
        <v>46276</v>
      </c>
      <c r="AT286" t="s">
        <v>5062</v>
      </c>
      <c r="AU286" t="s">
        <v>5067</v>
      </c>
      <c r="AV286" t="s">
        <v>5062</v>
      </c>
      <c r="AW286" t="s">
        <v>5086</v>
      </c>
    </row>
    <row r="287" spans="1:49" hidden="1" x14ac:dyDescent="0.35">
      <c r="A287" t="s">
        <v>871</v>
      </c>
      <c r="B287" t="s">
        <v>872</v>
      </c>
      <c r="C287" t="s">
        <v>4818</v>
      </c>
      <c r="D287" t="s">
        <v>18</v>
      </c>
      <c r="E287" t="s">
        <v>1609</v>
      </c>
      <c r="F287" t="s">
        <v>1610</v>
      </c>
      <c r="G287" t="s">
        <v>21</v>
      </c>
      <c r="H287" t="s">
        <v>4888</v>
      </c>
      <c r="I287" t="s">
        <v>4893</v>
      </c>
      <c r="J287" s="4" t="s">
        <v>4894</v>
      </c>
      <c r="K287" s="4" t="s">
        <v>4913</v>
      </c>
      <c r="L287" s="4" t="s">
        <v>4918</v>
      </c>
      <c r="M287" s="4" t="s">
        <v>5035</v>
      </c>
      <c r="N287" t="s">
        <v>1611</v>
      </c>
      <c r="O287" t="s">
        <v>1612</v>
      </c>
      <c r="P287" t="s">
        <v>23</v>
      </c>
      <c r="Q287" t="s">
        <v>24</v>
      </c>
      <c r="R287" t="s">
        <v>25</v>
      </c>
      <c r="S287" t="s">
        <v>26</v>
      </c>
      <c r="T287" s="6">
        <v>46307</v>
      </c>
      <c r="U287">
        <v>72</v>
      </c>
      <c r="V287">
        <v>72</v>
      </c>
      <c r="W287">
        <v>84</v>
      </c>
      <c r="X287">
        <v>84</v>
      </c>
      <c r="Y287">
        <f t="shared" si="45"/>
        <v>0</v>
      </c>
      <c r="Z287">
        <f t="shared" si="46"/>
        <v>-12</v>
      </c>
      <c r="AC287" s="1">
        <v>0</v>
      </c>
      <c r="AF287">
        <f>V287</f>
        <v>72</v>
      </c>
      <c r="AG287" s="41">
        <v>12</v>
      </c>
      <c r="AH287">
        <f t="shared" si="47"/>
        <v>72</v>
      </c>
      <c r="AI287">
        <f t="shared" si="48"/>
        <v>0</v>
      </c>
      <c r="AK287">
        <f t="shared" si="49"/>
        <v>6</v>
      </c>
      <c r="AL287">
        <v>9.9499999999999993</v>
      </c>
      <c r="AM287" t="s">
        <v>27</v>
      </c>
      <c r="AN287">
        <v>9.9499999999999993</v>
      </c>
      <c r="AO287" t="b">
        <f t="shared" si="50"/>
        <v>1</v>
      </c>
      <c r="AR287" t="s">
        <v>5061</v>
      </c>
      <c r="AS287" s="21">
        <v>46276</v>
      </c>
      <c r="AT287" t="s">
        <v>5062</v>
      </c>
      <c r="AU287" t="s">
        <v>5068</v>
      </c>
      <c r="AV287" t="s">
        <v>5062</v>
      </c>
      <c r="AW287" t="s">
        <v>5086</v>
      </c>
    </row>
    <row r="288" spans="1:49" hidden="1" x14ac:dyDescent="0.35">
      <c r="A288" t="s">
        <v>871</v>
      </c>
      <c r="B288" t="s">
        <v>872</v>
      </c>
      <c r="C288" t="s">
        <v>4818</v>
      </c>
      <c r="D288" t="s">
        <v>18</v>
      </c>
      <c r="E288" t="s">
        <v>1613</v>
      </c>
      <c r="F288" t="s">
        <v>1614</v>
      </c>
      <c r="G288" t="s">
        <v>21</v>
      </c>
      <c r="H288" t="s">
        <v>4888</v>
      </c>
      <c r="I288" t="s">
        <v>4889</v>
      </c>
      <c r="J288" s="4" t="s">
        <v>4890</v>
      </c>
      <c r="K288" s="4" t="s">
        <v>4911</v>
      </c>
      <c r="L288" s="4" t="s">
        <v>4855</v>
      </c>
      <c r="M288" s="4" t="s">
        <v>5035</v>
      </c>
      <c r="N288" t="s">
        <v>1615</v>
      </c>
      <c r="O288" t="s">
        <v>1616</v>
      </c>
      <c r="P288" t="s">
        <v>23</v>
      </c>
      <c r="Q288" t="s">
        <v>24</v>
      </c>
      <c r="R288" t="s">
        <v>25</v>
      </c>
      <c r="S288" t="s">
        <v>26</v>
      </c>
      <c r="T288" s="6">
        <v>46307</v>
      </c>
      <c r="U288">
        <v>192</v>
      </c>
      <c r="V288">
        <v>192</v>
      </c>
      <c r="W288">
        <v>204</v>
      </c>
      <c r="X288">
        <v>204</v>
      </c>
      <c r="Y288">
        <f t="shared" si="45"/>
        <v>0</v>
      </c>
      <c r="Z288">
        <f t="shared" si="46"/>
        <v>-12</v>
      </c>
      <c r="AC288" s="1"/>
      <c r="AF288">
        <f>V288</f>
        <v>192</v>
      </c>
      <c r="AG288" s="41">
        <v>12</v>
      </c>
      <c r="AH288">
        <f t="shared" si="47"/>
        <v>192</v>
      </c>
      <c r="AI288">
        <f t="shared" si="48"/>
        <v>0</v>
      </c>
      <c r="AK288">
        <f t="shared" si="49"/>
        <v>16</v>
      </c>
      <c r="AL288">
        <v>11.87</v>
      </c>
      <c r="AM288" t="s">
        <v>27</v>
      </c>
      <c r="AN288">
        <v>11.87</v>
      </c>
      <c r="AO288" t="b">
        <f t="shared" si="50"/>
        <v>1</v>
      </c>
      <c r="AR288" t="s">
        <v>5061</v>
      </c>
      <c r="AS288" s="21">
        <v>46276</v>
      </c>
      <c r="AT288" t="s">
        <v>5062</v>
      </c>
      <c r="AU288" t="s">
        <v>5067</v>
      </c>
      <c r="AV288" t="s">
        <v>5062</v>
      </c>
      <c r="AW288" t="s">
        <v>5086</v>
      </c>
    </row>
    <row r="289" spans="1:49" hidden="1" x14ac:dyDescent="0.35">
      <c r="A289" t="s">
        <v>871</v>
      </c>
      <c r="B289" t="s">
        <v>872</v>
      </c>
      <c r="C289" t="s">
        <v>4818</v>
      </c>
      <c r="D289" t="s">
        <v>18</v>
      </c>
      <c r="E289" t="s">
        <v>1617</v>
      </c>
      <c r="F289" t="s">
        <v>1618</v>
      </c>
      <c r="G289" t="s">
        <v>21</v>
      </c>
      <c r="H289" t="s">
        <v>4888</v>
      </c>
      <c r="I289" t="s">
        <v>4889</v>
      </c>
      <c r="J289" s="4" t="s">
        <v>4890</v>
      </c>
      <c r="K289" s="4" t="s">
        <v>4899</v>
      </c>
      <c r="L289" s="4" t="s">
        <v>4925</v>
      </c>
      <c r="M289" s="4" t="s">
        <v>5035</v>
      </c>
      <c r="N289" t="s">
        <v>1619</v>
      </c>
      <c r="O289" t="s">
        <v>1620</v>
      </c>
      <c r="P289" t="s">
        <v>23</v>
      </c>
      <c r="Q289" t="s">
        <v>24</v>
      </c>
      <c r="R289" t="s">
        <v>25</v>
      </c>
      <c r="S289" t="s">
        <v>26</v>
      </c>
      <c r="T289" s="6">
        <v>46307</v>
      </c>
      <c r="U289">
        <v>132</v>
      </c>
      <c r="V289">
        <v>132</v>
      </c>
      <c r="W289">
        <v>120</v>
      </c>
      <c r="X289">
        <v>120</v>
      </c>
      <c r="Y289">
        <f t="shared" si="45"/>
        <v>0</v>
      </c>
      <c r="Z289">
        <f t="shared" si="46"/>
        <v>12</v>
      </c>
      <c r="AA289">
        <f>Z289</f>
        <v>12</v>
      </c>
      <c r="AC289" s="1">
        <v>0</v>
      </c>
      <c r="AF289">
        <f>X289</f>
        <v>120</v>
      </c>
      <c r="AG289" s="41">
        <v>12</v>
      </c>
      <c r="AH289">
        <f t="shared" si="47"/>
        <v>120</v>
      </c>
      <c r="AI289">
        <f t="shared" si="48"/>
        <v>12</v>
      </c>
      <c r="AK289">
        <f t="shared" si="49"/>
        <v>10</v>
      </c>
      <c r="AL289">
        <v>10.9</v>
      </c>
      <c r="AM289" t="s">
        <v>27</v>
      </c>
      <c r="AN289">
        <v>10.9</v>
      </c>
      <c r="AO289" t="b">
        <f t="shared" si="50"/>
        <v>1</v>
      </c>
      <c r="AR289" t="s">
        <v>5061</v>
      </c>
      <c r="AS289" s="21">
        <v>46276</v>
      </c>
      <c r="AT289" t="s">
        <v>5062</v>
      </c>
      <c r="AU289" t="s">
        <v>5067</v>
      </c>
      <c r="AV289" t="s">
        <v>5062</v>
      </c>
      <c r="AW289" t="s">
        <v>5086</v>
      </c>
    </row>
    <row r="290" spans="1:49" hidden="1" x14ac:dyDescent="0.35">
      <c r="A290" t="s">
        <v>871</v>
      </c>
      <c r="B290" t="s">
        <v>872</v>
      </c>
      <c r="C290" t="s">
        <v>4818</v>
      </c>
      <c r="D290" t="s">
        <v>18</v>
      </c>
      <c r="E290" t="s">
        <v>1621</v>
      </c>
      <c r="F290" t="s">
        <v>1622</v>
      </c>
      <c r="G290" t="s">
        <v>21</v>
      </c>
      <c r="H290" t="s">
        <v>4888</v>
      </c>
      <c r="I290" t="s">
        <v>4906</v>
      </c>
      <c r="J290" s="4" t="s">
        <v>4907</v>
      </c>
      <c r="K290" s="4" t="s">
        <v>4908</v>
      </c>
      <c r="L290" s="4" t="s">
        <v>4933</v>
      </c>
      <c r="M290" s="4" t="s">
        <v>5035</v>
      </c>
      <c r="N290" t="s">
        <v>1623</v>
      </c>
      <c r="O290" t="s">
        <v>1624</v>
      </c>
      <c r="P290" t="s">
        <v>23</v>
      </c>
      <c r="Q290" t="s">
        <v>24</v>
      </c>
      <c r="R290" t="s">
        <v>25</v>
      </c>
      <c r="S290" t="s">
        <v>26</v>
      </c>
      <c r="T290" s="6">
        <v>46307</v>
      </c>
      <c r="U290">
        <v>24</v>
      </c>
      <c r="V290">
        <v>24</v>
      </c>
      <c r="W290">
        <v>24</v>
      </c>
      <c r="X290">
        <v>24</v>
      </c>
      <c r="Y290">
        <f t="shared" si="45"/>
        <v>0</v>
      </c>
      <c r="Z290">
        <f t="shared" si="46"/>
        <v>0</v>
      </c>
      <c r="AC290" s="1">
        <v>0</v>
      </c>
      <c r="AF290">
        <f>V290</f>
        <v>24</v>
      </c>
      <c r="AG290" s="41">
        <v>12</v>
      </c>
      <c r="AH290">
        <f t="shared" si="47"/>
        <v>24</v>
      </c>
      <c r="AI290">
        <f t="shared" si="48"/>
        <v>0</v>
      </c>
      <c r="AK290">
        <f t="shared" si="49"/>
        <v>2</v>
      </c>
      <c r="AL290">
        <v>10.19</v>
      </c>
      <c r="AM290" t="s">
        <v>27</v>
      </c>
      <c r="AN290">
        <v>10.19</v>
      </c>
      <c r="AO290" t="b">
        <f t="shared" si="50"/>
        <v>1</v>
      </c>
      <c r="AR290" t="s">
        <v>5061</v>
      </c>
      <c r="AS290" s="21">
        <v>46276</v>
      </c>
      <c r="AT290" t="s">
        <v>5062</v>
      </c>
      <c r="AU290" t="s">
        <v>5070</v>
      </c>
      <c r="AV290" t="s">
        <v>5062</v>
      </c>
      <c r="AW290" t="s">
        <v>5086</v>
      </c>
    </row>
    <row r="291" spans="1:49" hidden="1" x14ac:dyDescent="0.35">
      <c r="A291" t="s">
        <v>871</v>
      </c>
      <c r="B291" t="s">
        <v>872</v>
      </c>
      <c r="C291" t="s">
        <v>4818</v>
      </c>
      <c r="D291" t="s">
        <v>18</v>
      </c>
      <c r="E291" t="s">
        <v>1625</v>
      </c>
      <c r="F291" t="s">
        <v>1626</v>
      </c>
      <c r="G291" t="s">
        <v>21</v>
      </c>
      <c r="H291" t="s">
        <v>4888</v>
      </c>
      <c r="I291" t="s">
        <v>4893</v>
      </c>
      <c r="J291" s="4" t="s">
        <v>4894</v>
      </c>
      <c r="K291" s="4" t="s">
        <v>4896</v>
      </c>
      <c r="L291" s="4" t="s">
        <v>4901</v>
      </c>
      <c r="M291" s="4" t="s">
        <v>5035</v>
      </c>
      <c r="N291" t="s">
        <v>1627</v>
      </c>
      <c r="O291" t="s">
        <v>1628</v>
      </c>
      <c r="P291" t="s">
        <v>23</v>
      </c>
      <c r="Q291" t="s">
        <v>24</v>
      </c>
      <c r="R291" t="s">
        <v>25</v>
      </c>
      <c r="S291" t="s">
        <v>26</v>
      </c>
      <c r="T291" s="6">
        <v>46307</v>
      </c>
      <c r="U291">
        <v>12</v>
      </c>
      <c r="V291">
        <v>12</v>
      </c>
      <c r="W291">
        <v>12</v>
      </c>
      <c r="X291">
        <v>12</v>
      </c>
      <c r="Y291">
        <f t="shared" si="45"/>
        <v>0</v>
      </c>
      <c r="Z291">
        <f t="shared" si="46"/>
        <v>0</v>
      </c>
      <c r="AC291" s="1">
        <v>0</v>
      </c>
      <c r="AF291">
        <f>V291</f>
        <v>12</v>
      </c>
      <c r="AG291" s="41">
        <v>12</v>
      </c>
      <c r="AH291">
        <f t="shared" si="47"/>
        <v>12</v>
      </c>
      <c r="AI291">
        <f t="shared" si="48"/>
        <v>0</v>
      </c>
      <c r="AK291">
        <f t="shared" si="49"/>
        <v>1</v>
      </c>
      <c r="AL291">
        <v>10.220000000000001</v>
      </c>
      <c r="AM291" t="s">
        <v>27</v>
      </c>
      <c r="AN291">
        <v>10.220000000000001</v>
      </c>
      <c r="AO291" t="b">
        <f t="shared" si="50"/>
        <v>1</v>
      </c>
      <c r="AR291" t="s">
        <v>5061</v>
      </c>
      <c r="AS291" s="21">
        <v>46276</v>
      </c>
      <c r="AT291" t="s">
        <v>5062</v>
      </c>
      <c r="AU291" t="s">
        <v>5068</v>
      </c>
      <c r="AV291" t="s">
        <v>5062</v>
      </c>
      <c r="AW291" t="s">
        <v>5086</v>
      </c>
    </row>
    <row r="292" spans="1:49" hidden="1" x14ac:dyDescent="0.35">
      <c r="A292" t="s">
        <v>871</v>
      </c>
      <c r="B292" t="s">
        <v>872</v>
      </c>
      <c r="C292" t="s">
        <v>4818</v>
      </c>
      <c r="D292" t="s">
        <v>18</v>
      </c>
      <c r="E292" t="s">
        <v>1629</v>
      </c>
      <c r="F292" t="s">
        <v>1630</v>
      </c>
      <c r="G292" t="s">
        <v>21</v>
      </c>
      <c r="H292" t="s">
        <v>4888</v>
      </c>
      <c r="I292" t="s">
        <v>4893</v>
      </c>
      <c r="J292" s="4" t="s">
        <v>4894</v>
      </c>
      <c r="K292" s="4" t="s">
        <v>4904</v>
      </c>
      <c r="L292" s="4" t="s">
        <v>4892</v>
      </c>
      <c r="M292" s="4" t="s">
        <v>5035</v>
      </c>
      <c r="N292" t="s">
        <v>1631</v>
      </c>
      <c r="O292" t="s">
        <v>1632</v>
      </c>
      <c r="P292" t="s">
        <v>23</v>
      </c>
      <c r="Q292" t="s">
        <v>24</v>
      </c>
      <c r="R292" t="s">
        <v>25</v>
      </c>
      <c r="S292" t="s">
        <v>26</v>
      </c>
      <c r="T292" s="6">
        <v>46307</v>
      </c>
      <c r="U292">
        <v>72</v>
      </c>
      <c r="V292">
        <v>72</v>
      </c>
      <c r="W292">
        <v>72</v>
      </c>
      <c r="X292">
        <v>72</v>
      </c>
      <c r="Y292">
        <f t="shared" si="45"/>
        <v>0</v>
      </c>
      <c r="Z292">
        <f t="shared" si="46"/>
        <v>0</v>
      </c>
      <c r="AC292" s="1">
        <v>0</v>
      </c>
      <c r="AF292">
        <f>V292</f>
        <v>72</v>
      </c>
      <c r="AG292" s="41">
        <v>12</v>
      </c>
      <c r="AH292">
        <f t="shared" si="47"/>
        <v>72</v>
      </c>
      <c r="AI292">
        <f t="shared" si="48"/>
        <v>0</v>
      </c>
      <c r="AK292">
        <f t="shared" si="49"/>
        <v>6</v>
      </c>
      <c r="AL292">
        <v>10.16</v>
      </c>
      <c r="AM292" t="s">
        <v>27</v>
      </c>
      <c r="AN292">
        <v>10.16</v>
      </c>
      <c r="AO292" t="b">
        <f t="shared" si="50"/>
        <v>1</v>
      </c>
      <c r="AR292" t="s">
        <v>5061</v>
      </c>
      <c r="AS292" s="21">
        <v>46276</v>
      </c>
      <c r="AT292" t="s">
        <v>5062</v>
      </c>
      <c r="AU292" t="s">
        <v>5068</v>
      </c>
      <c r="AV292" t="s">
        <v>5062</v>
      </c>
      <c r="AW292" t="s">
        <v>5086</v>
      </c>
    </row>
    <row r="293" spans="1:49" hidden="1" x14ac:dyDescent="0.35">
      <c r="A293" t="s">
        <v>871</v>
      </c>
      <c r="B293" t="s">
        <v>872</v>
      </c>
      <c r="C293" t="s">
        <v>4818</v>
      </c>
      <c r="D293" t="s">
        <v>18</v>
      </c>
      <c r="E293" t="s">
        <v>1633</v>
      </c>
      <c r="F293" t="s">
        <v>1634</v>
      </c>
      <c r="G293" t="s">
        <v>21</v>
      </c>
      <c r="H293" t="s">
        <v>4888</v>
      </c>
      <c r="I293" t="s">
        <v>4893</v>
      </c>
      <c r="J293" s="4" t="s">
        <v>4894</v>
      </c>
      <c r="K293" s="4" t="s">
        <v>4896</v>
      </c>
      <c r="L293" s="4" t="s">
        <v>4916</v>
      </c>
      <c r="M293" s="4" t="s">
        <v>5035</v>
      </c>
      <c r="N293" t="s">
        <v>1635</v>
      </c>
      <c r="O293" t="s">
        <v>1636</v>
      </c>
      <c r="P293" t="s">
        <v>23</v>
      </c>
      <c r="Q293" t="s">
        <v>24</v>
      </c>
      <c r="R293" t="s">
        <v>25</v>
      </c>
      <c r="S293" t="s">
        <v>26</v>
      </c>
      <c r="T293" s="6">
        <v>46307</v>
      </c>
      <c r="U293">
        <v>180</v>
      </c>
      <c r="V293">
        <v>180</v>
      </c>
      <c r="W293">
        <v>168</v>
      </c>
      <c r="X293">
        <v>168</v>
      </c>
      <c r="Y293">
        <f t="shared" si="45"/>
        <v>0</v>
      </c>
      <c r="Z293">
        <f t="shared" si="46"/>
        <v>12</v>
      </c>
      <c r="AA293">
        <f>Z293</f>
        <v>12</v>
      </c>
      <c r="AC293" s="1">
        <v>0</v>
      </c>
      <c r="AF293">
        <f>X293</f>
        <v>168</v>
      </c>
      <c r="AG293" s="41">
        <v>12</v>
      </c>
      <c r="AH293">
        <f t="shared" si="47"/>
        <v>168</v>
      </c>
      <c r="AI293">
        <f t="shared" si="48"/>
        <v>12</v>
      </c>
      <c r="AK293">
        <f t="shared" si="49"/>
        <v>14</v>
      </c>
      <c r="AL293">
        <v>10.220000000000001</v>
      </c>
      <c r="AM293" t="s">
        <v>27</v>
      </c>
      <c r="AN293">
        <v>10.220000000000001</v>
      </c>
      <c r="AO293" t="b">
        <f t="shared" si="50"/>
        <v>1</v>
      </c>
      <c r="AR293" t="s">
        <v>5061</v>
      </c>
      <c r="AS293" s="21">
        <v>46276</v>
      </c>
      <c r="AT293" t="s">
        <v>5062</v>
      </c>
      <c r="AU293" t="s">
        <v>5068</v>
      </c>
      <c r="AV293" t="s">
        <v>5062</v>
      </c>
      <c r="AW293" t="s">
        <v>5086</v>
      </c>
    </row>
    <row r="294" spans="1:49" hidden="1" x14ac:dyDescent="0.35">
      <c r="A294" t="s">
        <v>871</v>
      </c>
      <c r="B294" t="s">
        <v>872</v>
      </c>
      <c r="C294" t="s">
        <v>4818</v>
      </c>
      <c r="D294" t="s">
        <v>18</v>
      </c>
      <c r="E294" t="s">
        <v>1637</v>
      </c>
      <c r="F294" t="s">
        <v>1638</v>
      </c>
      <c r="G294" t="s">
        <v>21</v>
      </c>
      <c r="H294" t="s">
        <v>4888</v>
      </c>
      <c r="I294" t="s">
        <v>4893</v>
      </c>
      <c r="J294" s="4" t="s">
        <v>4894</v>
      </c>
      <c r="K294" s="4" t="s">
        <v>4837</v>
      </c>
      <c r="L294" s="4" t="s">
        <v>4925</v>
      </c>
      <c r="M294" s="4" t="s">
        <v>5035</v>
      </c>
      <c r="N294" t="s">
        <v>1639</v>
      </c>
      <c r="O294" t="s">
        <v>1640</v>
      </c>
      <c r="P294" t="s">
        <v>23</v>
      </c>
      <c r="Q294" t="s">
        <v>24</v>
      </c>
      <c r="R294" t="s">
        <v>25</v>
      </c>
      <c r="S294" t="s">
        <v>26</v>
      </c>
      <c r="T294" s="6">
        <v>46307</v>
      </c>
      <c r="U294">
        <v>12</v>
      </c>
      <c r="V294">
        <v>12</v>
      </c>
      <c r="W294">
        <v>12</v>
      </c>
      <c r="X294">
        <v>12</v>
      </c>
      <c r="Y294">
        <f t="shared" si="45"/>
        <v>0</v>
      </c>
      <c r="Z294">
        <f t="shared" si="46"/>
        <v>0</v>
      </c>
      <c r="AC294" s="1">
        <v>0</v>
      </c>
      <c r="AF294">
        <f>V294</f>
        <v>12</v>
      </c>
      <c r="AG294" s="41">
        <v>12</v>
      </c>
      <c r="AH294">
        <f t="shared" si="47"/>
        <v>12</v>
      </c>
      <c r="AI294">
        <f t="shared" si="48"/>
        <v>0</v>
      </c>
      <c r="AK294">
        <f t="shared" si="49"/>
        <v>1</v>
      </c>
      <c r="AL294">
        <v>10.06</v>
      </c>
      <c r="AM294" t="s">
        <v>27</v>
      </c>
      <c r="AN294">
        <v>10.06</v>
      </c>
      <c r="AO294" t="b">
        <f t="shared" si="50"/>
        <v>1</v>
      </c>
      <c r="AR294" t="s">
        <v>5061</v>
      </c>
      <c r="AS294" s="21">
        <v>46276</v>
      </c>
      <c r="AT294" t="s">
        <v>5062</v>
      </c>
      <c r="AU294" t="s">
        <v>5068</v>
      </c>
      <c r="AV294" t="s">
        <v>5062</v>
      </c>
      <c r="AW294" t="s">
        <v>5086</v>
      </c>
    </row>
    <row r="295" spans="1:49" hidden="1" x14ac:dyDescent="0.35">
      <c r="A295" t="s">
        <v>871</v>
      </c>
      <c r="B295" t="s">
        <v>872</v>
      </c>
      <c r="C295" t="s">
        <v>4818</v>
      </c>
      <c r="D295" t="s">
        <v>18</v>
      </c>
      <c r="E295" t="s">
        <v>1641</v>
      </c>
      <c r="F295" t="s">
        <v>1642</v>
      </c>
      <c r="G295" t="s">
        <v>21</v>
      </c>
      <c r="H295" t="s">
        <v>4888</v>
      </c>
      <c r="I295" t="s">
        <v>4893</v>
      </c>
      <c r="J295" s="4" t="s">
        <v>4894</v>
      </c>
      <c r="K295" s="4" t="s">
        <v>4913</v>
      </c>
      <c r="L295" s="4" t="s">
        <v>4877</v>
      </c>
      <c r="M295" s="4" t="s">
        <v>5035</v>
      </c>
      <c r="N295" t="s">
        <v>1643</v>
      </c>
      <c r="O295" t="s">
        <v>1644</v>
      </c>
      <c r="P295" t="s">
        <v>23</v>
      </c>
      <c r="Q295" t="s">
        <v>24</v>
      </c>
      <c r="R295" t="s">
        <v>25</v>
      </c>
      <c r="S295" t="s">
        <v>26</v>
      </c>
      <c r="T295" s="6">
        <v>46307</v>
      </c>
      <c r="U295">
        <v>84</v>
      </c>
      <c r="V295">
        <v>84</v>
      </c>
      <c r="W295">
        <v>72</v>
      </c>
      <c r="X295">
        <v>72</v>
      </c>
      <c r="Y295">
        <f t="shared" si="45"/>
        <v>0</v>
      </c>
      <c r="Z295">
        <f t="shared" si="46"/>
        <v>12</v>
      </c>
      <c r="AA295">
        <f>Z295</f>
        <v>12</v>
      </c>
      <c r="AC295" s="1">
        <v>0</v>
      </c>
      <c r="AF295">
        <f>X295</f>
        <v>72</v>
      </c>
      <c r="AG295" s="41">
        <v>12</v>
      </c>
      <c r="AH295">
        <f t="shared" si="47"/>
        <v>72</v>
      </c>
      <c r="AI295">
        <f t="shared" si="48"/>
        <v>12</v>
      </c>
      <c r="AK295">
        <f t="shared" si="49"/>
        <v>6</v>
      </c>
      <c r="AL295">
        <v>9.9499999999999993</v>
      </c>
      <c r="AM295" t="s">
        <v>27</v>
      </c>
      <c r="AN295">
        <v>9.9499999999999993</v>
      </c>
      <c r="AO295" t="b">
        <f t="shared" si="50"/>
        <v>1</v>
      </c>
      <c r="AR295" t="s">
        <v>5061</v>
      </c>
      <c r="AS295" s="21">
        <v>46276</v>
      </c>
      <c r="AT295" t="s">
        <v>5062</v>
      </c>
      <c r="AU295" t="s">
        <v>5068</v>
      </c>
      <c r="AV295" t="s">
        <v>5062</v>
      </c>
      <c r="AW295" t="s">
        <v>5086</v>
      </c>
    </row>
    <row r="296" spans="1:49" hidden="1" x14ac:dyDescent="0.35">
      <c r="A296" t="s">
        <v>871</v>
      </c>
      <c r="B296" t="s">
        <v>872</v>
      </c>
      <c r="C296" t="s">
        <v>4818</v>
      </c>
      <c r="D296" t="s">
        <v>18</v>
      </c>
      <c r="E296" t="s">
        <v>1645</v>
      </c>
      <c r="F296" t="s">
        <v>1646</v>
      </c>
      <c r="G296" t="s">
        <v>21</v>
      </c>
      <c r="H296" t="s">
        <v>4888</v>
      </c>
      <c r="I296" t="s">
        <v>4893</v>
      </c>
      <c r="J296" s="4" t="s">
        <v>4894</v>
      </c>
      <c r="K296" s="4" t="s">
        <v>4904</v>
      </c>
      <c r="L296" s="4" t="s">
        <v>4867</v>
      </c>
      <c r="M296" s="4" t="s">
        <v>5035</v>
      </c>
      <c r="N296" t="s">
        <v>1647</v>
      </c>
      <c r="O296" t="s">
        <v>1648</v>
      </c>
      <c r="P296" t="s">
        <v>23</v>
      </c>
      <c r="Q296" t="s">
        <v>24</v>
      </c>
      <c r="R296" t="s">
        <v>25</v>
      </c>
      <c r="S296" t="s">
        <v>26</v>
      </c>
      <c r="T296" s="6">
        <v>46307</v>
      </c>
      <c r="U296">
        <v>72</v>
      </c>
      <c r="V296">
        <v>72</v>
      </c>
      <c r="W296">
        <v>72</v>
      </c>
      <c r="X296">
        <v>72</v>
      </c>
      <c r="Y296">
        <f t="shared" si="45"/>
        <v>0</v>
      </c>
      <c r="Z296">
        <f t="shared" si="46"/>
        <v>0</v>
      </c>
      <c r="AC296" s="1">
        <v>0</v>
      </c>
      <c r="AF296">
        <f t="shared" ref="AF296:AF302" si="54">V296</f>
        <v>72</v>
      </c>
      <c r="AG296" s="41">
        <v>12</v>
      </c>
      <c r="AH296">
        <f t="shared" si="47"/>
        <v>72</v>
      </c>
      <c r="AI296">
        <f t="shared" si="48"/>
        <v>0</v>
      </c>
      <c r="AK296">
        <f t="shared" si="49"/>
        <v>6</v>
      </c>
      <c r="AL296">
        <v>10.16</v>
      </c>
      <c r="AM296" t="s">
        <v>27</v>
      </c>
      <c r="AN296">
        <v>10.16</v>
      </c>
      <c r="AO296" t="b">
        <f t="shared" si="50"/>
        <v>1</v>
      </c>
      <c r="AR296" t="s">
        <v>5061</v>
      </c>
      <c r="AS296" s="21">
        <v>46276</v>
      </c>
      <c r="AT296" t="s">
        <v>5062</v>
      </c>
      <c r="AU296" t="s">
        <v>5068</v>
      </c>
      <c r="AV296" t="s">
        <v>5062</v>
      </c>
      <c r="AW296" t="s">
        <v>5086</v>
      </c>
    </row>
    <row r="297" spans="1:49" hidden="1" x14ac:dyDescent="0.35">
      <c r="A297" t="s">
        <v>871</v>
      </c>
      <c r="B297" t="s">
        <v>872</v>
      </c>
      <c r="C297" t="s">
        <v>4818</v>
      </c>
      <c r="D297" t="s">
        <v>18</v>
      </c>
      <c r="E297" t="s">
        <v>1649</v>
      </c>
      <c r="F297" t="s">
        <v>1650</v>
      </c>
      <c r="G297" t="s">
        <v>21</v>
      </c>
      <c r="H297" t="s">
        <v>4888</v>
      </c>
      <c r="I297" t="s">
        <v>4893</v>
      </c>
      <c r="J297" s="4" t="s">
        <v>4894</v>
      </c>
      <c r="K297" s="4" t="s">
        <v>4913</v>
      </c>
      <c r="L297" s="4" t="s">
        <v>4923</v>
      </c>
      <c r="M297" s="4" t="s">
        <v>5035</v>
      </c>
      <c r="N297" t="s">
        <v>1651</v>
      </c>
      <c r="O297" t="s">
        <v>1652</v>
      </c>
      <c r="P297" t="s">
        <v>23</v>
      </c>
      <c r="Q297" t="s">
        <v>24</v>
      </c>
      <c r="R297" t="s">
        <v>25</v>
      </c>
      <c r="S297" t="s">
        <v>26</v>
      </c>
      <c r="T297" s="6">
        <v>46307</v>
      </c>
      <c r="U297">
        <v>72</v>
      </c>
      <c r="V297">
        <v>72</v>
      </c>
      <c r="W297">
        <v>84</v>
      </c>
      <c r="X297">
        <v>84</v>
      </c>
      <c r="Y297">
        <f t="shared" si="45"/>
        <v>0</v>
      </c>
      <c r="Z297">
        <f t="shared" si="46"/>
        <v>-12</v>
      </c>
      <c r="AC297" s="1">
        <v>0</v>
      </c>
      <c r="AF297">
        <f t="shared" si="54"/>
        <v>72</v>
      </c>
      <c r="AG297" s="41">
        <v>12</v>
      </c>
      <c r="AH297">
        <f t="shared" si="47"/>
        <v>72</v>
      </c>
      <c r="AI297">
        <f t="shared" si="48"/>
        <v>0</v>
      </c>
      <c r="AK297">
        <f t="shared" si="49"/>
        <v>6</v>
      </c>
      <c r="AL297">
        <v>9.9499999999999993</v>
      </c>
      <c r="AM297" t="s">
        <v>27</v>
      </c>
      <c r="AN297">
        <v>9.9499999999999993</v>
      </c>
      <c r="AO297" t="b">
        <f t="shared" si="50"/>
        <v>1</v>
      </c>
      <c r="AR297" t="s">
        <v>5061</v>
      </c>
      <c r="AS297" s="21">
        <v>46276</v>
      </c>
      <c r="AT297" t="s">
        <v>5062</v>
      </c>
      <c r="AU297" t="s">
        <v>5068</v>
      </c>
      <c r="AV297" t="s">
        <v>5062</v>
      </c>
      <c r="AW297" t="s">
        <v>5086</v>
      </c>
    </row>
    <row r="298" spans="1:49" hidden="1" x14ac:dyDescent="0.35">
      <c r="A298" t="s">
        <v>871</v>
      </c>
      <c r="B298" t="s">
        <v>872</v>
      </c>
      <c r="C298" t="s">
        <v>4818</v>
      </c>
      <c r="D298" t="s">
        <v>18</v>
      </c>
      <c r="E298" t="s">
        <v>1653</v>
      </c>
      <c r="F298" t="s">
        <v>1654</v>
      </c>
      <c r="G298" t="s">
        <v>21</v>
      </c>
      <c r="H298" t="s">
        <v>4888</v>
      </c>
      <c r="I298" t="s">
        <v>4902</v>
      </c>
      <c r="J298" s="4" t="s">
        <v>4903</v>
      </c>
      <c r="K298" s="4" t="s">
        <v>4915</v>
      </c>
      <c r="L298" s="4" t="s">
        <v>4871</v>
      </c>
      <c r="M298" s="4" t="s">
        <v>5035</v>
      </c>
      <c r="N298" t="s">
        <v>1655</v>
      </c>
      <c r="O298" t="s">
        <v>1656</v>
      </c>
      <c r="P298" t="s">
        <v>23</v>
      </c>
      <c r="Q298" t="s">
        <v>24</v>
      </c>
      <c r="R298" t="s">
        <v>25</v>
      </c>
      <c r="S298" t="s">
        <v>26</v>
      </c>
      <c r="T298" s="6">
        <v>46307</v>
      </c>
      <c r="U298">
        <v>72</v>
      </c>
      <c r="V298">
        <v>72</v>
      </c>
      <c r="W298">
        <v>72</v>
      </c>
      <c r="X298">
        <v>72</v>
      </c>
      <c r="Y298">
        <f t="shared" si="45"/>
        <v>0</v>
      </c>
      <c r="Z298">
        <f t="shared" si="46"/>
        <v>0</v>
      </c>
      <c r="AC298" s="1">
        <v>0</v>
      </c>
      <c r="AF298">
        <f t="shared" si="54"/>
        <v>72</v>
      </c>
      <c r="AG298" s="41">
        <v>12</v>
      </c>
      <c r="AH298">
        <f t="shared" si="47"/>
        <v>72</v>
      </c>
      <c r="AI298">
        <f t="shared" si="48"/>
        <v>0</v>
      </c>
      <c r="AK298">
        <f t="shared" si="49"/>
        <v>6</v>
      </c>
      <c r="AL298">
        <v>10.66</v>
      </c>
      <c r="AM298" t="s">
        <v>27</v>
      </c>
      <c r="AN298">
        <v>10.66</v>
      </c>
      <c r="AO298" t="b">
        <f t="shared" si="50"/>
        <v>1</v>
      </c>
      <c r="AR298" t="s">
        <v>5061</v>
      </c>
      <c r="AS298" s="21">
        <v>46276</v>
      </c>
      <c r="AT298" t="s">
        <v>5062</v>
      </c>
      <c r="AU298" t="s">
        <v>5069</v>
      </c>
      <c r="AV298" t="s">
        <v>5062</v>
      </c>
      <c r="AW298" t="s">
        <v>5086</v>
      </c>
    </row>
    <row r="299" spans="1:49" hidden="1" x14ac:dyDescent="0.35">
      <c r="A299" t="s">
        <v>871</v>
      </c>
      <c r="B299" t="s">
        <v>872</v>
      </c>
      <c r="C299" t="s">
        <v>4818</v>
      </c>
      <c r="D299" t="s">
        <v>18</v>
      </c>
      <c r="E299" t="s">
        <v>1657</v>
      </c>
      <c r="F299" t="s">
        <v>1658</v>
      </c>
      <c r="G299" t="s">
        <v>21</v>
      </c>
      <c r="H299" t="s">
        <v>4888</v>
      </c>
      <c r="I299" t="s">
        <v>4902</v>
      </c>
      <c r="J299" s="4" t="s">
        <v>4903</v>
      </c>
      <c r="K299" s="4" t="s">
        <v>4899</v>
      </c>
      <c r="L299" s="4" t="s">
        <v>4897</v>
      </c>
      <c r="M299" s="4" t="s">
        <v>5035</v>
      </c>
      <c r="N299" t="s">
        <v>1659</v>
      </c>
      <c r="O299" t="s">
        <v>1660</v>
      </c>
      <c r="P299" t="s">
        <v>23</v>
      </c>
      <c r="Q299" t="s">
        <v>24</v>
      </c>
      <c r="R299" t="s">
        <v>25</v>
      </c>
      <c r="S299" t="s">
        <v>26</v>
      </c>
      <c r="T299" s="6">
        <v>46307</v>
      </c>
      <c r="U299">
        <v>96</v>
      </c>
      <c r="V299">
        <v>96</v>
      </c>
      <c r="W299">
        <v>108</v>
      </c>
      <c r="X299">
        <v>108</v>
      </c>
      <c r="Y299">
        <f t="shared" si="45"/>
        <v>0</v>
      </c>
      <c r="Z299">
        <f t="shared" si="46"/>
        <v>-12</v>
      </c>
      <c r="AC299" s="1">
        <v>0</v>
      </c>
      <c r="AF299">
        <f t="shared" si="54"/>
        <v>96</v>
      </c>
      <c r="AG299" s="41">
        <v>12</v>
      </c>
      <c r="AH299">
        <f t="shared" si="47"/>
        <v>96</v>
      </c>
      <c r="AI299">
        <f t="shared" si="48"/>
        <v>0</v>
      </c>
      <c r="AK299">
        <f t="shared" si="49"/>
        <v>8</v>
      </c>
      <c r="AL299">
        <v>10.49</v>
      </c>
      <c r="AM299" t="s">
        <v>27</v>
      </c>
      <c r="AN299">
        <v>10.49</v>
      </c>
      <c r="AO299" t="b">
        <f t="shared" si="50"/>
        <v>1</v>
      </c>
      <c r="AR299" t="s">
        <v>5061</v>
      </c>
      <c r="AS299" s="21">
        <v>46276</v>
      </c>
      <c r="AT299" t="s">
        <v>5062</v>
      </c>
      <c r="AU299" t="s">
        <v>5069</v>
      </c>
      <c r="AV299" t="s">
        <v>5062</v>
      </c>
      <c r="AW299" t="s">
        <v>5086</v>
      </c>
    </row>
    <row r="300" spans="1:49" hidden="1" x14ac:dyDescent="0.35">
      <c r="A300" t="s">
        <v>871</v>
      </c>
      <c r="B300" t="s">
        <v>872</v>
      </c>
      <c r="C300" t="s">
        <v>4818</v>
      </c>
      <c r="D300" t="s">
        <v>18</v>
      </c>
      <c r="E300" t="s">
        <v>1661</v>
      </c>
      <c r="F300" t="s">
        <v>1662</v>
      </c>
      <c r="G300" t="s">
        <v>21</v>
      </c>
      <c r="H300" t="s">
        <v>4888</v>
      </c>
      <c r="I300" t="s">
        <v>4889</v>
      </c>
      <c r="J300" s="4" t="s">
        <v>4890</v>
      </c>
      <c r="K300" s="4" t="s">
        <v>4911</v>
      </c>
      <c r="L300" s="4" t="s">
        <v>4924</v>
      </c>
      <c r="M300" s="4" t="s">
        <v>5035</v>
      </c>
      <c r="N300" t="s">
        <v>1663</v>
      </c>
      <c r="O300" t="s">
        <v>1664</v>
      </c>
      <c r="P300" t="s">
        <v>23</v>
      </c>
      <c r="Q300" t="s">
        <v>24</v>
      </c>
      <c r="R300" t="s">
        <v>25</v>
      </c>
      <c r="S300" t="s">
        <v>26</v>
      </c>
      <c r="T300" s="6">
        <v>46307</v>
      </c>
      <c r="U300">
        <v>48</v>
      </c>
      <c r="V300">
        <v>48</v>
      </c>
      <c r="W300">
        <v>48</v>
      </c>
      <c r="X300">
        <v>48</v>
      </c>
      <c r="Y300">
        <f t="shared" si="45"/>
        <v>0</v>
      </c>
      <c r="Z300">
        <f t="shared" si="46"/>
        <v>0</v>
      </c>
      <c r="AC300" s="1">
        <v>0</v>
      </c>
      <c r="AF300">
        <f t="shared" si="54"/>
        <v>48</v>
      </c>
      <c r="AG300" s="41">
        <v>12</v>
      </c>
      <c r="AH300">
        <f t="shared" si="47"/>
        <v>48</v>
      </c>
      <c r="AI300">
        <f t="shared" si="48"/>
        <v>0</v>
      </c>
      <c r="AK300">
        <f t="shared" si="49"/>
        <v>4</v>
      </c>
      <c r="AL300">
        <v>11.87</v>
      </c>
      <c r="AM300" t="s">
        <v>27</v>
      </c>
      <c r="AN300">
        <v>11.87</v>
      </c>
      <c r="AO300" t="b">
        <f t="shared" si="50"/>
        <v>1</v>
      </c>
      <c r="AR300" t="s">
        <v>5061</v>
      </c>
      <c r="AS300" s="21">
        <v>46276</v>
      </c>
      <c r="AT300" t="s">
        <v>5062</v>
      </c>
      <c r="AU300" t="s">
        <v>5067</v>
      </c>
      <c r="AV300" t="s">
        <v>5062</v>
      </c>
      <c r="AW300" t="s">
        <v>5086</v>
      </c>
    </row>
    <row r="301" spans="1:49" hidden="1" x14ac:dyDescent="0.35">
      <c r="A301" t="s">
        <v>871</v>
      </c>
      <c r="B301" t="s">
        <v>872</v>
      </c>
      <c r="C301" t="s">
        <v>4818</v>
      </c>
      <c r="D301" t="s">
        <v>18</v>
      </c>
      <c r="E301" t="s">
        <v>1665</v>
      </c>
      <c r="F301" t="s">
        <v>1666</v>
      </c>
      <c r="G301" t="s">
        <v>21</v>
      </c>
      <c r="H301" t="s">
        <v>4888</v>
      </c>
      <c r="I301" t="s">
        <v>4906</v>
      </c>
      <c r="J301" s="4" t="s">
        <v>4907</v>
      </c>
      <c r="K301" s="4" t="s">
        <v>4908</v>
      </c>
      <c r="L301" s="4" t="s">
        <v>4905</v>
      </c>
      <c r="M301" s="4" t="s">
        <v>5035</v>
      </c>
      <c r="N301" t="s">
        <v>1667</v>
      </c>
      <c r="O301" t="s">
        <v>1668</v>
      </c>
      <c r="P301" t="s">
        <v>23</v>
      </c>
      <c r="Q301" t="s">
        <v>24</v>
      </c>
      <c r="R301" t="s">
        <v>25</v>
      </c>
      <c r="S301" t="s">
        <v>26</v>
      </c>
      <c r="T301" s="6">
        <v>46307</v>
      </c>
      <c r="U301">
        <v>36</v>
      </c>
      <c r="V301">
        <v>36</v>
      </c>
      <c r="W301">
        <v>36</v>
      </c>
      <c r="X301">
        <v>36</v>
      </c>
      <c r="Y301">
        <f t="shared" si="45"/>
        <v>0</v>
      </c>
      <c r="Z301">
        <f t="shared" si="46"/>
        <v>0</v>
      </c>
      <c r="AC301" s="1">
        <v>0</v>
      </c>
      <c r="AF301">
        <f t="shared" si="54"/>
        <v>36</v>
      </c>
      <c r="AG301" s="41">
        <v>12</v>
      </c>
      <c r="AH301">
        <f t="shared" si="47"/>
        <v>36</v>
      </c>
      <c r="AI301">
        <f t="shared" si="48"/>
        <v>0</v>
      </c>
      <c r="AK301">
        <f t="shared" si="49"/>
        <v>3</v>
      </c>
      <c r="AL301">
        <v>10.19</v>
      </c>
      <c r="AM301" t="s">
        <v>27</v>
      </c>
      <c r="AN301">
        <v>10.19</v>
      </c>
      <c r="AO301" t="b">
        <f t="shared" si="50"/>
        <v>1</v>
      </c>
      <c r="AR301" t="s">
        <v>5061</v>
      </c>
      <c r="AS301" s="21">
        <v>46276</v>
      </c>
      <c r="AT301" t="s">
        <v>5062</v>
      </c>
      <c r="AU301" t="s">
        <v>5070</v>
      </c>
      <c r="AV301" t="s">
        <v>5062</v>
      </c>
      <c r="AW301" t="s">
        <v>5086</v>
      </c>
    </row>
    <row r="302" spans="1:49" hidden="1" x14ac:dyDescent="0.35">
      <c r="A302" t="s">
        <v>871</v>
      </c>
      <c r="B302" t="s">
        <v>872</v>
      </c>
      <c r="C302" t="s">
        <v>4818</v>
      </c>
      <c r="D302" t="s">
        <v>18</v>
      </c>
      <c r="E302" t="s">
        <v>1669</v>
      </c>
      <c r="F302" t="s">
        <v>1670</v>
      </c>
      <c r="G302" t="s">
        <v>21</v>
      </c>
      <c r="H302" t="s">
        <v>4888</v>
      </c>
      <c r="I302" t="s">
        <v>4893</v>
      </c>
      <c r="J302" s="4" t="s">
        <v>4894</v>
      </c>
      <c r="K302" s="4" t="s">
        <v>4904</v>
      </c>
      <c r="L302" s="4" t="s">
        <v>4924</v>
      </c>
      <c r="M302" s="4" t="s">
        <v>5035</v>
      </c>
      <c r="N302" t="s">
        <v>1671</v>
      </c>
      <c r="O302" t="s">
        <v>1672</v>
      </c>
      <c r="P302" t="s">
        <v>23</v>
      </c>
      <c r="Q302" t="s">
        <v>24</v>
      </c>
      <c r="R302" t="s">
        <v>25</v>
      </c>
      <c r="S302" t="s">
        <v>26</v>
      </c>
      <c r="T302" s="6">
        <v>46307</v>
      </c>
      <c r="U302">
        <v>132</v>
      </c>
      <c r="V302">
        <v>132</v>
      </c>
      <c r="W302">
        <v>144</v>
      </c>
      <c r="X302">
        <v>144</v>
      </c>
      <c r="Y302">
        <f t="shared" si="45"/>
        <v>0</v>
      </c>
      <c r="Z302">
        <f t="shared" si="46"/>
        <v>-12</v>
      </c>
      <c r="AC302" s="1">
        <v>0</v>
      </c>
      <c r="AF302">
        <f t="shared" si="54"/>
        <v>132</v>
      </c>
      <c r="AG302" s="41">
        <v>12</v>
      </c>
      <c r="AH302">
        <f t="shared" si="47"/>
        <v>132</v>
      </c>
      <c r="AI302">
        <f t="shared" si="48"/>
        <v>0</v>
      </c>
      <c r="AK302">
        <f t="shared" si="49"/>
        <v>11</v>
      </c>
      <c r="AL302">
        <v>10.16</v>
      </c>
      <c r="AM302" t="s">
        <v>27</v>
      </c>
      <c r="AN302">
        <v>10.16</v>
      </c>
      <c r="AO302" t="b">
        <f t="shared" si="50"/>
        <v>1</v>
      </c>
      <c r="AR302" t="s">
        <v>5061</v>
      </c>
      <c r="AS302" s="21">
        <v>46276</v>
      </c>
      <c r="AT302" t="s">
        <v>5062</v>
      </c>
      <c r="AU302" t="s">
        <v>5068</v>
      </c>
      <c r="AV302" t="s">
        <v>5062</v>
      </c>
      <c r="AW302" t="s">
        <v>5086</v>
      </c>
    </row>
    <row r="303" spans="1:49" hidden="1" x14ac:dyDescent="0.35">
      <c r="A303" t="s">
        <v>871</v>
      </c>
      <c r="B303" t="s">
        <v>872</v>
      </c>
      <c r="C303" t="s">
        <v>4818</v>
      </c>
      <c r="D303" t="s">
        <v>18</v>
      </c>
      <c r="E303" t="s">
        <v>1673</v>
      </c>
      <c r="F303" t="s">
        <v>1674</v>
      </c>
      <c r="G303" t="s">
        <v>21</v>
      </c>
      <c r="H303" t="s">
        <v>4888</v>
      </c>
      <c r="I303" t="s">
        <v>4893</v>
      </c>
      <c r="J303" s="4" t="s">
        <v>4894</v>
      </c>
      <c r="K303" s="4" t="s">
        <v>4904</v>
      </c>
      <c r="L303" s="4" t="s">
        <v>4857</v>
      </c>
      <c r="M303" s="4" t="s">
        <v>5035</v>
      </c>
      <c r="N303" t="s">
        <v>1675</v>
      </c>
      <c r="O303" t="s">
        <v>1676</v>
      </c>
      <c r="P303" t="s">
        <v>23</v>
      </c>
      <c r="Q303" t="s">
        <v>24</v>
      </c>
      <c r="R303" t="s">
        <v>25</v>
      </c>
      <c r="S303" t="s">
        <v>26</v>
      </c>
      <c r="T303" s="6">
        <v>46307</v>
      </c>
      <c r="U303">
        <v>48</v>
      </c>
      <c r="V303">
        <v>48</v>
      </c>
      <c r="W303">
        <v>36</v>
      </c>
      <c r="X303">
        <v>36</v>
      </c>
      <c r="Y303">
        <f t="shared" si="45"/>
        <v>0</v>
      </c>
      <c r="Z303">
        <f t="shared" si="46"/>
        <v>12</v>
      </c>
      <c r="AA303">
        <f t="shared" ref="AA303:AA304" si="55">Z303</f>
        <v>12</v>
      </c>
      <c r="AC303" s="1">
        <v>0</v>
      </c>
      <c r="AF303">
        <f>X303</f>
        <v>36</v>
      </c>
      <c r="AG303" s="41">
        <v>12</v>
      </c>
      <c r="AH303">
        <f t="shared" si="47"/>
        <v>36</v>
      </c>
      <c r="AI303">
        <f t="shared" si="48"/>
        <v>12</v>
      </c>
      <c r="AK303">
        <f t="shared" si="49"/>
        <v>3</v>
      </c>
      <c r="AL303">
        <v>10.16</v>
      </c>
      <c r="AM303" t="s">
        <v>27</v>
      </c>
      <c r="AN303">
        <v>10.16</v>
      </c>
      <c r="AO303" t="b">
        <f t="shared" si="50"/>
        <v>1</v>
      </c>
      <c r="AR303" t="s">
        <v>5061</v>
      </c>
      <c r="AS303" s="21">
        <v>46276</v>
      </c>
      <c r="AT303" t="s">
        <v>5062</v>
      </c>
      <c r="AU303" t="s">
        <v>5068</v>
      </c>
      <c r="AV303" t="s">
        <v>5062</v>
      </c>
      <c r="AW303" t="s">
        <v>5086</v>
      </c>
    </row>
    <row r="304" spans="1:49" hidden="1" x14ac:dyDescent="0.35">
      <c r="A304" t="s">
        <v>871</v>
      </c>
      <c r="B304" t="s">
        <v>872</v>
      </c>
      <c r="C304" t="s">
        <v>4818</v>
      </c>
      <c r="D304" t="s">
        <v>18</v>
      </c>
      <c r="E304" t="s">
        <v>1677</v>
      </c>
      <c r="F304" t="s">
        <v>1678</v>
      </c>
      <c r="G304" t="s">
        <v>21</v>
      </c>
      <c r="H304" t="s">
        <v>4888</v>
      </c>
      <c r="I304" t="s">
        <v>4889</v>
      </c>
      <c r="J304" s="4" t="s">
        <v>4890</v>
      </c>
      <c r="K304" s="4" t="s">
        <v>4891</v>
      </c>
      <c r="L304" s="4" t="s">
        <v>4869</v>
      </c>
      <c r="M304" s="4" t="s">
        <v>5035</v>
      </c>
      <c r="N304" t="s">
        <v>1679</v>
      </c>
      <c r="O304" t="s">
        <v>1680</v>
      </c>
      <c r="P304" t="s">
        <v>23</v>
      </c>
      <c r="Q304" t="s">
        <v>24</v>
      </c>
      <c r="R304" t="s">
        <v>25</v>
      </c>
      <c r="S304" t="s">
        <v>26</v>
      </c>
      <c r="T304" s="6">
        <v>46307</v>
      </c>
      <c r="U304">
        <v>132</v>
      </c>
      <c r="V304">
        <v>132</v>
      </c>
      <c r="W304">
        <v>120</v>
      </c>
      <c r="X304">
        <v>120</v>
      </c>
      <c r="Y304">
        <f t="shared" si="45"/>
        <v>0</v>
      </c>
      <c r="Z304">
        <f t="shared" si="46"/>
        <v>12</v>
      </c>
      <c r="AA304">
        <f t="shared" si="55"/>
        <v>12</v>
      </c>
      <c r="AC304" s="1">
        <v>0</v>
      </c>
      <c r="AF304">
        <f>X304</f>
        <v>120</v>
      </c>
      <c r="AG304" s="41">
        <v>12</v>
      </c>
      <c r="AH304">
        <f t="shared" si="47"/>
        <v>120</v>
      </c>
      <c r="AI304">
        <f t="shared" si="48"/>
        <v>12</v>
      </c>
      <c r="AK304">
        <f t="shared" si="49"/>
        <v>10</v>
      </c>
      <c r="AL304">
        <v>11.2</v>
      </c>
      <c r="AM304" t="s">
        <v>27</v>
      </c>
      <c r="AN304">
        <v>11.2</v>
      </c>
      <c r="AO304" t="b">
        <f t="shared" si="50"/>
        <v>1</v>
      </c>
      <c r="AR304" t="s">
        <v>5061</v>
      </c>
      <c r="AS304" s="21">
        <v>46276</v>
      </c>
      <c r="AT304" t="s">
        <v>5062</v>
      </c>
      <c r="AU304" t="s">
        <v>5067</v>
      </c>
      <c r="AV304" t="s">
        <v>5062</v>
      </c>
      <c r="AW304" t="s">
        <v>5086</v>
      </c>
    </row>
    <row r="305" spans="1:49" hidden="1" x14ac:dyDescent="0.35">
      <c r="A305" t="s">
        <v>871</v>
      </c>
      <c r="B305" t="s">
        <v>872</v>
      </c>
      <c r="C305" t="s">
        <v>4818</v>
      </c>
      <c r="D305" t="s">
        <v>18</v>
      </c>
      <c r="E305" t="s">
        <v>1681</v>
      </c>
      <c r="F305" t="s">
        <v>1682</v>
      </c>
      <c r="G305" t="s">
        <v>21</v>
      </c>
      <c r="H305" t="s">
        <v>4888</v>
      </c>
      <c r="I305" t="s">
        <v>4906</v>
      </c>
      <c r="J305" s="4" t="s">
        <v>4907</v>
      </c>
      <c r="K305" s="4" t="s">
        <v>4908</v>
      </c>
      <c r="L305" s="4" t="s">
        <v>4918</v>
      </c>
      <c r="M305" s="4" t="s">
        <v>5035</v>
      </c>
      <c r="N305" t="s">
        <v>1683</v>
      </c>
      <c r="O305" t="s">
        <v>1684</v>
      </c>
      <c r="P305" t="s">
        <v>23</v>
      </c>
      <c r="Q305" t="s">
        <v>24</v>
      </c>
      <c r="R305" t="s">
        <v>25</v>
      </c>
      <c r="S305" t="s">
        <v>26</v>
      </c>
      <c r="T305" s="6">
        <v>46307</v>
      </c>
      <c r="U305">
        <v>12</v>
      </c>
      <c r="V305">
        <v>12</v>
      </c>
      <c r="W305">
        <v>12</v>
      </c>
      <c r="X305">
        <v>12</v>
      </c>
      <c r="Y305">
        <f t="shared" si="45"/>
        <v>0</v>
      </c>
      <c r="Z305">
        <f t="shared" si="46"/>
        <v>0</v>
      </c>
      <c r="AC305" s="1">
        <v>0</v>
      </c>
      <c r="AF305">
        <f>V305</f>
        <v>12</v>
      </c>
      <c r="AG305" s="41">
        <v>12</v>
      </c>
      <c r="AH305">
        <f t="shared" si="47"/>
        <v>12</v>
      </c>
      <c r="AI305">
        <f t="shared" si="48"/>
        <v>0</v>
      </c>
      <c r="AK305">
        <f t="shared" si="49"/>
        <v>1</v>
      </c>
      <c r="AL305">
        <v>10.19</v>
      </c>
      <c r="AM305" t="s">
        <v>27</v>
      </c>
      <c r="AN305">
        <v>10.19</v>
      </c>
      <c r="AO305" t="b">
        <f t="shared" si="50"/>
        <v>1</v>
      </c>
      <c r="AR305" t="s">
        <v>5061</v>
      </c>
      <c r="AS305" s="21">
        <v>46276</v>
      </c>
      <c r="AT305" t="s">
        <v>5062</v>
      </c>
      <c r="AU305" t="s">
        <v>5070</v>
      </c>
      <c r="AV305" t="s">
        <v>5062</v>
      </c>
      <c r="AW305" t="s">
        <v>5086</v>
      </c>
    </row>
    <row r="306" spans="1:49" hidden="1" x14ac:dyDescent="0.35">
      <c r="A306" t="s">
        <v>871</v>
      </c>
      <c r="B306" t="s">
        <v>872</v>
      </c>
      <c r="C306" t="s">
        <v>4818</v>
      </c>
      <c r="D306" t="s">
        <v>18</v>
      </c>
      <c r="E306" t="s">
        <v>1685</v>
      </c>
      <c r="F306" t="s">
        <v>1686</v>
      </c>
      <c r="G306" t="s">
        <v>21</v>
      </c>
      <c r="H306" t="s">
        <v>4888</v>
      </c>
      <c r="I306" t="s">
        <v>4902</v>
      </c>
      <c r="J306" s="4" t="s">
        <v>4903</v>
      </c>
      <c r="K306" s="4" t="s">
        <v>4899</v>
      </c>
      <c r="L306" s="4" t="s">
        <v>4921</v>
      </c>
      <c r="M306" s="4" t="s">
        <v>5035</v>
      </c>
      <c r="N306" t="s">
        <v>1687</v>
      </c>
      <c r="O306" t="s">
        <v>1688</v>
      </c>
      <c r="P306" t="s">
        <v>23</v>
      </c>
      <c r="Q306" t="s">
        <v>24</v>
      </c>
      <c r="R306" t="s">
        <v>25</v>
      </c>
      <c r="S306" t="s">
        <v>26</v>
      </c>
      <c r="T306" s="6">
        <v>46307</v>
      </c>
      <c r="U306">
        <v>24</v>
      </c>
      <c r="V306">
        <v>24</v>
      </c>
      <c r="W306">
        <v>24</v>
      </c>
      <c r="X306">
        <v>24</v>
      </c>
      <c r="Y306">
        <f t="shared" si="45"/>
        <v>0</v>
      </c>
      <c r="Z306">
        <f t="shared" si="46"/>
        <v>0</v>
      </c>
      <c r="AC306" s="1">
        <v>0</v>
      </c>
      <c r="AF306">
        <f>V306</f>
        <v>24</v>
      </c>
      <c r="AG306" s="41">
        <v>12</v>
      </c>
      <c r="AH306">
        <f t="shared" si="47"/>
        <v>24</v>
      </c>
      <c r="AI306">
        <f t="shared" si="48"/>
        <v>0</v>
      </c>
      <c r="AK306">
        <f t="shared" si="49"/>
        <v>2</v>
      </c>
      <c r="AL306">
        <v>10.49</v>
      </c>
      <c r="AM306" t="s">
        <v>27</v>
      </c>
      <c r="AN306">
        <v>10.49</v>
      </c>
      <c r="AO306" t="b">
        <f t="shared" si="50"/>
        <v>1</v>
      </c>
      <c r="AR306" t="s">
        <v>5061</v>
      </c>
      <c r="AS306" s="21">
        <v>46276</v>
      </c>
      <c r="AT306" t="s">
        <v>5062</v>
      </c>
      <c r="AU306" t="s">
        <v>5069</v>
      </c>
      <c r="AV306" t="s">
        <v>5062</v>
      </c>
      <c r="AW306" t="s">
        <v>5086</v>
      </c>
    </row>
    <row r="307" spans="1:49" hidden="1" x14ac:dyDescent="0.35">
      <c r="A307" t="s">
        <v>871</v>
      </c>
      <c r="B307" t="s">
        <v>872</v>
      </c>
      <c r="C307" t="s">
        <v>4818</v>
      </c>
      <c r="D307" t="s">
        <v>18</v>
      </c>
      <c r="E307" t="s">
        <v>1689</v>
      </c>
      <c r="F307" t="s">
        <v>1690</v>
      </c>
      <c r="G307" t="s">
        <v>21</v>
      </c>
      <c r="H307" t="s">
        <v>4888</v>
      </c>
      <c r="I307" t="s">
        <v>4889</v>
      </c>
      <c r="J307" s="4" t="s">
        <v>4890</v>
      </c>
      <c r="K307" s="4" t="s">
        <v>4891</v>
      </c>
      <c r="L307" s="4" t="s">
        <v>4880</v>
      </c>
      <c r="M307" s="4" t="s">
        <v>5035</v>
      </c>
      <c r="N307" t="s">
        <v>1691</v>
      </c>
      <c r="O307" t="s">
        <v>1692</v>
      </c>
      <c r="P307" t="s">
        <v>23</v>
      </c>
      <c r="Q307" t="s">
        <v>24</v>
      </c>
      <c r="R307" t="s">
        <v>25</v>
      </c>
      <c r="S307" t="s">
        <v>26</v>
      </c>
      <c r="T307" s="6">
        <v>46307</v>
      </c>
      <c r="U307">
        <v>12</v>
      </c>
      <c r="V307">
        <v>12</v>
      </c>
      <c r="W307">
        <v>12</v>
      </c>
      <c r="X307">
        <v>12</v>
      </c>
      <c r="Y307">
        <f t="shared" si="45"/>
        <v>0</v>
      </c>
      <c r="Z307">
        <f t="shared" si="46"/>
        <v>0</v>
      </c>
      <c r="AC307" s="1">
        <v>0</v>
      </c>
      <c r="AF307">
        <f>V307</f>
        <v>12</v>
      </c>
      <c r="AG307" s="41">
        <v>12</v>
      </c>
      <c r="AH307">
        <f t="shared" si="47"/>
        <v>12</v>
      </c>
      <c r="AI307">
        <f t="shared" si="48"/>
        <v>0</v>
      </c>
      <c r="AK307">
        <f t="shared" si="49"/>
        <v>1</v>
      </c>
      <c r="AL307">
        <v>11.2</v>
      </c>
      <c r="AM307" t="s">
        <v>27</v>
      </c>
      <c r="AN307">
        <v>11.2</v>
      </c>
      <c r="AO307" t="b">
        <f t="shared" si="50"/>
        <v>1</v>
      </c>
      <c r="AR307" t="s">
        <v>5061</v>
      </c>
      <c r="AS307" s="21">
        <v>46276</v>
      </c>
      <c r="AT307" t="s">
        <v>5062</v>
      </c>
      <c r="AU307" t="s">
        <v>5067</v>
      </c>
      <c r="AV307" t="s">
        <v>5062</v>
      </c>
      <c r="AW307" t="s">
        <v>5086</v>
      </c>
    </row>
    <row r="308" spans="1:49" hidden="1" x14ac:dyDescent="0.35">
      <c r="A308" t="s">
        <v>871</v>
      </c>
      <c r="B308" t="s">
        <v>872</v>
      </c>
      <c r="C308" t="s">
        <v>4818</v>
      </c>
      <c r="D308" t="s">
        <v>18</v>
      </c>
      <c r="E308" t="s">
        <v>1693</v>
      </c>
      <c r="F308" t="s">
        <v>1694</v>
      </c>
      <c r="G308" t="s">
        <v>21</v>
      </c>
      <c r="H308" t="s">
        <v>4888</v>
      </c>
      <c r="I308" t="s">
        <v>4889</v>
      </c>
      <c r="J308" s="4" t="s">
        <v>4890</v>
      </c>
      <c r="K308" s="4" t="s">
        <v>4899</v>
      </c>
      <c r="L308" s="4" t="s">
        <v>4934</v>
      </c>
      <c r="M308" s="4" t="s">
        <v>5035</v>
      </c>
      <c r="N308" t="s">
        <v>1695</v>
      </c>
      <c r="O308" t="s">
        <v>1696</v>
      </c>
      <c r="P308" t="s">
        <v>23</v>
      </c>
      <c r="Q308" t="s">
        <v>24</v>
      </c>
      <c r="R308" t="s">
        <v>25</v>
      </c>
      <c r="S308" t="s">
        <v>26</v>
      </c>
      <c r="T308" s="6">
        <v>46307</v>
      </c>
      <c r="U308">
        <v>12</v>
      </c>
      <c r="V308">
        <v>12</v>
      </c>
      <c r="W308">
        <v>12</v>
      </c>
      <c r="X308">
        <v>12</v>
      </c>
      <c r="Y308">
        <f t="shared" si="45"/>
        <v>0</v>
      </c>
      <c r="Z308">
        <f t="shared" si="46"/>
        <v>0</v>
      </c>
      <c r="AC308" s="1">
        <v>0</v>
      </c>
      <c r="AF308">
        <f>V308</f>
        <v>12</v>
      </c>
      <c r="AG308" s="41">
        <v>12</v>
      </c>
      <c r="AH308">
        <f t="shared" si="47"/>
        <v>12</v>
      </c>
      <c r="AI308">
        <f t="shared" si="48"/>
        <v>0</v>
      </c>
      <c r="AK308">
        <f t="shared" si="49"/>
        <v>1</v>
      </c>
      <c r="AL308">
        <v>10.9</v>
      </c>
      <c r="AM308" t="s">
        <v>27</v>
      </c>
      <c r="AN308">
        <v>10.9</v>
      </c>
      <c r="AO308" t="b">
        <f t="shared" si="50"/>
        <v>1</v>
      </c>
      <c r="AR308" t="s">
        <v>5061</v>
      </c>
      <c r="AS308" s="21">
        <v>46276</v>
      </c>
      <c r="AT308" t="s">
        <v>5062</v>
      </c>
      <c r="AU308" t="s">
        <v>5067</v>
      </c>
      <c r="AV308" t="s">
        <v>5062</v>
      </c>
      <c r="AW308" t="s">
        <v>5086</v>
      </c>
    </row>
    <row r="309" spans="1:49" hidden="1" x14ac:dyDescent="0.35">
      <c r="A309" t="s">
        <v>871</v>
      </c>
      <c r="B309" t="s">
        <v>872</v>
      </c>
      <c r="C309" t="s">
        <v>4818</v>
      </c>
      <c r="D309" t="s">
        <v>18</v>
      </c>
      <c r="E309" t="s">
        <v>1697</v>
      </c>
      <c r="F309" t="s">
        <v>1698</v>
      </c>
      <c r="G309" t="s">
        <v>21</v>
      </c>
      <c r="H309" t="s">
        <v>4888</v>
      </c>
      <c r="I309" t="s">
        <v>4889</v>
      </c>
      <c r="J309" s="4" t="s">
        <v>4890</v>
      </c>
      <c r="K309" s="4" t="s">
        <v>4891</v>
      </c>
      <c r="L309" s="4" t="s">
        <v>4931</v>
      </c>
      <c r="M309" s="4" t="s">
        <v>5035</v>
      </c>
      <c r="N309" t="s">
        <v>1699</v>
      </c>
      <c r="O309" t="s">
        <v>1700</v>
      </c>
      <c r="P309" t="s">
        <v>23</v>
      </c>
      <c r="Q309" t="s">
        <v>24</v>
      </c>
      <c r="R309" t="s">
        <v>25</v>
      </c>
      <c r="S309" t="s">
        <v>26</v>
      </c>
      <c r="T309" s="6">
        <v>46307</v>
      </c>
      <c r="U309">
        <v>12</v>
      </c>
      <c r="V309">
        <v>12</v>
      </c>
      <c r="W309">
        <v>12</v>
      </c>
      <c r="X309">
        <v>12</v>
      </c>
      <c r="Y309">
        <f t="shared" si="45"/>
        <v>0</v>
      </c>
      <c r="Z309">
        <f t="shared" si="46"/>
        <v>0</v>
      </c>
      <c r="AC309" s="1">
        <v>0</v>
      </c>
      <c r="AF309">
        <f>V309</f>
        <v>12</v>
      </c>
      <c r="AG309" s="41">
        <v>12</v>
      </c>
      <c r="AH309">
        <f t="shared" si="47"/>
        <v>12</v>
      </c>
      <c r="AI309">
        <f t="shared" si="48"/>
        <v>0</v>
      </c>
      <c r="AK309">
        <f t="shared" si="49"/>
        <v>1</v>
      </c>
      <c r="AL309">
        <v>11.2</v>
      </c>
      <c r="AM309" t="s">
        <v>27</v>
      </c>
      <c r="AN309">
        <v>11.2</v>
      </c>
      <c r="AO309" t="b">
        <f t="shared" si="50"/>
        <v>1</v>
      </c>
      <c r="AR309" t="s">
        <v>5061</v>
      </c>
      <c r="AS309" s="21">
        <v>46276</v>
      </c>
      <c r="AT309" t="s">
        <v>5062</v>
      </c>
      <c r="AU309" t="s">
        <v>5067</v>
      </c>
      <c r="AV309" t="s">
        <v>5062</v>
      </c>
      <c r="AW309" t="s">
        <v>5086</v>
      </c>
    </row>
    <row r="310" spans="1:49" hidden="1" x14ac:dyDescent="0.35">
      <c r="A310" t="s">
        <v>871</v>
      </c>
      <c r="B310" t="s">
        <v>872</v>
      </c>
      <c r="C310" t="s">
        <v>4818</v>
      </c>
      <c r="D310" t="s">
        <v>18</v>
      </c>
      <c r="E310" t="s">
        <v>1701</v>
      </c>
      <c r="F310" t="s">
        <v>1702</v>
      </c>
      <c r="G310" t="s">
        <v>21</v>
      </c>
      <c r="H310" t="s">
        <v>4888</v>
      </c>
      <c r="I310" t="s">
        <v>4902</v>
      </c>
      <c r="J310" s="4" t="s">
        <v>4903</v>
      </c>
      <c r="K310" s="4" t="s">
        <v>4915</v>
      </c>
      <c r="L310" s="4" t="s">
        <v>4853</v>
      </c>
      <c r="M310" s="4" t="s">
        <v>5035</v>
      </c>
      <c r="N310" t="s">
        <v>1703</v>
      </c>
      <c r="O310" t="s">
        <v>1704</v>
      </c>
      <c r="P310" t="s">
        <v>23</v>
      </c>
      <c r="Q310" t="s">
        <v>24</v>
      </c>
      <c r="R310" t="s">
        <v>25</v>
      </c>
      <c r="S310" t="s">
        <v>26</v>
      </c>
      <c r="T310" s="6">
        <v>46307</v>
      </c>
      <c r="U310">
        <v>252</v>
      </c>
      <c r="V310">
        <v>252</v>
      </c>
      <c r="W310">
        <v>228</v>
      </c>
      <c r="X310">
        <v>228</v>
      </c>
      <c r="Y310">
        <f t="shared" si="45"/>
        <v>0</v>
      </c>
      <c r="Z310">
        <f t="shared" si="46"/>
        <v>24</v>
      </c>
      <c r="AA310">
        <f>Z310</f>
        <v>24</v>
      </c>
      <c r="AC310" s="1">
        <v>0</v>
      </c>
      <c r="AF310">
        <f>X310</f>
        <v>228</v>
      </c>
      <c r="AG310" s="41">
        <v>12</v>
      </c>
      <c r="AH310">
        <f t="shared" si="47"/>
        <v>228</v>
      </c>
      <c r="AI310">
        <f t="shared" si="48"/>
        <v>24</v>
      </c>
      <c r="AK310">
        <f t="shared" si="49"/>
        <v>19</v>
      </c>
      <c r="AL310">
        <v>10.66</v>
      </c>
      <c r="AM310" t="s">
        <v>27</v>
      </c>
      <c r="AN310">
        <v>10.66</v>
      </c>
      <c r="AO310" t="b">
        <f t="shared" si="50"/>
        <v>1</v>
      </c>
      <c r="AR310" t="s">
        <v>5061</v>
      </c>
      <c r="AS310" s="21">
        <v>46276</v>
      </c>
      <c r="AT310" t="s">
        <v>5062</v>
      </c>
      <c r="AU310" t="s">
        <v>5069</v>
      </c>
      <c r="AV310" t="s">
        <v>5062</v>
      </c>
      <c r="AW310" t="s">
        <v>5086</v>
      </c>
    </row>
    <row r="311" spans="1:49" hidden="1" x14ac:dyDescent="0.35">
      <c r="A311" t="s">
        <v>871</v>
      </c>
      <c r="B311" t="s">
        <v>872</v>
      </c>
      <c r="C311" t="s">
        <v>4818</v>
      </c>
      <c r="D311" t="s">
        <v>18</v>
      </c>
      <c r="E311" t="s">
        <v>1705</v>
      </c>
      <c r="F311" t="s">
        <v>1706</v>
      </c>
      <c r="G311" t="s">
        <v>21</v>
      </c>
      <c r="H311" t="s">
        <v>4888</v>
      </c>
      <c r="I311" t="s">
        <v>4889</v>
      </c>
      <c r="J311" s="4" t="s">
        <v>4890</v>
      </c>
      <c r="K311" s="4" t="s">
        <v>4911</v>
      </c>
      <c r="L311" s="4" t="s">
        <v>4869</v>
      </c>
      <c r="M311" s="4" t="s">
        <v>5035</v>
      </c>
      <c r="N311" t="s">
        <v>1707</v>
      </c>
      <c r="O311" t="s">
        <v>1708</v>
      </c>
      <c r="P311" t="s">
        <v>23</v>
      </c>
      <c r="Q311" t="s">
        <v>24</v>
      </c>
      <c r="R311" t="s">
        <v>25</v>
      </c>
      <c r="S311" t="s">
        <v>26</v>
      </c>
      <c r="T311" s="6">
        <v>46307</v>
      </c>
      <c r="U311">
        <v>84</v>
      </c>
      <c r="V311">
        <v>84</v>
      </c>
      <c r="W311">
        <v>84</v>
      </c>
      <c r="X311">
        <v>84</v>
      </c>
      <c r="Y311">
        <f t="shared" si="45"/>
        <v>0</v>
      </c>
      <c r="Z311">
        <f t="shared" si="46"/>
        <v>0</v>
      </c>
      <c r="AC311" s="1">
        <v>0</v>
      </c>
      <c r="AF311">
        <f>V311</f>
        <v>84</v>
      </c>
      <c r="AG311" s="41">
        <v>12</v>
      </c>
      <c r="AH311">
        <f t="shared" si="47"/>
        <v>84</v>
      </c>
      <c r="AI311">
        <f t="shared" si="48"/>
        <v>0</v>
      </c>
      <c r="AK311">
        <f t="shared" si="49"/>
        <v>7</v>
      </c>
      <c r="AL311">
        <v>11.87</v>
      </c>
      <c r="AM311" t="s">
        <v>27</v>
      </c>
      <c r="AN311">
        <v>11.87</v>
      </c>
      <c r="AO311" t="b">
        <f t="shared" si="50"/>
        <v>1</v>
      </c>
      <c r="AR311" t="s">
        <v>5061</v>
      </c>
      <c r="AS311" s="21">
        <v>46276</v>
      </c>
      <c r="AT311" t="s">
        <v>5062</v>
      </c>
      <c r="AU311" t="s">
        <v>5067</v>
      </c>
      <c r="AV311" t="s">
        <v>5062</v>
      </c>
      <c r="AW311" t="s">
        <v>5086</v>
      </c>
    </row>
    <row r="312" spans="1:49" hidden="1" x14ac:dyDescent="0.35">
      <c r="A312" t="s">
        <v>871</v>
      </c>
      <c r="B312" t="s">
        <v>872</v>
      </c>
      <c r="C312" t="s">
        <v>4818</v>
      </c>
      <c r="D312" t="s">
        <v>18</v>
      </c>
      <c r="E312" t="s">
        <v>1709</v>
      </c>
      <c r="F312" t="s">
        <v>1710</v>
      </c>
      <c r="G312" t="s">
        <v>21</v>
      </c>
      <c r="H312" t="s">
        <v>4888</v>
      </c>
      <c r="I312" t="s">
        <v>4893</v>
      </c>
      <c r="J312" s="4" t="s">
        <v>4894</v>
      </c>
      <c r="K312" s="4" t="s">
        <v>4913</v>
      </c>
      <c r="L312" s="4" t="s">
        <v>4917</v>
      </c>
      <c r="M312" s="4" t="s">
        <v>5035</v>
      </c>
      <c r="N312" t="s">
        <v>1711</v>
      </c>
      <c r="O312" t="s">
        <v>1712</v>
      </c>
      <c r="P312" t="s">
        <v>23</v>
      </c>
      <c r="Q312" t="s">
        <v>24</v>
      </c>
      <c r="R312" t="s">
        <v>25</v>
      </c>
      <c r="S312" t="s">
        <v>26</v>
      </c>
      <c r="T312" s="6">
        <v>46307</v>
      </c>
      <c r="U312">
        <v>120</v>
      </c>
      <c r="V312">
        <v>120</v>
      </c>
      <c r="W312">
        <v>132</v>
      </c>
      <c r="X312">
        <v>132</v>
      </c>
      <c r="Y312">
        <f t="shared" si="45"/>
        <v>0</v>
      </c>
      <c r="Z312">
        <f t="shared" si="46"/>
        <v>-12</v>
      </c>
      <c r="AC312" s="1">
        <v>0</v>
      </c>
      <c r="AF312">
        <f>V312</f>
        <v>120</v>
      </c>
      <c r="AG312" s="41">
        <v>12</v>
      </c>
      <c r="AH312">
        <f t="shared" si="47"/>
        <v>120</v>
      </c>
      <c r="AI312">
        <f t="shared" si="48"/>
        <v>0</v>
      </c>
      <c r="AK312">
        <f t="shared" si="49"/>
        <v>10</v>
      </c>
      <c r="AL312">
        <v>9.9499999999999993</v>
      </c>
      <c r="AM312" t="s">
        <v>27</v>
      </c>
      <c r="AN312">
        <v>9.9499999999999993</v>
      </c>
      <c r="AO312" t="b">
        <f t="shared" si="50"/>
        <v>1</v>
      </c>
      <c r="AR312" t="s">
        <v>5061</v>
      </c>
      <c r="AS312" s="21">
        <v>46276</v>
      </c>
      <c r="AT312" t="s">
        <v>5062</v>
      </c>
      <c r="AU312" t="s">
        <v>5068</v>
      </c>
      <c r="AV312" t="s">
        <v>5062</v>
      </c>
      <c r="AW312" t="s">
        <v>5086</v>
      </c>
    </row>
    <row r="313" spans="1:49" hidden="1" x14ac:dyDescent="0.35">
      <c r="A313" t="s">
        <v>871</v>
      </c>
      <c r="B313" t="s">
        <v>872</v>
      </c>
      <c r="C313" t="s">
        <v>4818</v>
      </c>
      <c r="D313" t="s">
        <v>18</v>
      </c>
      <c r="E313" t="s">
        <v>1713</v>
      </c>
      <c r="F313" t="s">
        <v>1714</v>
      </c>
      <c r="G313" t="s">
        <v>21</v>
      </c>
      <c r="H313" t="s">
        <v>4888</v>
      </c>
      <c r="I313" t="s">
        <v>4889</v>
      </c>
      <c r="J313" s="4" t="s">
        <v>4890</v>
      </c>
      <c r="K313" s="4" t="s">
        <v>4911</v>
      </c>
      <c r="L313" s="4" t="s">
        <v>4922</v>
      </c>
      <c r="M313" s="4" t="s">
        <v>5035</v>
      </c>
      <c r="N313" t="s">
        <v>1715</v>
      </c>
      <c r="O313" t="s">
        <v>1716</v>
      </c>
      <c r="P313" t="s">
        <v>23</v>
      </c>
      <c r="Q313" t="s">
        <v>24</v>
      </c>
      <c r="R313" t="s">
        <v>25</v>
      </c>
      <c r="S313" t="s">
        <v>26</v>
      </c>
      <c r="T313" s="6">
        <v>46307</v>
      </c>
      <c r="U313">
        <v>36</v>
      </c>
      <c r="V313">
        <v>36</v>
      </c>
      <c r="W313">
        <v>24</v>
      </c>
      <c r="X313">
        <v>24</v>
      </c>
      <c r="Y313">
        <f t="shared" si="45"/>
        <v>0</v>
      </c>
      <c r="Z313">
        <f t="shared" si="46"/>
        <v>12</v>
      </c>
      <c r="AA313">
        <f>Z313</f>
        <v>12</v>
      </c>
      <c r="AC313" s="1">
        <v>0</v>
      </c>
      <c r="AF313">
        <f>X313</f>
        <v>24</v>
      </c>
      <c r="AG313" s="41">
        <v>12</v>
      </c>
      <c r="AH313">
        <f t="shared" si="47"/>
        <v>24</v>
      </c>
      <c r="AI313">
        <f t="shared" si="48"/>
        <v>12</v>
      </c>
      <c r="AK313">
        <f t="shared" si="49"/>
        <v>2</v>
      </c>
      <c r="AL313">
        <v>11.87</v>
      </c>
      <c r="AM313" t="s">
        <v>27</v>
      </c>
      <c r="AN313">
        <v>11.87</v>
      </c>
      <c r="AO313" t="b">
        <f t="shared" si="50"/>
        <v>1</v>
      </c>
      <c r="AR313" t="s">
        <v>5061</v>
      </c>
      <c r="AS313" s="21">
        <v>46276</v>
      </c>
      <c r="AT313" t="s">
        <v>5062</v>
      </c>
      <c r="AU313" t="s">
        <v>5067</v>
      </c>
      <c r="AV313" t="s">
        <v>5062</v>
      </c>
      <c r="AW313" t="s">
        <v>5086</v>
      </c>
    </row>
    <row r="314" spans="1:49" hidden="1" x14ac:dyDescent="0.35">
      <c r="A314" t="s">
        <v>871</v>
      </c>
      <c r="B314" t="s">
        <v>872</v>
      </c>
      <c r="C314" t="s">
        <v>4818</v>
      </c>
      <c r="D314" t="s">
        <v>18</v>
      </c>
      <c r="E314" t="s">
        <v>1717</v>
      </c>
      <c r="F314" t="s">
        <v>1718</v>
      </c>
      <c r="G314" t="s">
        <v>21</v>
      </c>
      <c r="H314" t="s">
        <v>4888</v>
      </c>
      <c r="I314" t="s">
        <v>4889</v>
      </c>
      <c r="J314" s="4" t="s">
        <v>4890</v>
      </c>
      <c r="K314" s="4" t="s">
        <v>4891</v>
      </c>
      <c r="L314" s="4" t="s">
        <v>4924</v>
      </c>
      <c r="M314" s="4" t="s">
        <v>5035</v>
      </c>
      <c r="N314" t="s">
        <v>1719</v>
      </c>
      <c r="O314" t="s">
        <v>1720</v>
      </c>
      <c r="P314" t="s">
        <v>23</v>
      </c>
      <c r="Q314" t="s">
        <v>24</v>
      </c>
      <c r="R314" t="s">
        <v>25</v>
      </c>
      <c r="S314" t="s">
        <v>26</v>
      </c>
      <c r="T314" s="6">
        <v>46307</v>
      </c>
      <c r="U314">
        <v>180</v>
      </c>
      <c r="V314">
        <v>180</v>
      </c>
      <c r="W314">
        <v>192</v>
      </c>
      <c r="X314">
        <v>192</v>
      </c>
      <c r="Y314">
        <f t="shared" si="45"/>
        <v>0</v>
      </c>
      <c r="Z314">
        <f t="shared" si="46"/>
        <v>-12</v>
      </c>
      <c r="AC314" s="1">
        <v>0</v>
      </c>
      <c r="AF314">
        <f>V314</f>
        <v>180</v>
      </c>
      <c r="AG314" s="41">
        <v>12</v>
      </c>
      <c r="AH314">
        <f t="shared" si="47"/>
        <v>180</v>
      </c>
      <c r="AI314">
        <f t="shared" si="48"/>
        <v>0</v>
      </c>
      <c r="AK314">
        <f t="shared" si="49"/>
        <v>15</v>
      </c>
      <c r="AL314">
        <v>11.2</v>
      </c>
      <c r="AM314" t="s">
        <v>27</v>
      </c>
      <c r="AN314">
        <v>11.2</v>
      </c>
      <c r="AO314" t="b">
        <f t="shared" si="50"/>
        <v>1</v>
      </c>
      <c r="AR314" t="s">
        <v>5061</v>
      </c>
      <c r="AS314" s="21">
        <v>46276</v>
      </c>
      <c r="AT314" t="s">
        <v>5062</v>
      </c>
      <c r="AU314" t="s">
        <v>5067</v>
      </c>
      <c r="AV314" t="s">
        <v>5062</v>
      </c>
      <c r="AW314" t="s">
        <v>5086</v>
      </c>
    </row>
    <row r="315" spans="1:49" hidden="1" x14ac:dyDescent="0.35">
      <c r="A315" t="s">
        <v>871</v>
      </c>
      <c r="B315" t="s">
        <v>872</v>
      </c>
      <c r="C315" t="s">
        <v>4818</v>
      </c>
      <c r="D315" t="s">
        <v>18</v>
      </c>
      <c r="E315" t="s">
        <v>1721</v>
      </c>
      <c r="F315" t="s">
        <v>1722</v>
      </c>
      <c r="G315" t="s">
        <v>21</v>
      </c>
      <c r="H315" t="s">
        <v>4888</v>
      </c>
      <c r="I315" t="s">
        <v>4889</v>
      </c>
      <c r="J315" s="4" t="s">
        <v>4890</v>
      </c>
      <c r="K315" s="4" t="s">
        <v>4911</v>
      </c>
      <c r="L315" s="4" t="s">
        <v>4916</v>
      </c>
      <c r="M315" s="4" t="s">
        <v>5035</v>
      </c>
      <c r="N315" t="s">
        <v>1723</v>
      </c>
      <c r="O315" t="s">
        <v>1724</v>
      </c>
      <c r="P315" t="s">
        <v>23</v>
      </c>
      <c r="Q315" t="s">
        <v>24</v>
      </c>
      <c r="R315" t="s">
        <v>25</v>
      </c>
      <c r="S315" t="s">
        <v>26</v>
      </c>
      <c r="T315" s="6">
        <v>46307</v>
      </c>
      <c r="U315">
        <v>84</v>
      </c>
      <c r="V315">
        <v>84</v>
      </c>
      <c r="W315">
        <v>96</v>
      </c>
      <c r="X315">
        <v>96</v>
      </c>
      <c r="Y315">
        <f t="shared" si="45"/>
        <v>0</v>
      </c>
      <c r="Z315">
        <f t="shared" si="46"/>
        <v>-12</v>
      </c>
      <c r="AC315" s="1">
        <v>0</v>
      </c>
      <c r="AF315">
        <f>V315</f>
        <v>84</v>
      </c>
      <c r="AG315" s="41">
        <v>12</v>
      </c>
      <c r="AH315">
        <f t="shared" si="47"/>
        <v>84</v>
      </c>
      <c r="AI315">
        <f t="shared" si="48"/>
        <v>0</v>
      </c>
      <c r="AK315">
        <f t="shared" si="49"/>
        <v>7</v>
      </c>
      <c r="AL315">
        <v>11.87</v>
      </c>
      <c r="AM315" t="s">
        <v>27</v>
      </c>
      <c r="AN315">
        <v>11.87</v>
      </c>
      <c r="AO315" t="b">
        <f t="shared" si="50"/>
        <v>1</v>
      </c>
      <c r="AR315" t="s">
        <v>5061</v>
      </c>
      <c r="AS315" s="21">
        <v>46276</v>
      </c>
      <c r="AT315" t="s">
        <v>5062</v>
      </c>
      <c r="AU315" t="s">
        <v>5067</v>
      </c>
      <c r="AV315" t="s">
        <v>5062</v>
      </c>
      <c r="AW315" t="s">
        <v>5086</v>
      </c>
    </row>
    <row r="316" spans="1:49" hidden="1" x14ac:dyDescent="0.35">
      <c r="A316" t="s">
        <v>871</v>
      </c>
      <c r="B316" t="s">
        <v>872</v>
      </c>
      <c r="C316" t="s">
        <v>4818</v>
      </c>
      <c r="D316" t="s">
        <v>18</v>
      </c>
      <c r="E316" t="s">
        <v>1725</v>
      </c>
      <c r="F316" t="s">
        <v>1726</v>
      </c>
      <c r="G316" t="s">
        <v>21</v>
      </c>
      <c r="H316" t="s">
        <v>4888</v>
      </c>
      <c r="I316" t="s">
        <v>4906</v>
      </c>
      <c r="J316" s="4" t="s">
        <v>4907</v>
      </c>
      <c r="K316" s="4" t="s">
        <v>4908</v>
      </c>
      <c r="L316" s="4" t="s">
        <v>4871</v>
      </c>
      <c r="M316" s="4" t="s">
        <v>5035</v>
      </c>
      <c r="N316" t="s">
        <v>1727</v>
      </c>
      <c r="O316" t="s">
        <v>1728</v>
      </c>
      <c r="P316" t="s">
        <v>23</v>
      </c>
      <c r="Q316" t="s">
        <v>24</v>
      </c>
      <c r="R316" t="s">
        <v>25</v>
      </c>
      <c r="S316" t="s">
        <v>26</v>
      </c>
      <c r="T316" s="6">
        <v>46307</v>
      </c>
      <c r="U316">
        <v>144</v>
      </c>
      <c r="V316">
        <v>144</v>
      </c>
      <c r="W316">
        <v>156</v>
      </c>
      <c r="X316">
        <v>156</v>
      </c>
      <c r="Y316">
        <f t="shared" si="45"/>
        <v>0</v>
      </c>
      <c r="Z316">
        <f t="shared" si="46"/>
        <v>-12</v>
      </c>
      <c r="AC316" s="1"/>
      <c r="AF316">
        <f>V316</f>
        <v>144</v>
      </c>
      <c r="AG316" s="41">
        <v>12</v>
      </c>
      <c r="AH316">
        <f t="shared" si="47"/>
        <v>144</v>
      </c>
      <c r="AI316">
        <f t="shared" si="48"/>
        <v>0</v>
      </c>
      <c r="AK316">
        <f t="shared" si="49"/>
        <v>12</v>
      </c>
      <c r="AL316">
        <v>10.19</v>
      </c>
      <c r="AM316" t="s">
        <v>27</v>
      </c>
      <c r="AN316">
        <v>10.19</v>
      </c>
      <c r="AO316" t="b">
        <f t="shared" si="50"/>
        <v>1</v>
      </c>
      <c r="AR316" t="s">
        <v>5061</v>
      </c>
      <c r="AS316" s="21">
        <v>46276</v>
      </c>
      <c r="AT316" t="s">
        <v>5062</v>
      </c>
      <c r="AU316" t="s">
        <v>5070</v>
      </c>
      <c r="AV316" t="s">
        <v>5062</v>
      </c>
      <c r="AW316" t="s">
        <v>5086</v>
      </c>
    </row>
    <row r="317" spans="1:49" hidden="1" x14ac:dyDescent="0.35">
      <c r="A317" t="s">
        <v>871</v>
      </c>
      <c r="B317" t="s">
        <v>872</v>
      </c>
      <c r="C317" t="s">
        <v>4818</v>
      </c>
      <c r="D317" t="s">
        <v>18</v>
      </c>
      <c r="E317" t="s">
        <v>1729</v>
      </c>
      <c r="F317" t="s">
        <v>1730</v>
      </c>
      <c r="G317" t="s">
        <v>21</v>
      </c>
      <c r="H317" t="s">
        <v>4888</v>
      </c>
      <c r="I317" t="s">
        <v>4906</v>
      </c>
      <c r="J317" s="4" t="s">
        <v>4907</v>
      </c>
      <c r="K317" s="4" t="s">
        <v>4908</v>
      </c>
      <c r="L317" s="4" t="s">
        <v>4922</v>
      </c>
      <c r="M317" s="4" t="s">
        <v>5035</v>
      </c>
      <c r="N317" t="s">
        <v>1731</v>
      </c>
      <c r="O317" t="s">
        <v>1732</v>
      </c>
      <c r="P317" t="s">
        <v>23</v>
      </c>
      <c r="Q317" t="s">
        <v>24</v>
      </c>
      <c r="R317" t="s">
        <v>25</v>
      </c>
      <c r="S317" t="s">
        <v>26</v>
      </c>
      <c r="T317" s="6">
        <v>46307</v>
      </c>
      <c r="U317">
        <v>48</v>
      </c>
      <c r="V317">
        <v>48</v>
      </c>
      <c r="W317">
        <v>48</v>
      </c>
      <c r="X317">
        <v>48</v>
      </c>
      <c r="Y317">
        <f t="shared" si="45"/>
        <v>0</v>
      </c>
      <c r="Z317">
        <f t="shared" si="46"/>
        <v>0</v>
      </c>
      <c r="AC317" s="1">
        <v>0</v>
      </c>
      <c r="AF317">
        <f>V317</f>
        <v>48</v>
      </c>
      <c r="AG317" s="41">
        <v>12</v>
      </c>
      <c r="AH317">
        <f t="shared" si="47"/>
        <v>48</v>
      </c>
      <c r="AI317">
        <f t="shared" si="48"/>
        <v>0</v>
      </c>
      <c r="AK317">
        <f t="shared" si="49"/>
        <v>4</v>
      </c>
      <c r="AL317">
        <v>10.19</v>
      </c>
      <c r="AM317" t="s">
        <v>27</v>
      </c>
      <c r="AN317">
        <v>10.19</v>
      </c>
      <c r="AO317" t="b">
        <f t="shared" si="50"/>
        <v>1</v>
      </c>
      <c r="AR317" t="s">
        <v>5061</v>
      </c>
      <c r="AS317" s="21">
        <v>46276</v>
      </c>
      <c r="AT317" t="s">
        <v>5062</v>
      </c>
      <c r="AU317" t="s">
        <v>5070</v>
      </c>
      <c r="AV317" t="s">
        <v>5062</v>
      </c>
      <c r="AW317" t="s">
        <v>5086</v>
      </c>
    </row>
    <row r="318" spans="1:49" hidden="1" x14ac:dyDescent="0.35">
      <c r="A318" t="s">
        <v>871</v>
      </c>
      <c r="B318" t="s">
        <v>872</v>
      </c>
      <c r="C318" t="s">
        <v>4818</v>
      </c>
      <c r="D318" t="s">
        <v>18</v>
      </c>
      <c r="E318" t="s">
        <v>1733</v>
      </c>
      <c r="F318" t="s">
        <v>1734</v>
      </c>
      <c r="G318" t="s">
        <v>21</v>
      </c>
      <c r="H318" t="s">
        <v>4888</v>
      </c>
      <c r="I318" t="s">
        <v>4889</v>
      </c>
      <c r="J318" s="4" t="s">
        <v>4890</v>
      </c>
      <c r="K318" s="4" t="s">
        <v>4911</v>
      </c>
      <c r="L318" s="4" t="s">
        <v>4895</v>
      </c>
      <c r="M318" s="4" t="s">
        <v>5035</v>
      </c>
      <c r="N318" t="s">
        <v>1735</v>
      </c>
      <c r="O318" t="s">
        <v>1736</v>
      </c>
      <c r="P318" t="s">
        <v>23</v>
      </c>
      <c r="Q318" t="s">
        <v>24</v>
      </c>
      <c r="R318" t="s">
        <v>25</v>
      </c>
      <c r="S318" t="s">
        <v>26</v>
      </c>
      <c r="T318" s="6">
        <v>46307</v>
      </c>
      <c r="U318">
        <v>36</v>
      </c>
      <c r="V318">
        <v>36</v>
      </c>
      <c r="W318">
        <v>24</v>
      </c>
      <c r="X318">
        <v>24</v>
      </c>
      <c r="Y318">
        <f t="shared" si="45"/>
        <v>0</v>
      </c>
      <c r="Z318">
        <f t="shared" si="46"/>
        <v>12</v>
      </c>
      <c r="AA318">
        <f>Z318</f>
        <v>12</v>
      </c>
      <c r="AC318" s="1">
        <v>0</v>
      </c>
      <c r="AF318">
        <f>X318</f>
        <v>24</v>
      </c>
      <c r="AG318" s="41">
        <v>12</v>
      </c>
      <c r="AH318">
        <f t="shared" si="47"/>
        <v>24</v>
      </c>
      <c r="AI318">
        <f t="shared" si="48"/>
        <v>12</v>
      </c>
      <c r="AK318">
        <f t="shared" si="49"/>
        <v>2</v>
      </c>
      <c r="AL318">
        <v>11.87</v>
      </c>
      <c r="AM318" t="s">
        <v>27</v>
      </c>
      <c r="AN318">
        <v>11.87</v>
      </c>
      <c r="AO318" t="b">
        <f t="shared" si="50"/>
        <v>1</v>
      </c>
      <c r="AR318" t="s">
        <v>5061</v>
      </c>
      <c r="AS318" s="21">
        <v>46276</v>
      </c>
      <c r="AT318" t="s">
        <v>5062</v>
      </c>
      <c r="AU318" t="s">
        <v>5067</v>
      </c>
      <c r="AV318" t="s">
        <v>5062</v>
      </c>
      <c r="AW318" t="s">
        <v>5086</v>
      </c>
    </row>
    <row r="319" spans="1:49" hidden="1" x14ac:dyDescent="0.35">
      <c r="A319" t="s">
        <v>871</v>
      </c>
      <c r="B319" t="s">
        <v>872</v>
      </c>
      <c r="C319" t="s">
        <v>4818</v>
      </c>
      <c r="D319" t="s">
        <v>18</v>
      </c>
      <c r="E319" t="s">
        <v>1737</v>
      </c>
      <c r="F319" t="s">
        <v>1738</v>
      </c>
      <c r="G319" t="s">
        <v>21</v>
      </c>
      <c r="H319" t="s">
        <v>4888</v>
      </c>
      <c r="I319" t="s">
        <v>4889</v>
      </c>
      <c r="J319" s="4" t="s">
        <v>4890</v>
      </c>
      <c r="K319" s="4" t="s">
        <v>4911</v>
      </c>
      <c r="L319" s="4" t="s">
        <v>4919</v>
      </c>
      <c r="M319" s="4" t="s">
        <v>5035</v>
      </c>
      <c r="N319" t="s">
        <v>1739</v>
      </c>
      <c r="O319" t="s">
        <v>1740</v>
      </c>
      <c r="P319" t="s">
        <v>23</v>
      </c>
      <c r="Q319" t="s">
        <v>24</v>
      </c>
      <c r="R319" t="s">
        <v>25</v>
      </c>
      <c r="S319" t="s">
        <v>26</v>
      </c>
      <c r="T319" s="6">
        <v>46307</v>
      </c>
      <c r="U319">
        <v>60</v>
      </c>
      <c r="V319">
        <v>60</v>
      </c>
      <c r="W319">
        <v>60</v>
      </c>
      <c r="X319">
        <v>60</v>
      </c>
      <c r="Y319">
        <f t="shared" si="45"/>
        <v>0</v>
      </c>
      <c r="Z319">
        <f t="shared" si="46"/>
        <v>0</v>
      </c>
      <c r="AC319" s="1">
        <v>0</v>
      </c>
      <c r="AF319">
        <f t="shared" ref="AF319:AF324" si="56">V319</f>
        <v>60</v>
      </c>
      <c r="AG319" s="41">
        <v>12</v>
      </c>
      <c r="AH319">
        <f t="shared" si="47"/>
        <v>60</v>
      </c>
      <c r="AI319">
        <f t="shared" si="48"/>
        <v>0</v>
      </c>
      <c r="AK319">
        <f t="shared" si="49"/>
        <v>5</v>
      </c>
      <c r="AL319">
        <v>11.87</v>
      </c>
      <c r="AM319" t="s">
        <v>27</v>
      </c>
      <c r="AN319">
        <v>11.87</v>
      </c>
      <c r="AO319" t="b">
        <f t="shared" si="50"/>
        <v>1</v>
      </c>
      <c r="AR319" t="s">
        <v>5061</v>
      </c>
      <c r="AS319" s="21">
        <v>46276</v>
      </c>
      <c r="AT319" t="s">
        <v>5062</v>
      </c>
      <c r="AU319" t="s">
        <v>5067</v>
      </c>
      <c r="AV319" t="s">
        <v>5062</v>
      </c>
      <c r="AW319" t="s">
        <v>5086</v>
      </c>
    </row>
    <row r="320" spans="1:49" hidden="1" x14ac:dyDescent="0.35">
      <c r="A320" t="s">
        <v>871</v>
      </c>
      <c r="B320" t="s">
        <v>872</v>
      </c>
      <c r="C320" t="s">
        <v>4818</v>
      </c>
      <c r="D320" t="s">
        <v>18</v>
      </c>
      <c r="E320" t="s">
        <v>1741</v>
      </c>
      <c r="F320" t="s">
        <v>1742</v>
      </c>
      <c r="G320" t="s">
        <v>21</v>
      </c>
      <c r="H320" t="s">
        <v>4888</v>
      </c>
      <c r="I320" t="s">
        <v>4889</v>
      </c>
      <c r="J320" s="4" t="s">
        <v>4890</v>
      </c>
      <c r="K320" s="4" t="s">
        <v>4899</v>
      </c>
      <c r="L320" s="4" t="s">
        <v>4912</v>
      </c>
      <c r="M320" s="4" t="s">
        <v>5035</v>
      </c>
      <c r="N320" t="s">
        <v>1743</v>
      </c>
      <c r="O320" t="s">
        <v>1744</v>
      </c>
      <c r="P320" t="s">
        <v>23</v>
      </c>
      <c r="Q320" t="s">
        <v>24</v>
      </c>
      <c r="R320" t="s">
        <v>25</v>
      </c>
      <c r="S320" t="s">
        <v>26</v>
      </c>
      <c r="T320" s="6">
        <v>46307</v>
      </c>
      <c r="U320">
        <v>12</v>
      </c>
      <c r="V320">
        <v>12</v>
      </c>
      <c r="W320">
        <v>12</v>
      </c>
      <c r="X320">
        <v>12</v>
      </c>
      <c r="Y320">
        <f t="shared" si="45"/>
        <v>0</v>
      </c>
      <c r="Z320">
        <f t="shared" si="46"/>
        <v>0</v>
      </c>
      <c r="AC320" s="1">
        <v>0</v>
      </c>
      <c r="AF320">
        <f t="shared" si="56"/>
        <v>12</v>
      </c>
      <c r="AG320" s="41">
        <v>12</v>
      </c>
      <c r="AH320">
        <f t="shared" si="47"/>
        <v>12</v>
      </c>
      <c r="AI320">
        <f t="shared" si="48"/>
        <v>0</v>
      </c>
      <c r="AK320">
        <f t="shared" si="49"/>
        <v>1</v>
      </c>
      <c r="AL320">
        <v>10.9</v>
      </c>
      <c r="AM320" t="s">
        <v>27</v>
      </c>
      <c r="AN320">
        <v>10.9</v>
      </c>
      <c r="AO320" t="b">
        <f t="shared" si="50"/>
        <v>1</v>
      </c>
      <c r="AR320" t="s">
        <v>5061</v>
      </c>
      <c r="AS320" s="21">
        <v>46276</v>
      </c>
      <c r="AT320" t="s">
        <v>5062</v>
      </c>
      <c r="AU320" t="s">
        <v>5067</v>
      </c>
      <c r="AV320" t="s">
        <v>5062</v>
      </c>
      <c r="AW320" t="s">
        <v>5086</v>
      </c>
    </row>
    <row r="321" spans="1:49" hidden="1" x14ac:dyDescent="0.35">
      <c r="A321" t="s">
        <v>871</v>
      </c>
      <c r="B321" t="s">
        <v>872</v>
      </c>
      <c r="C321" t="s">
        <v>4818</v>
      </c>
      <c r="D321" t="s">
        <v>18</v>
      </c>
      <c r="E321" t="s">
        <v>1745</v>
      </c>
      <c r="F321" t="s">
        <v>1746</v>
      </c>
      <c r="G321" t="s">
        <v>21</v>
      </c>
      <c r="H321" t="s">
        <v>4888</v>
      </c>
      <c r="I321" t="s">
        <v>4902</v>
      </c>
      <c r="J321" s="4" t="s">
        <v>4903</v>
      </c>
      <c r="K321" s="4" t="s">
        <v>4899</v>
      </c>
      <c r="L321" s="4" t="s">
        <v>4917</v>
      </c>
      <c r="M321" s="4" t="s">
        <v>5035</v>
      </c>
      <c r="N321" t="s">
        <v>1747</v>
      </c>
      <c r="O321" t="s">
        <v>1748</v>
      </c>
      <c r="P321" t="s">
        <v>23</v>
      </c>
      <c r="Q321" t="s">
        <v>24</v>
      </c>
      <c r="R321" t="s">
        <v>25</v>
      </c>
      <c r="S321" t="s">
        <v>26</v>
      </c>
      <c r="T321" s="6">
        <v>46307</v>
      </c>
      <c r="U321">
        <v>108</v>
      </c>
      <c r="V321">
        <v>108</v>
      </c>
      <c r="W321">
        <v>108</v>
      </c>
      <c r="X321">
        <v>108</v>
      </c>
      <c r="Y321">
        <f t="shared" si="45"/>
        <v>0</v>
      </c>
      <c r="Z321">
        <f t="shared" si="46"/>
        <v>0</v>
      </c>
      <c r="AC321" s="1">
        <v>0</v>
      </c>
      <c r="AF321">
        <f t="shared" si="56"/>
        <v>108</v>
      </c>
      <c r="AG321" s="41">
        <v>12</v>
      </c>
      <c r="AH321">
        <f t="shared" si="47"/>
        <v>108</v>
      </c>
      <c r="AI321">
        <f t="shared" si="48"/>
        <v>0</v>
      </c>
      <c r="AK321">
        <f t="shared" si="49"/>
        <v>9</v>
      </c>
      <c r="AL321">
        <v>10.49</v>
      </c>
      <c r="AM321" t="s">
        <v>27</v>
      </c>
      <c r="AN321">
        <v>10.49</v>
      </c>
      <c r="AO321" t="b">
        <f t="shared" si="50"/>
        <v>1</v>
      </c>
      <c r="AR321" t="s">
        <v>5061</v>
      </c>
      <c r="AS321" s="21">
        <v>46276</v>
      </c>
      <c r="AT321" t="s">
        <v>5062</v>
      </c>
      <c r="AU321" t="s">
        <v>5069</v>
      </c>
      <c r="AV321" t="s">
        <v>5062</v>
      </c>
      <c r="AW321" t="s">
        <v>5086</v>
      </c>
    </row>
    <row r="322" spans="1:49" hidden="1" x14ac:dyDescent="0.35">
      <c r="A322" t="s">
        <v>871</v>
      </c>
      <c r="B322" t="s">
        <v>872</v>
      </c>
      <c r="C322" t="s">
        <v>4818</v>
      </c>
      <c r="D322" t="s">
        <v>18</v>
      </c>
      <c r="E322" t="s">
        <v>1749</v>
      </c>
      <c r="F322" t="s">
        <v>1750</v>
      </c>
      <c r="G322" t="s">
        <v>21</v>
      </c>
      <c r="H322" t="s">
        <v>4888</v>
      </c>
      <c r="I322" t="s">
        <v>4906</v>
      </c>
      <c r="J322" s="4" t="s">
        <v>4907</v>
      </c>
      <c r="K322" s="4" t="s">
        <v>4908</v>
      </c>
      <c r="L322" s="4" t="s">
        <v>4916</v>
      </c>
      <c r="M322" s="4" t="s">
        <v>5035</v>
      </c>
      <c r="N322" t="s">
        <v>1751</v>
      </c>
      <c r="O322" t="s">
        <v>1752</v>
      </c>
      <c r="P322" t="s">
        <v>23</v>
      </c>
      <c r="Q322" t="s">
        <v>24</v>
      </c>
      <c r="R322" t="s">
        <v>25</v>
      </c>
      <c r="S322" t="s">
        <v>26</v>
      </c>
      <c r="T322" s="6">
        <v>46307</v>
      </c>
      <c r="U322">
        <v>48</v>
      </c>
      <c r="V322">
        <v>48</v>
      </c>
      <c r="W322">
        <v>48</v>
      </c>
      <c r="X322">
        <v>48</v>
      </c>
      <c r="Y322">
        <f t="shared" si="45"/>
        <v>0</v>
      </c>
      <c r="Z322">
        <f t="shared" si="46"/>
        <v>0</v>
      </c>
      <c r="AC322" s="1">
        <v>0</v>
      </c>
      <c r="AF322">
        <f t="shared" si="56"/>
        <v>48</v>
      </c>
      <c r="AG322" s="41">
        <v>12</v>
      </c>
      <c r="AH322">
        <f t="shared" si="47"/>
        <v>48</v>
      </c>
      <c r="AI322">
        <f t="shared" si="48"/>
        <v>0</v>
      </c>
      <c r="AK322">
        <f t="shared" si="49"/>
        <v>4</v>
      </c>
      <c r="AL322">
        <v>10.19</v>
      </c>
      <c r="AM322" t="s">
        <v>27</v>
      </c>
      <c r="AN322">
        <v>10.19</v>
      </c>
      <c r="AO322" t="b">
        <f t="shared" si="50"/>
        <v>1</v>
      </c>
      <c r="AR322" t="s">
        <v>5061</v>
      </c>
      <c r="AS322" s="21">
        <v>46276</v>
      </c>
      <c r="AT322" t="s">
        <v>5062</v>
      </c>
      <c r="AU322" t="s">
        <v>5070</v>
      </c>
      <c r="AV322" t="s">
        <v>5062</v>
      </c>
      <c r="AW322" t="s">
        <v>5086</v>
      </c>
    </row>
    <row r="323" spans="1:49" hidden="1" x14ac:dyDescent="0.35">
      <c r="A323" t="s">
        <v>871</v>
      </c>
      <c r="B323" t="s">
        <v>872</v>
      </c>
      <c r="C323" t="s">
        <v>4818</v>
      </c>
      <c r="D323" t="s">
        <v>18</v>
      </c>
      <c r="E323" t="s">
        <v>1753</v>
      </c>
      <c r="F323" t="s">
        <v>1754</v>
      </c>
      <c r="G323" t="s">
        <v>21</v>
      </c>
      <c r="H323" t="s">
        <v>4888</v>
      </c>
      <c r="I323" t="s">
        <v>4889</v>
      </c>
      <c r="J323" s="4" t="s">
        <v>4890</v>
      </c>
      <c r="K323" s="4" t="s">
        <v>4899</v>
      </c>
      <c r="L323" s="4" t="s">
        <v>4867</v>
      </c>
      <c r="M323" s="4" t="s">
        <v>5035</v>
      </c>
      <c r="N323" t="s">
        <v>1755</v>
      </c>
      <c r="O323" t="s">
        <v>1756</v>
      </c>
      <c r="P323" t="s">
        <v>23</v>
      </c>
      <c r="Q323" t="s">
        <v>24</v>
      </c>
      <c r="R323" t="s">
        <v>25</v>
      </c>
      <c r="S323" t="s">
        <v>26</v>
      </c>
      <c r="T323" s="6">
        <v>46307</v>
      </c>
      <c r="U323">
        <v>96</v>
      </c>
      <c r="V323">
        <v>96</v>
      </c>
      <c r="W323">
        <v>108</v>
      </c>
      <c r="X323">
        <v>108</v>
      </c>
      <c r="Y323">
        <f t="shared" ref="Y323:Y386" si="57">W323-X323</f>
        <v>0</v>
      </c>
      <c r="Z323">
        <f t="shared" ref="Z323:Z386" si="58">V323-X323</f>
        <v>-12</v>
      </c>
      <c r="AC323" s="1">
        <v>0</v>
      </c>
      <c r="AF323">
        <f t="shared" si="56"/>
        <v>96</v>
      </c>
      <c r="AG323" s="41">
        <v>12</v>
      </c>
      <c r="AH323">
        <f t="shared" ref="AH323:AH386" si="59">ROUNDUP(AF323/AG323,0)*AG323</f>
        <v>96</v>
      </c>
      <c r="AI323">
        <f t="shared" ref="AI323:AI386" si="60">V323-AH323</f>
        <v>0</v>
      </c>
      <c r="AK323">
        <f t="shared" ref="AK323:AK386" si="61">AH323/AG323</f>
        <v>8</v>
      </c>
      <c r="AL323">
        <v>10.9</v>
      </c>
      <c r="AM323" t="s">
        <v>27</v>
      </c>
      <c r="AN323">
        <v>10.9</v>
      </c>
      <c r="AO323" t="b">
        <f t="shared" ref="AO323:AO386" si="62">AL323=AN323</f>
        <v>1</v>
      </c>
      <c r="AR323" t="s">
        <v>5061</v>
      </c>
      <c r="AS323" s="21">
        <v>46276</v>
      </c>
      <c r="AT323" t="s">
        <v>5062</v>
      </c>
      <c r="AU323" t="s">
        <v>5067</v>
      </c>
      <c r="AV323" t="s">
        <v>5062</v>
      </c>
      <c r="AW323" t="s">
        <v>5086</v>
      </c>
    </row>
    <row r="324" spans="1:49" hidden="1" x14ac:dyDescent="0.35">
      <c r="A324" t="s">
        <v>871</v>
      </c>
      <c r="B324" t="s">
        <v>872</v>
      </c>
      <c r="C324" t="s">
        <v>4818</v>
      </c>
      <c r="D324" t="s">
        <v>18</v>
      </c>
      <c r="E324" t="s">
        <v>1757</v>
      </c>
      <c r="F324" t="s">
        <v>1758</v>
      </c>
      <c r="G324" t="s">
        <v>21</v>
      </c>
      <c r="H324" t="s">
        <v>4888</v>
      </c>
      <c r="I324" t="s">
        <v>4893</v>
      </c>
      <c r="J324" s="4" t="s">
        <v>4894</v>
      </c>
      <c r="K324" s="4" t="s">
        <v>4913</v>
      </c>
      <c r="L324" s="4" t="s">
        <v>4931</v>
      </c>
      <c r="M324" s="4" t="s">
        <v>5035</v>
      </c>
      <c r="N324" t="s">
        <v>1759</v>
      </c>
      <c r="O324" t="s">
        <v>1760</v>
      </c>
      <c r="P324" t="s">
        <v>23</v>
      </c>
      <c r="Q324" t="s">
        <v>24</v>
      </c>
      <c r="R324" t="s">
        <v>25</v>
      </c>
      <c r="S324" t="s">
        <v>26</v>
      </c>
      <c r="T324" s="6">
        <v>46307</v>
      </c>
      <c r="U324">
        <v>72</v>
      </c>
      <c r="V324">
        <v>72</v>
      </c>
      <c r="W324">
        <v>72</v>
      </c>
      <c r="X324">
        <v>72</v>
      </c>
      <c r="Y324">
        <f t="shared" si="57"/>
        <v>0</v>
      </c>
      <c r="Z324">
        <f t="shared" si="58"/>
        <v>0</v>
      </c>
      <c r="AC324" s="1">
        <v>0</v>
      </c>
      <c r="AF324">
        <f t="shared" si="56"/>
        <v>72</v>
      </c>
      <c r="AG324" s="41">
        <v>12</v>
      </c>
      <c r="AH324">
        <f t="shared" si="59"/>
        <v>72</v>
      </c>
      <c r="AI324">
        <f t="shared" si="60"/>
        <v>0</v>
      </c>
      <c r="AK324">
        <f t="shared" si="61"/>
        <v>6</v>
      </c>
      <c r="AL324">
        <v>9.9499999999999993</v>
      </c>
      <c r="AM324" t="s">
        <v>27</v>
      </c>
      <c r="AN324">
        <v>9.9499999999999993</v>
      </c>
      <c r="AO324" t="b">
        <f t="shared" si="62"/>
        <v>1</v>
      </c>
      <c r="AR324" t="s">
        <v>5061</v>
      </c>
      <c r="AS324" s="21">
        <v>46276</v>
      </c>
      <c r="AT324" t="s">
        <v>5062</v>
      </c>
      <c r="AU324" t="s">
        <v>5068</v>
      </c>
      <c r="AV324" t="s">
        <v>5062</v>
      </c>
      <c r="AW324" t="s">
        <v>5086</v>
      </c>
    </row>
    <row r="325" spans="1:49" hidden="1" x14ac:dyDescent="0.35">
      <c r="A325" t="s">
        <v>871</v>
      </c>
      <c r="B325" t="s">
        <v>872</v>
      </c>
      <c r="C325" t="s">
        <v>4818</v>
      </c>
      <c r="D325" t="s">
        <v>18</v>
      </c>
      <c r="E325" t="s">
        <v>1761</v>
      </c>
      <c r="F325" t="s">
        <v>1762</v>
      </c>
      <c r="G325" t="s">
        <v>21</v>
      </c>
      <c r="H325" t="s">
        <v>4888</v>
      </c>
      <c r="I325" t="s">
        <v>4889</v>
      </c>
      <c r="J325" s="4" t="s">
        <v>4890</v>
      </c>
      <c r="K325" s="4" t="s">
        <v>4899</v>
      </c>
      <c r="L325" s="4" t="s">
        <v>4905</v>
      </c>
      <c r="M325" s="4" t="s">
        <v>5035</v>
      </c>
      <c r="N325" t="s">
        <v>1763</v>
      </c>
      <c r="O325" t="s">
        <v>1764</v>
      </c>
      <c r="P325" t="s">
        <v>23</v>
      </c>
      <c r="Q325" t="s">
        <v>24</v>
      </c>
      <c r="R325" t="s">
        <v>25</v>
      </c>
      <c r="S325" t="s">
        <v>26</v>
      </c>
      <c r="T325" s="6">
        <v>46307</v>
      </c>
      <c r="U325">
        <v>84</v>
      </c>
      <c r="V325">
        <v>84</v>
      </c>
      <c r="W325">
        <v>72</v>
      </c>
      <c r="X325">
        <v>72</v>
      </c>
      <c r="Y325">
        <f t="shared" si="57"/>
        <v>0</v>
      </c>
      <c r="Z325">
        <f t="shared" si="58"/>
        <v>12</v>
      </c>
      <c r="AA325">
        <f>Z325</f>
        <v>12</v>
      </c>
      <c r="AC325" s="1">
        <v>0</v>
      </c>
      <c r="AF325">
        <f>X325</f>
        <v>72</v>
      </c>
      <c r="AG325" s="41">
        <v>12</v>
      </c>
      <c r="AH325">
        <f t="shared" si="59"/>
        <v>72</v>
      </c>
      <c r="AI325">
        <f t="shared" si="60"/>
        <v>12</v>
      </c>
      <c r="AK325">
        <f t="shared" si="61"/>
        <v>6</v>
      </c>
      <c r="AL325">
        <v>10.9</v>
      </c>
      <c r="AM325" t="s">
        <v>27</v>
      </c>
      <c r="AN325">
        <v>10.9</v>
      </c>
      <c r="AO325" t="b">
        <f t="shared" si="62"/>
        <v>1</v>
      </c>
      <c r="AR325" t="s">
        <v>5061</v>
      </c>
      <c r="AS325" s="21">
        <v>46276</v>
      </c>
      <c r="AT325" t="s">
        <v>5062</v>
      </c>
      <c r="AU325" t="s">
        <v>5067</v>
      </c>
      <c r="AV325" t="s">
        <v>5062</v>
      </c>
      <c r="AW325" t="s">
        <v>5086</v>
      </c>
    </row>
    <row r="326" spans="1:49" hidden="1" x14ac:dyDescent="0.35">
      <c r="A326" t="s">
        <v>871</v>
      </c>
      <c r="B326" t="s">
        <v>872</v>
      </c>
      <c r="C326" t="s">
        <v>4818</v>
      </c>
      <c r="D326" t="s">
        <v>18</v>
      </c>
      <c r="E326" t="s">
        <v>1765</v>
      </c>
      <c r="F326" t="s">
        <v>1766</v>
      </c>
      <c r="G326" t="s">
        <v>21</v>
      </c>
      <c r="H326" t="s">
        <v>4888</v>
      </c>
      <c r="I326" t="s">
        <v>4906</v>
      </c>
      <c r="J326" s="4" t="s">
        <v>4907</v>
      </c>
      <c r="K326" s="4" t="s">
        <v>4908</v>
      </c>
      <c r="L326" s="4" t="s">
        <v>4901</v>
      </c>
      <c r="M326" s="4" t="s">
        <v>5035</v>
      </c>
      <c r="N326" t="s">
        <v>1767</v>
      </c>
      <c r="O326" t="s">
        <v>1768</v>
      </c>
      <c r="P326" t="s">
        <v>23</v>
      </c>
      <c r="Q326" t="s">
        <v>24</v>
      </c>
      <c r="R326" t="s">
        <v>25</v>
      </c>
      <c r="S326" t="s">
        <v>26</v>
      </c>
      <c r="T326" s="6">
        <v>46307</v>
      </c>
      <c r="U326">
        <v>24</v>
      </c>
      <c r="V326">
        <v>24</v>
      </c>
      <c r="W326">
        <v>24</v>
      </c>
      <c r="X326">
        <v>24</v>
      </c>
      <c r="Y326">
        <f t="shared" si="57"/>
        <v>0</v>
      </c>
      <c r="Z326">
        <f t="shared" si="58"/>
        <v>0</v>
      </c>
      <c r="AC326" s="1">
        <v>0</v>
      </c>
      <c r="AF326">
        <f t="shared" ref="AF326:AF333" si="63">V326</f>
        <v>24</v>
      </c>
      <c r="AG326" s="41">
        <v>12</v>
      </c>
      <c r="AH326">
        <f t="shared" si="59"/>
        <v>24</v>
      </c>
      <c r="AI326">
        <f t="shared" si="60"/>
        <v>0</v>
      </c>
      <c r="AK326">
        <f t="shared" si="61"/>
        <v>2</v>
      </c>
      <c r="AL326">
        <v>10.19</v>
      </c>
      <c r="AM326" t="s">
        <v>27</v>
      </c>
      <c r="AN326">
        <v>10.19</v>
      </c>
      <c r="AO326" t="b">
        <f t="shared" si="62"/>
        <v>1</v>
      </c>
      <c r="AR326" t="s">
        <v>5061</v>
      </c>
      <c r="AS326" s="21">
        <v>46276</v>
      </c>
      <c r="AT326" t="s">
        <v>5062</v>
      </c>
      <c r="AU326" t="s">
        <v>5070</v>
      </c>
      <c r="AV326" t="s">
        <v>5062</v>
      </c>
      <c r="AW326" t="s">
        <v>5086</v>
      </c>
    </row>
    <row r="327" spans="1:49" hidden="1" x14ac:dyDescent="0.35">
      <c r="A327" t="s">
        <v>871</v>
      </c>
      <c r="B327" t="s">
        <v>872</v>
      </c>
      <c r="C327" t="s">
        <v>4818</v>
      </c>
      <c r="D327" t="s">
        <v>18</v>
      </c>
      <c r="E327" t="s">
        <v>1769</v>
      </c>
      <c r="F327" t="s">
        <v>1770</v>
      </c>
      <c r="G327" t="s">
        <v>21</v>
      </c>
      <c r="H327" t="s">
        <v>4888</v>
      </c>
      <c r="I327" t="s">
        <v>4889</v>
      </c>
      <c r="J327" s="4" t="s">
        <v>4890</v>
      </c>
      <c r="K327" s="4" t="s">
        <v>4899</v>
      </c>
      <c r="L327" s="4" t="s">
        <v>4898</v>
      </c>
      <c r="M327" s="4" t="s">
        <v>5035</v>
      </c>
      <c r="N327" t="s">
        <v>1771</v>
      </c>
      <c r="O327" t="s">
        <v>1772</v>
      </c>
      <c r="P327" t="s">
        <v>23</v>
      </c>
      <c r="Q327" t="s">
        <v>24</v>
      </c>
      <c r="R327" t="s">
        <v>25</v>
      </c>
      <c r="S327" t="s">
        <v>26</v>
      </c>
      <c r="T327" s="6">
        <v>46307</v>
      </c>
      <c r="U327">
        <v>216</v>
      </c>
      <c r="V327">
        <v>216</v>
      </c>
      <c r="W327">
        <v>240</v>
      </c>
      <c r="X327">
        <v>240</v>
      </c>
      <c r="Y327">
        <f t="shared" si="57"/>
        <v>0</v>
      </c>
      <c r="Z327">
        <f t="shared" si="58"/>
        <v>-24</v>
      </c>
      <c r="AC327" s="1">
        <v>0</v>
      </c>
      <c r="AF327">
        <f t="shared" si="63"/>
        <v>216</v>
      </c>
      <c r="AG327" s="41">
        <v>12</v>
      </c>
      <c r="AH327">
        <f t="shared" si="59"/>
        <v>216</v>
      </c>
      <c r="AI327">
        <f t="shared" si="60"/>
        <v>0</v>
      </c>
      <c r="AK327">
        <f t="shared" si="61"/>
        <v>18</v>
      </c>
      <c r="AL327">
        <v>10.9</v>
      </c>
      <c r="AM327" t="s">
        <v>27</v>
      </c>
      <c r="AN327">
        <v>10.9</v>
      </c>
      <c r="AO327" t="b">
        <f t="shared" si="62"/>
        <v>1</v>
      </c>
      <c r="AR327" t="s">
        <v>5061</v>
      </c>
      <c r="AS327" s="21">
        <v>46276</v>
      </c>
      <c r="AT327" t="s">
        <v>5062</v>
      </c>
      <c r="AU327" t="s">
        <v>5067</v>
      </c>
      <c r="AV327" t="s">
        <v>5062</v>
      </c>
      <c r="AW327" t="s">
        <v>5086</v>
      </c>
    </row>
    <row r="328" spans="1:49" hidden="1" x14ac:dyDescent="0.35">
      <c r="A328" t="s">
        <v>871</v>
      </c>
      <c r="B328" t="s">
        <v>872</v>
      </c>
      <c r="C328" t="s">
        <v>4818</v>
      </c>
      <c r="D328" t="s">
        <v>18</v>
      </c>
      <c r="E328" t="s">
        <v>1773</v>
      </c>
      <c r="F328" t="s">
        <v>1774</v>
      </c>
      <c r="G328" t="s">
        <v>21</v>
      </c>
      <c r="H328" t="s">
        <v>4888</v>
      </c>
      <c r="I328" t="s">
        <v>4889</v>
      </c>
      <c r="J328" s="4" t="s">
        <v>4890</v>
      </c>
      <c r="K328" s="4" t="s">
        <v>4911</v>
      </c>
      <c r="L328" s="4" t="s">
        <v>4932</v>
      </c>
      <c r="M328" s="4" t="s">
        <v>5035</v>
      </c>
      <c r="N328" t="s">
        <v>1775</v>
      </c>
      <c r="O328" t="s">
        <v>1776</v>
      </c>
      <c r="P328" t="s">
        <v>23</v>
      </c>
      <c r="Q328" t="s">
        <v>24</v>
      </c>
      <c r="R328" t="s">
        <v>25</v>
      </c>
      <c r="S328" t="s">
        <v>26</v>
      </c>
      <c r="T328" s="6">
        <v>46307</v>
      </c>
      <c r="U328">
        <v>24</v>
      </c>
      <c r="V328">
        <v>24</v>
      </c>
      <c r="W328">
        <v>24</v>
      </c>
      <c r="X328">
        <v>24</v>
      </c>
      <c r="Y328">
        <f t="shared" si="57"/>
        <v>0</v>
      </c>
      <c r="Z328">
        <f t="shared" si="58"/>
        <v>0</v>
      </c>
      <c r="AC328" s="1">
        <v>0</v>
      </c>
      <c r="AF328">
        <f t="shared" si="63"/>
        <v>24</v>
      </c>
      <c r="AG328" s="41">
        <v>12</v>
      </c>
      <c r="AH328">
        <f t="shared" si="59"/>
        <v>24</v>
      </c>
      <c r="AI328">
        <f t="shared" si="60"/>
        <v>0</v>
      </c>
      <c r="AK328">
        <f t="shared" si="61"/>
        <v>2</v>
      </c>
      <c r="AL328">
        <v>11.87</v>
      </c>
      <c r="AM328" t="s">
        <v>27</v>
      </c>
      <c r="AN328">
        <v>11.87</v>
      </c>
      <c r="AO328" t="b">
        <f t="shared" si="62"/>
        <v>1</v>
      </c>
      <c r="AR328" t="s">
        <v>5061</v>
      </c>
      <c r="AS328" s="21">
        <v>46276</v>
      </c>
      <c r="AT328" t="s">
        <v>5062</v>
      </c>
      <c r="AU328" t="s">
        <v>5067</v>
      </c>
      <c r="AV328" t="s">
        <v>5062</v>
      </c>
      <c r="AW328" t="s">
        <v>5086</v>
      </c>
    </row>
    <row r="329" spans="1:49" hidden="1" x14ac:dyDescent="0.35">
      <c r="A329" t="s">
        <v>871</v>
      </c>
      <c r="B329" t="s">
        <v>872</v>
      </c>
      <c r="C329" t="s">
        <v>4818</v>
      </c>
      <c r="D329" t="s">
        <v>18</v>
      </c>
      <c r="E329" t="s">
        <v>1777</v>
      </c>
      <c r="F329" t="s">
        <v>1778</v>
      </c>
      <c r="G329" t="s">
        <v>21</v>
      </c>
      <c r="H329" t="s">
        <v>4888</v>
      </c>
      <c r="I329" t="s">
        <v>4889</v>
      </c>
      <c r="J329" s="4" t="s">
        <v>4890</v>
      </c>
      <c r="K329" s="4" t="s">
        <v>4899</v>
      </c>
      <c r="L329" s="4" t="s">
        <v>4892</v>
      </c>
      <c r="M329" s="4" t="s">
        <v>5035</v>
      </c>
      <c r="N329" t="s">
        <v>1779</v>
      </c>
      <c r="O329" t="s">
        <v>1780</v>
      </c>
      <c r="P329" t="s">
        <v>23</v>
      </c>
      <c r="Q329" t="s">
        <v>24</v>
      </c>
      <c r="R329" t="s">
        <v>25</v>
      </c>
      <c r="S329" t="s">
        <v>26</v>
      </c>
      <c r="T329" s="6">
        <v>46307</v>
      </c>
      <c r="U329">
        <v>108</v>
      </c>
      <c r="V329">
        <v>108</v>
      </c>
      <c r="W329">
        <v>108</v>
      </c>
      <c r="X329">
        <v>108</v>
      </c>
      <c r="Y329">
        <f t="shared" si="57"/>
        <v>0</v>
      </c>
      <c r="Z329">
        <f t="shared" si="58"/>
        <v>0</v>
      </c>
      <c r="AC329" s="1">
        <v>0</v>
      </c>
      <c r="AF329">
        <f t="shared" si="63"/>
        <v>108</v>
      </c>
      <c r="AG329" s="41">
        <v>12</v>
      </c>
      <c r="AH329">
        <f t="shared" si="59"/>
        <v>108</v>
      </c>
      <c r="AI329">
        <f t="shared" si="60"/>
        <v>0</v>
      </c>
      <c r="AK329">
        <f t="shared" si="61"/>
        <v>9</v>
      </c>
      <c r="AL329">
        <v>10.9</v>
      </c>
      <c r="AM329" t="s">
        <v>27</v>
      </c>
      <c r="AN329">
        <v>10.9</v>
      </c>
      <c r="AO329" t="b">
        <f t="shared" si="62"/>
        <v>1</v>
      </c>
      <c r="AR329" t="s">
        <v>5061</v>
      </c>
      <c r="AS329" s="21">
        <v>46276</v>
      </c>
      <c r="AT329" t="s">
        <v>5062</v>
      </c>
      <c r="AU329" t="s">
        <v>5067</v>
      </c>
      <c r="AV329" t="s">
        <v>5062</v>
      </c>
      <c r="AW329" t="s">
        <v>5086</v>
      </c>
    </row>
    <row r="330" spans="1:49" hidden="1" x14ac:dyDescent="0.35">
      <c r="A330" t="s">
        <v>871</v>
      </c>
      <c r="B330" t="s">
        <v>872</v>
      </c>
      <c r="C330" t="s">
        <v>4818</v>
      </c>
      <c r="D330" t="s">
        <v>18</v>
      </c>
      <c r="E330" t="s">
        <v>1781</v>
      </c>
      <c r="F330" t="s">
        <v>1782</v>
      </c>
      <c r="G330" t="s">
        <v>21</v>
      </c>
      <c r="H330" t="s">
        <v>4888</v>
      </c>
      <c r="I330" t="s">
        <v>4906</v>
      </c>
      <c r="J330" s="4" t="s">
        <v>4907</v>
      </c>
      <c r="K330" s="4" t="s">
        <v>4908</v>
      </c>
      <c r="L330" s="4" t="s">
        <v>4924</v>
      </c>
      <c r="M330" s="4" t="s">
        <v>5035</v>
      </c>
      <c r="N330" t="s">
        <v>1783</v>
      </c>
      <c r="O330" t="s">
        <v>1784</v>
      </c>
      <c r="P330" t="s">
        <v>23</v>
      </c>
      <c r="Q330" t="s">
        <v>24</v>
      </c>
      <c r="R330" t="s">
        <v>25</v>
      </c>
      <c r="S330" t="s">
        <v>26</v>
      </c>
      <c r="T330" s="6">
        <v>46307</v>
      </c>
      <c r="U330">
        <v>48</v>
      </c>
      <c r="V330">
        <v>48</v>
      </c>
      <c r="W330">
        <v>48</v>
      </c>
      <c r="X330">
        <v>48</v>
      </c>
      <c r="Y330">
        <f t="shared" si="57"/>
        <v>0</v>
      </c>
      <c r="Z330">
        <f t="shared" si="58"/>
        <v>0</v>
      </c>
      <c r="AC330" s="1">
        <v>0</v>
      </c>
      <c r="AF330">
        <f t="shared" si="63"/>
        <v>48</v>
      </c>
      <c r="AG330" s="41">
        <v>12</v>
      </c>
      <c r="AH330">
        <f t="shared" si="59"/>
        <v>48</v>
      </c>
      <c r="AI330">
        <f t="shared" si="60"/>
        <v>0</v>
      </c>
      <c r="AK330">
        <f t="shared" si="61"/>
        <v>4</v>
      </c>
      <c r="AL330">
        <v>10.19</v>
      </c>
      <c r="AM330" t="s">
        <v>27</v>
      </c>
      <c r="AN330">
        <v>10.19</v>
      </c>
      <c r="AO330" t="b">
        <f t="shared" si="62"/>
        <v>1</v>
      </c>
      <c r="AR330" t="s">
        <v>5061</v>
      </c>
      <c r="AS330" s="21">
        <v>46276</v>
      </c>
      <c r="AT330" t="s">
        <v>5062</v>
      </c>
      <c r="AU330" t="s">
        <v>5070</v>
      </c>
      <c r="AV330" t="s">
        <v>5062</v>
      </c>
      <c r="AW330" t="s">
        <v>5086</v>
      </c>
    </row>
    <row r="331" spans="1:49" hidden="1" x14ac:dyDescent="0.35">
      <c r="A331" t="s">
        <v>871</v>
      </c>
      <c r="B331" t="s">
        <v>872</v>
      </c>
      <c r="C331" t="s">
        <v>4818</v>
      </c>
      <c r="D331" t="s">
        <v>18</v>
      </c>
      <c r="E331" t="s">
        <v>1785</v>
      </c>
      <c r="F331" t="s">
        <v>1786</v>
      </c>
      <c r="G331" t="s">
        <v>21</v>
      </c>
      <c r="H331" t="s">
        <v>4888</v>
      </c>
      <c r="I331" t="s">
        <v>4902</v>
      </c>
      <c r="J331" s="4" t="s">
        <v>4903</v>
      </c>
      <c r="K331" s="4" t="s">
        <v>4899</v>
      </c>
      <c r="L331" s="4" t="s">
        <v>4877</v>
      </c>
      <c r="M331" s="4" t="s">
        <v>5035</v>
      </c>
      <c r="N331" t="s">
        <v>1787</v>
      </c>
      <c r="O331" t="s">
        <v>1788</v>
      </c>
      <c r="P331" t="s">
        <v>23</v>
      </c>
      <c r="Q331" t="s">
        <v>24</v>
      </c>
      <c r="R331" t="s">
        <v>25</v>
      </c>
      <c r="S331" t="s">
        <v>26</v>
      </c>
      <c r="T331" s="6">
        <v>46307</v>
      </c>
      <c r="U331">
        <v>348</v>
      </c>
      <c r="V331">
        <v>348</v>
      </c>
      <c r="W331">
        <v>372</v>
      </c>
      <c r="X331">
        <v>372</v>
      </c>
      <c r="Y331">
        <f t="shared" si="57"/>
        <v>0</v>
      </c>
      <c r="Z331">
        <f t="shared" si="58"/>
        <v>-24</v>
      </c>
      <c r="AC331" s="1">
        <v>0</v>
      </c>
      <c r="AF331">
        <f t="shared" si="63"/>
        <v>348</v>
      </c>
      <c r="AG331" s="41">
        <v>12</v>
      </c>
      <c r="AH331">
        <f t="shared" si="59"/>
        <v>348</v>
      </c>
      <c r="AI331">
        <f t="shared" si="60"/>
        <v>0</v>
      </c>
      <c r="AK331">
        <f t="shared" si="61"/>
        <v>29</v>
      </c>
      <c r="AL331">
        <v>10.49</v>
      </c>
      <c r="AM331" t="s">
        <v>27</v>
      </c>
      <c r="AN331">
        <v>10.49</v>
      </c>
      <c r="AO331" t="b">
        <f t="shared" si="62"/>
        <v>1</v>
      </c>
      <c r="AR331" t="s">
        <v>5061</v>
      </c>
      <c r="AS331" s="21">
        <v>46276</v>
      </c>
      <c r="AT331" t="s">
        <v>5062</v>
      </c>
      <c r="AU331" t="s">
        <v>5069</v>
      </c>
      <c r="AV331" t="s">
        <v>5062</v>
      </c>
      <c r="AW331" t="s">
        <v>5086</v>
      </c>
    </row>
    <row r="332" spans="1:49" hidden="1" x14ac:dyDescent="0.35">
      <c r="A332" t="s">
        <v>871</v>
      </c>
      <c r="B332" t="s">
        <v>872</v>
      </c>
      <c r="C332" t="s">
        <v>4818</v>
      </c>
      <c r="D332" t="s">
        <v>18</v>
      </c>
      <c r="E332" t="s">
        <v>1789</v>
      </c>
      <c r="F332" t="s">
        <v>1790</v>
      </c>
      <c r="G332" t="s">
        <v>21</v>
      </c>
      <c r="H332" t="s">
        <v>4888</v>
      </c>
      <c r="I332" t="s">
        <v>4902</v>
      </c>
      <c r="J332" s="4" t="s">
        <v>4903</v>
      </c>
      <c r="K332" s="4" t="s">
        <v>4899</v>
      </c>
      <c r="L332" s="4" t="s">
        <v>4926</v>
      </c>
      <c r="M332" s="4" t="s">
        <v>5035</v>
      </c>
      <c r="N332" t="s">
        <v>1791</v>
      </c>
      <c r="O332" t="s">
        <v>1792</v>
      </c>
      <c r="P332" t="s">
        <v>23</v>
      </c>
      <c r="Q332" t="s">
        <v>24</v>
      </c>
      <c r="R332" t="s">
        <v>25</v>
      </c>
      <c r="S332" t="s">
        <v>26</v>
      </c>
      <c r="T332" s="6">
        <v>46307</v>
      </c>
      <c r="U332">
        <v>12</v>
      </c>
      <c r="V332">
        <v>12</v>
      </c>
      <c r="W332">
        <v>12</v>
      </c>
      <c r="X332">
        <v>12</v>
      </c>
      <c r="Y332">
        <f t="shared" si="57"/>
        <v>0</v>
      </c>
      <c r="Z332">
        <f t="shared" si="58"/>
        <v>0</v>
      </c>
      <c r="AC332" s="1">
        <v>0</v>
      </c>
      <c r="AF332">
        <f t="shared" si="63"/>
        <v>12</v>
      </c>
      <c r="AG332" s="41">
        <v>12</v>
      </c>
      <c r="AH332">
        <f t="shared" si="59"/>
        <v>12</v>
      </c>
      <c r="AI332">
        <f t="shared" si="60"/>
        <v>0</v>
      </c>
      <c r="AK332">
        <f t="shared" si="61"/>
        <v>1</v>
      </c>
      <c r="AL332">
        <v>10.49</v>
      </c>
      <c r="AM332" t="s">
        <v>27</v>
      </c>
      <c r="AN332">
        <v>10.49</v>
      </c>
      <c r="AO332" t="b">
        <f t="shared" si="62"/>
        <v>1</v>
      </c>
      <c r="AR332" t="s">
        <v>5061</v>
      </c>
      <c r="AS332" s="21">
        <v>46276</v>
      </c>
      <c r="AT332" t="s">
        <v>5062</v>
      </c>
      <c r="AU332" t="s">
        <v>5069</v>
      </c>
      <c r="AV332" t="s">
        <v>5062</v>
      </c>
      <c r="AW332" t="s">
        <v>5086</v>
      </c>
    </row>
    <row r="333" spans="1:49" hidden="1" x14ac:dyDescent="0.35">
      <c r="A333" t="s">
        <v>871</v>
      </c>
      <c r="B333" t="s">
        <v>872</v>
      </c>
      <c r="C333" t="s">
        <v>4818</v>
      </c>
      <c r="D333" t="s">
        <v>18</v>
      </c>
      <c r="E333" t="s">
        <v>1793</v>
      </c>
      <c r="F333" t="s">
        <v>1794</v>
      </c>
      <c r="G333" t="s">
        <v>21</v>
      </c>
      <c r="H333" t="s">
        <v>4888</v>
      </c>
      <c r="I333" t="s">
        <v>4889</v>
      </c>
      <c r="J333" s="4" t="s">
        <v>4890</v>
      </c>
      <c r="K333" s="4" t="s">
        <v>4911</v>
      </c>
      <c r="L333" s="4" t="s">
        <v>4870</v>
      </c>
      <c r="M333" s="4" t="s">
        <v>5035</v>
      </c>
      <c r="N333" t="s">
        <v>1795</v>
      </c>
      <c r="O333" t="s">
        <v>1796</v>
      </c>
      <c r="P333" t="s">
        <v>23</v>
      </c>
      <c r="Q333" t="s">
        <v>24</v>
      </c>
      <c r="R333" t="s">
        <v>25</v>
      </c>
      <c r="S333" t="s">
        <v>26</v>
      </c>
      <c r="T333" s="6">
        <v>46307</v>
      </c>
      <c r="U333">
        <v>120</v>
      </c>
      <c r="V333">
        <v>120</v>
      </c>
      <c r="W333">
        <v>132</v>
      </c>
      <c r="X333">
        <v>132</v>
      </c>
      <c r="Y333">
        <f t="shared" si="57"/>
        <v>0</v>
      </c>
      <c r="Z333">
        <f t="shared" si="58"/>
        <v>-12</v>
      </c>
      <c r="AC333" s="1">
        <v>0</v>
      </c>
      <c r="AF333">
        <f t="shared" si="63"/>
        <v>120</v>
      </c>
      <c r="AG333" s="41">
        <v>12</v>
      </c>
      <c r="AH333">
        <f t="shared" si="59"/>
        <v>120</v>
      </c>
      <c r="AI333">
        <f t="shared" si="60"/>
        <v>0</v>
      </c>
      <c r="AK333">
        <f t="shared" si="61"/>
        <v>10</v>
      </c>
      <c r="AL333">
        <v>11.87</v>
      </c>
      <c r="AM333" t="s">
        <v>27</v>
      </c>
      <c r="AN333">
        <v>11.87</v>
      </c>
      <c r="AO333" t="b">
        <f t="shared" si="62"/>
        <v>1</v>
      </c>
      <c r="AR333" t="s">
        <v>5061</v>
      </c>
      <c r="AS333" s="21">
        <v>46276</v>
      </c>
      <c r="AT333" t="s">
        <v>5062</v>
      </c>
      <c r="AU333" t="s">
        <v>5067</v>
      </c>
      <c r="AV333" t="s">
        <v>5062</v>
      </c>
      <c r="AW333" t="s">
        <v>5086</v>
      </c>
    </row>
    <row r="334" spans="1:49" hidden="1" x14ac:dyDescent="0.35">
      <c r="A334" t="s">
        <v>871</v>
      </c>
      <c r="B334" t="s">
        <v>872</v>
      </c>
      <c r="C334" t="s">
        <v>4818</v>
      </c>
      <c r="D334" t="s">
        <v>18</v>
      </c>
      <c r="E334" t="s">
        <v>1797</v>
      </c>
      <c r="F334" t="s">
        <v>1798</v>
      </c>
      <c r="G334" t="s">
        <v>21</v>
      </c>
      <c r="H334" t="s">
        <v>4888</v>
      </c>
      <c r="I334" t="s">
        <v>4893</v>
      </c>
      <c r="J334" s="4" t="s">
        <v>4894</v>
      </c>
      <c r="K334" s="4" t="s">
        <v>4896</v>
      </c>
      <c r="L334" s="4" t="s">
        <v>4892</v>
      </c>
      <c r="M334" s="4" t="s">
        <v>5035</v>
      </c>
      <c r="N334" t="s">
        <v>1799</v>
      </c>
      <c r="O334" t="s">
        <v>1800</v>
      </c>
      <c r="P334" t="s">
        <v>23</v>
      </c>
      <c r="Q334" t="s">
        <v>24</v>
      </c>
      <c r="R334" t="s">
        <v>25</v>
      </c>
      <c r="S334" t="s">
        <v>26</v>
      </c>
      <c r="T334" s="6">
        <v>46307</v>
      </c>
      <c r="U334">
        <v>48</v>
      </c>
      <c r="V334">
        <v>48</v>
      </c>
      <c r="W334">
        <v>36</v>
      </c>
      <c r="X334">
        <v>36</v>
      </c>
      <c r="Y334">
        <f t="shared" si="57"/>
        <v>0</v>
      </c>
      <c r="Z334">
        <f t="shared" si="58"/>
        <v>12</v>
      </c>
      <c r="AA334">
        <f>Z334</f>
        <v>12</v>
      </c>
      <c r="AC334" s="1">
        <v>0</v>
      </c>
      <c r="AF334">
        <f>X334</f>
        <v>36</v>
      </c>
      <c r="AG334" s="41">
        <v>12</v>
      </c>
      <c r="AH334">
        <f t="shared" si="59"/>
        <v>36</v>
      </c>
      <c r="AI334">
        <f t="shared" si="60"/>
        <v>12</v>
      </c>
      <c r="AK334">
        <f t="shared" si="61"/>
        <v>3</v>
      </c>
      <c r="AL334">
        <v>10.220000000000001</v>
      </c>
      <c r="AM334" t="s">
        <v>27</v>
      </c>
      <c r="AN334">
        <v>10.220000000000001</v>
      </c>
      <c r="AO334" t="b">
        <f t="shared" si="62"/>
        <v>1</v>
      </c>
      <c r="AR334" t="s">
        <v>5061</v>
      </c>
      <c r="AS334" s="21">
        <v>46276</v>
      </c>
      <c r="AT334" t="s">
        <v>5062</v>
      </c>
      <c r="AU334" t="s">
        <v>5068</v>
      </c>
      <c r="AV334" t="s">
        <v>5062</v>
      </c>
      <c r="AW334" t="s">
        <v>5086</v>
      </c>
    </row>
    <row r="335" spans="1:49" hidden="1" x14ac:dyDescent="0.35">
      <c r="A335" t="s">
        <v>871</v>
      </c>
      <c r="B335" t="s">
        <v>872</v>
      </c>
      <c r="C335" t="s">
        <v>4818</v>
      </c>
      <c r="D335" t="s">
        <v>18</v>
      </c>
      <c r="E335" t="s">
        <v>1801</v>
      </c>
      <c r="F335" t="s">
        <v>1802</v>
      </c>
      <c r="G335" t="s">
        <v>21</v>
      </c>
      <c r="H335" t="s">
        <v>4888</v>
      </c>
      <c r="I335" t="s">
        <v>4906</v>
      </c>
      <c r="J335" s="4" t="s">
        <v>4907</v>
      </c>
      <c r="K335" s="4" t="s">
        <v>4908</v>
      </c>
      <c r="L335" s="4" t="s">
        <v>4917</v>
      </c>
      <c r="M335" s="4" t="s">
        <v>5035</v>
      </c>
      <c r="N335" t="s">
        <v>1803</v>
      </c>
      <c r="O335" t="s">
        <v>1804</v>
      </c>
      <c r="P335" t="s">
        <v>23</v>
      </c>
      <c r="Q335" t="s">
        <v>24</v>
      </c>
      <c r="R335" t="s">
        <v>25</v>
      </c>
      <c r="S335" t="s">
        <v>26</v>
      </c>
      <c r="T335" s="6">
        <v>46307</v>
      </c>
      <c r="U335">
        <v>24</v>
      </c>
      <c r="V335">
        <v>24</v>
      </c>
      <c r="W335">
        <v>24</v>
      </c>
      <c r="X335">
        <v>24</v>
      </c>
      <c r="Y335">
        <f t="shared" si="57"/>
        <v>0</v>
      </c>
      <c r="Z335">
        <f t="shared" si="58"/>
        <v>0</v>
      </c>
      <c r="AC335" s="1">
        <v>0</v>
      </c>
      <c r="AF335">
        <f t="shared" ref="AF335:AF340" si="64">V335</f>
        <v>24</v>
      </c>
      <c r="AG335" s="41">
        <v>12</v>
      </c>
      <c r="AH335">
        <f t="shared" si="59"/>
        <v>24</v>
      </c>
      <c r="AI335">
        <f t="shared" si="60"/>
        <v>0</v>
      </c>
      <c r="AK335">
        <f t="shared" si="61"/>
        <v>2</v>
      </c>
      <c r="AL335">
        <v>10.19</v>
      </c>
      <c r="AM335" t="s">
        <v>27</v>
      </c>
      <c r="AN335">
        <v>10.19</v>
      </c>
      <c r="AO335" t="b">
        <f t="shared" si="62"/>
        <v>1</v>
      </c>
      <c r="AR335" t="s">
        <v>5061</v>
      </c>
      <c r="AS335" s="21">
        <v>46276</v>
      </c>
      <c r="AT335" t="s">
        <v>5062</v>
      </c>
      <c r="AU335" t="s">
        <v>5070</v>
      </c>
      <c r="AV335" t="s">
        <v>5062</v>
      </c>
      <c r="AW335" t="s">
        <v>5086</v>
      </c>
    </row>
    <row r="336" spans="1:49" hidden="1" x14ac:dyDescent="0.35">
      <c r="A336" t="s">
        <v>871</v>
      </c>
      <c r="B336" t="s">
        <v>872</v>
      </c>
      <c r="C336" t="s">
        <v>4818</v>
      </c>
      <c r="D336" t="s">
        <v>18</v>
      </c>
      <c r="E336" t="s">
        <v>1805</v>
      </c>
      <c r="F336" t="s">
        <v>1806</v>
      </c>
      <c r="G336" t="s">
        <v>21</v>
      </c>
      <c r="H336" t="s">
        <v>4888</v>
      </c>
      <c r="I336" t="s">
        <v>4893</v>
      </c>
      <c r="J336" s="4" t="s">
        <v>4894</v>
      </c>
      <c r="K336" s="4" t="s">
        <v>4913</v>
      </c>
      <c r="L336" s="4" t="s">
        <v>4928</v>
      </c>
      <c r="M336" s="4" t="s">
        <v>5035</v>
      </c>
      <c r="N336" t="s">
        <v>1807</v>
      </c>
      <c r="O336" t="s">
        <v>1808</v>
      </c>
      <c r="P336" t="s">
        <v>23</v>
      </c>
      <c r="Q336" t="s">
        <v>24</v>
      </c>
      <c r="R336" t="s">
        <v>25</v>
      </c>
      <c r="S336" t="s">
        <v>26</v>
      </c>
      <c r="T336" s="6">
        <v>46307</v>
      </c>
      <c r="U336">
        <v>24</v>
      </c>
      <c r="V336">
        <v>24</v>
      </c>
      <c r="W336">
        <v>24</v>
      </c>
      <c r="X336">
        <v>24</v>
      </c>
      <c r="Y336">
        <f t="shared" si="57"/>
        <v>0</v>
      </c>
      <c r="Z336">
        <f t="shared" si="58"/>
        <v>0</v>
      </c>
      <c r="AC336" s="1">
        <v>0</v>
      </c>
      <c r="AF336">
        <f t="shared" si="64"/>
        <v>24</v>
      </c>
      <c r="AG336" s="41">
        <v>12</v>
      </c>
      <c r="AH336">
        <f t="shared" si="59"/>
        <v>24</v>
      </c>
      <c r="AI336">
        <f t="shared" si="60"/>
        <v>0</v>
      </c>
      <c r="AK336">
        <f t="shared" si="61"/>
        <v>2</v>
      </c>
      <c r="AL336">
        <v>9.9499999999999993</v>
      </c>
      <c r="AM336" t="s">
        <v>27</v>
      </c>
      <c r="AN336">
        <v>9.9499999999999993</v>
      </c>
      <c r="AO336" t="b">
        <f t="shared" si="62"/>
        <v>1</v>
      </c>
      <c r="AR336" t="s">
        <v>5061</v>
      </c>
      <c r="AS336" s="21">
        <v>46276</v>
      </c>
      <c r="AT336" t="s">
        <v>5062</v>
      </c>
      <c r="AU336" t="s">
        <v>5068</v>
      </c>
      <c r="AV336" t="s">
        <v>5062</v>
      </c>
      <c r="AW336" t="s">
        <v>5086</v>
      </c>
    </row>
    <row r="337" spans="1:49" hidden="1" x14ac:dyDescent="0.35">
      <c r="A337" t="s">
        <v>871</v>
      </c>
      <c r="B337" t="s">
        <v>872</v>
      </c>
      <c r="C337" t="s">
        <v>4818</v>
      </c>
      <c r="D337" t="s">
        <v>18</v>
      </c>
      <c r="E337" t="s">
        <v>1809</v>
      </c>
      <c r="F337" t="s">
        <v>1810</v>
      </c>
      <c r="G337" t="s">
        <v>21</v>
      </c>
      <c r="H337" t="s">
        <v>4888</v>
      </c>
      <c r="I337" t="s">
        <v>4906</v>
      </c>
      <c r="J337" s="4" t="s">
        <v>4907</v>
      </c>
      <c r="K337" s="4" t="s">
        <v>4908</v>
      </c>
      <c r="L337" s="4" t="s">
        <v>4925</v>
      </c>
      <c r="M337" s="4" t="s">
        <v>5035</v>
      </c>
      <c r="N337" t="s">
        <v>1811</v>
      </c>
      <c r="O337" t="s">
        <v>1812</v>
      </c>
      <c r="P337" t="s">
        <v>23</v>
      </c>
      <c r="Q337" t="s">
        <v>24</v>
      </c>
      <c r="R337" t="s">
        <v>25</v>
      </c>
      <c r="S337" t="s">
        <v>26</v>
      </c>
      <c r="T337" s="6">
        <v>46307</v>
      </c>
      <c r="U337">
        <v>48</v>
      </c>
      <c r="V337">
        <v>48</v>
      </c>
      <c r="W337">
        <v>48</v>
      </c>
      <c r="X337">
        <v>48</v>
      </c>
      <c r="Y337">
        <f t="shared" si="57"/>
        <v>0</v>
      </c>
      <c r="Z337">
        <f t="shared" si="58"/>
        <v>0</v>
      </c>
      <c r="AC337" s="1">
        <v>0</v>
      </c>
      <c r="AF337">
        <f t="shared" si="64"/>
        <v>48</v>
      </c>
      <c r="AG337" s="41">
        <v>12</v>
      </c>
      <c r="AH337">
        <f t="shared" si="59"/>
        <v>48</v>
      </c>
      <c r="AI337">
        <f t="shared" si="60"/>
        <v>0</v>
      </c>
      <c r="AK337">
        <f t="shared" si="61"/>
        <v>4</v>
      </c>
      <c r="AL337">
        <v>10.19</v>
      </c>
      <c r="AM337" t="s">
        <v>27</v>
      </c>
      <c r="AN337">
        <v>10.19</v>
      </c>
      <c r="AO337" t="b">
        <f t="shared" si="62"/>
        <v>1</v>
      </c>
      <c r="AR337" t="s">
        <v>5061</v>
      </c>
      <c r="AS337" s="21">
        <v>46276</v>
      </c>
      <c r="AT337" t="s">
        <v>5062</v>
      </c>
      <c r="AU337" t="s">
        <v>5070</v>
      </c>
      <c r="AV337" t="s">
        <v>5062</v>
      </c>
      <c r="AW337" t="s">
        <v>5086</v>
      </c>
    </row>
    <row r="338" spans="1:49" hidden="1" x14ac:dyDescent="0.35">
      <c r="A338" t="s">
        <v>871</v>
      </c>
      <c r="B338" t="s">
        <v>872</v>
      </c>
      <c r="C338" t="s">
        <v>4818</v>
      </c>
      <c r="D338" t="s">
        <v>18</v>
      </c>
      <c r="E338" t="s">
        <v>1813</v>
      </c>
      <c r="F338" t="s">
        <v>1814</v>
      </c>
      <c r="G338" t="s">
        <v>21</v>
      </c>
      <c r="H338" t="s">
        <v>4888</v>
      </c>
      <c r="I338" t="s">
        <v>4889</v>
      </c>
      <c r="J338" s="4" t="s">
        <v>4890</v>
      </c>
      <c r="K338" s="4" t="s">
        <v>4911</v>
      </c>
      <c r="L338" s="4" t="s">
        <v>4900</v>
      </c>
      <c r="M338" s="4" t="s">
        <v>5035</v>
      </c>
      <c r="N338" t="s">
        <v>1815</v>
      </c>
      <c r="O338" t="s">
        <v>1816</v>
      </c>
      <c r="P338" t="s">
        <v>23</v>
      </c>
      <c r="Q338" t="s">
        <v>24</v>
      </c>
      <c r="R338" t="s">
        <v>25</v>
      </c>
      <c r="S338" t="s">
        <v>26</v>
      </c>
      <c r="T338" s="6">
        <v>46307</v>
      </c>
      <c r="U338">
        <v>60</v>
      </c>
      <c r="V338">
        <v>60</v>
      </c>
      <c r="W338">
        <v>60</v>
      </c>
      <c r="X338">
        <v>60</v>
      </c>
      <c r="Y338">
        <f t="shared" si="57"/>
        <v>0</v>
      </c>
      <c r="Z338">
        <f t="shared" si="58"/>
        <v>0</v>
      </c>
      <c r="AC338" s="1">
        <v>0</v>
      </c>
      <c r="AF338">
        <f t="shared" si="64"/>
        <v>60</v>
      </c>
      <c r="AG338" s="41">
        <v>12</v>
      </c>
      <c r="AH338">
        <f t="shared" si="59"/>
        <v>60</v>
      </c>
      <c r="AI338">
        <f t="shared" si="60"/>
        <v>0</v>
      </c>
      <c r="AK338">
        <f t="shared" si="61"/>
        <v>5</v>
      </c>
      <c r="AL338">
        <v>11.87</v>
      </c>
      <c r="AM338" t="s">
        <v>27</v>
      </c>
      <c r="AN338">
        <v>11.87</v>
      </c>
      <c r="AO338" t="b">
        <f t="shared" si="62"/>
        <v>1</v>
      </c>
      <c r="AR338" t="s">
        <v>5061</v>
      </c>
      <c r="AS338" s="21">
        <v>46276</v>
      </c>
      <c r="AT338" t="s">
        <v>5062</v>
      </c>
      <c r="AU338" t="s">
        <v>5067</v>
      </c>
      <c r="AV338" t="s">
        <v>5062</v>
      </c>
      <c r="AW338" t="s">
        <v>5086</v>
      </c>
    </row>
    <row r="339" spans="1:49" hidden="1" x14ac:dyDescent="0.35">
      <c r="A339" t="s">
        <v>871</v>
      </c>
      <c r="B339" t="s">
        <v>872</v>
      </c>
      <c r="C339" t="s">
        <v>4818</v>
      </c>
      <c r="D339" t="s">
        <v>18</v>
      </c>
      <c r="E339" t="s">
        <v>1817</v>
      </c>
      <c r="F339" t="s">
        <v>1818</v>
      </c>
      <c r="G339" t="s">
        <v>21</v>
      </c>
      <c r="H339" t="s">
        <v>4888</v>
      </c>
      <c r="I339" t="s">
        <v>4889</v>
      </c>
      <c r="J339" s="4" t="s">
        <v>4890</v>
      </c>
      <c r="K339" s="4" t="s">
        <v>4899</v>
      </c>
      <c r="L339" s="4" t="s">
        <v>4914</v>
      </c>
      <c r="M339" s="4" t="s">
        <v>5035</v>
      </c>
      <c r="N339" t="s">
        <v>1819</v>
      </c>
      <c r="O339" t="s">
        <v>1820</v>
      </c>
      <c r="P339" t="s">
        <v>23</v>
      </c>
      <c r="Q339" t="s">
        <v>24</v>
      </c>
      <c r="R339" t="s">
        <v>25</v>
      </c>
      <c r="S339" t="s">
        <v>26</v>
      </c>
      <c r="T339" s="6">
        <v>46307</v>
      </c>
      <c r="U339">
        <v>36</v>
      </c>
      <c r="V339">
        <v>36</v>
      </c>
      <c r="W339">
        <v>36</v>
      </c>
      <c r="X339">
        <v>36</v>
      </c>
      <c r="Y339">
        <f t="shared" si="57"/>
        <v>0</v>
      </c>
      <c r="Z339">
        <f t="shared" si="58"/>
        <v>0</v>
      </c>
      <c r="AC339" s="1"/>
      <c r="AF339">
        <f t="shared" si="64"/>
        <v>36</v>
      </c>
      <c r="AG339" s="41">
        <v>12</v>
      </c>
      <c r="AH339">
        <f t="shared" si="59"/>
        <v>36</v>
      </c>
      <c r="AI339">
        <f t="shared" si="60"/>
        <v>0</v>
      </c>
      <c r="AK339">
        <f t="shared" si="61"/>
        <v>3</v>
      </c>
      <c r="AL339">
        <v>10.9</v>
      </c>
      <c r="AM339" t="s">
        <v>27</v>
      </c>
      <c r="AN339">
        <v>10.9</v>
      </c>
      <c r="AO339" t="b">
        <f t="shared" si="62"/>
        <v>1</v>
      </c>
      <c r="AR339" t="s">
        <v>5061</v>
      </c>
      <c r="AS339" s="21">
        <v>46276</v>
      </c>
      <c r="AT339" t="s">
        <v>5062</v>
      </c>
      <c r="AU339" t="s">
        <v>5067</v>
      </c>
      <c r="AV339" t="s">
        <v>5062</v>
      </c>
      <c r="AW339" t="s">
        <v>5086</v>
      </c>
    </row>
    <row r="340" spans="1:49" hidden="1" x14ac:dyDescent="0.35">
      <c r="A340" t="s">
        <v>871</v>
      </c>
      <c r="B340" t="s">
        <v>872</v>
      </c>
      <c r="C340" t="s">
        <v>4818</v>
      </c>
      <c r="D340" t="s">
        <v>18</v>
      </c>
      <c r="E340" t="s">
        <v>1821</v>
      </c>
      <c r="F340" t="s">
        <v>1822</v>
      </c>
      <c r="G340" t="s">
        <v>21</v>
      </c>
      <c r="H340" t="s">
        <v>4888</v>
      </c>
      <c r="I340" t="s">
        <v>4889</v>
      </c>
      <c r="J340" s="4" t="s">
        <v>4890</v>
      </c>
      <c r="K340" s="4" t="s">
        <v>4891</v>
      </c>
      <c r="L340" s="4" t="s">
        <v>4905</v>
      </c>
      <c r="M340" s="4" t="s">
        <v>5035</v>
      </c>
      <c r="N340" t="s">
        <v>1823</v>
      </c>
      <c r="O340" t="s">
        <v>1824</v>
      </c>
      <c r="P340" t="s">
        <v>23</v>
      </c>
      <c r="Q340" t="s">
        <v>24</v>
      </c>
      <c r="R340" t="s">
        <v>25</v>
      </c>
      <c r="S340" t="s">
        <v>26</v>
      </c>
      <c r="T340" s="6">
        <v>46307</v>
      </c>
      <c r="U340">
        <v>132</v>
      </c>
      <c r="V340">
        <v>132</v>
      </c>
      <c r="W340">
        <v>132</v>
      </c>
      <c r="X340">
        <v>132</v>
      </c>
      <c r="Y340">
        <f t="shared" si="57"/>
        <v>0</v>
      </c>
      <c r="Z340">
        <f t="shared" si="58"/>
        <v>0</v>
      </c>
      <c r="AC340" s="1">
        <v>0</v>
      </c>
      <c r="AF340">
        <f t="shared" si="64"/>
        <v>132</v>
      </c>
      <c r="AG340" s="41">
        <v>12</v>
      </c>
      <c r="AH340">
        <f t="shared" si="59"/>
        <v>132</v>
      </c>
      <c r="AI340">
        <f t="shared" si="60"/>
        <v>0</v>
      </c>
      <c r="AK340">
        <f t="shared" si="61"/>
        <v>11</v>
      </c>
      <c r="AL340">
        <v>11.2</v>
      </c>
      <c r="AM340" t="s">
        <v>27</v>
      </c>
      <c r="AN340">
        <v>11.2</v>
      </c>
      <c r="AO340" t="b">
        <f t="shared" si="62"/>
        <v>1</v>
      </c>
      <c r="AR340" t="s">
        <v>5061</v>
      </c>
      <c r="AS340" s="21">
        <v>46276</v>
      </c>
      <c r="AT340" t="s">
        <v>5062</v>
      </c>
      <c r="AU340" t="s">
        <v>5067</v>
      </c>
      <c r="AV340" t="s">
        <v>5062</v>
      </c>
      <c r="AW340" t="s">
        <v>5086</v>
      </c>
    </row>
    <row r="341" spans="1:49" hidden="1" x14ac:dyDescent="0.35">
      <c r="A341" t="s">
        <v>871</v>
      </c>
      <c r="B341" t="s">
        <v>872</v>
      </c>
      <c r="C341" t="s">
        <v>4818</v>
      </c>
      <c r="D341" t="s">
        <v>18</v>
      </c>
      <c r="E341" t="s">
        <v>1825</v>
      </c>
      <c r="F341" t="s">
        <v>1826</v>
      </c>
      <c r="G341" t="s">
        <v>21</v>
      </c>
      <c r="H341" t="s">
        <v>4888</v>
      </c>
      <c r="I341" t="s">
        <v>4893</v>
      </c>
      <c r="J341" s="4" t="s">
        <v>4894</v>
      </c>
      <c r="K341" s="4" t="s">
        <v>4837</v>
      </c>
      <c r="L341" s="4" t="s">
        <v>4875</v>
      </c>
      <c r="M341" s="4" t="s">
        <v>5035</v>
      </c>
      <c r="N341" t="s">
        <v>1827</v>
      </c>
      <c r="O341" t="s">
        <v>1828</v>
      </c>
      <c r="P341" t="s">
        <v>23</v>
      </c>
      <c r="Q341" t="s">
        <v>24</v>
      </c>
      <c r="R341" t="s">
        <v>25</v>
      </c>
      <c r="S341" t="s">
        <v>26</v>
      </c>
      <c r="T341" s="6">
        <v>46307</v>
      </c>
      <c r="U341">
        <v>72</v>
      </c>
      <c r="V341">
        <v>72</v>
      </c>
      <c r="W341">
        <v>60</v>
      </c>
      <c r="X341">
        <v>60</v>
      </c>
      <c r="Y341">
        <f t="shared" si="57"/>
        <v>0</v>
      </c>
      <c r="Z341">
        <f t="shared" si="58"/>
        <v>12</v>
      </c>
      <c r="AA341">
        <f>Z341</f>
        <v>12</v>
      </c>
      <c r="AC341" s="1">
        <v>0</v>
      </c>
      <c r="AF341">
        <f>X341</f>
        <v>60</v>
      </c>
      <c r="AG341" s="41">
        <v>12</v>
      </c>
      <c r="AH341">
        <f t="shared" si="59"/>
        <v>60</v>
      </c>
      <c r="AI341">
        <f t="shared" si="60"/>
        <v>12</v>
      </c>
      <c r="AK341">
        <f t="shared" si="61"/>
        <v>5</v>
      </c>
      <c r="AL341">
        <v>10.06</v>
      </c>
      <c r="AM341" t="s">
        <v>27</v>
      </c>
      <c r="AN341">
        <v>10.06</v>
      </c>
      <c r="AO341" t="b">
        <f t="shared" si="62"/>
        <v>1</v>
      </c>
      <c r="AR341" t="s">
        <v>5061</v>
      </c>
      <c r="AS341" s="21">
        <v>46276</v>
      </c>
      <c r="AT341" t="s">
        <v>5062</v>
      </c>
      <c r="AU341" t="s">
        <v>5068</v>
      </c>
      <c r="AV341" t="s">
        <v>5062</v>
      </c>
      <c r="AW341" t="s">
        <v>5086</v>
      </c>
    </row>
    <row r="342" spans="1:49" hidden="1" x14ac:dyDescent="0.35">
      <c r="A342" t="s">
        <v>871</v>
      </c>
      <c r="B342" t="s">
        <v>872</v>
      </c>
      <c r="C342" t="s">
        <v>4818</v>
      </c>
      <c r="D342" t="s">
        <v>18</v>
      </c>
      <c r="E342" t="s">
        <v>1829</v>
      </c>
      <c r="F342" t="s">
        <v>1830</v>
      </c>
      <c r="G342" t="s">
        <v>21</v>
      </c>
      <c r="H342" t="s">
        <v>4888</v>
      </c>
      <c r="I342" t="s">
        <v>4893</v>
      </c>
      <c r="J342" s="4" t="s">
        <v>4894</v>
      </c>
      <c r="K342" s="4" t="s">
        <v>4837</v>
      </c>
      <c r="L342" s="4" t="s">
        <v>4864</v>
      </c>
      <c r="M342" s="4" t="s">
        <v>5035</v>
      </c>
      <c r="N342" t="s">
        <v>1831</v>
      </c>
      <c r="O342" t="s">
        <v>1832</v>
      </c>
      <c r="P342" t="s">
        <v>23</v>
      </c>
      <c r="Q342" t="s">
        <v>24</v>
      </c>
      <c r="R342" t="s">
        <v>25</v>
      </c>
      <c r="S342" t="s">
        <v>26</v>
      </c>
      <c r="T342" s="6">
        <v>46307</v>
      </c>
      <c r="U342">
        <v>24</v>
      </c>
      <c r="V342">
        <v>24</v>
      </c>
      <c r="W342">
        <v>24</v>
      </c>
      <c r="X342">
        <v>24</v>
      </c>
      <c r="Y342">
        <f t="shared" si="57"/>
        <v>0</v>
      </c>
      <c r="Z342">
        <f t="shared" si="58"/>
        <v>0</v>
      </c>
      <c r="AC342" s="1">
        <v>0</v>
      </c>
      <c r="AF342">
        <f>V342</f>
        <v>24</v>
      </c>
      <c r="AG342" s="41">
        <v>12</v>
      </c>
      <c r="AH342">
        <f t="shared" si="59"/>
        <v>24</v>
      </c>
      <c r="AI342">
        <f t="shared" si="60"/>
        <v>0</v>
      </c>
      <c r="AK342">
        <f t="shared" si="61"/>
        <v>2</v>
      </c>
      <c r="AL342">
        <v>10.06</v>
      </c>
      <c r="AM342" t="s">
        <v>27</v>
      </c>
      <c r="AN342">
        <v>10.06</v>
      </c>
      <c r="AO342" t="b">
        <f t="shared" si="62"/>
        <v>1</v>
      </c>
      <c r="AR342" t="s">
        <v>5061</v>
      </c>
      <c r="AS342" s="21">
        <v>46276</v>
      </c>
      <c r="AT342" t="s">
        <v>5062</v>
      </c>
      <c r="AU342" t="s">
        <v>5068</v>
      </c>
      <c r="AV342" t="s">
        <v>5062</v>
      </c>
      <c r="AW342" t="s">
        <v>5086</v>
      </c>
    </row>
    <row r="343" spans="1:49" hidden="1" x14ac:dyDescent="0.35">
      <c r="A343" t="s">
        <v>871</v>
      </c>
      <c r="B343" t="s">
        <v>872</v>
      </c>
      <c r="C343" t="s">
        <v>4818</v>
      </c>
      <c r="D343" t="s">
        <v>18</v>
      </c>
      <c r="E343" t="s">
        <v>1833</v>
      </c>
      <c r="F343" t="s">
        <v>1834</v>
      </c>
      <c r="G343" t="s">
        <v>21</v>
      </c>
      <c r="H343" t="s">
        <v>4888</v>
      </c>
      <c r="I343" t="s">
        <v>4893</v>
      </c>
      <c r="J343" s="4" t="s">
        <v>4894</v>
      </c>
      <c r="K343" s="4" t="s">
        <v>4904</v>
      </c>
      <c r="L343" s="4" t="s">
        <v>4870</v>
      </c>
      <c r="M343" s="4" t="s">
        <v>5035</v>
      </c>
      <c r="N343" t="s">
        <v>1835</v>
      </c>
      <c r="O343" t="s">
        <v>1836</v>
      </c>
      <c r="P343" t="s">
        <v>23</v>
      </c>
      <c r="Q343" t="s">
        <v>24</v>
      </c>
      <c r="R343" t="s">
        <v>25</v>
      </c>
      <c r="S343" t="s">
        <v>26</v>
      </c>
      <c r="T343" s="6">
        <v>46307</v>
      </c>
      <c r="U343">
        <v>120</v>
      </c>
      <c r="V343">
        <v>120</v>
      </c>
      <c r="W343">
        <v>132</v>
      </c>
      <c r="X343">
        <v>132</v>
      </c>
      <c r="Y343">
        <f t="shared" si="57"/>
        <v>0</v>
      </c>
      <c r="Z343">
        <f t="shared" si="58"/>
        <v>-12</v>
      </c>
      <c r="AC343" s="1"/>
      <c r="AF343">
        <f>V343</f>
        <v>120</v>
      </c>
      <c r="AG343" s="41">
        <v>12</v>
      </c>
      <c r="AH343">
        <f t="shared" si="59"/>
        <v>120</v>
      </c>
      <c r="AI343">
        <f t="shared" si="60"/>
        <v>0</v>
      </c>
      <c r="AK343">
        <f t="shared" si="61"/>
        <v>10</v>
      </c>
      <c r="AL343">
        <v>10.16</v>
      </c>
      <c r="AM343" t="s">
        <v>27</v>
      </c>
      <c r="AN343">
        <v>10.16</v>
      </c>
      <c r="AO343" t="b">
        <f t="shared" si="62"/>
        <v>1</v>
      </c>
      <c r="AR343" t="s">
        <v>5061</v>
      </c>
      <c r="AS343" s="21">
        <v>46276</v>
      </c>
      <c r="AT343" t="s">
        <v>5062</v>
      </c>
      <c r="AU343" t="s">
        <v>5068</v>
      </c>
      <c r="AV343" t="s">
        <v>5062</v>
      </c>
      <c r="AW343" t="s">
        <v>5086</v>
      </c>
    </row>
    <row r="344" spans="1:49" hidden="1" x14ac:dyDescent="0.35">
      <c r="A344" t="s">
        <v>871</v>
      </c>
      <c r="B344" t="s">
        <v>872</v>
      </c>
      <c r="C344" t="s">
        <v>4818</v>
      </c>
      <c r="D344" t="s">
        <v>18</v>
      </c>
      <c r="E344" t="s">
        <v>1837</v>
      </c>
      <c r="F344" t="s">
        <v>1838</v>
      </c>
      <c r="G344" t="s">
        <v>21</v>
      </c>
      <c r="H344" t="s">
        <v>4888</v>
      </c>
      <c r="I344" t="s">
        <v>4893</v>
      </c>
      <c r="J344" s="4" t="s">
        <v>4894</v>
      </c>
      <c r="K344" s="4" t="s">
        <v>4913</v>
      </c>
      <c r="L344" s="4" t="s">
        <v>4867</v>
      </c>
      <c r="M344" s="4" t="s">
        <v>5035</v>
      </c>
      <c r="N344" t="s">
        <v>1839</v>
      </c>
      <c r="O344" t="s">
        <v>1840</v>
      </c>
      <c r="P344" t="s">
        <v>23</v>
      </c>
      <c r="Q344" t="s">
        <v>24</v>
      </c>
      <c r="R344" t="s">
        <v>25</v>
      </c>
      <c r="S344" t="s">
        <v>26</v>
      </c>
      <c r="T344" s="6">
        <v>46307</v>
      </c>
      <c r="U344">
        <v>24</v>
      </c>
      <c r="V344">
        <v>24</v>
      </c>
      <c r="W344">
        <v>24</v>
      </c>
      <c r="X344">
        <v>24</v>
      </c>
      <c r="Y344">
        <f t="shared" si="57"/>
        <v>0</v>
      </c>
      <c r="Z344">
        <f t="shared" si="58"/>
        <v>0</v>
      </c>
      <c r="AC344" s="1">
        <v>0</v>
      </c>
      <c r="AF344">
        <f>V344</f>
        <v>24</v>
      </c>
      <c r="AG344" s="41">
        <v>12</v>
      </c>
      <c r="AH344">
        <f t="shared" si="59"/>
        <v>24</v>
      </c>
      <c r="AI344">
        <f t="shared" si="60"/>
        <v>0</v>
      </c>
      <c r="AK344">
        <f t="shared" si="61"/>
        <v>2</v>
      </c>
      <c r="AL344">
        <v>9.9499999999999993</v>
      </c>
      <c r="AM344" t="s">
        <v>27</v>
      </c>
      <c r="AN344">
        <v>9.9499999999999993</v>
      </c>
      <c r="AO344" t="b">
        <f t="shared" si="62"/>
        <v>1</v>
      </c>
      <c r="AR344" t="s">
        <v>5061</v>
      </c>
      <c r="AS344" s="21">
        <v>46276</v>
      </c>
      <c r="AT344" t="s">
        <v>5062</v>
      </c>
      <c r="AU344" t="s">
        <v>5068</v>
      </c>
      <c r="AV344" t="s">
        <v>5062</v>
      </c>
      <c r="AW344" t="s">
        <v>5086</v>
      </c>
    </row>
    <row r="345" spans="1:49" hidden="1" x14ac:dyDescent="0.35">
      <c r="A345" t="s">
        <v>871</v>
      </c>
      <c r="B345" t="s">
        <v>872</v>
      </c>
      <c r="C345" t="s">
        <v>4818</v>
      </c>
      <c r="D345" t="s">
        <v>18</v>
      </c>
      <c r="E345" t="s">
        <v>1841</v>
      </c>
      <c r="F345" t="s">
        <v>1842</v>
      </c>
      <c r="G345" t="s">
        <v>21</v>
      </c>
      <c r="H345" t="s">
        <v>4888</v>
      </c>
      <c r="I345" t="s">
        <v>4906</v>
      </c>
      <c r="J345" s="4" t="s">
        <v>4907</v>
      </c>
      <c r="K345" s="4" t="s">
        <v>4908</v>
      </c>
      <c r="L345" s="4" t="s">
        <v>4932</v>
      </c>
      <c r="M345" s="4" t="s">
        <v>5035</v>
      </c>
      <c r="N345" t="s">
        <v>1843</v>
      </c>
      <c r="O345" t="s">
        <v>1844</v>
      </c>
      <c r="P345" t="s">
        <v>23</v>
      </c>
      <c r="Q345" t="s">
        <v>24</v>
      </c>
      <c r="R345" t="s">
        <v>25</v>
      </c>
      <c r="S345" t="s">
        <v>26</v>
      </c>
      <c r="T345" s="6">
        <v>46307</v>
      </c>
      <c r="U345">
        <v>72</v>
      </c>
      <c r="V345">
        <v>72</v>
      </c>
      <c r="W345">
        <v>60</v>
      </c>
      <c r="X345">
        <v>60</v>
      </c>
      <c r="Y345">
        <f t="shared" si="57"/>
        <v>0</v>
      </c>
      <c r="Z345">
        <f t="shared" si="58"/>
        <v>12</v>
      </c>
      <c r="AA345">
        <f>Z345</f>
        <v>12</v>
      </c>
      <c r="AC345" s="1">
        <v>0</v>
      </c>
      <c r="AF345">
        <f>X345</f>
        <v>60</v>
      </c>
      <c r="AG345" s="41">
        <v>12</v>
      </c>
      <c r="AH345">
        <f t="shared" si="59"/>
        <v>60</v>
      </c>
      <c r="AI345">
        <f t="shared" si="60"/>
        <v>12</v>
      </c>
      <c r="AK345">
        <f t="shared" si="61"/>
        <v>5</v>
      </c>
      <c r="AL345">
        <v>10.19</v>
      </c>
      <c r="AM345" t="s">
        <v>27</v>
      </c>
      <c r="AN345">
        <v>10.19</v>
      </c>
      <c r="AO345" t="b">
        <f t="shared" si="62"/>
        <v>1</v>
      </c>
      <c r="AR345" t="s">
        <v>5061</v>
      </c>
      <c r="AS345" s="21">
        <v>46276</v>
      </c>
      <c r="AT345" t="s">
        <v>5062</v>
      </c>
      <c r="AU345" t="s">
        <v>5070</v>
      </c>
      <c r="AV345" t="s">
        <v>5062</v>
      </c>
      <c r="AW345" t="s">
        <v>5086</v>
      </c>
    </row>
    <row r="346" spans="1:49" hidden="1" x14ac:dyDescent="0.35">
      <c r="A346" t="s">
        <v>871</v>
      </c>
      <c r="B346" t="s">
        <v>872</v>
      </c>
      <c r="C346" t="s">
        <v>4818</v>
      </c>
      <c r="D346" t="s">
        <v>18</v>
      </c>
      <c r="E346" t="s">
        <v>1845</v>
      </c>
      <c r="F346" t="s">
        <v>1846</v>
      </c>
      <c r="G346" t="s">
        <v>21</v>
      </c>
      <c r="H346" t="s">
        <v>4888</v>
      </c>
      <c r="I346" t="s">
        <v>4893</v>
      </c>
      <c r="J346" s="4" t="s">
        <v>4894</v>
      </c>
      <c r="K346" s="4" t="s">
        <v>4904</v>
      </c>
      <c r="L346" s="4" t="s">
        <v>4873</v>
      </c>
      <c r="M346" s="4" t="s">
        <v>5035</v>
      </c>
      <c r="N346" t="s">
        <v>1847</v>
      </c>
      <c r="O346" t="s">
        <v>1848</v>
      </c>
      <c r="P346" t="s">
        <v>23</v>
      </c>
      <c r="Q346" t="s">
        <v>24</v>
      </c>
      <c r="R346" t="s">
        <v>25</v>
      </c>
      <c r="S346" t="s">
        <v>26</v>
      </c>
      <c r="T346" s="6">
        <v>46307</v>
      </c>
      <c r="U346">
        <v>96</v>
      </c>
      <c r="V346">
        <v>96</v>
      </c>
      <c r="W346">
        <v>96</v>
      </c>
      <c r="X346">
        <v>96</v>
      </c>
      <c r="Y346">
        <f t="shared" si="57"/>
        <v>0</v>
      </c>
      <c r="Z346">
        <f t="shared" si="58"/>
        <v>0</v>
      </c>
      <c r="AC346" s="1">
        <v>0</v>
      </c>
      <c r="AF346">
        <f>V346</f>
        <v>96</v>
      </c>
      <c r="AG346" s="41">
        <v>12</v>
      </c>
      <c r="AH346">
        <f t="shared" si="59"/>
        <v>96</v>
      </c>
      <c r="AI346">
        <f t="shared" si="60"/>
        <v>0</v>
      </c>
      <c r="AK346">
        <f t="shared" si="61"/>
        <v>8</v>
      </c>
      <c r="AL346">
        <v>10.16</v>
      </c>
      <c r="AM346" t="s">
        <v>27</v>
      </c>
      <c r="AN346">
        <v>10.16</v>
      </c>
      <c r="AO346" t="b">
        <f t="shared" si="62"/>
        <v>1</v>
      </c>
      <c r="AR346" t="s">
        <v>5061</v>
      </c>
      <c r="AS346" s="21">
        <v>46276</v>
      </c>
      <c r="AT346" t="s">
        <v>5062</v>
      </c>
      <c r="AU346" t="s">
        <v>5068</v>
      </c>
      <c r="AV346" t="s">
        <v>5062</v>
      </c>
      <c r="AW346" t="s">
        <v>5086</v>
      </c>
    </row>
    <row r="347" spans="1:49" hidden="1" x14ac:dyDescent="0.35">
      <c r="A347" t="s">
        <v>871</v>
      </c>
      <c r="B347" t="s">
        <v>872</v>
      </c>
      <c r="C347" t="s">
        <v>4818</v>
      </c>
      <c r="D347" t="s">
        <v>18</v>
      </c>
      <c r="E347" t="s">
        <v>1849</v>
      </c>
      <c r="F347" t="s">
        <v>1850</v>
      </c>
      <c r="G347" t="s">
        <v>21</v>
      </c>
      <c r="H347" t="s">
        <v>4888</v>
      </c>
      <c r="I347" t="s">
        <v>4889</v>
      </c>
      <c r="J347" s="4" t="s">
        <v>4890</v>
      </c>
      <c r="K347" s="4" t="s">
        <v>4891</v>
      </c>
      <c r="L347" s="4" t="s">
        <v>4875</v>
      </c>
      <c r="M347" s="4" t="s">
        <v>5035</v>
      </c>
      <c r="N347" t="s">
        <v>1851</v>
      </c>
      <c r="O347" t="s">
        <v>1852</v>
      </c>
      <c r="P347" t="s">
        <v>23</v>
      </c>
      <c r="Q347" t="s">
        <v>24</v>
      </c>
      <c r="R347" t="s">
        <v>25</v>
      </c>
      <c r="S347" t="s">
        <v>26</v>
      </c>
      <c r="T347" s="6">
        <v>46307</v>
      </c>
      <c r="U347">
        <v>144</v>
      </c>
      <c r="V347">
        <v>144</v>
      </c>
      <c r="W347">
        <v>120</v>
      </c>
      <c r="X347">
        <v>120</v>
      </c>
      <c r="Y347">
        <f t="shared" si="57"/>
        <v>0</v>
      </c>
      <c r="Z347">
        <f t="shared" si="58"/>
        <v>24</v>
      </c>
      <c r="AA347">
        <f>Z347</f>
        <v>24</v>
      </c>
      <c r="AC347" s="1">
        <v>0</v>
      </c>
      <c r="AF347">
        <f>X347</f>
        <v>120</v>
      </c>
      <c r="AG347" s="41">
        <v>12</v>
      </c>
      <c r="AH347">
        <f t="shared" si="59"/>
        <v>120</v>
      </c>
      <c r="AI347">
        <f t="shared" si="60"/>
        <v>24</v>
      </c>
      <c r="AK347">
        <f t="shared" si="61"/>
        <v>10</v>
      </c>
      <c r="AL347">
        <v>11.2</v>
      </c>
      <c r="AM347" t="s">
        <v>27</v>
      </c>
      <c r="AN347">
        <v>11.2</v>
      </c>
      <c r="AO347" t="b">
        <f t="shared" si="62"/>
        <v>1</v>
      </c>
      <c r="AR347" t="s">
        <v>5061</v>
      </c>
      <c r="AS347" s="21">
        <v>46276</v>
      </c>
      <c r="AT347" t="s">
        <v>5062</v>
      </c>
      <c r="AU347" t="s">
        <v>5067</v>
      </c>
      <c r="AV347" t="s">
        <v>5062</v>
      </c>
      <c r="AW347" t="s">
        <v>5086</v>
      </c>
    </row>
    <row r="348" spans="1:49" hidden="1" x14ac:dyDescent="0.35">
      <c r="A348" t="s">
        <v>871</v>
      </c>
      <c r="B348" t="s">
        <v>872</v>
      </c>
      <c r="C348" t="s">
        <v>4818</v>
      </c>
      <c r="D348" t="s">
        <v>18</v>
      </c>
      <c r="E348" t="s">
        <v>1853</v>
      </c>
      <c r="F348" t="s">
        <v>1854</v>
      </c>
      <c r="G348" t="s">
        <v>21</v>
      </c>
      <c r="H348" t="s">
        <v>4888</v>
      </c>
      <c r="I348" t="s">
        <v>4889</v>
      </c>
      <c r="J348" s="4" t="s">
        <v>4890</v>
      </c>
      <c r="K348" s="4" t="s">
        <v>4911</v>
      </c>
      <c r="L348" s="4" t="s">
        <v>4863</v>
      </c>
      <c r="M348" s="4" t="s">
        <v>5035</v>
      </c>
      <c r="N348" t="s">
        <v>1855</v>
      </c>
      <c r="O348" t="s">
        <v>1856</v>
      </c>
      <c r="P348" t="s">
        <v>23</v>
      </c>
      <c r="Q348" t="s">
        <v>24</v>
      </c>
      <c r="R348" t="s">
        <v>25</v>
      </c>
      <c r="S348" t="s">
        <v>26</v>
      </c>
      <c r="T348" s="6">
        <v>46307</v>
      </c>
      <c r="U348">
        <v>60</v>
      </c>
      <c r="V348">
        <v>60</v>
      </c>
      <c r="W348">
        <v>60</v>
      </c>
      <c r="X348">
        <v>60</v>
      </c>
      <c r="Y348">
        <f t="shared" si="57"/>
        <v>0</v>
      </c>
      <c r="Z348">
        <f t="shared" si="58"/>
        <v>0</v>
      </c>
      <c r="AC348" s="1">
        <v>0</v>
      </c>
      <c r="AF348">
        <f t="shared" ref="AF348:AF356" si="65">V348</f>
        <v>60</v>
      </c>
      <c r="AG348" s="41">
        <v>12</v>
      </c>
      <c r="AH348">
        <f t="shared" si="59"/>
        <v>60</v>
      </c>
      <c r="AI348">
        <f t="shared" si="60"/>
        <v>0</v>
      </c>
      <c r="AK348">
        <f t="shared" si="61"/>
        <v>5</v>
      </c>
      <c r="AL348">
        <v>11.87</v>
      </c>
      <c r="AM348" t="s">
        <v>27</v>
      </c>
      <c r="AN348">
        <v>11.87</v>
      </c>
      <c r="AO348" t="b">
        <f t="shared" si="62"/>
        <v>1</v>
      </c>
      <c r="AR348" t="s">
        <v>5061</v>
      </c>
      <c r="AS348" s="21">
        <v>46276</v>
      </c>
      <c r="AT348" t="s">
        <v>5062</v>
      </c>
      <c r="AU348" t="s">
        <v>5067</v>
      </c>
      <c r="AV348" t="s">
        <v>5062</v>
      </c>
      <c r="AW348" t="s">
        <v>5086</v>
      </c>
    </row>
    <row r="349" spans="1:49" hidden="1" x14ac:dyDescent="0.35">
      <c r="A349" t="s">
        <v>871</v>
      </c>
      <c r="B349" t="s">
        <v>872</v>
      </c>
      <c r="C349" t="s">
        <v>4818</v>
      </c>
      <c r="D349" t="s">
        <v>18</v>
      </c>
      <c r="E349" t="s">
        <v>1857</v>
      </c>
      <c r="F349" t="s">
        <v>1858</v>
      </c>
      <c r="G349" t="s">
        <v>21</v>
      </c>
      <c r="H349" t="s">
        <v>4888</v>
      </c>
      <c r="I349" t="s">
        <v>4906</v>
      </c>
      <c r="J349" s="4" t="s">
        <v>4907</v>
      </c>
      <c r="K349" s="4" t="s">
        <v>4908</v>
      </c>
      <c r="L349" s="4" t="s">
        <v>4919</v>
      </c>
      <c r="M349" s="4" t="s">
        <v>5035</v>
      </c>
      <c r="N349" t="s">
        <v>1859</v>
      </c>
      <c r="O349" t="s">
        <v>1860</v>
      </c>
      <c r="P349" t="s">
        <v>23</v>
      </c>
      <c r="Q349" t="s">
        <v>24</v>
      </c>
      <c r="R349" t="s">
        <v>25</v>
      </c>
      <c r="S349" t="s">
        <v>26</v>
      </c>
      <c r="T349" s="6">
        <v>46307</v>
      </c>
      <c r="U349">
        <v>108</v>
      </c>
      <c r="V349">
        <v>108</v>
      </c>
      <c r="W349">
        <v>120</v>
      </c>
      <c r="X349">
        <v>120</v>
      </c>
      <c r="Y349">
        <f t="shared" si="57"/>
        <v>0</v>
      </c>
      <c r="Z349">
        <f t="shared" si="58"/>
        <v>-12</v>
      </c>
      <c r="AC349" s="1">
        <v>0</v>
      </c>
      <c r="AF349">
        <f t="shared" si="65"/>
        <v>108</v>
      </c>
      <c r="AG349" s="41">
        <v>12</v>
      </c>
      <c r="AH349">
        <f t="shared" si="59"/>
        <v>108</v>
      </c>
      <c r="AI349">
        <f t="shared" si="60"/>
        <v>0</v>
      </c>
      <c r="AK349">
        <f t="shared" si="61"/>
        <v>9</v>
      </c>
      <c r="AL349">
        <v>10.19</v>
      </c>
      <c r="AM349" t="s">
        <v>27</v>
      </c>
      <c r="AN349">
        <v>10.19</v>
      </c>
      <c r="AO349" t="b">
        <f t="shared" si="62"/>
        <v>1</v>
      </c>
      <c r="AR349" t="s">
        <v>5061</v>
      </c>
      <c r="AS349" s="21">
        <v>46276</v>
      </c>
      <c r="AT349" t="s">
        <v>5062</v>
      </c>
      <c r="AU349" t="s">
        <v>5070</v>
      </c>
      <c r="AV349" t="s">
        <v>5062</v>
      </c>
      <c r="AW349" t="s">
        <v>5086</v>
      </c>
    </row>
    <row r="350" spans="1:49" hidden="1" x14ac:dyDescent="0.35">
      <c r="A350" t="s">
        <v>871</v>
      </c>
      <c r="B350" t="s">
        <v>872</v>
      </c>
      <c r="C350" t="s">
        <v>4818</v>
      </c>
      <c r="D350" t="s">
        <v>18</v>
      </c>
      <c r="E350" t="s">
        <v>1861</v>
      </c>
      <c r="F350" t="s">
        <v>1862</v>
      </c>
      <c r="G350" t="s">
        <v>21</v>
      </c>
      <c r="H350" t="s">
        <v>4888</v>
      </c>
      <c r="I350" t="s">
        <v>4889</v>
      </c>
      <c r="J350" s="4" t="s">
        <v>4890</v>
      </c>
      <c r="K350" s="4" t="s">
        <v>4911</v>
      </c>
      <c r="L350" s="4" t="s">
        <v>4885</v>
      </c>
      <c r="M350" s="4" t="s">
        <v>5035</v>
      </c>
      <c r="N350" t="s">
        <v>1863</v>
      </c>
      <c r="O350" t="s">
        <v>1864</v>
      </c>
      <c r="P350" t="s">
        <v>23</v>
      </c>
      <c r="Q350" t="s">
        <v>24</v>
      </c>
      <c r="R350" t="s">
        <v>25</v>
      </c>
      <c r="S350" t="s">
        <v>26</v>
      </c>
      <c r="T350" s="6">
        <v>46307</v>
      </c>
      <c r="U350">
        <v>12</v>
      </c>
      <c r="V350">
        <v>12</v>
      </c>
      <c r="W350">
        <v>12</v>
      </c>
      <c r="X350">
        <v>12</v>
      </c>
      <c r="Y350">
        <f t="shared" si="57"/>
        <v>0</v>
      </c>
      <c r="Z350">
        <f t="shared" si="58"/>
        <v>0</v>
      </c>
      <c r="AC350" s="1">
        <v>0</v>
      </c>
      <c r="AF350">
        <f t="shared" si="65"/>
        <v>12</v>
      </c>
      <c r="AG350" s="41">
        <v>12</v>
      </c>
      <c r="AH350">
        <f t="shared" si="59"/>
        <v>12</v>
      </c>
      <c r="AI350">
        <f t="shared" si="60"/>
        <v>0</v>
      </c>
      <c r="AK350">
        <f t="shared" si="61"/>
        <v>1</v>
      </c>
      <c r="AL350">
        <v>11.87</v>
      </c>
      <c r="AM350" t="s">
        <v>27</v>
      </c>
      <c r="AN350">
        <v>11.87</v>
      </c>
      <c r="AO350" t="b">
        <f t="shared" si="62"/>
        <v>1</v>
      </c>
      <c r="AR350" t="s">
        <v>5061</v>
      </c>
      <c r="AS350" s="21">
        <v>46276</v>
      </c>
      <c r="AT350" t="s">
        <v>5062</v>
      </c>
      <c r="AU350" t="s">
        <v>5067</v>
      </c>
      <c r="AV350" t="s">
        <v>5062</v>
      </c>
      <c r="AW350" t="s">
        <v>5086</v>
      </c>
    </row>
    <row r="351" spans="1:49" hidden="1" x14ac:dyDescent="0.35">
      <c r="A351" t="s">
        <v>871</v>
      </c>
      <c r="B351" t="s">
        <v>872</v>
      </c>
      <c r="C351" t="s">
        <v>4818</v>
      </c>
      <c r="D351" t="s">
        <v>18</v>
      </c>
      <c r="E351" t="s">
        <v>1865</v>
      </c>
      <c r="F351" t="s">
        <v>1866</v>
      </c>
      <c r="G351" t="s">
        <v>21</v>
      </c>
      <c r="H351" t="s">
        <v>4888</v>
      </c>
      <c r="I351" t="s">
        <v>4893</v>
      </c>
      <c r="J351" s="4" t="s">
        <v>4894</v>
      </c>
      <c r="K351" s="4" t="s">
        <v>4896</v>
      </c>
      <c r="L351" s="4" t="s">
        <v>4929</v>
      </c>
      <c r="M351" s="4" t="s">
        <v>5035</v>
      </c>
      <c r="N351" t="s">
        <v>1867</v>
      </c>
      <c r="O351" t="s">
        <v>1868</v>
      </c>
      <c r="P351" t="s">
        <v>23</v>
      </c>
      <c r="Q351" t="s">
        <v>24</v>
      </c>
      <c r="R351" t="s">
        <v>25</v>
      </c>
      <c r="S351" t="s">
        <v>26</v>
      </c>
      <c r="T351" s="6">
        <v>46307</v>
      </c>
      <c r="U351">
        <v>12</v>
      </c>
      <c r="V351">
        <v>12</v>
      </c>
      <c r="W351">
        <v>12</v>
      </c>
      <c r="X351">
        <v>12</v>
      </c>
      <c r="Y351">
        <f t="shared" si="57"/>
        <v>0</v>
      </c>
      <c r="Z351">
        <f t="shared" si="58"/>
        <v>0</v>
      </c>
      <c r="AC351" s="1">
        <v>0</v>
      </c>
      <c r="AF351">
        <f t="shared" si="65"/>
        <v>12</v>
      </c>
      <c r="AG351" s="41">
        <v>12</v>
      </c>
      <c r="AH351">
        <f t="shared" si="59"/>
        <v>12</v>
      </c>
      <c r="AI351">
        <f t="shared" si="60"/>
        <v>0</v>
      </c>
      <c r="AK351">
        <f t="shared" si="61"/>
        <v>1</v>
      </c>
      <c r="AL351">
        <v>10.220000000000001</v>
      </c>
      <c r="AM351" t="s">
        <v>27</v>
      </c>
      <c r="AN351">
        <v>10.220000000000001</v>
      </c>
      <c r="AO351" t="b">
        <f t="shared" si="62"/>
        <v>1</v>
      </c>
      <c r="AR351" t="s">
        <v>5061</v>
      </c>
      <c r="AS351" s="21">
        <v>46276</v>
      </c>
      <c r="AT351" t="s">
        <v>5062</v>
      </c>
      <c r="AU351" t="s">
        <v>5068</v>
      </c>
      <c r="AV351" t="s">
        <v>5062</v>
      </c>
      <c r="AW351" t="s">
        <v>5086</v>
      </c>
    </row>
    <row r="352" spans="1:49" hidden="1" x14ac:dyDescent="0.35">
      <c r="A352" t="s">
        <v>871</v>
      </c>
      <c r="B352" t="s">
        <v>872</v>
      </c>
      <c r="C352" t="s">
        <v>4818</v>
      </c>
      <c r="D352" t="s">
        <v>18</v>
      </c>
      <c r="E352" t="s">
        <v>1869</v>
      </c>
      <c r="F352" t="s">
        <v>1870</v>
      </c>
      <c r="G352" t="s">
        <v>21</v>
      </c>
      <c r="H352" t="s">
        <v>4888</v>
      </c>
      <c r="I352" t="s">
        <v>4906</v>
      </c>
      <c r="J352" s="4" t="s">
        <v>4907</v>
      </c>
      <c r="K352" s="4" t="s">
        <v>4908</v>
      </c>
      <c r="L352" s="4" t="s">
        <v>4898</v>
      </c>
      <c r="M352" s="4" t="s">
        <v>5035</v>
      </c>
      <c r="N352" t="s">
        <v>1871</v>
      </c>
      <c r="O352" t="s">
        <v>1872</v>
      </c>
      <c r="P352" t="s">
        <v>23</v>
      </c>
      <c r="Q352" t="s">
        <v>24</v>
      </c>
      <c r="R352" t="s">
        <v>25</v>
      </c>
      <c r="S352" t="s">
        <v>26</v>
      </c>
      <c r="T352" s="6">
        <v>46307</v>
      </c>
      <c r="U352">
        <v>60</v>
      </c>
      <c r="V352">
        <v>60</v>
      </c>
      <c r="W352">
        <v>60</v>
      </c>
      <c r="X352">
        <v>60</v>
      </c>
      <c r="Y352">
        <f t="shared" si="57"/>
        <v>0</v>
      </c>
      <c r="Z352">
        <f t="shared" si="58"/>
        <v>0</v>
      </c>
      <c r="AC352" s="1">
        <v>0</v>
      </c>
      <c r="AF352">
        <f t="shared" si="65"/>
        <v>60</v>
      </c>
      <c r="AG352" s="41">
        <v>12</v>
      </c>
      <c r="AH352">
        <f t="shared" si="59"/>
        <v>60</v>
      </c>
      <c r="AI352">
        <f t="shared" si="60"/>
        <v>0</v>
      </c>
      <c r="AK352">
        <f t="shared" si="61"/>
        <v>5</v>
      </c>
      <c r="AL352">
        <v>10.19</v>
      </c>
      <c r="AM352" t="s">
        <v>27</v>
      </c>
      <c r="AN352">
        <v>10.19</v>
      </c>
      <c r="AO352" t="b">
        <f t="shared" si="62"/>
        <v>1</v>
      </c>
      <c r="AR352" t="s">
        <v>5061</v>
      </c>
      <c r="AS352" s="21">
        <v>46276</v>
      </c>
      <c r="AT352" t="s">
        <v>5062</v>
      </c>
      <c r="AU352" t="s">
        <v>5070</v>
      </c>
      <c r="AV352" t="s">
        <v>5062</v>
      </c>
      <c r="AW352" t="s">
        <v>5086</v>
      </c>
    </row>
    <row r="353" spans="1:49" hidden="1" x14ac:dyDescent="0.35">
      <c r="A353" t="s">
        <v>871</v>
      </c>
      <c r="B353" t="s">
        <v>872</v>
      </c>
      <c r="C353" t="s">
        <v>4818</v>
      </c>
      <c r="D353" t="s">
        <v>18</v>
      </c>
      <c r="E353" t="s">
        <v>1873</v>
      </c>
      <c r="F353" t="s">
        <v>1874</v>
      </c>
      <c r="G353" t="s">
        <v>21</v>
      </c>
      <c r="H353" t="s">
        <v>4888</v>
      </c>
      <c r="I353" t="s">
        <v>4893</v>
      </c>
      <c r="J353" s="4" t="s">
        <v>4894</v>
      </c>
      <c r="K353" s="4" t="s">
        <v>4913</v>
      </c>
      <c r="L353" s="4" t="s">
        <v>4871</v>
      </c>
      <c r="M353" s="4" t="s">
        <v>5035</v>
      </c>
      <c r="N353" t="s">
        <v>1875</v>
      </c>
      <c r="O353" t="s">
        <v>1876</v>
      </c>
      <c r="P353" t="s">
        <v>23</v>
      </c>
      <c r="Q353" t="s">
        <v>24</v>
      </c>
      <c r="R353" t="s">
        <v>25</v>
      </c>
      <c r="S353" t="s">
        <v>26</v>
      </c>
      <c r="T353" s="6">
        <v>46307</v>
      </c>
      <c r="U353">
        <v>240</v>
      </c>
      <c r="V353">
        <v>240</v>
      </c>
      <c r="W353">
        <v>264</v>
      </c>
      <c r="X353">
        <v>264</v>
      </c>
      <c r="Y353">
        <f t="shared" si="57"/>
        <v>0</v>
      </c>
      <c r="Z353">
        <f t="shared" si="58"/>
        <v>-24</v>
      </c>
      <c r="AC353" s="1">
        <v>0</v>
      </c>
      <c r="AF353">
        <f t="shared" si="65"/>
        <v>240</v>
      </c>
      <c r="AG353" s="41">
        <v>12</v>
      </c>
      <c r="AH353">
        <f t="shared" si="59"/>
        <v>240</v>
      </c>
      <c r="AI353">
        <f t="shared" si="60"/>
        <v>0</v>
      </c>
      <c r="AK353">
        <f t="shared" si="61"/>
        <v>20</v>
      </c>
      <c r="AL353">
        <v>9.9499999999999993</v>
      </c>
      <c r="AM353" t="s">
        <v>27</v>
      </c>
      <c r="AN353">
        <v>9.9499999999999993</v>
      </c>
      <c r="AO353" t="b">
        <f t="shared" si="62"/>
        <v>1</v>
      </c>
      <c r="AR353" t="s">
        <v>5061</v>
      </c>
      <c r="AS353" s="21">
        <v>46276</v>
      </c>
      <c r="AT353" t="s">
        <v>5062</v>
      </c>
      <c r="AU353" t="s">
        <v>5068</v>
      </c>
      <c r="AV353" t="s">
        <v>5062</v>
      </c>
      <c r="AW353" t="s">
        <v>5086</v>
      </c>
    </row>
    <row r="354" spans="1:49" hidden="1" x14ac:dyDescent="0.35">
      <c r="A354" t="s">
        <v>871</v>
      </c>
      <c r="B354" t="s">
        <v>872</v>
      </c>
      <c r="C354" t="s">
        <v>4818</v>
      </c>
      <c r="D354" t="s">
        <v>18</v>
      </c>
      <c r="E354" t="s">
        <v>1877</v>
      </c>
      <c r="F354" t="s">
        <v>1878</v>
      </c>
      <c r="G354" t="s">
        <v>21</v>
      </c>
      <c r="H354" t="s">
        <v>4826</v>
      </c>
      <c r="I354" t="s">
        <v>4935</v>
      </c>
      <c r="J354" s="4" t="s">
        <v>4936</v>
      </c>
      <c r="K354" s="4" t="s">
        <v>4937</v>
      </c>
      <c r="L354" s="4" t="s">
        <v>4938</v>
      </c>
      <c r="M354" s="4" t="s">
        <v>5035</v>
      </c>
      <c r="N354" t="s">
        <v>15</v>
      </c>
      <c r="O354" t="s">
        <v>1879</v>
      </c>
      <c r="P354" t="s">
        <v>23</v>
      </c>
      <c r="Q354" t="s">
        <v>24</v>
      </c>
      <c r="R354" t="s">
        <v>25</v>
      </c>
      <c r="S354" t="s">
        <v>26</v>
      </c>
      <c r="T354" s="6">
        <v>46307</v>
      </c>
      <c r="U354">
        <v>24</v>
      </c>
      <c r="V354">
        <v>24</v>
      </c>
      <c r="W354">
        <v>24</v>
      </c>
      <c r="X354">
        <v>24</v>
      </c>
      <c r="Y354">
        <f t="shared" si="57"/>
        <v>0</v>
      </c>
      <c r="Z354">
        <f t="shared" si="58"/>
        <v>0</v>
      </c>
      <c r="AC354" s="1">
        <v>0</v>
      </c>
      <c r="AF354">
        <f t="shared" si="65"/>
        <v>24</v>
      </c>
      <c r="AG354" s="41">
        <v>12</v>
      </c>
      <c r="AH354">
        <f t="shared" si="59"/>
        <v>24</v>
      </c>
      <c r="AI354">
        <f t="shared" si="60"/>
        <v>0</v>
      </c>
      <c r="AK354">
        <f t="shared" si="61"/>
        <v>2</v>
      </c>
      <c r="AL354">
        <v>11.16</v>
      </c>
      <c r="AM354" t="s">
        <v>27</v>
      </c>
      <c r="AN354">
        <v>11.16</v>
      </c>
      <c r="AO354" t="b">
        <f t="shared" si="62"/>
        <v>1</v>
      </c>
      <c r="AR354" t="s">
        <v>5061</v>
      </c>
      <c r="AS354" s="21">
        <v>46276</v>
      </c>
      <c r="AT354" t="s">
        <v>5062</v>
      </c>
      <c r="AU354" t="s">
        <v>5071</v>
      </c>
      <c r="AV354" t="s">
        <v>5062</v>
      </c>
      <c r="AW354" t="s">
        <v>5086</v>
      </c>
    </row>
    <row r="355" spans="1:49" hidden="1" x14ac:dyDescent="0.35">
      <c r="A355" t="s">
        <v>871</v>
      </c>
      <c r="B355" t="s">
        <v>872</v>
      </c>
      <c r="C355" t="s">
        <v>4818</v>
      </c>
      <c r="D355" t="s">
        <v>18</v>
      </c>
      <c r="E355" t="s">
        <v>1880</v>
      </c>
      <c r="F355" t="s">
        <v>1881</v>
      </c>
      <c r="G355" t="s">
        <v>21</v>
      </c>
      <c r="H355" t="s">
        <v>4826</v>
      </c>
      <c r="I355" t="s">
        <v>4935</v>
      </c>
      <c r="J355" s="4" t="s">
        <v>4936</v>
      </c>
      <c r="K355" s="4" t="s">
        <v>4937</v>
      </c>
      <c r="L355" s="4" t="s">
        <v>4939</v>
      </c>
      <c r="M355" s="4" t="s">
        <v>5035</v>
      </c>
      <c r="N355" t="s">
        <v>15</v>
      </c>
      <c r="O355" t="s">
        <v>1882</v>
      </c>
      <c r="P355" t="s">
        <v>23</v>
      </c>
      <c r="Q355" t="s">
        <v>24</v>
      </c>
      <c r="R355" t="s">
        <v>25</v>
      </c>
      <c r="S355" t="s">
        <v>26</v>
      </c>
      <c r="T355" s="6">
        <v>46307</v>
      </c>
      <c r="U355">
        <v>12</v>
      </c>
      <c r="V355">
        <v>12</v>
      </c>
      <c r="W355">
        <v>12</v>
      </c>
      <c r="X355">
        <v>12</v>
      </c>
      <c r="Y355">
        <f t="shared" si="57"/>
        <v>0</v>
      </c>
      <c r="Z355">
        <f t="shared" si="58"/>
        <v>0</v>
      </c>
      <c r="AC355" s="1">
        <v>0</v>
      </c>
      <c r="AF355">
        <f t="shared" si="65"/>
        <v>12</v>
      </c>
      <c r="AG355" s="41">
        <v>12</v>
      </c>
      <c r="AH355">
        <f t="shared" si="59"/>
        <v>12</v>
      </c>
      <c r="AI355">
        <f t="shared" si="60"/>
        <v>0</v>
      </c>
      <c r="AK355">
        <f t="shared" si="61"/>
        <v>1</v>
      </c>
      <c r="AL355">
        <v>11.16</v>
      </c>
      <c r="AM355" t="s">
        <v>27</v>
      </c>
      <c r="AN355">
        <v>11.16</v>
      </c>
      <c r="AO355" t="b">
        <f t="shared" si="62"/>
        <v>1</v>
      </c>
      <c r="AR355" t="s">
        <v>5061</v>
      </c>
      <c r="AS355" s="21">
        <v>46276</v>
      </c>
      <c r="AT355" t="s">
        <v>5062</v>
      </c>
      <c r="AU355" t="s">
        <v>5071</v>
      </c>
      <c r="AV355" t="s">
        <v>5062</v>
      </c>
      <c r="AW355" t="s">
        <v>5086</v>
      </c>
    </row>
    <row r="356" spans="1:49" hidden="1" x14ac:dyDescent="0.35">
      <c r="A356" t="s">
        <v>871</v>
      </c>
      <c r="B356" t="s">
        <v>872</v>
      </c>
      <c r="C356" t="s">
        <v>4818</v>
      </c>
      <c r="D356" t="s">
        <v>18</v>
      </c>
      <c r="E356" t="s">
        <v>1883</v>
      </c>
      <c r="F356" t="s">
        <v>1884</v>
      </c>
      <c r="G356" t="s">
        <v>21</v>
      </c>
      <c r="H356" t="s">
        <v>4826</v>
      </c>
      <c r="I356" t="s">
        <v>4935</v>
      </c>
      <c r="J356" s="4" t="s">
        <v>4936</v>
      </c>
      <c r="K356" s="4" t="s">
        <v>4937</v>
      </c>
      <c r="L356" s="4" t="s">
        <v>4940</v>
      </c>
      <c r="M356" s="4" t="s">
        <v>5035</v>
      </c>
      <c r="N356" t="s">
        <v>15</v>
      </c>
      <c r="O356" t="s">
        <v>1885</v>
      </c>
      <c r="P356" t="s">
        <v>23</v>
      </c>
      <c r="Q356" t="s">
        <v>24</v>
      </c>
      <c r="R356" t="s">
        <v>25</v>
      </c>
      <c r="S356" t="s">
        <v>26</v>
      </c>
      <c r="T356" s="6">
        <v>46307</v>
      </c>
      <c r="U356">
        <v>12</v>
      </c>
      <c r="V356">
        <v>12</v>
      </c>
      <c r="W356">
        <v>12</v>
      </c>
      <c r="X356">
        <v>12</v>
      </c>
      <c r="Y356">
        <f t="shared" si="57"/>
        <v>0</v>
      </c>
      <c r="Z356">
        <f t="shared" si="58"/>
        <v>0</v>
      </c>
      <c r="AC356" s="1">
        <v>0</v>
      </c>
      <c r="AF356">
        <f t="shared" si="65"/>
        <v>12</v>
      </c>
      <c r="AG356" s="41">
        <v>12</v>
      </c>
      <c r="AH356">
        <f t="shared" si="59"/>
        <v>12</v>
      </c>
      <c r="AI356">
        <f t="shared" si="60"/>
        <v>0</v>
      </c>
      <c r="AK356">
        <f t="shared" si="61"/>
        <v>1</v>
      </c>
      <c r="AL356">
        <v>11.16</v>
      </c>
      <c r="AM356" t="s">
        <v>27</v>
      </c>
      <c r="AN356">
        <v>11.16</v>
      </c>
      <c r="AO356" t="b">
        <f t="shared" si="62"/>
        <v>1</v>
      </c>
      <c r="AR356" t="s">
        <v>5061</v>
      </c>
      <c r="AS356" s="21">
        <v>46276</v>
      </c>
      <c r="AT356" t="s">
        <v>5062</v>
      </c>
      <c r="AU356" t="s">
        <v>5071</v>
      </c>
      <c r="AV356" t="s">
        <v>5062</v>
      </c>
      <c r="AW356" t="s">
        <v>5086</v>
      </c>
    </row>
    <row r="357" spans="1:49" hidden="1" x14ac:dyDescent="0.35">
      <c r="A357" t="s">
        <v>871</v>
      </c>
      <c r="B357" t="s">
        <v>872</v>
      </c>
      <c r="C357" t="s">
        <v>4818</v>
      </c>
      <c r="D357" t="s">
        <v>18</v>
      </c>
      <c r="E357" t="s">
        <v>1886</v>
      </c>
      <c r="F357" t="s">
        <v>1887</v>
      </c>
      <c r="G357" t="s">
        <v>21</v>
      </c>
      <c r="H357" t="s">
        <v>4826</v>
      </c>
      <c r="I357" t="s">
        <v>4935</v>
      </c>
      <c r="J357" s="4" t="s">
        <v>4936</v>
      </c>
      <c r="K357" s="4" t="s">
        <v>4832</v>
      </c>
      <c r="L357" s="4" t="s">
        <v>4941</v>
      </c>
      <c r="M357" s="4" t="s">
        <v>5035</v>
      </c>
      <c r="N357" t="s">
        <v>15</v>
      </c>
      <c r="O357" t="s">
        <v>1888</v>
      </c>
      <c r="P357" t="s">
        <v>23</v>
      </c>
      <c r="Q357" t="s">
        <v>24</v>
      </c>
      <c r="R357" t="s">
        <v>25</v>
      </c>
      <c r="S357" t="s">
        <v>26</v>
      </c>
      <c r="T357" s="6">
        <v>46307</v>
      </c>
      <c r="U357">
        <v>72</v>
      </c>
      <c r="V357">
        <v>72</v>
      </c>
      <c r="W357">
        <v>60</v>
      </c>
      <c r="X357">
        <v>60</v>
      </c>
      <c r="Y357">
        <f t="shared" si="57"/>
        <v>0</v>
      </c>
      <c r="Z357">
        <f t="shared" si="58"/>
        <v>12</v>
      </c>
      <c r="AA357">
        <f>Z357</f>
        <v>12</v>
      </c>
      <c r="AC357" s="1">
        <v>0</v>
      </c>
      <c r="AF357">
        <f>X357</f>
        <v>60</v>
      </c>
      <c r="AG357" s="41">
        <v>12</v>
      </c>
      <c r="AH357">
        <f t="shared" si="59"/>
        <v>60</v>
      </c>
      <c r="AI357">
        <f t="shared" si="60"/>
        <v>12</v>
      </c>
      <c r="AK357">
        <f t="shared" si="61"/>
        <v>5</v>
      </c>
      <c r="AL357">
        <v>11.16</v>
      </c>
      <c r="AM357" t="s">
        <v>27</v>
      </c>
      <c r="AN357">
        <v>11.16</v>
      </c>
      <c r="AO357" t="b">
        <f t="shared" si="62"/>
        <v>1</v>
      </c>
      <c r="AR357" t="s">
        <v>5061</v>
      </c>
      <c r="AS357" s="21">
        <v>46276</v>
      </c>
      <c r="AT357" t="s">
        <v>5062</v>
      </c>
      <c r="AU357" t="s">
        <v>5071</v>
      </c>
      <c r="AV357" t="s">
        <v>5062</v>
      </c>
      <c r="AW357" t="s">
        <v>5086</v>
      </c>
    </row>
    <row r="358" spans="1:49" hidden="1" x14ac:dyDescent="0.35">
      <c r="A358" t="s">
        <v>871</v>
      </c>
      <c r="B358" t="s">
        <v>872</v>
      </c>
      <c r="C358" t="s">
        <v>4818</v>
      </c>
      <c r="D358" t="s">
        <v>18</v>
      </c>
      <c r="E358" t="s">
        <v>1889</v>
      </c>
      <c r="F358" t="s">
        <v>1890</v>
      </c>
      <c r="G358" t="s">
        <v>21</v>
      </c>
      <c r="H358" t="s">
        <v>4826</v>
      </c>
      <c r="I358" t="s">
        <v>4935</v>
      </c>
      <c r="J358" s="4" t="s">
        <v>4936</v>
      </c>
      <c r="K358" s="4" t="s">
        <v>4832</v>
      </c>
      <c r="L358" s="4" t="s">
        <v>4942</v>
      </c>
      <c r="M358" s="4" t="s">
        <v>5035</v>
      </c>
      <c r="N358" t="s">
        <v>15</v>
      </c>
      <c r="O358" t="s">
        <v>1891</v>
      </c>
      <c r="P358" t="s">
        <v>23</v>
      </c>
      <c r="Q358" t="s">
        <v>24</v>
      </c>
      <c r="R358" t="s">
        <v>25</v>
      </c>
      <c r="S358" t="s">
        <v>26</v>
      </c>
      <c r="T358" s="6">
        <v>46307</v>
      </c>
      <c r="U358">
        <v>12</v>
      </c>
      <c r="V358">
        <v>12</v>
      </c>
      <c r="W358">
        <v>12</v>
      </c>
      <c r="X358">
        <v>12</v>
      </c>
      <c r="Y358">
        <f t="shared" si="57"/>
        <v>0</v>
      </c>
      <c r="Z358">
        <f t="shared" si="58"/>
        <v>0</v>
      </c>
      <c r="AC358" s="1">
        <v>0</v>
      </c>
      <c r="AF358">
        <f>V358</f>
        <v>12</v>
      </c>
      <c r="AG358" s="41">
        <v>12</v>
      </c>
      <c r="AH358">
        <f t="shared" si="59"/>
        <v>12</v>
      </c>
      <c r="AI358">
        <f t="shared" si="60"/>
        <v>0</v>
      </c>
      <c r="AK358">
        <f t="shared" si="61"/>
        <v>1</v>
      </c>
      <c r="AL358">
        <v>11.16</v>
      </c>
      <c r="AM358" t="s">
        <v>27</v>
      </c>
      <c r="AN358">
        <v>11.16</v>
      </c>
      <c r="AO358" t="b">
        <f t="shared" si="62"/>
        <v>1</v>
      </c>
      <c r="AR358" t="s">
        <v>5061</v>
      </c>
      <c r="AS358" s="21">
        <v>46276</v>
      </c>
      <c r="AT358" t="s">
        <v>5062</v>
      </c>
      <c r="AU358" t="s">
        <v>5071</v>
      </c>
      <c r="AV358" t="s">
        <v>5062</v>
      </c>
      <c r="AW358" t="s">
        <v>5086</v>
      </c>
    </row>
    <row r="359" spans="1:49" hidden="1" x14ac:dyDescent="0.35">
      <c r="A359" t="s">
        <v>871</v>
      </c>
      <c r="B359" t="s">
        <v>872</v>
      </c>
      <c r="C359" t="s">
        <v>4818</v>
      </c>
      <c r="D359" t="s">
        <v>18</v>
      </c>
      <c r="E359" t="s">
        <v>1892</v>
      </c>
      <c r="F359" t="s">
        <v>1893</v>
      </c>
      <c r="G359" t="s">
        <v>21</v>
      </c>
      <c r="H359" t="s">
        <v>4826</v>
      </c>
      <c r="I359" t="s">
        <v>4935</v>
      </c>
      <c r="J359" s="4" t="s">
        <v>4936</v>
      </c>
      <c r="K359" s="4" t="s">
        <v>4832</v>
      </c>
      <c r="L359" s="4" t="s">
        <v>4943</v>
      </c>
      <c r="M359" s="4" t="s">
        <v>5035</v>
      </c>
      <c r="N359" t="s">
        <v>15</v>
      </c>
      <c r="O359" t="s">
        <v>1894</v>
      </c>
      <c r="P359" t="s">
        <v>23</v>
      </c>
      <c r="Q359" t="s">
        <v>24</v>
      </c>
      <c r="R359" t="s">
        <v>25</v>
      </c>
      <c r="S359" t="s">
        <v>26</v>
      </c>
      <c r="T359" s="6">
        <v>46307</v>
      </c>
      <c r="U359">
        <v>24</v>
      </c>
      <c r="V359">
        <v>24</v>
      </c>
      <c r="W359">
        <v>24</v>
      </c>
      <c r="X359">
        <v>24</v>
      </c>
      <c r="Y359">
        <f t="shared" si="57"/>
        <v>0</v>
      </c>
      <c r="Z359">
        <f t="shared" si="58"/>
        <v>0</v>
      </c>
      <c r="AC359" s="1">
        <v>0</v>
      </c>
      <c r="AF359">
        <f>V359</f>
        <v>24</v>
      </c>
      <c r="AG359" s="41">
        <v>12</v>
      </c>
      <c r="AH359">
        <f t="shared" si="59"/>
        <v>24</v>
      </c>
      <c r="AI359">
        <f t="shared" si="60"/>
        <v>0</v>
      </c>
      <c r="AK359">
        <f t="shared" si="61"/>
        <v>2</v>
      </c>
      <c r="AL359">
        <v>11.16</v>
      </c>
      <c r="AM359" t="s">
        <v>27</v>
      </c>
      <c r="AN359">
        <v>11.16</v>
      </c>
      <c r="AO359" t="b">
        <f t="shared" si="62"/>
        <v>1</v>
      </c>
      <c r="AR359" t="s">
        <v>5061</v>
      </c>
      <c r="AS359" s="21">
        <v>46276</v>
      </c>
      <c r="AT359" t="s">
        <v>5062</v>
      </c>
      <c r="AU359" t="s">
        <v>5071</v>
      </c>
      <c r="AV359" t="s">
        <v>5062</v>
      </c>
      <c r="AW359" t="s">
        <v>5086</v>
      </c>
    </row>
    <row r="360" spans="1:49" hidden="1" x14ac:dyDescent="0.35">
      <c r="A360" t="s">
        <v>871</v>
      </c>
      <c r="B360" t="s">
        <v>872</v>
      </c>
      <c r="C360" t="s">
        <v>4818</v>
      </c>
      <c r="D360" t="s">
        <v>18</v>
      </c>
      <c r="E360" t="s">
        <v>1895</v>
      </c>
      <c r="F360" t="s">
        <v>1896</v>
      </c>
      <c r="G360" t="s">
        <v>21</v>
      </c>
      <c r="H360" t="s">
        <v>4826</v>
      </c>
      <c r="I360" t="s">
        <v>4935</v>
      </c>
      <c r="J360" s="4" t="s">
        <v>4936</v>
      </c>
      <c r="K360" s="4" t="s">
        <v>4837</v>
      </c>
      <c r="L360" s="4" t="s">
        <v>4944</v>
      </c>
      <c r="M360" s="4" t="s">
        <v>5035</v>
      </c>
      <c r="N360" t="s">
        <v>15</v>
      </c>
      <c r="O360" t="s">
        <v>1897</v>
      </c>
      <c r="P360" t="s">
        <v>23</v>
      </c>
      <c r="Q360" t="s">
        <v>24</v>
      </c>
      <c r="R360" t="s">
        <v>25</v>
      </c>
      <c r="S360" t="s">
        <v>26</v>
      </c>
      <c r="T360" s="6">
        <v>46307</v>
      </c>
      <c r="U360">
        <v>156</v>
      </c>
      <c r="V360">
        <v>156</v>
      </c>
      <c r="W360">
        <v>144</v>
      </c>
      <c r="X360">
        <v>144</v>
      </c>
      <c r="Y360">
        <f t="shared" si="57"/>
        <v>0</v>
      </c>
      <c r="Z360">
        <f t="shared" si="58"/>
        <v>12</v>
      </c>
      <c r="AA360">
        <f>Z360</f>
        <v>12</v>
      </c>
      <c r="AC360" s="1">
        <v>0</v>
      </c>
      <c r="AF360">
        <f>X360</f>
        <v>144</v>
      </c>
      <c r="AG360" s="41">
        <v>12</v>
      </c>
      <c r="AH360">
        <f t="shared" si="59"/>
        <v>144</v>
      </c>
      <c r="AI360">
        <f t="shared" si="60"/>
        <v>12</v>
      </c>
      <c r="AK360">
        <f t="shared" si="61"/>
        <v>12</v>
      </c>
      <c r="AL360">
        <v>11.16</v>
      </c>
      <c r="AM360" t="s">
        <v>27</v>
      </c>
      <c r="AN360">
        <v>11.16</v>
      </c>
      <c r="AO360" t="b">
        <f t="shared" si="62"/>
        <v>1</v>
      </c>
      <c r="AR360" t="s">
        <v>5061</v>
      </c>
      <c r="AS360" s="21">
        <v>46276</v>
      </c>
      <c r="AT360" t="s">
        <v>5062</v>
      </c>
      <c r="AU360" t="s">
        <v>5071</v>
      </c>
      <c r="AV360" t="s">
        <v>5062</v>
      </c>
      <c r="AW360" t="s">
        <v>5086</v>
      </c>
    </row>
    <row r="361" spans="1:49" hidden="1" x14ac:dyDescent="0.35">
      <c r="A361" t="s">
        <v>871</v>
      </c>
      <c r="B361" t="s">
        <v>872</v>
      </c>
      <c r="C361" t="s">
        <v>4818</v>
      </c>
      <c r="D361" t="s">
        <v>18</v>
      </c>
      <c r="E361" t="s">
        <v>1898</v>
      </c>
      <c r="F361" t="s">
        <v>1899</v>
      </c>
      <c r="G361" t="s">
        <v>21</v>
      </c>
      <c r="H361" t="s">
        <v>4826</v>
      </c>
      <c r="I361" t="s">
        <v>4935</v>
      </c>
      <c r="J361" s="4" t="s">
        <v>4936</v>
      </c>
      <c r="K361" s="4" t="s">
        <v>4837</v>
      </c>
      <c r="L361" s="4" t="s">
        <v>4942</v>
      </c>
      <c r="M361" s="4" t="s">
        <v>5035</v>
      </c>
      <c r="N361" t="s">
        <v>15</v>
      </c>
      <c r="O361" t="s">
        <v>1900</v>
      </c>
      <c r="P361" t="s">
        <v>23</v>
      </c>
      <c r="Q361" t="s">
        <v>24</v>
      </c>
      <c r="R361" t="s">
        <v>25</v>
      </c>
      <c r="S361" t="s">
        <v>26</v>
      </c>
      <c r="T361" s="6">
        <v>46307</v>
      </c>
      <c r="U361">
        <v>120</v>
      </c>
      <c r="V361">
        <v>120</v>
      </c>
      <c r="W361">
        <v>132</v>
      </c>
      <c r="X361">
        <v>132</v>
      </c>
      <c r="Y361">
        <f t="shared" si="57"/>
        <v>0</v>
      </c>
      <c r="Z361">
        <f t="shared" si="58"/>
        <v>-12</v>
      </c>
      <c r="AC361" s="1">
        <v>0</v>
      </c>
      <c r="AF361">
        <f>V361</f>
        <v>120</v>
      </c>
      <c r="AG361" s="41">
        <v>12</v>
      </c>
      <c r="AH361">
        <f t="shared" si="59"/>
        <v>120</v>
      </c>
      <c r="AI361">
        <f t="shared" si="60"/>
        <v>0</v>
      </c>
      <c r="AK361">
        <f t="shared" si="61"/>
        <v>10</v>
      </c>
      <c r="AL361">
        <v>11.16</v>
      </c>
      <c r="AM361" t="s">
        <v>27</v>
      </c>
      <c r="AN361">
        <v>11.16</v>
      </c>
      <c r="AO361" t="b">
        <f t="shared" si="62"/>
        <v>1</v>
      </c>
      <c r="AR361" t="s">
        <v>5061</v>
      </c>
      <c r="AS361" s="21">
        <v>46276</v>
      </c>
      <c r="AT361" t="s">
        <v>5062</v>
      </c>
      <c r="AU361" t="s">
        <v>5071</v>
      </c>
      <c r="AV361" t="s">
        <v>5062</v>
      </c>
      <c r="AW361" t="s">
        <v>5086</v>
      </c>
    </row>
    <row r="362" spans="1:49" hidden="1" x14ac:dyDescent="0.35">
      <c r="A362" t="s">
        <v>871</v>
      </c>
      <c r="B362" t="s">
        <v>872</v>
      </c>
      <c r="C362" t="s">
        <v>4818</v>
      </c>
      <c r="D362" t="s">
        <v>18</v>
      </c>
      <c r="E362" t="s">
        <v>1901</v>
      </c>
      <c r="F362" t="s">
        <v>1902</v>
      </c>
      <c r="G362" t="s">
        <v>21</v>
      </c>
      <c r="H362" t="s">
        <v>4826</v>
      </c>
      <c r="I362" t="s">
        <v>4935</v>
      </c>
      <c r="J362" s="4" t="s">
        <v>4936</v>
      </c>
      <c r="K362" s="4" t="s">
        <v>4945</v>
      </c>
      <c r="L362" s="4" t="s">
        <v>4946</v>
      </c>
      <c r="M362" s="4" t="s">
        <v>5035</v>
      </c>
      <c r="N362" t="s">
        <v>15</v>
      </c>
      <c r="O362" t="s">
        <v>1903</v>
      </c>
      <c r="P362" t="s">
        <v>23</v>
      </c>
      <c r="Q362" t="s">
        <v>24</v>
      </c>
      <c r="R362" t="s">
        <v>25</v>
      </c>
      <c r="S362" t="s">
        <v>26</v>
      </c>
      <c r="T362" s="6">
        <v>46307</v>
      </c>
      <c r="U362">
        <v>132</v>
      </c>
      <c r="V362">
        <v>132</v>
      </c>
      <c r="W362">
        <v>144</v>
      </c>
      <c r="X362">
        <v>144</v>
      </c>
      <c r="Y362">
        <f t="shared" si="57"/>
        <v>0</v>
      </c>
      <c r="Z362">
        <f t="shared" si="58"/>
        <v>-12</v>
      </c>
      <c r="AC362" s="1">
        <v>0</v>
      </c>
      <c r="AF362">
        <f>V362</f>
        <v>132</v>
      </c>
      <c r="AG362" s="41">
        <v>12</v>
      </c>
      <c r="AH362">
        <f t="shared" si="59"/>
        <v>132</v>
      </c>
      <c r="AI362">
        <f t="shared" si="60"/>
        <v>0</v>
      </c>
      <c r="AK362">
        <f t="shared" si="61"/>
        <v>11</v>
      </c>
      <c r="AL362">
        <v>11.16</v>
      </c>
      <c r="AM362" t="s">
        <v>27</v>
      </c>
      <c r="AN362">
        <v>11.16</v>
      </c>
      <c r="AO362" t="b">
        <f t="shared" si="62"/>
        <v>1</v>
      </c>
      <c r="AR362" t="s">
        <v>5061</v>
      </c>
      <c r="AS362" s="21">
        <v>46276</v>
      </c>
      <c r="AT362" t="s">
        <v>5062</v>
      </c>
      <c r="AU362" t="s">
        <v>5071</v>
      </c>
      <c r="AV362" t="s">
        <v>5062</v>
      </c>
      <c r="AW362" t="s">
        <v>5086</v>
      </c>
    </row>
    <row r="363" spans="1:49" hidden="1" x14ac:dyDescent="0.35">
      <c r="A363" t="s">
        <v>871</v>
      </c>
      <c r="B363" t="s">
        <v>872</v>
      </c>
      <c r="C363" t="s">
        <v>4818</v>
      </c>
      <c r="D363" t="s">
        <v>18</v>
      </c>
      <c r="E363" t="s">
        <v>1904</v>
      </c>
      <c r="F363" t="s">
        <v>1905</v>
      </c>
      <c r="G363" t="s">
        <v>21</v>
      </c>
      <c r="H363" t="s">
        <v>4826</v>
      </c>
      <c r="I363" t="s">
        <v>4935</v>
      </c>
      <c r="J363" s="4" t="s">
        <v>4936</v>
      </c>
      <c r="K363" s="4" t="s">
        <v>4837</v>
      </c>
      <c r="L363" s="4" t="s">
        <v>4947</v>
      </c>
      <c r="M363" s="4" t="s">
        <v>5035</v>
      </c>
      <c r="N363" t="s">
        <v>15</v>
      </c>
      <c r="O363" t="s">
        <v>1906</v>
      </c>
      <c r="P363" t="s">
        <v>23</v>
      </c>
      <c r="Q363" t="s">
        <v>24</v>
      </c>
      <c r="R363" t="s">
        <v>25</v>
      </c>
      <c r="S363" t="s">
        <v>26</v>
      </c>
      <c r="T363" s="6">
        <v>46307</v>
      </c>
      <c r="U363">
        <v>24</v>
      </c>
      <c r="V363">
        <v>24</v>
      </c>
      <c r="W363">
        <v>24</v>
      </c>
      <c r="X363">
        <v>24</v>
      </c>
      <c r="Y363">
        <f t="shared" si="57"/>
        <v>0</v>
      </c>
      <c r="Z363">
        <f t="shared" si="58"/>
        <v>0</v>
      </c>
      <c r="AC363" s="1">
        <v>0</v>
      </c>
      <c r="AF363">
        <f>V363</f>
        <v>24</v>
      </c>
      <c r="AG363" s="41">
        <v>12</v>
      </c>
      <c r="AH363">
        <f t="shared" si="59"/>
        <v>24</v>
      </c>
      <c r="AI363">
        <f t="shared" si="60"/>
        <v>0</v>
      </c>
      <c r="AK363">
        <f t="shared" si="61"/>
        <v>2</v>
      </c>
      <c r="AL363">
        <v>11.16</v>
      </c>
      <c r="AM363" t="s">
        <v>27</v>
      </c>
      <c r="AN363">
        <v>11.16</v>
      </c>
      <c r="AO363" t="b">
        <f t="shared" si="62"/>
        <v>1</v>
      </c>
      <c r="AR363" t="s">
        <v>5061</v>
      </c>
      <c r="AS363" s="21">
        <v>46276</v>
      </c>
      <c r="AT363" t="s">
        <v>5062</v>
      </c>
      <c r="AU363" t="s">
        <v>5071</v>
      </c>
      <c r="AV363" t="s">
        <v>5062</v>
      </c>
      <c r="AW363" t="s">
        <v>5086</v>
      </c>
    </row>
    <row r="364" spans="1:49" hidden="1" x14ac:dyDescent="0.35">
      <c r="A364" t="s">
        <v>871</v>
      </c>
      <c r="B364" t="s">
        <v>872</v>
      </c>
      <c r="C364" t="s">
        <v>4818</v>
      </c>
      <c r="D364" t="s">
        <v>18</v>
      </c>
      <c r="E364" t="s">
        <v>1907</v>
      </c>
      <c r="F364" t="s">
        <v>1908</v>
      </c>
      <c r="G364" t="s">
        <v>21</v>
      </c>
      <c r="H364" t="s">
        <v>4826</v>
      </c>
      <c r="I364" t="s">
        <v>4935</v>
      </c>
      <c r="J364" s="4" t="s">
        <v>4936</v>
      </c>
      <c r="K364" s="4" t="s">
        <v>4832</v>
      </c>
      <c r="L364" s="4" t="s">
        <v>4938</v>
      </c>
      <c r="M364" s="4" t="s">
        <v>5035</v>
      </c>
      <c r="N364" t="s">
        <v>15</v>
      </c>
      <c r="O364" t="s">
        <v>1909</v>
      </c>
      <c r="P364" t="s">
        <v>23</v>
      </c>
      <c r="Q364" t="s">
        <v>24</v>
      </c>
      <c r="R364" t="s">
        <v>25</v>
      </c>
      <c r="S364" t="s">
        <v>26</v>
      </c>
      <c r="T364" s="6">
        <v>46307</v>
      </c>
      <c r="U364">
        <v>288</v>
      </c>
      <c r="V364">
        <v>288</v>
      </c>
      <c r="W364">
        <v>252</v>
      </c>
      <c r="X364">
        <v>252</v>
      </c>
      <c r="Y364">
        <f t="shared" si="57"/>
        <v>0</v>
      </c>
      <c r="Z364">
        <f t="shared" si="58"/>
        <v>36</v>
      </c>
      <c r="AA364">
        <f>Z364</f>
        <v>36</v>
      </c>
      <c r="AC364" s="1">
        <v>0</v>
      </c>
      <c r="AF364">
        <f>X364</f>
        <v>252</v>
      </c>
      <c r="AG364" s="41">
        <v>12</v>
      </c>
      <c r="AH364">
        <f t="shared" si="59"/>
        <v>252</v>
      </c>
      <c r="AI364">
        <f t="shared" si="60"/>
        <v>36</v>
      </c>
      <c r="AK364">
        <f t="shared" si="61"/>
        <v>21</v>
      </c>
      <c r="AL364">
        <v>11.16</v>
      </c>
      <c r="AM364" t="s">
        <v>27</v>
      </c>
      <c r="AN364">
        <v>11.16</v>
      </c>
      <c r="AO364" t="b">
        <f t="shared" si="62"/>
        <v>1</v>
      </c>
      <c r="AR364" t="s">
        <v>5061</v>
      </c>
      <c r="AS364" s="21">
        <v>46276</v>
      </c>
      <c r="AT364" t="s">
        <v>5062</v>
      </c>
      <c r="AU364" t="s">
        <v>5071</v>
      </c>
      <c r="AV364" t="s">
        <v>5062</v>
      </c>
      <c r="AW364" t="s">
        <v>5086</v>
      </c>
    </row>
    <row r="365" spans="1:49" hidden="1" x14ac:dyDescent="0.35">
      <c r="A365" t="s">
        <v>871</v>
      </c>
      <c r="B365" t="s">
        <v>872</v>
      </c>
      <c r="C365" t="s">
        <v>4818</v>
      </c>
      <c r="D365" t="s">
        <v>18</v>
      </c>
      <c r="E365" t="s">
        <v>1910</v>
      </c>
      <c r="F365" t="s">
        <v>1911</v>
      </c>
      <c r="G365" t="s">
        <v>21</v>
      </c>
      <c r="H365" t="s">
        <v>4826</v>
      </c>
      <c r="I365" t="s">
        <v>4935</v>
      </c>
      <c r="J365" s="4" t="s">
        <v>4936</v>
      </c>
      <c r="K365" s="4" t="s">
        <v>4832</v>
      </c>
      <c r="L365" s="4" t="s">
        <v>4948</v>
      </c>
      <c r="M365" s="4" t="s">
        <v>5035</v>
      </c>
      <c r="N365" t="s">
        <v>15</v>
      </c>
      <c r="O365" t="s">
        <v>1912</v>
      </c>
      <c r="P365" t="s">
        <v>23</v>
      </c>
      <c r="Q365" t="s">
        <v>24</v>
      </c>
      <c r="R365" t="s">
        <v>25</v>
      </c>
      <c r="S365" t="s">
        <v>26</v>
      </c>
      <c r="T365" s="6">
        <v>46307</v>
      </c>
      <c r="U365">
        <v>60</v>
      </c>
      <c r="V365">
        <v>60</v>
      </c>
      <c r="W365">
        <v>60</v>
      </c>
      <c r="X365">
        <v>60</v>
      </c>
      <c r="Y365">
        <f t="shared" si="57"/>
        <v>0</v>
      </c>
      <c r="Z365">
        <f t="shared" si="58"/>
        <v>0</v>
      </c>
      <c r="AC365" s="1">
        <v>0</v>
      </c>
      <c r="AF365">
        <f t="shared" ref="AF365:AF370" si="66">V365</f>
        <v>60</v>
      </c>
      <c r="AG365" s="41">
        <v>12</v>
      </c>
      <c r="AH365">
        <f t="shared" si="59"/>
        <v>60</v>
      </c>
      <c r="AI365">
        <f t="shared" si="60"/>
        <v>0</v>
      </c>
      <c r="AK365">
        <f t="shared" si="61"/>
        <v>5</v>
      </c>
      <c r="AL365">
        <v>11.16</v>
      </c>
      <c r="AM365" t="s">
        <v>27</v>
      </c>
      <c r="AN365">
        <v>11.16</v>
      </c>
      <c r="AO365" t="b">
        <f t="shared" si="62"/>
        <v>1</v>
      </c>
      <c r="AR365" t="s">
        <v>5061</v>
      </c>
      <c r="AS365" s="21">
        <v>46276</v>
      </c>
      <c r="AT365" t="s">
        <v>5062</v>
      </c>
      <c r="AU365" t="s">
        <v>5071</v>
      </c>
      <c r="AV365" t="s">
        <v>5062</v>
      </c>
      <c r="AW365" t="s">
        <v>5086</v>
      </c>
    </row>
    <row r="366" spans="1:49" hidden="1" x14ac:dyDescent="0.35">
      <c r="A366" t="s">
        <v>871</v>
      </c>
      <c r="B366" t="s">
        <v>872</v>
      </c>
      <c r="C366" t="s">
        <v>4818</v>
      </c>
      <c r="D366" t="s">
        <v>18</v>
      </c>
      <c r="E366" t="s">
        <v>1913</v>
      </c>
      <c r="F366" t="s">
        <v>1914</v>
      </c>
      <c r="G366" t="s">
        <v>21</v>
      </c>
      <c r="H366" t="s">
        <v>4826</v>
      </c>
      <c r="I366" t="s">
        <v>4935</v>
      </c>
      <c r="J366" s="4" t="s">
        <v>4936</v>
      </c>
      <c r="K366" s="4" t="s">
        <v>4832</v>
      </c>
      <c r="L366" s="4" t="s">
        <v>4949</v>
      </c>
      <c r="M366" s="4" t="s">
        <v>5035</v>
      </c>
      <c r="N366" t="s">
        <v>15</v>
      </c>
      <c r="O366" t="s">
        <v>1915</v>
      </c>
      <c r="P366" t="s">
        <v>23</v>
      </c>
      <c r="Q366" t="s">
        <v>24</v>
      </c>
      <c r="R366" t="s">
        <v>25</v>
      </c>
      <c r="S366" t="s">
        <v>26</v>
      </c>
      <c r="T366" s="6">
        <v>46307</v>
      </c>
      <c r="U366">
        <v>36</v>
      </c>
      <c r="V366">
        <v>36</v>
      </c>
      <c r="W366">
        <v>36</v>
      </c>
      <c r="X366">
        <v>36</v>
      </c>
      <c r="Y366">
        <f t="shared" si="57"/>
        <v>0</v>
      </c>
      <c r="Z366">
        <f t="shared" si="58"/>
        <v>0</v>
      </c>
      <c r="AC366" s="1">
        <v>0</v>
      </c>
      <c r="AF366">
        <f t="shared" si="66"/>
        <v>36</v>
      </c>
      <c r="AG366" s="41">
        <v>12</v>
      </c>
      <c r="AH366">
        <f t="shared" si="59"/>
        <v>36</v>
      </c>
      <c r="AI366">
        <f t="shared" si="60"/>
        <v>0</v>
      </c>
      <c r="AK366">
        <f t="shared" si="61"/>
        <v>3</v>
      </c>
      <c r="AL366">
        <v>11.16</v>
      </c>
      <c r="AM366" t="s">
        <v>27</v>
      </c>
      <c r="AN366">
        <v>11.16</v>
      </c>
      <c r="AO366" t="b">
        <f t="shared" si="62"/>
        <v>1</v>
      </c>
      <c r="AR366" t="s">
        <v>5061</v>
      </c>
      <c r="AS366" s="21">
        <v>46276</v>
      </c>
      <c r="AT366" t="s">
        <v>5062</v>
      </c>
      <c r="AU366" t="s">
        <v>5071</v>
      </c>
      <c r="AV366" t="s">
        <v>5062</v>
      </c>
      <c r="AW366" t="s">
        <v>5086</v>
      </c>
    </row>
    <row r="367" spans="1:49" hidden="1" x14ac:dyDescent="0.35">
      <c r="A367" t="s">
        <v>871</v>
      </c>
      <c r="B367" t="s">
        <v>872</v>
      </c>
      <c r="C367" t="s">
        <v>4818</v>
      </c>
      <c r="D367" t="s">
        <v>18</v>
      </c>
      <c r="E367" t="s">
        <v>1916</v>
      </c>
      <c r="F367" t="s">
        <v>1917</v>
      </c>
      <c r="G367" t="s">
        <v>21</v>
      </c>
      <c r="H367" t="s">
        <v>4826</v>
      </c>
      <c r="I367" t="s">
        <v>4935</v>
      </c>
      <c r="J367" s="4" t="s">
        <v>4936</v>
      </c>
      <c r="K367" s="4" t="s">
        <v>4937</v>
      </c>
      <c r="L367" s="4" t="s">
        <v>4950</v>
      </c>
      <c r="M367" s="4" t="s">
        <v>5035</v>
      </c>
      <c r="N367" t="s">
        <v>15</v>
      </c>
      <c r="O367" t="s">
        <v>1918</v>
      </c>
      <c r="P367" t="s">
        <v>23</v>
      </c>
      <c r="Q367" t="s">
        <v>24</v>
      </c>
      <c r="R367" t="s">
        <v>25</v>
      </c>
      <c r="S367" t="s">
        <v>26</v>
      </c>
      <c r="T367" s="6">
        <v>46307</v>
      </c>
      <c r="U367">
        <v>60</v>
      </c>
      <c r="V367">
        <v>60</v>
      </c>
      <c r="W367">
        <v>60</v>
      </c>
      <c r="X367">
        <v>60</v>
      </c>
      <c r="Y367">
        <f t="shared" si="57"/>
        <v>0</v>
      </c>
      <c r="Z367">
        <f t="shared" si="58"/>
        <v>0</v>
      </c>
      <c r="AC367" s="1">
        <v>0</v>
      </c>
      <c r="AF367">
        <f t="shared" si="66"/>
        <v>60</v>
      </c>
      <c r="AG367" s="41">
        <v>12</v>
      </c>
      <c r="AH367">
        <f t="shared" si="59"/>
        <v>60</v>
      </c>
      <c r="AI367">
        <f t="shared" si="60"/>
        <v>0</v>
      </c>
      <c r="AK367">
        <f t="shared" si="61"/>
        <v>5</v>
      </c>
      <c r="AL367">
        <v>11.16</v>
      </c>
      <c r="AM367" t="s">
        <v>27</v>
      </c>
      <c r="AN367">
        <v>11.16</v>
      </c>
      <c r="AO367" t="b">
        <f t="shared" si="62"/>
        <v>1</v>
      </c>
      <c r="AR367" t="s">
        <v>5061</v>
      </c>
      <c r="AS367" s="21">
        <v>46276</v>
      </c>
      <c r="AT367" t="s">
        <v>5062</v>
      </c>
      <c r="AU367" t="s">
        <v>5071</v>
      </c>
      <c r="AV367" t="s">
        <v>5062</v>
      </c>
      <c r="AW367" t="s">
        <v>5086</v>
      </c>
    </row>
    <row r="368" spans="1:49" hidden="1" x14ac:dyDescent="0.35">
      <c r="A368" t="s">
        <v>871</v>
      </c>
      <c r="B368" t="s">
        <v>872</v>
      </c>
      <c r="C368" t="s">
        <v>4818</v>
      </c>
      <c r="D368" t="s">
        <v>18</v>
      </c>
      <c r="E368" t="s">
        <v>1919</v>
      </c>
      <c r="F368" t="s">
        <v>1920</v>
      </c>
      <c r="G368" t="s">
        <v>21</v>
      </c>
      <c r="H368" t="s">
        <v>4826</v>
      </c>
      <c r="I368" t="s">
        <v>4935</v>
      </c>
      <c r="J368" s="4" t="s">
        <v>4936</v>
      </c>
      <c r="K368" s="4" t="s">
        <v>4937</v>
      </c>
      <c r="L368" s="4" t="s">
        <v>4951</v>
      </c>
      <c r="M368" s="4" t="s">
        <v>5035</v>
      </c>
      <c r="N368" t="s">
        <v>15</v>
      </c>
      <c r="O368" t="s">
        <v>1921</v>
      </c>
      <c r="P368" t="s">
        <v>23</v>
      </c>
      <c r="Q368" t="s">
        <v>24</v>
      </c>
      <c r="R368" t="s">
        <v>25</v>
      </c>
      <c r="S368" t="s">
        <v>26</v>
      </c>
      <c r="T368" s="6">
        <v>46307</v>
      </c>
      <c r="U368">
        <v>204</v>
      </c>
      <c r="V368">
        <v>204</v>
      </c>
      <c r="W368">
        <v>216</v>
      </c>
      <c r="X368">
        <v>216</v>
      </c>
      <c r="Y368">
        <f t="shared" si="57"/>
        <v>0</v>
      </c>
      <c r="Z368">
        <f t="shared" si="58"/>
        <v>-12</v>
      </c>
      <c r="AC368" s="1"/>
      <c r="AF368">
        <f t="shared" si="66"/>
        <v>204</v>
      </c>
      <c r="AG368" s="41">
        <v>12</v>
      </c>
      <c r="AH368">
        <f t="shared" si="59"/>
        <v>204</v>
      </c>
      <c r="AI368">
        <f t="shared" si="60"/>
        <v>0</v>
      </c>
      <c r="AK368">
        <f t="shared" si="61"/>
        <v>17</v>
      </c>
      <c r="AL368">
        <v>11.16</v>
      </c>
      <c r="AM368" t="s">
        <v>27</v>
      </c>
      <c r="AN368">
        <v>11.16</v>
      </c>
      <c r="AO368" t="b">
        <f t="shared" si="62"/>
        <v>1</v>
      </c>
      <c r="AR368" t="s">
        <v>5061</v>
      </c>
      <c r="AS368" s="21">
        <v>46276</v>
      </c>
      <c r="AT368" t="s">
        <v>5062</v>
      </c>
      <c r="AU368" t="s">
        <v>5071</v>
      </c>
      <c r="AV368" t="s">
        <v>5062</v>
      </c>
      <c r="AW368" t="s">
        <v>5086</v>
      </c>
    </row>
    <row r="369" spans="1:49" hidden="1" x14ac:dyDescent="0.35">
      <c r="A369" t="s">
        <v>871</v>
      </c>
      <c r="B369" t="s">
        <v>872</v>
      </c>
      <c r="C369" t="s">
        <v>4818</v>
      </c>
      <c r="D369" t="s">
        <v>18</v>
      </c>
      <c r="E369" t="s">
        <v>1922</v>
      </c>
      <c r="F369" t="s">
        <v>1923</v>
      </c>
      <c r="G369" t="s">
        <v>21</v>
      </c>
      <c r="H369" t="s">
        <v>4826</v>
      </c>
      <c r="I369" t="s">
        <v>4935</v>
      </c>
      <c r="J369" s="4" t="s">
        <v>4936</v>
      </c>
      <c r="K369" s="4" t="s">
        <v>4945</v>
      </c>
      <c r="L369" s="4" t="s">
        <v>4939</v>
      </c>
      <c r="M369" s="4" t="s">
        <v>5035</v>
      </c>
      <c r="N369" t="s">
        <v>15</v>
      </c>
      <c r="O369" t="s">
        <v>1924</v>
      </c>
      <c r="P369" t="s">
        <v>23</v>
      </c>
      <c r="Q369" t="s">
        <v>24</v>
      </c>
      <c r="R369" t="s">
        <v>25</v>
      </c>
      <c r="S369" t="s">
        <v>26</v>
      </c>
      <c r="T369" s="6">
        <v>46307</v>
      </c>
      <c r="U369">
        <v>36</v>
      </c>
      <c r="V369">
        <v>36</v>
      </c>
      <c r="W369">
        <v>36</v>
      </c>
      <c r="X369">
        <v>36</v>
      </c>
      <c r="Y369">
        <f t="shared" si="57"/>
        <v>0</v>
      </c>
      <c r="Z369">
        <f t="shared" si="58"/>
        <v>0</v>
      </c>
      <c r="AC369" s="1">
        <v>0</v>
      </c>
      <c r="AF369">
        <f t="shared" si="66"/>
        <v>36</v>
      </c>
      <c r="AG369" s="41">
        <v>12</v>
      </c>
      <c r="AH369">
        <f t="shared" si="59"/>
        <v>36</v>
      </c>
      <c r="AI369">
        <f t="shared" si="60"/>
        <v>0</v>
      </c>
      <c r="AK369">
        <f t="shared" si="61"/>
        <v>3</v>
      </c>
      <c r="AL369">
        <v>11.16</v>
      </c>
      <c r="AM369" t="s">
        <v>27</v>
      </c>
      <c r="AN369">
        <v>11.16</v>
      </c>
      <c r="AO369" t="b">
        <f t="shared" si="62"/>
        <v>1</v>
      </c>
      <c r="AR369" t="s">
        <v>5061</v>
      </c>
      <c r="AS369" s="21">
        <v>46276</v>
      </c>
      <c r="AT369" t="s">
        <v>5062</v>
      </c>
      <c r="AU369" t="s">
        <v>5071</v>
      </c>
      <c r="AV369" t="s">
        <v>5062</v>
      </c>
      <c r="AW369" t="s">
        <v>5086</v>
      </c>
    </row>
    <row r="370" spans="1:49" hidden="1" x14ac:dyDescent="0.35">
      <c r="A370" t="s">
        <v>871</v>
      </c>
      <c r="B370" t="s">
        <v>872</v>
      </c>
      <c r="C370" t="s">
        <v>4818</v>
      </c>
      <c r="D370" t="s">
        <v>18</v>
      </c>
      <c r="E370" t="s">
        <v>1925</v>
      </c>
      <c r="F370" t="s">
        <v>1926</v>
      </c>
      <c r="G370" t="s">
        <v>21</v>
      </c>
      <c r="H370" t="s">
        <v>4826</v>
      </c>
      <c r="I370" t="s">
        <v>4935</v>
      </c>
      <c r="J370" s="4" t="s">
        <v>4936</v>
      </c>
      <c r="K370" s="4" t="s">
        <v>4945</v>
      </c>
      <c r="L370" s="4" t="s">
        <v>4952</v>
      </c>
      <c r="M370" s="4" t="s">
        <v>5035</v>
      </c>
      <c r="N370" t="s">
        <v>15</v>
      </c>
      <c r="O370" t="s">
        <v>1927</v>
      </c>
      <c r="P370" t="s">
        <v>23</v>
      </c>
      <c r="Q370" t="s">
        <v>24</v>
      </c>
      <c r="R370" t="s">
        <v>25</v>
      </c>
      <c r="S370" t="s">
        <v>26</v>
      </c>
      <c r="T370" s="6">
        <v>46307</v>
      </c>
      <c r="U370">
        <v>12</v>
      </c>
      <c r="V370">
        <v>12</v>
      </c>
      <c r="W370">
        <v>12</v>
      </c>
      <c r="X370">
        <v>12</v>
      </c>
      <c r="Y370">
        <f t="shared" si="57"/>
        <v>0</v>
      </c>
      <c r="Z370">
        <f t="shared" si="58"/>
        <v>0</v>
      </c>
      <c r="AC370" s="1">
        <v>0</v>
      </c>
      <c r="AF370">
        <f t="shared" si="66"/>
        <v>12</v>
      </c>
      <c r="AG370" s="41">
        <v>12</v>
      </c>
      <c r="AH370">
        <f t="shared" si="59"/>
        <v>12</v>
      </c>
      <c r="AI370">
        <f t="shared" si="60"/>
        <v>0</v>
      </c>
      <c r="AK370">
        <f t="shared" si="61"/>
        <v>1</v>
      </c>
      <c r="AL370">
        <v>11.16</v>
      </c>
      <c r="AM370" t="s">
        <v>27</v>
      </c>
      <c r="AN370">
        <v>11.16</v>
      </c>
      <c r="AO370" t="b">
        <f t="shared" si="62"/>
        <v>1</v>
      </c>
      <c r="AR370" t="s">
        <v>5061</v>
      </c>
      <c r="AS370" s="21">
        <v>46276</v>
      </c>
      <c r="AT370" t="s">
        <v>5062</v>
      </c>
      <c r="AU370" t="s">
        <v>5071</v>
      </c>
      <c r="AV370" t="s">
        <v>5062</v>
      </c>
      <c r="AW370" t="s">
        <v>5086</v>
      </c>
    </row>
    <row r="371" spans="1:49" hidden="1" x14ac:dyDescent="0.35">
      <c r="A371" t="s">
        <v>871</v>
      </c>
      <c r="B371" t="s">
        <v>872</v>
      </c>
      <c r="C371" t="s">
        <v>4818</v>
      </c>
      <c r="D371" t="s">
        <v>18</v>
      </c>
      <c r="E371" t="s">
        <v>1928</v>
      </c>
      <c r="F371" t="s">
        <v>1929</v>
      </c>
      <c r="G371" t="s">
        <v>21</v>
      </c>
      <c r="H371" t="s">
        <v>4826</v>
      </c>
      <c r="I371" t="s">
        <v>4935</v>
      </c>
      <c r="J371" s="4" t="s">
        <v>4936</v>
      </c>
      <c r="K371" s="4" t="s">
        <v>4832</v>
      </c>
      <c r="L371" s="4" t="s">
        <v>4953</v>
      </c>
      <c r="M371" s="4" t="s">
        <v>5035</v>
      </c>
      <c r="N371" t="s">
        <v>15</v>
      </c>
      <c r="O371" t="s">
        <v>1930</v>
      </c>
      <c r="P371" t="s">
        <v>23</v>
      </c>
      <c r="Q371" t="s">
        <v>24</v>
      </c>
      <c r="R371" t="s">
        <v>25</v>
      </c>
      <c r="S371" t="s">
        <v>26</v>
      </c>
      <c r="T371" s="6">
        <v>46307</v>
      </c>
      <c r="U371">
        <v>108</v>
      </c>
      <c r="V371">
        <v>108</v>
      </c>
      <c r="W371">
        <v>96</v>
      </c>
      <c r="X371">
        <v>96</v>
      </c>
      <c r="Y371">
        <f t="shared" si="57"/>
        <v>0</v>
      </c>
      <c r="Z371">
        <f t="shared" si="58"/>
        <v>12</v>
      </c>
      <c r="AA371">
        <f t="shared" ref="AA371:AA374" si="67">Z371</f>
        <v>12</v>
      </c>
      <c r="AC371" s="1">
        <v>0</v>
      </c>
      <c r="AF371">
        <f>X371</f>
        <v>96</v>
      </c>
      <c r="AG371" s="41">
        <v>12</v>
      </c>
      <c r="AH371">
        <f t="shared" si="59"/>
        <v>96</v>
      </c>
      <c r="AI371">
        <f t="shared" si="60"/>
        <v>12</v>
      </c>
      <c r="AK371">
        <f t="shared" si="61"/>
        <v>8</v>
      </c>
      <c r="AL371">
        <v>11.16</v>
      </c>
      <c r="AM371" t="s">
        <v>27</v>
      </c>
      <c r="AN371">
        <v>11.16</v>
      </c>
      <c r="AO371" t="b">
        <f t="shared" si="62"/>
        <v>1</v>
      </c>
      <c r="AR371" t="s">
        <v>5061</v>
      </c>
      <c r="AS371" s="21">
        <v>46276</v>
      </c>
      <c r="AT371" t="s">
        <v>5062</v>
      </c>
      <c r="AU371" t="s">
        <v>5071</v>
      </c>
      <c r="AV371" t="s">
        <v>5062</v>
      </c>
      <c r="AW371" t="s">
        <v>5086</v>
      </c>
    </row>
    <row r="372" spans="1:49" hidden="1" x14ac:dyDescent="0.35">
      <c r="A372" t="s">
        <v>871</v>
      </c>
      <c r="B372" t="s">
        <v>872</v>
      </c>
      <c r="C372" t="s">
        <v>4818</v>
      </c>
      <c r="D372" t="s">
        <v>18</v>
      </c>
      <c r="E372" t="s">
        <v>1931</v>
      </c>
      <c r="F372" t="s">
        <v>1932</v>
      </c>
      <c r="G372" t="s">
        <v>21</v>
      </c>
      <c r="H372" t="s">
        <v>4826</v>
      </c>
      <c r="I372" t="s">
        <v>4935</v>
      </c>
      <c r="J372" s="4" t="s">
        <v>4936</v>
      </c>
      <c r="K372" s="4" t="s">
        <v>4837</v>
      </c>
      <c r="L372" s="4" t="s">
        <v>4954</v>
      </c>
      <c r="M372" s="4" t="s">
        <v>5035</v>
      </c>
      <c r="N372" t="s">
        <v>15</v>
      </c>
      <c r="O372" t="s">
        <v>1933</v>
      </c>
      <c r="P372" t="s">
        <v>23</v>
      </c>
      <c r="Q372" t="s">
        <v>24</v>
      </c>
      <c r="R372" t="s">
        <v>25</v>
      </c>
      <c r="S372" t="s">
        <v>26</v>
      </c>
      <c r="T372" s="6">
        <v>46307</v>
      </c>
      <c r="U372">
        <v>132</v>
      </c>
      <c r="V372">
        <v>132</v>
      </c>
      <c r="W372">
        <v>120</v>
      </c>
      <c r="X372">
        <v>120</v>
      </c>
      <c r="Y372">
        <f t="shared" si="57"/>
        <v>0</v>
      </c>
      <c r="Z372">
        <f t="shared" si="58"/>
        <v>12</v>
      </c>
      <c r="AA372">
        <f t="shared" si="67"/>
        <v>12</v>
      </c>
      <c r="AC372" s="1">
        <v>0</v>
      </c>
      <c r="AF372">
        <f>X372</f>
        <v>120</v>
      </c>
      <c r="AG372" s="41">
        <v>12</v>
      </c>
      <c r="AH372">
        <f t="shared" si="59"/>
        <v>120</v>
      </c>
      <c r="AI372">
        <f t="shared" si="60"/>
        <v>12</v>
      </c>
      <c r="AK372">
        <f t="shared" si="61"/>
        <v>10</v>
      </c>
      <c r="AL372">
        <v>11.16</v>
      </c>
      <c r="AM372" t="s">
        <v>27</v>
      </c>
      <c r="AN372">
        <v>11.16</v>
      </c>
      <c r="AO372" t="b">
        <f t="shared" si="62"/>
        <v>1</v>
      </c>
      <c r="AR372" t="s">
        <v>5061</v>
      </c>
      <c r="AS372" s="21">
        <v>46276</v>
      </c>
      <c r="AT372" t="s">
        <v>5062</v>
      </c>
      <c r="AU372" t="s">
        <v>5071</v>
      </c>
      <c r="AV372" t="s">
        <v>5062</v>
      </c>
      <c r="AW372" t="s">
        <v>5086</v>
      </c>
    </row>
    <row r="373" spans="1:49" hidden="1" x14ac:dyDescent="0.35">
      <c r="A373" t="s">
        <v>871</v>
      </c>
      <c r="B373" t="s">
        <v>872</v>
      </c>
      <c r="C373" t="s">
        <v>4818</v>
      </c>
      <c r="D373" t="s">
        <v>18</v>
      </c>
      <c r="E373" t="s">
        <v>1934</v>
      </c>
      <c r="F373" t="s">
        <v>1935</v>
      </c>
      <c r="G373" t="s">
        <v>21</v>
      </c>
      <c r="H373" t="s">
        <v>4826</v>
      </c>
      <c r="I373" t="s">
        <v>4935</v>
      </c>
      <c r="J373" s="4" t="s">
        <v>4936</v>
      </c>
      <c r="K373" s="4" t="s">
        <v>4832</v>
      </c>
      <c r="L373" s="4" t="s">
        <v>4951</v>
      </c>
      <c r="M373" s="4" t="s">
        <v>5035</v>
      </c>
      <c r="N373" t="s">
        <v>15</v>
      </c>
      <c r="O373" t="s">
        <v>1936</v>
      </c>
      <c r="P373" t="s">
        <v>23</v>
      </c>
      <c r="Q373" t="s">
        <v>24</v>
      </c>
      <c r="R373" t="s">
        <v>25</v>
      </c>
      <c r="S373" t="s">
        <v>26</v>
      </c>
      <c r="T373" s="6">
        <v>46307</v>
      </c>
      <c r="U373">
        <v>192</v>
      </c>
      <c r="V373">
        <v>192</v>
      </c>
      <c r="W373">
        <v>168</v>
      </c>
      <c r="X373">
        <v>168</v>
      </c>
      <c r="Y373">
        <f t="shared" si="57"/>
        <v>0</v>
      </c>
      <c r="Z373">
        <f t="shared" si="58"/>
        <v>24</v>
      </c>
      <c r="AA373">
        <f t="shared" si="67"/>
        <v>24</v>
      </c>
      <c r="AC373" s="1">
        <v>0</v>
      </c>
      <c r="AF373">
        <f>X373</f>
        <v>168</v>
      </c>
      <c r="AG373" s="41">
        <v>12</v>
      </c>
      <c r="AH373">
        <f t="shared" si="59"/>
        <v>168</v>
      </c>
      <c r="AI373">
        <f t="shared" si="60"/>
        <v>24</v>
      </c>
      <c r="AK373">
        <f t="shared" si="61"/>
        <v>14</v>
      </c>
      <c r="AL373">
        <v>11.16</v>
      </c>
      <c r="AM373" t="s">
        <v>27</v>
      </c>
      <c r="AN373">
        <v>11.16</v>
      </c>
      <c r="AO373" t="b">
        <f t="shared" si="62"/>
        <v>1</v>
      </c>
      <c r="AR373" t="s">
        <v>5061</v>
      </c>
      <c r="AS373" s="21">
        <v>46276</v>
      </c>
      <c r="AT373" t="s">
        <v>5062</v>
      </c>
      <c r="AU373" t="s">
        <v>5071</v>
      </c>
      <c r="AV373" t="s">
        <v>5062</v>
      </c>
      <c r="AW373" t="s">
        <v>5086</v>
      </c>
    </row>
    <row r="374" spans="1:49" hidden="1" x14ac:dyDescent="0.35">
      <c r="A374" t="s">
        <v>871</v>
      </c>
      <c r="B374" t="s">
        <v>872</v>
      </c>
      <c r="C374" t="s">
        <v>4818</v>
      </c>
      <c r="D374" t="s">
        <v>18</v>
      </c>
      <c r="E374" t="s">
        <v>1937</v>
      </c>
      <c r="F374" t="s">
        <v>1938</v>
      </c>
      <c r="G374" t="s">
        <v>21</v>
      </c>
      <c r="H374" t="s">
        <v>4826</v>
      </c>
      <c r="I374" t="s">
        <v>4935</v>
      </c>
      <c r="J374" s="4" t="s">
        <v>4936</v>
      </c>
      <c r="K374" s="4" t="s">
        <v>4945</v>
      </c>
      <c r="L374" s="4" t="s">
        <v>4940</v>
      </c>
      <c r="M374" s="4" t="s">
        <v>5035</v>
      </c>
      <c r="N374" t="s">
        <v>15</v>
      </c>
      <c r="O374" t="s">
        <v>1939</v>
      </c>
      <c r="P374" t="s">
        <v>23</v>
      </c>
      <c r="Q374" t="s">
        <v>24</v>
      </c>
      <c r="R374" t="s">
        <v>25</v>
      </c>
      <c r="S374" t="s">
        <v>26</v>
      </c>
      <c r="T374" s="6">
        <v>46307</v>
      </c>
      <c r="U374">
        <v>72</v>
      </c>
      <c r="V374">
        <v>72</v>
      </c>
      <c r="W374">
        <v>60</v>
      </c>
      <c r="X374">
        <v>60</v>
      </c>
      <c r="Y374">
        <f t="shared" si="57"/>
        <v>0</v>
      </c>
      <c r="Z374">
        <f t="shared" si="58"/>
        <v>12</v>
      </c>
      <c r="AA374">
        <f t="shared" si="67"/>
        <v>12</v>
      </c>
      <c r="AC374" s="1">
        <v>0</v>
      </c>
      <c r="AF374">
        <f>X374</f>
        <v>60</v>
      </c>
      <c r="AG374" s="41">
        <v>12</v>
      </c>
      <c r="AH374">
        <f t="shared" si="59"/>
        <v>60</v>
      </c>
      <c r="AI374">
        <f t="shared" si="60"/>
        <v>12</v>
      </c>
      <c r="AK374">
        <f t="shared" si="61"/>
        <v>5</v>
      </c>
      <c r="AL374">
        <v>11.16</v>
      </c>
      <c r="AM374" t="s">
        <v>27</v>
      </c>
      <c r="AN374">
        <v>11.16</v>
      </c>
      <c r="AO374" t="b">
        <f t="shared" si="62"/>
        <v>1</v>
      </c>
      <c r="AR374" t="s">
        <v>5061</v>
      </c>
      <c r="AS374" s="21">
        <v>46276</v>
      </c>
      <c r="AT374" t="s">
        <v>5062</v>
      </c>
      <c r="AU374" t="s">
        <v>5071</v>
      </c>
      <c r="AV374" t="s">
        <v>5062</v>
      </c>
      <c r="AW374" t="s">
        <v>5086</v>
      </c>
    </row>
    <row r="375" spans="1:49" hidden="1" x14ac:dyDescent="0.35">
      <c r="A375" t="s">
        <v>871</v>
      </c>
      <c r="B375" t="s">
        <v>872</v>
      </c>
      <c r="C375" t="s">
        <v>4818</v>
      </c>
      <c r="D375" t="s">
        <v>18</v>
      </c>
      <c r="E375" t="s">
        <v>1940</v>
      </c>
      <c r="F375" t="s">
        <v>1941</v>
      </c>
      <c r="G375" t="s">
        <v>21</v>
      </c>
      <c r="H375" t="s">
        <v>4826</v>
      </c>
      <c r="I375" t="s">
        <v>4935</v>
      </c>
      <c r="J375" s="4" t="s">
        <v>4936</v>
      </c>
      <c r="K375" s="4" t="s">
        <v>4937</v>
      </c>
      <c r="L375" s="4" t="s">
        <v>4953</v>
      </c>
      <c r="M375" s="4" t="s">
        <v>5035</v>
      </c>
      <c r="N375" t="s">
        <v>15</v>
      </c>
      <c r="O375" t="s">
        <v>1942</v>
      </c>
      <c r="P375" t="s">
        <v>23</v>
      </c>
      <c r="Q375" t="s">
        <v>24</v>
      </c>
      <c r="R375" t="s">
        <v>25</v>
      </c>
      <c r="S375" t="s">
        <v>26</v>
      </c>
      <c r="T375" s="6">
        <v>46307</v>
      </c>
      <c r="U375">
        <v>36</v>
      </c>
      <c r="V375">
        <v>36</v>
      </c>
      <c r="W375">
        <v>36</v>
      </c>
      <c r="X375">
        <v>36</v>
      </c>
      <c r="Y375">
        <f t="shared" si="57"/>
        <v>0</v>
      </c>
      <c r="Z375">
        <f t="shared" si="58"/>
        <v>0</v>
      </c>
      <c r="AC375" s="1">
        <v>0</v>
      </c>
      <c r="AF375">
        <f>V375</f>
        <v>36</v>
      </c>
      <c r="AG375" s="41">
        <v>12</v>
      </c>
      <c r="AH375">
        <f t="shared" si="59"/>
        <v>36</v>
      </c>
      <c r="AI375">
        <f t="shared" si="60"/>
        <v>0</v>
      </c>
      <c r="AK375">
        <f t="shared" si="61"/>
        <v>3</v>
      </c>
      <c r="AL375">
        <v>11.16</v>
      </c>
      <c r="AM375" t="s">
        <v>27</v>
      </c>
      <c r="AN375">
        <v>11.16</v>
      </c>
      <c r="AO375" t="b">
        <f t="shared" si="62"/>
        <v>1</v>
      </c>
      <c r="AR375" t="s">
        <v>5061</v>
      </c>
      <c r="AS375" s="21">
        <v>46276</v>
      </c>
      <c r="AT375" t="s">
        <v>5062</v>
      </c>
      <c r="AU375" t="s">
        <v>5071</v>
      </c>
      <c r="AV375" t="s">
        <v>5062</v>
      </c>
      <c r="AW375" t="s">
        <v>5086</v>
      </c>
    </row>
    <row r="376" spans="1:49" hidden="1" x14ac:dyDescent="0.35">
      <c r="A376" t="s">
        <v>871</v>
      </c>
      <c r="B376" t="s">
        <v>872</v>
      </c>
      <c r="C376" t="s">
        <v>4818</v>
      </c>
      <c r="D376" t="s">
        <v>18</v>
      </c>
      <c r="E376" t="s">
        <v>1943</v>
      </c>
      <c r="F376" t="s">
        <v>1944</v>
      </c>
      <c r="G376" t="s">
        <v>21</v>
      </c>
      <c r="H376" t="s">
        <v>4826</v>
      </c>
      <c r="I376" t="s">
        <v>4935</v>
      </c>
      <c r="J376" s="4" t="s">
        <v>4936</v>
      </c>
      <c r="K376" s="4" t="s">
        <v>4945</v>
      </c>
      <c r="L376" s="4" t="s">
        <v>4955</v>
      </c>
      <c r="M376" s="4" t="s">
        <v>5035</v>
      </c>
      <c r="N376" t="s">
        <v>15</v>
      </c>
      <c r="O376" t="s">
        <v>1945</v>
      </c>
      <c r="P376" t="s">
        <v>23</v>
      </c>
      <c r="Q376" t="s">
        <v>24</v>
      </c>
      <c r="R376" t="s">
        <v>25</v>
      </c>
      <c r="S376" t="s">
        <v>26</v>
      </c>
      <c r="T376" s="6">
        <v>46307</v>
      </c>
      <c r="U376">
        <v>12</v>
      </c>
      <c r="V376">
        <v>12</v>
      </c>
      <c r="W376">
        <v>12</v>
      </c>
      <c r="X376">
        <v>12</v>
      </c>
      <c r="Y376">
        <f t="shared" si="57"/>
        <v>0</v>
      </c>
      <c r="Z376">
        <f t="shared" si="58"/>
        <v>0</v>
      </c>
      <c r="AC376" s="1">
        <v>0</v>
      </c>
      <c r="AF376">
        <f>V376</f>
        <v>12</v>
      </c>
      <c r="AG376" s="41">
        <v>12</v>
      </c>
      <c r="AH376">
        <f t="shared" si="59"/>
        <v>12</v>
      </c>
      <c r="AI376">
        <f t="shared" si="60"/>
        <v>0</v>
      </c>
      <c r="AK376">
        <f t="shared" si="61"/>
        <v>1</v>
      </c>
      <c r="AL376">
        <v>11.16</v>
      </c>
      <c r="AM376" t="s">
        <v>27</v>
      </c>
      <c r="AN376">
        <v>11.16</v>
      </c>
      <c r="AO376" t="b">
        <f t="shared" si="62"/>
        <v>1</v>
      </c>
      <c r="AR376" t="s">
        <v>5061</v>
      </c>
      <c r="AS376" s="21">
        <v>46276</v>
      </c>
      <c r="AT376" t="s">
        <v>5062</v>
      </c>
      <c r="AU376" t="s">
        <v>5071</v>
      </c>
      <c r="AV376" t="s">
        <v>5062</v>
      </c>
      <c r="AW376" t="s">
        <v>5086</v>
      </c>
    </row>
    <row r="377" spans="1:49" hidden="1" x14ac:dyDescent="0.35">
      <c r="A377" t="s">
        <v>871</v>
      </c>
      <c r="B377" t="s">
        <v>872</v>
      </c>
      <c r="C377" t="s">
        <v>4818</v>
      </c>
      <c r="D377" t="s">
        <v>18</v>
      </c>
      <c r="E377" t="s">
        <v>1946</v>
      </c>
      <c r="F377" t="s">
        <v>1947</v>
      </c>
      <c r="G377" t="s">
        <v>21</v>
      </c>
      <c r="H377" t="s">
        <v>4826</v>
      </c>
      <c r="I377" t="s">
        <v>4935</v>
      </c>
      <c r="J377" s="4" t="s">
        <v>4936</v>
      </c>
      <c r="K377" s="4" t="s">
        <v>4945</v>
      </c>
      <c r="L377" s="4" t="s">
        <v>4956</v>
      </c>
      <c r="M377" s="4" t="s">
        <v>5035</v>
      </c>
      <c r="N377" t="s">
        <v>15</v>
      </c>
      <c r="O377" t="s">
        <v>1948</v>
      </c>
      <c r="P377" t="s">
        <v>23</v>
      </c>
      <c r="Q377" t="s">
        <v>24</v>
      </c>
      <c r="R377" t="s">
        <v>25</v>
      </c>
      <c r="S377" t="s">
        <v>26</v>
      </c>
      <c r="T377" s="6">
        <v>46307</v>
      </c>
      <c r="U377">
        <v>48</v>
      </c>
      <c r="V377">
        <v>48</v>
      </c>
      <c r="W377">
        <v>48</v>
      </c>
      <c r="X377">
        <v>48</v>
      </c>
      <c r="Y377">
        <f t="shared" si="57"/>
        <v>0</v>
      </c>
      <c r="Z377">
        <f t="shared" si="58"/>
        <v>0</v>
      </c>
      <c r="AC377" s="1">
        <v>0</v>
      </c>
      <c r="AF377">
        <f>V377</f>
        <v>48</v>
      </c>
      <c r="AG377" s="41">
        <v>12</v>
      </c>
      <c r="AH377">
        <f t="shared" si="59"/>
        <v>48</v>
      </c>
      <c r="AI377">
        <f t="shared" si="60"/>
        <v>0</v>
      </c>
      <c r="AK377">
        <f t="shared" si="61"/>
        <v>4</v>
      </c>
      <c r="AL377">
        <v>11.16</v>
      </c>
      <c r="AM377" t="s">
        <v>27</v>
      </c>
      <c r="AN377">
        <v>11.16</v>
      </c>
      <c r="AO377" t="b">
        <f t="shared" si="62"/>
        <v>1</v>
      </c>
      <c r="AR377" t="s">
        <v>5061</v>
      </c>
      <c r="AS377" s="21">
        <v>46276</v>
      </c>
      <c r="AT377" t="s">
        <v>5062</v>
      </c>
      <c r="AU377" t="s">
        <v>5071</v>
      </c>
      <c r="AV377" t="s">
        <v>5062</v>
      </c>
      <c r="AW377" t="s">
        <v>5086</v>
      </c>
    </row>
    <row r="378" spans="1:49" hidden="1" x14ac:dyDescent="0.35">
      <c r="A378" t="s">
        <v>871</v>
      </c>
      <c r="B378" t="s">
        <v>872</v>
      </c>
      <c r="C378" t="s">
        <v>4818</v>
      </c>
      <c r="D378" t="s">
        <v>18</v>
      </c>
      <c r="E378" t="s">
        <v>1949</v>
      </c>
      <c r="F378" t="s">
        <v>1950</v>
      </c>
      <c r="G378" t="s">
        <v>21</v>
      </c>
      <c r="H378" t="s">
        <v>4826</v>
      </c>
      <c r="I378" t="s">
        <v>4935</v>
      </c>
      <c r="J378" s="4" t="s">
        <v>4936</v>
      </c>
      <c r="K378" s="4" t="s">
        <v>4957</v>
      </c>
      <c r="L378" s="4" t="s">
        <v>4939</v>
      </c>
      <c r="M378" s="4" t="s">
        <v>5035</v>
      </c>
      <c r="N378" t="s">
        <v>15</v>
      </c>
      <c r="O378" t="s">
        <v>1951</v>
      </c>
      <c r="P378" t="s">
        <v>23</v>
      </c>
      <c r="Q378" t="s">
        <v>24</v>
      </c>
      <c r="R378" t="s">
        <v>25</v>
      </c>
      <c r="S378" t="s">
        <v>26</v>
      </c>
      <c r="T378" s="6">
        <v>46307</v>
      </c>
      <c r="U378">
        <v>48</v>
      </c>
      <c r="V378">
        <v>48</v>
      </c>
      <c r="W378">
        <v>36</v>
      </c>
      <c r="X378">
        <v>36</v>
      </c>
      <c r="Y378">
        <f t="shared" si="57"/>
        <v>0</v>
      </c>
      <c r="Z378">
        <f t="shared" si="58"/>
        <v>12</v>
      </c>
      <c r="AA378">
        <f>Z378</f>
        <v>12</v>
      </c>
      <c r="AC378" s="1">
        <v>0</v>
      </c>
      <c r="AF378">
        <f>X378</f>
        <v>36</v>
      </c>
      <c r="AG378" s="41">
        <v>12</v>
      </c>
      <c r="AH378">
        <f t="shared" si="59"/>
        <v>36</v>
      </c>
      <c r="AI378">
        <f t="shared" si="60"/>
        <v>12</v>
      </c>
      <c r="AK378">
        <f t="shared" si="61"/>
        <v>3</v>
      </c>
      <c r="AL378">
        <v>11.27</v>
      </c>
      <c r="AM378" t="s">
        <v>27</v>
      </c>
      <c r="AN378">
        <v>11.27</v>
      </c>
      <c r="AO378" t="b">
        <f t="shared" si="62"/>
        <v>1</v>
      </c>
      <c r="AR378" t="s">
        <v>5061</v>
      </c>
      <c r="AS378" s="21">
        <v>46276</v>
      </c>
      <c r="AT378" t="s">
        <v>5062</v>
      </c>
      <c r="AU378" t="s">
        <v>5071</v>
      </c>
      <c r="AV378" t="s">
        <v>5062</v>
      </c>
      <c r="AW378" t="s">
        <v>5086</v>
      </c>
    </row>
    <row r="379" spans="1:49" hidden="1" x14ac:dyDescent="0.35">
      <c r="A379" t="s">
        <v>871</v>
      </c>
      <c r="B379" t="s">
        <v>872</v>
      </c>
      <c r="C379" t="s">
        <v>4818</v>
      </c>
      <c r="D379" t="s">
        <v>18</v>
      </c>
      <c r="E379" t="s">
        <v>1952</v>
      </c>
      <c r="F379" t="s">
        <v>1953</v>
      </c>
      <c r="G379" t="s">
        <v>21</v>
      </c>
      <c r="H379" t="s">
        <v>4826</v>
      </c>
      <c r="I379" t="s">
        <v>4935</v>
      </c>
      <c r="J379" s="4" t="s">
        <v>4936</v>
      </c>
      <c r="K379" s="4" t="s">
        <v>4937</v>
      </c>
      <c r="L379" s="4" t="s">
        <v>4958</v>
      </c>
      <c r="M379" s="4" t="s">
        <v>5035</v>
      </c>
      <c r="N379" t="s">
        <v>15</v>
      </c>
      <c r="O379" t="s">
        <v>1954</v>
      </c>
      <c r="P379" t="s">
        <v>23</v>
      </c>
      <c r="Q379" t="s">
        <v>24</v>
      </c>
      <c r="R379" t="s">
        <v>25</v>
      </c>
      <c r="S379" t="s">
        <v>26</v>
      </c>
      <c r="T379" s="6">
        <v>46307</v>
      </c>
      <c r="U379">
        <v>228</v>
      </c>
      <c r="V379">
        <v>228</v>
      </c>
      <c r="W379">
        <v>252</v>
      </c>
      <c r="X379">
        <v>252</v>
      </c>
      <c r="Y379">
        <f t="shared" si="57"/>
        <v>0</v>
      </c>
      <c r="Z379">
        <f t="shared" si="58"/>
        <v>-24</v>
      </c>
      <c r="AC379" s="1">
        <v>0</v>
      </c>
      <c r="AF379">
        <f>V379</f>
        <v>228</v>
      </c>
      <c r="AG379" s="41">
        <v>12</v>
      </c>
      <c r="AH379">
        <f t="shared" si="59"/>
        <v>228</v>
      </c>
      <c r="AI379">
        <f t="shared" si="60"/>
        <v>0</v>
      </c>
      <c r="AK379">
        <f t="shared" si="61"/>
        <v>19</v>
      </c>
      <c r="AL379">
        <v>11.16</v>
      </c>
      <c r="AM379" t="s">
        <v>27</v>
      </c>
      <c r="AN379">
        <v>11.16</v>
      </c>
      <c r="AO379" t="b">
        <f t="shared" si="62"/>
        <v>1</v>
      </c>
      <c r="AR379" t="s">
        <v>5061</v>
      </c>
      <c r="AS379" s="21">
        <v>46276</v>
      </c>
      <c r="AT379" t="s">
        <v>5062</v>
      </c>
      <c r="AU379" t="s">
        <v>5071</v>
      </c>
      <c r="AV379" t="s">
        <v>5062</v>
      </c>
      <c r="AW379" t="s">
        <v>5086</v>
      </c>
    </row>
    <row r="380" spans="1:49" hidden="1" x14ac:dyDescent="0.35">
      <c r="A380" t="s">
        <v>871</v>
      </c>
      <c r="B380" t="s">
        <v>872</v>
      </c>
      <c r="C380" t="s">
        <v>4818</v>
      </c>
      <c r="D380" t="s">
        <v>18</v>
      </c>
      <c r="E380" t="s">
        <v>1955</v>
      </c>
      <c r="F380" t="s">
        <v>1956</v>
      </c>
      <c r="G380" t="s">
        <v>21</v>
      </c>
      <c r="H380" t="s">
        <v>4826</v>
      </c>
      <c r="I380" t="s">
        <v>4935</v>
      </c>
      <c r="J380" s="4" t="s">
        <v>4936</v>
      </c>
      <c r="K380" s="4" t="s">
        <v>4837</v>
      </c>
      <c r="L380" s="4" t="s">
        <v>4959</v>
      </c>
      <c r="M380" s="4" t="s">
        <v>5035</v>
      </c>
      <c r="N380" t="s">
        <v>15</v>
      </c>
      <c r="O380" t="s">
        <v>1957</v>
      </c>
      <c r="P380" t="s">
        <v>23</v>
      </c>
      <c r="Q380" t="s">
        <v>24</v>
      </c>
      <c r="R380" t="s">
        <v>25</v>
      </c>
      <c r="S380" t="s">
        <v>26</v>
      </c>
      <c r="T380" s="6">
        <v>46307</v>
      </c>
      <c r="U380">
        <v>96</v>
      </c>
      <c r="V380">
        <v>96</v>
      </c>
      <c r="W380">
        <v>84</v>
      </c>
      <c r="X380">
        <v>84</v>
      </c>
      <c r="Y380">
        <f t="shared" si="57"/>
        <v>0</v>
      </c>
      <c r="Z380">
        <f t="shared" si="58"/>
        <v>12</v>
      </c>
      <c r="AA380">
        <f t="shared" ref="AA380:AA382" si="68">Z380</f>
        <v>12</v>
      </c>
      <c r="AC380" s="1">
        <v>0</v>
      </c>
      <c r="AF380">
        <f>X380</f>
        <v>84</v>
      </c>
      <c r="AG380" s="41">
        <v>12</v>
      </c>
      <c r="AH380">
        <f t="shared" si="59"/>
        <v>84</v>
      </c>
      <c r="AI380">
        <f t="shared" si="60"/>
        <v>12</v>
      </c>
      <c r="AK380">
        <f t="shared" si="61"/>
        <v>7</v>
      </c>
      <c r="AL380">
        <v>11.16</v>
      </c>
      <c r="AM380" t="s">
        <v>27</v>
      </c>
      <c r="AN380">
        <v>11.16</v>
      </c>
      <c r="AO380" t="b">
        <f t="shared" si="62"/>
        <v>1</v>
      </c>
      <c r="AR380" t="s">
        <v>5061</v>
      </c>
      <c r="AS380" s="21">
        <v>46276</v>
      </c>
      <c r="AT380" t="s">
        <v>5062</v>
      </c>
      <c r="AU380" t="s">
        <v>5071</v>
      </c>
      <c r="AV380" t="s">
        <v>5062</v>
      </c>
      <c r="AW380" t="s">
        <v>5086</v>
      </c>
    </row>
    <row r="381" spans="1:49" hidden="1" x14ac:dyDescent="0.35">
      <c r="A381" t="s">
        <v>871</v>
      </c>
      <c r="B381" t="s">
        <v>872</v>
      </c>
      <c r="C381" t="s">
        <v>4818</v>
      </c>
      <c r="D381" t="s">
        <v>18</v>
      </c>
      <c r="E381" t="s">
        <v>1958</v>
      </c>
      <c r="F381" t="s">
        <v>1959</v>
      </c>
      <c r="G381" t="s">
        <v>21</v>
      </c>
      <c r="H381" t="s">
        <v>4826</v>
      </c>
      <c r="I381" t="s">
        <v>4935</v>
      </c>
      <c r="J381" s="4" t="s">
        <v>4936</v>
      </c>
      <c r="K381" s="4" t="s">
        <v>4957</v>
      </c>
      <c r="L381" s="4" t="s">
        <v>4960</v>
      </c>
      <c r="M381" s="4" t="s">
        <v>5035</v>
      </c>
      <c r="N381" t="s">
        <v>15</v>
      </c>
      <c r="O381" t="s">
        <v>1960</v>
      </c>
      <c r="P381" t="s">
        <v>23</v>
      </c>
      <c r="Q381" t="s">
        <v>24</v>
      </c>
      <c r="R381" t="s">
        <v>25</v>
      </c>
      <c r="S381" t="s">
        <v>26</v>
      </c>
      <c r="T381" s="6">
        <v>46307</v>
      </c>
      <c r="U381">
        <v>240</v>
      </c>
      <c r="V381">
        <v>240</v>
      </c>
      <c r="W381">
        <v>216</v>
      </c>
      <c r="X381">
        <v>216</v>
      </c>
      <c r="Y381">
        <f t="shared" si="57"/>
        <v>0</v>
      </c>
      <c r="Z381">
        <f t="shared" si="58"/>
        <v>24</v>
      </c>
      <c r="AA381">
        <f t="shared" si="68"/>
        <v>24</v>
      </c>
      <c r="AC381" s="1">
        <v>0</v>
      </c>
      <c r="AF381">
        <f>X381</f>
        <v>216</v>
      </c>
      <c r="AG381" s="41">
        <v>12</v>
      </c>
      <c r="AH381">
        <f t="shared" si="59"/>
        <v>216</v>
      </c>
      <c r="AI381">
        <f t="shared" si="60"/>
        <v>24</v>
      </c>
      <c r="AK381">
        <f t="shared" si="61"/>
        <v>18</v>
      </c>
      <c r="AL381">
        <v>11.27</v>
      </c>
      <c r="AM381" t="s">
        <v>27</v>
      </c>
      <c r="AN381">
        <v>11.27</v>
      </c>
      <c r="AO381" t="b">
        <f t="shared" si="62"/>
        <v>1</v>
      </c>
      <c r="AR381" t="s">
        <v>5061</v>
      </c>
      <c r="AS381" s="21">
        <v>46276</v>
      </c>
      <c r="AT381" t="s">
        <v>5062</v>
      </c>
      <c r="AU381" t="s">
        <v>5071</v>
      </c>
      <c r="AV381" t="s">
        <v>5062</v>
      </c>
      <c r="AW381" t="s">
        <v>5086</v>
      </c>
    </row>
    <row r="382" spans="1:49" hidden="1" x14ac:dyDescent="0.35">
      <c r="A382" t="s">
        <v>871</v>
      </c>
      <c r="B382" t="s">
        <v>872</v>
      </c>
      <c r="C382" t="s">
        <v>4818</v>
      </c>
      <c r="D382" t="s">
        <v>18</v>
      </c>
      <c r="E382" t="s">
        <v>1961</v>
      </c>
      <c r="F382" t="s">
        <v>1962</v>
      </c>
      <c r="G382" t="s">
        <v>21</v>
      </c>
      <c r="H382" t="s">
        <v>4826</v>
      </c>
      <c r="I382" t="s">
        <v>4935</v>
      </c>
      <c r="J382" s="4" t="s">
        <v>4936</v>
      </c>
      <c r="K382" s="4" t="s">
        <v>4832</v>
      </c>
      <c r="L382" s="4" t="s">
        <v>4961</v>
      </c>
      <c r="M382" s="4" t="s">
        <v>5035</v>
      </c>
      <c r="N382" t="s">
        <v>15</v>
      </c>
      <c r="O382" t="s">
        <v>1963</v>
      </c>
      <c r="P382" t="s">
        <v>23</v>
      </c>
      <c r="Q382" t="s">
        <v>24</v>
      </c>
      <c r="R382" t="s">
        <v>25</v>
      </c>
      <c r="S382" t="s">
        <v>26</v>
      </c>
      <c r="T382" s="6">
        <v>46307</v>
      </c>
      <c r="U382">
        <v>96</v>
      </c>
      <c r="V382">
        <v>96</v>
      </c>
      <c r="W382">
        <v>84</v>
      </c>
      <c r="X382">
        <v>84</v>
      </c>
      <c r="Y382">
        <f t="shared" si="57"/>
        <v>0</v>
      </c>
      <c r="Z382">
        <f t="shared" si="58"/>
        <v>12</v>
      </c>
      <c r="AA382">
        <f t="shared" si="68"/>
        <v>12</v>
      </c>
      <c r="AC382" s="1">
        <v>0</v>
      </c>
      <c r="AF382">
        <f>X382</f>
        <v>84</v>
      </c>
      <c r="AG382" s="41">
        <v>12</v>
      </c>
      <c r="AH382">
        <f t="shared" si="59"/>
        <v>84</v>
      </c>
      <c r="AI382">
        <f t="shared" si="60"/>
        <v>12</v>
      </c>
      <c r="AK382">
        <f t="shared" si="61"/>
        <v>7</v>
      </c>
      <c r="AL382">
        <v>11.16</v>
      </c>
      <c r="AM382" t="s">
        <v>27</v>
      </c>
      <c r="AN382">
        <v>11.16</v>
      </c>
      <c r="AO382" t="b">
        <f t="shared" si="62"/>
        <v>1</v>
      </c>
      <c r="AR382" t="s">
        <v>5061</v>
      </c>
      <c r="AS382" s="21">
        <v>46276</v>
      </c>
      <c r="AT382" t="s">
        <v>5062</v>
      </c>
      <c r="AU382" t="s">
        <v>5071</v>
      </c>
      <c r="AV382" t="s">
        <v>5062</v>
      </c>
      <c r="AW382" t="s">
        <v>5086</v>
      </c>
    </row>
    <row r="383" spans="1:49" hidden="1" x14ac:dyDescent="0.35">
      <c r="A383" t="s">
        <v>871</v>
      </c>
      <c r="B383" t="s">
        <v>872</v>
      </c>
      <c r="C383" t="s">
        <v>4818</v>
      </c>
      <c r="D383" t="s">
        <v>18</v>
      </c>
      <c r="E383" t="s">
        <v>1964</v>
      </c>
      <c r="F383" t="s">
        <v>1965</v>
      </c>
      <c r="G383" t="s">
        <v>21</v>
      </c>
      <c r="H383" t="s">
        <v>4826</v>
      </c>
      <c r="I383" t="s">
        <v>4935</v>
      </c>
      <c r="J383" s="4" t="s">
        <v>4936</v>
      </c>
      <c r="K383" s="4" t="s">
        <v>4945</v>
      </c>
      <c r="L383" s="4" t="s">
        <v>4962</v>
      </c>
      <c r="M383" s="4" t="s">
        <v>5035</v>
      </c>
      <c r="N383" t="s">
        <v>15</v>
      </c>
      <c r="O383" t="s">
        <v>1966</v>
      </c>
      <c r="P383" t="s">
        <v>23</v>
      </c>
      <c r="Q383" t="s">
        <v>24</v>
      </c>
      <c r="R383" t="s">
        <v>25</v>
      </c>
      <c r="S383" t="s">
        <v>26</v>
      </c>
      <c r="T383" s="6">
        <v>46307</v>
      </c>
      <c r="U383">
        <v>36</v>
      </c>
      <c r="V383">
        <v>36</v>
      </c>
      <c r="W383">
        <v>36</v>
      </c>
      <c r="X383">
        <v>36</v>
      </c>
      <c r="Y383">
        <f t="shared" si="57"/>
        <v>0</v>
      </c>
      <c r="Z383">
        <f t="shared" si="58"/>
        <v>0</v>
      </c>
      <c r="AC383" s="1">
        <v>0</v>
      </c>
      <c r="AF383">
        <f>V383</f>
        <v>36</v>
      </c>
      <c r="AG383" s="41">
        <v>12</v>
      </c>
      <c r="AH383">
        <f t="shared" si="59"/>
        <v>36</v>
      </c>
      <c r="AI383">
        <f t="shared" si="60"/>
        <v>0</v>
      </c>
      <c r="AK383">
        <f t="shared" si="61"/>
        <v>3</v>
      </c>
      <c r="AL383">
        <v>11.16</v>
      </c>
      <c r="AM383" t="s">
        <v>27</v>
      </c>
      <c r="AN383">
        <v>11.16</v>
      </c>
      <c r="AO383" t="b">
        <f t="shared" si="62"/>
        <v>1</v>
      </c>
      <c r="AR383" t="s">
        <v>5061</v>
      </c>
      <c r="AS383" s="21">
        <v>46276</v>
      </c>
      <c r="AT383" t="s">
        <v>5062</v>
      </c>
      <c r="AU383" t="s">
        <v>5071</v>
      </c>
      <c r="AV383" t="s">
        <v>5062</v>
      </c>
      <c r="AW383" t="s">
        <v>5086</v>
      </c>
    </row>
    <row r="384" spans="1:49" hidden="1" x14ac:dyDescent="0.35">
      <c r="A384" t="s">
        <v>871</v>
      </c>
      <c r="B384" t="s">
        <v>872</v>
      </c>
      <c r="C384" t="s">
        <v>4818</v>
      </c>
      <c r="D384" t="s">
        <v>18</v>
      </c>
      <c r="E384" t="s">
        <v>1967</v>
      </c>
      <c r="F384" t="s">
        <v>1968</v>
      </c>
      <c r="G384" t="s">
        <v>21</v>
      </c>
      <c r="H384" t="s">
        <v>4826</v>
      </c>
      <c r="I384" t="s">
        <v>4935</v>
      </c>
      <c r="J384" s="4" t="s">
        <v>4936</v>
      </c>
      <c r="K384" s="4" t="s">
        <v>4937</v>
      </c>
      <c r="L384" s="4" t="s">
        <v>4963</v>
      </c>
      <c r="M384" s="4" t="s">
        <v>5035</v>
      </c>
      <c r="N384" t="s">
        <v>15</v>
      </c>
      <c r="O384" t="s">
        <v>1969</v>
      </c>
      <c r="P384" t="s">
        <v>23</v>
      </c>
      <c r="Q384" t="s">
        <v>24</v>
      </c>
      <c r="R384" t="s">
        <v>25</v>
      </c>
      <c r="S384" t="s">
        <v>26</v>
      </c>
      <c r="T384" s="6">
        <v>46307</v>
      </c>
      <c r="U384">
        <v>12</v>
      </c>
      <c r="V384">
        <v>12</v>
      </c>
      <c r="W384">
        <v>12</v>
      </c>
      <c r="X384">
        <v>12</v>
      </c>
      <c r="Y384">
        <f t="shared" si="57"/>
        <v>0</v>
      </c>
      <c r="Z384">
        <f t="shared" si="58"/>
        <v>0</v>
      </c>
      <c r="AC384" s="1">
        <v>0</v>
      </c>
      <c r="AF384">
        <f>V384</f>
        <v>12</v>
      </c>
      <c r="AG384" s="41">
        <v>12</v>
      </c>
      <c r="AH384">
        <f t="shared" si="59"/>
        <v>12</v>
      </c>
      <c r="AI384">
        <f t="shared" si="60"/>
        <v>0</v>
      </c>
      <c r="AK384">
        <f t="shared" si="61"/>
        <v>1</v>
      </c>
      <c r="AL384">
        <v>11.16</v>
      </c>
      <c r="AM384" t="s">
        <v>27</v>
      </c>
      <c r="AN384">
        <v>11.16</v>
      </c>
      <c r="AO384" t="b">
        <f t="shared" si="62"/>
        <v>1</v>
      </c>
      <c r="AR384" t="s">
        <v>5061</v>
      </c>
      <c r="AS384" s="21">
        <v>46276</v>
      </c>
      <c r="AT384" t="s">
        <v>5062</v>
      </c>
      <c r="AU384" t="s">
        <v>5071</v>
      </c>
      <c r="AV384" t="s">
        <v>5062</v>
      </c>
      <c r="AW384" t="s">
        <v>5086</v>
      </c>
    </row>
    <row r="385" spans="1:49" hidden="1" x14ac:dyDescent="0.35">
      <c r="A385" t="s">
        <v>871</v>
      </c>
      <c r="B385" t="s">
        <v>872</v>
      </c>
      <c r="C385" t="s">
        <v>4818</v>
      </c>
      <c r="D385" t="s">
        <v>18</v>
      </c>
      <c r="E385" t="s">
        <v>1970</v>
      </c>
      <c r="F385" t="s">
        <v>1971</v>
      </c>
      <c r="G385" t="s">
        <v>21</v>
      </c>
      <c r="H385" t="s">
        <v>4826</v>
      </c>
      <c r="I385" t="s">
        <v>4935</v>
      </c>
      <c r="J385" s="4" t="s">
        <v>4936</v>
      </c>
      <c r="K385" s="4" t="s">
        <v>4945</v>
      </c>
      <c r="L385" s="4" t="s">
        <v>4942</v>
      </c>
      <c r="M385" s="4" t="s">
        <v>5035</v>
      </c>
      <c r="N385" t="s">
        <v>15</v>
      </c>
      <c r="O385" t="s">
        <v>1972</v>
      </c>
      <c r="P385" t="s">
        <v>23</v>
      </c>
      <c r="Q385" t="s">
        <v>24</v>
      </c>
      <c r="R385" t="s">
        <v>25</v>
      </c>
      <c r="S385" t="s">
        <v>26</v>
      </c>
      <c r="T385" s="6">
        <v>46307</v>
      </c>
      <c r="U385">
        <v>12</v>
      </c>
      <c r="V385">
        <v>12</v>
      </c>
      <c r="W385">
        <v>12</v>
      </c>
      <c r="X385">
        <v>12</v>
      </c>
      <c r="Y385">
        <f t="shared" si="57"/>
        <v>0</v>
      </c>
      <c r="Z385">
        <f t="shared" si="58"/>
        <v>0</v>
      </c>
      <c r="AC385" s="1">
        <v>0</v>
      </c>
      <c r="AF385">
        <f>V385</f>
        <v>12</v>
      </c>
      <c r="AG385" s="41">
        <v>12</v>
      </c>
      <c r="AH385">
        <f t="shared" si="59"/>
        <v>12</v>
      </c>
      <c r="AI385">
        <f t="shared" si="60"/>
        <v>0</v>
      </c>
      <c r="AK385">
        <f t="shared" si="61"/>
        <v>1</v>
      </c>
      <c r="AL385">
        <v>11.16</v>
      </c>
      <c r="AM385" t="s">
        <v>27</v>
      </c>
      <c r="AN385">
        <v>11.16</v>
      </c>
      <c r="AO385" t="b">
        <f t="shared" si="62"/>
        <v>1</v>
      </c>
      <c r="AR385" t="s">
        <v>5061</v>
      </c>
      <c r="AS385" s="21">
        <v>46276</v>
      </c>
      <c r="AT385" t="s">
        <v>5062</v>
      </c>
      <c r="AU385" t="s">
        <v>5071</v>
      </c>
      <c r="AV385" t="s">
        <v>5062</v>
      </c>
      <c r="AW385" t="s">
        <v>5086</v>
      </c>
    </row>
    <row r="386" spans="1:49" hidden="1" x14ac:dyDescent="0.35">
      <c r="A386" t="s">
        <v>871</v>
      </c>
      <c r="B386" t="s">
        <v>872</v>
      </c>
      <c r="C386" t="s">
        <v>4818</v>
      </c>
      <c r="D386" t="s">
        <v>18</v>
      </c>
      <c r="E386" t="s">
        <v>1973</v>
      </c>
      <c r="F386" t="s">
        <v>1974</v>
      </c>
      <c r="G386" t="s">
        <v>21</v>
      </c>
      <c r="H386" t="s">
        <v>4826</v>
      </c>
      <c r="I386" t="s">
        <v>4935</v>
      </c>
      <c r="J386" s="4" t="s">
        <v>4936</v>
      </c>
      <c r="K386" s="4" t="s">
        <v>4837</v>
      </c>
      <c r="L386" s="4" t="s">
        <v>4940</v>
      </c>
      <c r="M386" s="4" t="s">
        <v>5035</v>
      </c>
      <c r="N386" t="s">
        <v>15</v>
      </c>
      <c r="O386" t="s">
        <v>1975</v>
      </c>
      <c r="P386" t="s">
        <v>23</v>
      </c>
      <c r="Q386" t="s">
        <v>24</v>
      </c>
      <c r="R386" t="s">
        <v>25</v>
      </c>
      <c r="S386" t="s">
        <v>26</v>
      </c>
      <c r="T386" s="6">
        <v>46307</v>
      </c>
      <c r="U386">
        <v>120</v>
      </c>
      <c r="V386">
        <v>120</v>
      </c>
      <c r="W386">
        <v>108</v>
      </c>
      <c r="X386">
        <v>108</v>
      </c>
      <c r="Y386">
        <f t="shared" si="57"/>
        <v>0</v>
      </c>
      <c r="Z386">
        <f t="shared" si="58"/>
        <v>12</v>
      </c>
      <c r="AA386">
        <f>Z386</f>
        <v>12</v>
      </c>
      <c r="AC386" s="1">
        <v>0</v>
      </c>
      <c r="AF386">
        <f>X386</f>
        <v>108</v>
      </c>
      <c r="AG386" s="41">
        <v>12</v>
      </c>
      <c r="AH386">
        <f t="shared" si="59"/>
        <v>108</v>
      </c>
      <c r="AI386">
        <f t="shared" si="60"/>
        <v>12</v>
      </c>
      <c r="AK386">
        <f t="shared" si="61"/>
        <v>9</v>
      </c>
      <c r="AL386">
        <v>11.16</v>
      </c>
      <c r="AM386" t="s">
        <v>27</v>
      </c>
      <c r="AN386">
        <v>11.16</v>
      </c>
      <c r="AO386" t="b">
        <f t="shared" si="62"/>
        <v>1</v>
      </c>
      <c r="AR386" t="s">
        <v>5061</v>
      </c>
      <c r="AS386" s="21">
        <v>46276</v>
      </c>
      <c r="AT386" t="s">
        <v>5062</v>
      </c>
      <c r="AU386" t="s">
        <v>5071</v>
      </c>
      <c r="AV386" t="s">
        <v>5062</v>
      </c>
      <c r="AW386" t="s">
        <v>5086</v>
      </c>
    </row>
    <row r="387" spans="1:49" hidden="1" x14ac:dyDescent="0.35">
      <c r="A387" t="s">
        <v>871</v>
      </c>
      <c r="B387" t="s">
        <v>872</v>
      </c>
      <c r="C387" t="s">
        <v>4818</v>
      </c>
      <c r="D387" t="s">
        <v>18</v>
      </c>
      <c r="E387" t="s">
        <v>1976</v>
      </c>
      <c r="F387" t="s">
        <v>1977</v>
      </c>
      <c r="G387" t="s">
        <v>21</v>
      </c>
      <c r="H387" t="s">
        <v>4826</v>
      </c>
      <c r="I387" t="s">
        <v>4935</v>
      </c>
      <c r="J387" s="4" t="s">
        <v>4936</v>
      </c>
      <c r="K387" s="4" t="s">
        <v>4832</v>
      </c>
      <c r="L387" s="4" t="s">
        <v>4964</v>
      </c>
      <c r="M387" s="4" t="s">
        <v>5035</v>
      </c>
      <c r="N387" t="s">
        <v>15</v>
      </c>
      <c r="O387" t="s">
        <v>1978</v>
      </c>
      <c r="P387" t="s">
        <v>23</v>
      </c>
      <c r="Q387" t="s">
        <v>24</v>
      </c>
      <c r="R387" t="s">
        <v>25</v>
      </c>
      <c r="S387" t="s">
        <v>26</v>
      </c>
      <c r="T387" s="6">
        <v>46307</v>
      </c>
      <c r="U387">
        <v>24</v>
      </c>
      <c r="V387">
        <v>24</v>
      </c>
      <c r="W387">
        <v>24</v>
      </c>
      <c r="X387">
        <v>24</v>
      </c>
      <c r="Y387">
        <f t="shared" ref="Y387:Y450" si="69">W387-X387</f>
        <v>0</v>
      </c>
      <c r="Z387">
        <f t="shared" ref="Z387:Z450" si="70">V387-X387</f>
        <v>0</v>
      </c>
      <c r="AC387" s="1">
        <v>0</v>
      </c>
      <c r="AF387">
        <f>V387</f>
        <v>24</v>
      </c>
      <c r="AG387" s="41">
        <v>12</v>
      </c>
      <c r="AH387">
        <f t="shared" ref="AH387:AH450" si="71">ROUNDUP(AF387/AG387,0)*AG387</f>
        <v>24</v>
      </c>
      <c r="AI387">
        <f t="shared" ref="AI387:AI450" si="72">V387-AH387</f>
        <v>0</v>
      </c>
      <c r="AK387">
        <f t="shared" ref="AK387:AK450" si="73">AH387/AG387</f>
        <v>2</v>
      </c>
      <c r="AL387">
        <v>11.16</v>
      </c>
      <c r="AM387" t="s">
        <v>27</v>
      </c>
      <c r="AN387">
        <v>11.16</v>
      </c>
      <c r="AO387" t="b">
        <f t="shared" ref="AO387:AO450" si="74">AL387=AN387</f>
        <v>1</v>
      </c>
      <c r="AR387" t="s">
        <v>5061</v>
      </c>
      <c r="AS387" s="21">
        <v>46276</v>
      </c>
      <c r="AT387" t="s">
        <v>5062</v>
      </c>
      <c r="AU387" t="s">
        <v>5071</v>
      </c>
      <c r="AV387" t="s">
        <v>5062</v>
      </c>
      <c r="AW387" t="s">
        <v>5086</v>
      </c>
    </row>
    <row r="388" spans="1:49" hidden="1" x14ac:dyDescent="0.35">
      <c r="A388" t="s">
        <v>871</v>
      </c>
      <c r="B388" t="s">
        <v>872</v>
      </c>
      <c r="C388" t="s">
        <v>4818</v>
      </c>
      <c r="D388" t="s">
        <v>18</v>
      </c>
      <c r="E388" t="s">
        <v>1979</v>
      </c>
      <c r="F388" t="s">
        <v>1980</v>
      </c>
      <c r="G388" t="s">
        <v>21</v>
      </c>
      <c r="H388" t="s">
        <v>4826</v>
      </c>
      <c r="I388" t="s">
        <v>4935</v>
      </c>
      <c r="J388" s="4" t="s">
        <v>4936</v>
      </c>
      <c r="K388" s="4" t="s">
        <v>4945</v>
      </c>
      <c r="L388" s="4" t="s">
        <v>4964</v>
      </c>
      <c r="M388" s="4" t="s">
        <v>5035</v>
      </c>
      <c r="N388" t="s">
        <v>15</v>
      </c>
      <c r="O388" t="s">
        <v>1981</v>
      </c>
      <c r="P388" t="s">
        <v>23</v>
      </c>
      <c r="Q388" t="s">
        <v>24</v>
      </c>
      <c r="R388" t="s">
        <v>25</v>
      </c>
      <c r="S388" t="s">
        <v>26</v>
      </c>
      <c r="T388" s="6">
        <v>46307</v>
      </c>
      <c r="U388">
        <v>24</v>
      </c>
      <c r="V388">
        <v>24</v>
      </c>
      <c r="W388">
        <v>24</v>
      </c>
      <c r="X388">
        <v>24</v>
      </c>
      <c r="Y388">
        <f t="shared" si="69"/>
        <v>0</v>
      </c>
      <c r="Z388">
        <f t="shared" si="70"/>
        <v>0</v>
      </c>
      <c r="AC388" s="1">
        <v>0</v>
      </c>
      <c r="AF388">
        <f>V388</f>
        <v>24</v>
      </c>
      <c r="AG388" s="41">
        <v>12</v>
      </c>
      <c r="AH388">
        <f t="shared" si="71"/>
        <v>24</v>
      </c>
      <c r="AI388">
        <f t="shared" si="72"/>
        <v>0</v>
      </c>
      <c r="AK388">
        <f t="shared" si="73"/>
        <v>2</v>
      </c>
      <c r="AL388">
        <v>11.16</v>
      </c>
      <c r="AM388" t="s">
        <v>27</v>
      </c>
      <c r="AN388">
        <v>11.16</v>
      </c>
      <c r="AO388" t="b">
        <f t="shared" si="74"/>
        <v>1</v>
      </c>
      <c r="AR388" t="s">
        <v>5061</v>
      </c>
      <c r="AS388" s="21">
        <v>46276</v>
      </c>
      <c r="AT388" t="s">
        <v>5062</v>
      </c>
      <c r="AU388" t="s">
        <v>5071</v>
      </c>
      <c r="AV388" t="s">
        <v>5062</v>
      </c>
      <c r="AW388" t="s">
        <v>5086</v>
      </c>
    </row>
    <row r="389" spans="1:49" hidden="1" x14ac:dyDescent="0.35">
      <c r="A389" t="s">
        <v>871</v>
      </c>
      <c r="B389" t="s">
        <v>872</v>
      </c>
      <c r="C389" t="s">
        <v>4818</v>
      </c>
      <c r="D389" t="s">
        <v>18</v>
      </c>
      <c r="E389" t="s">
        <v>1982</v>
      </c>
      <c r="F389" t="s">
        <v>1983</v>
      </c>
      <c r="G389" t="s">
        <v>21</v>
      </c>
      <c r="H389" t="s">
        <v>4826</v>
      </c>
      <c r="I389" t="s">
        <v>4935</v>
      </c>
      <c r="J389" s="4" t="s">
        <v>4936</v>
      </c>
      <c r="K389" s="4" t="s">
        <v>4837</v>
      </c>
      <c r="L389" s="4" t="s">
        <v>4965</v>
      </c>
      <c r="M389" s="4" t="s">
        <v>5035</v>
      </c>
      <c r="N389" t="s">
        <v>15</v>
      </c>
      <c r="O389" t="s">
        <v>1984</v>
      </c>
      <c r="P389" t="s">
        <v>23</v>
      </c>
      <c r="Q389" t="s">
        <v>24</v>
      </c>
      <c r="R389" t="s">
        <v>25</v>
      </c>
      <c r="S389" t="s">
        <v>26</v>
      </c>
      <c r="T389" s="6">
        <v>46307</v>
      </c>
      <c r="U389">
        <v>144</v>
      </c>
      <c r="V389">
        <v>144</v>
      </c>
      <c r="W389">
        <v>156</v>
      </c>
      <c r="X389">
        <v>156</v>
      </c>
      <c r="Y389">
        <f t="shared" si="69"/>
        <v>0</v>
      </c>
      <c r="Z389">
        <f t="shared" si="70"/>
        <v>-12</v>
      </c>
      <c r="AC389" s="1">
        <v>0</v>
      </c>
      <c r="AF389">
        <f>V389</f>
        <v>144</v>
      </c>
      <c r="AG389" s="41">
        <v>12</v>
      </c>
      <c r="AH389">
        <f t="shared" si="71"/>
        <v>144</v>
      </c>
      <c r="AI389">
        <f t="shared" si="72"/>
        <v>0</v>
      </c>
      <c r="AK389">
        <f t="shared" si="73"/>
        <v>12</v>
      </c>
      <c r="AL389">
        <v>11.16</v>
      </c>
      <c r="AM389" t="s">
        <v>27</v>
      </c>
      <c r="AN389">
        <v>11.16</v>
      </c>
      <c r="AO389" t="b">
        <f t="shared" si="74"/>
        <v>1</v>
      </c>
      <c r="AR389" t="s">
        <v>5061</v>
      </c>
      <c r="AS389" s="21">
        <v>46276</v>
      </c>
      <c r="AT389" t="s">
        <v>5062</v>
      </c>
      <c r="AU389" t="s">
        <v>5071</v>
      </c>
      <c r="AV389" t="s">
        <v>5062</v>
      </c>
      <c r="AW389" t="s">
        <v>5086</v>
      </c>
    </row>
    <row r="390" spans="1:49" hidden="1" x14ac:dyDescent="0.35">
      <c r="A390" t="s">
        <v>871</v>
      </c>
      <c r="B390" t="s">
        <v>872</v>
      </c>
      <c r="C390" t="s">
        <v>4818</v>
      </c>
      <c r="D390" t="s">
        <v>18</v>
      </c>
      <c r="E390" t="s">
        <v>1985</v>
      </c>
      <c r="F390" t="s">
        <v>1986</v>
      </c>
      <c r="G390" t="s">
        <v>21</v>
      </c>
      <c r="H390" t="s">
        <v>4826</v>
      </c>
      <c r="I390" t="s">
        <v>4935</v>
      </c>
      <c r="J390" s="4" t="s">
        <v>4936</v>
      </c>
      <c r="K390" s="4" t="s">
        <v>4957</v>
      </c>
      <c r="L390" s="4" t="s">
        <v>4938</v>
      </c>
      <c r="M390" s="4" t="s">
        <v>5035</v>
      </c>
      <c r="N390" t="s">
        <v>15</v>
      </c>
      <c r="O390" t="s">
        <v>1987</v>
      </c>
      <c r="P390" t="s">
        <v>23</v>
      </c>
      <c r="Q390" t="s">
        <v>24</v>
      </c>
      <c r="R390" t="s">
        <v>25</v>
      </c>
      <c r="S390" t="s">
        <v>26</v>
      </c>
      <c r="T390" s="6">
        <v>46307</v>
      </c>
      <c r="U390">
        <v>180</v>
      </c>
      <c r="V390">
        <v>180</v>
      </c>
      <c r="W390">
        <v>156</v>
      </c>
      <c r="X390">
        <v>156</v>
      </c>
      <c r="Y390">
        <f t="shared" si="69"/>
        <v>0</v>
      </c>
      <c r="Z390">
        <f t="shared" si="70"/>
        <v>24</v>
      </c>
      <c r="AA390">
        <f>Z390</f>
        <v>24</v>
      </c>
      <c r="AC390" s="1">
        <v>0</v>
      </c>
      <c r="AF390">
        <f>X390</f>
        <v>156</v>
      </c>
      <c r="AG390" s="41">
        <v>12</v>
      </c>
      <c r="AH390">
        <f t="shared" si="71"/>
        <v>156</v>
      </c>
      <c r="AI390">
        <f t="shared" si="72"/>
        <v>24</v>
      </c>
      <c r="AK390">
        <f t="shared" si="73"/>
        <v>13</v>
      </c>
      <c r="AL390">
        <v>11.27</v>
      </c>
      <c r="AM390" t="s">
        <v>27</v>
      </c>
      <c r="AN390">
        <v>11.27</v>
      </c>
      <c r="AO390" t="b">
        <f t="shared" si="74"/>
        <v>1</v>
      </c>
      <c r="AR390" t="s">
        <v>5061</v>
      </c>
      <c r="AS390" s="21">
        <v>46276</v>
      </c>
      <c r="AT390" t="s">
        <v>5062</v>
      </c>
      <c r="AU390" t="s">
        <v>5071</v>
      </c>
      <c r="AV390" t="s">
        <v>5062</v>
      </c>
      <c r="AW390" t="s">
        <v>5086</v>
      </c>
    </row>
    <row r="391" spans="1:49" hidden="1" x14ac:dyDescent="0.35">
      <c r="A391" t="s">
        <v>871</v>
      </c>
      <c r="B391" t="s">
        <v>872</v>
      </c>
      <c r="C391" t="s">
        <v>4818</v>
      </c>
      <c r="D391" t="s">
        <v>18</v>
      </c>
      <c r="E391" t="s">
        <v>1988</v>
      </c>
      <c r="F391" t="s">
        <v>1989</v>
      </c>
      <c r="G391" t="s">
        <v>21</v>
      </c>
      <c r="H391" t="s">
        <v>4826</v>
      </c>
      <c r="I391" t="s">
        <v>4935</v>
      </c>
      <c r="J391" s="4" t="s">
        <v>4936</v>
      </c>
      <c r="K391" s="4" t="s">
        <v>4945</v>
      </c>
      <c r="L391" s="4" t="s">
        <v>4943</v>
      </c>
      <c r="M391" s="4" t="s">
        <v>5035</v>
      </c>
      <c r="N391" t="s">
        <v>15</v>
      </c>
      <c r="O391" t="s">
        <v>1990</v>
      </c>
      <c r="P391" t="s">
        <v>23</v>
      </c>
      <c r="Q391" t="s">
        <v>24</v>
      </c>
      <c r="R391" t="s">
        <v>25</v>
      </c>
      <c r="S391" t="s">
        <v>26</v>
      </c>
      <c r="T391" s="6">
        <v>46307</v>
      </c>
      <c r="U391">
        <v>24</v>
      </c>
      <c r="V391">
        <v>24</v>
      </c>
      <c r="W391">
        <v>24</v>
      </c>
      <c r="X391">
        <v>24</v>
      </c>
      <c r="Y391">
        <f t="shared" si="69"/>
        <v>0</v>
      </c>
      <c r="Z391">
        <f t="shared" si="70"/>
        <v>0</v>
      </c>
      <c r="AC391" s="1">
        <v>0</v>
      </c>
      <c r="AF391">
        <f>V391</f>
        <v>24</v>
      </c>
      <c r="AG391" s="41">
        <v>12</v>
      </c>
      <c r="AH391">
        <f t="shared" si="71"/>
        <v>24</v>
      </c>
      <c r="AI391">
        <f t="shared" si="72"/>
        <v>0</v>
      </c>
      <c r="AK391">
        <f t="shared" si="73"/>
        <v>2</v>
      </c>
      <c r="AL391">
        <v>11.16</v>
      </c>
      <c r="AM391" t="s">
        <v>27</v>
      </c>
      <c r="AN391">
        <v>11.16</v>
      </c>
      <c r="AO391" t="b">
        <f t="shared" si="74"/>
        <v>1</v>
      </c>
      <c r="AR391" t="s">
        <v>5061</v>
      </c>
      <c r="AS391" s="21">
        <v>46276</v>
      </c>
      <c r="AT391" t="s">
        <v>5062</v>
      </c>
      <c r="AU391" t="s">
        <v>5071</v>
      </c>
      <c r="AV391" t="s">
        <v>5062</v>
      </c>
      <c r="AW391" t="s">
        <v>5086</v>
      </c>
    </row>
    <row r="392" spans="1:49" hidden="1" x14ac:dyDescent="0.35">
      <c r="A392" t="s">
        <v>871</v>
      </c>
      <c r="B392" t="s">
        <v>872</v>
      </c>
      <c r="C392" t="s">
        <v>4818</v>
      </c>
      <c r="D392" t="s">
        <v>18</v>
      </c>
      <c r="E392" t="s">
        <v>1991</v>
      </c>
      <c r="F392" t="s">
        <v>1992</v>
      </c>
      <c r="G392" t="s">
        <v>21</v>
      </c>
      <c r="H392" t="s">
        <v>4826</v>
      </c>
      <c r="I392" t="s">
        <v>4935</v>
      </c>
      <c r="J392" s="4" t="s">
        <v>4936</v>
      </c>
      <c r="K392" s="4" t="s">
        <v>4832</v>
      </c>
      <c r="L392" s="4" t="s">
        <v>4966</v>
      </c>
      <c r="M392" s="4" t="s">
        <v>5035</v>
      </c>
      <c r="N392" t="s">
        <v>15</v>
      </c>
      <c r="O392" t="s">
        <v>1993</v>
      </c>
      <c r="P392" t="s">
        <v>23</v>
      </c>
      <c r="Q392" t="s">
        <v>24</v>
      </c>
      <c r="R392" t="s">
        <v>25</v>
      </c>
      <c r="S392" t="s">
        <v>26</v>
      </c>
      <c r="T392" s="6">
        <v>46307</v>
      </c>
      <c r="U392">
        <v>108</v>
      </c>
      <c r="V392">
        <v>108</v>
      </c>
      <c r="W392">
        <v>96</v>
      </c>
      <c r="X392">
        <v>96</v>
      </c>
      <c r="Y392">
        <f t="shared" si="69"/>
        <v>0</v>
      </c>
      <c r="Z392">
        <f t="shared" si="70"/>
        <v>12</v>
      </c>
      <c r="AA392">
        <f>Z392</f>
        <v>12</v>
      </c>
      <c r="AC392" s="1">
        <v>0</v>
      </c>
      <c r="AF392">
        <f>X392</f>
        <v>96</v>
      </c>
      <c r="AG392" s="41">
        <v>12</v>
      </c>
      <c r="AH392">
        <f t="shared" si="71"/>
        <v>96</v>
      </c>
      <c r="AI392">
        <f t="shared" si="72"/>
        <v>12</v>
      </c>
      <c r="AK392">
        <f t="shared" si="73"/>
        <v>8</v>
      </c>
      <c r="AL392">
        <v>11.16</v>
      </c>
      <c r="AM392" t="s">
        <v>27</v>
      </c>
      <c r="AN392">
        <v>11.16</v>
      </c>
      <c r="AO392" t="b">
        <f t="shared" si="74"/>
        <v>1</v>
      </c>
      <c r="AR392" t="s">
        <v>5061</v>
      </c>
      <c r="AS392" s="21">
        <v>46276</v>
      </c>
      <c r="AT392" t="s">
        <v>5062</v>
      </c>
      <c r="AU392" t="s">
        <v>5071</v>
      </c>
      <c r="AV392" t="s">
        <v>5062</v>
      </c>
      <c r="AW392" t="s">
        <v>5086</v>
      </c>
    </row>
    <row r="393" spans="1:49" hidden="1" x14ac:dyDescent="0.35">
      <c r="A393" t="s">
        <v>871</v>
      </c>
      <c r="B393" t="s">
        <v>872</v>
      </c>
      <c r="C393" t="s">
        <v>4818</v>
      </c>
      <c r="D393" t="s">
        <v>18</v>
      </c>
      <c r="E393" t="s">
        <v>1994</v>
      </c>
      <c r="F393" t="s">
        <v>1995</v>
      </c>
      <c r="G393" t="s">
        <v>21</v>
      </c>
      <c r="H393" t="s">
        <v>4826</v>
      </c>
      <c r="I393" t="s">
        <v>4935</v>
      </c>
      <c r="J393" s="4" t="s">
        <v>4936</v>
      </c>
      <c r="K393" s="4" t="s">
        <v>4837</v>
      </c>
      <c r="L393" s="4" t="s">
        <v>4967</v>
      </c>
      <c r="M393" s="4" t="s">
        <v>5035</v>
      </c>
      <c r="N393" t="s">
        <v>15</v>
      </c>
      <c r="O393" t="s">
        <v>1996</v>
      </c>
      <c r="P393" t="s">
        <v>23</v>
      </c>
      <c r="Q393" t="s">
        <v>24</v>
      </c>
      <c r="R393" t="s">
        <v>25</v>
      </c>
      <c r="S393" t="s">
        <v>26</v>
      </c>
      <c r="T393" s="6">
        <v>46307</v>
      </c>
      <c r="U393">
        <v>96</v>
      </c>
      <c r="V393">
        <v>96</v>
      </c>
      <c r="W393">
        <v>96</v>
      </c>
      <c r="X393">
        <v>96</v>
      </c>
      <c r="Y393">
        <f t="shared" si="69"/>
        <v>0</v>
      </c>
      <c r="Z393">
        <f t="shared" si="70"/>
        <v>0</v>
      </c>
      <c r="AC393" s="1">
        <v>0</v>
      </c>
      <c r="AF393">
        <f t="shared" ref="AF393:AF399" si="75">V393</f>
        <v>96</v>
      </c>
      <c r="AG393" s="41">
        <v>12</v>
      </c>
      <c r="AH393">
        <f t="shared" si="71"/>
        <v>96</v>
      </c>
      <c r="AI393">
        <f t="shared" si="72"/>
        <v>0</v>
      </c>
      <c r="AK393">
        <f t="shared" si="73"/>
        <v>8</v>
      </c>
      <c r="AL393">
        <v>11.16</v>
      </c>
      <c r="AM393" t="s">
        <v>27</v>
      </c>
      <c r="AN393">
        <v>11.16</v>
      </c>
      <c r="AO393" t="b">
        <f t="shared" si="74"/>
        <v>1</v>
      </c>
      <c r="AR393" t="s">
        <v>5061</v>
      </c>
      <c r="AS393" s="21">
        <v>46276</v>
      </c>
      <c r="AT393" t="s">
        <v>5062</v>
      </c>
      <c r="AU393" t="s">
        <v>5071</v>
      </c>
      <c r="AV393" t="s">
        <v>5062</v>
      </c>
      <c r="AW393" t="s">
        <v>5086</v>
      </c>
    </row>
    <row r="394" spans="1:49" hidden="1" x14ac:dyDescent="0.35">
      <c r="A394" t="s">
        <v>871</v>
      </c>
      <c r="B394" t="s">
        <v>872</v>
      </c>
      <c r="C394" t="s">
        <v>4818</v>
      </c>
      <c r="D394" t="s">
        <v>18</v>
      </c>
      <c r="E394" t="s">
        <v>1997</v>
      </c>
      <c r="F394" t="s">
        <v>1998</v>
      </c>
      <c r="G394" t="s">
        <v>21</v>
      </c>
      <c r="H394" t="s">
        <v>4826</v>
      </c>
      <c r="I394" t="s">
        <v>4935</v>
      </c>
      <c r="J394" s="4" t="s">
        <v>4936</v>
      </c>
      <c r="K394" s="4" t="s">
        <v>4837</v>
      </c>
      <c r="L394" s="4" t="s">
        <v>4968</v>
      </c>
      <c r="M394" s="4" t="s">
        <v>5035</v>
      </c>
      <c r="N394" t="s">
        <v>15</v>
      </c>
      <c r="O394" t="s">
        <v>1999</v>
      </c>
      <c r="P394" t="s">
        <v>23</v>
      </c>
      <c r="Q394" t="s">
        <v>24</v>
      </c>
      <c r="R394" t="s">
        <v>25</v>
      </c>
      <c r="S394" t="s">
        <v>26</v>
      </c>
      <c r="T394" s="6">
        <v>46307</v>
      </c>
      <c r="U394">
        <v>384</v>
      </c>
      <c r="V394">
        <v>384</v>
      </c>
      <c r="W394">
        <v>408</v>
      </c>
      <c r="X394">
        <v>408</v>
      </c>
      <c r="Y394">
        <f t="shared" si="69"/>
        <v>0</v>
      </c>
      <c r="Z394">
        <f t="shared" si="70"/>
        <v>-24</v>
      </c>
      <c r="AC394" s="1"/>
      <c r="AF394">
        <f t="shared" si="75"/>
        <v>384</v>
      </c>
      <c r="AG394" s="41">
        <v>12</v>
      </c>
      <c r="AH394">
        <f t="shared" si="71"/>
        <v>384</v>
      </c>
      <c r="AI394">
        <f t="shared" si="72"/>
        <v>0</v>
      </c>
      <c r="AK394">
        <f t="shared" si="73"/>
        <v>32</v>
      </c>
      <c r="AL394">
        <v>11.16</v>
      </c>
      <c r="AM394" t="s">
        <v>27</v>
      </c>
      <c r="AN394">
        <v>11.16</v>
      </c>
      <c r="AO394" t="b">
        <f t="shared" si="74"/>
        <v>1</v>
      </c>
      <c r="AR394" t="s">
        <v>5061</v>
      </c>
      <c r="AS394" s="21">
        <v>46276</v>
      </c>
      <c r="AT394" t="s">
        <v>5062</v>
      </c>
      <c r="AU394" t="s">
        <v>5071</v>
      </c>
      <c r="AV394" t="s">
        <v>5062</v>
      </c>
      <c r="AW394" t="s">
        <v>5086</v>
      </c>
    </row>
    <row r="395" spans="1:49" hidden="1" x14ac:dyDescent="0.35">
      <c r="A395" t="s">
        <v>871</v>
      </c>
      <c r="B395" t="s">
        <v>872</v>
      </c>
      <c r="C395" t="s">
        <v>4818</v>
      </c>
      <c r="D395" t="s">
        <v>18</v>
      </c>
      <c r="E395" t="s">
        <v>2000</v>
      </c>
      <c r="F395" t="s">
        <v>2001</v>
      </c>
      <c r="G395" t="s">
        <v>21</v>
      </c>
      <c r="H395" t="s">
        <v>4826</v>
      </c>
      <c r="I395" t="s">
        <v>4935</v>
      </c>
      <c r="J395" s="4" t="s">
        <v>4936</v>
      </c>
      <c r="K395" s="4" t="s">
        <v>4937</v>
      </c>
      <c r="L395" s="4" t="s">
        <v>4960</v>
      </c>
      <c r="M395" s="4" t="s">
        <v>5035</v>
      </c>
      <c r="N395" t="s">
        <v>15</v>
      </c>
      <c r="O395" t="s">
        <v>2002</v>
      </c>
      <c r="P395" t="s">
        <v>23</v>
      </c>
      <c r="Q395" t="s">
        <v>24</v>
      </c>
      <c r="R395" t="s">
        <v>25</v>
      </c>
      <c r="S395" t="s">
        <v>26</v>
      </c>
      <c r="T395" s="6">
        <v>46307</v>
      </c>
      <c r="U395">
        <v>12</v>
      </c>
      <c r="V395">
        <v>12</v>
      </c>
      <c r="W395">
        <v>12</v>
      </c>
      <c r="X395">
        <v>12</v>
      </c>
      <c r="Y395">
        <f t="shared" si="69"/>
        <v>0</v>
      </c>
      <c r="Z395">
        <f t="shared" si="70"/>
        <v>0</v>
      </c>
      <c r="AC395" s="1">
        <v>0</v>
      </c>
      <c r="AF395">
        <f t="shared" si="75"/>
        <v>12</v>
      </c>
      <c r="AG395" s="41">
        <v>12</v>
      </c>
      <c r="AH395">
        <f t="shared" si="71"/>
        <v>12</v>
      </c>
      <c r="AI395">
        <f t="shared" si="72"/>
        <v>0</v>
      </c>
      <c r="AK395">
        <f t="shared" si="73"/>
        <v>1</v>
      </c>
      <c r="AL395">
        <v>11.16</v>
      </c>
      <c r="AM395" t="s">
        <v>27</v>
      </c>
      <c r="AN395">
        <v>11.16</v>
      </c>
      <c r="AO395" t="b">
        <f t="shared" si="74"/>
        <v>1</v>
      </c>
      <c r="AR395" t="s">
        <v>5061</v>
      </c>
      <c r="AS395" s="21">
        <v>46276</v>
      </c>
      <c r="AT395" t="s">
        <v>5062</v>
      </c>
      <c r="AU395" t="s">
        <v>5071</v>
      </c>
      <c r="AV395" t="s">
        <v>5062</v>
      </c>
      <c r="AW395" t="s">
        <v>5086</v>
      </c>
    </row>
    <row r="396" spans="1:49" hidden="1" x14ac:dyDescent="0.35">
      <c r="A396" t="s">
        <v>871</v>
      </c>
      <c r="B396" t="s">
        <v>872</v>
      </c>
      <c r="C396" t="s">
        <v>4818</v>
      </c>
      <c r="D396" t="s">
        <v>18</v>
      </c>
      <c r="E396" t="s">
        <v>2003</v>
      </c>
      <c r="F396" t="s">
        <v>2004</v>
      </c>
      <c r="G396" t="s">
        <v>21</v>
      </c>
      <c r="H396" t="s">
        <v>4826</v>
      </c>
      <c r="I396" t="s">
        <v>4935</v>
      </c>
      <c r="J396" s="4" t="s">
        <v>4936</v>
      </c>
      <c r="K396" s="4" t="s">
        <v>4832</v>
      </c>
      <c r="L396" s="4" t="s">
        <v>4969</v>
      </c>
      <c r="M396" s="4" t="s">
        <v>5035</v>
      </c>
      <c r="N396" t="s">
        <v>15</v>
      </c>
      <c r="O396" t="s">
        <v>2005</v>
      </c>
      <c r="P396" t="s">
        <v>23</v>
      </c>
      <c r="Q396" t="s">
        <v>24</v>
      </c>
      <c r="R396" t="s">
        <v>25</v>
      </c>
      <c r="S396" t="s">
        <v>26</v>
      </c>
      <c r="T396" s="6">
        <v>46307</v>
      </c>
      <c r="U396">
        <v>24</v>
      </c>
      <c r="V396">
        <v>24</v>
      </c>
      <c r="W396">
        <v>24</v>
      </c>
      <c r="X396">
        <v>24</v>
      </c>
      <c r="Y396">
        <f t="shared" si="69"/>
        <v>0</v>
      </c>
      <c r="Z396">
        <f t="shared" si="70"/>
        <v>0</v>
      </c>
      <c r="AC396" s="1">
        <v>0</v>
      </c>
      <c r="AF396">
        <f t="shared" si="75"/>
        <v>24</v>
      </c>
      <c r="AG396" s="41">
        <v>12</v>
      </c>
      <c r="AH396">
        <f t="shared" si="71"/>
        <v>24</v>
      </c>
      <c r="AI396">
        <f t="shared" si="72"/>
        <v>0</v>
      </c>
      <c r="AK396">
        <f t="shared" si="73"/>
        <v>2</v>
      </c>
      <c r="AL396">
        <v>11.16</v>
      </c>
      <c r="AM396" t="s">
        <v>27</v>
      </c>
      <c r="AN396">
        <v>11.16</v>
      </c>
      <c r="AO396" t="b">
        <f t="shared" si="74"/>
        <v>1</v>
      </c>
      <c r="AR396" t="s">
        <v>5061</v>
      </c>
      <c r="AS396" s="21">
        <v>46276</v>
      </c>
      <c r="AT396" t="s">
        <v>5062</v>
      </c>
      <c r="AU396" t="s">
        <v>5071</v>
      </c>
      <c r="AV396" t="s">
        <v>5062</v>
      </c>
      <c r="AW396" t="s">
        <v>5086</v>
      </c>
    </row>
    <row r="397" spans="1:49" hidden="1" x14ac:dyDescent="0.35">
      <c r="A397" t="s">
        <v>871</v>
      </c>
      <c r="B397" t="s">
        <v>872</v>
      </c>
      <c r="C397" t="s">
        <v>4818</v>
      </c>
      <c r="D397" t="s">
        <v>18</v>
      </c>
      <c r="E397" t="s">
        <v>2006</v>
      </c>
      <c r="F397" t="s">
        <v>2007</v>
      </c>
      <c r="G397" t="s">
        <v>21</v>
      </c>
      <c r="H397" t="s">
        <v>4826</v>
      </c>
      <c r="I397" t="s">
        <v>4935</v>
      </c>
      <c r="J397" s="4" t="s">
        <v>4936</v>
      </c>
      <c r="K397" s="4" t="s">
        <v>4837</v>
      </c>
      <c r="L397" s="4" t="s">
        <v>4961</v>
      </c>
      <c r="M397" s="4" t="s">
        <v>5035</v>
      </c>
      <c r="N397" t="s">
        <v>15</v>
      </c>
      <c r="O397" t="s">
        <v>2008</v>
      </c>
      <c r="P397" t="s">
        <v>23</v>
      </c>
      <c r="Q397" t="s">
        <v>24</v>
      </c>
      <c r="R397" t="s">
        <v>25</v>
      </c>
      <c r="S397" t="s">
        <v>26</v>
      </c>
      <c r="T397" s="6">
        <v>46307</v>
      </c>
      <c r="U397">
        <v>48</v>
      </c>
      <c r="V397">
        <v>48</v>
      </c>
      <c r="W397">
        <v>60</v>
      </c>
      <c r="X397">
        <v>60</v>
      </c>
      <c r="Y397">
        <f t="shared" si="69"/>
        <v>0</v>
      </c>
      <c r="Z397">
        <f t="shared" si="70"/>
        <v>-12</v>
      </c>
      <c r="AC397" s="1">
        <v>0</v>
      </c>
      <c r="AF397">
        <f t="shared" si="75"/>
        <v>48</v>
      </c>
      <c r="AG397" s="41">
        <v>12</v>
      </c>
      <c r="AH397">
        <f t="shared" si="71"/>
        <v>48</v>
      </c>
      <c r="AI397">
        <f t="shared" si="72"/>
        <v>0</v>
      </c>
      <c r="AK397">
        <f t="shared" si="73"/>
        <v>4</v>
      </c>
      <c r="AL397">
        <v>11.16</v>
      </c>
      <c r="AM397" t="s">
        <v>27</v>
      </c>
      <c r="AN397">
        <v>11.16</v>
      </c>
      <c r="AO397" t="b">
        <f t="shared" si="74"/>
        <v>1</v>
      </c>
      <c r="AR397" t="s">
        <v>5061</v>
      </c>
      <c r="AS397" s="21">
        <v>46276</v>
      </c>
      <c r="AT397" t="s">
        <v>5062</v>
      </c>
      <c r="AU397" t="s">
        <v>5071</v>
      </c>
      <c r="AV397" t="s">
        <v>5062</v>
      </c>
      <c r="AW397" t="s">
        <v>5086</v>
      </c>
    </row>
    <row r="398" spans="1:49" hidden="1" x14ac:dyDescent="0.35">
      <c r="A398" t="s">
        <v>871</v>
      </c>
      <c r="B398" t="s">
        <v>872</v>
      </c>
      <c r="C398" t="s">
        <v>4818</v>
      </c>
      <c r="D398" t="s">
        <v>18</v>
      </c>
      <c r="E398" t="s">
        <v>2009</v>
      </c>
      <c r="F398" t="s">
        <v>2010</v>
      </c>
      <c r="G398" t="s">
        <v>21</v>
      </c>
      <c r="H398" t="s">
        <v>4826</v>
      </c>
      <c r="I398" t="s">
        <v>4935</v>
      </c>
      <c r="J398" s="4" t="s">
        <v>4936</v>
      </c>
      <c r="K398" s="4" t="s">
        <v>4957</v>
      </c>
      <c r="L398" s="4" t="s">
        <v>4966</v>
      </c>
      <c r="M398" s="4" t="s">
        <v>5035</v>
      </c>
      <c r="N398" t="s">
        <v>15</v>
      </c>
      <c r="O398" t="s">
        <v>2011</v>
      </c>
      <c r="P398" t="s">
        <v>23</v>
      </c>
      <c r="Q398" t="s">
        <v>24</v>
      </c>
      <c r="R398" t="s">
        <v>25</v>
      </c>
      <c r="S398" t="s">
        <v>26</v>
      </c>
      <c r="T398" s="6">
        <v>46307</v>
      </c>
      <c r="U398">
        <v>36</v>
      </c>
      <c r="V398">
        <v>36</v>
      </c>
      <c r="W398">
        <v>36</v>
      </c>
      <c r="X398">
        <v>36</v>
      </c>
      <c r="Y398">
        <f t="shared" si="69"/>
        <v>0</v>
      </c>
      <c r="Z398">
        <f t="shared" si="70"/>
        <v>0</v>
      </c>
      <c r="AC398" s="1">
        <v>0</v>
      </c>
      <c r="AF398">
        <f t="shared" si="75"/>
        <v>36</v>
      </c>
      <c r="AG398" s="41">
        <v>12</v>
      </c>
      <c r="AH398">
        <f t="shared" si="71"/>
        <v>36</v>
      </c>
      <c r="AI398">
        <f t="shared" si="72"/>
        <v>0</v>
      </c>
      <c r="AK398">
        <f t="shared" si="73"/>
        <v>3</v>
      </c>
      <c r="AL398">
        <v>11.27</v>
      </c>
      <c r="AM398" t="s">
        <v>27</v>
      </c>
      <c r="AN398">
        <v>11.27</v>
      </c>
      <c r="AO398" t="b">
        <f t="shared" si="74"/>
        <v>1</v>
      </c>
      <c r="AR398" t="s">
        <v>5061</v>
      </c>
      <c r="AS398" s="21">
        <v>46276</v>
      </c>
      <c r="AT398" t="s">
        <v>5062</v>
      </c>
      <c r="AU398" t="s">
        <v>5071</v>
      </c>
      <c r="AV398" t="s">
        <v>5062</v>
      </c>
      <c r="AW398" t="s">
        <v>5086</v>
      </c>
    </row>
    <row r="399" spans="1:49" hidden="1" x14ac:dyDescent="0.35">
      <c r="A399" t="s">
        <v>871</v>
      </c>
      <c r="B399" t="s">
        <v>872</v>
      </c>
      <c r="C399" t="s">
        <v>4818</v>
      </c>
      <c r="D399" t="s">
        <v>18</v>
      </c>
      <c r="E399" t="s">
        <v>2012</v>
      </c>
      <c r="F399" t="s">
        <v>2013</v>
      </c>
      <c r="G399" t="s">
        <v>21</v>
      </c>
      <c r="H399" t="s">
        <v>4826</v>
      </c>
      <c r="I399" t="s">
        <v>4935</v>
      </c>
      <c r="J399" s="4" t="s">
        <v>4936</v>
      </c>
      <c r="K399" s="4" t="s">
        <v>4832</v>
      </c>
      <c r="L399" s="4" t="s">
        <v>4956</v>
      </c>
      <c r="M399" s="4" t="s">
        <v>5035</v>
      </c>
      <c r="N399" t="s">
        <v>15</v>
      </c>
      <c r="O399" t="s">
        <v>2014</v>
      </c>
      <c r="P399" t="s">
        <v>23</v>
      </c>
      <c r="Q399" t="s">
        <v>24</v>
      </c>
      <c r="R399" t="s">
        <v>25</v>
      </c>
      <c r="S399" t="s">
        <v>26</v>
      </c>
      <c r="T399" s="6">
        <v>46307</v>
      </c>
      <c r="U399">
        <v>12</v>
      </c>
      <c r="V399">
        <v>12</v>
      </c>
      <c r="W399">
        <v>12</v>
      </c>
      <c r="X399">
        <v>12</v>
      </c>
      <c r="Y399">
        <f t="shared" si="69"/>
        <v>0</v>
      </c>
      <c r="Z399">
        <f t="shared" si="70"/>
        <v>0</v>
      </c>
      <c r="AC399" s="1">
        <v>0</v>
      </c>
      <c r="AF399">
        <f t="shared" si="75"/>
        <v>12</v>
      </c>
      <c r="AG399" s="41">
        <v>12</v>
      </c>
      <c r="AH399">
        <f t="shared" si="71"/>
        <v>12</v>
      </c>
      <c r="AI399">
        <f t="shared" si="72"/>
        <v>0</v>
      </c>
      <c r="AK399">
        <f t="shared" si="73"/>
        <v>1</v>
      </c>
      <c r="AL399">
        <v>11.16</v>
      </c>
      <c r="AM399" t="s">
        <v>27</v>
      </c>
      <c r="AN399">
        <v>11.16</v>
      </c>
      <c r="AO399" t="b">
        <f t="shared" si="74"/>
        <v>1</v>
      </c>
      <c r="AR399" t="s">
        <v>5061</v>
      </c>
      <c r="AS399" s="21">
        <v>46276</v>
      </c>
      <c r="AT399" t="s">
        <v>5062</v>
      </c>
      <c r="AU399" t="s">
        <v>5071</v>
      </c>
      <c r="AV399" t="s">
        <v>5062</v>
      </c>
      <c r="AW399" t="s">
        <v>5086</v>
      </c>
    </row>
    <row r="400" spans="1:49" hidden="1" x14ac:dyDescent="0.35">
      <c r="A400" t="s">
        <v>871</v>
      </c>
      <c r="B400" t="s">
        <v>872</v>
      </c>
      <c r="C400" t="s">
        <v>4818</v>
      </c>
      <c r="D400" t="s">
        <v>18</v>
      </c>
      <c r="E400" t="s">
        <v>2015</v>
      </c>
      <c r="F400" t="s">
        <v>2016</v>
      </c>
      <c r="G400" t="s">
        <v>21</v>
      </c>
      <c r="H400" t="s">
        <v>4826</v>
      </c>
      <c r="I400" t="s">
        <v>4935</v>
      </c>
      <c r="J400" s="4" t="s">
        <v>4936</v>
      </c>
      <c r="K400" s="4" t="s">
        <v>4837</v>
      </c>
      <c r="L400" s="4" t="s">
        <v>4953</v>
      </c>
      <c r="M400" s="4" t="s">
        <v>5035</v>
      </c>
      <c r="N400" t="s">
        <v>15</v>
      </c>
      <c r="O400" t="s">
        <v>2017</v>
      </c>
      <c r="P400" t="s">
        <v>23</v>
      </c>
      <c r="Q400" t="s">
        <v>24</v>
      </c>
      <c r="R400" t="s">
        <v>25</v>
      </c>
      <c r="S400" t="s">
        <v>26</v>
      </c>
      <c r="T400" s="6">
        <v>46307</v>
      </c>
      <c r="U400">
        <v>312</v>
      </c>
      <c r="V400">
        <v>312</v>
      </c>
      <c r="W400">
        <v>288</v>
      </c>
      <c r="X400">
        <v>288</v>
      </c>
      <c r="Y400">
        <f t="shared" si="69"/>
        <v>0</v>
      </c>
      <c r="Z400">
        <f t="shared" si="70"/>
        <v>24</v>
      </c>
      <c r="AA400">
        <f t="shared" ref="AA400:AA402" si="76">Z400</f>
        <v>24</v>
      </c>
      <c r="AC400" s="1">
        <v>0</v>
      </c>
      <c r="AF400">
        <f>X400</f>
        <v>288</v>
      </c>
      <c r="AG400" s="41">
        <v>12</v>
      </c>
      <c r="AH400">
        <f t="shared" si="71"/>
        <v>288</v>
      </c>
      <c r="AI400">
        <f t="shared" si="72"/>
        <v>24</v>
      </c>
      <c r="AK400">
        <f t="shared" si="73"/>
        <v>24</v>
      </c>
      <c r="AL400">
        <v>11.16</v>
      </c>
      <c r="AM400" t="s">
        <v>27</v>
      </c>
      <c r="AN400">
        <v>11.16</v>
      </c>
      <c r="AO400" t="b">
        <f t="shared" si="74"/>
        <v>1</v>
      </c>
      <c r="AR400" t="s">
        <v>5061</v>
      </c>
      <c r="AS400" s="21">
        <v>46276</v>
      </c>
      <c r="AT400" t="s">
        <v>5062</v>
      </c>
      <c r="AU400" t="s">
        <v>5071</v>
      </c>
      <c r="AV400" t="s">
        <v>5062</v>
      </c>
      <c r="AW400" t="s">
        <v>5086</v>
      </c>
    </row>
    <row r="401" spans="1:49" hidden="1" x14ac:dyDescent="0.35">
      <c r="A401" t="s">
        <v>871</v>
      </c>
      <c r="B401" t="s">
        <v>872</v>
      </c>
      <c r="C401" t="s">
        <v>4818</v>
      </c>
      <c r="D401" t="s">
        <v>18</v>
      </c>
      <c r="E401" t="s">
        <v>2018</v>
      </c>
      <c r="F401" t="s">
        <v>2019</v>
      </c>
      <c r="G401" t="s">
        <v>21</v>
      </c>
      <c r="H401" t="s">
        <v>4826</v>
      </c>
      <c r="I401" t="s">
        <v>4935</v>
      </c>
      <c r="J401" s="4" t="s">
        <v>4936</v>
      </c>
      <c r="K401" s="4" t="s">
        <v>4832</v>
      </c>
      <c r="L401" s="4" t="s">
        <v>4970</v>
      </c>
      <c r="M401" s="4" t="s">
        <v>5035</v>
      </c>
      <c r="N401" t="s">
        <v>15</v>
      </c>
      <c r="O401" t="s">
        <v>2020</v>
      </c>
      <c r="P401" t="s">
        <v>23</v>
      </c>
      <c r="Q401" t="s">
        <v>24</v>
      </c>
      <c r="R401" t="s">
        <v>25</v>
      </c>
      <c r="S401" t="s">
        <v>26</v>
      </c>
      <c r="T401" s="6">
        <v>46307</v>
      </c>
      <c r="U401">
        <v>384</v>
      </c>
      <c r="V401">
        <v>384</v>
      </c>
      <c r="W401">
        <v>360</v>
      </c>
      <c r="X401">
        <v>360</v>
      </c>
      <c r="Y401">
        <f t="shared" si="69"/>
        <v>0</v>
      </c>
      <c r="Z401">
        <f t="shared" si="70"/>
        <v>24</v>
      </c>
      <c r="AA401">
        <f t="shared" si="76"/>
        <v>24</v>
      </c>
      <c r="AC401" s="1">
        <v>0</v>
      </c>
      <c r="AF401">
        <f>X401</f>
        <v>360</v>
      </c>
      <c r="AG401" s="41">
        <v>12</v>
      </c>
      <c r="AH401">
        <f t="shared" si="71"/>
        <v>360</v>
      </c>
      <c r="AI401">
        <f t="shared" si="72"/>
        <v>24</v>
      </c>
      <c r="AK401">
        <f t="shared" si="73"/>
        <v>30</v>
      </c>
      <c r="AL401">
        <v>11.16</v>
      </c>
      <c r="AM401" t="s">
        <v>27</v>
      </c>
      <c r="AN401">
        <v>11.16</v>
      </c>
      <c r="AO401" t="b">
        <f t="shared" si="74"/>
        <v>1</v>
      </c>
      <c r="AR401" t="s">
        <v>5061</v>
      </c>
      <c r="AS401" s="21">
        <v>46276</v>
      </c>
      <c r="AT401" t="s">
        <v>5062</v>
      </c>
      <c r="AU401" t="s">
        <v>5071</v>
      </c>
      <c r="AV401" t="s">
        <v>5062</v>
      </c>
      <c r="AW401" t="s">
        <v>5086</v>
      </c>
    </row>
    <row r="402" spans="1:49" hidden="1" x14ac:dyDescent="0.35">
      <c r="A402" t="s">
        <v>871</v>
      </c>
      <c r="B402" t="s">
        <v>872</v>
      </c>
      <c r="C402" t="s">
        <v>4818</v>
      </c>
      <c r="D402" t="s">
        <v>18</v>
      </c>
      <c r="E402" t="s">
        <v>2021</v>
      </c>
      <c r="F402" t="s">
        <v>2022</v>
      </c>
      <c r="G402" t="s">
        <v>21</v>
      </c>
      <c r="H402" t="s">
        <v>4826</v>
      </c>
      <c r="I402" t="s">
        <v>4935</v>
      </c>
      <c r="J402" s="4" t="s">
        <v>4936</v>
      </c>
      <c r="K402" s="4" t="s">
        <v>4945</v>
      </c>
      <c r="L402" s="4" t="s">
        <v>4960</v>
      </c>
      <c r="M402" s="4" t="s">
        <v>5035</v>
      </c>
      <c r="N402" t="s">
        <v>15</v>
      </c>
      <c r="O402" t="s">
        <v>2023</v>
      </c>
      <c r="P402" t="s">
        <v>23</v>
      </c>
      <c r="Q402" t="s">
        <v>24</v>
      </c>
      <c r="R402" t="s">
        <v>25</v>
      </c>
      <c r="S402" t="s">
        <v>26</v>
      </c>
      <c r="T402" s="6">
        <v>46307</v>
      </c>
      <c r="U402">
        <v>108</v>
      </c>
      <c r="V402">
        <v>108</v>
      </c>
      <c r="W402">
        <v>96</v>
      </c>
      <c r="X402">
        <v>96</v>
      </c>
      <c r="Y402">
        <f t="shared" si="69"/>
        <v>0</v>
      </c>
      <c r="Z402">
        <f t="shared" si="70"/>
        <v>12</v>
      </c>
      <c r="AA402">
        <f t="shared" si="76"/>
        <v>12</v>
      </c>
      <c r="AC402" s="1">
        <v>0</v>
      </c>
      <c r="AF402">
        <f>X402</f>
        <v>96</v>
      </c>
      <c r="AG402" s="41">
        <v>12</v>
      </c>
      <c r="AH402">
        <f t="shared" si="71"/>
        <v>96</v>
      </c>
      <c r="AI402">
        <f t="shared" si="72"/>
        <v>12</v>
      </c>
      <c r="AK402">
        <f t="shared" si="73"/>
        <v>8</v>
      </c>
      <c r="AL402">
        <v>11.16</v>
      </c>
      <c r="AM402" t="s">
        <v>27</v>
      </c>
      <c r="AN402">
        <v>11.16</v>
      </c>
      <c r="AO402" t="b">
        <f t="shared" si="74"/>
        <v>1</v>
      </c>
      <c r="AR402" t="s">
        <v>5061</v>
      </c>
      <c r="AS402" s="21">
        <v>46276</v>
      </c>
      <c r="AT402" t="s">
        <v>5062</v>
      </c>
      <c r="AU402" t="s">
        <v>5071</v>
      </c>
      <c r="AV402" t="s">
        <v>5062</v>
      </c>
      <c r="AW402" t="s">
        <v>5086</v>
      </c>
    </row>
    <row r="403" spans="1:49" hidden="1" x14ac:dyDescent="0.35">
      <c r="A403" t="s">
        <v>871</v>
      </c>
      <c r="B403" t="s">
        <v>872</v>
      </c>
      <c r="C403" t="s">
        <v>4818</v>
      </c>
      <c r="D403" t="s">
        <v>18</v>
      </c>
      <c r="E403" t="s">
        <v>2024</v>
      </c>
      <c r="F403" t="s">
        <v>2025</v>
      </c>
      <c r="G403" t="s">
        <v>21</v>
      </c>
      <c r="H403" t="s">
        <v>4826</v>
      </c>
      <c r="I403" t="s">
        <v>4935</v>
      </c>
      <c r="J403" s="4" t="s">
        <v>4936</v>
      </c>
      <c r="K403" s="4" t="s">
        <v>4837</v>
      </c>
      <c r="L403" s="4" t="s">
        <v>4969</v>
      </c>
      <c r="M403" s="4" t="s">
        <v>5035</v>
      </c>
      <c r="N403" t="s">
        <v>15</v>
      </c>
      <c r="O403" t="s">
        <v>2026</v>
      </c>
      <c r="P403" t="s">
        <v>23</v>
      </c>
      <c r="Q403" t="s">
        <v>24</v>
      </c>
      <c r="R403" t="s">
        <v>25</v>
      </c>
      <c r="S403" t="s">
        <v>26</v>
      </c>
      <c r="T403" s="6">
        <v>46307</v>
      </c>
      <c r="U403">
        <v>12</v>
      </c>
      <c r="V403">
        <v>12</v>
      </c>
      <c r="W403">
        <v>12</v>
      </c>
      <c r="X403">
        <v>12</v>
      </c>
      <c r="Y403">
        <f t="shared" si="69"/>
        <v>0</v>
      </c>
      <c r="Z403">
        <f t="shared" si="70"/>
        <v>0</v>
      </c>
      <c r="AC403" s="1">
        <v>0</v>
      </c>
      <c r="AF403">
        <f>V403</f>
        <v>12</v>
      </c>
      <c r="AG403" s="41">
        <v>12</v>
      </c>
      <c r="AH403">
        <f t="shared" si="71"/>
        <v>12</v>
      </c>
      <c r="AI403">
        <f t="shared" si="72"/>
        <v>0</v>
      </c>
      <c r="AK403">
        <f t="shared" si="73"/>
        <v>1</v>
      </c>
      <c r="AL403">
        <v>11.16</v>
      </c>
      <c r="AM403" t="s">
        <v>27</v>
      </c>
      <c r="AN403">
        <v>11.16</v>
      </c>
      <c r="AO403" t="b">
        <f t="shared" si="74"/>
        <v>1</v>
      </c>
      <c r="AR403" t="s">
        <v>5061</v>
      </c>
      <c r="AS403" s="21">
        <v>46276</v>
      </c>
      <c r="AT403" t="s">
        <v>5062</v>
      </c>
      <c r="AU403" t="s">
        <v>5071</v>
      </c>
      <c r="AV403" t="s">
        <v>5062</v>
      </c>
      <c r="AW403" t="s">
        <v>5086</v>
      </c>
    </row>
    <row r="404" spans="1:49" hidden="1" x14ac:dyDescent="0.35">
      <c r="A404" t="s">
        <v>871</v>
      </c>
      <c r="B404" t="s">
        <v>872</v>
      </c>
      <c r="C404" t="s">
        <v>4818</v>
      </c>
      <c r="D404" t="s">
        <v>18</v>
      </c>
      <c r="E404" t="s">
        <v>2027</v>
      </c>
      <c r="F404" t="s">
        <v>2028</v>
      </c>
      <c r="G404" t="s">
        <v>21</v>
      </c>
      <c r="H404" t="s">
        <v>4826</v>
      </c>
      <c r="I404" t="s">
        <v>4935</v>
      </c>
      <c r="J404" s="4" t="s">
        <v>4936</v>
      </c>
      <c r="K404" s="4" t="s">
        <v>4957</v>
      </c>
      <c r="L404" s="4" t="s">
        <v>4944</v>
      </c>
      <c r="M404" s="4" t="s">
        <v>5035</v>
      </c>
      <c r="N404" t="s">
        <v>15</v>
      </c>
      <c r="O404" t="s">
        <v>2029</v>
      </c>
      <c r="P404" t="s">
        <v>23</v>
      </c>
      <c r="Q404" t="s">
        <v>24</v>
      </c>
      <c r="R404" t="s">
        <v>25</v>
      </c>
      <c r="S404" t="s">
        <v>26</v>
      </c>
      <c r="T404" s="6">
        <v>46307</v>
      </c>
      <c r="U404">
        <v>108</v>
      </c>
      <c r="V404">
        <v>108</v>
      </c>
      <c r="W404">
        <v>96</v>
      </c>
      <c r="X404">
        <v>96</v>
      </c>
      <c r="Y404">
        <f t="shared" si="69"/>
        <v>0</v>
      </c>
      <c r="Z404">
        <f t="shared" si="70"/>
        <v>12</v>
      </c>
      <c r="AA404">
        <f>Z404</f>
        <v>12</v>
      </c>
      <c r="AC404" s="1">
        <v>0</v>
      </c>
      <c r="AF404">
        <f>X404</f>
        <v>96</v>
      </c>
      <c r="AG404" s="41">
        <v>12</v>
      </c>
      <c r="AH404">
        <f t="shared" si="71"/>
        <v>96</v>
      </c>
      <c r="AI404">
        <f t="shared" si="72"/>
        <v>12</v>
      </c>
      <c r="AK404">
        <f t="shared" si="73"/>
        <v>8</v>
      </c>
      <c r="AL404">
        <v>11.27</v>
      </c>
      <c r="AM404" t="s">
        <v>27</v>
      </c>
      <c r="AN404">
        <v>11.27</v>
      </c>
      <c r="AO404" t="b">
        <f t="shared" si="74"/>
        <v>1</v>
      </c>
      <c r="AR404" t="s">
        <v>5061</v>
      </c>
      <c r="AS404" s="21">
        <v>46276</v>
      </c>
      <c r="AT404" t="s">
        <v>5062</v>
      </c>
      <c r="AU404" t="s">
        <v>5071</v>
      </c>
      <c r="AV404" t="s">
        <v>5062</v>
      </c>
      <c r="AW404" t="s">
        <v>5086</v>
      </c>
    </row>
    <row r="405" spans="1:49" hidden="1" x14ac:dyDescent="0.35">
      <c r="A405" t="s">
        <v>871</v>
      </c>
      <c r="B405" t="s">
        <v>872</v>
      </c>
      <c r="C405" t="s">
        <v>4818</v>
      </c>
      <c r="D405" t="s">
        <v>18</v>
      </c>
      <c r="E405" t="s">
        <v>2030</v>
      </c>
      <c r="F405" t="s">
        <v>2031</v>
      </c>
      <c r="G405" t="s">
        <v>21</v>
      </c>
      <c r="H405" t="s">
        <v>4826</v>
      </c>
      <c r="I405" t="s">
        <v>4935</v>
      </c>
      <c r="J405" s="4" t="s">
        <v>4936</v>
      </c>
      <c r="K405" s="4" t="s">
        <v>4937</v>
      </c>
      <c r="L405" s="4" t="s">
        <v>4955</v>
      </c>
      <c r="M405" s="4" t="s">
        <v>5035</v>
      </c>
      <c r="N405" t="s">
        <v>15</v>
      </c>
      <c r="O405" t="s">
        <v>2032</v>
      </c>
      <c r="P405" t="s">
        <v>23</v>
      </c>
      <c r="Q405" t="s">
        <v>24</v>
      </c>
      <c r="R405" t="s">
        <v>25</v>
      </c>
      <c r="S405" t="s">
        <v>26</v>
      </c>
      <c r="T405" s="6">
        <v>46307</v>
      </c>
      <c r="U405">
        <v>48</v>
      </c>
      <c r="V405">
        <v>48</v>
      </c>
      <c r="W405">
        <v>48</v>
      </c>
      <c r="X405">
        <v>48</v>
      </c>
      <c r="Y405">
        <f t="shared" si="69"/>
        <v>0</v>
      </c>
      <c r="Z405">
        <f t="shared" si="70"/>
        <v>0</v>
      </c>
      <c r="AC405" s="1">
        <v>0</v>
      </c>
      <c r="AF405">
        <f>V405</f>
        <v>48</v>
      </c>
      <c r="AG405" s="41">
        <v>12</v>
      </c>
      <c r="AH405">
        <f t="shared" si="71"/>
        <v>48</v>
      </c>
      <c r="AI405">
        <f t="shared" si="72"/>
        <v>0</v>
      </c>
      <c r="AK405">
        <f t="shared" si="73"/>
        <v>4</v>
      </c>
      <c r="AL405">
        <v>11.16</v>
      </c>
      <c r="AM405" t="s">
        <v>27</v>
      </c>
      <c r="AN405">
        <v>11.16</v>
      </c>
      <c r="AO405" t="b">
        <f t="shared" si="74"/>
        <v>1</v>
      </c>
      <c r="AR405" t="s">
        <v>5061</v>
      </c>
      <c r="AS405" s="21">
        <v>46276</v>
      </c>
      <c r="AT405" t="s">
        <v>5062</v>
      </c>
      <c r="AU405" t="s">
        <v>5071</v>
      </c>
      <c r="AV405" t="s">
        <v>5062</v>
      </c>
      <c r="AW405" t="s">
        <v>5086</v>
      </c>
    </row>
    <row r="406" spans="1:49" hidden="1" x14ac:dyDescent="0.35">
      <c r="A406" t="s">
        <v>871</v>
      </c>
      <c r="B406" t="s">
        <v>872</v>
      </c>
      <c r="C406" t="s">
        <v>4818</v>
      </c>
      <c r="D406" t="s">
        <v>18</v>
      </c>
      <c r="E406" t="s">
        <v>2033</v>
      </c>
      <c r="F406" t="s">
        <v>2034</v>
      </c>
      <c r="G406" t="s">
        <v>21</v>
      </c>
      <c r="H406" t="s">
        <v>4826</v>
      </c>
      <c r="I406" t="s">
        <v>4935</v>
      </c>
      <c r="J406" s="4" t="s">
        <v>4936</v>
      </c>
      <c r="K406" s="4" t="s">
        <v>4832</v>
      </c>
      <c r="L406" s="4" t="s">
        <v>4940</v>
      </c>
      <c r="M406" s="4" t="s">
        <v>5035</v>
      </c>
      <c r="N406" t="s">
        <v>15</v>
      </c>
      <c r="O406" t="s">
        <v>2035</v>
      </c>
      <c r="P406" t="s">
        <v>23</v>
      </c>
      <c r="Q406" t="s">
        <v>24</v>
      </c>
      <c r="R406" t="s">
        <v>25</v>
      </c>
      <c r="S406" t="s">
        <v>26</v>
      </c>
      <c r="T406" s="6">
        <v>46307</v>
      </c>
      <c r="U406">
        <v>60</v>
      </c>
      <c r="V406">
        <v>60</v>
      </c>
      <c r="W406">
        <v>48</v>
      </c>
      <c r="X406">
        <v>48</v>
      </c>
      <c r="Y406">
        <f t="shared" si="69"/>
        <v>0</v>
      </c>
      <c r="Z406">
        <f t="shared" si="70"/>
        <v>12</v>
      </c>
      <c r="AA406">
        <f>Z406</f>
        <v>12</v>
      </c>
      <c r="AC406" s="1">
        <v>0</v>
      </c>
      <c r="AF406">
        <f>X406</f>
        <v>48</v>
      </c>
      <c r="AG406" s="41">
        <v>12</v>
      </c>
      <c r="AH406">
        <f t="shared" si="71"/>
        <v>48</v>
      </c>
      <c r="AI406">
        <f t="shared" si="72"/>
        <v>12</v>
      </c>
      <c r="AK406">
        <f t="shared" si="73"/>
        <v>4</v>
      </c>
      <c r="AL406">
        <v>11.16</v>
      </c>
      <c r="AM406" t="s">
        <v>27</v>
      </c>
      <c r="AN406">
        <v>11.16</v>
      </c>
      <c r="AO406" t="b">
        <f t="shared" si="74"/>
        <v>1</v>
      </c>
      <c r="AR406" t="s">
        <v>5061</v>
      </c>
      <c r="AS406" s="21">
        <v>46276</v>
      </c>
      <c r="AT406" t="s">
        <v>5062</v>
      </c>
      <c r="AU406" t="s">
        <v>5071</v>
      </c>
      <c r="AV406" t="s">
        <v>5062</v>
      </c>
      <c r="AW406" t="s">
        <v>5086</v>
      </c>
    </row>
    <row r="407" spans="1:49" hidden="1" x14ac:dyDescent="0.35">
      <c r="A407" t="s">
        <v>871</v>
      </c>
      <c r="B407" t="s">
        <v>872</v>
      </c>
      <c r="C407" t="s">
        <v>4818</v>
      </c>
      <c r="D407" t="s">
        <v>18</v>
      </c>
      <c r="E407" t="s">
        <v>2036</v>
      </c>
      <c r="F407" t="s">
        <v>2037</v>
      </c>
      <c r="G407" t="s">
        <v>21</v>
      </c>
      <c r="H407" t="s">
        <v>4826</v>
      </c>
      <c r="I407" t="s">
        <v>4935</v>
      </c>
      <c r="J407" s="4" t="s">
        <v>4936</v>
      </c>
      <c r="K407" s="4" t="s">
        <v>4945</v>
      </c>
      <c r="L407" s="4" t="s">
        <v>4949</v>
      </c>
      <c r="M407" s="4" t="s">
        <v>5035</v>
      </c>
      <c r="N407" t="s">
        <v>15</v>
      </c>
      <c r="O407" t="s">
        <v>2038</v>
      </c>
      <c r="P407" t="s">
        <v>23</v>
      </c>
      <c r="Q407" t="s">
        <v>24</v>
      </c>
      <c r="R407" t="s">
        <v>25</v>
      </c>
      <c r="S407" t="s">
        <v>26</v>
      </c>
      <c r="T407" s="6">
        <v>46307</v>
      </c>
      <c r="U407">
        <v>12</v>
      </c>
      <c r="V407">
        <v>12</v>
      </c>
      <c r="W407">
        <v>12</v>
      </c>
      <c r="X407">
        <v>12</v>
      </c>
      <c r="Y407">
        <f t="shared" si="69"/>
        <v>0</v>
      </c>
      <c r="Z407">
        <f t="shared" si="70"/>
        <v>0</v>
      </c>
      <c r="AC407" s="1">
        <v>0</v>
      </c>
      <c r="AF407">
        <f>V407</f>
        <v>12</v>
      </c>
      <c r="AG407" s="41">
        <v>12</v>
      </c>
      <c r="AH407">
        <f t="shared" si="71"/>
        <v>12</v>
      </c>
      <c r="AI407">
        <f t="shared" si="72"/>
        <v>0</v>
      </c>
      <c r="AK407">
        <f t="shared" si="73"/>
        <v>1</v>
      </c>
      <c r="AL407">
        <v>11.16</v>
      </c>
      <c r="AM407" t="s">
        <v>27</v>
      </c>
      <c r="AN407">
        <v>11.16</v>
      </c>
      <c r="AO407" t="b">
        <f t="shared" si="74"/>
        <v>1</v>
      </c>
      <c r="AR407" t="s">
        <v>5061</v>
      </c>
      <c r="AS407" s="21">
        <v>46276</v>
      </c>
      <c r="AT407" t="s">
        <v>5062</v>
      </c>
      <c r="AU407" t="s">
        <v>5071</v>
      </c>
      <c r="AV407" t="s">
        <v>5062</v>
      </c>
      <c r="AW407" t="s">
        <v>5086</v>
      </c>
    </row>
    <row r="408" spans="1:49" hidden="1" x14ac:dyDescent="0.35">
      <c r="A408" t="s">
        <v>871</v>
      </c>
      <c r="B408" t="s">
        <v>872</v>
      </c>
      <c r="C408" t="s">
        <v>4818</v>
      </c>
      <c r="D408" t="s">
        <v>18</v>
      </c>
      <c r="E408" t="s">
        <v>2039</v>
      </c>
      <c r="F408" t="s">
        <v>2040</v>
      </c>
      <c r="G408" t="s">
        <v>21</v>
      </c>
      <c r="H408" t="s">
        <v>4826</v>
      </c>
      <c r="I408" t="s">
        <v>4935</v>
      </c>
      <c r="J408" s="4" t="s">
        <v>4936</v>
      </c>
      <c r="K408" s="4" t="s">
        <v>4937</v>
      </c>
      <c r="L408" s="4" t="s">
        <v>4971</v>
      </c>
      <c r="M408" s="4" t="s">
        <v>5035</v>
      </c>
      <c r="N408" t="s">
        <v>15</v>
      </c>
      <c r="O408" t="s">
        <v>2041</v>
      </c>
      <c r="P408" t="s">
        <v>23</v>
      </c>
      <c r="Q408" t="s">
        <v>24</v>
      </c>
      <c r="R408" t="s">
        <v>25</v>
      </c>
      <c r="S408" t="s">
        <v>26</v>
      </c>
      <c r="T408" s="6">
        <v>46307</v>
      </c>
      <c r="U408">
        <v>24</v>
      </c>
      <c r="V408">
        <v>24</v>
      </c>
      <c r="W408">
        <v>24</v>
      </c>
      <c r="X408">
        <v>24</v>
      </c>
      <c r="Y408">
        <f t="shared" si="69"/>
        <v>0</v>
      </c>
      <c r="Z408">
        <f t="shared" si="70"/>
        <v>0</v>
      </c>
      <c r="AC408" s="1">
        <v>0</v>
      </c>
      <c r="AF408">
        <f>V408</f>
        <v>24</v>
      </c>
      <c r="AG408" s="41">
        <v>12</v>
      </c>
      <c r="AH408">
        <f t="shared" si="71"/>
        <v>24</v>
      </c>
      <c r="AI408">
        <f t="shared" si="72"/>
        <v>0</v>
      </c>
      <c r="AK408">
        <f t="shared" si="73"/>
        <v>2</v>
      </c>
      <c r="AL408">
        <v>11.16</v>
      </c>
      <c r="AM408" t="s">
        <v>27</v>
      </c>
      <c r="AN408">
        <v>11.16</v>
      </c>
      <c r="AO408" t="b">
        <f t="shared" si="74"/>
        <v>1</v>
      </c>
      <c r="AR408" t="s">
        <v>5061</v>
      </c>
      <c r="AS408" s="21">
        <v>46276</v>
      </c>
      <c r="AT408" t="s">
        <v>5062</v>
      </c>
      <c r="AU408" t="s">
        <v>5071</v>
      </c>
      <c r="AV408" t="s">
        <v>5062</v>
      </c>
      <c r="AW408" t="s">
        <v>5086</v>
      </c>
    </row>
    <row r="409" spans="1:49" hidden="1" x14ac:dyDescent="0.35">
      <c r="A409" t="s">
        <v>871</v>
      </c>
      <c r="B409" t="s">
        <v>872</v>
      </c>
      <c r="C409" t="s">
        <v>4818</v>
      </c>
      <c r="D409" t="s">
        <v>18</v>
      </c>
      <c r="E409" t="s">
        <v>2042</v>
      </c>
      <c r="F409" t="s">
        <v>2043</v>
      </c>
      <c r="G409" t="s">
        <v>21</v>
      </c>
      <c r="H409" t="s">
        <v>4826</v>
      </c>
      <c r="I409" t="s">
        <v>4935</v>
      </c>
      <c r="J409" s="4" t="s">
        <v>4936</v>
      </c>
      <c r="K409" s="4" t="s">
        <v>4945</v>
      </c>
      <c r="L409" s="4" t="s">
        <v>4953</v>
      </c>
      <c r="M409" s="4" t="s">
        <v>5035</v>
      </c>
      <c r="N409" t="s">
        <v>15</v>
      </c>
      <c r="O409" t="s">
        <v>2044</v>
      </c>
      <c r="P409" t="s">
        <v>23</v>
      </c>
      <c r="Q409" t="s">
        <v>24</v>
      </c>
      <c r="R409" t="s">
        <v>25</v>
      </c>
      <c r="S409" t="s">
        <v>26</v>
      </c>
      <c r="T409" s="6">
        <v>46307</v>
      </c>
      <c r="U409">
        <v>48</v>
      </c>
      <c r="V409">
        <v>48</v>
      </c>
      <c r="W409">
        <v>48</v>
      </c>
      <c r="X409">
        <v>48</v>
      </c>
      <c r="Y409">
        <f t="shared" si="69"/>
        <v>0</v>
      </c>
      <c r="Z409">
        <f t="shared" si="70"/>
        <v>0</v>
      </c>
      <c r="AC409" s="1">
        <v>0</v>
      </c>
      <c r="AF409">
        <f>V409</f>
        <v>48</v>
      </c>
      <c r="AG409" s="41">
        <v>12</v>
      </c>
      <c r="AH409">
        <f t="shared" si="71"/>
        <v>48</v>
      </c>
      <c r="AI409">
        <f t="shared" si="72"/>
        <v>0</v>
      </c>
      <c r="AK409">
        <f t="shared" si="73"/>
        <v>4</v>
      </c>
      <c r="AL409">
        <v>11.16</v>
      </c>
      <c r="AM409" t="s">
        <v>27</v>
      </c>
      <c r="AN409">
        <v>11.16</v>
      </c>
      <c r="AO409" t="b">
        <f t="shared" si="74"/>
        <v>1</v>
      </c>
      <c r="AR409" t="s">
        <v>5061</v>
      </c>
      <c r="AS409" s="21">
        <v>46276</v>
      </c>
      <c r="AT409" t="s">
        <v>5062</v>
      </c>
      <c r="AU409" t="s">
        <v>5071</v>
      </c>
      <c r="AV409" t="s">
        <v>5062</v>
      </c>
      <c r="AW409" t="s">
        <v>5086</v>
      </c>
    </row>
    <row r="410" spans="1:49" hidden="1" x14ac:dyDescent="0.35">
      <c r="A410" t="s">
        <v>871</v>
      </c>
      <c r="B410" t="s">
        <v>872</v>
      </c>
      <c r="C410" t="s">
        <v>4818</v>
      </c>
      <c r="D410" t="s">
        <v>18</v>
      </c>
      <c r="E410" t="s">
        <v>2045</v>
      </c>
      <c r="F410" t="s">
        <v>2046</v>
      </c>
      <c r="G410" t="s">
        <v>21</v>
      </c>
      <c r="H410" t="s">
        <v>4826</v>
      </c>
      <c r="I410" t="s">
        <v>4935</v>
      </c>
      <c r="J410" s="4" t="s">
        <v>4936</v>
      </c>
      <c r="K410" s="4" t="s">
        <v>4832</v>
      </c>
      <c r="L410" s="4" t="s">
        <v>4946</v>
      </c>
      <c r="M410" s="4" t="s">
        <v>5035</v>
      </c>
      <c r="N410" t="s">
        <v>15</v>
      </c>
      <c r="O410" t="s">
        <v>2047</v>
      </c>
      <c r="P410" t="s">
        <v>23</v>
      </c>
      <c r="Q410" t="s">
        <v>24</v>
      </c>
      <c r="R410" t="s">
        <v>25</v>
      </c>
      <c r="S410" t="s">
        <v>26</v>
      </c>
      <c r="T410" s="6">
        <v>46307</v>
      </c>
      <c r="U410">
        <v>324</v>
      </c>
      <c r="V410">
        <v>324</v>
      </c>
      <c r="W410">
        <v>288</v>
      </c>
      <c r="X410">
        <v>288</v>
      </c>
      <c r="Y410">
        <f t="shared" si="69"/>
        <v>0</v>
      </c>
      <c r="Z410">
        <f t="shared" si="70"/>
        <v>36</v>
      </c>
      <c r="AA410">
        <f>Z410</f>
        <v>36</v>
      </c>
      <c r="AC410" s="1">
        <v>0</v>
      </c>
      <c r="AF410">
        <f>X410</f>
        <v>288</v>
      </c>
      <c r="AG410" s="41">
        <v>12</v>
      </c>
      <c r="AH410">
        <f t="shared" si="71"/>
        <v>288</v>
      </c>
      <c r="AI410">
        <f t="shared" si="72"/>
        <v>36</v>
      </c>
      <c r="AK410">
        <f t="shared" si="73"/>
        <v>24</v>
      </c>
      <c r="AL410">
        <v>11.16</v>
      </c>
      <c r="AM410" t="s">
        <v>27</v>
      </c>
      <c r="AN410">
        <v>11.16</v>
      </c>
      <c r="AO410" t="b">
        <f t="shared" si="74"/>
        <v>1</v>
      </c>
      <c r="AR410" t="s">
        <v>5061</v>
      </c>
      <c r="AS410" s="21">
        <v>46276</v>
      </c>
      <c r="AT410" t="s">
        <v>5062</v>
      </c>
      <c r="AU410" t="s">
        <v>5071</v>
      </c>
      <c r="AV410" t="s">
        <v>5062</v>
      </c>
      <c r="AW410" t="s">
        <v>5086</v>
      </c>
    </row>
    <row r="411" spans="1:49" hidden="1" x14ac:dyDescent="0.35">
      <c r="A411" t="s">
        <v>871</v>
      </c>
      <c r="B411" t="s">
        <v>872</v>
      </c>
      <c r="C411" t="s">
        <v>4818</v>
      </c>
      <c r="D411" t="s">
        <v>18</v>
      </c>
      <c r="E411" t="s">
        <v>2048</v>
      </c>
      <c r="F411" t="s">
        <v>2049</v>
      </c>
      <c r="G411" t="s">
        <v>21</v>
      </c>
      <c r="H411" t="s">
        <v>4826</v>
      </c>
      <c r="I411" t="s">
        <v>4935</v>
      </c>
      <c r="J411" s="4" t="s">
        <v>4936</v>
      </c>
      <c r="K411" s="4" t="s">
        <v>4945</v>
      </c>
      <c r="L411" s="4" t="s">
        <v>4954</v>
      </c>
      <c r="M411" s="4" t="s">
        <v>5035</v>
      </c>
      <c r="N411" t="s">
        <v>15</v>
      </c>
      <c r="O411" t="s">
        <v>2050</v>
      </c>
      <c r="P411" t="s">
        <v>23</v>
      </c>
      <c r="Q411" t="s">
        <v>24</v>
      </c>
      <c r="R411" t="s">
        <v>25</v>
      </c>
      <c r="S411" t="s">
        <v>26</v>
      </c>
      <c r="T411" s="6">
        <v>46307</v>
      </c>
      <c r="U411">
        <v>12</v>
      </c>
      <c r="V411">
        <v>12</v>
      </c>
      <c r="W411">
        <v>12</v>
      </c>
      <c r="X411">
        <v>12</v>
      </c>
      <c r="Y411">
        <f t="shared" si="69"/>
        <v>0</v>
      </c>
      <c r="Z411">
        <f t="shared" si="70"/>
        <v>0</v>
      </c>
      <c r="AC411" s="1">
        <v>0</v>
      </c>
      <c r="AF411">
        <f>V411</f>
        <v>12</v>
      </c>
      <c r="AG411" s="41">
        <v>12</v>
      </c>
      <c r="AH411">
        <f t="shared" si="71"/>
        <v>12</v>
      </c>
      <c r="AI411">
        <f t="shared" si="72"/>
        <v>0</v>
      </c>
      <c r="AK411">
        <f t="shared" si="73"/>
        <v>1</v>
      </c>
      <c r="AL411">
        <v>11.16</v>
      </c>
      <c r="AM411" t="s">
        <v>27</v>
      </c>
      <c r="AN411">
        <v>11.16</v>
      </c>
      <c r="AO411" t="b">
        <f t="shared" si="74"/>
        <v>1</v>
      </c>
      <c r="AR411" t="s">
        <v>5061</v>
      </c>
      <c r="AS411" s="21">
        <v>46276</v>
      </c>
      <c r="AT411" t="s">
        <v>5062</v>
      </c>
      <c r="AU411" t="s">
        <v>5071</v>
      </c>
      <c r="AV411" t="s">
        <v>5062</v>
      </c>
      <c r="AW411" t="s">
        <v>5086</v>
      </c>
    </row>
    <row r="412" spans="1:49" hidden="1" x14ac:dyDescent="0.35">
      <c r="A412" t="s">
        <v>871</v>
      </c>
      <c r="B412" t="s">
        <v>872</v>
      </c>
      <c r="C412" t="s">
        <v>4818</v>
      </c>
      <c r="D412" t="s">
        <v>18</v>
      </c>
      <c r="E412" t="s">
        <v>2051</v>
      </c>
      <c r="F412" t="s">
        <v>2052</v>
      </c>
      <c r="G412" t="s">
        <v>21</v>
      </c>
      <c r="H412" t="s">
        <v>4826</v>
      </c>
      <c r="I412" t="s">
        <v>4935</v>
      </c>
      <c r="J412" s="4" t="s">
        <v>4936</v>
      </c>
      <c r="K412" s="4" t="s">
        <v>4837</v>
      </c>
      <c r="L412" s="4" t="s">
        <v>4970</v>
      </c>
      <c r="M412" s="4" t="s">
        <v>5035</v>
      </c>
      <c r="N412" t="s">
        <v>15</v>
      </c>
      <c r="O412" t="s">
        <v>2053</v>
      </c>
      <c r="P412" t="s">
        <v>23</v>
      </c>
      <c r="Q412" t="s">
        <v>24</v>
      </c>
      <c r="R412" t="s">
        <v>25</v>
      </c>
      <c r="S412" t="s">
        <v>26</v>
      </c>
      <c r="T412" s="6">
        <v>46307</v>
      </c>
      <c r="U412">
        <v>276</v>
      </c>
      <c r="V412">
        <v>276</v>
      </c>
      <c r="W412">
        <v>252</v>
      </c>
      <c r="X412">
        <v>252</v>
      </c>
      <c r="Y412">
        <f t="shared" si="69"/>
        <v>0</v>
      </c>
      <c r="Z412">
        <f t="shared" si="70"/>
        <v>24</v>
      </c>
      <c r="AA412">
        <f t="shared" ref="AA412:AA414" si="77">Z412</f>
        <v>24</v>
      </c>
      <c r="AC412" s="1">
        <v>0</v>
      </c>
      <c r="AF412">
        <f>X412</f>
        <v>252</v>
      </c>
      <c r="AG412" s="41">
        <v>12</v>
      </c>
      <c r="AH412">
        <f t="shared" si="71"/>
        <v>252</v>
      </c>
      <c r="AI412">
        <f t="shared" si="72"/>
        <v>24</v>
      </c>
      <c r="AK412">
        <f t="shared" si="73"/>
        <v>21</v>
      </c>
      <c r="AL412">
        <v>11.16</v>
      </c>
      <c r="AM412" t="s">
        <v>27</v>
      </c>
      <c r="AN412">
        <v>11.16</v>
      </c>
      <c r="AO412" t="b">
        <f t="shared" si="74"/>
        <v>1</v>
      </c>
      <c r="AR412" t="s">
        <v>5061</v>
      </c>
      <c r="AS412" s="21">
        <v>46276</v>
      </c>
      <c r="AT412" t="s">
        <v>5062</v>
      </c>
      <c r="AU412" t="s">
        <v>5071</v>
      </c>
      <c r="AV412" t="s">
        <v>5062</v>
      </c>
      <c r="AW412" t="s">
        <v>5086</v>
      </c>
    </row>
    <row r="413" spans="1:49" hidden="1" x14ac:dyDescent="0.35">
      <c r="A413" t="s">
        <v>871</v>
      </c>
      <c r="B413" t="s">
        <v>872</v>
      </c>
      <c r="C413" t="s">
        <v>4818</v>
      </c>
      <c r="D413" t="s">
        <v>18</v>
      </c>
      <c r="E413" t="s">
        <v>2054</v>
      </c>
      <c r="F413" t="s">
        <v>2055</v>
      </c>
      <c r="G413" t="s">
        <v>21</v>
      </c>
      <c r="H413" t="s">
        <v>4826</v>
      </c>
      <c r="I413" t="s">
        <v>4935</v>
      </c>
      <c r="J413" s="4" t="s">
        <v>4936</v>
      </c>
      <c r="K413" s="4" t="s">
        <v>4832</v>
      </c>
      <c r="L413" s="4" t="s">
        <v>4958</v>
      </c>
      <c r="M413" s="4" t="s">
        <v>5035</v>
      </c>
      <c r="N413" t="s">
        <v>15</v>
      </c>
      <c r="O413" t="s">
        <v>2056</v>
      </c>
      <c r="P413" t="s">
        <v>23</v>
      </c>
      <c r="Q413" t="s">
        <v>24</v>
      </c>
      <c r="R413" t="s">
        <v>25</v>
      </c>
      <c r="S413" t="s">
        <v>26</v>
      </c>
      <c r="T413" s="6">
        <v>46307</v>
      </c>
      <c r="U413">
        <v>216</v>
      </c>
      <c r="V413">
        <v>216</v>
      </c>
      <c r="W413">
        <v>204</v>
      </c>
      <c r="X413">
        <v>204</v>
      </c>
      <c r="Y413">
        <f t="shared" si="69"/>
        <v>0</v>
      </c>
      <c r="Z413">
        <f t="shared" si="70"/>
        <v>12</v>
      </c>
      <c r="AA413">
        <f t="shared" si="77"/>
        <v>12</v>
      </c>
      <c r="AC413" s="1">
        <v>0</v>
      </c>
      <c r="AF413">
        <f>X413</f>
        <v>204</v>
      </c>
      <c r="AG413" s="41">
        <v>12</v>
      </c>
      <c r="AH413">
        <f t="shared" si="71"/>
        <v>204</v>
      </c>
      <c r="AI413">
        <f t="shared" si="72"/>
        <v>12</v>
      </c>
      <c r="AK413">
        <f t="shared" si="73"/>
        <v>17</v>
      </c>
      <c r="AL413">
        <v>11.16</v>
      </c>
      <c r="AM413" t="s">
        <v>27</v>
      </c>
      <c r="AN413">
        <v>11.16</v>
      </c>
      <c r="AO413" t="b">
        <f t="shared" si="74"/>
        <v>1</v>
      </c>
      <c r="AR413" t="s">
        <v>5061</v>
      </c>
      <c r="AS413" s="21">
        <v>46276</v>
      </c>
      <c r="AT413" t="s">
        <v>5062</v>
      </c>
      <c r="AU413" t="s">
        <v>5071</v>
      </c>
      <c r="AV413" t="s">
        <v>5062</v>
      </c>
      <c r="AW413" t="s">
        <v>5086</v>
      </c>
    </row>
    <row r="414" spans="1:49" hidden="1" x14ac:dyDescent="0.35">
      <c r="A414" t="s">
        <v>871</v>
      </c>
      <c r="B414" t="s">
        <v>872</v>
      </c>
      <c r="C414" t="s">
        <v>4818</v>
      </c>
      <c r="D414" t="s">
        <v>18</v>
      </c>
      <c r="E414" t="s">
        <v>2057</v>
      </c>
      <c r="F414" t="s">
        <v>2058</v>
      </c>
      <c r="G414" t="s">
        <v>21</v>
      </c>
      <c r="H414" t="s">
        <v>4826</v>
      </c>
      <c r="I414" t="s">
        <v>4935</v>
      </c>
      <c r="J414" s="4" t="s">
        <v>4936</v>
      </c>
      <c r="K414" s="4" t="s">
        <v>4832</v>
      </c>
      <c r="L414" s="4" t="s">
        <v>4972</v>
      </c>
      <c r="M414" s="4" t="s">
        <v>5035</v>
      </c>
      <c r="N414" t="s">
        <v>15</v>
      </c>
      <c r="O414" t="s">
        <v>2059</v>
      </c>
      <c r="P414" t="s">
        <v>23</v>
      </c>
      <c r="Q414" t="s">
        <v>24</v>
      </c>
      <c r="R414" t="s">
        <v>25</v>
      </c>
      <c r="S414" t="s">
        <v>26</v>
      </c>
      <c r="T414" s="6">
        <v>46307</v>
      </c>
      <c r="U414">
        <v>180</v>
      </c>
      <c r="V414">
        <v>180</v>
      </c>
      <c r="W414">
        <v>156</v>
      </c>
      <c r="X414">
        <v>156</v>
      </c>
      <c r="Y414">
        <f t="shared" si="69"/>
        <v>0</v>
      </c>
      <c r="Z414">
        <f t="shared" si="70"/>
        <v>24</v>
      </c>
      <c r="AA414">
        <f t="shared" si="77"/>
        <v>24</v>
      </c>
      <c r="AC414" s="1">
        <v>0</v>
      </c>
      <c r="AF414">
        <f>X414</f>
        <v>156</v>
      </c>
      <c r="AG414" s="41">
        <v>12</v>
      </c>
      <c r="AH414">
        <f t="shared" si="71"/>
        <v>156</v>
      </c>
      <c r="AI414">
        <f t="shared" si="72"/>
        <v>24</v>
      </c>
      <c r="AK414">
        <f t="shared" si="73"/>
        <v>13</v>
      </c>
      <c r="AL414">
        <v>11.16</v>
      </c>
      <c r="AM414" t="s">
        <v>27</v>
      </c>
      <c r="AN414">
        <v>11.16</v>
      </c>
      <c r="AO414" t="b">
        <f t="shared" si="74"/>
        <v>1</v>
      </c>
      <c r="AR414" t="s">
        <v>5061</v>
      </c>
      <c r="AS414" s="21">
        <v>46276</v>
      </c>
      <c r="AT414" t="s">
        <v>5062</v>
      </c>
      <c r="AU414" t="s">
        <v>5071</v>
      </c>
      <c r="AV414" t="s">
        <v>5062</v>
      </c>
      <c r="AW414" t="s">
        <v>5086</v>
      </c>
    </row>
    <row r="415" spans="1:49" hidden="1" x14ac:dyDescent="0.35">
      <c r="A415" t="s">
        <v>871</v>
      </c>
      <c r="B415" t="s">
        <v>872</v>
      </c>
      <c r="C415" t="s">
        <v>4818</v>
      </c>
      <c r="D415" t="s">
        <v>18</v>
      </c>
      <c r="E415" t="s">
        <v>2060</v>
      </c>
      <c r="F415" t="s">
        <v>2061</v>
      </c>
      <c r="G415" t="s">
        <v>21</v>
      </c>
      <c r="H415" t="s">
        <v>4826</v>
      </c>
      <c r="I415" t="s">
        <v>4935</v>
      </c>
      <c r="J415" s="4" t="s">
        <v>4936</v>
      </c>
      <c r="K415" s="4" t="s">
        <v>4957</v>
      </c>
      <c r="L415" s="4" t="s">
        <v>4946</v>
      </c>
      <c r="M415" s="4" t="s">
        <v>5035</v>
      </c>
      <c r="N415" t="s">
        <v>15</v>
      </c>
      <c r="O415" t="s">
        <v>2062</v>
      </c>
      <c r="P415" t="s">
        <v>23</v>
      </c>
      <c r="Q415" t="s">
        <v>24</v>
      </c>
      <c r="R415" t="s">
        <v>25</v>
      </c>
      <c r="S415" t="s">
        <v>26</v>
      </c>
      <c r="T415" s="6">
        <v>46307</v>
      </c>
      <c r="U415">
        <v>72</v>
      </c>
      <c r="V415">
        <v>72</v>
      </c>
      <c r="W415">
        <v>84</v>
      </c>
      <c r="X415">
        <v>84</v>
      </c>
      <c r="Y415">
        <f t="shared" si="69"/>
        <v>0</v>
      </c>
      <c r="Z415">
        <f t="shared" si="70"/>
        <v>-12</v>
      </c>
      <c r="AC415" s="1">
        <v>0</v>
      </c>
      <c r="AF415">
        <f>V415</f>
        <v>72</v>
      </c>
      <c r="AG415" s="41">
        <v>12</v>
      </c>
      <c r="AH415">
        <f t="shared" si="71"/>
        <v>72</v>
      </c>
      <c r="AI415">
        <f t="shared" si="72"/>
        <v>0</v>
      </c>
      <c r="AK415">
        <f t="shared" si="73"/>
        <v>6</v>
      </c>
      <c r="AL415">
        <v>11.27</v>
      </c>
      <c r="AM415" t="s">
        <v>27</v>
      </c>
      <c r="AN415">
        <v>11.27</v>
      </c>
      <c r="AO415" t="b">
        <f t="shared" si="74"/>
        <v>1</v>
      </c>
      <c r="AR415" t="s">
        <v>5061</v>
      </c>
      <c r="AS415" s="21">
        <v>46276</v>
      </c>
      <c r="AT415" t="s">
        <v>5062</v>
      </c>
      <c r="AU415" t="s">
        <v>5071</v>
      </c>
      <c r="AV415" t="s">
        <v>5062</v>
      </c>
      <c r="AW415" t="s">
        <v>5086</v>
      </c>
    </row>
    <row r="416" spans="1:49" hidden="1" x14ac:dyDescent="0.35">
      <c r="A416" t="s">
        <v>871</v>
      </c>
      <c r="B416" t="s">
        <v>872</v>
      </c>
      <c r="C416" t="s">
        <v>4818</v>
      </c>
      <c r="D416" t="s">
        <v>18</v>
      </c>
      <c r="E416" t="s">
        <v>2063</v>
      </c>
      <c r="F416" t="s">
        <v>2064</v>
      </c>
      <c r="G416" t="s">
        <v>21</v>
      </c>
      <c r="H416" t="s">
        <v>4826</v>
      </c>
      <c r="I416" t="s">
        <v>4935</v>
      </c>
      <c r="J416" s="4" t="s">
        <v>4936</v>
      </c>
      <c r="K416" s="4" t="s">
        <v>4832</v>
      </c>
      <c r="L416" s="4" t="s">
        <v>4973</v>
      </c>
      <c r="M416" s="4" t="s">
        <v>5035</v>
      </c>
      <c r="N416" t="s">
        <v>15</v>
      </c>
      <c r="O416" t="s">
        <v>2065</v>
      </c>
      <c r="P416" t="s">
        <v>23</v>
      </c>
      <c r="Q416" t="s">
        <v>24</v>
      </c>
      <c r="R416" t="s">
        <v>25</v>
      </c>
      <c r="S416" t="s">
        <v>26</v>
      </c>
      <c r="T416" s="6">
        <v>46307</v>
      </c>
      <c r="U416">
        <v>36</v>
      </c>
      <c r="V416">
        <v>36</v>
      </c>
      <c r="W416">
        <v>36</v>
      </c>
      <c r="X416">
        <v>36</v>
      </c>
      <c r="Y416">
        <f t="shared" si="69"/>
        <v>0</v>
      </c>
      <c r="Z416">
        <f t="shared" si="70"/>
        <v>0</v>
      </c>
      <c r="AC416" s="1">
        <v>0</v>
      </c>
      <c r="AF416">
        <f>V416</f>
        <v>36</v>
      </c>
      <c r="AG416" s="41">
        <v>12</v>
      </c>
      <c r="AH416">
        <f t="shared" si="71"/>
        <v>36</v>
      </c>
      <c r="AI416">
        <f t="shared" si="72"/>
        <v>0</v>
      </c>
      <c r="AK416">
        <f t="shared" si="73"/>
        <v>3</v>
      </c>
      <c r="AL416">
        <v>11.16</v>
      </c>
      <c r="AM416" t="s">
        <v>27</v>
      </c>
      <c r="AN416">
        <v>11.16</v>
      </c>
      <c r="AO416" t="b">
        <f t="shared" si="74"/>
        <v>1</v>
      </c>
      <c r="AR416" t="s">
        <v>5061</v>
      </c>
      <c r="AS416" s="21">
        <v>46276</v>
      </c>
      <c r="AT416" t="s">
        <v>5062</v>
      </c>
      <c r="AU416" t="s">
        <v>5071</v>
      </c>
      <c r="AV416" t="s">
        <v>5062</v>
      </c>
      <c r="AW416" t="s">
        <v>5086</v>
      </c>
    </row>
    <row r="417" spans="1:49" hidden="1" x14ac:dyDescent="0.35">
      <c r="A417" t="s">
        <v>871</v>
      </c>
      <c r="B417" t="s">
        <v>872</v>
      </c>
      <c r="C417" t="s">
        <v>4818</v>
      </c>
      <c r="D417" t="s">
        <v>18</v>
      </c>
      <c r="E417" t="s">
        <v>2066</v>
      </c>
      <c r="F417" t="s">
        <v>2067</v>
      </c>
      <c r="G417" t="s">
        <v>21</v>
      </c>
      <c r="H417" t="s">
        <v>4826</v>
      </c>
      <c r="I417" t="s">
        <v>4935</v>
      </c>
      <c r="J417" s="4" t="s">
        <v>4936</v>
      </c>
      <c r="K417" s="4" t="s">
        <v>4832</v>
      </c>
      <c r="L417" s="4" t="s">
        <v>4939</v>
      </c>
      <c r="M417" s="4" t="s">
        <v>5035</v>
      </c>
      <c r="N417" t="s">
        <v>15</v>
      </c>
      <c r="O417" t="s">
        <v>2068</v>
      </c>
      <c r="P417" t="s">
        <v>23</v>
      </c>
      <c r="Q417" t="s">
        <v>24</v>
      </c>
      <c r="R417" t="s">
        <v>25</v>
      </c>
      <c r="S417" t="s">
        <v>26</v>
      </c>
      <c r="T417" s="6">
        <v>46307</v>
      </c>
      <c r="U417">
        <v>72</v>
      </c>
      <c r="V417">
        <v>72</v>
      </c>
      <c r="W417">
        <v>60</v>
      </c>
      <c r="X417">
        <v>60</v>
      </c>
      <c r="Y417">
        <f t="shared" si="69"/>
        <v>0</v>
      </c>
      <c r="Z417">
        <f t="shared" si="70"/>
        <v>12</v>
      </c>
      <c r="AA417">
        <f t="shared" ref="AA417:AA418" si="78">Z417</f>
        <v>12</v>
      </c>
      <c r="AC417" s="1">
        <v>0</v>
      </c>
      <c r="AF417">
        <f>X417</f>
        <v>60</v>
      </c>
      <c r="AG417" s="41">
        <v>12</v>
      </c>
      <c r="AH417">
        <f t="shared" si="71"/>
        <v>60</v>
      </c>
      <c r="AI417">
        <f t="shared" si="72"/>
        <v>12</v>
      </c>
      <c r="AK417">
        <f t="shared" si="73"/>
        <v>5</v>
      </c>
      <c r="AL417">
        <v>11.16</v>
      </c>
      <c r="AM417" t="s">
        <v>27</v>
      </c>
      <c r="AN417">
        <v>11.16</v>
      </c>
      <c r="AO417" t="b">
        <f t="shared" si="74"/>
        <v>1</v>
      </c>
      <c r="AR417" t="s">
        <v>5061</v>
      </c>
      <c r="AS417" s="21">
        <v>46276</v>
      </c>
      <c r="AT417" t="s">
        <v>5062</v>
      </c>
      <c r="AU417" t="s">
        <v>5071</v>
      </c>
      <c r="AV417" t="s">
        <v>5062</v>
      </c>
      <c r="AW417" t="s">
        <v>5086</v>
      </c>
    </row>
    <row r="418" spans="1:49" hidden="1" x14ac:dyDescent="0.35">
      <c r="A418" t="s">
        <v>871</v>
      </c>
      <c r="B418" t="s">
        <v>872</v>
      </c>
      <c r="C418" t="s">
        <v>4818</v>
      </c>
      <c r="D418" t="s">
        <v>18</v>
      </c>
      <c r="E418" t="s">
        <v>2069</v>
      </c>
      <c r="F418" t="s">
        <v>2070</v>
      </c>
      <c r="G418" t="s">
        <v>21</v>
      </c>
      <c r="H418" t="s">
        <v>4826</v>
      </c>
      <c r="I418" t="s">
        <v>4935</v>
      </c>
      <c r="J418" s="4" t="s">
        <v>4936</v>
      </c>
      <c r="K418" s="4" t="s">
        <v>4832</v>
      </c>
      <c r="L418" s="4" t="s">
        <v>4968</v>
      </c>
      <c r="M418" s="4" t="s">
        <v>5035</v>
      </c>
      <c r="N418" t="s">
        <v>15</v>
      </c>
      <c r="O418" t="s">
        <v>2071</v>
      </c>
      <c r="P418" t="s">
        <v>23</v>
      </c>
      <c r="Q418" t="s">
        <v>24</v>
      </c>
      <c r="R418" t="s">
        <v>25</v>
      </c>
      <c r="S418" t="s">
        <v>26</v>
      </c>
      <c r="T418" s="6">
        <v>46307</v>
      </c>
      <c r="U418">
        <v>204</v>
      </c>
      <c r="V418">
        <v>204</v>
      </c>
      <c r="W418">
        <v>192</v>
      </c>
      <c r="X418">
        <v>192</v>
      </c>
      <c r="Y418">
        <f t="shared" si="69"/>
        <v>0</v>
      </c>
      <c r="Z418">
        <f t="shared" si="70"/>
        <v>12</v>
      </c>
      <c r="AA418">
        <f t="shared" si="78"/>
        <v>12</v>
      </c>
      <c r="AC418" s="1">
        <v>0</v>
      </c>
      <c r="AF418">
        <f>X418</f>
        <v>192</v>
      </c>
      <c r="AG418" s="41">
        <v>12</v>
      </c>
      <c r="AH418">
        <f t="shared" si="71"/>
        <v>192</v>
      </c>
      <c r="AI418">
        <f t="shared" si="72"/>
        <v>12</v>
      </c>
      <c r="AK418">
        <f t="shared" si="73"/>
        <v>16</v>
      </c>
      <c r="AL418">
        <v>11.16</v>
      </c>
      <c r="AM418" t="s">
        <v>27</v>
      </c>
      <c r="AN418">
        <v>11.16</v>
      </c>
      <c r="AO418" t="b">
        <f t="shared" si="74"/>
        <v>1</v>
      </c>
      <c r="AR418" t="s">
        <v>5061</v>
      </c>
      <c r="AS418" s="21">
        <v>46276</v>
      </c>
      <c r="AT418" t="s">
        <v>5062</v>
      </c>
      <c r="AU418" t="s">
        <v>5071</v>
      </c>
      <c r="AV418" t="s">
        <v>5062</v>
      </c>
      <c r="AW418" t="s">
        <v>5086</v>
      </c>
    </row>
    <row r="419" spans="1:49" hidden="1" x14ac:dyDescent="0.35">
      <c r="A419" t="s">
        <v>871</v>
      </c>
      <c r="B419" t="s">
        <v>872</v>
      </c>
      <c r="C419" t="s">
        <v>4818</v>
      </c>
      <c r="D419" t="s">
        <v>18</v>
      </c>
      <c r="E419" t="s">
        <v>2072</v>
      </c>
      <c r="F419" t="s">
        <v>2073</v>
      </c>
      <c r="G419" t="s">
        <v>21</v>
      </c>
      <c r="H419" t="s">
        <v>4826</v>
      </c>
      <c r="I419" t="s">
        <v>4935</v>
      </c>
      <c r="J419" s="4" t="s">
        <v>4936</v>
      </c>
      <c r="K419" s="4" t="s">
        <v>4937</v>
      </c>
      <c r="L419" s="4" t="s">
        <v>4968</v>
      </c>
      <c r="M419" s="4" t="s">
        <v>5035</v>
      </c>
      <c r="N419" t="s">
        <v>15</v>
      </c>
      <c r="O419" t="s">
        <v>2074</v>
      </c>
      <c r="P419" t="s">
        <v>23</v>
      </c>
      <c r="Q419" t="s">
        <v>24</v>
      </c>
      <c r="R419" t="s">
        <v>25</v>
      </c>
      <c r="S419" t="s">
        <v>26</v>
      </c>
      <c r="T419" s="6">
        <v>46307</v>
      </c>
      <c r="U419">
        <v>156</v>
      </c>
      <c r="V419">
        <v>156</v>
      </c>
      <c r="W419">
        <v>168</v>
      </c>
      <c r="X419">
        <v>168</v>
      </c>
      <c r="Y419">
        <f t="shared" si="69"/>
        <v>0</v>
      </c>
      <c r="Z419">
        <f t="shared" si="70"/>
        <v>-12</v>
      </c>
      <c r="AC419" s="1">
        <v>0</v>
      </c>
      <c r="AF419">
        <f>V419</f>
        <v>156</v>
      </c>
      <c r="AG419" s="41">
        <v>12</v>
      </c>
      <c r="AH419">
        <f t="shared" si="71"/>
        <v>156</v>
      </c>
      <c r="AI419">
        <f t="shared" si="72"/>
        <v>0</v>
      </c>
      <c r="AK419">
        <f t="shared" si="73"/>
        <v>13</v>
      </c>
      <c r="AL419">
        <v>11.16</v>
      </c>
      <c r="AM419" t="s">
        <v>27</v>
      </c>
      <c r="AN419">
        <v>11.16</v>
      </c>
      <c r="AO419" t="b">
        <f t="shared" si="74"/>
        <v>1</v>
      </c>
      <c r="AR419" t="s">
        <v>5061</v>
      </c>
      <c r="AS419" s="21">
        <v>46276</v>
      </c>
      <c r="AT419" t="s">
        <v>5062</v>
      </c>
      <c r="AU419" t="s">
        <v>5071</v>
      </c>
      <c r="AV419" t="s">
        <v>5062</v>
      </c>
      <c r="AW419" t="s">
        <v>5086</v>
      </c>
    </row>
    <row r="420" spans="1:49" hidden="1" x14ac:dyDescent="0.35">
      <c r="A420" t="s">
        <v>871</v>
      </c>
      <c r="B420" t="s">
        <v>872</v>
      </c>
      <c r="C420" t="s">
        <v>4818</v>
      </c>
      <c r="D420" t="s">
        <v>18</v>
      </c>
      <c r="E420" t="s">
        <v>2075</v>
      </c>
      <c r="F420" t="s">
        <v>2076</v>
      </c>
      <c r="G420" t="s">
        <v>21</v>
      </c>
      <c r="H420" t="s">
        <v>4826</v>
      </c>
      <c r="I420" t="s">
        <v>4935</v>
      </c>
      <c r="J420" s="4" t="s">
        <v>4936</v>
      </c>
      <c r="K420" s="4" t="s">
        <v>4945</v>
      </c>
      <c r="L420" s="4" t="s">
        <v>4963</v>
      </c>
      <c r="M420" s="4" t="s">
        <v>5035</v>
      </c>
      <c r="N420" t="s">
        <v>15</v>
      </c>
      <c r="O420" t="s">
        <v>2077</v>
      </c>
      <c r="P420" t="s">
        <v>23</v>
      </c>
      <c r="Q420" t="s">
        <v>24</v>
      </c>
      <c r="R420" t="s">
        <v>25</v>
      </c>
      <c r="S420" t="s">
        <v>26</v>
      </c>
      <c r="T420" s="6">
        <v>46307</v>
      </c>
      <c r="U420">
        <v>60</v>
      </c>
      <c r="V420">
        <v>60</v>
      </c>
      <c r="W420">
        <v>60</v>
      </c>
      <c r="X420">
        <v>60</v>
      </c>
      <c r="Y420">
        <f t="shared" si="69"/>
        <v>0</v>
      </c>
      <c r="Z420">
        <f t="shared" si="70"/>
        <v>0</v>
      </c>
      <c r="AC420" s="1">
        <v>0</v>
      </c>
      <c r="AF420">
        <f>V420</f>
        <v>60</v>
      </c>
      <c r="AG420" s="41">
        <v>12</v>
      </c>
      <c r="AH420">
        <f t="shared" si="71"/>
        <v>60</v>
      </c>
      <c r="AI420">
        <f t="shared" si="72"/>
        <v>0</v>
      </c>
      <c r="AK420">
        <f t="shared" si="73"/>
        <v>5</v>
      </c>
      <c r="AL420">
        <v>11.16</v>
      </c>
      <c r="AM420" t="s">
        <v>27</v>
      </c>
      <c r="AN420">
        <v>11.16</v>
      </c>
      <c r="AO420" t="b">
        <f t="shared" si="74"/>
        <v>1</v>
      </c>
      <c r="AR420" t="s">
        <v>5061</v>
      </c>
      <c r="AS420" s="21">
        <v>46276</v>
      </c>
      <c r="AT420" t="s">
        <v>5062</v>
      </c>
      <c r="AU420" t="s">
        <v>5071</v>
      </c>
      <c r="AV420" t="s">
        <v>5062</v>
      </c>
      <c r="AW420" t="s">
        <v>5086</v>
      </c>
    </row>
    <row r="421" spans="1:49" hidden="1" x14ac:dyDescent="0.35">
      <c r="A421" t="s">
        <v>871</v>
      </c>
      <c r="B421" t="s">
        <v>872</v>
      </c>
      <c r="C421" t="s">
        <v>4818</v>
      </c>
      <c r="D421" t="s">
        <v>18</v>
      </c>
      <c r="E421" t="s">
        <v>2078</v>
      </c>
      <c r="F421" t="s">
        <v>2079</v>
      </c>
      <c r="G421" t="s">
        <v>21</v>
      </c>
      <c r="H421" t="s">
        <v>4826</v>
      </c>
      <c r="I421" t="s">
        <v>4935</v>
      </c>
      <c r="J421" s="4" t="s">
        <v>4936</v>
      </c>
      <c r="K421" s="4" t="s">
        <v>4837</v>
      </c>
      <c r="L421" s="4" t="s">
        <v>4949</v>
      </c>
      <c r="M421" s="4" t="s">
        <v>5035</v>
      </c>
      <c r="N421" t="s">
        <v>15</v>
      </c>
      <c r="O421" t="s">
        <v>2080</v>
      </c>
      <c r="P421" t="s">
        <v>23</v>
      </c>
      <c r="Q421" t="s">
        <v>24</v>
      </c>
      <c r="R421" t="s">
        <v>25</v>
      </c>
      <c r="S421" t="s">
        <v>26</v>
      </c>
      <c r="T421" s="6">
        <v>46307</v>
      </c>
      <c r="U421">
        <v>60</v>
      </c>
      <c r="V421">
        <v>60</v>
      </c>
      <c r="W421">
        <v>60</v>
      </c>
      <c r="X421">
        <v>60</v>
      </c>
      <c r="Y421">
        <f t="shared" si="69"/>
        <v>0</v>
      </c>
      <c r="Z421">
        <f t="shared" si="70"/>
        <v>0</v>
      </c>
      <c r="AC421" s="1">
        <v>0</v>
      </c>
      <c r="AF421">
        <f>V421</f>
        <v>60</v>
      </c>
      <c r="AG421" s="41">
        <v>12</v>
      </c>
      <c r="AH421">
        <f t="shared" si="71"/>
        <v>60</v>
      </c>
      <c r="AI421">
        <f t="shared" si="72"/>
        <v>0</v>
      </c>
      <c r="AK421">
        <f t="shared" si="73"/>
        <v>5</v>
      </c>
      <c r="AL421">
        <v>11.16</v>
      </c>
      <c r="AM421" t="s">
        <v>27</v>
      </c>
      <c r="AN421">
        <v>11.16</v>
      </c>
      <c r="AO421" t="b">
        <f t="shared" si="74"/>
        <v>1</v>
      </c>
      <c r="AR421" t="s">
        <v>5061</v>
      </c>
      <c r="AS421" s="21">
        <v>46276</v>
      </c>
      <c r="AT421" t="s">
        <v>5062</v>
      </c>
      <c r="AU421" t="s">
        <v>5071</v>
      </c>
      <c r="AV421" t="s">
        <v>5062</v>
      </c>
      <c r="AW421" t="s">
        <v>5086</v>
      </c>
    </row>
    <row r="422" spans="1:49" hidden="1" x14ac:dyDescent="0.35">
      <c r="A422" t="s">
        <v>871</v>
      </c>
      <c r="B422" t="s">
        <v>872</v>
      </c>
      <c r="C422" t="s">
        <v>4818</v>
      </c>
      <c r="D422" t="s">
        <v>18</v>
      </c>
      <c r="E422" t="s">
        <v>2081</v>
      </c>
      <c r="F422" t="s">
        <v>2082</v>
      </c>
      <c r="G422" t="s">
        <v>21</v>
      </c>
      <c r="H422" t="s">
        <v>4826</v>
      </c>
      <c r="I422" t="s">
        <v>4935</v>
      </c>
      <c r="J422" s="4" t="s">
        <v>4936</v>
      </c>
      <c r="K422" s="4" t="s">
        <v>4837</v>
      </c>
      <c r="L422" s="4" t="s">
        <v>4964</v>
      </c>
      <c r="M422" s="4" t="s">
        <v>5035</v>
      </c>
      <c r="N422" t="s">
        <v>15</v>
      </c>
      <c r="O422" t="s">
        <v>2083</v>
      </c>
      <c r="P422" t="s">
        <v>23</v>
      </c>
      <c r="Q422" t="s">
        <v>24</v>
      </c>
      <c r="R422" t="s">
        <v>25</v>
      </c>
      <c r="S422" t="s">
        <v>26</v>
      </c>
      <c r="T422" s="6">
        <v>46307</v>
      </c>
      <c r="U422">
        <v>12</v>
      </c>
      <c r="V422">
        <v>12</v>
      </c>
      <c r="W422">
        <v>12</v>
      </c>
      <c r="X422">
        <v>12</v>
      </c>
      <c r="Y422">
        <f t="shared" si="69"/>
        <v>0</v>
      </c>
      <c r="Z422">
        <f t="shared" si="70"/>
        <v>0</v>
      </c>
      <c r="AC422" s="1">
        <v>0</v>
      </c>
      <c r="AF422">
        <f>V422</f>
        <v>12</v>
      </c>
      <c r="AG422" s="41">
        <v>12</v>
      </c>
      <c r="AH422">
        <f t="shared" si="71"/>
        <v>12</v>
      </c>
      <c r="AI422">
        <f t="shared" si="72"/>
        <v>0</v>
      </c>
      <c r="AK422">
        <f t="shared" si="73"/>
        <v>1</v>
      </c>
      <c r="AL422">
        <v>11.16</v>
      </c>
      <c r="AM422" t="s">
        <v>27</v>
      </c>
      <c r="AN422">
        <v>11.16</v>
      </c>
      <c r="AO422" t="b">
        <f t="shared" si="74"/>
        <v>1</v>
      </c>
      <c r="AR422" t="s">
        <v>5061</v>
      </c>
      <c r="AS422" s="21">
        <v>46276</v>
      </c>
      <c r="AT422" t="s">
        <v>5062</v>
      </c>
      <c r="AU422" t="s">
        <v>5071</v>
      </c>
      <c r="AV422" t="s">
        <v>5062</v>
      </c>
      <c r="AW422" t="s">
        <v>5086</v>
      </c>
    </row>
    <row r="423" spans="1:49" hidden="1" x14ac:dyDescent="0.35">
      <c r="A423" t="s">
        <v>871</v>
      </c>
      <c r="B423" t="s">
        <v>872</v>
      </c>
      <c r="C423" t="s">
        <v>4818</v>
      </c>
      <c r="D423" t="s">
        <v>18</v>
      </c>
      <c r="E423" t="s">
        <v>2084</v>
      </c>
      <c r="F423" t="s">
        <v>2085</v>
      </c>
      <c r="G423" t="s">
        <v>21</v>
      </c>
      <c r="H423" t="s">
        <v>4826</v>
      </c>
      <c r="I423" t="s">
        <v>4935</v>
      </c>
      <c r="J423" s="4" t="s">
        <v>4936</v>
      </c>
      <c r="K423" s="4" t="s">
        <v>4837</v>
      </c>
      <c r="L423" s="4" t="s">
        <v>4974</v>
      </c>
      <c r="M423" s="4" t="s">
        <v>5035</v>
      </c>
      <c r="N423" t="s">
        <v>15</v>
      </c>
      <c r="O423" t="s">
        <v>2086</v>
      </c>
      <c r="P423" t="s">
        <v>23</v>
      </c>
      <c r="Q423" t="s">
        <v>24</v>
      </c>
      <c r="R423" t="s">
        <v>25</v>
      </c>
      <c r="S423" t="s">
        <v>26</v>
      </c>
      <c r="T423" s="6">
        <v>46307</v>
      </c>
      <c r="U423">
        <v>240</v>
      </c>
      <c r="V423">
        <v>240</v>
      </c>
      <c r="W423">
        <v>216</v>
      </c>
      <c r="X423">
        <v>216</v>
      </c>
      <c r="Y423">
        <f t="shared" si="69"/>
        <v>0</v>
      </c>
      <c r="Z423">
        <f t="shared" si="70"/>
        <v>24</v>
      </c>
      <c r="AA423">
        <f>Z423</f>
        <v>24</v>
      </c>
      <c r="AC423" s="1">
        <v>0</v>
      </c>
      <c r="AF423">
        <f>X423</f>
        <v>216</v>
      </c>
      <c r="AG423" s="41">
        <v>12</v>
      </c>
      <c r="AH423">
        <f t="shared" si="71"/>
        <v>216</v>
      </c>
      <c r="AI423">
        <f t="shared" si="72"/>
        <v>24</v>
      </c>
      <c r="AK423">
        <f t="shared" si="73"/>
        <v>18</v>
      </c>
      <c r="AL423">
        <v>11.16</v>
      </c>
      <c r="AM423" t="s">
        <v>27</v>
      </c>
      <c r="AN423">
        <v>11.16</v>
      </c>
      <c r="AO423" t="b">
        <f t="shared" si="74"/>
        <v>1</v>
      </c>
      <c r="AR423" t="s">
        <v>5061</v>
      </c>
      <c r="AS423" s="21">
        <v>46276</v>
      </c>
      <c r="AT423" t="s">
        <v>5062</v>
      </c>
      <c r="AU423" t="s">
        <v>5071</v>
      </c>
      <c r="AV423" t="s">
        <v>5062</v>
      </c>
      <c r="AW423" t="s">
        <v>5086</v>
      </c>
    </row>
    <row r="424" spans="1:49" hidden="1" x14ac:dyDescent="0.35">
      <c r="A424" t="s">
        <v>871</v>
      </c>
      <c r="B424" t="s">
        <v>872</v>
      </c>
      <c r="C424" t="s">
        <v>4818</v>
      </c>
      <c r="D424" t="s">
        <v>18</v>
      </c>
      <c r="E424" t="s">
        <v>2087</v>
      </c>
      <c r="F424" t="s">
        <v>2088</v>
      </c>
      <c r="G424" t="s">
        <v>21</v>
      </c>
      <c r="H424" t="s">
        <v>4826</v>
      </c>
      <c r="I424" t="s">
        <v>4935</v>
      </c>
      <c r="J424" s="4" t="s">
        <v>4936</v>
      </c>
      <c r="K424" s="4" t="s">
        <v>4837</v>
      </c>
      <c r="L424" s="4" t="s">
        <v>4948</v>
      </c>
      <c r="M424" s="4" t="s">
        <v>5035</v>
      </c>
      <c r="N424" t="s">
        <v>15</v>
      </c>
      <c r="O424" t="s">
        <v>2089</v>
      </c>
      <c r="P424" t="s">
        <v>23</v>
      </c>
      <c r="Q424" t="s">
        <v>24</v>
      </c>
      <c r="R424" t="s">
        <v>25</v>
      </c>
      <c r="S424" t="s">
        <v>26</v>
      </c>
      <c r="T424" s="6">
        <v>46307</v>
      </c>
      <c r="U424">
        <v>48</v>
      </c>
      <c r="V424">
        <v>48</v>
      </c>
      <c r="W424">
        <v>48</v>
      </c>
      <c r="X424">
        <v>48</v>
      </c>
      <c r="Y424">
        <f t="shared" si="69"/>
        <v>0</v>
      </c>
      <c r="Z424">
        <f t="shared" si="70"/>
        <v>0</v>
      </c>
      <c r="AC424" s="1">
        <v>0</v>
      </c>
      <c r="AF424">
        <f>V424</f>
        <v>48</v>
      </c>
      <c r="AG424" s="41">
        <v>12</v>
      </c>
      <c r="AH424">
        <f t="shared" si="71"/>
        <v>48</v>
      </c>
      <c r="AI424">
        <f t="shared" si="72"/>
        <v>0</v>
      </c>
      <c r="AK424">
        <f t="shared" si="73"/>
        <v>4</v>
      </c>
      <c r="AL424">
        <v>11.16</v>
      </c>
      <c r="AM424" t="s">
        <v>27</v>
      </c>
      <c r="AN424">
        <v>11.16</v>
      </c>
      <c r="AO424" t="b">
        <f t="shared" si="74"/>
        <v>1</v>
      </c>
      <c r="AR424" t="s">
        <v>5061</v>
      </c>
      <c r="AS424" s="21">
        <v>46276</v>
      </c>
      <c r="AT424" t="s">
        <v>5062</v>
      </c>
      <c r="AU424" t="s">
        <v>5071</v>
      </c>
      <c r="AV424" t="s">
        <v>5062</v>
      </c>
      <c r="AW424" t="s">
        <v>5086</v>
      </c>
    </row>
    <row r="425" spans="1:49" hidden="1" x14ac:dyDescent="0.35">
      <c r="A425" t="s">
        <v>871</v>
      </c>
      <c r="B425" t="s">
        <v>872</v>
      </c>
      <c r="C425" t="s">
        <v>4818</v>
      </c>
      <c r="D425" t="s">
        <v>18</v>
      </c>
      <c r="E425" t="s">
        <v>2090</v>
      </c>
      <c r="F425" t="s">
        <v>2091</v>
      </c>
      <c r="G425" t="s">
        <v>21</v>
      </c>
      <c r="H425" t="s">
        <v>4826</v>
      </c>
      <c r="I425" t="s">
        <v>4935</v>
      </c>
      <c r="J425" s="4" t="s">
        <v>4936</v>
      </c>
      <c r="K425" s="4" t="s">
        <v>4937</v>
      </c>
      <c r="L425" s="4" t="s">
        <v>4944</v>
      </c>
      <c r="M425" s="4" t="s">
        <v>5035</v>
      </c>
      <c r="N425" t="s">
        <v>15</v>
      </c>
      <c r="O425" t="s">
        <v>2092</v>
      </c>
      <c r="P425" t="s">
        <v>23</v>
      </c>
      <c r="Q425" t="s">
        <v>24</v>
      </c>
      <c r="R425" t="s">
        <v>25</v>
      </c>
      <c r="S425" t="s">
        <v>26</v>
      </c>
      <c r="T425" s="6">
        <v>46307</v>
      </c>
      <c r="U425">
        <v>168</v>
      </c>
      <c r="V425">
        <v>168</v>
      </c>
      <c r="W425">
        <v>180</v>
      </c>
      <c r="X425">
        <v>180</v>
      </c>
      <c r="Y425">
        <f t="shared" si="69"/>
        <v>0</v>
      </c>
      <c r="Z425">
        <f t="shared" si="70"/>
        <v>-12</v>
      </c>
      <c r="AC425" s="1"/>
      <c r="AF425">
        <f>V425</f>
        <v>168</v>
      </c>
      <c r="AG425" s="41">
        <v>12</v>
      </c>
      <c r="AH425">
        <f t="shared" si="71"/>
        <v>168</v>
      </c>
      <c r="AI425">
        <f t="shared" si="72"/>
        <v>0</v>
      </c>
      <c r="AK425">
        <f t="shared" si="73"/>
        <v>14</v>
      </c>
      <c r="AL425">
        <v>11.16</v>
      </c>
      <c r="AM425" t="s">
        <v>27</v>
      </c>
      <c r="AN425">
        <v>11.16</v>
      </c>
      <c r="AO425" t="b">
        <f t="shared" si="74"/>
        <v>1</v>
      </c>
      <c r="AR425" t="s">
        <v>5061</v>
      </c>
      <c r="AS425" s="21">
        <v>46276</v>
      </c>
      <c r="AT425" t="s">
        <v>5062</v>
      </c>
      <c r="AU425" t="s">
        <v>5071</v>
      </c>
      <c r="AV425" t="s">
        <v>5062</v>
      </c>
      <c r="AW425" t="s">
        <v>5086</v>
      </c>
    </row>
    <row r="426" spans="1:49" hidden="1" x14ac:dyDescent="0.35">
      <c r="A426" t="s">
        <v>871</v>
      </c>
      <c r="B426" t="s">
        <v>872</v>
      </c>
      <c r="C426" t="s">
        <v>4818</v>
      </c>
      <c r="D426" t="s">
        <v>18</v>
      </c>
      <c r="E426" t="s">
        <v>2093</v>
      </c>
      <c r="F426" t="s">
        <v>2094</v>
      </c>
      <c r="G426" t="s">
        <v>21</v>
      </c>
      <c r="H426" t="s">
        <v>4826</v>
      </c>
      <c r="I426" t="s">
        <v>4935</v>
      </c>
      <c r="J426" s="4" t="s">
        <v>4936</v>
      </c>
      <c r="K426" s="4" t="s">
        <v>4832</v>
      </c>
      <c r="L426" s="4" t="s">
        <v>4974</v>
      </c>
      <c r="M426" s="4" t="s">
        <v>5035</v>
      </c>
      <c r="N426" t="s">
        <v>15</v>
      </c>
      <c r="O426" t="s">
        <v>2095</v>
      </c>
      <c r="P426" t="s">
        <v>23</v>
      </c>
      <c r="Q426" t="s">
        <v>24</v>
      </c>
      <c r="R426" t="s">
        <v>25</v>
      </c>
      <c r="S426" t="s">
        <v>26</v>
      </c>
      <c r="T426" s="6">
        <v>46307</v>
      </c>
      <c r="U426">
        <v>60</v>
      </c>
      <c r="V426">
        <v>60</v>
      </c>
      <c r="W426">
        <v>60</v>
      </c>
      <c r="X426">
        <v>60</v>
      </c>
      <c r="Y426">
        <f t="shared" si="69"/>
        <v>0</v>
      </c>
      <c r="Z426">
        <f t="shared" si="70"/>
        <v>0</v>
      </c>
      <c r="AC426" s="1">
        <v>0</v>
      </c>
      <c r="AF426">
        <f>V426</f>
        <v>60</v>
      </c>
      <c r="AG426" s="41">
        <v>12</v>
      </c>
      <c r="AH426">
        <f t="shared" si="71"/>
        <v>60</v>
      </c>
      <c r="AI426">
        <f t="shared" si="72"/>
        <v>0</v>
      </c>
      <c r="AK426">
        <f t="shared" si="73"/>
        <v>5</v>
      </c>
      <c r="AL426">
        <v>11.16</v>
      </c>
      <c r="AM426" t="s">
        <v>27</v>
      </c>
      <c r="AN426">
        <v>11.16</v>
      </c>
      <c r="AO426" t="b">
        <f t="shared" si="74"/>
        <v>1</v>
      </c>
      <c r="AR426" t="s">
        <v>5061</v>
      </c>
      <c r="AS426" s="21">
        <v>46276</v>
      </c>
      <c r="AT426" t="s">
        <v>5062</v>
      </c>
      <c r="AU426" t="s">
        <v>5071</v>
      </c>
      <c r="AV426" t="s">
        <v>5062</v>
      </c>
      <c r="AW426" t="s">
        <v>5086</v>
      </c>
    </row>
    <row r="427" spans="1:49" hidden="1" x14ac:dyDescent="0.35">
      <c r="A427" t="s">
        <v>871</v>
      </c>
      <c r="B427" t="s">
        <v>872</v>
      </c>
      <c r="C427" t="s">
        <v>4818</v>
      </c>
      <c r="D427" t="s">
        <v>18</v>
      </c>
      <c r="E427" t="s">
        <v>2096</v>
      </c>
      <c r="F427" t="s">
        <v>2097</v>
      </c>
      <c r="G427" t="s">
        <v>21</v>
      </c>
      <c r="H427" t="s">
        <v>4826</v>
      </c>
      <c r="I427" t="s">
        <v>4935</v>
      </c>
      <c r="J427" s="4" t="s">
        <v>4936</v>
      </c>
      <c r="K427" s="4" t="s">
        <v>4945</v>
      </c>
      <c r="L427" s="4" t="s">
        <v>4970</v>
      </c>
      <c r="M427" s="4" t="s">
        <v>5035</v>
      </c>
      <c r="N427" t="s">
        <v>15</v>
      </c>
      <c r="O427" t="s">
        <v>2098</v>
      </c>
      <c r="P427" t="s">
        <v>23</v>
      </c>
      <c r="Q427" t="s">
        <v>24</v>
      </c>
      <c r="R427" t="s">
        <v>25</v>
      </c>
      <c r="S427" t="s">
        <v>26</v>
      </c>
      <c r="T427" s="6">
        <v>46307</v>
      </c>
      <c r="U427">
        <v>132</v>
      </c>
      <c r="V427">
        <v>132</v>
      </c>
      <c r="W427">
        <v>120</v>
      </c>
      <c r="X427">
        <v>120</v>
      </c>
      <c r="Y427">
        <f t="shared" si="69"/>
        <v>0</v>
      </c>
      <c r="Z427">
        <f t="shared" si="70"/>
        <v>12</v>
      </c>
      <c r="AA427">
        <f>Z427</f>
        <v>12</v>
      </c>
      <c r="AC427" s="1">
        <v>0</v>
      </c>
      <c r="AF427">
        <f>X427</f>
        <v>120</v>
      </c>
      <c r="AG427" s="41">
        <v>12</v>
      </c>
      <c r="AH427">
        <f t="shared" si="71"/>
        <v>120</v>
      </c>
      <c r="AI427">
        <f t="shared" si="72"/>
        <v>12</v>
      </c>
      <c r="AK427">
        <f t="shared" si="73"/>
        <v>10</v>
      </c>
      <c r="AL427">
        <v>11.16</v>
      </c>
      <c r="AM427" t="s">
        <v>27</v>
      </c>
      <c r="AN427">
        <v>11.16</v>
      </c>
      <c r="AO427" t="b">
        <f t="shared" si="74"/>
        <v>1</v>
      </c>
      <c r="AR427" t="s">
        <v>5061</v>
      </c>
      <c r="AS427" s="21">
        <v>46276</v>
      </c>
      <c r="AT427" t="s">
        <v>5062</v>
      </c>
      <c r="AU427" t="s">
        <v>5071</v>
      </c>
      <c r="AV427" t="s">
        <v>5062</v>
      </c>
      <c r="AW427" t="s">
        <v>5086</v>
      </c>
    </row>
    <row r="428" spans="1:49" hidden="1" x14ac:dyDescent="0.35">
      <c r="A428" t="s">
        <v>871</v>
      </c>
      <c r="B428" t="s">
        <v>872</v>
      </c>
      <c r="C428" t="s">
        <v>4818</v>
      </c>
      <c r="D428" t="s">
        <v>18</v>
      </c>
      <c r="E428" t="s">
        <v>2099</v>
      </c>
      <c r="F428" t="s">
        <v>2100</v>
      </c>
      <c r="G428" t="s">
        <v>21</v>
      </c>
      <c r="H428" t="s">
        <v>4826</v>
      </c>
      <c r="I428" t="s">
        <v>4935</v>
      </c>
      <c r="J428" s="4" t="s">
        <v>4936</v>
      </c>
      <c r="K428" s="4" t="s">
        <v>4945</v>
      </c>
      <c r="L428" s="4" t="s">
        <v>4973</v>
      </c>
      <c r="M428" s="4" t="s">
        <v>5035</v>
      </c>
      <c r="N428" t="s">
        <v>15</v>
      </c>
      <c r="O428" t="s">
        <v>2101</v>
      </c>
      <c r="P428" t="s">
        <v>23</v>
      </c>
      <c r="Q428" t="s">
        <v>24</v>
      </c>
      <c r="R428" t="s">
        <v>25</v>
      </c>
      <c r="S428" t="s">
        <v>26</v>
      </c>
      <c r="T428" s="6">
        <v>46307</v>
      </c>
      <c r="U428">
        <v>36</v>
      </c>
      <c r="V428">
        <v>36</v>
      </c>
      <c r="W428">
        <v>36</v>
      </c>
      <c r="X428">
        <v>36</v>
      </c>
      <c r="Y428">
        <f t="shared" si="69"/>
        <v>0</v>
      </c>
      <c r="Z428">
        <f t="shared" si="70"/>
        <v>0</v>
      </c>
      <c r="AC428" s="1">
        <v>0</v>
      </c>
      <c r="AF428">
        <f t="shared" ref="AF428:AF436" si="79">V428</f>
        <v>36</v>
      </c>
      <c r="AG428" s="41">
        <v>12</v>
      </c>
      <c r="AH428">
        <f t="shared" si="71"/>
        <v>36</v>
      </c>
      <c r="AI428">
        <f t="shared" si="72"/>
        <v>0</v>
      </c>
      <c r="AK428">
        <f t="shared" si="73"/>
        <v>3</v>
      </c>
      <c r="AL428">
        <v>11.16</v>
      </c>
      <c r="AM428" t="s">
        <v>27</v>
      </c>
      <c r="AN428">
        <v>11.16</v>
      </c>
      <c r="AO428" t="b">
        <f t="shared" si="74"/>
        <v>1</v>
      </c>
      <c r="AR428" t="s">
        <v>5061</v>
      </c>
      <c r="AS428" s="21">
        <v>46276</v>
      </c>
      <c r="AT428" t="s">
        <v>5062</v>
      </c>
      <c r="AU428" t="s">
        <v>5071</v>
      </c>
      <c r="AV428" t="s">
        <v>5062</v>
      </c>
      <c r="AW428" t="s">
        <v>5086</v>
      </c>
    </row>
    <row r="429" spans="1:49" hidden="1" x14ac:dyDescent="0.35">
      <c r="A429" t="s">
        <v>871</v>
      </c>
      <c r="B429" t="s">
        <v>872</v>
      </c>
      <c r="C429" t="s">
        <v>4818</v>
      </c>
      <c r="D429" t="s">
        <v>18</v>
      </c>
      <c r="E429" t="s">
        <v>2102</v>
      </c>
      <c r="F429" t="s">
        <v>2103</v>
      </c>
      <c r="G429" t="s">
        <v>21</v>
      </c>
      <c r="H429" t="s">
        <v>4826</v>
      </c>
      <c r="I429" t="s">
        <v>4935</v>
      </c>
      <c r="J429" s="4" t="s">
        <v>4936</v>
      </c>
      <c r="K429" s="4" t="s">
        <v>4832</v>
      </c>
      <c r="L429" s="4" t="s">
        <v>4947</v>
      </c>
      <c r="M429" s="4" t="s">
        <v>5035</v>
      </c>
      <c r="N429" t="s">
        <v>15</v>
      </c>
      <c r="O429" t="s">
        <v>2104</v>
      </c>
      <c r="P429" t="s">
        <v>23</v>
      </c>
      <c r="Q429" t="s">
        <v>24</v>
      </c>
      <c r="R429" t="s">
        <v>25</v>
      </c>
      <c r="S429" t="s">
        <v>26</v>
      </c>
      <c r="T429" s="6">
        <v>46307</v>
      </c>
      <c r="U429">
        <v>12</v>
      </c>
      <c r="V429">
        <v>12</v>
      </c>
      <c r="W429">
        <v>12</v>
      </c>
      <c r="X429">
        <v>12</v>
      </c>
      <c r="Y429">
        <f t="shared" si="69"/>
        <v>0</v>
      </c>
      <c r="Z429">
        <f t="shared" si="70"/>
        <v>0</v>
      </c>
      <c r="AC429" s="1">
        <v>0</v>
      </c>
      <c r="AF429">
        <f t="shared" si="79"/>
        <v>12</v>
      </c>
      <c r="AG429" s="41">
        <v>12</v>
      </c>
      <c r="AH429">
        <f t="shared" si="71"/>
        <v>12</v>
      </c>
      <c r="AI429">
        <f t="shared" si="72"/>
        <v>0</v>
      </c>
      <c r="AK429">
        <f t="shared" si="73"/>
        <v>1</v>
      </c>
      <c r="AL429">
        <v>11.16</v>
      </c>
      <c r="AM429" t="s">
        <v>27</v>
      </c>
      <c r="AN429">
        <v>11.16</v>
      </c>
      <c r="AO429" t="b">
        <f t="shared" si="74"/>
        <v>1</v>
      </c>
      <c r="AR429" t="s">
        <v>5061</v>
      </c>
      <c r="AS429" s="21">
        <v>46276</v>
      </c>
      <c r="AT429" t="s">
        <v>5062</v>
      </c>
      <c r="AU429" t="s">
        <v>5071</v>
      </c>
      <c r="AV429" t="s">
        <v>5062</v>
      </c>
      <c r="AW429" t="s">
        <v>5086</v>
      </c>
    </row>
    <row r="430" spans="1:49" hidden="1" x14ac:dyDescent="0.35">
      <c r="A430" t="s">
        <v>871</v>
      </c>
      <c r="B430" t="s">
        <v>872</v>
      </c>
      <c r="C430" t="s">
        <v>4818</v>
      </c>
      <c r="D430" t="s">
        <v>18</v>
      </c>
      <c r="E430" t="s">
        <v>2105</v>
      </c>
      <c r="F430" t="s">
        <v>2106</v>
      </c>
      <c r="G430" t="s">
        <v>21</v>
      </c>
      <c r="H430" t="s">
        <v>4826</v>
      </c>
      <c r="I430" t="s">
        <v>4935</v>
      </c>
      <c r="J430" s="4" t="s">
        <v>4936</v>
      </c>
      <c r="K430" s="4" t="s">
        <v>4937</v>
      </c>
      <c r="L430" s="4" t="s">
        <v>4946</v>
      </c>
      <c r="M430" s="4" t="s">
        <v>5035</v>
      </c>
      <c r="N430" t="s">
        <v>15</v>
      </c>
      <c r="O430" t="s">
        <v>2107</v>
      </c>
      <c r="P430" t="s">
        <v>23</v>
      </c>
      <c r="Q430" t="s">
        <v>24</v>
      </c>
      <c r="R430" t="s">
        <v>25</v>
      </c>
      <c r="S430" t="s">
        <v>26</v>
      </c>
      <c r="T430" s="6">
        <v>46307</v>
      </c>
      <c r="U430">
        <v>36</v>
      </c>
      <c r="V430">
        <v>36</v>
      </c>
      <c r="W430">
        <v>36</v>
      </c>
      <c r="X430">
        <v>36</v>
      </c>
      <c r="Y430">
        <f t="shared" si="69"/>
        <v>0</v>
      </c>
      <c r="Z430">
        <f t="shared" si="70"/>
        <v>0</v>
      </c>
      <c r="AC430" s="1">
        <v>0</v>
      </c>
      <c r="AF430">
        <f t="shared" si="79"/>
        <v>36</v>
      </c>
      <c r="AG430" s="41">
        <v>12</v>
      </c>
      <c r="AH430">
        <f t="shared" si="71"/>
        <v>36</v>
      </c>
      <c r="AI430">
        <f t="shared" si="72"/>
        <v>0</v>
      </c>
      <c r="AK430">
        <f t="shared" si="73"/>
        <v>3</v>
      </c>
      <c r="AL430">
        <v>11.16</v>
      </c>
      <c r="AM430" t="s">
        <v>27</v>
      </c>
      <c r="AN430">
        <v>11.16</v>
      </c>
      <c r="AO430" t="b">
        <f t="shared" si="74"/>
        <v>1</v>
      </c>
      <c r="AR430" t="s">
        <v>5061</v>
      </c>
      <c r="AS430" s="21">
        <v>46276</v>
      </c>
      <c r="AT430" t="s">
        <v>5062</v>
      </c>
      <c r="AU430" t="s">
        <v>5071</v>
      </c>
      <c r="AV430" t="s">
        <v>5062</v>
      </c>
      <c r="AW430" t="s">
        <v>5086</v>
      </c>
    </row>
    <row r="431" spans="1:49" hidden="1" x14ac:dyDescent="0.35">
      <c r="A431" t="s">
        <v>871</v>
      </c>
      <c r="B431" t="s">
        <v>872</v>
      </c>
      <c r="C431" t="s">
        <v>4818</v>
      </c>
      <c r="D431" t="s">
        <v>18</v>
      </c>
      <c r="E431" t="s">
        <v>2108</v>
      </c>
      <c r="F431" t="s">
        <v>2109</v>
      </c>
      <c r="G431" t="s">
        <v>21</v>
      </c>
      <c r="H431" t="s">
        <v>4826</v>
      </c>
      <c r="I431" t="s">
        <v>4935</v>
      </c>
      <c r="J431" s="4" t="s">
        <v>4936</v>
      </c>
      <c r="K431" s="4" t="s">
        <v>4957</v>
      </c>
      <c r="L431" s="4" t="s">
        <v>4968</v>
      </c>
      <c r="M431" s="4" t="s">
        <v>5035</v>
      </c>
      <c r="N431" t="s">
        <v>15</v>
      </c>
      <c r="O431" t="s">
        <v>2110</v>
      </c>
      <c r="P431" t="s">
        <v>23</v>
      </c>
      <c r="Q431" t="s">
        <v>24</v>
      </c>
      <c r="R431" t="s">
        <v>25</v>
      </c>
      <c r="S431" t="s">
        <v>26</v>
      </c>
      <c r="T431" s="6">
        <v>46307</v>
      </c>
      <c r="U431">
        <v>84</v>
      </c>
      <c r="V431">
        <v>84</v>
      </c>
      <c r="W431">
        <v>84</v>
      </c>
      <c r="X431">
        <v>84</v>
      </c>
      <c r="Y431">
        <f t="shared" si="69"/>
        <v>0</v>
      </c>
      <c r="Z431">
        <f t="shared" si="70"/>
        <v>0</v>
      </c>
      <c r="AC431" s="1">
        <v>0</v>
      </c>
      <c r="AF431">
        <f t="shared" si="79"/>
        <v>84</v>
      </c>
      <c r="AG431" s="41">
        <v>12</v>
      </c>
      <c r="AH431">
        <f t="shared" si="71"/>
        <v>84</v>
      </c>
      <c r="AI431">
        <f t="shared" si="72"/>
        <v>0</v>
      </c>
      <c r="AK431">
        <f t="shared" si="73"/>
        <v>7</v>
      </c>
      <c r="AL431">
        <v>11.27</v>
      </c>
      <c r="AM431" t="s">
        <v>27</v>
      </c>
      <c r="AN431">
        <v>11.27</v>
      </c>
      <c r="AO431" t="b">
        <f t="shared" si="74"/>
        <v>1</v>
      </c>
      <c r="AR431" t="s">
        <v>5061</v>
      </c>
      <c r="AS431" s="21">
        <v>46276</v>
      </c>
      <c r="AT431" t="s">
        <v>5062</v>
      </c>
      <c r="AU431" t="s">
        <v>5071</v>
      </c>
      <c r="AV431" t="s">
        <v>5062</v>
      </c>
      <c r="AW431" t="s">
        <v>5086</v>
      </c>
    </row>
    <row r="432" spans="1:49" hidden="1" x14ac:dyDescent="0.35">
      <c r="A432" t="s">
        <v>871</v>
      </c>
      <c r="B432" t="s">
        <v>872</v>
      </c>
      <c r="C432" t="s">
        <v>4818</v>
      </c>
      <c r="D432" t="s">
        <v>18</v>
      </c>
      <c r="E432" t="s">
        <v>2111</v>
      </c>
      <c r="F432" t="s">
        <v>2112</v>
      </c>
      <c r="G432" t="s">
        <v>21</v>
      </c>
      <c r="H432" t="s">
        <v>4826</v>
      </c>
      <c r="I432" t="s">
        <v>4935</v>
      </c>
      <c r="J432" s="4" t="s">
        <v>4936</v>
      </c>
      <c r="K432" s="4" t="s">
        <v>4837</v>
      </c>
      <c r="L432" s="4" t="s">
        <v>4962</v>
      </c>
      <c r="M432" s="4" t="s">
        <v>5035</v>
      </c>
      <c r="N432" t="s">
        <v>15</v>
      </c>
      <c r="O432" t="s">
        <v>2113</v>
      </c>
      <c r="P432" t="s">
        <v>23</v>
      </c>
      <c r="Q432" t="s">
        <v>24</v>
      </c>
      <c r="R432" t="s">
        <v>25</v>
      </c>
      <c r="S432" t="s">
        <v>26</v>
      </c>
      <c r="T432" s="6">
        <v>46307</v>
      </c>
      <c r="U432">
        <v>72</v>
      </c>
      <c r="V432">
        <v>72</v>
      </c>
      <c r="W432">
        <v>84</v>
      </c>
      <c r="X432">
        <v>84</v>
      </c>
      <c r="Y432">
        <f t="shared" si="69"/>
        <v>0</v>
      </c>
      <c r="Z432">
        <f t="shared" si="70"/>
        <v>-12</v>
      </c>
      <c r="AC432" s="1">
        <v>0</v>
      </c>
      <c r="AF432">
        <f t="shared" si="79"/>
        <v>72</v>
      </c>
      <c r="AG432" s="41">
        <v>12</v>
      </c>
      <c r="AH432">
        <f t="shared" si="71"/>
        <v>72</v>
      </c>
      <c r="AI432">
        <f t="shared" si="72"/>
        <v>0</v>
      </c>
      <c r="AK432">
        <f t="shared" si="73"/>
        <v>6</v>
      </c>
      <c r="AL432">
        <v>11.16</v>
      </c>
      <c r="AM432" t="s">
        <v>27</v>
      </c>
      <c r="AN432">
        <v>11.16</v>
      </c>
      <c r="AO432" t="b">
        <f t="shared" si="74"/>
        <v>1</v>
      </c>
      <c r="AR432" t="s">
        <v>5061</v>
      </c>
      <c r="AS432" s="21">
        <v>46276</v>
      </c>
      <c r="AT432" t="s">
        <v>5062</v>
      </c>
      <c r="AU432" t="s">
        <v>5071</v>
      </c>
      <c r="AV432" t="s">
        <v>5062</v>
      </c>
      <c r="AW432" t="s">
        <v>5086</v>
      </c>
    </row>
    <row r="433" spans="1:49" hidden="1" x14ac:dyDescent="0.35">
      <c r="A433" t="s">
        <v>871</v>
      </c>
      <c r="B433" t="s">
        <v>872</v>
      </c>
      <c r="C433" t="s">
        <v>4818</v>
      </c>
      <c r="D433" t="s">
        <v>18</v>
      </c>
      <c r="E433" t="s">
        <v>2114</v>
      </c>
      <c r="F433" t="s">
        <v>2115</v>
      </c>
      <c r="G433" t="s">
        <v>21</v>
      </c>
      <c r="H433" t="s">
        <v>4826</v>
      </c>
      <c r="I433" t="s">
        <v>4935</v>
      </c>
      <c r="J433" s="4" t="s">
        <v>4936</v>
      </c>
      <c r="K433" s="4" t="s">
        <v>4937</v>
      </c>
      <c r="L433" s="4" t="s">
        <v>4943</v>
      </c>
      <c r="M433" s="4" t="s">
        <v>5035</v>
      </c>
      <c r="N433" t="s">
        <v>15</v>
      </c>
      <c r="O433" t="s">
        <v>2116</v>
      </c>
      <c r="P433" t="s">
        <v>23</v>
      </c>
      <c r="Q433" t="s">
        <v>24</v>
      </c>
      <c r="R433" t="s">
        <v>25</v>
      </c>
      <c r="S433" t="s">
        <v>26</v>
      </c>
      <c r="T433" s="6">
        <v>46307</v>
      </c>
      <c r="U433">
        <v>36</v>
      </c>
      <c r="V433">
        <v>36</v>
      </c>
      <c r="W433">
        <v>36</v>
      </c>
      <c r="X433">
        <v>36</v>
      </c>
      <c r="Y433">
        <f t="shared" si="69"/>
        <v>0</v>
      </c>
      <c r="Z433">
        <f t="shared" si="70"/>
        <v>0</v>
      </c>
      <c r="AC433" s="1">
        <v>0</v>
      </c>
      <c r="AF433">
        <f t="shared" si="79"/>
        <v>36</v>
      </c>
      <c r="AG433" s="41">
        <v>12</v>
      </c>
      <c r="AH433">
        <f t="shared" si="71"/>
        <v>36</v>
      </c>
      <c r="AI433">
        <f t="shared" si="72"/>
        <v>0</v>
      </c>
      <c r="AK433">
        <f t="shared" si="73"/>
        <v>3</v>
      </c>
      <c r="AL433">
        <v>11.16</v>
      </c>
      <c r="AM433" t="s">
        <v>27</v>
      </c>
      <c r="AN433">
        <v>11.16</v>
      </c>
      <c r="AO433" t="b">
        <f t="shared" si="74"/>
        <v>1</v>
      </c>
      <c r="AR433" t="s">
        <v>5061</v>
      </c>
      <c r="AS433" s="21">
        <v>46276</v>
      </c>
      <c r="AT433" t="s">
        <v>5062</v>
      </c>
      <c r="AU433" t="s">
        <v>5071</v>
      </c>
      <c r="AV433" t="s">
        <v>5062</v>
      </c>
      <c r="AW433" t="s">
        <v>5086</v>
      </c>
    </row>
    <row r="434" spans="1:49" hidden="1" x14ac:dyDescent="0.35">
      <c r="A434" t="s">
        <v>871</v>
      </c>
      <c r="B434" t="s">
        <v>872</v>
      </c>
      <c r="C434" t="s">
        <v>4818</v>
      </c>
      <c r="D434" t="s">
        <v>18</v>
      </c>
      <c r="E434" t="s">
        <v>2117</v>
      </c>
      <c r="F434" t="s">
        <v>2118</v>
      </c>
      <c r="G434" t="s">
        <v>21</v>
      </c>
      <c r="H434" t="s">
        <v>4826</v>
      </c>
      <c r="I434" t="s">
        <v>4935</v>
      </c>
      <c r="J434" s="4" t="s">
        <v>4936</v>
      </c>
      <c r="K434" s="4" t="s">
        <v>4837</v>
      </c>
      <c r="L434" s="4" t="s">
        <v>4972</v>
      </c>
      <c r="M434" s="4" t="s">
        <v>5035</v>
      </c>
      <c r="N434" t="s">
        <v>15</v>
      </c>
      <c r="O434" t="s">
        <v>2119</v>
      </c>
      <c r="P434" t="s">
        <v>23</v>
      </c>
      <c r="Q434" t="s">
        <v>24</v>
      </c>
      <c r="R434" t="s">
        <v>25</v>
      </c>
      <c r="S434" t="s">
        <v>26</v>
      </c>
      <c r="T434" s="6">
        <v>46307</v>
      </c>
      <c r="U434">
        <v>312</v>
      </c>
      <c r="V434">
        <v>312</v>
      </c>
      <c r="W434">
        <v>336</v>
      </c>
      <c r="X434">
        <v>336</v>
      </c>
      <c r="Y434">
        <f t="shared" si="69"/>
        <v>0</v>
      </c>
      <c r="Z434">
        <f t="shared" si="70"/>
        <v>-24</v>
      </c>
      <c r="AC434" s="1"/>
      <c r="AF434">
        <f t="shared" si="79"/>
        <v>312</v>
      </c>
      <c r="AG434" s="41">
        <v>12</v>
      </c>
      <c r="AH434">
        <f t="shared" si="71"/>
        <v>312</v>
      </c>
      <c r="AI434">
        <f t="shared" si="72"/>
        <v>0</v>
      </c>
      <c r="AK434">
        <f t="shared" si="73"/>
        <v>26</v>
      </c>
      <c r="AL434">
        <v>11.16</v>
      </c>
      <c r="AM434" t="s">
        <v>27</v>
      </c>
      <c r="AN434">
        <v>11.16</v>
      </c>
      <c r="AO434" t="b">
        <f t="shared" si="74"/>
        <v>1</v>
      </c>
      <c r="AR434" t="s">
        <v>5061</v>
      </c>
      <c r="AS434" s="21">
        <v>46276</v>
      </c>
      <c r="AT434" t="s">
        <v>5062</v>
      </c>
      <c r="AU434" t="s">
        <v>5071</v>
      </c>
      <c r="AV434" t="s">
        <v>5062</v>
      </c>
      <c r="AW434" t="s">
        <v>5086</v>
      </c>
    </row>
    <row r="435" spans="1:49" hidden="1" x14ac:dyDescent="0.35">
      <c r="A435" t="s">
        <v>871</v>
      </c>
      <c r="B435" t="s">
        <v>872</v>
      </c>
      <c r="C435" t="s">
        <v>4818</v>
      </c>
      <c r="D435" t="s">
        <v>18</v>
      </c>
      <c r="E435" t="s">
        <v>2120</v>
      </c>
      <c r="F435" t="s">
        <v>2121</v>
      </c>
      <c r="G435" t="s">
        <v>21</v>
      </c>
      <c r="H435" t="s">
        <v>4826</v>
      </c>
      <c r="I435" t="s">
        <v>4935</v>
      </c>
      <c r="J435" s="4" t="s">
        <v>4936</v>
      </c>
      <c r="K435" s="4" t="s">
        <v>4937</v>
      </c>
      <c r="L435" s="4" t="s">
        <v>4974</v>
      </c>
      <c r="M435" s="4" t="s">
        <v>5035</v>
      </c>
      <c r="N435" t="s">
        <v>15</v>
      </c>
      <c r="O435" t="s">
        <v>2122</v>
      </c>
      <c r="P435" t="s">
        <v>23</v>
      </c>
      <c r="Q435" t="s">
        <v>24</v>
      </c>
      <c r="R435" t="s">
        <v>25</v>
      </c>
      <c r="S435" t="s">
        <v>26</v>
      </c>
      <c r="T435" s="6">
        <v>46307</v>
      </c>
      <c r="U435">
        <v>24</v>
      </c>
      <c r="V435">
        <v>24</v>
      </c>
      <c r="W435">
        <v>24</v>
      </c>
      <c r="X435">
        <v>24</v>
      </c>
      <c r="Y435">
        <f t="shared" si="69"/>
        <v>0</v>
      </c>
      <c r="Z435">
        <f t="shared" si="70"/>
        <v>0</v>
      </c>
      <c r="AC435" s="1">
        <v>0</v>
      </c>
      <c r="AF435">
        <f t="shared" si="79"/>
        <v>24</v>
      </c>
      <c r="AG435" s="41">
        <v>12</v>
      </c>
      <c r="AH435">
        <f t="shared" si="71"/>
        <v>24</v>
      </c>
      <c r="AI435">
        <f t="shared" si="72"/>
        <v>0</v>
      </c>
      <c r="AK435">
        <f t="shared" si="73"/>
        <v>2</v>
      </c>
      <c r="AL435">
        <v>11.16</v>
      </c>
      <c r="AM435" t="s">
        <v>27</v>
      </c>
      <c r="AN435">
        <v>11.16</v>
      </c>
      <c r="AO435" t="b">
        <f t="shared" si="74"/>
        <v>1</v>
      </c>
      <c r="AR435" t="s">
        <v>5061</v>
      </c>
      <c r="AS435" s="21">
        <v>46276</v>
      </c>
      <c r="AT435" t="s">
        <v>5062</v>
      </c>
      <c r="AU435" t="s">
        <v>5071</v>
      </c>
      <c r="AV435" t="s">
        <v>5062</v>
      </c>
      <c r="AW435" t="s">
        <v>5086</v>
      </c>
    </row>
    <row r="436" spans="1:49" hidden="1" x14ac:dyDescent="0.35">
      <c r="A436" t="s">
        <v>871</v>
      </c>
      <c r="B436" t="s">
        <v>872</v>
      </c>
      <c r="C436" t="s">
        <v>4818</v>
      </c>
      <c r="D436" t="s">
        <v>18</v>
      </c>
      <c r="E436" t="s">
        <v>2123</v>
      </c>
      <c r="F436" t="s">
        <v>2124</v>
      </c>
      <c r="G436" t="s">
        <v>21</v>
      </c>
      <c r="H436" t="s">
        <v>4826</v>
      </c>
      <c r="I436" t="s">
        <v>4935</v>
      </c>
      <c r="J436" s="4" t="s">
        <v>4936</v>
      </c>
      <c r="K436" s="4" t="s">
        <v>4837</v>
      </c>
      <c r="L436" s="4" t="s">
        <v>4943</v>
      </c>
      <c r="M436" s="4" t="s">
        <v>5035</v>
      </c>
      <c r="N436" t="s">
        <v>15</v>
      </c>
      <c r="O436" t="s">
        <v>2125</v>
      </c>
      <c r="P436" t="s">
        <v>23</v>
      </c>
      <c r="Q436" t="s">
        <v>24</v>
      </c>
      <c r="R436" t="s">
        <v>25</v>
      </c>
      <c r="S436" t="s">
        <v>26</v>
      </c>
      <c r="T436" s="6">
        <v>46307</v>
      </c>
      <c r="U436">
        <v>132</v>
      </c>
      <c r="V436">
        <v>132</v>
      </c>
      <c r="W436">
        <v>132</v>
      </c>
      <c r="X436">
        <v>132</v>
      </c>
      <c r="Y436">
        <f t="shared" si="69"/>
        <v>0</v>
      </c>
      <c r="Z436">
        <f t="shared" si="70"/>
        <v>0</v>
      </c>
      <c r="AC436" s="1">
        <v>0</v>
      </c>
      <c r="AF436">
        <f t="shared" si="79"/>
        <v>132</v>
      </c>
      <c r="AG436" s="41">
        <v>12</v>
      </c>
      <c r="AH436">
        <f t="shared" si="71"/>
        <v>132</v>
      </c>
      <c r="AI436">
        <f t="shared" si="72"/>
        <v>0</v>
      </c>
      <c r="AK436">
        <f t="shared" si="73"/>
        <v>11</v>
      </c>
      <c r="AL436">
        <v>11.16</v>
      </c>
      <c r="AM436" t="s">
        <v>27</v>
      </c>
      <c r="AN436">
        <v>11.16</v>
      </c>
      <c r="AO436" t="b">
        <f t="shared" si="74"/>
        <v>1</v>
      </c>
      <c r="AR436" t="s">
        <v>5061</v>
      </c>
      <c r="AS436" s="21">
        <v>46276</v>
      </c>
      <c r="AT436" t="s">
        <v>5062</v>
      </c>
      <c r="AU436" t="s">
        <v>5071</v>
      </c>
      <c r="AV436" t="s">
        <v>5062</v>
      </c>
      <c r="AW436" t="s">
        <v>5086</v>
      </c>
    </row>
    <row r="437" spans="1:49" hidden="1" x14ac:dyDescent="0.35">
      <c r="A437" t="s">
        <v>871</v>
      </c>
      <c r="B437" t="s">
        <v>872</v>
      </c>
      <c r="C437" t="s">
        <v>4818</v>
      </c>
      <c r="D437" t="s">
        <v>18</v>
      </c>
      <c r="E437" t="s">
        <v>2126</v>
      </c>
      <c r="F437" t="s">
        <v>2127</v>
      </c>
      <c r="G437" t="s">
        <v>21</v>
      </c>
      <c r="H437" t="s">
        <v>4826</v>
      </c>
      <c r="I437" t="s">
        <v>4935</v>
      </c>
      <c r="J437" s="4" t="s">
        <v>4936</v>
      </c>
      <c r="K437" s="4" t="s">
        <v>4957</v>
      </c>
      <c r="L437" s="4" t="s">
        <v>4953</v>
      </c>
      <c r="M437" s="4" t="s">
        <v>5035</v>
      </c>
      <c r="N437" t="s">
        <v>15</v>
      </c>
      <c r="O437" t="s">
        <v>2128</v>
      </c>
      <c r="P437" t="s">
        <v>23</v>
      </c>
      <c r="Q437" t="s">
        <v>24</v>
      </c>
      <c r="R437" t="s">
        <v>25</v>
      </c>
      <c r="S437" t="s">
        <v>26</v>
      </c>
      <c r="T437" s="6">
        <v>46307</v>
      </c>
      <c r="U437">
        <v>96</v>
      </c>
      <c r="V437">
        <v>96</v>
      </c>
      <c r="W437">
        <v>84</v>
      </c>
      <c r="X437">
        <v>84</v>
      </c>
      <c r="Y437">
        <f t="shared" si="69"/>
        <v>0</v>
      </c>
      <c r="Z437">
        <f t="shared" si="70"/>
        <v>12</v>
      </c>
      <c r="AA437">
        <f>Z437</f>
        <v>12</v>
      </c>
      <c r="AC437" s="1">
        <v>0</v>
      </c>
      <c r="AF437">
        <f>X437</f>
        <v>84</v>
      </c>
      <c r="AG437" s="41">
        <v>12</v>
      </c>
      <c r="AH437">
        <f t="shared" si="71"/>
        <v>84</v>
      </c>
      <c r="AI437">
        <f t="shared" si="72"/>
        <v>12</v>
      </c>
      <c r="AK437">
        <f t="shared" si="73"/>
        <v>7</v>
      </c>
      <c r="AL437">
        <v>11.27</v>
      </c>
      <c r="AM437" t="s">
        <v>27</v>
      </c>
      <c r="AN437">
        <v>11.27</v>
      </c>
      <c r="AO437" t="b">
        <f t="shared" si="74"/>
        <v>1</v>
      </c>
      <c r="AR437" t="s">
        <v>5061</v>
      </c>
      <c r="AS437" s="21">
        <v>46276</v>
      </c>
      <c r="AT437" t="s">
        <v>5062</v>
      </c>
      <c r="AU437" t="s">
        <v>5071</v>
      </c>
      <c r="AV437" t="s">
        <v>5062</v>
      </c>
      <c r="AW437" t="s">
        <v>5086</v>
      </c>
    </row>
    <row r="438" spans="1:49" hidden="1" x14ac:dyDescent="0.35">
      <c r="A438" t="s">
        <v>871</v>
      </c>
      <c r="B438" t="s">
        <v>872</v>
      </c>
      <c r="C438" t="s">
        <v>4818</v>
      </c>
      <c r="D438" t="s">
        <v>18</v>
      </c>
      <c r="E438" t="s">
        <v>2129</v>
      </c>
      <c r="F438" t="s">
        <v>2130</v>
      </c>
      <c r="G438" t="s">
        <v>21</v>
      </c>
      <c r="H438" t="s">
        <v>4826</v>
      </c>
      <c r="I438" t="s">
        <v>4935</v>
      </c>
      <c r="J438" s="4" t="s">
        <v>4936</v>
      </c>
      <c r="K438" s="4" t="s">
        <v>4945</v>
      </c>
      <c r="L438" s="4" t="s">
        <v>4950</v>
      </c>
      <c r="M438" s="4" t="s">
        <v>5035</v>
      </c>
      <c r="N438" t="s">
        <v>15</v>
      </c>
      <c r="O438" t="s">
        <v>2131</v>
      </c>
      <c r="P438" t="s">
        <v>23</v>
      </c>
      <c r="Q438" t="s">
        <v>24</v>
      </c>
      <c r="R438" t="s">
        <v>25</v>
      </c>
      <c r="S438" t="s">
        <v>26</v>
      </c>
      <c r="T438" s="6">
        <v>46307</v>
      </c>
      <c r="U438">
        <v>24</v>
      </c>
      <c r="V438">
        <v>24</v>
      </c>
      <c r="W438">
        <v>24</v>
      </c>
      <c r="X438">
        <v>24</v>
      </c>
      <c r="Y438">
        <f t="shared" si="69"/>
        <v>0</v>
      </c>
      <c r="Z438">
        <f t="shared" si="70"/>
        <v>0</v>
      </c>
      <c r="AC438" s="1">
        <v>0</v>
      </c>
      <c r="AF438">
        <f>V438</f>
        <v>24</v>
      </c>
      <c r="AG438" s="41">
        <v>12</v>
      </c>
      <c r="AH438">
        <f t="shared" si="71"/>
        <v>24</v>
      </c>
      <c r="AI438">
        <f t="shared" si="72"/>
        <v>0</v>
      </c>
      <c r="AK438">
        <f t="shared" si="73"/>
        <v>2</v>
      </c>
      <c r="AL438">
        <v>11.16</v>
      </c>
      <c r="AM438" t="s">
        <v>27</v>
      </c>
      <c r="AN438">
        <v>11.16</v>
      </c>
      <c r="AO438" t="b">
        <f t="shared" si="74"/>
        <v>1</v>
      </c>
      <c r="AR438" t="s">
        <v>5061</v>
      </c>
      <c r="AS438" s="21">
        <v>46276</v>
      </c>
      <c r="AT438" t="s">
        <v>5062</v>
      </c>
      <c r="AU438" t="s">
        <v>5071</v>
      </c>
      <c r="AV438" t="s">
        <v>5062</v>
      </c>
      <c r="AW438" t="s">
        <v>5086</v>
      </c>
    </row>
    <row r="439" spans="1:49" hidden="1" x14ac:dyDescent="0.35">
      <c r="A439" t="s">
        <v>871</v>
      </c>
      <c r="B439" t="s">
        <v>872</v>
      </c>
      <c r="C439" t="s">
        <v>4818</v>
      </c>
      <c r="D439" t="s">
        <v>18</v>
      </c>
      <c r="E439" t="s">
        <v>2132</v>
      </c>
      <c r="F439" t="s">
        <v>2133</v>
      </c>
      <c r="G439" t="s">
        <v>21</v>
      </c>
      <c r="H439" t="s">
        <v>4826</v>
      </c>
      <c r="I439" t="s">
        <v>4935</v>
      </c>
      <c r="J439" s="4" t="s">
        <v>4936</v>
      </c>
      <c r="K439" s="4" t="s">
        <v>4945</v>
      </c>
      <c r="L439" s="4" t="s">
        <v>4938</v>
      </c>
      <c r="M439" s="4" t="s">
        <v>5035</v>
      </c>
      <c r="N439" t="s">
        <v>15</v>
      </c>
      <c r="O439" t="s">
        <v>2134</v>
      </c>
      <c r="P439" t="s">
        <v>23</v>
      </c>
      <c r="Q439" t="s">
        <v>24</v>
      </c>
      <c r="R439" t="s">
        <v>25</v>
      </c>
      <c r="S439" t="s">
        <v>26</v>
      </c>
      <c r="T439" s="6">
        <v>46307</v>
      </c>
      <c r="U439">
        <v>276</v>
      </c>
      <c r="V439">
        <v>276</v>
      </c>
      <c r="W439">
        <v>252</v>
      </c>
      <c r="X439">
        <v>252</v>
      </c>
      <c r="Y439">
        <f t="shared" si="69"/>
        <v>0</v>
      </c>
      <c r="Z439">
        <f t="shared" si="70"/>
        <v>24</v>
      </c>
      <c r="AA439">
        <f t="shared" ref="AA439:AA441" si="80">Z439</f>
        <v>24</v>
      </c>
      <c r="AC439" s="1">
        <v>0</v>
      </c>
      <c r="AF439">
        <f>X439</f>
        <v>252</v>
      </c>
      <c r="AG439" s="41">
        <v>12</v>
      </c>
      <c r="AH439">
        <f t="shared" si="71"/>
        <v>252</v>
      </c>
      <c r="AI439">
        <f t="shared" si="72"/>
        <v>24</v>
      </c>
      <c r="AK439">
        <f t="shared" si="73"/>
        <v>21</v>
      </c>
      <c r="AL439">
        <v>11.16</v>
      </c>
      <c r="AM439" t="s">
        <v>27</v>
      </c>
      <c r="AN439">
        <v>11.16</v>
      </c>
      <c r="AO439" t="b">
        <f t="shared" si="74"/>
        <v>1</v>
      </c>
      <c r="AR439" t="s">
        <v>5061</v>
      </c>
      <c r="AS439" s="21">
        <v>46276</v>
      </c>
      <c r="AT439" t="s">
        <v>5062</v>
      </c>
      <c r="AU439" t="s">
        <v>5071</v>
      </c>
      <c r="AV439" t="s">
        <v>5062</v>
      </c>
      <c r="AW439" t="s">
        <v>5086</v>
      </c>
    </row>
    <row r="440" spans="1:49" hidden="1" x14ac:dyDescent="0.35">
      <c r="A440" t="s">
        <v>871</v>
      </c>
      <c r="B440" t="s">
        <v>872</v>
      </c>
      <c r="C440" t="s">
        <v>4818</v>
      </c>
      <c r="D440" t="s">
        <v>18</v>
      </c>
      <c r="E440" t="s">
        <v>2135</v>
      </c>
      <c r="F440" t="s">
        <v>2136</v>
      </c>
      <c r="G440" t="s">
        <v>21</v>
      </c>
      <c r="H440" t="s">
        <v>4826</v>
      </c>
      <c r="I440" t="s">
        <v>4935</v>
      </c>
      <c r="J440" s="4" t="s">
        <v>4936</v>
      </c>
      <c r="K440" s="4" t="s">
        <v>4945</v>
      </c>
      <c r="L440" s="4" t="s">
        <v>4974</v>
      </c>
      <c r="M440" s="4" t="s">
        <v>5035</v>
      </c>
      <c r="N440" t="s">
        <v>15</v>
      </c>
      <c r="O440" t="s">
        <v>2137</v>
      </c>
      <c r="P440" t="s">
        <v>23</v>
      </c>
      <c r="Q440" t="s">
        <v>24</v>
      </c>
      <c r="R440" t="s">
        <v>25</v>
      </c>
      <c r="S440" t="s">
        <v>26</v>
      </c>
      <c r="T440" s="6">
        <v>46307</v>
      </c>
      <c r="U440">
        <v>84</v>
      </c>
      <c r="V440">
        <v>84</v>
      </c>
      <c r="W440">
        <v>72</v>
      </c>
      <c r="X440">
        <v>72</v>
      </c>
      <c r="Y440">
        <f t="shared" si="69"/>
        <v>0</v>
      </c>
      <c r="Z440">
        <f t="shared" si="70"/>
        <v>12</v>
      </c>
      <c r="AA440">
        <f t="shared" si="80"/>
        <v>12</v>
      </c>
      <c r="AC440" s="1">
        <v>0</v>
      </c>
      <c r="AF440">
        <f>X440</f>
        <v>72</v>
      </c>
      <c r="AG440" s="41">
        <v>12</v>
      </c>
      <c r="AH440">
        <f t="shared" si="71"/>
        <v>72</v>
      </c>
      <c r="AI440">
        <f t="shared" si="72"/>
        <v>12</v>
      </c>
      <c r="AK440">
        <f t="shared" si="73"/>
        <v>6</v>
      </c>
      <c r="AL440">
        <v>11.16</v>
      </c>
      <c r="AM440" t="s">
        <v>27</v>
      </c>
      <c r="AN440">
        <v>11.16</v>
      </c>
      <c r="AO440" t="b">
        <f t="shared" si="74"/>
        <v>1</v>
      </c>
      <c r="AR440" t="s">
        <v>5061</v>
      </c>
      <c r="AS440" s="21">
        <v>46276</v>
      </c>
      <c r="AT440" t="s">
        <v>5062</v>
      </c>
      <c r="AU440" t="s">
        <v>5071</v>
      </c>
      <c r="AV440" t="s">
        <v>5062</v>
      </c>
      <c r="AW440" t="s">
        <v>5086</v>
      </c>
    </row>
    <row r="441" spans="1:49" hidden="1" x14ac:dyDescent="0.35">
      <c r="A441" t="s">
        <v>871</v>
      </c>
      <c r="B441" t="s">
        <v>872</v>
      </c>
      <c r="C441" t="s">
        <v>4818</v>
      </c>
      <c r="D441" t="s">
        <v>18</v>
      </c>
      <c r="E441" t="s">
        <v>2138</v>
      </c>
      <c r="F441" t="s">
        <v>2139</v>
      </c>
      <c r="G441" t="s">
        <v>21</v>
      </c>
      <c r="H441" t="s">
        <v>4826</v>
      </c>
      <c r="I441" t="s">
        <v>4935</v>
      </c>
      <c r="J441" s="4" t="s">
        <v>4936</v>
      </c>
      <c r="K441" s="4" t="s">
        <v>4837</v>
      </c>
      <c r="L441" s="4" t="s">
        <v>4939</v>
      </c>
      <c r="M441" s="4" t="s">
        <v>5035</v>
      </c>
      <c r="N441" t="s">
        <v>15</v>
      </c>
      <c r="O441" t="s">
        <v>2140</v>
      </c>
      <c r="P441" t="s">
        <v>23</v>
      </c>
      <c r="Q441" t="s">
        <v>24</v>
      </c>
      <c r="R441" t="s">
        <v>25</v>
      </c>
      <c r="S441" t="s">
        <v>26</v>
      </c>
      <c r="T441" s="6">
        <v>46307</v>
      </c>
      <c r="U441">
        <v>120</v>
      </c>
      <c r="V441">
        <v>120</v>
      </c>
      <c r="W441">
        <v>108</v>
      </c>
      <c r="X441">
        <v>108</v>
      </c>
      <c r="Y441">
        <f t="shared" si="69"/>
        <v>0</v>
      </c>
      <c r="Z441">
        <f t="shared" si="70"/>
        <v>12</v>
      </c>
      <c r="AA441">
        <f t="shared" si="80"/>
        <v>12</v>
      </c>
      <c r="AC441" s="1">
        <v>0</v>
      </c>
      <c r="AF441">
        <f>X441</f>
        <v>108</v>
      </c>
      <c r="AG441" s="41">
        <v>12</v>
      </c>
      <c r="AH441">
        <f t="shared" si="71"/>
        <v>108</v>
      </c>
      <c r="AI441">
        <f t="shared" si="72"/>
        <v>12</v>
      </c>
      <c r="AK441">
        <f t="shared" si="73"/>
        <v>9</v>
      </c>
      <c r="AL441">
        <v>11.16</v>
      </c>
      <c r="AM441" t="s">
        <v>27</v>
      </c>
      <c r="AN441">
        <v>11.16</v>
      </c>
      <c r="AO441" t="b">
        <f t="shared" si="74"/>
        <v>1</v>
      </c>
      <c r="AR441" t="s">
        <v>5061</v>
      </c>
      <c r="AS441" s="21">
        <v>46276</v>
      </c>
      <c r="AT441" t="s">
        <v>5062</v>
      </c>
      <c r="AU441" t="s">
        <v>5071</v>
      </c>
      <c r="AV441" t="s">
        <v>5062</v>
      </c>
      <c r="AW441" t="s">
        <v>5086</v>
      </c>
    </row>
    <row r="442" spans="1:49" hidden="1" x14ac:dyDescent="0.35">
      <c r="A442" t="s">
        <v>871</v>
      </c>
      <c r="B442" t="s">
        <v>872</v>
      </c>
      <c r="C442" t="s">
        <v>4818</v>
      </c>
      <c r="D442" t="s">
        <v>18</v>
      </c>
      <c r="E442" t="s">
        <v>2141</v>
      </c>
      <c r="F442" t="s">
        <v>2142</v>
      </c>
      <c r="G442" t="s">
        <v>21</v>
      </c>
      <c r="H442" t="s">
        <v>4826</v>
      </c>
      <c r="I442" t="s">
        <v>4935</v>
      </c>
      <c r="J442" s="4" t="s">
        <v>4936</v>
      </c>
      <c r="K442" s="4" t="s">
        <v>4957</v>
      </c>
      <c r="L442" s="4" t="s">
        <v>4974</v>
      </c>
      <c r="M442" s="4" t="s">
        <v>5035</v>
      </c>
      <c r="N442" t="s">
        <v>15</v>
      </c>
      <c r="O442" t="s">
        <v>2143</v>
      </c>
      <c r="P442" t="s">
        <v>23</v>
      </c>
      <c r="Q442" t="s">
        <v>24</v>
      </c>
      <c r="R442" t="s">
        <v>25</v>
      </c>
      <c r="S442" t="s">
        <v>26</v>
      </c>
      <c r="T442" s="6">
        <v>46307</v>
      </c>
      <c r="U442">
        <v>60</v>
      </c>
      <c r="V442">
        <v>60</v>
      </c>
      <c r="W442">
        <v>60</v>
      </c>
      <c r="X442">
        <v>60</v>
      </c>
      <c r="Y442">
        <f t="shared" si="69"/>
        <v>0</v>
      </c>
      <c r="Z442">
        <f t="shared" si="70"/>
        <v>0</v>
      </c>
      <c r="AC442" s="1">
        <v>0</v>
      </c>
      <c r="AF442">
        <f>V442</f>
        <v>60</v>
      </c>
      <c r="AG442" s="41">
        <v>12</v>
      </c>
      <c r="AH442">
        <f t="shared" si="71"/>
        <v>60</v>
      </c>
      <c r="AI442">
        <f t="shared" si="72"/>
        <v>0</v>
      </c>
      <c r="AK442">
        <f t="shared" si="73"/>
        <v>5</v>
      </c>
      <c r="AL442">
        <v>11.27</v>
      </c>
      <c r="AM442" t="s">
        <v>27</v>
      </c>
      <c r="AN442">
        <v>11.27</v>
      </c>
      <c r="AO442" t="b">
        <f t="shared" si="74"/>
        <v>1</v>
      </c>
      <c r="AR442" t="s">
        <v>5061</v>
      </c>
      <c r="AS442" s="21">
        <v>46276</v>
      </c>
      <c r="AT442" t="s">
        <v>5062</v>
      </c>
      <c r="AU442" t="s">
        <v>5071</v>
      </c>
      <c r="AV442" t="s">
        <v>5062</v>
      </c>
      <c r="AW442" t="s">
        <v>5086</v>
      </c>
    </row>
    <row r="443" spans="1:49" hidden="1" x14ac:dyDescent="0.35">
      <c r="A443" t="s">
        <v>871</v>
      </c>
      <c r="B443" t="s">
        <v>872</v>
      </c>
      <c r="C443" t="s">
        <v>4818</v>
      </c>
      <c r="D443" t="s">
        <v>18</v>
      </c>
      <c r="E443" t="s">
        <v>2144</v>
      </c>
      <c r="F443" t="s">
        <v>2145</v>
      </c>
      <c r="G443" t="s">
        <v>21</v>
      </c>
      <c r="H443" t="s">
        <v>4826</v>
      </c>
      <c r="I443" t="s">
        <v>4935</v>
      </c>
      <c r="J443" s="4" t="s">
        <v>4936</v>
      </c>
      <c r="K443" s="4" t="s">
        <v>4937</v>
      </c>
      <c r="L443" s="4" t="s">
        <v>4972</v>
      </c>
      <c r="M443" s="4" t="s">
        <v>5035</v>
      </c>
      <c r="N443" t="s">
        <v>15</v>
      </c>
      <c r="O443" t="s">
        <v>2146</v>
      </c>
      <c r="P443" t="s">
        <v>23</v>
      </c>
      <c r="Q443" t="s">
        <v>24</v>
      </c>
      <c r="R443" t="s">
        <v>25</v>
      </c>
      <c r="S443" t="s">
        <v>26</v>
      </c>
      <c r="T443" s="6">
        <v>46307</v>
      </c>
      <c r="U443">
        <v>48</v>
      </c>
      <c r="V443">
        <v>48</v>
      </c>
      <c r="W443">
        <v>48</v>
      </c>
      <c r="X443">
        <v>48</v>
      </c>
      <c r="Y443">
        <f t="shared" si="69"/>
        <v>0</v>
      </c>
      <c r="Z443">
        <f t="shared" si="70"/>
        <v>0</v>
      </c>
      <c r="AC443" s="1">
        <v>0</v>
      </c>
      <c r="AF443">
        <f>V443</f>
        <v>48</v>
      </c>
      <c r="AG443" s="41">
        <v>12</v>
      </c>
      <c r="AH443">
        <f t="shared" si="71"/>
        <v>48</v>
      </c>
      <c r="AI443">
        <f t="shared" si="72"/>
        <v>0</v>
      </c>
      <c r="AK443">
        <f t="shared" si="73"/>
        <v>4</v>
      </c>
      <c r="AL443">
        <v>11.16</v>
      </c>
      <c r="AM443" t="s">
        <v>27</v>
      </c>
      <c r="AN443">
        <v>11.16</v>
      </c>
      <c r="AO443" t="b">
        <f t="shared" si="74"/>
        <v>1</v>
      </c>
      <c r="AR443" t="s">
        <v>5061</v>
      </c>
      <c r="AS443" s="21">
        <v>46276</v>
      </c>
      <c r="AT443" t="s">
        <v>5062</v>
      </c>
      <c r="AU443" t="s">
        <v>5071</v>
      </c>
      <c r="AV443" t="s">
        <v>5062</v>
      </c>
      <c r="AW443" t="s">
        <v>5086</v>
      </c>
    </row>
    <row r="444" spans="1:49" hidden="1" x14ac:dyDescent="0.35">
      <c r="A444" t="s">
        <v>871</v>
      </c>
      <c r="B444" t="s">
        <v>872</v>
      </c>
      <c r="C444" t="s">
        <v>4818</v>
      </c>
      <c r="D444" t="s">
        <v>18</v>
      </c>
      <c r="E444" t="s">
        <v>2147</v>
      </c>
      <c r="F444" t="s">
        <v>2148</v>
      </c>
      <c r="G444" t="s">
        <v>21</v>
      </c>
      <c r="H444" t="s">
        <v>4826</v>
      </c>
      <c r="I444" t="s">
        <v>4935</v>
      </c>
      <c r="J444" s="4" t="s">
        <v>4936</v>
      </c>
      <c r="K444" s="4" t="s">
        <v>4957</v>
      </c>
      <c r="L444" s="4" t="s">
        <v>4972</v>
      </c>
      <c r="M444" s="4" t="s">
        <v>5035</v>
      </c>
      <c r="N444" t="s">
        <v>15</v>
      </c>
      <c r="O444" t="s">
        <v>2149</v>
      </c>
      <c r="P444" t="s">
        <v>23</v>
      </c>
      <c r="Q444" t="s">
        <v>24</v>
      </c>
      <c r="R444" t="s">
        <v>25</v>
      </c>
      <c r="S444" t="s">
        <v>26</v>
      </c>
      <c r="T444" s="6">
        <v>46307</v>
      </c>
      <c r="U444">
        <v>120</v>
      </c>
      <c r="V444">
        <v>120</v>
      </c>
      <c r="W444">
        <v>96</v>
      </c>
      <c r="X444">
        <v>96</v>
      </c>
      <c r="Y444">
        <f t="shared" si="69"/>
        <v>0</v>
      </c>
      <c r="Z444">
        <f t="shared" si="70"/>
        <v>24</v>
      </c>
      <c r="AA444">
        <f>Z444</f>
        <v>24</v>
      </c>
      <c r="AC444" s="1">
        <v>0</v>
      </c>
      <c r="AF444">
        <f>X444</f>
        <v>96</v>
      </c>
      <c r="AG444" s="41">
        <v>12</v>
      </c>
      <c r="AH444">
        <f t="shared" si="71"/>
        <v>96</v>
      </c>
      <c r="AI444">
        <f t="shared" si="72"/>
        <v>24</v>
      </c>
      <c r="AK444">
        <f t="shared" si="73"/>
        <v>8</v>
      </c>
      <c r="AL444">
        <v>11.27</v>
      </c>
      <c r="AM444" t="s">
        <v>27</v>
      </c>
      <c r="AN444">
        <v>11.27</v>
      </c>
      <c r="AO444" t="b">
        <f t="shared" si="74"/>
        <v>1</v>
      </c>
      <c r="AR444" t="s">
        <v>5061</v>
      </c>
      <c r="AS444" s="21">
        <v>46276</v>
      </c>
      <c r="AT444" t="s">
        <v>5062</v>
      </c>
      <c r="AU444" t="s">
        <v>5071</v>
      </c>
      <c r="AV444" t="s">
        <v>5062</v>
      </c>
      <c r="AW444" t="s">
        <v>5086</v>
      </c>
    </row>
    <row r="445" spans="1:49" hidden="1" x14ac:dyDescent="0.35">
      <c r="A445" t="s">
        <v>871</v>
      </c>
      <c r="B445" t="s">
        <v>872</v>
      </c>
      <c r="C445" t="s">
        <v>4818</v>
      </c>
      <c r="D445" t="s">
        <v>18</v>
      </c>
      <c r="E445" t="s">
        <v>2150</v>
      </c>
      <c r="F445" t="s">
        <v>2151</v>
      </c>
      <c r="G445" t="s">
        <v>21</v>
      </c>
      <c r="H445" t="s">
        <v>4826</v>
      </c>
      <c r="I445" t="s">
        <v>4935</v>
      </c>
      <c r="J445" s="4" t="s">
        <v>4936</v>
      </c>
      <c r="K445" s="4" t="s">
        <v>4945</v>
      </c>
      <c r="L445" s="4" t="s">
        <v>4948</v>
      </c>
      <c r="M445" s="4" t="s">
        <v>5035</v>
      </c>
      <c r="N445" t="s">
        <v>15</v>
      </c>
      <c r="O445" t="s">
        <v>2152</v>
      </c>
      <c r="P445" t="s">
        <v>23</v>
      </c>
      <c r="Q445" t="s">
        <v>24</v>
      </c>
      <c r="R445" t="s">
        <v>25</v>
      </c>
      <c r="S445" t="s">
        <v>26</v>
      </c>
      <c r="T445" s="6">
        <v>46307</v>
      </c>
      <c r="U445">
        <v>12</v>
      </c>
      <c r="V445">
        <v>12</v>
      </c>
      <c r="W445">
        <v>12</v>
      </c>
      <c r="X445">
        <v>12</v>
      </c>
      <c r="Y445">
        <f t="shared" si="69"/>
        <v>0</v>
      </c>
      <c r="Z445">
        <f t="shared" si="70"/>
        <v>0</v>
      </c>
      <c r="AC445" s="1">
        <v>0</v>
      </c>
      <c r="AF445">
        <f t="shared" ref="AF445:AF450" si="81">V445</f>
        <v>12</v>
      </c>
      <c r="AG445" s="41">
        <v>12</v>
      </c>
      <c r="AH445">
        <f t="shared" si="71"/>
        <v>12</v>
      </c>
      <c r="AI445">
        <f t="shared" si="72"/>
        <v>0</v>
      </c>
      <c r="AK445">
        <f t="shared" si="73"/>
        <v>1</v>
      </c>
      <c r="AL445">
        <v>11.16</v>
      </c>
      <c r="AM445" t="s">
        <v>27</v>
      </c>
      <c r="AN445">
        <v>11.16</v>
      </c>
      <c r="AO445" t="b">
        <f t="shared" si="74"/>
        <v>1</v>
      </c>
      <c r="AR445" t="s">
        <v>5061</v>
      </c>
      <c r="AS445" s="21">
        <v>46276</v>
      </c>
      <c r="AT445" t="s">
        <v>5062</v>
      </c>
      <c r="AU445" t="s">
        <v>5071</v>
      </c>
      <c r="AV445" t="s">
        <v>5062</v>
      </c>
      <c r="AW445" t="s">
        <v>5086</v>
      </c>
    </row>
    <row r="446" spans="1:49" hidden="1" x14ac:dyDescent="0.35">
      <c r="A446" t="s">
        <v>871</v>
      </c>
      <c r="B446" t="s">
        <v>872</v>
      </c>
      <c r="C446" t="s">
        <v>4818</v>
      </c>
      <c r="D446" t="s">
        <v>18</v>
      </c>
      <c r="E446" t="s">
        <v>2153</v>
      </c>
      <c r="F446" t="s">
        <v>2154</v>
      </c>
      <c r="G446" t="s">
        <v>21</v>
      </c>
      <c r="H446" t="s">
        <v>4826</v>
      </c>
      <c r="I446" t="s">
        <v>4935</v>
      </c>
      <c r="J446" s="4" t="s">
        <v>4936</v>
      </c>
      <c r="K446" s="4" t="s">
        <v>4957</v>
      </c>
      <c r="L446" s="4" t="s">
        <v>4941</v>
      </c>
      <c r="M446" s="4" t="s">
        <v>5035</v>
      </c>
      <c r="N446" t="s">
        <v>15</v>
      </c>
      <c r="O446" t="s">
        <v>2155</v>
      </c>
      <c r="P446" t="s">
        <v>23</v>
      </c>
      <c r="Q446" t="s">
        <v>24</v>
      </c>
      <c r="R446" t="s">
        <v>25</v>
      </c>
      <c r="S446" t="s">
        <v>26</v>
      </c>
      <c r="T446" s="6">
        <v>46307</v>
      </c>
      <c r="U446">
        <v>24</v>
      </c>
      <c r="V446">
        <v>24</v>
      </c>
      <c r="W446">
        <v>24</v>
      </c>
      <c r="X446">
        <v>24</v>
      </c>
      <c r="Y446">
        <f t="shared" si="69"/>
        <v>0</v>
      </c>
      <c r="Z446">
        <f t="shared" si="70"/>
        <v>0</v>
      </c>
      <c r="AC446" s="1">
        <v>0</v>
      </c>
      <c r="AF446">
        <f t="shared" si="81"/>
        <v>24</v>
      </c>
      <c r="AG446" s="41">
        <v>12</v>
      </c>
      <c r="AH446">
        <f t="shared" si="71"/>
        <v>24</v>
      </c>
      <c r="AI446">
        <f t="shared" si="72"/>
        <v>0</v>
      </c>
      <c r="AK446">
        <f t="shared" si="73"/>
        <v>2</v>
      </c>
      <c r="AL446">
        <v>11.27</v>
      </c>
      <c r="AM446" t="s">
        <v>27</v>
      </c>
      <c r="AN446">
        <v>11.27</v>
      </c>
      <c r="AO446" t="b">
        <f t="shared" si="74"/>
        <v>1</v>
      </c>
      <c r="AR446" t="s">
        <v>5061</v>
      </c>
      <c r="AS446" s="21">
        <v>46276</v>
      </c>
      <c r="AT446" t="s">
        <v>5062</v>
      </c>
      <c r="AU446" t="s">
        <v>5071</v>
      </c>
      <c r="AV446" t="s">
        <v>5062</v>
      </c>
      <c r="AW446" t="s">
        <v>5086</v>
      </c>
    </row>
    <row r="447" spans="1:49" hidden="1" x14ac:dyDescent="0.35">
      <c r="A447" t="s">
        <v>871</v>
      </c>
      <c r="B447" t="s">
        <v>872</v>
      </c>
      <c r="C447" t="s">
        <v>4818</v>
      </c>
      <c r="D447" t="s">
        <v>18</v>
      </c>
      <c r="E447" t="s">
        <v>2156</v>
      </c>
      <c r="F447" t="s">
        <v>2157</v>
      </c>
      <c r="G447" t="s">
        <v>21</v>
      </c>
      <c r="H447" t="s">
        <v>4826</v>
      </c>
      <c r="I447" t="s">
        <v>4935</v>
      </c>
      <c r="J447" s="4" t="s">
        <v>4936</v>
      </c>
      <c r="K447" s="4" t="s">
        <v>4832</v>
      </c>
      <c r="L447" s="4" t="s">
        <v>4971</v>
      </c>
      <c r="M447" s="4" t="s">
        <v>5035</v>
      </c>
      <c r="N447" t="s">
        <v>15</v>
      </c>
      <c r="O447" t="s">
        <v>2158</v>
      </c>
      <c r="P447" t="s">
        <v>23</v>
      </c>
      <c r="Q447" t="s">
        <v>24</v>
      </c>
      <c r="R447" t="s">
        <v>25</v>
      </c>
      <c r="S447" t="s">
        <v>26</v>
      </c>
      <c r="T447" s="6">
        <v>46307</v>
      </c>
      <c r="U447">
        <v>48</v>
      </c>
      <c r="V447">
        <v>48</v>
      </c>
      <c r="W447">
        <v>48</v>
      </c>
      <c r="X447">
        <v>48</v>
      </c>
      <c r="Y447">
        <f t="shared" si="69"/>
        <v>0</v>
      </c>
      <c r="Z447">
        <f t="shared" si="70"/>
        <v>0</v>
      </c>
      <c r="AC447" s="1">
        <v>0</v>
      </c>
      <c r="AF447">
        <f t="shared" si="81"/>
        <v>48</v>
      </c>
      <c r="AG447" s="41">
        <v>12</v>
      </c>
      <c r="AH447">
        <f t="shared" si="71"/>
        <v>48</v>
      </c>
      <c r="AI447">
        <f t="shared" si="72"/>
        <v>0</v>
      </c>
      <c r="AK447">
        <f t="shared" si="73"/>
        <v>4</v>
      </c>
      <c r="AL447">
        <v>11.16</v>
      </c>
      <c r="AM447" t="s">
        <v>27</v>
      </c>
      <c r="AN447">
        <v>11.16</v>
      </c>
      <c r="AO447" t="b">
        <f t="shared" si="74"/>
        <v>1</v>
      </c>
      <c r="AR447" t="s">
        <v>5061</v>
      </c>
      <c r="AS447" s="21">
        <v>46276</v>
      </c>
      <c r="AT447" t="s">
        <v>5062</v>
      </c>
      <c r="AU447" t="s">
        <v>5071</v>
      </c>
      <c r="AV447" t="s">
        <v>5062</v>
      </c>
      <c r="AW447" t="s">
        <v>5086</v>
      </c>
    </row>
    <row r="448" spans="1:49" hidden="1" x14ac:dyDescent="0.35">
      <c r="A448" t="s">
        <v>871</v>
      </c>
      <c r="B448" t="s">
        <v>872</v>
      </c>
      <c r="C448" t="s">
        <v>4818</v>
      </c>
      <c r="D448" t="s">
        <v>18</v>
      </c>
      <c r="E448" t="s">
        <v>2159</v>
      </c>
      <c r="F448" t="s">
        <v>2160</v>
      </c>
      <c r="G448" t="s">
        <v>21</v>
      </c>
      <c r="H448" t="s">
        <v>4826</v>
      </c>
      <c r="I448" t="s">
        <v>4935</v>
      </c>
      <c r="J448" s="4" t="s">
        <v>4936</v>
      </c>
      <c r="K448" s="4" t="s">
        <v>4937</v>
      </c>
      <c r="L448" s="4" t="s">
        <v>4949</v>
      </c>
      <c r="M448" s="4" t="s">
        <v>5035</v>
      </c>
      <c r="N448" t="s">
        <v>15</v>
      </c>
      <c r="O448" t="s">
        <v>2161</v>
      </c>
      <c r="P448" t="s">
        <v>23</v>
      </c>
      <c r="Q448" t="s">
        <v>24</v>
      </c>
      <c r="R448" t="s">
        <v>25</v>
      </c>
      <c r="S448" t="s">
        <v>26</v>
      </c>
      <c r="T448" s="6">
        <v>46307</v>
      </c>
      <c r="U448">
        <v>48</v>
      </c>
      <c r="V448">
        <v>48</v>
      </c>
      <c r="W448">
        <v>48</v>
      </c>
      <c r="X448">
        <v>48</v>
      </c>
      <c r="Y448">
        <f t="shared" si="69"/>
        <v>0</v>
      </c>
      <c r="Z448">
        <f t="shared" si="70"/>
        <v>0</v>
      </c>
      <c r="AC448" s="1">
        <v>0</v>
      </c>
      <c r="AF448">
        <f t="shared" si="81"/>
        <v>48</v>
      </c>
      <c r="AG448" s="41">
        <v>12</v>
      </c>
      <c r="AH448">
        <f t="shared" si="71"/>
        <v>48</v>
      </c>
      <c r="AI448">
        <f t="shared" si="72"/>
        <v>0</v>
      </c>
      <c r="AK448">
        <f t="shared" si="73"/>
        <v>4</v>
      </c>
      <c r="AL448">
        <v>11.16</v>
      </c>
      <c r="AM448" t="s">
        <v>27</v>
      </c>
      <c r="AN448">
        <v>11.16</v>
      </c>
      <c r="AO448" t="b">
        <f t="shared" si="74"/>
        <v>1</v>
      </c>
      <c r="AR448" t="s">
        <v>5061</v>
      </c>
      <c r="AS448" s="21">
        <v>46276</v>
      </c>
      <c r="AT448" t="s">
        <v>5062</v>
      </c>
      <c r="AU448" t="s">
        <v>5071</v>
      </c>
      <c r="AV448" t="s">
        <v>5062</v>
      </c>
      <c r="AW448" t="s">
        <v>5086</v>
      </c>
    </row>
    <row r="449" spans="1:49" hidden="1" x14ac:dyDescent="0.35">
      <c r="A449" t="s">
        <v>871</v>
      </c>
      <c r="B449" t="s">
        <v>872</v>
      </c>
      <c r="C449" t="s">
        <v>4818</v>
      </c>
      <c r="D449" t="s">
        <v>18</v>
      </c>
      <c r="E449" t="s">
        <v>2162</v>
      </c>
      <c r="F449" t="s">
        <v>2163</v>
      </c>
      <c r="G449" t="s">
        <v>21</v>
      </c>
      <c r="H449" t="s">
        <v>4826</v>
      </c>
      <c r="I449" t="s">
        <v>4935</v>
      </c>
      <c r="J449" s="4" t="s">
        <v>4936</v>
      </c>
      <c r="K449" s="4" t="s">
        <v>4937</v>
      </c>
      <c r="L449" s="4" t="s">
        <v>4964</v>
      </c>
      <c r="M449" s="4" t="s">
        <v>5035</v>
      </c>
      <c r="N449" t="s">
        <v>15</v>
      </c>
      <c r="O449" t="s">
        <v>2164</v>
      </c>
      <c r="P449" t="s">
        <v>23</v>
      </c>
      <c r="Q449" t="s">
        <v>24</v>
      </c>
      <c r="R449" t="s">
        <v>25</v>
      </c>
      <c r="S449" t="s">
        <v>26</v>
      </c>
      <c r="T449" s="6">
        <v>46307</v>
      </c>
      <c r="U449">
        <v>12</v>
      </c>
      <c r="V449">
        <v>12</v>
      </c>
      <c r="W449">
        <v>12</v>
      </c>
      <c r="X449">
        <v>12</v>
      </c>
      <c r="Y449">
        <f t="shared" si="69"/>
        <v>0</v>
      </c>
      <c r="Z449">
        <f t="shared" si="70"/>
        <v>0</v>
      </c>
      <c r="AC449" s="1">
        <v>0</v>
      </c>
      <c r="AF449">
        <f t="shared" si="81"/>
        <v>12</v>
      </c>
      <c r="AG449" s="41">
        <v>12</v>
      </c>
      <c r="AH449">
        <f t="shared" si="71"/>
        <v>12</v>
      </c>
      <c r="AI449">
        <f t="shared" si="72"/>
        <v>0</v>
      </c>
      <c r="AK449">
        <f t="shared" si="73"/>
        <v>1</v>
      </c>
      <c r="AL449">
        <v>11.16</v>
      </c>
      <c r="AM449" t="s">
        <v>27</v>
      </c>
      <c r="AN449">
        <v>11.16</v>
      </c>
      <c r="AO449" t="b">
        <f t="shared" si="74"/>
        <v>1</v>
      </c>
      <c r="AR449" t="s">
        <v>5061</v>
      </c>
      <c r="AS449" s="21">
        <v>46276</v>
      </c>
      <c r="AT449" t="s">
        <v>5062</v>
      </c>
      <c r="AU449" t="s">
        <v>5071</v>
      </c>
      <c r="AV449" t="s">
        <v>5062</v>
      </c>
      <c r="AW449" t="s">
        <v>5086</v>
      </c>
    </row>
    <row r="450" spans="1:49" hidden="1" x14ac:dyDescent="0.35">
      <c r="A450" t="s">
        <v>871</v>
      </c>
      <c r="B450" t="s">
        <v>872</v>
      </c>
      <c r="C450" t="s">
        <v>4818</v>
      </c>
      <c r="D450" t="s">
        <v>18</v>
      </c>
      <c r="E450" t="s">
        <v>2165</v>
      </c>
      <c r="F450" t="s">
        <v>2166</v>
      </c>
      <c r="G450" t="s">
        <v>21</v>
      </c>
      <c r="H450" t="s">
        <v>4826</v>
      </c>
      <c r="I450" t="s">
        <v>4935</v>
      </c>
      <c r="J450" s="4" t="s">
        <v>4936</v>
      </c>
      <c r="K450" s="4" t="s">
        <v>4837</v>
      </c>
      <c r="L450" s="4" t="s">
        <v>4950</v>
      </c>
      <c r="M450" s="4" t="s">
        <v>5035</v>
      </c>
      <c r="N450" t="s">
        <v>15</v>
      </c>
      <c r="O450" t="s">
        <v>2167</v>
      </c>
      <c r="P450" t="s">
        <v>23</v>
      </c>
      <c r="Q450" t="s">
        <v>24</v>
      </c>
      <c r="R450" t="s">
        <v>25</v>
      </c>
      <c r="S450" t="s">
        <v>26</v>
      </c>
      <c r="T450" s="6">
        <v>46307</v>
      </c>
      <c r="U450">
        <v>144</v>
      </c>
      <c r="V450">
        <v>144</v>
      </c>
      <c r="W450">
        <v>156</v>
      </c>
      <c r="X450">
        <v>156</v>
      </c>
      <c r="Y450">
        <f t="shared" si="69"/>
        <v>0</v>
      </c>
      <c r="Z450">
        <f t="shared" si="70"/>
        <v>-12</v>
      </c>
      <c r="AC450" s="1">
        <v>0</v>
      </c>
      <c r="AF450">
        <f t="shared" si="81"/>
        <v>144</v>
      </c>
      <c r="AG450" s="41">
        <v>12</v>
      </c>
      <c r="AH450">
        <f t="shared" si="71"/>
        <v>144</v>
      </c>
      <c r="AI450">
        <f t="shared" si="72"/>
        <v>0</v>
      </c>
      <c r="AK450">
        <f t="shared" si="73"/>
        <v>12</v>
      </c>
      <c r="AL450">
        <v>11.16</v>
      </c>
      <c r="AM450" t="s">
        <v>27</v>
      </c>
      <c r="AN450">
        <v>11.16</v>
      </c>
      <c r="AO450" t="b">
        <f t="shared" si="74"/>
        <v>1</v>
      </c>
      <c r="AR450" t="s">
        <v>5061</v>
      </c>
      <c r="AS450" s="21">
        <v>46276</v>
      </c>
      <c r="AT450" t="s">
        <v>5062</v>
      </c>
      <c r="AU450" t="s">
        <v>5071</v>
      </c>
      <c r="AV450" t="s">
        <v>5062</v>
      </c>
      <c r="AW450" t="s">
        <v>5086</v>
      </c>
    </row>
    <row r="451" spans="1:49" hidden="1" x14ac:dyDescent="0.35">
      <c r="A451" t="s">
        <v>871</v>
      </c>
      <c r="B451" t="s">
        <v>872</v>
      </c>
      <c r="C451" t="s">
        <v>4818</v>
      </c>
      <c r="D451" t="s">
        <v>18</v>
      </c>
      <c r="E451" t="s">
        <v>2168</v>
      </c>
      <c r="F451" t="s">
        <v>2169</v>
      </c>
      <c r="G451" t="s">
        <v>21</v>
      </c>
      <c r="H451" t="s">
        <v>4826</v>
      </c>
      <c r="I451" t="s">
        <v>4935</v>
      </c>
      <c r="J451" s="4" t="s">
        <v>4936</v>
      </c>
      <c r="K451" s="4" t="s">
        <v>4945</v>
      </c>
      <c r="L451" s="4" t="s">
        <v>4958</v>
      </c>
      <c r="M451" s="4" t="s">
        <v>5035</v>
      </c>
      <c r="N451" t="s">
        <v>15</v>
      </c>
      <c r="O451" t="s">
        <v>2170</v>
      </c>
      <c r="P451" t="s">
        <v>23</v>
      </c>
      <c r="Q451" t="s">
        <v>24</v>
      </c>
      <c r="R451" t="s">
        <v>25</v>
      </c>
      <c r="S451" t="s">
        <v>26</v>
      </c>
      <c r="T451" s="6">
        <v>46307</v>
      </c>
      <c r="U451">
        <v>144</v>
      </c>
      <c r="V451">
        <v>144</v>
      </c>
      <c r="W451">
        <v>132</v>
      </c>
      <c r="X451">
        <v>132</v>
      </c>
      <c r="Y451">
        <f t="shared" ref="Y451:Y514" si="82">W451-X451</f>
        <v>0</v>
      </c>
      <c r="Z451">
        <f t="shared" ref="Z451:Z514" si="83">V451-X451</f>
        <v>12</v>
      </c>
      <c r="AA451">
        <f>Z451</f>
        <v>12</v>
      </c>
      <c r="AC451" s="1">
        <v>0</v>
      </c>
      <c r="AF451">
        <f>X451</f>
        <v>132</v>
      </c>
      <c r="AG451" s="41">
        <v>12</v>
      </c>
      <c r="AH451">
        <f t="shared" ref="AH451:AH514" si="84">ROUNDUP(AF451/AG451,0)*AG451</f>
        <v>132</v>
      </c>
      <c r="AI451">
        <f t="shared" ref="AI451:AI514" si="85">V451-AH451</f>
        <v>12</v>
      </c>
      <c r="AK451">
        <f t="shared" ref="AK451:AK514" si="86">AH451/AG451</f>
        <v>11</v>
      </c>
      <c r="AL451">
        <v>11.16</v>
      </c>
      <c r="AM451" t="s">
        <v>27</v>
      </c>
      <c r="AN451">
        <v>11.16</v>
      </c>
      <c r="AO451" t="b">
        <f t="shared" ref="AO451:AO514" si="87">AL451=AN451</f>
        <v>1</v>
      </c>
      <c r="AR451" t="s">
        <v>5061</v>
      </c>
      <c r="AS451" s="21">
        <v>46276</v>
      </c>
      <c r="AT451" t="s">
        <v>5062</v>
      </c>
      <c r="AU451" t="s">
        <v>5071</v>
      </c>
      <c r="AV451" t="s">
        <v>5062</v>
      </c>
      <c r="AW451" t="s">
        <v>5086</v>
      </c>
    </row>
    <row r="452" spans="1:49" hidden="1" x14ac:dyDescent="0.35">
      <c r="A452" t="s">
        <v>871</v>
      </c>
      <c r="B452" t="s">
        <v>872</v>
      </c>
      <c r="C452" t="s">
        <v>4818</v>
      </c>
      <c r="D452" t="s">
        <v>18</v>
      </c>
      <c r="E452" t="s">
        <v>2171</v>
      </c>
      <c r="F452" t="s">
        <v>2172</v>
      </c>
      <c r="G452" t="s">
        <v>21</v>
      </c>
      <c r="H452" t="s">
        <v>4826</v>
      </c>
      <c r="I452" t="s">
        <v>4935</v>
      </c>
      <c r="J452" s="4" t="s">
        <v>4936</v>
      </c>
      <c r="K452" s="4" t="s">
        <v>4945</v>
      </c>
      <c r="L452" s="4" t="s">
        <v>4941</v>
      </c>
      <c r="M452" s="4" t="s">
        <v>5035</v>
      </c>
      <c r="N452" t="s">
        <v>15</v>
      </c>
      <c r="O452" t="s">
        <v>2173</v>
      </c>
      <c r="P452" t="s">
        <v>23</v>
      </c>
      <c r="Q452" t="s">
        <v>24</v>
      </c>
      <c r="R452" t="s">
        <v>25</v>
      </c>
      <c r="S452" t="s">
        <v>26</v>
      </c>
      <c r="T452" s="6">
        <v>46307</v>
      </c>
      <c r="U452">
        <v>48</v>
      </c>
      <c r="V452">
        <v>48</v>
      </c>
      <c r="W452">
        <v>48</v>
      </c>
      <c r="X452">
        <v>48</v>
      </c>
      <c r="Y452">
        <f t="shared" si="82"/>
        <v>0</v>
      </c>
      <c r="Z452">
        <f t="shared" si="83"/>
        <v>0</v>
      </c>
      <c r="AC452" s="1">
        <v>0</v>
      </c>
      <c r="AF452">
        <f>V452</f>
        <v>48</v>
      </c>
      <c r="AG452" s="41">
        <v>12</v>
      </c>
      <c r="AH452">
        <f t="shared" si="84"/>
        <v>48</v>
      </c>
      <c r="AI452">
        <f t="shared" si="85"/>
        <v>0</v>
      </c>
      <c r="AK452">
        <f t="shared" si="86"/>
        <v>4</v>
      </c>
      <c r="AL452">
        <v>11.16</v>
      </c>
      <c r="AM452" t="s">
        <v>27</v>
      </c>
      <c r="AN452">
        <v>11.16</v>
      </c>
      <c r="AO452" t="b">
        <f t="shared" si="87"/>
        <v>1</v>
      </c>
      <c r="AR452" t="s">
        <v>5061</v>
      </c>
      <c r="AS452" s="21">
        <v>46276</v>
      </c>
      <c r="AT452" t="s">
        <v>5062</v>
      </c>
      <c r="AU452" t="s">
        <v>5071</v>
      </c>
      <c r="AV452" t="s">
        <v>5062</v>
      </c>
      <c r="AW452" t="s">
        <v>5086</v>
      </c>
    </row>
    <row r="453" spans="1:49" hidden="1" x14ac:dyDescent="0.35">
      <c r="A453" t="s">
        <v>871</v>
      </c>
      <c r="B453" t="s">
        <v>872</v>
      </c>
      <c r="C453" t="s">
        <v>4818</v>
      </c>
      <c r="D453" t="s">
        <v>18</v>
      </c>
      <c r="E453" t="s">
        <v>2174</v>
      </c>
      <c r="F453" t="s">
        <v>2175</v>
      </c>
      <c r="G453" t="s">
        <v>21</v>
      </c>
      <c r="H453" t="s">
        <v>4826</v>
      </c>
      <c r="I453" t="s">
        <v>4935</v>
      </c>
      <c r="J453" s="4" t="s">
        <v>4936</v>
      </c>
      <c r="K453" s="4" t="s">
        <v>4945</v>
      </c>
      <c r="L453" s="4" t="s">
        <v>4967</v>
      </c>
      <c r="M453" s="4" t="s">
        <v>5035</v>
      </c>
      <c r="N453" t="s">
        <v>15</v>
      </c>
      <c r="O453" t="s">
        <v>2176</v>
      </c>
      <c r="P453" t="s">
        <v>23</v>
      </c>
      <c r="Q453" t="s">
        <v>24</v>
      </c>
      <c r="R453" t="s">
        <v>25</v>
      </c>
      <c r="S453" t="s">
        <v>26</v>
      </c>
      <c r="T453" s="6">
        <v>46307</v>
      </c>
      <c r="U453">
        <v>36</v>
      </c>
      <c r="V453">
        <v>36</v>
      </c>
      <c r="W453">
        <v>36</v>
      </c>
      <c r="X453">
        <v>36</v>
      </c>
      <c r="Y453">
        <f t="shared" si="82"/>
        <v>0</v>
      </c>
      <c r="Z453">
        <f t="shared" si="83"/>
        <v>0</v>
      </c>
      <c r="AC453" s="1">
        <v>0</v>
      </c>
      <c r="AF453">
        <f>V453</f>
        <v>36</v>
      </c>
      <c r="AG453" s="41">
        <v>12</v>
      </c>
      <c r="AH453">
        <f t="shared" si="84"/>
        <v>36</v>
      </c>
      <c r="AI453">
        <f t="shared" si="85"/>
        <v>0</v>
      </c>
      <c r="AK453">
        <f t="shared" si="86"/>
        <v>3</v>
      </c>
      <c r="AL453">
        <v>11.16</v>
      </c>
      <c r="AM453" t="s">
        <v>27</v>
      </c>
      <c r="AN453">
        <v>11.16</v>
      </c>
      <c r="AO453" t="b">
        <f t="shared" si="87"/>
        <v>1</v>
      </c>
      <c r="AR453" t="s">
        <v>5061</v>
      </c>
      <c r="AS453" s="21">
        <v>46276</v>
      </c>
      <c r="AT453" t="s">
        <v>5062</v>
      </c>
      <c r="AU453" t="s">
        <v>5071</v>
      </c>
      <c r="AV453" t="s">
        <v>5062</v>
      </c>
      <c r="AW453" t="s">
        <v>5086</v>
      </c>
    </row>
    <row r="454" spans="1:49" hidden="1" x14ac:dyDescent="0.35">
      <c r="A454" t="s">
        <v>871</v>
      </c>
      <c r="B454" t="s">
        <v>872</v>
      </c>
      <c r="C454" t="s">
        <v>4818</v>
      </c>
      <c r="D454" t="s">
        <v>18</v>
      </c>
      <c r="E454" t="s">
        <v>2177</v>
      </c>
      <c r="F454" t="s">
        <v>2178</v>
      </c>
      <c r="G454" t="s">
        <v>21</v>
      </c>
      <c r="H454" t="s">
        <v>4826</v>
      </c>
      <c r="I454" t="s">
        <v>4935</v>
      </c>
      <c r="J454" s="4" t="s">
        <v>4936</v>
      </c>
      <c r="K454" s="4" t="s">
        <v>4957</v>
      </c>
      <c r="L454" s="4" t="s">
        <v>4951</v>
      </c>
      <c r="M454" s="4" t="s">
        <v>5035</v>
      </c>
      <c r="N454" t="s">
        <v>15</v>
      </c>
      <c r="O454" t="s">
        <v>2179</v>
      </c>
      <c r="P454" t="s">
        <v>23</v>
      </c>
      <c r="Q454" t="s">
        <v>24</v>
      </c>
      <c r="R454" t="s">
        <v>25</v>
      </c>
      <c r="S454" t="s">
        <v>26</v>
      </c>
      <c r="T454" s="6">
        <v>46307</v>
      </c>
      <c r="U454">
        <v>108</v>
      </c>
      <c r="V454">
        <v>108</v>
      </c>
      <c r="W454">
        <v>96</v>
      </c>
      <c r="X454">
        <v>96</v>
      </c>
      <c r="Y454">
        <f t="shared" si="82"/>
        <v>0</v>
      </c>
      <c r="Z454">
        <f t="shared" si="83"/>
        <v>12</v>
      </c>
      <c r="AA454">
        <f>Z454</f>
        <v>12</v>
      </c>
      <c r="AC454" s="1">
        <v>0</v>
      </c>
      <c r="AF454">
        <f>X454</f>
        <v>96</v>
      </c>
      <c r="AG454" s="41">
        <v>12</v>
      </c>
      <c r="AH454">
        <f t="shared" si="84"/>
        <v>96</v>
      </c>
      <c r="AI454">
        <f t="shared" si="85"/>
        <v>12</v>
      </c>
      <c r="AK454">
        <f t="shared" si="86"/>
        <v>8</v>
      </c>
      <c r="AL454">
        <v>11.27</v>
      </c>
      <c r="AM454" t="s">
        <v>27</v>
      </c>
      <c r="AN454">
        <v>11.27</v>
      </c>
      <c r="AO454" t="b">
        <f t="shared" si="87"/>
        <v>1</v>
      </c>
      <c r="AR454" t="s">
        <v>5061</v>
      </c>
      <c r="AS454" s="21">
        <v>46276</v>
      </c>
      <c r="AT454" t="s">
        <v>5062</v>
      </c>
      <c r="AU454" t="s">
        <v>5071</v>
      </c>
      <c r="AV454" t="s">
        <v>5062</v>
      </c>
      <c r="AW454" t="s">
        <v>5086</v>
      </c>
    </row>
    <row r="455" spans="1:49" hidden="1" x14ac:dyDescent="0.35">
      <c r="A455" t="s">
        <v>871</v>
      </c>
      <c r="B455" t="s">
        <v>872</v>
      </c>
      <c r="C455" t="s">
        <v>4818</v>
      </c>
      <c r="D455" t="s">
        <v>18</v>
      </c>
      <c r="E455" t="s">
        <v>2180</v>
      </c>
      <c r="F455" t="s">
        <v>2181</v>
      </c>
      <c r="G455" t="s">
        <v>21</v>
      </c>
      <c r="H455" t="s">
        <v>4826</v>
      </c>
      <c r="I455" t="s">
        <v>4935</v>
      </c>
      <c r="J455" s="4" t="s">
        <v>4936</v>
      </c>
      <c r="K455" s="4" t="s">
        <v>4957</v>
      </c>
      <c r="L455" s="4" t="s">
        <v>4970</v>
      </c>
      <c r="M455" s="4" t="s">
        <v>5035</v>
      </c>
      <c r="N455" t="s">
        <v>15</v>
      </c>
      <c r="O455" t="s">
        <v>2182</v>
      </c>
      <c r="P455" t="s">
        <v>23</v>
      </c>
      <c r="Q455" t="s">
        <v>24</v>
      </c>
      <c r="R455" t="s">
        <v>25</v>
      </c>
      <c r="S455" t="s">
        <v>26</v>
      </c>
      <c r="T455" s="6">
        <v>46307</v>
      </c>
      <c r="U455">
        <v>240</v>
      </c>
      <c r="V455">
        <v>240</v>
      </c>
      <c r="W455">
        <v>264</v>
      </c>
      <c r="X455">
        <v>264</v>
      </c>
      <c r="Y455">
        <f t="shared" si="82"/>
        <v>0</v>
      </c>
      <c r="Z455">
        <f t="shared" si="83"/>
        <v>-24</v>
      </c>
      <c r="AC455" s="1">
        <v>0</v>
      </c>
      <c r="AF455">
        <f>V455</f>
        <v>240</v>
      </c>
      <c r="AG455" s="41">
        <v>12</v>
      </c>
      <c r="AH455">
        <f t="shared" si="84"/>
        <v>240</v>
      </c>
      <c r="AI455">
        <f t="shared" si="85"/>
        <v>0</v>
      </c>
      <c r="AK455">
        <f t="shared" si="86"/>
        <v>20</v>
      </c>
      <c r="AL455">
        <v>11.27</v>
      </c>
      <c r="AM455" t="s">
        <v>27</v>
      </c>
      <c r="AN455">
        <v>11.27</v>
      </c>
      <c r="AO455" t="b">
        <f t="shared" si="87"/>
        <v>1</v>
      </c>
      <c r="AR455" t="s">
        <v>5061</v>
      </c>
      <c r="AS455" s="21">
        <v>46276</v>
      </c>
      <c r="AT455" t="s">
        <v>5062</v>
      </c>
      <c r="AU455" t="s">
        <v>5071</v>
      </c>
      <c r="AV455" t="s">
        <v>5062</v>
      </c>
      <c r="AW455" t="s">
        <v>5086</v>
      </c>
    </row>
    <row r="456" spans="1:49" hidden="1" x14ac:dyDescent="0.35">
      <c r="A456" t="s">
        <v>871</v>
      </c>
      <c r="B456" t="s">
        <v>872</v>
      </c>
      <c r="C456" t="s">
        <v>4818</v>
      </c>
      <c r="D456" t="s">
        <v>18</v>
      </c>
      <c r="E456" t="s">
        <v>2183</v>
      </c>
      <c r="F456" t="s">
        <v>2184</v>
      </c>
      <c r="G456" t="s">
        <v>21</v>
      </c>
      <c r="H456" t="s">
        <v>4826</v>
      </c>
      <c r="I456" t="s">
        <v>4935</v>
      </c>
      <c r="J456" s="4" t="s">
        <v>4936</v>
      </c>
      <c r="K456" s="4" t="s">
        <v>4837</v>
      </c>
      <c r="L456" s="4" t="s">
        <v>4941</v>
      </c>
      <c r="M456" s="4" t="s">
        <v>5035</v>
      </c>
      <c r="N456" t="s">
        <v>15</v>
      </c>
      <c r="O456" t="s">
        <v>2185</v>
      </c>
      <c r="P456" t="s">
        <v>23</v>
      </c>
      <c r="Q456" t="s">
        <v>24</v>
      </c>
      <c r="R456" t="s">
        <v>25</v>
      </c>
      <c r="S456" t="s">
        <v>26</v>
      </c>
      <c r="T456" s="6">
        <v>46307</v>
      </c>
      <c r="U456">
        <v>120</v>
      </c>
      <c r="V456">
        <v>120</v>
      </c>
      <c r="W456">
        <v>132</v>
      </c>
      <c r="X456">
        <v>132</v>
      </c>
      <c r="Y456">
        <f t="shared" si="82"/>
        <v>0</v>
      </c>
      <c r="Z456">
        <f t="shared" si="83"/>
        <v>-12</v>
      </c>
      <c r="AC456" s="1">
        <v>0</v>
      </c>
      <c r="AF456">
        <f>V456</f>
        <v>120</v>
      </c>
      <c r="AG456" s="41">
        <v>12</v>
      </c>
      <c r="AH456">
        <f t="shared" si="84"/>
        <v>120</v>
      </c>
      <c r="AI456">
        <f t="shared" si="85"/>
        <v>0</v>
      </c>
      <c r="AK456">
        <f t="shared" si="86"/>
        <v>10</v>
      </c>
      <c r="AL456">
        <v>11.16</v>
      </c>
      <c r="AM456" t="s">
        <v>27</v>
      </c>
      <c r="AN456">
        <v>11.16</v>
      </c>
      <c r="AO456" t="b">
        <f t="shared" si="87"/>
        <v>1</v>
      </c>
      <c r="AR456" t="s">
        <v>5061</v>
      </c>
      <c r="AS456" s="21">
        <v>46276</v>
      </c>
      <c r="AT456" t="s">
        <v>5062</v>
      </c>
      <c r="AU456" t="s">
        <v>5071</v>
      </c>
      <c r="AV456" t="s">
        <v>5062</v>
      </c>
      <c r="AW456" t="s">
        <v>5086</v>
      </c>
    </row>
    <row r="457" spans="1:49" hidden="1" x14ac:dyDescent="0.35">
      <c r="A457" t="s">
        <v>871</v>
      </c>
      <c r="B457" t="s">
        <v>872</v>
      </c>
      <c r="C457" t="s">
        <v>4818</v>
      </c>
      <c r="D457" t="s">
        <v>18</v>
      </c>
      <c r="E457" t="s">
        <v>2186</v>
      </c>
      <c r="F457" t="s">
        <v>2187</v>
      </c>
      <c r="G457" t="s">
        <v>21</v>
      </c>
      <c r="H457" t="s">
        <v>4826</v>
      </c>
      <c r="I457" t="s">
        <v>4935</v>
      </c>
      <c r="J457" s="4" t="s">
        <v>4936</v>
      </c>
      <c r="K457" s="4" t="s">
        <v>4957</v>
      </c>
      <c r="L457" s="4" t="s">
        <v>4940</v>
      </c>
      <c r="M457" s="4" t="s">
        <v>5035</v>
      </c>
      <c r="N457" t="s">
        <v>15</v>
      </c>
      <c r="O457" t="s">
        <v>2188</v>
      </c>
      <c r="P457" t="s">
        <v>23</v>
      </c>
      <c r="Q457" t="s">
        <v>24</v>
      </c>
      <c r="R457" t="s">
        <v>25</v>
      </c>
      <c r="S457" t="s">
        <v>26</v>
      </c>
      <c r="T457" s="6">
        <v>46307</v>
      </c>
      <c r="U457">
        <v>96</v>
      </c>
      <c r="V457">
        <v>96</v>
      </c>
      <c r="W457">
        <v>96</v>
      </c>
      <c r="X457">
        <v>96</v>
      </c>
      <c r="Y457">
        <f t="shared" si="82"/>
        <v>0</v>
      </c>
      <c r="Z457">
        <f t="shared" si="83"/>
        <v>0</v>
      </c>
      <c r="AC457" s="1">
        <v>0</v>
      </c>
      <c r="AF457">
        <f>V457</f>
        <v>96</v>
      </c>
      <c r="AG457" s="41">
        <v>12</v>
      </c>
      <c r="AH457">
        <f t="shared" si="84"/>
        <v>96</v>
      </c>
      <c r="AI457">
        <f t="shared" si="85"/>
        <v>0</v>
      </c>
      <c r="AK457">
        <f t="shared" si="86"/>
        <v>8</v>
      </c>
      <c r="AL457">
        <v>11.27</v>
      </c>
      <c r="AM457" t="s">
        <v>27</v>
      </c>
      <c r="AN457">
        <v>11.27</v>
      </c>
      <c r="AO457" t="b">
        <f t="shared" si="87"/>
        <v>1</v>
      </c>
      <c r="AR457" t="s">
        <v>5061</v>
      </c>
      <c r="AS457" s="21">
        <v>46276</v>
      </c>
      <c r="AT457" t="s">
        <v>5062</v>
      </c>
      <c r="AU457" t="s">
        <v>5071</v>
      </c>
      <c r="AV457" t="s">
        <v>5062</v>
      </c>
      <c r="AW457" t="s">
        <v>5086</v>
      </c>
    </row>
    <row r="458" spans="1:49" hidden="1" x14ac:dyDescent="0.35">
      <c r="A458" t="s">
        <v>871</v>
      </c>
      <c r="B458" t="s">
        <v>872</v>
      </c>
      <c r="C458" t="s">
        <v>4818</v>
      </c>
      <c r="D458" t="s">
        <v>18</v>
      </c>
      <c r="E458" t="s">
        <v>2189</v>
      </c>
      <c r="F458" t="s">
        <v>2190</v>
      </c>
      <c r="G458" t="s">
        <v>21</v>
      </c>
      <c r="H458" t="s">
        <v>4826</v>
      </c>
      <c r="I458" t="s">
        <v>4935</v>
      </c>
      <c r="J458" s="4" t="s">
        <v>4936</v>
      </c>
      <c r="K458" s="4" t="s">
        <v>4937</v>
      </c>
      <c r="L458" s="4" t="s">
        <v>4941</v>
      </c>
      <c r="M458" s="4" t="s">
        <v>5035</v>
      </c>
      <c r="N458" t="s">
        <v>15</v>
      </c>
      <c r="O458" t="s">
        <v>2191</v>
      </c>
      <c r="P458" t="s">
        <v>23</v>
      </c>
      <c r="Q458" t="s">
        <v>24</v>
      </c>
      <c r="R458" t="s">
        <v>25</v>
      </c>
      <c r="S458" t="s">
        <v>26</v>
      </c>
      <c r="T458" s="6">
        <v>46307</v>
      </c>
      <c r="U458">
        <v>72</v>
      </c>
      <c r="V458">
        <v>72</v>
      </c>
      <c r="W458">
        <v>84</v>
      </c>
      <c r="X458">
        <v>84</v>
      </c>
      <c r="Y458">
        <f t="shared" si="82"/>
        <v>0</v>
      </c>
      <c r="Z458">
        <f t="shared" si="83"/>
        <v>-12</v>
      </c>
      <c r="AC458" s="1">
        <v>0</v>
      </c>
      <c r="AF458">
        <f>V458</f>
        <v>72</v>
      </c>
      <c r="AG458" s="41">
        <v>12</v>
      </c>
      <c r="AH458">
        <f t="shared" si="84"/>
        <v>72</v>
      </c>
      <c r="AI458">
        <f t="shared" si="85"/>
        <v>0</v>
      </c>
      <c r="AK458">
        <f t="shared" si="86"/>
        <v>6</v>
      </c>
      <c r="AL458">
        <v>11.16</v>
      </c>
      <c r="AM458" t="s">
        <v>27</v>
      </c>
      <c r="AN458">
        <v>11.16</v>
      </c>
      <c r="AO458" t="b">
        <f t="shared" si="87"/>
        <v>1</v>
      </c>
      <c r="AR458" t="s">
        <v>5061</v>
      </c>
      <c r="AS458" s="21">
        <v>46276</v>
      </c>
      <c r="AT458" t="s">
        <v>5062</v>
      </c>
      <c r="AU458" t="s">
        <v>5071</v>
      </c>
      <c r="AV458" t="s">
        <v>5062</v>
      </c>
      <c r="AW458" t="s">
        <v>5086</v>
      </c>
    </row>
    <row r="459" spans="1:49" hidden="1" x14ac:dyDescent="0.35">
      <c r="A459" t="s">
        <v>871</v>
      </c>
      <c r="B459" t="s">
        <v>872</v>
      </c>
      <c r="C459" t="s">
        <v>4818</v>
      </c>
      <c r="D459" t="s">
        <v>18</v>
      </c>
      <c r="E459" t="s">
        <v>2192</v>
      </c>
      <c r="F459" t="s">
        <v>2193</v>
      </c>
      <c r="G459" t="s">
        <v>21</v>
      </c>
      <c r="H459" t="s">
        <v>4826</v>
      </c>
      <c r="I459" t="s">
        <v>4935</v>
      </c>
      <c r="J459" s="4" t="s">
        <v>4936</v>
      </c>
      <c r="K459" s="4" t="s">
        <v>4832</v>
      </c>
      <c r="L459" s="4" t="s">
        <v>4960</v>
      </c>
      <c r="M459" s="4" t="s">
        <v>5035</v>
      </c>
      <c r="N459" t="s">
        <v>15</v>
      </c>
      <c r="O459" t="s">
        <v>2194</v>
      </c>
      <c r="P459" t="s">
        <v>23</v>
      </c>
      <c r="Q459" t="s">
        <v>24</v>
      </c>
      <c r="R459" t="s">
        <v>25</v>
      </c>
      <c r="S459" t="s">
        <v>26</v>
      </c>
      <c r="T459" s="6">
        <v>46307</v>
      </c>
      <c r="U459">
        <v>204</v>
      </c>
      <c r="V459">
        <v>204</v>
      </c>
      <c r="W459">
        <v>192</v>
      </c>
      <c r="X459">
        <v>192</v>
      </c>
      <c r="Y459">
        <f t="shared" si="82"/>
        <v>0</v>
      </c>
      <c r="Z459">
        <f t="shared" si="83"/>
        <v>12</v>
      </c>
      <c r="AA459">
        <f>Z459</f>
        <v>12</v>
      </c>
      <c r="AC459" s="1">
        <v>0</v>
      </c>
      <c r="AF459">
        <f>X459</f>
        <v>192</v>
      </c>
      <c r="AG459" s="41">
        <v>12</v>
      </c>
      <c r="AH459">
        <f t="shared" si="84"/>
        <v>192</v>
      </c>
      <c r="AI459">
        <f t="shared" si="85"/>
        <v>12</v>
      </c>
      <c r="AK459">
        <f t="shared" si="86"/>
        <v>16</v>
      </c>
      <c r="AL459">
        <v>11.16</v>
      </c>
      <c r="AM459" t="s">
        <v>27</v>
      </c>
      <c r="AN459">
        <v>11.16</v>
      </c>
      <c r="AO459" t="b">
        <f t="shared" si="87"/>
        <v>1</v>
      </c>
      <c r="AR459" t="s">
        <v>5061</v>
      </c>
      <c r="AS459" s="21">
        <v>46276</v>
      </c>
      <c r="AT459" t="s">
        <v>5062</v>
      </c>
      <c r="AU459" t="s">
        <v>5071</v>
      </c>
      <c r="AV459" t="s">
        <v>5062</v>
      </c>
      <c r="AW459" t="s">
        <v>5086</v>
      </c>
    </row>
    <row r="460" spans="1:49" hidden="1" x14ac:dyDescent="0.35">
      <c r="A460" t="s">
        <v>871</v>
      </c>
      <c r="B460" t="s">
        <v>872</v>
      </c>
      <c r="C460" t="s">
        <v>4818</v>
      </c>
      <c r="D460" t="s">
        <v>18</v>
      </c>
      <c r="E460" t="s">
        <v>2195</v>
      </c>
      <c r="F460" t="s">
        <v>2196</v>
      </c>
      <c r="G460" t="s">
        <v>21</v>
      </c>
      <c r="H460" t="s">
        <v>4826</v>
      </c>
      <c r="I460" t="s">
        <v>4935</v>
      </c>
      <c r="J460" s="4" t="s">
        <v>4936</v>
      </c>
      <c r="K460" s="4" t="s">
        <v>4957</v>
      </c>
      <c r="L460" s="4" t="s">
        <v>4949</v>
      </c>
      <c r="M460" s="4" t="s">
        <v>5035</v>
      </c>
      <c r="N460" t="s">
        <v>15</v>
      </c>
      <c r="O460" t="s">
        <v>2197</v>
      </c>
      <c r="P460" t="s">
        <v>23</v>
      </c>
      <c r="Q460" t="s">
        <v>24</v>
      </c>
      <c r="R460" t="s">
        <v>25</v>
      </c>
      <c r="S460" t="s">
        <v>26</v>
      </c>
      <c r="T460" s="6">
        <v>46307</v>
      </c>
      <c r="U460">
        <v>24</v>
      </c>
      <c r="V460">
        <v>24</v>
      </c>
      <c r="W460">
        <v>24</v>
      </c>
      <c r="X460">
        <v>24</v>
      </c>
      <c r="Y460">
        <f t="shared" si="82"/>
        <v>0</v>
      </c>
      <c r="Z460">
        <f t="shared" si="83"/>
        <v>0</v>
      </c>
      <c r="AC460" s="1">
        <v>0</v>
      </c>
      <c r="AF460">
        <f>V460</f>
        <v>24</v>
      </c>
      <c r="AG460" s="41">
        <v>12</v>
      </c>
      <c r="AH460">
        <f t="shared" si="84"/>
        <v>24</v>
      </c>
      <c r="AI460">
        <f t="shared" si="85"/>
        <v>0</v>
      </c>
      <c r="AK460">
        <f t="shared" si="86"/>
        <v>2</v>
      </c>
      <c r="AL460">
        <v>11.27</v>
      </c>
      <c r="AM460" t="s">
        <v>27</v>
      </c>
      <c r="AN460">
        <v>11.27</v>
      </c>
      <c r="AO460" t="b">
        <f t="shared" si="87"/>
        <v>1</v>
      </c>
      <c r="AR460" t="s">
        <v>5061</v>
      </c>
      <c r="AS460" s="21">
        <v>46276</v>
      </c>
      <c r="AT460" t="s">
        <v>5062</v>
      </c>
      <c r="AU460" t="s">
        <v>5071</v>
      </c>
      <c r="AV460" t="s">
        <v>5062</v>
      </c>
      <c r="AW460" t="s">
        <v>5086</v>
      </c>
    </row>
    <row r="461" spans="1:49" hidden="1" x14ac:dyDescent="0.35">
      <c r="A461" t="s">
        <v>871</v>
      </c>
      <c r="B461" t="s">
        <v>872</v>
      </c>
      <c r="C461" t="s">
        <v>4818</v>
      </c>
      <c r="D461" t="s">
        <v>18</v>
      </c>
      <c r="E461" t="s">
        <v>2198</v>
      </c>
      <c r="F461" t="s">
        <v>2199</v>
      </c>
      <c r="G461" t="s">
        <v>21</v>
      </c>
      <c r="H461" t="s">
        <v>4826</v>
      </c>
      <c r="I461" t="s">
        <v>4935</v>
      </c>
      <c r="J461" s="4" t="s">
        <v>4936</v>
      </c>
      <c r="K461" s="4" t="s">
        <v>4945</v>
      </c>
      <c r="L461" s="4" t="s">
        <v>4966</v>
      </c>
      <c r="M461" s="4" t="s">
        <v>5035</v>
      </c>
      <c r="N461" t="s">
        <v>15</v>
      </c>
      <c r="O461" t="s">
        <v>2200</v>
      </c>
      <c r="P461" t="s">
        <v>23</v>
      </c>
      <c r="Q461" t="s">
        <v>24</v>
      </c>
      <c r="R461" t="s">
        <v>25</v>
      </c>
      <c r="S461" t="s">
        <v>26</v>
      </c>
      <c r="T461" s="6">
        <v>46307</v>
      </c>
      <c r="U461">
        <v>48</v>
      </c>
      <c r="V461">
        <v>48</v>
      </c>
      <c r="W461">
        <v>48</v>
      </c>
      <c r="X461">
        <v>48</v>
      </c>
      <c r="Y461">
        <f t="shared" si="82"/>
        <v>0</v>
      </c>
      <c r="Z461">
        <f t="shared" si="83"/>
        <v>0</v>
      </c>
      <c r="AC461" s="1">
        <v>0</v>
      </c>
      <c r="AF461">
        <f>V461</f>
        <v>48</v>
      </c>
      <c r="AG461" s="41">
        <v>12</v>
      </c>
      <c r="AH461">
        <f t="shared" si="84"/>
        <v>48</v>
      </c>
      <c r="AI461">
        <f t="shared" si="85"/>
        <v>0</v>
      </c>
      <c r="AK461">
        <f t="shared" si="86"/>
        <v>4</v>
      </c>
      <c r="AL461">
        <v>11.16</v>
      </c>
      <c r="AM461" t="s">
        <v>27</v>
      </c>
      <c r="AN461">
        <v>11.16</v>
      </c>
      <c r="AO461" t="b">
        <f t="shared" si="87"/>
        <v>1</v>
      </c>
      <c r="AR461" t="s">
        <v>5061</v>
      </c>
      <c r="AS461" s="21">
        <v>46276</v>
      </c>
      <c r="AT461" t="s">
        <v>5062</v>
      </c>
      <c r="AU461" t="s">
        <v>5071</v>
      </c>
      <c r="AV461" t="s">
        <v>5062</v>
      </c>
      <c r="AW461" t="s">
        <v>5086</v>
      </c>
    </row>
    <row r="462" spans="1:49" hidden="1" x14ac:dyDescent="0.35">
      <c r="A462" t="s">
        <v>871</v>
      </c>
      <c r="B462" t="s">
        <v>872</v>
      </c>
      <c r="C462" t="s">
        <v>4818</v>
      </c>
      <c r="D462" t="s">
        <v>18</v>
      </c>
      <c r="E462" t="s">
        <v>2201</v>
      </c>
      <c r="F462" t="s">
        <v>2202</v>
      </c>
      <c r="G462" t="s">
        <v>21</v>
      </c>
      <c r="H462" t="s">
        <v>4826</v>
      </c>
      <c r="I462" t="s">
        <v>4935</v>
      </c>
      <c r="J462" s="4" t="s">
        <v>4936</v>
      </c>
      <c r="K462" s="4" t="s">
        <v>4945</v>
      </c>
      <c r="L462" s="4" t="s">
        <v>4944</v>
      </c>
      <c r="M462" s="4" t="s">
        <v>5035</v>
      </c>
      <c r="N462" t="s">
        <v>15</v>
      </c>
      <c r="O462" t="s">
        <v>2203</v>
      </c>
      <c r="P462" t="s">
        <v>23</v>
      </c>
      <c r="Q462" t="s">
        <v>24</v>
      </c>
      <c r="R462" t="s">
        <v>25</v>
      </c>
      <c r="S462" t="s">
        <v>26</v>
      </c>
      <c r="T462" s="6">
        <v>46307</v>
      </c>
      <c r="U462">
        <v>72</v>
      </c>
      <c r="V462">
        <v>72</v>
      </c>
      <c r="W462">
        <v>60</v>
      </c>
      <c r="X462">
        <v>60</v>
      </c>
      <c r="Y462">
        <f t="shared" si="82"/>
        <v>0</v>
      </c>
      <c r="Z462">
        <f t="shared" si="83"/>
        <v>12</v>
      </c>
      <c r="AA462">
        <f>Z462</f>
        <v>12</v>
      </c>
      <c r="AC462" s="1">
        <v>0</v>
      </c>
      <c r="AF462">
        <f>X462</f>
        <v>60</v>
      </c>
      <c r="AG462" s="41">
        <v>12</v>
      </c>
      <c r="AH462">
        <f t="shared" si="84"/>
        <v>60</v>
      </c>
      <c r="AI462">
        <f t="shared" si="85"/>
        <v>12</v>
      </c>
      <c r="AK462">
        <f t="shared" si="86"/>
        <v>5</v>
      </c>
      <c r="AL462">
        <v>11.16</v>
      </c>
      <c r="AM462" t="s">
        <v>27</v>
      </c>
      <c r="AN462">
        <v>11.16</v>
      </c>
      <c r="AO462" t="b">
        <f t="shared" si="87"/>
        <v>1</v>
      </c>
      <c r="AR462" t="s">
        <v>5061</v>
      </c>
      <c r="AS462" s="21">
        <v>46276</v>
      </c>
      <c r="AT462" t="s">
        <v>5062</v>
      </c>
      <c r="AU462" t="s">
        <v>5071</v>
      </c>
      <c r="AV462" t="s">
        <v>5062</v>
      </c>
      <c r="AW462" t="s">
        <v>5086</v>
      </c>
    </row>
    <row r="463" spans="1:49" hidden="1" x14ac:dyDescent="0.35">
      <c r="A463" t="s">
        <v>871</v>
      </c>
      <c r="B463" t="s">
        <v>872</v>
      </c>
      <c r="C463" t="s">
        <v>4818</v>
      </c>
      <c r="D463" t="s">
        <v>18</v>
      </c>
      <c r="E463" t="s">
        <v>2204</v>
      </c>
      <c r="F463" t="s">
        <v>2205</v>
      </c>
      <c r="G463" t="s">
        <v>21</v>
      </c>
      <c r="H463" t="s">
        <v>4826</v>
      </c>
      <c r="I463" t="s">
        <v>4935</v>
      </c>
      <c r="J463" s="4" t="s">
        <v>4936</v>
      </c>
      <c r="K463" s="4" t="s">
        <v>4945</v>
      </c>
      <c r="L463" s="4" t="s">
        <v>4961</v>
      </c>
      <c r="M463" s="4" t="s">
        <v>5035</v>
      </c>
      <c r="N463" t="s">
        <v>15</v>
      </c>
      <c r="O463" t="s">
        <v>2206</v>
      </c>
      <c r="P463" t="s">
        <v>23</v>
      </c>
      <c r="Q463" t="s">
        <v>24</v>
      </c>
      <c r="R463" t="s">
        <v>25</v>
      </c>
      <c r="S463" t="s">
        <v>26</v>
      </c>
      <c r="T463" s="6">
        <v>46307</v>
      </c>
      <c r="U463">
        <v>48</v>
      </c>
      <c r="V463">
        <v>48</v>
      </c>
      <c r="W463">
        <v>48</v>
      </c>
      <c r="X463">
        <v>48</v>
      </c>
      <c r="Y463">
        <f t="shared" si="82"/>
        <v>0</v>
      </c>
      <c r="Z463">
        <f t="shared" si="83"/>
        <v>0</v>
      </c>
      <c r="AC463" s="1">
        <v>0</v>
      </c>
      <c r="AF463">
        <f>V463</f>
        <v>48</v>
      </c>
      <c r="AG463" s="41">
        <v>12</v>
      </c>
      <c r="AH463">
        <f t="shared" si="84"/>
        <v>48</v>
      </c>
      <c r="AI463">
        <f t="shared" si="85"/>
        <v>0</v>
      </c>
      <c r="AK463">
        <f t="shared" si="86"/>
        <v>4</v>
      </c>
      <c r="AL463">
        <v>11.16</v>
      </c>
      <c r="AM463" t="s">
        <v>27</v>
      </c>
      <c r="AN463">
        <v>11.16</v>
      </c>
      <c r="AO463" t="b">
        <f t="shared" si="87"/>
        <v>1</v>
      </c>
      <c r="AR463" t="s">
        <v>5061</v>
      </c>
      <c r="AS463" s="21">
        <v>46276</v>
      </c>
      <c r="AT463" t="s">
        <v>5062</v>
      </c>
      <c r="AU463" t="s">
        <v>5071</v>
      </c>
      <c r="AV463" t="s">
        <v>5062</v>
      </c>
      <c r="AW463" t="s">
        <v>5086</v>
      </c>
    </row>
    <row r="464" spans="1:49" hidden="1" x14ac:dyDescent="0.35">
      <c r="A464" t="s">
        <v>871</v>
      </c>
      <c r="B464" t="s">
        <v>872</v>
      </c>
      <c r="C464" t="s">
        <v>4818</v>
      </c>
      <c r="D464" t="s">
        <v>18</v>
      </c>
      <c r="E464" t="s">
        <v>2207</v>
      </c>
      <c r="F464" t="s">
        <v>2208</v>
      </c>
      <c r="G464" t="s">
        <v>21</v>
      </c>
      <c r="H464" t="s">
        <v>4826</v>
      </c>
      <c r="I464" t="s">
        <v>4935</v>
      </c>
      <c r="J464" s="4" t="s">
        <v>4936</v>
      </c>
      <c r="K464" s="4" t="s">
        <v>4837</v>
      </c>
      <c r="L464" s="4" t="s">
        <v>4963</v>
      </c>
      <c r="M464" s="4" t="s">
        <v>5035</v>
      </c>
      <c r="N464" t="s">
        <v>15</v>
      </c>
      <c r="O464" t="s">
        <v>2209</v>
      </c>
      <c r="P464" t="s">
        <v>23</v>
      </c>
      <c r="Q464" t="s">
        <v>24</v>
      </c>
      <c r="R464" t="s">
        <v>25</v>
      </c>
      <c r="S464" t="s">
        <v>26</v>
      </c>
      <c r="T464" s="6">
        <v>46307</v>
      </c>
      <c r="U464">
        <v>84</v>
      </c>
      <c r="V464">
        <v>84</v>
      </c>
      <c r="W464">
        <v>96</v>
      </c>
      <c r="X464">
        <v>96</v>
      </c>
      <c r="Y464">
        <f t="shared" si="82"/>
        <v>0</v>
      </c>
      <c r="Z464">
        <f t="shared" si="83"/>
        <v>-12</v>
      </c>
      <c r="AC464" s="1">
        <v>0</v>
      </c>
      <c r="AF464">
        <f>V464</f>
        <v>84</v>
      </c>
      <c r="AG464" s="41">
        <v>12</v>
      </c>
      <c r="AH464">
        <f t="shared" si="84"/>
        <v>84</v>
      </c>
      <c r="AI464">
        <f t="shared" si="85"/>
        <v>0</v>
      </c>
      <c r="AK464">
        <f t="shared" si="86"/>
        <v>7</v>
      </c>
      <c r="AL464">
        <v>11.16</v>
      </c>
      <c r="AM464" t="s">
        <v>27</v>
      </c>
      <c r="AN464">
        <v>11.16</v>
      </c>
      <c r="AO464" t="b">
        <f t="shared" si="87"/>
        <v>1</v>
      </c>
      <c r="AR464" t="s">
        <v>5061</v>
      </c>
      <c r="AS464" s="21">
        <v>46276</v>
      </c>
      <c r="AT464" t="s">
        <v>5062</v>
      </c>
      <c r="AU464" t="s">
        <v>5071</v>
      </c>
      <c r="AV464" t="s">
        <v>5062</v>
      </c>
      <c r="AW464" t="s">
        <v>5086</v>
      </c>
    </row>
    <row r="465" spans="1:49" hidden="1" x14ac:dyDescent="0.35">
      <c r="A465" t="s">
        <v>871</v>
      </c>
      <c r="B465" t="s">
        <v>872</v>
      </c>
      <c r="C465" t="s">
        <v>4818</v>
      </c>
      <c r="D465" t="s">
        <v>18</v>
      </c>
      <c r="E465" t="s">
        <v>2210</v>
      </c>
      <c r="F465" t="s">
        <v>2211</v>
      </c>
      <c r="G465" t="s">
        <v>21</v>
      </c>
      <c r="H465" t="s">
        <v>4826</v>
      </c>
      <c r="I465" t="s">
        <v>4935</v>
      </c>
      <c r="J465" s="4" t="s">
        <v>4936</v>
      </c>
      <c r="K465" s="4" t="s">
        <v>4837</v>
      </c>
      <c r="L465" s="4" t="s">
        <v>4975</v>
      </c>
      <c r="M465" s="4" t="s">
        <v>5035</v>
      </c>
      <c r="N465" t="s">
        <v>15</v>
      </c>
      <c r="O465" t="s">
        <v>2212</v>
      </c>
      <c r="P465" t="s">
        <v>23</v>
      </c>
      <c r="Q465" t="s">
        <v>24</v>
      </c>
      <c r="R465" t="s">
        <v>25</v>
      </c>
      <c r="S465" t="s">
        <v>26</v>
      </c>
      <c r="T465" s="6">
        <v>46307</v>
      </c>
      <c r="U465">
        <v>96</v>
      </c>
      <c r="V465">
        <v>96</v>
      </c>
      <c r="W465">
        <v>84</v>
      </c>
      <c r="X465">
        <v>84</v>
      </c>
      <c r="Y465">
        <f t="shared" si="82"/>
        <v>0</v>
      </c>
      <c r="Z465">
        <f t="shared" si="83"/>
        <v>12</v>
      </c>
      <c r="AA465">
        <f t="shared" ref="AA465:AA467" si="88">Z465</f>
        <v>12</v>
      </c>
      <c r="AC465" s="1">
        <v>0</v>
      </c>
      <c r="AF465">
        <f>X465</f>
        <v>84</v>
      </c>
      <c r="AG465" s="41">
        <v>12</v>
      </c>
      <c r="AH465">
        <f t="shared" si="84"/>
        <v>84</v>
      </c>
      <c r="AI465">
        <f t="shared" si="85"/>
        <v>12</v>
      </c>
      <c r="AK465">
        <f t="shared" si="86"/>
        <v>7</v>
      </c>
      <c r="AL465">
        <v>11.16</v>
      </c>
      <c r="AM465" t="s">
        <v>27</v>
      </c>
      <c r="AN465">
        <v>11.16</v>
      </c>
      <c r="AO465" t="b">
        <f t="shared" si="87"/>
        <v>1</v>
      </c>
      <c r="AR465" t="s">
        <v>5061</v>
      </c>
      <c r="AS465" s="21">
        <v>46276</v>
      </c>
      <c r="AT465" t="s">
        <v>5062</v>
      </c>
      <c r="AU465" t="s">
        <v>5071</v>
      </c>
      <c r="AV465" t="s">
        <v>5062</v>
      </c>
      <c r="AW465" t="s">
        <v>5086</v>
      </c>
    </row>
    <row r="466" spans="1:49" hidden="1" x14ac:dyDescent="0.35">
      <c r="A466" t="s">
        <v>871</v>
      </c>
      <c r="B466" t="s">
        <v>872</v>
      </c>
      <c r="C466" t="s">
        <v>4818</v>
      </c>
      <c r="D466" t="s">
        <v>18</v>
      </c>
      <c r="E466" t="s">
        <v>2213</v>
      </c>
      <c r="F466" t="s">
        <v>2214</v>
      </c>
      <c r="G466" t="s">
        <v>21</v>
      </c>
      <c r="H466" t="s">
        <v>4826</v>
      </c>
      <c r="I466" t="s">
        <v>4935</v>
      </c>
      <c r="J466" s="4" t="s">
        <v>4936</v>
      </c>
      <c r="K466" s="4" t="s">
        <v>4832</v>
      </c>
      <c r="L466" s="4" t="s">
        <v>4963</v>
      </c>
      <c r="M466" s="4" t="s">
        <v>5035</v>
      </c>
      <c r="N466" t="s">
        <v>15</v>
      </c>
      <c r="O466" t="s">
        <v>2215</v>
      </c>
      <c r="P466" t="s">
        <v>23</v>
      </c>
      <c r="Q466" t="s">
        <v>24</v>
      </c>
      <c r="R466" t="s">
        <v>25</v>
      </c>
      <c r="S466" t="s">
        <v>26</v>
      </c>
      <c r="T466" s="6">
        <v>46307</v>
      </c>
      <c r="U466">
        <v>72</v>
      </c>
      <c r="V466">
        <v>72</v>
      </c>
      <c r="W466">
        <v>60</v>
      </c>
      <c r="X466">
        <v>60</v>
      </c>
      <c r="Y466">
        <f t="shared" si="82"/>
        <v>0</v>
      </c>
      <c r="Z466">
        <f t="shared" si="83"/>
        <v>12</v>
      </c>
      <c r="AA466">
        <f t="shared" si="88"/>
        <v>12</v>
      </c>
      <c r="AC466" s="1">
        <v>0</v>
      </c>
      <c r="AF466">
        <f>X466</f>
        <v>60</v>
      </c>
      <c r="AG466" s="41">
        <v>12</v>
      </c>
      <c r="AH466">
        <f t="shared" si="84"/>
        <v>60</v>
      </c>
      <c r="AI466">
        <f t="shared" si="85"/>
        <v>12</v>
      </c>
      <c r="AK466">
        <f t="shared" si="86"/>
        <v>5</v>
      </c>
      <c r="AL466">
        <v>11.16</v>
      </c>
      <c r="AM466" t="s">
        <v>27</v>
      </c>
      <c r="AN466">
        <v>11.16</v>
      </c>
      <c r="AO466" t="b">
        <f t="shared" si="87"/>
        <v>1</v>
      </c>
      <c r="AR466" t="s">
        <v>5061</v>
      </c>
      <c r="AS466" s="21">
        <v>46276</v>
      </c>
      <c r="AT466" t="s">
        <v>5062</v>
      </c>
      <c r="AU466" t="s">
        <v>5071</v>
      </c>
      <c r="AV466" t="s">
        <v>5062</v>
      </c>
      <c r="AW466" t="s">
        <v>5086</v>
      </c>
    </row>
    <row r="467" spans="1:49" hidden="1" x14ac:dyDescent="0.35">
      <c r="A467" t="s">
        <v>871</v>
      </c>
      <c r="B467" t="s">
        <v>872</v>
      </c>
      <c r="C467" t="s">
        <v>4818</v>
      </c>
      <c r="D467" t="s">
        <v>18</v>
      </c>
      <c r="E467" t="s">
        <v>2216</v>
      </c>
      <c r="F467" t="s">
        <v>2217</v>
      </c>
      <c r="G467" t="s">
        <v>21</v>
      </c>
      <c r="H467" t="s">
        <v>4826</v>
      </c>
      <c r="I467" t="s">
        <v>4935</v>
      </c>
      <c r="J467" s="4" t="s">
        <v>4936</v>
      </c>
      <c r="K467" s="4" t="s">
        <v>4837</v>
      </c>
      <c r="L467" s="4" t="s">
        <v>4946</v>
      </c>
      <c r="M467" s="4" t="s">
        <v>5035</v>
      </c>
      <c r="N467" t="s">
        <v>15</v>
      </c>
      <c r="O467" t="s">
        <v>2218</v>
      </c>
      <c r="P467" t="s">
        <v>23</v>
      </c>
      <c r="Q467" t="s">
        <v>24</v>
      </c>
      <c r="R467" t="s">
        <v>25</v>
      </c>
      <c r="S467" t="s">
        <v>26</v>
      </c>
      <c r="T467" s="6">
        <v>46307</v>
      </c>
      <c r="U467">
        <v>216</v>
      </c>
      <c r="V467">
        <v>216</v>
      </c>
      <c r="W467">
        <v>204</v>
      </c>
      <c r="X467">
        <v>204</v>
      </c>
      <c r="Y467">
        <f t="shared" si="82"/>
        <v>0</v>
      </c>
      <c r="Z467">
        <f t="shared" si="83"/>
        <v>12</v>
      </c>
      <c r="AA467">
        <f t="shared" si="88"/>
        <v>12</v>
      </c>
      <c r="AC467" s="1">
        <v>0</v>
      </c>
      <c r="AF467">
        <f>X467</f>
        <v>204</v>
      </c>
      <c r="AG467" s="41">
        <v>12</v>
      </c>
      <c r="AH467">
        <f t="shared" si="84"/>
        <v>204</v>
      </c>
      <c r="AI467">
        <f t="shared" si="85"/>
        <v>12</v>
      </c>
      <c r="AK467">
        <f t="shared" si="86"/>
        <v>17</v>
      </c>
      <c r="AL467">
        <v>11.16</v>
      </c>
      <c r="AM467" t="s">
        <v>27</v>
      </c>
      <c r="AN467">
        <v>11.16</v>
      </c>
      <c r="AO467" t="b">
        <f t="shared" si="87"/>
        <v>1</v>
      </c>
      <c r="AR467" t="s">
        <v>5061</v>
      </c>
      <c r="AS467" s="21">
        <v>46276</v>
      </c>
      <c r="AT467" t="s">
        <v>5062</v>
      </c>
      <c r="AU467" t="s">
        <v>5071</v>
      </c>
      <c r="AV467" t="s">
        <v>5062</v>
      </c>
      <c r="AW467" t="s">
        <v>5086</v>
      </c>
    </row>
    <row r="468" spans="1:49" hidden="1" x14ac:dyDescent="0.35">
      <c r="A468" t="s">
        <v>871</v>
      </c>
      <c r="B468" t="s">
        <v>872</v>
      </c>
      <c r="C468" t="s">
        <v>4818</v>
      </c>
      <c r="D468" t="s">
        <v>18</v>
      </c>
      <c r="E468" t="s">
        <v>2219</v>
      </c>
      <c r="F468" t="s">
        <v>2220</v>
      </c>
      <c r="G468" t="s">
        <v>21</v>
      </c>
      <c r="H468" t="s">
        <v>4826</v>
      </c>
      <c r="I468" t="s">
        <v>4935</v>
      </c>
      <c r="J468" s="4" t="s">
        <v>4936</v>
      </c>
      <c r="K468" s="4" t="s">
        <v>4837</v>
      </c>
      <c r="L468" s="4" t="s">
        <v>4951</v>
      </c>
      <c r="M468" s="4" t="s">
        <v>5035</v>
      </c>
      <c r="N468" t="s">
        <v>15</v>
      </c>
      <c r="O468" t="s">
        <v>2221</v>
      </c>
      <c r="P468" t="s">
        <v>23</v>
      </c>
      <c r="Q468" t="s">
        <v>24</v>
      </c>
      <c r="R468" t="s">
        <v>25</v>
      </c>
      <c r="S468" t="s">
        <v>26</v>
      </c>
      <c r="T468" s="6">
        <v>46307</v>
      </c>
      <c r="U468">
        <v>228</v>
      </c>
      <c r="V468">
        <v>228</v>
      </c>
      <c r="W468">
        <v>240</v>
      </c>
      <c r="X468">
        <v>240</v>
      </c>
      <c r="Y468">
        <f t="shared" si="82"/>
        <v>0</v>
      </c>
      <c r="Z468">
        <f t="shared" si="83"/>
        <v>-12</v>
      </c>
      <c r="AC468" s="1">
        <v>0</v>
      </c>
      <c r="AF468">
        <f t="shared" ref="AF468:AF473" si="89">V468</f>
        <v>228</v>
      </c>
      <c r="AG468" s="41">
        <v>12</v>
      </c>
      <c r="AH468">
        <f t="shared" si="84"/>
        <v>228</v>
      </c>
      <c r="AI468">
        <f t="shared" si="85"/>
        <v>0</v>
      </c>
      <c r="AK468">
        <f t="shared" si="86"/>
        <v>19</v>
      </c>
      <c r="AL468">
        <v>11.16</v>
      </c>
      <c r="AM468" t="s">
        <v>27</v>
      </c>
      <c r="AN468">
        <v>11.16</v>
      </c>
      <c r="AO468" t="b">
        <f t="shared" si="87"/>
        <v>1</v>
      </c>
      <c r="AR468" t="s">
        <v>5061</v>
      </c>
      <c r="AS468" s="21">
        <v>46276</v>
      </c>
      <c r="AT468" t="s">
        <v>5062</v>
      </c>
      <c r="AU468" t="s">
        <v>5071</v>
      </c>
      <c r="AV468" t="s">
        <v>5062</v>
      </c>
      <c r="AW468" t="s">
        <v>5086</v>
      </c>
    </row>
    <row r="469" spans="1:49" hidden="1" x14ac:dyDescent="0.35">
      <c r="A469" t="s">
        <v>871</v>
      </c>
      <c r="B469" t="s">
        <v>872</v>
      </c>
      <c r="C469" t="s">
        <v>4818</v>
      </c>
      <c r="D469" t="s">
        <v>18</v>
      </c>
      <c r="E469" t="s">
        <v>2222</v>
      </c>
      <c r="F469" t="s">
        <v>2223</v>
      </c>
      <c r="G469" t="s">
        <v>21</v>
      </c>
      <c r="H469" t="s">
        <v>4826</v>
      </c>
      <c r="I469" t="s">
        <v>4935</v>
      </c>
      <c r="J469" s="4" t="s">
        <v>4936</v>
      </c>
      <c r="K469" s="4" t="s">
        <v>4937</v>
      </c>
      <c r="L469" s="4" t="s">
        <v>4970</v>
      </c>
      <c r="M469" s="4" t="s">
        <v>5035</v>
      </c>
      <c r="N469" t="s">
        <v>15</v>
      </c>
      <c r="O469" t="s">
        <v>2224</v>
      </c>
      <c r="P469" t="s">
        <v>23</v>
      </c>
      <c r="Q469" t="s">
        <v>24</v>
      </c>
      <c r="R469" t="s">
        <v>25</v>
      </c>
      <c r="S469" t="s">
        <v>26</v>
      </c>
      <c r="T469" s="6">
        <v>46307</v>
      </c>
      <c r="U469">
        <v>144</v>
      </c>
      <c r="V469">
        <v>144</v>
      </c>
      <c r="W469">
        <v>156</v>
      </c>
      <c r="X469">
        <v>156</v>
      </c>
      <c r="Y469">
        <f t="shared" si="82"/>
        <v>0</v>
      </c>
      <c r="Z469">
        <f t="shared" si="83"/>
        <v>-12</v>
      </c>
      <c r="AC469" s="1">
        <v>0</v>
      </c>
      <c r="AF469">
        <f t="shared" si="89"/>
        <v>144</v>
      </c>
      <c r="AG469" s="41">
        <v>12</v>
      </c>
      <c r="AH469">
        <f t="shared" si="84"/>
        <v>144</v>
      </c>
      <c r="AI469">
        <f t="shared" si="85"/>
        <v>0</v>
      </c>
      <c r="AK469">
        <f t="shared" si="86"/>
        <v>12</v>
      </c>
      <c r="AL469">
        <v>11.16</v>
      </c>
      <c r="AM469" t="s">
        <v>27</v>
      </c>
      <c r="AN469">
        <v>11.16</v>
      </c>
      <c r="AO469" t="b">
        <f t="shared" si="87"/>
        <v>1</v>
      </c>
      <c r="AR469" t="s">
        <v>5061</v>
      </c>
      <c r="AS469" s="21">
        <v>46276</v>
      </c>
      <c r="AT469" t="s">
        <v>5062</v>
      </c>
      <c r="AU469" t="s">
        <v>5071</v>
      </c>
      <c r="AV469" t="s">
        <v>5062</v>
      </c>
      <c r="AW469" t="s">
        <v>5086</v>
      </c>
    </row>
    <row r="470" spans="1:49" hidden="1" x14ac:dyDescent="0.35">
      <c r="A470" t="s">
        <v>871</v>
      </c>
      <c r="B470" t="s">
        <v>872</v>
      </c>
      <c r="C470" t="s">
        <v>4818</v>
      </c>
      <c r="D470" t="s">
        <v>18</v>
      </c>
      <c r="E470" t="s">
        <v>2225</v>
      </c>
      <c r="F470" t="s">
        <v>2226</v>
      </c>
      <c r="G470" t="s">
        <v>21</v>
      </c>
      <c r="H470" t="s">
        <v>4826</v>
      </c>
      <c r="I470" t="s">
        <v>4935</v>
      </c>
      <c r="J470" s="4" t="s">
        <v>4936</v>
      </c>
      <c r="K470" s="4" t="s">
        <v>4957</v>
      </c>
      <c r="L470" s="4" t="s">
        <v>4958</v>
      </c>
      <c r="M470" s="4" t="s">
        <v>5035</v>
      </c>
      <c r="N470" t="s">
        <v>15</v>
      </c>
      <c r="O470" t="s">
        <v>2227</v>
      </c>
      <c r="P470" t="s">
        <v>23</v>
      </c>
      <c r="Q470" t="s">
        <v>24</v>
      </c>
      <c r="R470" t="s">
        <v>25</v>
      </c>
      <c r="S470" t="s">
        <v>26</v>
      </c>
      <c r="T470" s="6">
        <v>46307</v>
      </c>
      <c r="U470">
        <v>12</v>
      </c>
      <c r="V470">
        <v>12</v>
      </c>
      <c r="W470">
        <v>12</v>
      </c>
      <c r="X470">
        <v>12</v>
      </c>
      <c r="Y470">
        <f t="shared" si="82"/>
        <v>0</v>
      </c>
      <c r="Z470">
        <f t="shared" si="83"/>
        <v>0</v>
      </c>
      <c r="AC470" s="1">
        <v>0</v>
      </c>
      <c r="AF470">
        <f t="shared" si="89"/>
        <v>12</v>
      </c>
      <c r="AG470" s="41">
        <v>12</v>
      </c>
      <c r="AH470">
        <f t="shared" si="84"/>
        <v>12</v>
      </c>
      <c r="AI470">
        <f t="shared" si="85"/>
        <v>0</v>
      </c>
      <c r="AK470">
        <f t="shared" si="86"/>
        <v>1</v>
      </c>
      <c r="AL470">
        <v>11.27</v>
      </c>
      <c r="AM470" t="s">
        <v>27</v>
      </c>
      <c r="AN470">
        <v>11.27</v>
      </c>
      <c r="AO470" t="b">
        <f t="shared" si="87"/>
        <v>1</v>
      </c>
      <c r="AR470" t="s">
        <v>5061</v>
      </c>
      <c r="AS470" s="21">
        <v>46276</v>
      </c>
      <c r="AT470" t="s">
        <v>5062</v>
      </c>
      <c r="AU470" t="s">
        <v>5071</v>
      </c>
      <c r="AV470" t="s">
        <v>5062</v>
      </c>
      <c r="AW470" t="s">
        <v>5086</v>
      </c>
    </row>
    <row r="471" spans="1:49" hidden="1" x14ac:dyDescent="0.35">
      <c r="A471" t="s">
        <v>871</v>
      </c>
      <c r="B471" t="s">
        <v>872</v>
      </c>
      <c r="C471" t="s">
        <v>4818</v>
      </c>
      <c r="D471" t="s">
        <v>18</v>
      </c>
      <c r="E471" t="s">
        <v>2228</v>
      </c>
      <c r="F471" t="s">
        <v>2229</v>
      </c>
      <c r="G471" t="s">
        <v>21</v>
      </c>
      <c r="H471" t="s">
        <v>4826</v>
      </c>
      <c r="I471" t="s">
        <v>4935</v>
      </c>
      <c r="J471" s="4" t="s">
        <v>4936</v>
      </c>
      <c r="K471" s="4" t="s">
        <v>4957</v>
      </c>
      <c r="L471" s="4" t="s">
        <v>4961</v>
      </c>
      <c r="M471" s="4" t="s">
        <v>5035</v>
      </c>
      <c r="N471" t="s">
        <v>15</v>
      </c>
      <c r="O471" t="s">
        <v>2230</v>
      </c>
      <c r="P471" t="s">
        <v>23</v>
      </c>
      <c r="Q471" t="s">
        <v>24</v>
      </c>
      <c r="R471" t="s">
        <v>25</v>
      </c>
      <c r="S471" t="s">
        <v>26</v>
      </c>
      <c r="T471" s="6">
        <v>46307</v>
      </c>
      <c r="U471">
        <v>60</v>
      </c>
      <c r="V471">
        <v>60</v>
      </c>
      <c r="W471">
        <v>60</v>
      </c>
      <c r="X471">
        <v>60</v>
      </c>
      <c r="Y471">
        <f t="shared" si="82"/>
        <v>0</v>
      </c>
      <c r="Z471">
        <f t="shared" si="83"/>
        <v>0</v>
      </c>
      <c r="AC471" s="1">
        <v>0</v>
      </c>
      <c r="AF471">
        <f t="shared" si="89"/>
        <v>60</v>
      </c>
      <c r="AG471" s="41">
        <v>12</v>
      </c>
      <c r="AH471">
        <f t="shared" si="84"/>
        <v>60</v>
      </c>
      <c r="AI471">
        <f t="shared" si="85"/>
        <v>0</v>
      </c>
      <c r="AK471">
        <f t="shared" si="86"/>
        <v>5</v>
      </c>
      <c r="AL471">
        <v>11.27</v>
      </c>
      <c r="AM471" t="s">
        <v>27</v>
      </c>
      <c r="AN471">
        <v>11.27</v>
      </c>
      <c r="AO471" t="b">
        <f t="shared" si="87"/>
        <v>1</v>
      </c>
      <c r="AR471" t="s">
        <v>5061</v>
      </c>
      <c r="AS471" s="21">
        <v>46276</v>
      </c>
      <c r="AT471" t="s">
        <v>5062</v>
      </c>
      <c r="AU471" t="s">
        <v>5071</v>
      </c>
      <c r="AV471" t="s">
        <v>5062</v>
      </c>
      <c r="AW471" t="s">
        <v>5086</v>
      </c>
    </row>
    <row r="472" spans="1:49" hidden="1" x14ac:dyDescent="0.35">
      <c r="A472" t="s">
        <v>871</v>
      </c>
      <c r="B472" t="s">
        <v>872</v>
      </c>
      <c r="C472" t="s">
        <v>4818</v>
      </c>
      <c r="D472" t="s">
        <v>18</v>
      </c>
      <c r="E472" t="s">
        <v>2231</v>
      </c>
      <c r="F472" t="s">
        <v>2232</v>
      </c>
      <c r="G472" t="s">
        <v>21</v>
      </c>
      <c r="H472" t="s">
        <v>4826</v>
      </c>
      <c r="I472" t="s">
        <v>4935</v>
      </c>
      <c r="J472" s="4" t="s">
        <v>4936</v>
      </c>
      <c r="K472" s="4" t="s">
        <v>4937</v>
      </c>
      <c r="L472" s="4" t="s">
        <v>4942</v>
      </c>
      <c r="M472" s="4" t="s">
        <v>5035</v>
      </c>
      <c r="N472" t="s">
        <v>15</v>
      </c>
      <c r="O472" t="s">
        <v>2233</v>
      </c>
      <c r="P472" t="s">
        <v>23</v>
      </c>
      <c r="Q472" t="s">
        <v>24</v>
      </c>
      <c r="R472" t="s">
        <v>25</v>
      </c>
      <c r="S472" t="s">
        <v>26</v>
      </c>
      <c r="T472" s="6">
        <v>46307</v>
      </c>
      <c r="U472">
        <v>12</v>
      </c>
      <c r="V472">
        <v>12</v>
      </c>
      <c r="W472">
        <v>12</v>
      </c>
      <c r="X472">
        <v>12</v>
      </c>
      <c r="Y472">
        <f t="shared" si="82"/>
        <v>0</v>
      </c>
      <c r="Z472">
        <f t="shared" si="83"/>
        <v>0</v>
      </c>
      <c r="AC472" s="1">
        <v>0</v>
      </c>
      <c r="AF472">
        <f t="shared" si="89"/>
        <v>12</v>
      </c>
      <c r="AG472" s="41">
        <v>12</v>
      </c>
      <c r="AH472">
        <f t="shared" si="84"/>
        <v>12</v>
      </c>
      <c r="AI472">
        <f t="shared" si="85"/>
        <v>0</v>
      </c>
      <c r="AK472">
        <f t="shared" si="86"/>
        <v>1</v>
      </c>
      <c r="AL472">
        <v>11.16</v>
      </c>
      <c r="AM472" t="s">
        <v>27</v>
      </c>
      <c r="AN472">
        <v>11.16</v>
      </c>
      <c r="AO472" t="b">
        <f t="shared" si="87"/>
        <v>1</v>
      </c>
      <c r="AR472" t="s">
        <v>5061</v>
      </c>
      <c r="AS472" s="21">
        <v>46276</v>
      </c>
      <c r="AT472" t="s">
        <v>5062</v>
      </c>
      <c r="AU472" t="s">
        <v>5071</v>
      </c>
      <c r="AV472" t="s">
        <v>5062</v>
      </c>
      <c r="AW472" t="s">
        <v>5086</v>
      </c>
    </row>
    <row r="473" spans="1:49" hidden="1" x14ac:dyDescent="0.35">
      <c r="A473" t="s">
        <v>871</v>
      </c>
      <c r="B473" t="s">
        <v>872</v>
      </c>
      <c r="C473" t="s">
        <v>4818</v>
      </c>
      <c r="D473" t="s">
        <v>18</v>
      </c>
      <c r="E473" t="s">
        <v>2234</v>
      </c>
      <c r="F473" t="s">
        <v>2235</v>
      </c>
      <c r="G473" t="s">
        <v>21</v>
      </c>
      <c r="H473" t="s">
        <v>4826</v>
      </c>
      <c r="I473" t="s">
        <v>4935</v>
      </c>
      <c r="J473" s="4" t="s">
        <v>4936</v>
      </c>
      <c r="K473" s="4" t="s">
        <v>4837</v>
      </c>
      <c r="L473" s="4" t="s">
        <v>4955</v>
      </c>
      <c r="M473" s="4" t="s">
        <v>5035</v>
      </c>
      <c r="N473" t="s">
        <v>15</v>
      </c>
      <c r="O473" t="s">
        <v>2236</v>
      </c>
      <c r="P473" t="s">
        <v>23</v>
      </c>
      <c r="Q473" t="s">
        <v>24</v>
      </c>
      <c r="R473" t="s">
        <v>25</v>
      </c>
      <c r="S473" t="s">
        <v>26</v>
      </c>
      <c r="T473" s="6">
        <v>46307</v>
      </c>
      <c r="U473">
        <v>48</v>
      </c>
      <c r="V473">
        <v>48</v>
      </c>
      <c r="W473">
        <v>48</v>
      </c>
      <c r="X473">
        <v>48</v>
      </c>
      <c r="Y473">
        <f t="shared" si="82"/>
        <v>0</v>
      </c>
      <c r="Z473">
        <f t="shared" si="83"/>
        <v>0</v>
      </c>
      <c r="AC473" s="1">
        <v>0</v>
      </c>
      <c r="AF473">
        <f t="shared" si="89"/>
        <v>48</v>
      </c>
      <c r="AG473" s="41">
        <v>12</v>
      </c>
      <c r="AH473">
        <f t="shared" si="84"/>
        <v>48</v>
      </c>
      <c r="AI473">
        <f t="shared" si="85"/>
        <v>0</v>
      </c>
      <c r="AK473">
        <f t="shared" si="86"/>
        <v>4</v>
      </c>
      <c r="AL473">
        <v>11.16</v>
      </c>
      <c r="AM473" t="s">
        <v>27</v>
      </c>
      <c r="AN473">
        <v>11.16</v>
      </c>
      <c r="AO473" t="b">
        <f t="shared" si="87"/>
        <v>1</v>
      </c>
      <c r="AR473" t="s">
        <v>5061</v>
      </c>
      <c r="AS473" s="21">
        <v>46276</v>
      </c>
      <c r="AT473" t="s">
        <v>5062</v>
      </c>
      <c r="AU473" t="s">
        <v>5071</v>
      </c>
      <c r="AV473" t="s">
        <v>5062</v>
      </c>
      <c r="AW473" t="s">
        <v>5086</v>
      </c>
    </row>
    <row r="474" spans="1:49" hidden="1" x14ac:dyDescent="0.35">
      <c r="A474" t="s">
        <v>871</v>
      </c>
      <c r="B474" t="s">
        <v>872</v>
      </c>
      <c r="C474" t="s">
        <v>4818</v>
      </c>
      <c r="D474" t="s">
        <v>18</v>
      </c>
      <c r="E474" t="s">
        <v>2237</v>
      </c>
      <c r="F474" t="s">
        <v>2238</v>
      </c>
      <c r="G474" t="s">
        <v>21</v>
      </c>
      <c r="H474" t="s">
        <v>4826</v>
      </c>
      <c r="I474" t="s">
        <v>4935</v>
      </c>
      <c r="J474" s="4" t="s">
        <v>4936</v>
      </c>
      <c r="K474" s="4" t="s">
        <v>4832</v>
      </c>
      <c r="L474" s="4" t="s">
        <v>4944</v>
      </c>
      <c r="M474" s="4" t="s">
        <v>5035</v>
      </c>
      <c r="N474" t="s">
        <v>15</v>
      </c>
      <c r="O474" t="s">
        <v>2239</v>
      </c>
      <c r="P474" t="s">
        <v>23</v>
      </c>
      <c r="Q474" t="s">
        <v>24</v>
      </c>
      <c r="R474" t="s">
        <v>25</v>
      </c>
      <c r="S474" t="s">
        <v>26</v>
      </c>
      <c r="T474" s="6">
        <v>46307</v>
      </c>
      <c r="U474">
        <v>132</v>
      </c>
      <c r="V474">
        <v>132</v>
      </c>
      <c r="W474">
        <v>120</v>
      </c>
      <c r="X474">
        <v>120</v>
      </c>
      <c r="Y474">
        <f t="shared" si="82"/>
        <v>0</v>
      </c>
      <c r="Z474">
        <f t="shared" si="83"/>
        <v>12</v>
      </c>
      <c r="AA474">
        <f>Z474</f>
        <v>12</v>
      </c>
      <c r="AC474" s="1">
        <v>0</v>
      </c>
      <c r="AF474">
        <f>X474</f>
        <v>120</v>
      </c>
      <c r="AG474" s="41">
        <v>12</v>
      </c>
      <c r="AH474">
        <f t="shared" si="84"/>
        <v>120</v>
      </c>
      <c r="AI474">
        <f t="shared" si="85"/>
        <v>12</v>
      </c>
      <c r="AK474">
        <f t="shared" si="86"/>
        <v>10</v>
      </c>
      <c r="AL474">
        <v>11.16</v>
      </c>
      <c r="AM474" t="s">
        <v>27</v>
      </c>
      <c r="AN474">
        <v>11.16</v>
      </c>
      <c r="AO474" t="b">
        <f t="shared" si="87"/>
        <v>1</v>
      </c>
      <c r="AR474" t="s">
        <v>5061</v>
      </c>
      <c r="AS474" s="21">
        <v>46276</v>
      </c>
      <c r="AT474" t="s">
        <v>5062</v>
      </c>
      <c r="AU474" t="s">
        <v>5071</v>
      </c>
      <c r="AV474" t="s">
        <v>5062</v>
      </c>
      <c r="AW474" t="s">
        <v>5086</v>
      </c>
    </row>
    <row r="475" spans="1:49" hidden="1" x14ac:dyDescent="0.35">
      <c r="A475" t="s">
        <v>871</v>
      </c>
      <c r="B475" t="s">
        <v>872</v>
      </c>
      <c r="C475" t="s">
        <v>4818</v>
      </c>
      <c r="D475" t="s">
        <v>18</v>
      </c>
      <c r="E475" t="s">
        <v>2240</v>
      </c>
      <c r="F475" t="s">
        <v>2241</v>
      </c>
      <c r="G475" t="s">
        <v>21</v>
      </c>
      <c r="H475" t="s">
        <v>4826</v>
      </c>
      <c r="I475" t="s">
        <v>4935</v>
      </c>
      <c r="J475" s="4" t="s">
        <v>4936</v>
      </c>
      <c r="K475" s="4" t="s">
        <v>4837</v>
      </c>
      <c r="L475" s="4" t="s">
        <v>4956</v>
      </c>
      <c r="M475" s="4" t="s">
        <v>5035</v>
      </c>
      <c r="N475" t="s">
        <v>15</v>
      </c>
      <c r="O475" t="s">
        <v>2242</v>
      </c>
      <c r="P475" t="s">
        <v>23</v>
      </c>
      <c r="Q475" t="s">
        <v>24</v>
      </c>
      <c r="R475" t="s">
        <v>25</v>
      </c>
      <c r="S475" t="s">
        <v>26</v>
      </c>
      <c r="T475" s="6">
        <v>46307</v>
      </c>
      <c r="U475">
        <v>24</v>
      </c>
      <c r="V475">
        <v>24</v>
      </c>
      <c r="W475">
        <v>24</v>
      </c>
      <c r="X475">
        <v>24</v>
      </c>
      <c r="Y475">
        <f t="shared" si="82"/>
        <v>0</v>
      </c>
      <c r="Z475">
        <f t="shared" si="83"/>
        <v>0</v>
      </c>
      <c r="AC475" s="1">
        <v>0</v>
      </c>
      <c r="AF475">
        <f>V475</f>
        <v>24</v>
      </c>
      <c r="AG475" s="41">
        <v>12</v>
      </c>
      <c r="AH475">
        <f t="shared" si="84"/>
        <v>24</v>
      </c>
      <c r="AI475">
        <f t="shared" si="85"/>
        <v>0</v>
      </c>
      <c r="AK475">
        <f t="shared" si="86"/>
        <v>2</v>
      </c>
      <c r="AL475">
        <v>11.16</v>
      </c>
      <c r="AM475" t="s">
        <v>27</v>
      </c>
      <c r="AN475">
        <v>11.16</v>
      </c>
      <c r="AO475" t="b">
        <f t="shared" si="87"/>
        <v>1</v>
      </c>
      <c r="AR475" t="s">
        <v>5061</v>
      </c>
      <c r="AS475" s="21">
        <v>46276</v>
      </c>
      <c r="AT475" t="s">
        <v>5062</v>
      </c>
      <c r="AU475" t="s">
        <v>5071</v>
      </c>
      <c r="AV475" t="s">
        <v>5062</v>
      </c>
      <c r="AW475" t="s">
        <v>5086</v>
      </c>
    </row>
    <row r="476" spans="1:49" hidden="1" x14ac:dyDescent="0.35">
      <c r="A476" t="s">
        <v>871</v>
      </c>
      <c r="B476" t="s">
        <v>872</v>
      </c>
      <c r="C476" t="s">
        <v>4818</v>
      </c>
      <c r="D476" t="s">
        <v>18</v>
      </c>
      <c r="E476" t="s">
        <v>2243</v>
      </c>
      <c r="F476" t="s">
        <v>2244</v>
      </c>
      <c r="G476" t="s">
        <v>21</v>
      </c>
      <c r="H476" t="s">
        <v>4826</v>
      </c>
      <c r="I476" t="s">
        <v>4935</v>
      </c>
      <c r="J476" s="4" t="s">
        <v>4936</v>
      </c>
      <c r="K476" s="4" t="s">
        <v>4837</v>
      </c>
      <c r="L476" s="4" t="s">
        <v>4966</v>
      </c>
      <c r="M476" s="4" t="s">
        <v>5035</v>
      </c>
      <c r="N476" t="s">
        <v>15</v>
      </c>
      <c r="O476" t="s">
        <v>2245</v>
      </c>
      <c r="P476" t="s">
        <v>23</v>
      </c>
      <c r="Q476" t="s">
        <v>24</v>
      </c>
      <c r="R476" t="s">
        <v>25</v>
      </c>
      <c r="S476" t="s">
        <v>26</v>
      </c>
      <c r="T476" s="6">
        <v>46307</v>
      </c>
      <c r="U476">
        <v>96</v>
      </c>
      <c r="V476">
        <v>96</v>
      </c>
      <c r="W476">
        <v>84</v>
      </c>
      <c r="X476">
        <v>84</v>
      </c>
      <c r="Y476">
        <f t="shared" si="82"/>
        <v>0</v>
      </c>
      <c r="Z476">
        <f t="shared" si="83"/>
        <v>12</v>
      </c>
      <c r="AA476">
        <f>Z476</f>
        <v>12</v>
      </c>
      <c r="AC476" s="1">
        <v>0</v>
      </c>
      <c r="AF476">
        <f>X476</f>
        <v>84</v>
      </c>
      <c r="AG476" s="41">
        <v>12</v>
      </c>
      <c r="AH476">
        <f t="shared" si="84"/>
        <v>84</v>
      </c>
      <c r="AI476">
        <f t="shared" si="85"/>
        <v>12</v>
      </c>
      <c r="AK476">
        <f t="shared" si="86"/>
        <v>7</v>
      </c>
      <c r="AL476">
        <v>11.16</v>
      </c>
      <c r="AM476" t="s">
        <v>27</v>
      </c>
      <c r="AN476">
        <v>11.16</v>
      </c>
      <c r="AO476" t="b">
        <f t="shared" si="87"/>
        <v>1</v>
      </c>
      <c r="AR476" t="s">
        <v>5061</v>
      </c>
      <c r="AS476" s="21">
        <v>46276</v>
      </c>
      <c r="AT476" t="s">
        <v>5062</v>
      </c>
      <c r="AU476" t="s">
        <v>5071</v>
      </c>
      <c r="AV476" t="s">
        <v>5062</v>
      </c>
      <c r="AW476" t="s">
        <v>5086</v>
      </c>
    </row>
    <row r="477" spans="1:49" hidden="1" x14ac:dyDescent="0.35">
      <c r="A477" t="s">
        <v>871</v>
      </c>
      <c r="B477" t="s">
        <v>872</v>
      </c>
      <c r="C477" t="s">
        <v>4818</v>
      </c>
      <c r="D477" t="s">
        <v>18</v>
      </c>
      <c r="E477" t="s">
        <v>2246</v>
      </c>
      <c r="F477" t="s">
        <v>2247</v>
      </c>
      <c r="G477" t="s">
        <v>21</v>
      </c>
      <c r="H477" t="s">
        <v>4826</v>
      </c>
      <c r="I477" t="s">
        <v>4935</v>
      </c>
      <c r="J477" s="4" t="s">
        <v>4936</v>
      </c>
      <c r="K477" s="4" t="s">
        <v>4837</v>
      </c>
      <c r="L477" s="4" t="s">
        <v>4971</v>
      </c>
      <c r="M477" s="4" t="s">
        <v>5035</v>
      </c>
      <c r="N477" t="s">
        <v>15</v>
      </c>
      <c r="O477" t="s">
        <v>2248</v>
      </c>
      <c r="P477" t="s">
        <v>23</v>
      </c>
      <c r="Q477" t="s">
        <v>24</v>
      </c>
      <c r="R477" t="s">
        <v>25</v>
      </c>
      <c r="S477" t="s">
        <v>26</v>
      </c>
      <c r="T477" s="6">
        <v>46307</v>
      </c>
      <c r="U477">
        <v>60</v>
      </c>
      <c r="V477">
        <v>60</v>
      </c>
      <c r="W477">
        <v>60</v>
      </c>
      <c r="X477">
        <v>60</v>
      </c>
      <c r="Y477">
        <f t="shared" si="82"/>
        <v>0</v>
      </c>
      <c r="Z477">
        <f t="shared" si="83"/>
        <v>0</v>
      </c>
      <c r="AC477" s="1">
        <v>0</v>
      </c>
      <c r="AF477">
        <f>V477</f>
        <v>60</v>
      </c>
      <c r="AG477" s="41">
        <v>12</v>
      </c>
      <c r="AH477">
        <f t="shared" si="84"/>
        <v>60</v>
      </c>
      <c r="AI477">
        <f t="shared" si="85"/>
        <v>0</v>
      </c>
      <c r="AK477">
        <f t="shared" si="86"/>
        <v>5</v>
      </c>
      <c r="AL477">
        <v>11.16</v>
      </c>
      <c r="AM477" t="s">
        <v>27</v>
      </c>
      <c r="AN477">
        <v>11.16</v>
      </c>
      <c r="AO477" t="b">
        <f t="shared" si="87"/>
        <v>1</v>
      </c>
      <c r="AR477" t="s">
        <v>5061</v>
      </c>
      <c r="AS477" s="21">
        <v>46276</v>
      </c>
      <c r="AT477" t="s">
        <v>5062</v>
      </c>
      <c r="AU477" t="s">
        <v>5071</v>
      </c>
      <c r="AV477" t="s">
        <v>5062</v>
      </c>
      <c r="AW477" t="s">
        <v>5086</v>
      </c>
    </row>
    <row r="478" spans="1:49" hidden="1" x14ac:dyDescent="0.35">
      <c r="A478" t="s">
        <v>871</v>
      </c>
      <c r="B478" t="s">
        <v>872</v>
      </c>
      <c r="C478" t="s">
        <v>4818</v>
      </c>
      <c r="D478" t="s">
        <v>18</v>
      </c>
      <c r="E478" t="s">
        <v>2249</v>
      </c>
      <c r="F478" t="s">
        <v>2250</v>
      </c>
      <c r="G478" t="s">
        <v>21</v>
      </c>
      <c r="H478" t="s">
        <v>4826</v>
      </c>
      <c r="I478" t="s">
        <v>4935</v>
      </c>
      <c r="J478" s="4" t="s">
        <v>4936</v>
      </c>
      <c r="K478" s="4" t="s">
        <v>4957</v>
      </c>
      <c r="L478" s="4" t="s">
        <v>4963</v>
      </c>
      <c r="M478" s="4" t="s">
        <v>5035</v>
      </c>
      <c r="N478" t="s">
        <v>15</v>
      </c>
      <c r="O478" t="s">
        <v>2251</v>
      </c>
      <c r="P478" t="s">
        <v>23</v>
      </c>
      <c r="Q478" t="s">
        <v>24</v>
      </c>
      <c r="R478" t="s">
        <v>25</v>
      </c>
      <c r="S478" t="s">
        <v>26</v>
      </c>
      <c r="T478" s="6">
        <v>46307</v>
      </c>
      <c r="U478">
        <v>36</v>
      </c>
      <c r="V478">
        <v>36</v>
      </c>
      <c r="W478">
        <v>36</v>
      </c>
      <c r="X478">
        <v>36</v>
      </c>
      <c r="Y478">
        <f t="shared" si="82"/>
        <v>0</v>
      </c>
      <c r="Z478">
        <f t="shared" si="83"/>
        <v>0</v>
      </c>
      <c r="AC478" s="1">
        <v>0</v>
      </c>
      <c r="AF478">
        <f>V478</f>
        <v>36</v>
      </c>
      <c r="AG478" s="41">
        <v>12</v>
      </c>
      <c r="AH478">
        <f t="shared" si="84"/>
        <v>36</v>
      </c>
      <c r="AI478">
        <f t="shared" si="85"/>
        <v>0</v>
      </c>
      <c r="AK478">
        <f t="shared" si="86"/>
        <v>3</v>
      </c>
      <c r="AL478">
        <v>11.27</v>
      </c>
      <c r="AM478" t="s">
        <v>27</v>
      </c>
      <c r="AN478">
        <v>11.27</v>
      </c>
      <c r="AO478" t="b">
        <f t="shared" si="87"/>
        <v>1</v>
      </c>
      <c r="AR478" t="s">
        <v>5061</v>
      </c>
      <c r="AS478" s="21">
        <v>46276</v>
      </c>
      <c r="AT478" t="s">
        <v>5062</v>
      </c>
      <c r="AU478" t="s">
        <v>5071</v>
      </c>
      <c r="AV478" t="s">
        <v>5062</v>
      </c>
      <c r="AW478" t="s">
        <v>5086</v>
      </c>
    </row>
    <row r="479" spans="1:49" hidden="1" x14ac:dyDescent="0.35">
      <c r="A479" t="s">
        <v>871</v>
      </c>
      <c r="B479" t="s">
        <v>872</v>
      </c>
      <c r="C479" t="s">
        <v>4818</v>
      </c>
      <c r="D479" t="s">
        <v>18</v>
      </c>
      <c r="E479" t="s">
        <v>2252</v>
      </c>
      <c r="F479" t="s">
        <v>2253</v>
      </c>
      <c r="G479" t="s">
        <v>21</v>
      </c>
      <c r="H479" t="s">
        <v>4826</v>
      </c>
      <c r="I479" t="s">
        <v>4935</v>
      </c>
      <c r="J479" s="4" t="s">
        <v>4936</v>
      </c>
      <c r="K479" s="4" t="s">
        <v>4945</v>
      </c>
      <c r="L479" s="4" t="s">
        <v>4959</v>
      </c>
      <c r="M479" s="4" t="s">
        <v>5035</v>
      </c>
      <c r="N479" t="s">
        <v>15</v>
      </c>
      <c r="O479" t="s">
        <v>2254</v>
      </c>
      <c r="P479" t="s">
        <v>23</v>
      </c>
      <c r="Q479" t="s">
        <v>24</v>
      </c>
      <c r="R479" t="s">
        <v>25</v>
      </c>
      <c r="S479" t="s">
        <v>26</v>
      </c>
      <c r="T479" s="6">
        <v>46307</v>
      </c>
      <c r="U479">
        <v>24</v>
      </c>
      <c r="V479">
        <v>24</v>
      </c>
      <c r="W479">
        <v>24</v>
      </c>
      <c r="X479">
        <v>24</v>
      </c>
      <c r="Y479">
        <f t="shared" si="82"/>
        <v>0</v>
      </c>
      <c r="Z479">
        <f t="shared" si="83"/>
        <v>0</v>
      </c>
      <c r="AC479" s="1">
        <v>0</v>
      </c>
      <c r="AF479">
        <f>V479</f>
        <v>24</v>
      </c>
      <c r="AG479" s="41">
        <v>12</v>
      </c>
      <c r="AH479">
        <f t="shared" si="84"/>
        <v>24</v>
      </c>
      <c r="AI479">
        <f t="shared" si="85"/>
        <v>0</v>
      </c>
      <c r="AK479">
        <f t="shared" si="86"/>
        <v>2</v>
      </c>
      <c r="AL479">
        <v>11.16</v>
      </c>
      <c r="AM479" t="s">
        <v>27</v>
      </c>
      <c r="AN479">
        <v>11.16</v>
      </c>
      <c r="AO479" t="b">
        <f t="shared" si="87"/>
        <v>1</v>
      </c>
      <c r="AR479" t="s">
        <v>5061</v>
      </c>
      <c r="AS479" s="21">
        <v>46276</v>
      </c>
      <c r="AT479" t="s">
        <v>5062</v>
      </c>
      <c r="AU479" t="s">
        <v>5071</v>
      </c>
      <c r="AV479" t="s">
        <v>5062</v>
      </c>
      <c r="AW479" t="s">
        <v>5086</v>
      </c>
    </row>
    <row r="480" spans="1:49" hidden="1" x14ac:dyDescent="0.35">
      <c r="A480" t="s">
        <v>871</v>
      </c>
      <c r="B480" t="s">
        <v>872</v>
      </c>
      <c r="C480" t="s">
        <v>4818</v>
      </c>
      <c r="D480" t="s">
        <v>18</v>
      </c>
      <c r="E480" t="s">
        <v>2255</v>
      </c>
      <c r="F480" t="s">
        <v>2256</v>
      </c>
      <c r="G480" t="s">
        <v>21</v>
      </c>
      <c r="H480" t="s">
        <v>4826</v>
      </c>
      <c r="I480" t="s">
        <v>4935</v>
      </c>
      <c r="J480" s="4" t="s">
        <v>4936</v>
      </c>
      <c r="K480" s="4" t="s">
        <v>4837</v>
      </c>
      <c r="L480" s="4" t="s">
        <v>4973</v>
      </c>
      <c r="M480" s="4" t="s">
        <v>5035</v>
      </c>
      <c r="N480" t="s">
        <v>15</v>
      </c>
      <c r="O480" t="s">
        <v>2257</v>
      </c>
      <c r="P480" t="s">
        <v>23</v>
      </c>
      <c r="Q480" t="s">
        <v>24</v>
      </c>
      <c r="R480" t="s">
        <v>25</v>
      </c>
      <c r="S480" t="s">
        <v>26</v>
      </c>
      <c r="T480" s="6">
        <v>46307</v>
      </c>
      <c r="U480">
        <v>36</v>
      </c>
      <c r="V480">
        <v>36</v>
      </c>
      <c r="W480">
        <v>36</v>
      </c>
      <c r="X480">
        <v>36</v>
      </c>
      <c r="Y480">
        <f t="shared" si="82"/>
        <v>0</v>
      </c>
      <c r="Z480">
        <f t="shared" si="83"/>
        <v>0</v>
      </c>
      <c r="AC480" s="1">
        <v>0</v>
      </c>
      <c r="AF480">
        <f>V480</f>
        <v>36</v>
      </c>
      <c r="AG480" s="41">
        <v>12</v>
      </c>
      <c r="AH480">
        <f t="shared" si="84"/>
        <v>36</v>
      </c>
      <c r="AI480">
        <f t="shared" si="85"/>
        <v>0</v>
      </c>
      <c r="AK480">
        <f t="shared" si="86"/>
        <v>3</v>
      </c>
      <c r="AL480">
        <v>11.16</v>
      </c>
      <c r="AM480" t="s">
        <v>27</v>
      </c>
      <c r="AN480">
        <v>11.16</v>
      </c>
      <c r="AO480" t="b">
        <f t="shared" si="87"/>
        <v>1</v>
      </c>
      <c r="AR480" t="s">
        <v>5061</v>
      </c>
      <c r="AS480" s="21">
        <v>46276</v>
      </c>
      <c r="AT480" t="s">
        <v>5062</v>
      </c>
      <c r="AU480" t="s">
        <v>5071</v>
      </c>
      <c r="AV480" t="s">
        <v>5062</v>
      </c>
      <c r="AW480" t="s">
        <v>5086</v>
      </c>
    </row>
    <row r="481" spans="1:49" hidden="1" x14ac:dyDescent="0.35">
      <c r="A481" t="s">
        <v>871</v>
      </c>
      <c r="B481" t="s">
        <v>872</v>
      </c>
      <c r="C481" t="s">
        <v>4818</v>
      </c>
      <c r="D481" t="s">
        <v>18</v>
      </c>
      <c r="E481" t="s">
        <v>2258</v>
      </c>
      <c r="F481" t="s">
        <v>2259</v>
      </c>
      <c r="G481" t="s">
        <v>21</v>
      </c>
      <c r="H481" t="s">
        <v>4826</v>
      </c>
      <c r="I481" t="s">
        <v>4935</v>
      </c>
      <c r="J481" s="4" t="s">
        <v>4936</v>
      </c>
      <c r="K481" s="4" t="s">
        <v>4837</v>
      </c>
      <c r="L481" s="4" t="s">
        <v>4938</v>
      </c>
      <c r="M481" s="4" t="s">
        <v>5035</v>
      </c>
      <c r="N481" t="s">
        <v>15</v>
      </c>
      <c r="O481" t="s">
        <v>2260</v>
      </c>
      <c r="P481" t="s">
        <v>23</v>
      </c>
      <c r="Q481" t="s">
        <v>24</v>
      </c>
      <c r="R481" t="s">
        <v>25</v>
      </c>
      <c r="S481" t="s">
        <v>26</v>
      </c>
      <c r="T481" s="6">
        <v>46307</v>
      </c>
      <c r="U481">
        <v>264</v>
      </c>
      <c r="V481">
        <v>264</v>
      </c>
      <c r="W481">
        <v>288</v>
      </c>
      <c r="X481">
        <v>288</v>
      </c>
      <c r="Y481">
        <f t="shared" si="82"/>
        <v>0</v>
      </c>
      <c r="Z481">
        <f t="shared" si="83"/>
        <v>-24</v>
      </c>
      <c r="AC481" s="1">
        <v>0</v>
      </c>
      <c r="AF481">
        <f>V481</f>
        <v>264</v>
      </c>
      <c r="AG481" s="41">
        <v>12</v>
      </c>
      <c r="AH481">
        <f t="shared" si="84"/>
        <v>264</v>
      </c>
      <c r="AI481">
        <f t="shared" si="85"/>
        <v>0</v>
      </c>
      <c r="AK481">
        <f t="shared" si="86"/>
        <v>22</v>
      </c>
      <c r="AL481">
        <v>11.16</v>
      </c>
      <c r="AM481" t="s">
        <v>27</v>
      </c>
      <c r="AN481">
        <v>11.16</v>
      </c>
      <c r="AO481" t="b">
        <f t="shared" si="87"/>
        <v>1</v>
      </c>
      <c r="AR481" t="s">
        <v>5061</v>
      </c>
      <c r="AS481" s="21">
        <v>46276</v>
      </c>
      <c r="AT481" t="s">
        <v>5062</v>
      </c>
      <c r="AU481" t="s">
        <v>5071</v>
      </c>
      <c r="AV481" t="s">
        <v>5062</v>
      </c>
      <c r="AW481" t="s">
        <v>5086</v>
      </c>
    </row>
    <row r="482" spans="1:49" hidden="1" x14ac:dyDescent="0.35">
      <c r="A482" t="s">
        <v>871</v>
      </c>
      <c r="B482" t="s">
        <v>872</v>
      </c>
      <c r="C482" t="s">
        <v>4818</v>
      </c>
      <c r="D482" t="s">
        <v>18</v>
      </c>
      <c r="E482" t="s">
        <v>2261</v>
      </c>
      <c r="F482" t="s">
        <v>2262</v>
      </c>
      <c r="G482" t="s">
        <v>21</v>
      </c>
      <c r="H482" t="s">
        <v>4826</v>
      </c>
      <c r="I482" t="s">
        <v>4935</v>
      </c>
      <c r="J482" s="4" t="s">
        <v>4936</v>
      </c>
      <c r="K482" s="4" t="s">
        <v>4837</v>
      </c>
      <c r="L482" s="4" t="s">
        <v>4960</v>
      </c>
      <c r="M482" s="4" t="s">
        <v>5035</v>
      </c>
      <c r="N482" t="s">
        <v>15</v>
      </c>
      <c r="O482" t="s">
        <v>2263</v>
      </c>
      <c r="P482" t="s">
        <v>23</v>
      </c>
      <c r="Q482" t="s">
        <v>24</v>
      </c>
      <c r="R482" t="s">
        <v>25</v>
      </c>
      <c r="S482" t="s">
        <v>26</v>
      </c>
      <c r="T482" s="6">
        <v>46307</v>
      </c>
      <c r="U482">
        <v>324</v>
      </c>
      <c r="V482">
        <v>324</v>
      </c>
      <c r="W482">
        <v>288</v>
      </c>
      <c r="X482">
        <v>288</v>
      </c>
      <c r="Y482">
        <f t="shared" si="82"/>
        <v>0</v>
      </c>
      <c r="Z482">
        <f t="shared" si="83"/>
        <v>36</v>
      </c>
      <c r="AA482">
        <f>Z482</f>
        <v>36</v>
      </c>
      <c r="AC482" s="1">
        <v>0</v>
      </c>
      <c r="AF482">
        <f>X482</f>
        <v>288</v>
      </c>
      <c r="AG482" s="41">
        <v>12</v>
      </c>
      <c r="AH482">
        <f t="shared" si="84"/>
        <v>288</v>
      </c>
      <c r="AI482">
        <f t="shared" si="85"/>
        <v>36</v>
      </c>
      <c r="AK482">
        <f t="shared" si="86"/>
        <v>24</v>
      </c>
      <c r="AL482">
        <v>11.16</v>
      </c>
      <c r="AM482" t="s">
        <v>27</v>
      </c>
      <c r="AN482">
        <v>11.16</v>
      </c>
      <c r="AO482" t="b">
        <f t="shared" si="87"/>
        <v>1</v>
      </c>
      <c r="AR482" t="s">
        <v>5061</v>
      </c>
      <c r="AS482" s="21">
        <v>46276</v>
      </c>
      <c r="AT482" t="s">
        <v>5062</v>
      </c>
      <c r="AU482" t="s">
        <v>5071</v>
      </c>
      <c r="AV482" t="s">
        <v>5062</v>
      </c>
      <c r="AW482" t="s">
        <v>5086</v>
      </c>
    </row>
    <row r="483" spans="1:49" hidden="1" x14ac:dyDescent="0.35">
      <c r="A483" t="s">
        <v>871</v>
      </c>
      <c r="B483" t="s">
        <v>872</v>
      </c>
      <c r="C483" t="s">
        <v>4818</v>
      </c>
      <c r="D483" t="s">
        <v>18</v>
      </c>
      <c r="E483" t="s">
        <v>2264</v>
      </c>
      <c r="F483" t="s">
        <v>2265</v>
      </c>
      <c r="G483" t="s">
        <v>21</v>
      </c>
      <c r="H483" t="s">
        <v>4826</v>
      </c>
      <c r="I483" t="s">
        <v>4976</v>
      </c>
      <c r="J483" s="4" t="s">
        <v>4977</v>
      </c>
      <c r="K483" s="4" t="s">
        <v>4957</v>
      </c>
      <c r="L483" s="4" t="s">
        <v>4951</v>
      </c>
      <c r="M483" s="4" t="s">
        <v>5035</v>
      </c>
      <c r="N483" t="s">
        <v>15</v>
      </c>
      <c r="O483" t="s">
        <v>2266</v>
      </c>
      <c r="P483" t="s">
        <v>23</v>
      </c>
      <c r="Q483" t="s">
        <v>24</v>
      </c>
      <c r="R483" t="s">
        <v>25</v>
      </c>
      <c r="S483" t="s">
        <v>26</v>
      </c>
      <c r="T483" s="6">
        <v>46307</v>
      </c>
      <c r="U483">
        <v>168</v>
      </c>
      <c r="V483">
        <v>168</v>
      </c>
      <c r="W483">
        <v>180</v>
      </c>
      <c r="X483">
        <v>180</v>
      </c>
      <c r="Y483">
        <f t="shared" si="82"/>
        <v>0</v>
      </c>
      <c r="Z483">
        <f t="shared" si="83"/>
        <v>-12</v>
      </c>
      <c r="AC483" s="1">
        <v>0</v>
      </c>
      <c r="AF483">
        <f t="shared" ref="AF483:AF514" si="90">V483</f>
        <v>168</v>
      </c>
      <c r="AG483" s="41">
        <v>12</v>
      </c>
      <c r="AH483">
        <f t="shared" si="84"/>
        <v>168</v>
      </c>
      <c r="AI483">
        <f t="shared" si="85"/>
        <v>0</v>
      </c>
      <c r="AK483">
        <f t="shared" si="86"/>
        <v>14</v>
      </c>
      <c r="AL483">
        <v>13.85</v>
      </c>
      <c r="AM483" t="s">
        <v>27</v>
      </c>
      <c r="AN483">
        <v>13.85</v>
      </c>
      <c r="AO483" t="b">
        <f t="shared" si="87"/>
        <v>1</v>
      </c>
      <c r="AR483" t="s">
        <v>5061</v>
      </c>
      <c r="AS483" s="21">
        <v>46276</v>
      </c>
      <c r="AT483" t="s">
        <v>5062</v>
      </c>
      <c r="AU483" t="s">
        <v>5072</v>
      </c>
      <c r="AV483" t="s">
        <v>5062</v>
      </c>
      <c r="AW483" t="s">
        <v>5086</v>
      </c>
    </row>
    <row r="484" spans="1:49" hidden="1" x14ac:dyDescent="0.35">
      <c r="A484" t="s">
        <v>871</v>
      </c>
      <c r="B484" t="s">
        <v>872</v>
      </c>
      <c r="C484" t="s">
        <v>4818</v>
      </c>
      <c r="D484" t="s">
        <v>18</v>
      </c>
      <c r="E484" t="s">
        <v>2267</v>
      </c>
      <c r="F484" t="s">
        <v>2268</v>
      </c>
      <c r="G484" t="s">
        <v>21</v>
      </c>
      <c r="H484" t="s">
        <v>4826</v>
      </c>
      <c r="I484" t="s">
        <v>4976</v>
      </c>
      <c r="J484" s="4" t="s">
        <v>4977</v>
      </c>
      <c r="K484" s="4" t="s">
        <v>4837</v>
      </c>
      <c r="L484" s="4" t="s">
        <v>4946</v>
      </c>
      <c r="M484" s="4" t="s">
        <v>5035</v>
      </c>
      <c r="N484" t="s">
        <v>15</v>
      </c>
      <c r="O484" t="s">
        <v>2269</v>
      </c>
      <c r="P484" t="s">
        <v>23</v>
      </c>
      <c r="Q484" t="s">
        <v>24</v>
      </c>
      <c r="R484" t="s">
        <v>25</v>
      </c>
      <c r="S484" t="s">
        <v>26</v>
      </c>
      <c r="T484" s="6">
        <v>46307</v>
      </c>
      <c r="U484">
        <v>72</v>
      </c>
      <c r="V484">
        <v>72</v>
      </c>
      <c r="W484">
        <v>84</v>
      </c>
      <c r="X484">
        <v>84</v>
      </c>
      <c r="Y484">
        <f t="shared" si="82"/>
        <v>0</v>
      </c>
      <c r="Z484">
        <f t="shared" si="83"/>
        <v>-12</v>
      </c>
      <c r="AC484" s="1">
        <v>0</v>
      </c>
      <c r="AF484">
        <f t="shared" si="90"/>
        <v>72</v>
      </c>
      <c r="AG484" s="41">
        <v>12</v>
      </c>
      <c r="AH484">
        <f t="shared" si="84"/>
        <v>72</v>
      </c>
      <c r="AI484">
        <f t="shared" si="85"/>
        <v>0</v>
      </c>
      <c r="AK484">
        <f t="shared" si="86"/>
        <v>6</v>
      </c>
      <c r="AL484">
        <v>13.85</v>
      </c>
      <c r="AM484" t="s">
        <v>27</v>
      </c>
      <c r="AN484">
        <v>13.85</v>
      </c>
      <c r="AO484" t="b">
        <f t="shared" si="87"/>
        <v>1</v>
      </c>
      <c r="AR484" t="s">
        <v>5061</v>
      </c>
      <c r="AS484" s="21">
        <v>46276</v>
      </c>
      <c r="AT484" t="s">
        <v>5062</v>
      </c>
      <c r="AU484" t="s">
        <v>5072</v>
      </c>
      <c r="AV484" t="s">
        <v>5062</v>
      </c>
      <c r="AW484" t="s">
        <v>5086</v>
      </c>
    </row>
    <row r="485" spans="1:49" hidden="1" x14ac:dyDescent="0.35">
      <c r="A485" t="s">
        <v>871</v>
      </c>
      <c r="B485" t="s">
        <v>872</v>
      </c>
      <c r="C485" t="s">
        <v>4818</v>
      </c>
      <c r="D485" t="s">
        <v>18</v>
      </c>
      <c r="E485" t="s">
        <v>2270</v>
      </c>
      <c r="F485" t="s">
        <v>2271</v>
      </c>
      <c r="G485" t="s">
        <v>21</v>
      </c>
      <c r="H485" t="s">
        <v>4826</v>
      </c>
      <c r="I485" t="s">
        <v>4976</v>
      </c>
      <c r="J485" s="4" t="s">
        <v>4977</v>
      </c>
      <c r="K485" s="4" t="s">
        <v>4837</v>
      </c>
      <c r="L485" s="4" t="s">
        <v>4972</v>
      </c>
      <c r="M485" s="4" t="s">
        <v>5035</v>
      </c>
      <c r="N485" t="s">
        <v>15</v>
      </c>
      <c r="O485" t="s">
        <v>2272</v>
      </c>
      <c r="P485" t="s">
        <v>23</v>
      </c>
      <c r="Q485" t="s">
        <v>24</v>
      </c>
      <c r="R485" t="s">
        <v>25</v>
      </c>
      <c r="S485" t="s">
        <v>26</v>
      </c>
      <c r="T485" s="6">
        <v>46307</v>
      </c>
      <c r="U485">
        <v>252</v>
      </c>
      <c r="V485">
        <v>252</v>
      </c>
      <c r="W485">
        <v>276</v>
      </c>
      <c r="X485">
        <v>276</v>
      </c>
      <c r="Y485">
        <f t="shared" si="82"/>
        <v>0</v>
      </c>
      <c r="Z485">
        <f t="shared" si="83"/>
        <v>-24</v>
      </c>
      <c r="AC485" s="1">
        <v>0</v>
      </c>
      <c r="AF485">
        <f t="shared" si="90"/>
        <v>252</v>
      </c>
      <c r="AG485" s="41">
        <v>12</v>
      </c>
      <c r="AH485">
        <f t="shared" si="84"/>
        <v>252</v>
      </c>
      <c r="AI485">
        <f t="shared" si="85"/>
        <v>0</v>
      </c>
      <c r="AK485">
        <f t="shared" si="86"/>
        <v>21</v>
      </c>
      <c r="AL485">
        <v>13.85</v>
      </c>
      <c r="AM485" t="s">
        <v>27</v>
      </c>
      <c r="AN485">
        <v>13.85</v>
      </c>
      <c r="AO485" t="b">
        <f t="shared" si="87"/>
        <v>1</v>
      </c>
      <c r="AR485" t="s">
        <v>5061</v>
      </c>
      <c r="AS485" s="21">
        <v>46276</v>
      </c>
      <c r="AT485" t="s">
        <v>5062</v>
      </c>
      <c r="AU485" t="s">
        <v>5072</v>
      </c>
      <c r="AV485" t="s">
        <v>5062</v>
      </c>
      <c r="AW485" t="s">
        <v>5086</v>
      </c>
    </row>
    <row r="486" spans="1:49" hidden="1" x14ac:dyDescent="0.35">
      <c r="A486" t="s">
        <v>871</v>
      </c>
      <c r="B486" t="s">
        <v>872</v>
      </c>
      <c r="C486" t="s">
        <v>4818</v>
      </c>
      <c r="D486" t="s">
        <v>18</v>
      </c>
      <c r="E486" t="s">
        <v>2273</v>
      </c>
      <c r="F486" t="s">
        <v>2274</v>
      </c>
      <c r="G486" t="s">
        <v>21</v>
      </c>
      <c r="H486" t="s">
        <v>4826</v>
      </c>
      <c r="I486" t="s">
        <v>4976</v>
      </c>
      <c r="J486" s="4" t="s">
        <v>4977</v>
      </c>
      <c r="K486" s="4" t="s">
        <v>4957</v>
      </c>
      <c r="L486" s="4" t="s">
        <v>4966</v>
      </c>
      <c r="M486" s="4" t="s">
        <v>5035</v>
      </c>
      <c r="N486" t="s">
        <v>15</v>
      </c>
      <c r="O486" t="s">
        <v>2275</v>
      </c>
      <c r="P486" t="s">
        <v>23</v>
      </c>
      <c r="Q486" t="s">
        <v>24</v>
      </c>
      <c r="R486" t="s">
        <v>25</v>
      </c>
      <c r="S486" t="s">
        <v>26</v>
      </c>
      <c r="T486" s="6">
        <v>46307</v>
      </c>
      <c r="U486">
        <v>96</v>
      </c>
      <c r="V486">
        <v>96</v>
      </c>
      <c r="W486">
        <v>108</v>
      </c>
      <c r="X486">
        <v>108</v>
      </c>
      <c r="Y486">
        <f t="shared" si="82"/>
        <v>0</v>
      </c>
      <c r="Z486">
        <f t="shared" si="83"/>
        <v>-12</v>
      </c>
      <c r="AC486" s="1">
        <v>0</v>
      </c>
      <c r="AF486">
        <f t="shared" si="90"/>
        <v>96</v>
      </c>
      <c r="AG486" s="41">
        <v>12</v>
      </c>
      <c r="AH486">
        <f t="shared" si="84"/>
        <v>96</v>
      </c>
      <c r="AI486">
        <f t="shared" si="85"/>
        <v>0</v>
      </c>
      <c r="AK486">
        <f t="shared" si="86"/>
        <v>8</v>
      </c>
      <c r="AL486">
        <v>13.85</v>
      </c>
      <c r="AM486" t="s">
        <v>27</v>
      </c>
      <c r="AN486">
        <v>13.85</v>
      </c>
      <c r="AO486" t="b">
        <f t="shared" si="87"/>
        <v>1</v>
      </c>
      <c r="AR486" t="s">
        <v>5061</v>
      </c>
      <c r="AS486" s="21">
        <v>46276</v>
      </c>
      <c r="AT486" t="s">
        <v>5062</v>
      </c>
      <c r="AU486" t="s">
        <v>5072</v>
      </c>
      <c r="AV486" t="s">
        <v>5062</v>
      </c>
      <c r="AW486" t="s">
        <v>5086</v>
      </c>
    </row>
    <row r="487" spans="1:49" hidden="1" x14ac:dyDescent="0.35">
      <c r="A487" t="s">
        <v>871</v>
      </c>
      <c r="B487" t="s">
        <v>872</v>
      </c>
      <c r="C487" t="s">
        <v>4818</v>
      </c>
      <c r="D487" t="s">
        <v>18</v>
      </c>
      <c r="E487" t="s">
        <v>2276</v>
      </c>
      <c r="F487" t="s">
        <v>2277</v>
      </c>
      <c r="G487" t="s">
        <v>21</v>
      </c>
      <c r="H487" t="s">
        <v>4826</v>
      </c>
      <c r="I487" t="s">
        <v>4976</v>
      </c>
      <c r="J487" s="4" t="s">
        <v>4977</v>
      </c>
      <c r="K487" s="4" t="s">
        <v>4957</v>
      </c>
      <c r="L487" s="4" t="s">
        <v>4944</v>
      </c>
      <c r="M487" s="4" t="s">
        <v>5035</v>
      </c>
      <c r="N487" t="s">
        <v>15</v>
      </c>
      <c r="O487" t="s">
        <v>2278</v>
      </c>
      <c r="P487" t="s">
        <v>23</v>
      </c>
      <c r="Q487" t="s">
        <v>24</v>
      </c>
      <c r="R487" t="s">
        <v>25</v>
      </c>
      <c r="S487" t="s">
        <v>26</v>
      </c>
      <c r="T487" s="6">
        <v>46307</v>
      </c>
      <c r="U487">
        <v>144</v>
      </c>
      <c r="V487">
        <v>144</v>
      </c>
      <c r="W487">
        <v>156</v>
      </c>
      <c r="X487">
        <v>156</v>
      </c>
      <c r="Y487">
        <f t="shared" si="82"/>
        <v>0</v>
      </c>
      <c r="Z487">
        <f t="shared" si="83"/>
        <v>-12</v>
      </c>
      <c r="AC487" s="1">
        <v>0</v>
      </c>
      <c r="AF487">
        <f t="shared" si="90"/>
        <v>144</v>
      </c>
      <c r="AG487" s="41">
        <v>12</v>
      </c>
      <c r="AH487">
        <f t="shared" si="84"/>
        <v>144</v>
      </c>
      <c r="AI487">
        <f t="shared" si="85"/>
        <v>0</v>
      </c>
      <c r="AK487">
        <f t="shared" si="86"/>
        <v>12</v>
      </c>
      <c r="AL487">
        <v>13.85</v>
      </c>
      <c r="AM487" t="s">
        <v>27</v>
      </c>
      <c r="AN487">
        <v>13.85</v>
      </c>
      <c r="AO487" t="b">
        <f t="shared" si="87"/>
        <v>1</v>
      </c>
      <c r="AR487" t="s">
        <v>5061</v>
      </c>
      <c r="AS487" s="21">
        <v>46276</v>
      </c>
      <c r="AT487" t="s">
        <v>5062</v>
      </c>
      <c r="AU487" t="s">
        <v>5072</v>
      </c>
      <c r="AV487" t="s">
        <v>5062</v>
      </c>
      <c r="AW487" t="s">
        <v>5086</v>
      </c>
    </row>
    <row r="488" spans="1:49" hidden="1" x14ac:dyDescent="0.35">
      <c r="A488" t="s">
        <v>871</v>
      </c>
      <c r="B488" t="s">
        <v>872</v>
      </c>
      <c r="C488" t="s">
        <v>4818</v>
      </c>
      <c r="D488" t="s">
        <v>18</v>
      </c>
      <c r="E488" t="s">
        <v>2279</v>
      </c>
      <c r="F488" t="s">
        <v>2280</v>
      </c>
      <c r="G488" t="s">
        <v>21</v>
      </c>
      <c r="H488" t="s">
        <v>4826</v>
      </c>
      <c r="I488" t="s">
        <v>4976</v>
      </c>
      <c r="J488" s="4" t="s">
        <v>4977</v>
      </c>
      <c r="K488" s="4" t="s">
        <v>4832</v>
      </c>
      <c r="L488" s="4" t="s">
        <v>4940</v>
      </c>
      <c r="M488" s="4" t="s">
        <v>5035</v>
      </c>
      <c r="N488" t="s">
        <v>15</v>
      </c>
      <c r="O488" t="s">
        <v>2281</v>
      </c>
      <c r="P488" t="s">
        <v>23</v>
      </c>
      <c r="Q488" t="s">
        <v>24</v>
      </c>
      <c r="R488" t="s">
        <v>25</v>
      </c>
      <c r="S488" t="s">
        <v>26</v>
      </c>
      <c r="T488" s="6">
        <v>46307</v>
      </c>
      <c r="U488">
        <v>156</v>
      </c>
      <c r="V488">
        <v>156</v>
      </c>
      <c r="W488">
        <v>168</v>
      </c>
      <c r="X488">
        <v>168</v>
      </c>
      <c r="Y488">
        <f t="shared" si="82"/>
        <v>0</v>
      </c>
      <c r="Z488">
        <f t="shared" si="83"/>
        <v>-12</v>
      </c>
      <c r="AC488" s="1">
        <v>0</v>
      </c>
      <c r="AF488">
        <f t="shared" si="90"/>
        <v>156</v>
      </c>
      <c r="AG488" s="41">
        <v>12</v>
      </c>
      <c r="AH488">
        <f t="shared" si="84"/>
        <v>156</v>
      </c>
      <c r="AI488">
        <f t="shared" si="85"/>
        <v>0</v>
      </c>
      <c r="AK488">
        <f t="shared" si="86"/>
        <v>13</v>
      </c>
      <c r="AL488">
        <v>13.85</v>
      </c>
      <c r="AM488" t="s">
        <v>27</v>
      </c>
      <c r="AN488">
        <v>13.85</v>
      </c>
      <c r="AO488" t="b">
        <f t="shared" si="87"/>
        <v>1</v>
      </c>
      <c r="AR488" t="s">
        <v>5061</v>
      </c>
      <c r="AS488" s="21">
        <v>46276</v>
      </c>
      <c r="AT488" t="s">
        <v>5062</v>
      </c>
      <c r="AU488" t="s">
        <v>5072</v>
      </c>
      <c r="AV488" t="s">
        <v>5062</v>
      </c>
      <c r="AW488" t="s">
        <v>5086</v>
      </c>
    </row>
    <row r="489" spans="1:49" hidden="1" x14ac:dyDescent="0.35">
      <c r="A489" t="s">
        <v>871</v>
      </c>
      <c r="B489" t="s">
        <v>872</v>
      </c>
      <c r="C489" t="s">
        <v>4818</v>
      </c>
      <c r="D489" t="s">
        <v>18</v>
      </c>
      <c r="E489" t="s">
        <v>2282</v>
      </c>
      <c r="F489" t="s">
        <v>2283</v>
      </c>
      <c r="G489" t="s">
        <v>21</v>
      </c>
      <c r="H489" t="s">
        <v>4826</v>
      </c>
      <c r="I489" t="s">
        <v>4976</v>
      </c>
      <c r="J489" s="4" t="s">
        <v>4977</v>
      </c>
      <c r="K489" s="4" t="s">
        <v>4957</v>
      </c>
      <c r="L489" s="4" t="s">
        <v>4972</v>
      </c>
      <c r="M489" s="4" t="s">
        <v>5035</v>
      </c>
      <c r="N489" t="s">
        <v>15</v>
      </c>
      <c r="O489" t="s">
        <v>2284</v>
      </c>
      <c r="P489" t="s">
        <v>23</v>
      </c>
      <c r="Q489" t="s">
        <v>24</v>
      </c>
      <c r="R489" t="s">
        <v>25</v>
      </c>
      <c r="S489" t="s">
        <v>26</v>
      </c>
      <c r="T489" s="6">
        <v>46307</v>
      </c>
      <c r="U489">
        <v>84</v>
      </c>
      <c r="V489">
        <v>84</v>
      </c>
      <c r="W489">
        <v>96</v>
      </c>
      <c r="X489">
        <v>96</v>
      </c>
      <c r="Y489">
        <f t="shared" si="82"/>
        <v>0</v>
      </c>
      <c r="Z489">
        <f t="shared" si="83"/>
        <v>-12</v>
      </c>
      <c r="AC489" s="1">
        <v>0</v>
      </c>
      <c r="AF489">
        <f t="shared" si="90"/>
        <v>84</v>
      </c>
      <c r="AG489" s="41">
        <v>12</v>
      </c>
      <c r="AH489">
        <f t="shared" si="84"/>
        <v>84</v>
      </c>
      <c r="AI489">
        <f t="shared" si="85"/>
        <v>0</v>
      </c>
      <c r="AK489">
        <f t="shared" si="86"/>
        <v>7</v>
      </c>
      <c r="AL489">
        <v>13.85</v>
      </c>
      <c r="AM489" t="s">
        <v>27</v>
      </c>
      <c r="AN489">
        <v>13.85</v>
      </c>
      <c r="AO489" t="b">
        <f t="shared" si="87"/>
        <v>1</v>
      </c>
      <c r="AR489" t="s">
        <v>5061</v>
      </c>
      <c r="AS489" s="21">
        <v>46276</v>
      </c>
      <c r="AT489" t="s">
        <v>5062</v>
      </c>
      <c r="AU489" t="s">
        <v>5072</v>
      </c>
      <c r="AV489" t="s">
        <v>5062</v>
      </c>
      <c r="AW489" t="s">
        <v>5086</v>
      </c>
    </row>
    <row r="490" spans="1:49" hidden="1" x14ac:dyDescent="0.35">
      <c r="A490" t="s">
        <v>871</v>
      </c>
      <c r="B490" t="s">
        <v>872</v>
      </c>
      <c r="C490" t="s">
        <v>4818</v>
      </c>
      <c r="D490" t="s">
        <v>18</v>
      </c>
      <c r="E490" t="s">
        <v>2285</v>
      </c>
      <c r="F490" t="s">
        <v>2286</v>
      </c>
      <c r="G490" t="s">
        <v>21</v>
      </c>
      <c r="H490" t="s">
        <v>4826</v>
      </c>
      <c r="I490" t="s">
        <v>4976</v>
      </c>
      <c r="J490" s="4" t="s">
        <v>4977</v>
      </c>
      <c r="K490" s="4" t="s">
        <v>4832</v>
      </c>
      <c r="L490" s="4" t="s">
        <v>4966</v>
      </c>
      <c r="M490" s="4" t="s">
        <v>5035</v>
      </c>
      <c r="N490" t="s">
        <v>15</v>
      </c>
      <c r="O490" t="s">
        <v>2287</v>
      </c>
      <c r="P490" t="s">
        <v>23</v>
      </c>
      <c r="Q490" t="s">
        <v>24</v>
      </c>
      <c r="R490" t="s">
        <v>25</v>
      </c>
      <c r="S490" t="s">
        <v>26</v>
      </c>
      <c r="T490" s="6">
        <v>46307</v>
      </c>
      <c r="U490">
        <v>180</v>
      </c>
      <c r="V490">
        <v>180</v>
      </c>
      <c r="W490">
        <v>192</v>
      </c>
      <c r="X490">
        <v>192</v>
      </c>
      <c r="Y490">
        <f t="shared" si="82"/>
        <v>0</v>
      </c>
      <c r="Z490">
        <f t="shared" si="83"/>
        <v>-12</v>
      </c>
      <c r="AC490" s="1"/>
      <c r="AF490">
        <f t="shared" si="90"/>
        <v>180</v>
      </c>
      <c r="AG490" s="41">
        <v>12</v>
      </c>
      <c r="AH490">
        <f t="shared" si="84"/>
        <v>180</v>
      </c>
      <c r="AI490">
        <f t="shared" si="85"/>
        <v>0</v>
      </c>
      <c r="AK490">
        <f t="shared" si="86"/>
        <v>15</v>
      </c>
      <c r="AL490">
        <v>13.85</v>
      </c>
      <c r="AM490" t="s">
        <v>27</v>
      </c>
      <c r="AN490">
        <v>13.85</v>
      </c>
      <c r="AO490" t="b">
        <f t="shared" si="87"/>
        <v>1</v>
      </c>
      <c r="AR490" t="s">
        <v>5061</v>
      </c>
      <c r="AS490" s="21">
        <v>46276</v>
      </c>
      <c r="AT490" t="s">
        <v>5062</v>
      </c>
      <c r="AU490" t="s">
        <v>5072</v>
      </c>
      <c r="AV490" t="s">
        <v>5062</v>
      </c>
      <c r="AW490" t="s">
        <v>5086</v>
      </c>
    </row>
    <row r="491" spans="1:49" hidden="1" x14ac:dyDescent="0.35">
      <c r="A491" t="s">
        <v>871</v>
      </c>
      <c r="B491" t="s">
        <v>872</v>
      </c>
      <c r="C491" t="s">
        <v>4818</v>
      </c>
      <c r="D491" t="s">
        <v>18</v>
      </c>
      <c r="E491" t="s">
        <v>2288</v>
      </c>
      <c r="F491" t="s">
        <v>2289</v>
      </c>
      <c r="G491" t="s">
        <v>21</v>
      </c>
      <c r="H491" t="s">
        <v>4826</v>
      </c>
      <c r="I491" t="s">
        <v>4976</v>
      </c>
      <c r="J491" s="4" t="s">
        <v>4977</v>
      </c>
      <c r="K491" s="4" t="s">
        <v>4837</v>
      </c>
      <c r="L491" s="4" t="s">
        <v>4964</v>
      </c>
      <c r="M491" s="4" t="s">
        <v>5035</v>
      </c>
      <c r="N491" t="s">
        <v>15</v>
      </c>
      <c r="O491" t="s">
        <v>2290</v>
      </c>
      <c r="P491" t="s">
        <v>23</v>
      </c>
      <c r="Q491" t="s">
        <v>24</v>
      </c>
      <c r="R491" t="s">
        <v>25</v>
      </c>
      <c r="S491" t="s">
        <v>26</v>
      </c>
      <c r="T491" s="6">
        <v>46307</v>
      </c>
      <c r="U491">
        <v>36</v>
      </c>
      <c r="V491">
        <v>36</v>
      </c>
      <c r="W491">
        <v>36</v>
      </c>
      <c r="X491">
        <v>36</v>
      </c>
      <c r="Y491">
        <f t="shared" si="82"/>
        <v>0</v>
      </c>
      <c r="Z491">
        <f t="shared" si="83"/>
        <v>0</v>
      </c>
      <c r="AC491" s="1">
        <v>0</v>
      </c>
      <c r="AF491">
        <f t="shared" si="90"/>
        <v>36</v>
      </c>
      <c r="AG491" s="41">
        <v>12</v>
      </c>
      <c r="AH491">
        <f t="shared" si="84"/>
        <v>36</v>
      </c>
      <c r="AI491">
        <f t="shared" si="85"/>
        <v>0</v>
      </c>
      <c r="AK491">
        <f t="shared" si="86"/>
        <v>3</v>
      </c>
      <c r="AL491">
        <v>13.85</v>
      </c>
      <c r="AM491" t="s">
        <v>27</v>
      </c>
      <c r="AN491">
        <v>13.85</v>
      </c>
      <c r="AO491" t="b">
        <f t="shared" si="87"/>
        <v>1</v>
      </c>
      <c r="AR491" t="s">
        <v>5061</v>
      </c>
      <c r="AS491" s="21">
        <v>46276</v>
      </c>
      <c r="AT491" t="s">
        <v>5062</v>
      </c>
      <c r="AU491" t="s">
        <v>5072</v>
      </c>
      <c r="AV491" t="s">
        <v>5062</v>
      </c>
      <c r="AW491" t="s">
        <v>5086</v>
      </c>
    </row>
    <row r="492" spans="1:49" hidden="1" x14ac:dyDescent="0.35">
      <c r="A492" t="s">
        <v>871</v>
      </c>
      <c r="B492" t="s">
        <v>872</v>
      </c>
      <c r="C492" t="s">
        <v>4818</v>
      </c>
      <c r="D492" t="s">
        <v>18</v>
      </c>
      <c r="E492" t="s">
        <v>2291</v>
      </c>
      <c r="F492" t="s">
        <v>2292</v>
      </c>
      <c r="G492" t="s">
        <v>21</v>
      </c>
      <c r="H492" t="s">
        <v>4826</v>
      </c>
      <c r="I492" t="s">
        <v>4976</v>
      </c>
      <c r="J492" s="4" t="s">
        <v>4977</v>
      </c>
      <c r="K492" s="4" t="s">
        <v>4837</v>
      </c>
      <c r="L492" s="4" t="s">
        <v>4950</v>
      </c>
      <c r="M492" s="4" t="s">
        <v>5035</v>
      </c>
      <c r="N492" t="s">
        <v>15</v>
      </c>
      <c r="O492" t="s">
        <v>2293</v>
      </c>
      <c r="P492" t="s">
        <v>23</v>
      </c>
      <c r="Q492" t="s">
        <v>24</v>
      </c>
      <c r="R492" t="s">
        <v>25</v>
      </c>
      <c r="S492" t="s">
        <v>26</v>
      </c>
      <c r="T492" s="6">
        <v>46307</v>
      </c>
      <c r="U492">
        <v>276</v>
      </c>
      <c r="V492">
        <v>276</v>
      </c>
      <c r="W492">
        <v>300</v>
      </c>
      <c r="X492">
        <v>300</v>
      </c>
      <c r="Y492">
        <f t="shared" si="82"/>
        <v>0</v>
      </c>
      <c r="Z492">
        <f t="shared" si="83"/>
        <v>-24</v>
      </c>
      <c r="AC492" s="1">
        <v>0</v>
      </c>
      <c r="AF492">
        <f t="shared" si="90"/>
        <v>276</v>
      </c>
      <c r="AG492" s="41">
        <v>12</v>
      </c>
      <c r="AH492">
        <f t="shared" si="84"/>
        <v>276</v>
      </c>
      <c r="AI492">
        <f t="shared" si="85"/>
        <v>0</v>
      </c>
      <c r="AK492">
        <f t="shared" si="86"/>
        <v>23</v>
      </c>
      <c r="AL492">
        <v>13.85</v>
      </c>
      <c r="AM492" t="s">
        <v>27</v>
      </c>
      <c r="AN492">
        <v>13.85</v>
      </c>
      <c r="AO492" t="b">
        <f t="shared" si="87"/>
        <v>1</v>
      </c>
      <c r="AR492" t="s">
        <v>5061</v>
      </c>
      <c r="AS492" s="21">
        <v>46276</v>
      </c>
      <c r="AT492" t="s">
        <v>5062</v>
      </c>
      <c r="AU492" t="s">
        <v>5072</v>
      </c>
      <c r="AV492" t="s">
        <v>5062</v>
      </c>
      <c r="AW492" t="s">
        <v>5086</v>
      </c>
    </row>
    <row r="493" spans="1:49" hidden="1" x14ac:dyDescent="0.35">
      <c r="A493" t="s">
        <v>871</v>
      </c>
      <c r="B493" t="s">
        <v>872</v>
      </c>
      <c r="C493" t="s">
        <v>4818</v>
      </c>
      <c r="D493" t="s">
        <v>18</v>
      </c>
      <c r="E493" t="s">
        <v>2294</v>
      </c>
      <c r="F493" t="s">
        <v>2295</v>
      </c>
      <c r="G493" t="s">
        <v>21</v>
      </c>
      <c r="H493" t="s">
        <v>4826</v>
      </c>
      <c r="I493" t="s">
        <v>4976</v>
      </c>
      <c r="J493" s="4" t="s">
        <v>4977</v>
      </c>
      <c r="K493" s="4" t="s">
        <v>4832</v>
      </c>
      <c r="L493" s="4" t="s">
        <v>4955</v>
      </c>
      <c r="M493" s="4" t="s">
        <v>5035</v>
      </c>
      <c r="N493" t="s">
        <v>15</v>
      </c>
      <c r="O493" t="s">
        <v>2296</v>
      </c>
      <c r="P493" t="s">
        <v>23</v>
      </c>
      <c r="Q493" t="s">
        <v>24</v>
      </c>
      <c r="R493" t="s">
        <v>25</v>
      </c>
      <c r="S493" t="s">
        <v>26</v>
      </c>
      <c r="T493" s="6">
        <v>46307</v>
      </c>
      <c r="U493">
        <v>60</v>
      </c>
      <c r="V493">
        <v>60</v>
      </c>
      <c r="W493">
        <v>60</v>
      </c>
      <c r="X493">
        <v>60</v>
      </c>
      <c r="Y493">
        <f t="shared" si="82"/>
        <v>0</v>
      </c>
      <c r="Z493">
        <f t="shared" si="83"/>
        <v>0</v>
      </c>
      <c r="AC493" s="1">
        <v>0</v>
      </c>
      <c r="AF493">
        <f t="shared" si="90"/>
        <v>60</v>
      </c>
      <c r="AG493" s="41">
        <v>12</v>
      </c>
      <c r="AH493">
        <f t="shared" si="84"/>
        <v>60</v>
      </c>
      <c r="AI493">
        <f t="shared" si="85"/>
        <v>0</v>
      </c>
      <c r="AK493">
        <f t="shared" si="86"/>
        <v>5</v>
      </c>
      <c r="AL493">
        <v>13.85</v>
      </c>
      <c r="AM493" t="s">
        <v>27</v>
      </c>
      <c r="AN493">
        <v>13.85</v>
      </c>
      <c r="AO493" t="b">
        <f t="shared" si="87"/>
        <v>1</v>
      </c>
      <c r="AR493" t="s">
        <v>5061</v>
      </c>
      <c r="AS493" s="21">
        <v>46276</v>
      </c>
      <c r="AT493" t="s">
        <v>5062</v>
      </c>
      <c r="AU493" t="s">
        <v>5072</v>
      </c>
      <c r="AV493" t="s">
        <v>5062</v>
      </c>
      <c r="AW493" t="s">
        <v>5086</v>
      </c>
    </row>
    <row r="494" spans="1:49" hidden="1" x14ac:dyDescent="0.35">
      <c r="A494" t="s">
        <v>871</v>
      </c>
      <c r="B494" t="s">
        <v>872</v>
      </c>
      <c r="C494" t="s">
        <v>4818</v>
      </c>
      <c r="D494" t="s">
        <v>18</v>
      </c>
      <c r="E494" t="s">
        <v>2297</v>
      </c>
      <c r="F494" t="s">
        <v>2298</v>
      </c>
      <c r="G494" t="s">
        <v>21</v>
      </c>
      <c r="H494" t="s">
        <v>4826</v>
      </c>
      <c r="I494" t="s">
        <v>4976</v>
      </c>
      <c r="J494" s="4" t="s">
        <v>4977</v>
      </c>
      <c r="K494" s="4" t="s">
        <v>4832</v>
      </c>
      <c r="L494" s="4" t="s">
        <v>4956</v>
      </c>
      <c r="M494" s="4" t="s">
        <v>5035</v>
      </c>
      <c r="N494" t="s">
        <v>15</v>
      </c>
      <c r="O494" t="s">
        <v>2299</v>
      </c>
      <c r="P494" t="s">
        <v>23</v>
      </c>
      <c r="Q494" t="s">
        <v>24</v>
      </c>
      <c r="R494" t="s">
        <v>25</v>
      </c>
      <c r="S494" t="s">
        <v>26</v>
      </c>
      <c r="T494" s="6">
        <v>46307</v>
      </c>
      <c r="U494">
        <v>24</v>
      </c>
      <c r="V494">
        <v>24</v>
      </c>
      <c r="W494">
        <v>24</v>
      </c>
      <c r="X494">
        <v>24</v>
      </c>
      <c r="Y494">
        <f t="shared" si="82"/>
        <v>0</v>
      </c>
      <c r="Z494">
        <f t="shared" si="83"/>
        <v>0</v>
      </c>
      <c r="AC494" s="1">
        <v>0</v>
      </c>
      <c r="AF494">
        <f t="shared" si="90"/>
        <v>24</v>
      </c>
      <c r="AG494" s="41">
        <v>12</v>
      </c>
      <c r="AH494">
        <f t="shared" si="84"/>
        <v>24</v>
      </c>
      <c r="AI494">
        <f t="shared" si="85"/>
        <v>0</v>
      </c>
      <c r="AK494">
        <f t="shared" si="86"/>
        <v>2</v>
      </c>
      <c r="AL494">
        <v>13.85</v>
      </c>
      <c r="AM494" t="s">
        <v>27</v>
      </c>
      <c r="AN494">
        <v>13.85</v>
      </c>
      <c r="AO494" t="b">
        <f t="shared" si="87"/>
        <v>1</v>
      </c>
      <c r="AR494" t="s">
        <v>5061</v>
      </c>
      <c r="AS494" s="21">
        <v>46276</v>
      </c>
      <c r="AT494" t="s">
        <v>5062</v>
      </c>
      <c r="AU494" t="s">
        <v>5072</v>
      </c>
      <c r="AV494" t="s">
        <v>5062</v>
      </c>
      <c r="AW494" t="s">
        <v>5086</v>
      </c>
    </row>
    <row r="495" spans="1:49" hidden="1" x14ac:dyDescent="0.35">
      <c r="A495" t="s">
        <v>871</v>
      </c>
      <c r="B495" t="s">
        <v>872</v>
      </c>
      <c r="C495" t="s">
        <v>4818</v>
      </c>
      <c r="D495" t="s">
        <v>18</v>
      </c>
      <c r="E495" t="s">
        <v>2300</v>
      </c>
      <c r="F495" t="s">
        <v>2301</v>
      </c>
      <c r="G495" t="s">
        <v>21</v>
      </c>
      <c r="H495" t="s">
        <v>4826</v>
      </c>
      <c r="I495" t="s">
        <v>4976</v>
      </c>
      <c r="J495" s="4" t="s">
        <v>4977</v>
      </c>
      <c r="K495" s="4" t="s">
        <v>4837</v>
      </c>
      <c r="L495" s="4" t="s">
        <v>4975</v>
      </c>
      <c r="M495" s="4" t="s">
        <v>5035</v>
      </c>
      <c r="N495" t="s">
        <v>15</v>
      </c>
      <c r="O495" t="s">
        <v>2302</v>
      </c>
      <c r="P495" t="s">
        <v>23</v>
      </c>
      <c r="Q495" t="s">
        <v>24</v>
      </c>
      <c r="R495" t="s">
        <v>25</v>
      </c>
      <c r="S495" t="s">
        <v>26</v>
      </c>
      <c r="T495" s="6">
        <v>46307</v>
      </c>
      <c r="U495">
        <v>60</v>
      </c>
      <c r="V495">
        <v>60</v>
      </c>
      <c r="W495">
        <v>72</v>
      </c>
      <c r="X495">
        <v>72</v>
      </c>
      <c r="Y495">
        <f t="shared" si="82"/>
        <v>0</v>
      </c>
      <c r="Z495">
        <f t="shared" si="83"/>
        <v>-12</v>
      </c>
      <c r="AC495" s="1">
        <v>0</v>
      </c>
      <c r="AF495">
        <f t="shared" si="90"/>
        <v>60</v>
      </c>
      <c r="AG495" s="41">
        <v>12</v>
      </c>
      <c r="AH495">
        <f t="shared" si="84"/>
        <v>60</v>
      </c>
      <c r="AI495">
        <f t="shared" si="85"/>
        <v>0</v>
      </c>
      <c r="AK495">
        <f t="shared" si="86"/>
        <v>5</v>
      </c>
      <c r="AL495">
        <v>13.85</v>
      </c>
      <c r="AM495" t="s">
        <v>27</v>
      </c>
      <c r="AN495">
        <v>13.85</v>
      </c>
      <c r="AO495" t="b">
        <f t="shared" si="87"/>
        <v>1</v>
      </c>
      <c r="AR495" t="s">
        <v>5061</v>
      </c>
      <c r="AS495" s="21">
        <v>46276</v>
      </c>
      <c r="AT495" t="s">
        <v>5062</v>
      </c>
      <c r="AU495" t="s">
        <v>5072</v>
      </c>
      <c r="AV495" t="s">
        <v>5062</v>
      </c>
      <c r="AW495" t="s">
        <v>5086</v>
      </c>
    </row>
    <row r="496" spans="1:49" hidden="1" x14ac:dyDescent="0.35">
      <c r="A496" t="s">
        <v>871</v>
      </c>
      <c r="B496" t="s">
        <v>872</v>
      </c>
      <c r="C496" t="s">
        <v>4818</v>
      </c>
      <c r="D496" t="s">
        <v>18</v>
      </c>
      <c r="E496" t="s">
        <v>2303</v>
      </c>
      <c r="F496" t="s">
        <v>2304</v>
      </c>
      <c r="G496" t="s">
        <v>21</v>
      </c>
      <c r="H496" t="s">
        <v>4826</v>
      </c>
      <c r="I496" t="s">
        <v>4976</v>
      </c>
      <c r="J496" s="4" t="s">
        <v>4977</v>
      </c>
      <c r="K496" s="4" t="s">
        <v>4837</v>
      </c>
      <c r="L496" s="4" t="s">
        <v>4967</v>
      </c>
      <c r="M496" s="4" t="s">
        <v>5035</v>
      </c>
      <c r="N496" t="s">
        <v>15</v>
      </c>
      <c r="O496" t="s">
        <v>2305</v>
      </c>
      <c r="P496" t="s">
        <v>23</v>
      </c>
      <c r="Q496" t="s">
        <v>24</v>
      </c>
      <c r="R496" t="s">
        <v>25</v>
      </c>
      <c r="S496" t="s">
        <v>26</v>
      </c>
      <c r="T496" s="6">
        <v>46307</v>
      </c>
      <c r="U496">
        <v>24</v>
      </c>
      <c r="V496">
        <v>24</v>
      </c>
      <c r="W496">
        <v>24</v>
      </c>
      <c r="X496">
        <v>24</v>
      </c>
      <c r="Y496">
        <f t="shared" si="82"/>
        <v>0</v>
      </c>
      <c r="Z496">
        <f t="shared" si="83"/>
        <v>0</v>
      </c>
      <c r="AC496" s="1">
        <v>0</v>
      </c>
      <c r="AF496">
        <f t="shared" si="90"/>
        <v>24</v>
      </c>
      <c r="AG496" s="41">
        <v>12</v>
      </c>
      <c r="AH496">
        <f t="shared" si="84"/>
        <v>24</v>
      </c>
      <c r="AI496">
        <f t="shared" si="85"/>
        <v>0</v>
      </c>
      <c r="AK496">
        <f t="shared" si="86"/>
        <v>2</v>
      </c>
      <c r="AL496">
        <v>13.85</v>
      </c>
      <c r="AM496" t="s">
        <v>27</v>
      </c>
      <c r="AN496">
        <v>13.85</v>
      </c>
      <c r="AO496" t="b">
        <f t="shared" si="87"/>
        <v>1</v>
      </c>
      <c r="AR496" t="s">
        <v>5061</v>
      </c>
      <c r="AS496" s="21">
        <v>46276</v>
      </c>
      <c r="AT496" t="s">
        <v>5062</v>
      </c>
      <c r="AU496" t="s">
        <v>5072</v>
      </c>
      <c r="AV496" t="s">
        <v>5062</v>
      </c>
      <c r="AW496" t="s">
        <v>5086</v>
      </c>
    </row>
    <row r="497" spans="1:49" hidden="1" x14ac:dyDescent="0.35">
      <c r="A497" t="s">
        <v>871</v>
      </c>
      <c r="B497" t="s">
        <v>872</v>
      </c>
      <c r="C497" t="s">
        <v>4818</v>
      </c>
      <c r="D497" t="s">
        <v>18</v>
      </c>
      <c r="E497" t="s">
        <v>2306</v>
      </c>
      <c r="F497" t="s">
        <v>2307</v>
      </c>
      <c r="G497" t="s">
        <v>21</v>
      </c>
      <c r="H497" t="s">
        <v>4826</v>
      </c>
      <c r="I497" t="s">
        <v>4976</v>
      </c>
      <c r="J497" s="4" t="s">
        <v>4977</v>
      </c>
      <c r="K497" s="4" t="s">
        <v>4832</v>
      </c>
      <c r="L497" s="4" t="s">
        <v>4968</v>
      </c>
      <c r="M497" s="4" t="s">
        <v>5035</v>
      </c>
      <c r="N497" t="s">
        <v>15</v>
      </c>
      <c r="O497" t="s">
        <v>2308</v>
      </c>
      <c r="P497" t="s">
        <v>23</v>
      </c>
      <c r="Q497" t="s">
        <v>24</v>
      </c>
      <c r="R497" t="s">
        <v>25</v>
      </c>
      <c r="S497" t="s">
        <v>26</v>
      </c>
      <c r="T497" s="6">
        <v>46307</v>
      </c>
      <c r="U497">
        <v>108</v>
      </c>
      <c r="V497">
        <v>108</v>
      </c>
      <c r="W497">
        <v>120</v>
      </c>
      <c r="X497">
        <v>120</v>
      </c>
      <c r="Y497">
        <f t="shared" si="82"/>
        <v>0</v>
      </c>
      <c r="Z497">
        <f t="shared" si="83"/>
        <v>-12</v>
      </c>
      <c r="AC497" s="1">
        <v>0</v>
      </c>
      <c r="AF497">
        <f t="shared" si="90"/>
        <v>108</v>
      </c>
      <c r="AG497" s="41">
        <v>12</v>
      </c>
      <c r="AH497">
        <f t="shared" si="84"/>
        <v>108</v>
      </c>
      <c r="AI497">
        <f t="shared" si="85"/>
        <v>0</v>
      </c>
      <c r="AK497">
        <f t="shared" si="86"/>
        <v>9</v>
      </c>
      <c r="AL497">
        <v>13.85</v>
      </c>
      <c r="AM497" t="s">
        <v>27</v>
      </c>
      <c r="AN497">
        <v>13.85</v>
      </c>
      <c r="AO497" t="b">
        <f t="shared" si="87"/>
        <v>1</v>
      </c>
      <c r="AR497" t="s">
        <v>5061</v>
      </c>
      <c r="AS497" s="21">
        <v>46276</v>
      </c>
      <c r="AT497" t="s">
        <v>5062</v>
      </c>
      <c r="AU497" t="s">
        <v>5072</v>
      </c>
      <c r="AV497" t="s">
        <v>5062</v>
      </c>
      <c r="AW497" t="s">
        <v>5086</v>
      </c>
    </row>
    <row r="498" spans="1:49" hidden="1" x14ac:dyDescent="0.35">
      <c r="A498" t="s">
        <v>871</v>
      </c>
      <c r="B498" t="s">
        <v>872</v>
      </c>
      <c r="C498" t="s">
        <v>4818</v>
      </c>
      <c r="D498" t="s">
        <v>18</v>
      </c>
      <c r="E498" t="s">
        <v>2309</v>
      </c>
      <c r="F498" t="s">
        <v>2310</v>
      </c>
      <c r="G498" t="s">
        <v>21</v>
      </c>
      <c r="H498" t="s">
        <v>4826</v>
      </c>
      <c r="I498" t="s">
        <v>4976</v>
      </c>
      <c r="J498" s="4" t="s">
        <v>4977</v>
      </c>
      <c r="K498" s="4" t="s">
        <v>4957</v>
      </c>
      <c r="L498" s="4" t="s">
        <v>4940</v>
      </c>
      <c r="M498" s="4" t="s">
        <v>5035</v>
      </c>
      <c r="N498" t="s">
        <v>15</v>
      </c>
      <c r="O498" t="s">
        <v>2311</v>
      </c>
      <c r="P498" t="s">
        <v>23</v>
      </c>
      <c r="Q498" t="s">
        <v>24</v>
      </c>
      <c r="R498" t="s">
        <v>25</v>
      </c>
      <c r="S498" t="s">
        <v>26</v>
      </c>
      <c r="T498" s="6">
        <v>46307</v>
      </c>
      <c r="U498">
        <v>96</v>
      </c>
      <c r="V498">
        <v>96</v>
      </c>
      <c r="W498">
        <v>108</v>
      </c>
      <c r="X498">
        <v>108</v>
      </c>
      <c r="Y498">
        <f t="shared" si="82"/>
        <v>0</v>
      </c>
      <c r="Z498">
        <f t="shared" si="83"/>
        <v>-12</v>
      </c>
      <c r="AC498" s="1">
        <v>0</v>
      </c>
      <c r="AF498">
        <f t="shared" si="90"/>
        <v>96</v>
      </c>
      <c r="AG498" s="41">
        <v>12</v>
      </c>
      <c r="AH498">
        <f t="shared" si="84"/>
        <v>96</v>
      </c>
      <c r="AI498">
        <f t="shared" si="85"/>
        <v>0</v>
      </c>
      <c r="AK498">
        <f t="shared" si="86"/>
        <v>8</v>
      </c>
      <c r="AL498">
        <v>13.85</v>
      </c>
      <c r="AM498" t="s">
        <v>27</v>
      </c>
      <c r="AN498">
        <v>13.85</v>
      </c>
      <c r="AO498" t="b">
        <f t="shared" si="87"/>
        <v>1</v>
      </c>
      <c r="AR498" t="s">
        <v>5061</v>
      </c>
      <c r="AS498" s="21">
        <v>46276</v>
      </c>
      <c r="AT498" t="s">
        <v>5062</v>
      </c>
      <c r="AU498" t="s">
        <v>5072</v>
      </c>
      <c r="AV498" t="s">
        <v>5062</v>
      </c>
      <c r="AW498" t="s">
        <v>5086</v>
      </c>
    </row>
    <row r="499" spans="1:49" hidden="1" x14ac:dyDescent="0.35">
      <c r="A499" t="s">
        <v>871</v>
      </c>
      <c r="B499" t="s">
        <v>872</v>
      </c>
      <c r="C499" t="s">
        <v>4818</v>
      </c>
      <c r="D499" t="s">
        <v>18</v>
      </c>
      <c r="E499" t="s">
        <v>2312</v>
      </c>
      <c r="F499" t="s">
        <v>2313</v>
      </c>
      <c r="G499" t="s">
        <v>21</v>
      </c>
      <c r="H499" t="s">
        <v>4826</v>
      </c>
      <c r="I499" t="s">
        <v>4976</v>
      </c>
      <c r="J499" s="4" t="s">
        <v>4977</v>
      </c>
      <c r="K499" s="4" t="s">
        <v>4832</v>
      </c>
      <c r="L499" s="4" t="s">
        <v>4938</v>
      </c>
      <c r="M499" s="4" t="s">
        <v>5035</v>
      </c>
      <c r="N499" t="s">
        <v>15</v>
      </c>
      <c r="O499" t="s">
        <v>2314</v>
      </c>
      <c r="P499" t="s">
        <v>23</v>
      </c>
      <c r="Q499" t="s">
        <v>24</v>
      </c>
      <c r="R499" t="s">
        <v>25</v>
      </c>
      <c r="S499" t="s">
        <v>26</v>
      </c>
      <c r="T499" s="6">
        <v>46307</v>
      </c>
      <c r="U499">
        <v>36</v>
      </c>
      <c r="V499">
        <v>36</v>
      </c>
      <c r="W499">
        <v>36</v>
      </c>
      <c r="X499">
        <v>36</v>
      </c>
      <c r="Y499">
        <f t="shared" si="82"/>
        <v>0</v>
      </c>
      <c r="Z499">
        <f t="shared" si="83"/>
        <v>0</v>
      </c>
      <c r="AC499" s="1"/>
      <c r="AF499">
        <f t="shared" si="90"/>
        <v>36</v>
      </c>
      <c r="AG499" s="41">
        <v>12</v>
      </c>
      <c r="AH499">
        <f t="shared" si="84"/>
        <v>36</v>
      </c>
      <c r="AI499">
        <f t="shared" si="85"/>
        <v>0</v>
      </c>
      <c r="AK499">
        <f t="shared" si="86"/>
        <v>3</v>
      </c>
      <c r="AL499">
        <v>13.85</v>
      </c>
      <c r="AM499" t="s">
        <v>27</v>
      </c>
      <c r="AN499">
        <v>13.85</v>
      </c>
      <c r="AO499" t="b">
        <f t="shared" si="87"/>
        <v>1</v>
      </c>
      <c r="AR499" t="s">
        <v>5061</v>
      </c>
      <c r="AS499" s="21">
        <v>46276</v>
      </c>
      <c r="AT499" t="s">
        <v>5062</v>
      </c>
      <c r="AU499" t="s">
        <v>5072</v>
      </c>
      <c r="AV499" t="s">
        <v>5062</v>
      </c>
      <c r="AW499" t="s">
        <v>5086</v>
      </c>
    </row>
    <row r="500" spans="1:49" hidden="1" x14ac:dyDescent="0.35">
      <c r="A500" t="s">
        <v>871</v>
      </c>
      <c r="B500" t="s">
        <v>872</v>
      </c>
      <c r="C500" t="s">
        <v>4818</v>
      </c>
      <c r="D500" t="s">
        <v>18</v>
      </c>
      <c r="E500" t="s">
        <v>2315</v>
      </c>
      <c r="F500" t="s">
        <v>2316</v>
      </c>
      <c r="G500" t="s">
        <v>21</v>
      </c>
      <c r="H500" t="s">
        <v>4826</v>
      </c>
      <c r="I500" t="s">
        <v>4976</v>
      </c>
      <c r="J500" s="4" t="s">
        <v>4977</v>
      </c>
      <c r="K500" s="4" t="s">
        <v>4957</v>
      </c>
      <c r="L500" s="4" t="s">
        <v>4962</v>
      </c>
      <c r="M500" s="4" t="s">
        <v>5035</v>
      </c>
      <c r="N500" t="s">
        <v>15</v>
      </c>
      <c r="O500" t="s">
        <v>2317</v>
      </c>
      <c r="P500" t="s">
        <v>23</v>
      </c>
      <c r="Q500" t="s">
        <v>24</v>
      </c>
      <c r="R500" t="s">
        <v>25</v>
      </c>
      <c r="S500" t="s">
        <v>26</v>
      </c>
      <c r="T500" s="6">
        <v>46307</v>
      </c>
      <c r="U500">
        <v>60</v>
      </c>
      <c r="V500">
        <v>60</v>
      </c>
      <c r="W500">
        <v>72</v>
      </c>
      <c r="X500">
        <v>72</v>
      </c>
      <c r="Y500">
        <f t="shared" si="82"/>
        <v>0</v>
      </c>
      <c r="Z500">
        <f t="shared" si="83"/>
        <v>-12</v>
      </c>
      <c r="AC500" s="1">
        <v>0</v>
      </c>
      <c r="AF500">
        <f t="shared" si="90"/>
        <v>60</v>
      </c>
      <c r="AG500" s="41">
        <v>12</v>
      </c>
      <c r="AH500">
        <f t="shared" si="84"/>
        <v>60</v>
      </c>
      <c r="AI500">
        <f t="shared" si="85"/>
        <v>0</v>
      </c>
      <c r="AK500">
        <f t="shared" si="86"/>
        <v>5</v>
      </c>
      <c r="AL500">
        <v>13.85</v>
      </c>
      <c r="AM500" t="s">
        <v>27</v>
      </c>
      <c r="AN500">
        <v>13.85</v>
      </c>
      <c r="AO500" t="b">
        <f t="shared" si="87"/>
        <v>1</v>
      </c>
      <c r="AR500" t="s">
        <v>5061</v>
      </c>
      <c r="AS500" s="21">
        <v>46276</v>
      </c>
      <c r="AT500" t="s">
        <v>5062</v>
      </c>
      <c r="AU500" t="s">
        <v>5072</v>
      </c>
      <c r="AV500" t="s">
        <v>5062</v>
      </c>
      <c r="AW500" t="s">
        <v>5086</v>
      </c>
    </row>
    <row r="501" spans="1:49" hidden="1" x14ac:dyDescent="0.35">
      <c r="A501" t="s">
        <v>871</v>
      </c>
      <c r="B501" t="s">
        <v>872</v>
      </c>
      <c r="C501" t="s">
        <v>4818</v>
      </c>
      <c r="D501" t="s">
        <v>18</v>
      </c>
      <c r="E501" t="s">
        <v>2318</v>
      </c>
      <c r="F501" t="s">
        <v>2319</v>
      </c>
      <c r="G501" t="s">
        <v>21</v>
      </c>
      <c r="H501" t="s">
        <v>4826</v>
      </c>
      <c r="I501" t="s">
        <v>4976</v>
      </c>
      <c r="J501" s="4" t="s">
        <v>4977</v>
      </c>
      <c r="K501" s="4" t="s">
        <v>4831</v>
      </c>
      <c r="L501" s="4" t="s">
        <v>4970</v>
      </c>
      <c r="M501" s="4" t="s">
        <v>5035</v>
      </c>
      <c r="N501" t="s">
        <v>15</v>
      </c>
      <c r="O501" t="s">
        <v>2320</v>
      </c>
      <c r="P501" t="s">
        <v>23</v>
      </c>
      <c r="Q501" t="s">
        <v>24</v>
      </c>
      <c r="R501" t="s">
        <v>25</v>
      </c>
      <c r="S501" t="s">
        <v>26</v>
      </c>
      <c r="T501" s="6">
        <v>46307</v>
      </c>
      <c r="U501">
        <v>60</v>
      </c>
      <c r="V501">
        <v>60</v>
      </c>
      <c r="W501">
        <v>60</v>
      </c>
      <c r="X501">
        <v>60</v>
      </c>
      <c r="Y501">
        <f t="shared" si="82"/>
        <v>0</v>
      </c>
      <c r="Z501">
        <f t="shared" si="83"/>
        <v>0</v>
      </c>
      <c r="AC501" s="1">
        <v>0</v>
      </c>
      <c r="AF501">
        <f t="shared" si="90"/>
        <v>60</v>
      </c>
      <c r="AG501" s="41">
        <v>12</v>
      </c>
      <c r="AH501">
        <f t="shared" si="84"/>
        <v>60</v>
      </c>
      <c r="AI501">
        <f t="shared" si="85"/>
        <v>0</v>
      </c>
      <c r="AK501">
        <f t="shared" si="86"/>
        <v>5</v>
      </c>
      <c r="AL501">
        <v>13.85</v>
      </c>
      <c r="AM501" t="s">
        <v>27</v>
      </c>
      <c r="AN501">
        <v>13.85</v>
      </c>
      <c r="AO501" t="b">
        <f t="shared" si="87"/>
        <v>1</v>
      </c>
      <c r="AR501" t="s">
        <v>5061</v>
      </c>
      <c r="AS501" s="21">
        <v>46276</v>
      </c>
      <c r="AT501" t="s">
        <v>5062</v>
      </c>
      <c r="AU501" t="s">
        <v>5072</v>
      </c>
      <c r="AV501" t="s">
        <v>5062</v>
      </c>
      <c r="AW501" t="s">
        <v>5086</v>
      </c>
    </row>
    <row r="502" spans="1:49" hidden="1" x14ac:dyDescent="0.35">
      <c r="A502" t="s">
        <v>871</v>
      </c>
      <c r="B502" t="s">
        <v>872</v>
      </c>
      <c r="C502" t="s">
        <v>4818</v>
      </c>
      <c r="D502" t="s">
        <v>18</v>
      </c>
      <c r="E502" t="s">
        <v>2321</v>
      </c>
      <c r="F502" t="s">
        <v>2322</v>
      </c>
      <c r="G502" t="s">
        <v>21</v>
      </c>
      <c r="H502" t="s">
        <v>4826</v>
      </c>
      <c r="I502" t="s">
        <v>4976</v>
      </c>
      <c r="J502" s="4" t="s">
        <v>4977</v>
      </c>
      <c r="K502" s="4" t="s">
        <v>4832</v>
      </c>
      <c r="L502" s="4" t="s">
        <v>4953</v>
      </c>
      <c r="M502" s="4" t="s">
        <v>5035</v>
      </c>
      <c r="N502" t="s">
        <v>15</v>
      </c>
      <c r="O502" t="s">
        <v>2323</v>
      </c>
      <c r="P502" t="s">
        <v>23</v>
      </c>
      <c r="Q502" t="s">
        <v>24</v>
      </c>
      <c r="R502" t="s">
        <v>25</v>
      </c>
      <c r="S502" t="s">
        <v>26</v>
      </c>
      <c r="T502" s="6">
        <v>46307</v>
      </c>
      <c r="U502">
        <v>132</v>
      </c>
      <c r="V502">
        <v>132</v>
      </c>
      <c r="W502">
        <v>144</v>
      </c>
      <c r="X502">
        <v>144</v>
      </c>
      <c r="Y502">
        <f t="shared" si="82"/>
        <v>0</v>
      </c>
      <c r="Z502">
        <f t="shared" si="83"/>
        <v>-12</v>
      </c>
      <c r="AC502" s="1">
        <v>0</v>
      </c>
      <c r="AF502">
        <f t="shared" si="90"/>
        <v>132</v>
      </c>
      <c r="AG502" s="41">
        <v>12</v>
      </c>
      <c r="AH502">
        <f t="shared" si="84"/>
        <v>132</v>
      </c>
      <c r="AI502">
        <f t="shared" si="85"/>
        <v>0</v>
      </c>
      <c r="AK502">
        <f t="shared" si="86"/>
        <v>11</v>
      </c>
      <c r="AL502">
        <v>13.85</v>
      </c>
      <c r="AM502" t="s">
        <v>27</v>
      </c>
      <c r="AN502">
        <v>13.85</v>
      </c>
      <c r="AO502" t="b">
        <f t="shared" si="87"/>
        <v>1</v>
      </c>
      <c r="AR502" t="s">
        <v>5061</v>
      </c>
      <c r="AS502" s="21">
        <v>46276</v>
      </c>
      <c r="AT502" t="s">
        <v>5062</v>
      </c>
      <c r="AU502" t="s">
        <v>5072</v>
      </c>
      <c r="AV502" t="s">
        <v>5062</v>
      </c>
      <c r="AW502" t="s">
        <v>5086</v>
      </c>
    </row>
    <row r="503" spans="1:49" hidden="1" x14ac:dyDescent="0.35">
      <c r="A503" t="s">
        <v>871</v>
      </c>
      <c r="B503" t="s">
        <v>872</v>
      </c>
      <c r="C503" t="s">
        <v>4818</v>
      </c>
      <c r="D503" t="s">
        <v>18</v>
      </c>
      <c r="E503" t="s">
        <v>2324</v>
      </c>
      <c r="F503" t="s">
        <v>2325</v>
      </c>
      <c r="G503" t="s">
        <v>21</v>
      </c>
      <c r="H503" t="s">
        <v>4826</v>
      </c>
      <c r="I503" t="s">
        <v>4976</v>
      </c>
      <c r="J503" s="4" t="s">
        <v>4977</v>
      </c>
      <c r="K503" s="4" t="s">
        <v>4837</v>
      </c>
      <c r="L503" s="4" t="s">
        <v>4941</v>
      </c>
      <c r="M503" s="4" t="s">
        <v>5035</v>
      </c>
      <c r="N503" t="s">
        <v>15</v>
      </c>
      <c r="O503" t="s">
        <v>2326</v>
      </c>
      <c r="P503" t="s">
        <v>23</v>
      </c>
      <c r="Q503" t="s">
        <v>24</v>
      </c>
      <c r="R503" t="s">
        <v>25</v>
      </c>
      <c r="S503" t="s">
        <v>26</v>
      </c>
      <c r="T503" s="6">
        <v>46307</v>
      </c>
      <c r="U503">
        <v>180</v>
      </c>
      <c r="V503">
        <v>180</v>
      </c>
      <c r="W503">
        <v>192</v>
      </c>
      <c r="X503">
        <v>192</v>
      </c>
      <c r="Y503">
        <f t="shared" si="82"/>
        <v>0</v>
      </c>
      <c r="Z503">
        <f t="shared" si="83"/>
        <v>-12</v>
      </c>
      <c r="AC503" s="1">
        <v>0</v>
      </c>
      <c r="AF503">
        <f t="shared" si="90"/>
        <v>180</v>
      </c>
      <c r="AG503" s="41">
        <v>12</v>
      </c>
      <c r="AH503">
        <f t="shared" si="84"/>
        <v>180</v>
      </c>
      <c r="AI503">
        <f t="shared" si="85"/>
        <v>0</v>
      </c>
      <c r="AK503">
        <f t="shared" si="86"/>
        <v>15</v>
      </c>
      <c r="AL503">
        <v>13.85</v>
      </c>
      <c r="AM503" t="s">
        <v>27</v>
      </c>
      <c r="AN503">
        <v>13.85</v>
      </c>
      <c r="AO503" t="b">
        <f t="shared" si="87"/>
        <v>1</v>
      </c>
      <c r="AR503" t="s">
        <v>5061</v>
      </c>
      <c r="AS503" s="21">
        <v>46276</v>
      </c>
      <c r="AT503" t="s">
        <v>5062</v>
      </c>
      <c r="AU503" t="s">
        <v>5072</v>
      </c>
      <c r="AV503" t="s">
        <v>5062</v>
      </c>
      <c r="AW503" t="s">
        <v>5086</v>
      </c>
    </row>
    <row r="504" spans="1:49" hidden="1" x14ac:dyDescent="0.35">
      <c r="A504" t="s">
        <v>871</v>
      </c>
      <c r="B504" t="s">
        <v>872</v>
      </c>
      <c r="C504" t="s">
        <v>4818</v>
      </c>
      <c r="D504" t="s">
        <v>18</v>
      </c>
      <c r="E504" t="s">
        <v>2327</v>
      </c>
      <c r="F504" t="s">
        <v>2328</v>
      </c>
      <c r="G504" t="s">
        <v>21</v>
      </c>
      <c r="H504" t="s">
        <v>4826</v>
      </c>
      <c r="I504" t="s">
        <v>4976</v>
      </c>
      <c r="J504" s="4" t="s">
        <v>4977</v>
      </c>
      <c r="K504" s="4" t="s">
        <v>4978</v>
      </c>
      <c r="L504" s="4" t="s">
        <v>4962</v>
      </c>
      <c r="M504" s="4" t="s">
        <v>5035</v>
      </c>
      <c r="N504" t="s">
        <v>15</v>
      </c>
      <c r="O504" t="s">
        <v>2329</v>
      </c>
      <c r="P504" t="s">
        <v>23</v>
      </c>
      <c r="Q504" t="s">
        <v>24</v>
      </c>
      <c r="R504" t="s">
        <v>25</v>
      </c>
      <c r="S504" t="s">
        <v>26</v>
      </c>
      <c r="T504" s="6">
        <v>46307</v>
      </c>
      <c r="U504">
        <v>36</v>
      </c>
      <c r="V504">
        <v>36</v>
      </c>
      <c r="W504">
        <v>36</v>
      </c>
      <c r="X504">
        <v>36</v>
      </c>
      <c r="Y504">
        <f t="shared" si="82"/>
        <v>0</v>
      </c>
      <c r="Z504">
        <f t="shared" si="83"/>
        <v>0</v>
      </c>
      <c r="AC504" s="1">
        <v>0</v>
      </c>
      <c r="AF504">
        <f t="shared" si="90"/>
        <v>36</v>
      </c>
      <c r="AG504" s="41">
        <v>12</v>
      </c>
      <c r="AH504">
        <f t="shared" si="84"/>
        <v>36</v>
      </c>
      <c r="AI504">
        <f t="shared" si="85"/>
        <v>0</v>
      </c>
      <c r="AK504">
        <f t="shared" si="86"/>
        <v>3</v>
      </c>
      <c r="AL504">
        <v>13.85</v>
      </c>
      <c r="AM504" t="s">
        <v>27</v>
      </c>
      <c r="AN504">
        <v>13.85</v>
      </c>
      <c r="AO504" t="b">
        <f t="shared" si="87"/>
        <v>1</v>
      </c>
      <c r="AR504" t="s">
        <v>5061</v>
      </c>
      <c r="AS504" s="21">
        <v>46276</v>
      </c>
      <c r="AT504" t="s">
        <v>5062</v>
      </c>
      <c r="AU504" t="s">
        <v>5072</v>
      </c>
      <c r="AV504" t="s">
        <v>5062</v>
      </c>
      <c r="AW504" t="s">
        <v>5086</v>
      </c>
    </row>
    <row r="505" spans="1:49" hidden="1" x14ac:dyDescent="0.35">
      <c r="A505" t="s">
        <v>871</v>
      </c>
      <c r="B505" t="s">
        <v>872</v>
      </c>
      <c r="C505" t="s">
        <v>4818</v>
      </c>
      <c r="D505" t="s">
        <v>18</v>
      </c>
      <c r="E505" t="s">
        <v>2330</v>
      </c>
      <c r="F505" t="s">
        <v>2331</v>
      </c>
      <c r="G505" t="s">
        <v>21</v>
      </c>
      <c r="H505" t="s">
        <v>4826</v>
      </c>
      <c r="I505" t="s">
        <v>4976</v>
      </c>
      <c r="J505" s="4" t="s">
        <v>4977</v>
      </c>
      <c r="K505" s="4" t="s">
        <v>4957</v>
      </c>
      <c r="L505" s="4" t="s">
        <v>4953</v>
      </c>
      <c r="M505" s="4" t="s">
        <v>5035</v>
      </c>
      <c r="N505" t="s">
        <v>15</v>
      </c>
      <c r="O505" t="s">
        <v>2332</v>
      </c>
      <c r="P505" t="s">
        <v>23</v>
      </c>
      <c r="Q505" t="s">
        <v>24</v>
      </c>
      <c r="R505" t="s">
        <v>25</v>
      </c>
      <c r="S505" t="s">
        <v>26</v>
      </c>
      <c r="T505" s="6">
        <v>46307</v>
      </c>
      <c r="U505">
        <v>60</v>
      </c>
      <c r="V505">
        <v>60</v>
      </c>
      <c r="W505">
        <v>60</v>
      </c>
      <c r="X505">
        <v>60</v>
      </c>
      <c r="Y505">
        <f t="shared" si="82"/>
        <v>0</v>
      </c>
      <c r="Z505">
        <f t="shared" si="83"/>
        <v>0</v>
      </c>
      <c r="AC505" s="1">
        <v>0</v>
      </c>
      <c r="AF505">
        <f t="shared" si="90"/>
        <v>60</v>
      </c>
      <c r="AG505" s="41">
        <v>12</v>
      </c>
      <c r="AH505">
        <f t="shared" si="84"/>
        <v>60</v>
      </c>
      <c r="AI505">
        <f t="shared" si="85"/>
        <v>0</v>
      </c>
      <c r="AK505">
        <f t="shared" si="86"/>
        <v>5</v>
      </c>
      <c r="AL505">
        <v>13.85</v>
      </c>
      <c r="AM505" t="s">
        <v>27</v>
      </c>
      <c r="AN505">
        <v>13.85</v>
      </c>
      <c r="AO505" t="b">
        <f t="shared" si="87"/>
        <v>1</v>
      </c>
      <c r="AR505" t="s">
        <v>5061</v>
      </c>
      <c r="AS505" s="21">
        <v>46276</v>
      </c>
      <c r="AT505" t="s">
        <v>5062</v>
      </c>
      <c r="AU505" t="s">
        <v>5072</v>
      </c>
      <c r="AV505" t="s">
        <v>5062</v>
      </c>
      <c r="AW505" t="s">
        <v>5086</v>
      </c>
    </row>
    <row r="506" spans="1:49" hidden="1" x14ac:dyDescent="0.35">
      <c r="A506" t="s">
        <v>871</v>
      </c>
      <c r="B506" t="s">
        <v>872</v>
      </c>
      <c r="C506" t="s">
        <v>4818</v>
      </c>
      <c r="D506" t="s">
        <v>18</v>
      </c>
      <c r="E506" t="s">
        <v>2333</v>
      </c>
      <c r="F506" t="s">
        <v>2334</v>
      </c>
      <c r="G506" t="s">
        <v>21</v>
      </c>
      <c r="H506" t="s">
        <v>4826</v>
      </c>
      <c r="I506" t="s">
        <v>4976</v>
      </c>
      <c r="J506" s="4" t="s">
        <v>4977</v>
      </c>
      <c r="K506" s="4" t="s">
        <v>4978</v>
      </c>
      <c r="L506" s="4" t="s">
        <v>4973</v>
      </c>
      <c r="M506" s="4" t="s">
        <v>5035</v>
      </c>
      <c r="N506" t="s">
        <v>15</v>
      </c>
      <c r="O506" t="s">
        <v>2335</v>
      </c>
      <c r="P506" t="s">
        <v>23</v>
      </c>
      <c r="Q506" t="s">
        <v>24</v>
      </c>
      <c r="R506" t="s">
        <v>25</v>
      </c>
      <c r="S506" t="s">
        <v>26</v>
      </c>
      <c r="T506" s="6">
        <v>46307</v>
      </c>
      <c r="U506">
        <v>48</v>
      </c>
      <c r="V506">
        <v>48</v>
      </c>
      <c r="W506">
        <v>48</v>
      </c>
      <c r="X506">
        <v>48</v>
      </c>
      <c r="Y506">
        <f t="shared" si="82"/>
        <v>0</v>
      </c>
      <c r="Z506">
        <f t="shared" si="83"/>
        <v>0</v>
      </c>
      <c r="AC506" s="1">
        <v>0</v>
      </c>
      <c r="AF506">
        <f t="shared" si="90"/>
        <v>48</v>
      </c>
      <c r="AG506" s="41">
        <v>12</v>
      </c>
      <c r="AH506">
        <f t="shared" si="84"/>
        <v>48</v>
      </c>
      <c r="AI506">
        <f t="shared" si="85"/>
        <v>0</v>
      </c>
      <c r="AK506">
        <f t="shared" si="86"/>
        <v>4</v>
      </c>
      <c r="AL506">
        <v>13.85</v>
      </c>
      <c r="AM506" t="s">
        <v>27</v>
      </c>
      <c r="AN506">
        <v>13.85</v>
      </c>
      <c r="AO506" t="b">
        <f t="shared" si="87"/>
        <v>1</v>
      </c>
      <c r="AR506" t="s">
        <v>5061</v>
      </c>
      <c r="AS506" s="21">
        <v>46276</v>
      </c>
      <c r="AT506" t="s">
        <v>5062</v>
      </c>
      <c r="AU506" t="s">
        <v>5072</v>
      </c>
      <c r="AV506" t="s">
        <v>5062</v>
      </c>
      <c r="AW506" t="s">
        <v>5086</v>
      </c>
    </row>
    <row r="507" spans="1:49" hidden="1" x14ac:dyDescent="0.35">
      <c r="A507" t="s">
        <v>871</v>
      </c>
      <c r="B507" t="s">
        <v>872</v>
      </c>
      <c r="C507" t="s">
        <v>4818</v>
      </c>
      <c r="D507" t="s">
        <v>18</v>
      </c>
      <c r="E507" t="s">
        <v>2336</v>
      </c>
      <c r="F507" t="s">
        <v>2337</v>
      </c>
      <c r="G507" t="s">
        <v>21</v>
      </c>
      <c r="H507" t="s">
        <v>4826</v>
      </c>
      <c r="I507" t="s">
        <v>4976</v>
      </c>
      <c r="J507" s="4" t="s">
        <v>4977</v>
      </c>
      <c r="K507" s="4" t="s">
        <v>4837</v>
      </c>
      <c r="L507" s="4" t="s">
        <v>4952</v>
      </c>
      <c r="M507" s="4" t="s">
        <v>5035</v>
      </c>
      <c r="N507" t="s">
        <v>15</v>
      </c>
      <c r="O507" t="s">
        <v>2338</v>
      </c>
      <c r="P507" t="s">
        <v>23</v>
      </c>
      <c r="Q507" t="s">
        <v>24</v>
      </c>
      <c r="R507" t="s">
        <v>25</v>
      </c>
      <c r="S507" t="s">
        <v>26</v>
      </c>
      <c r="T507" s="6">
        <v>46307</v>
      </c>
      <c r="U507">
        <v>24</v>
      </c>
      <c r="V507">
        <v>24</v>
      </c>
      <c r="W507">
        <v>24</v>
      </c>
      <c r="X507">
        <v>24</v>
      </c>
      <c r="Y507">
        <f t="shared" si="82"/>
        <v>0</v>
      </c>
      <c r="Z507">
        <f t="shared" si="83"/>
        <v>0</v>
      </c>
      <c r="AC507" s="1">
        <v>0</v>
      </c>
      <c r="AF507">
        <f t="shared" si="90"/>
        <v>24</v>
      </c>
      <c r="AG507" s="41">
        <v>12</v>
      </c>
      <c r="AH507">
        <f t="shared" si="84"/>
        <v>24</v>
      </c>
      <c r="AI507">
        <f t="shared" si="85"/>
        <v>0</v>
      </c>
      <c r="AK507">
        <f t="shared" si="86"/>
        <v>2</v>
      </c>
      <c r="AL507">
        <v>13.85</v>
      </c>
      <c r="AM507" t="s">
        <v>27</v>
      </c>
      <c r="AN507">
        <v>13.85</v>
      </c>
      <c r="AO507" t="b">
        <f t="shared" si="87"/>
        <v>1</v>
      </c>
      <c r="AR507" t="s">
        <v>5061</v>
      </c>
      <c r="AS507" s="21">
        <v>46276</v>
      </c>
      <c r="AT507" t="s">
        <v>5062</v>
      </c>
      <c r="AU507" t="s">
        <v>5072</v>
      </c>
      <c r="AV507" t="s">
        <v>5062</v>
      </c>
      <c r="AW507" t="s">
        <v>5086</v>
      </c>
    </row>
    <row r="508" spans="1:49" hidden="1" x14ac:dyDescent="0.35">
      <c r="A508" t="s">
        <v>871</v>
      </c>
      <c r="B508" t="s">
        <v>872</v>
      </c>
      <c r="C508" t="s">
        <v>4818</v>
      </c>
      <c r="D508" t="s">
        <v>18</v>
      </c>
      <c r="E508" t="s">
        <v>2339</v>
      </c>
      <c r="F508" t="s">
        <v>2340</v>
      </c>
      <c r="G508" t="s">
        <v>21</v>
      </c>
      <c r="H508" t="s">
        <v>4826</v>
      </c>
      <c r="I508" t="s">
        <v>4976</v>
      </c>
      <c r="J508" s="4" t="s">
        <v>4977</v>
      </c>
      <c r="K508" s="4" t="s">
        <v>4837</v>
      </c>
      <c r="L508" s="4" t="s">
        <v>4969</v>
      </c>
      <c r="M508" s="4" t="s">
        <v>5035</v>
      </c>
      <c r="N508" t="s">
        <v>15</v>
      </c>
      <c r="O508" t="s">
        <v>2341</v>
      </c>
      <c r="P508" t="s">
        <v>23</v>
      </c>
      <c r="Q508" t="s">
        <v>24</v>
      </c>
      <c r="R508" t="s">
        <v>25</v>
      </c>
      <c r="S508" t="s">
        <v>26</v>
      </c>
      <c r="T508" s="6">
        <v>46307</v>
      </c>
      <c r="U508">
        <v>60</v>
      </c>
      <c r="V508">
        <v>60</v>
      </c>
      <c r="W508">
        <v>60</v>
      </c>
      <c r="X508">
        <v>60</v>
      </c>
      <c r="Y508">
        <f t="shared" si="82"/>
        <v>0</v>
      </c>
      <c r="Z508">
        <f t="shared" si="83"/>
        <v>0</v>
      </c>
      <c r="AC508" s="1">
        <v>0</v>
      </c>
      <c r="AF508">
        <f t="shared" si="90"/>
        <v>60</v>
      </c>
      <c r="AG508" s="41">
        <v>12</v>
      </c>
      <c r="AH508">
        <f t="shared" si="84"/>
        <v>60</v>
      </c>
      <c r="AI508">
        <f t="shared" si="85"/>
        <v>0</v>
      </c>
      <c r="AK508">
        <f t="shared" si="86"/>
        <v>5</v>
      </c>
      <c r="AL508">
        <v>13.85</v>
      </c>
      <c r="AM508" t="s">
        <v>27</v>
      </c>
      <c r="AN508">
        <v>13.85</v>
      </c>
      <c r="AO508" t="b">
        <f t="shared" si="87"/>
        <v>1</v>
      </c>
      <c r="AR508" t="s">
        <v>5061</v>
      </c>
      <c r="AS508" s="21">
        <v>46276</v>
      </c>
      <c r="AT508" t="s">
        <v>5062</v>
      </c>
      <c r="AU508" t="s">
        <v>5072</v>
      </c>
      <c r="AV508" t="s">
        <v>5062</v>
      </c>
      <c r="AW508" t="s">
        <v>5086</v>
      </c>
    </row>
    <row r="509" spans="1:49" hidden="1" x14ac:dyDescent="0.35">
      <c r="A509" t="s">
        <v>871</v>
      </c>
      <c r="B509" t="s">
        <v>872</v>
      </c>
      <c r="C509" t="s">
        <v>4818</v>
      </c>
      <c r="D509" t="s">
        <v>18</v>
      </c>
      <c r="E509" t="s">
        <v>2342</v>
      </c>
      <c r="F509" t="s">
        <v>2343</v>
      </c>
      <c r="G509" t="s">
        <v>21</v>
      </c>
      <c r="H509" t="s">
        <v>4826</v>
      </c>
      <c r="I509" t="s">
        <v>4976</v>
      </c>
      <c r="J509" s="4" t="s">
        <v>4977</v>
      </c>
      <c r="K509" s="4" t="s">
        <v>4832</v>
      </c>
      <c r="L509" s="4" t="s">
        <v>4942</v>
      </c>
      <c r="M509" s="4" t="s">
        <v>5035</v>
      </c>
      <c r="N509" t="s">
        <v>15</v>
      </c>
      <c r="O509" t="s">
        <v>2344</v>
      </c>
      <c r="P509" t="s">
        <v>23</v>
      </c>
      <c r="Q509" t="s">
        <v>24</v>
      </c>
      <c r="R509" t="s">
        <v>25</v>
      </c>
      <c r="S509" t="s">
        <v>26</v>
      </c>
      <c r="T509" s="6">
        <v>46307</v>
      </c>
      <c r="U509">
        <v>12</v>
      </c>
      <c r="V509">
        <v>12</v>
      </c>
      <c r="W509">
        <v>12</v>
      </c>
      <c r="X509">
        <v>12</v>
      </c>
      <c r="Y509">
        <f t="shared" si="82"/>
        <v>0</v>
      </c>
      <c r="Z509">
        <f t="shared" si="83"/>
        <v>0</v>
      </c>
      <c r="AC509" s="1">
        <v>0</v>
      </c>
      <c r="AF509">
        <f t="shared" si="90"/>
        <v>12</v>
      </c>
      <c r="AG509" s="41">
        <v>12</v>
      </c>
      <c r="AH509">
        <f t="shared" si="84"/>
        <v>12</v>
      </c>
      <c r="AI509">
        <f t="shared" si="85"/>
        <v>0</v>
      </c>
      <c r="AK509">
        <f t="shared" si="86"/>
        <v>1</v>
      </c>
      <c r="AL509">
        <v>13.85</v>
      </c>
      <c r="AM509" t="s">
        <v>27</v>
      </c>
      <c r="AN509">
        <v>13.85</v>
      </c>
      <c r="AO509" t="b">
        <f t="shared" si="87"/>
        <v>1</v>
      </c>
      <c r="AR509" t="s">
        <v>5061</v>
      </c>
      <c r="AS509" s="21">
        <v>46276</v>
      </c>
      <c r="AT509" t="s">
        <v>5062</v>
      </c>
      <c r="AU509" t="s">
        <v>5072</v>
      </c>
      <c r="AV509" t="s">
        <v>5062</v>
      </c>
      <c r="AW509" t="s">
        <v>5086</v>
      </c>
    </row>
    <row r="510" spans="1:49" hidden="1" x14ac:dyDescent="0.35">
      <c r="A510" t="s">
        <v>871</v>
      </c>
      <c r="B510" t="s">
        <v>872</v>
      </c>
      <c r="C510" t="s">
        <v>4818</v>
      </c>
      <c r="D510" t="s">
        <v>18</v>
      </c>
      <c r="E510" t="s">
        <v>2345</v>
      </c>
      <c r="F510" t="s">
        <v>2346</v>
      </c>
      <c r="G510" t="s">
        <v>21</v>
      </c>
      <c r="H510" t="s">
        <v>4826</v>
      </c>
      <c r="I510" t="s">
        <v>4976</v>
      </c>
      <c r="J510" s="4" t="s">
        <v>4977</v>
      </c>
      <c r="K510" s="4" t="s">
        <v>4837</v>
      </c>
      <c r="L510" s="4" t="s">
        <v>4953</v>
      </c>
      <c r="M510" s="4" t="s">
        <v>5035</v>
      </c>
      <c r="N510" t="s">
        <v>15</v>
      </c>
      <c r="O510" t="s">
        <v>2347</v>
      </c>
      <c r="P510" t="s">
        <v>23</v>
      </c>
      <c r="Q510" t="s">
        <v>24</v>
      </c>
      <c r="R510" t="s">
        <v>25</v>
      </c>
      <c r="S510" t="s">
        <v>26</v>
      </c>
      <c r="T510" s="6">
        <v>46307</v>
      </c>
      <c r="U510">
        <v>60</v>
      </c>
      <c r="V510">
        <v>60</v>
      </c>
      <c r="W510">
        <v>60</v>
      </c>
      <c r="X510">
        <v>60</v>
      </c>
      <c r="Y510">
        <f t="shared" si="82"/>
        <v>0</v>
      </c>
      <c r="Z510">
        <f t="shared" si="83"/>
        <v>0</v>
      </c>
      <c r="AC510" s="1">
        <v>0</v>
      </c>
      <c r="AF510">
        <f t="shared" si="90"/>
        <v>60</v>
      </c>
      <c r="AG510" s="41">
        <v>12</v>
      </c>
      <c r="AH510">
        <f t="shared" si="84"/>
        <v>60</v>
      </c>
      <c r="AI510">
        <f t="shared" si="85"/>
        <v>0</v>
      </c>
      <c r="AK510">
        <f t="shared" si="86"/>
        <v>5</v>
      </c>
      <c r="AL510">
        <v>13.85</v>
      </c>
      <c r="AM510" t="s">
        <v>27</v>
      </c>
      <c r="AN510">
        <v>13.85</v>
      </c>
      <c r="AO510" t="b">
        <f t="shared" si="87"/>
        <v>1</v>
      </c>
      <c r="AR510" t="s">
        <v>5061</v>
      </c>
      <c r="AS510" s="21">
        <v>46276</v>
      </c>
      <c r="AT510" t="s">
        <v>5062</v>
      </c>
      <c r="AU510" t="s">
        <v>5072</v>
      </c>
      <c r="AV510" t="s">
        <v>5062</v>
      </c>
      <c r="AW510" t="s">
        <v>5086</v>
      </c>
    </row>
    <row r="511" spans="1:49" hidden="1" x14ac:dyDescent="0.35">
      <c r="A511" t="s">
        <v>871</v>
      </c>
      <c r="B511" t="s">
        <v>872</v>
      </c>
      <c r="C511" t="s">
        <v>4818</v>
      </c>
      <c r="D511" t="s">
        <v>18</v>
      </c>
      <c r="E511" t="s">
        <v>2348</v>
      </c>
      <c r="F511" t="s">
        <v>2349</v>
      </c>
      <c r="G511" t="s">
        <v>21</v>
      </c>
      <c r="H511" t="s">
        <v>4826</v>
      </c>
      <c r="I511" t="s">
        <v>4976</v>
      </c>
      <c r="J511" s="4" t="s">
        <v>4977</v>
      </c>
      <c r="K511" s="4" t="s">
        <v>4978</v>
      </c>
      <c r="L511" s="4" t="s">
        <v>4969</v>
      </c>
      <c r="M511" s="4" t="s">
        <v>5035</v>
      </c>
      <c r="N511" t="s">
        <v>15</v>
      </c>
      <c r="O511" t="s">
        <v>2350</v>
      </c>
      <c r="P511" t="s">
        <v>23</v>
      </c>
      <c r="Q511" t="s">
        <v>24</v>
      </c>
      <c r="R511" t="s">
        <v>25</v>
      </c>
      <c r="S511" t="s">
        <v>26</v>
      </c>
      <c r="T511" s="6">
        <v>46307</v>
      </c>
      <c r="U511">
        <v>12</v>
      </c>
      <c r="V511">
        <v>12</v>
      </c>
      <c r="W511">
        <v>12</v>
      </c>
      <c r="X511">
        <v>12</v>
      </c>
      <c r="Y511">
        <f t="shared" si="82"/>
        <v>0</v>
      </c>
      <c r="Z511">
        <f t="shared" si="83"/>
        <v>0</v>
      </c>
      <c r="AC511" s="1">
        <v>0</v>
      </c>
      <c r="AF511">
        <f t="shared" si="90"/>
        <v>12</v>
      </c>
      <c r="AG511" s="41">
        <v>12</v>
      </c>
      <c r="AH511">
        <f t="shared" si="84"/>
        <v>12</v>
      </c>
      <c r="AI511">
        <f t="shared" si="85"/>
        <v>0</v>
      </c>
      <c r="AK511">
        <f t="shared" si="86"/>
        <v>1</v>
      </c>
      <c r="AL511">
        <v>13.85</v>
      </c>
      <c r="AM511" t="s">
        <v>27</v>
      </c>
      <c r="AN511">
        <v>13.85</v>
      </c>
      <c r="AO511" t="b">
        <f t="shared" si="87"/>
        <v>1</v>
      </c>
      <c r="AR511" t="s">
        <v>5061</v>
      </c>
      <c r="AS511" s="21">
        <v>46276</v>
      </c>
      <c r="AT511" t="s">
        <v>5062</v>
      </c>
      <c r="AU511" t="s">
        <v>5072</v>
      </c>
      <c r="AV511" t="s">
        <v>5062</v>
      </c>
      <c r="AW511" t="s">
        <v>5086</v>
      </c>
    </row>
    <row r="512" spans="1:49" hidden="1" x14ac:dyDescent="0.35">
      <c r="A512" t="s">
        <v>871</v>
      </c>
      <c r="B512" t="s">
        <v>872</v>
      </c>
      <c r="C512" t="s">
        <v>4818</v>
      </c>
      <c r="D512" t="s">
        <v>18</v>
      </c>
      <c r="E512" t="s">
        <v>2351</v>
      </c>
      <c r="F512" t="s">
        <v>2352</v>
      </c>
      <c r="G512" t="s">
        <v>21</v>
      </c>
      <c r="H512" t="s">
        <v>4826</v>
      </c>
      <c r="I512" t="s">
        <v>4976</v>
      </c>
      <c r="J512" s="4" t="s">
        <v>4977</v>
      </c>
      <c r="K512" s="4" t="s">
        <v>4957</v>
      </c>
      <c r="L512" s="4" t="s">
        <v>4946</v>
      </c>
      <c r="M512" s="4" t="s">
        <v>5035</v>
      </c>
      <c r="N512" t="s">
        <v>15</v>
      </c>
      <c r="O512" t="s">
        <v>2353</v>
      </c>
      <c r="P512" t="s">
        <v>23</v>
      </c>
      <c r="Q512" t="s">
        <v>24</v>
      </c>
      <c r="R512" t="s">
        <v>25</v>
      </c>
      <c r="S512" t="s">
        <v>26</v>
      </c>
      <c r="T512" s="6">
        <v>46307</v>
      </c>
      <c r="U512">
        <v>48</v>
      </c>
      <c r="V512">
        <v>48</v>
      </c>
      <c r="W512">
        <v>48</v>
      </c>
      <c r="X512">
        <v>48</v>
      </c>
      <c r="Y512">
        <f t="shared" si="82"/>
        <v>0</v>
      </c>
      <c r="Z512">
        <f t="shared" si="83"/>
        <v>0</v>
      </c>
      <c r="AC512" s="1">
        <v>0</v>
      </c>
      <c r="AF512">
        <f t="shared" si="90"/>
        <v>48</v>
      </c>
      <c r="AG512" s="41">
        <v>12</v>
      </c>
      <c r="AH512">
        <f t="shared" si="84"/>
        <v>48</v>
      </c>
      <c r="AI512">
        <f t="shared" si="85"/>
        <v>0</v>
      </c>
      <c r="AK512">
        <f t="shared" si="86"/>
        <v>4</v>
      </c>
      <c r="AL512">
        <v>13.85</v>
      </c>
      <c r="AM512" t="s">
        <v>27</v>
      </c>
      <c r="AN512">
        <v>13.85</v>
      </c>
      <c r="AO512" t="b">
        <f t="shared" si="87"/>
        <v>1</v>
      </c>
      <c r="AR512" t="s">
        <v>5061</v>
      </c>
      <c r="AS512" s="21">
        <v>46276</v>
      </c>
      <c r="AT512" t="s">
        <v>5062</v>
      </c>
      <c r="AU512" t="s">
        <v>5072</v>
      </c>
      <c r="AV512" t="s">
        <v>5062</v>
      </c>
      <c r="AW512" t="s">
        <v>5086</v>
      </c>
    </row>
    <row r="513" spans="1:49" hidden="1" x14ac:dyDescent="0.35">
      <c r="A513" t="s">
        <v>871</v>
      </c>
      <c r="B513" t="s">
        <v>872</v>
      </c>
      <c r="C513" t="s">
        <v>4818</v>
      </c>
      <c r="D513" t="s">
        <v>18</v>
      </c>
      <c r="E513" t="s">
        <v>2354</v>
      </c>
      <c r="F513" t="s">
        <v>2355</v>
      </c>
      <c r="G513" t="s">
        <v>21</v>
      </c>
      <c r="H513" t="s">
        <v>4826</v>
      </c>
      <c r="I513" t="s">
        <v>4976</v>
      </c>
      <c r="J513" s="4" t="s">
        <v>4977</v>
      </c>
      <c r="K513" s="4" t="s">
        <v>4832</v>
      </c>
      <c r="L513" s="4" t="s">
        <v>4962</v>
      </c>
      <c r="M513" s="4" t="s">
        <v>5035</v>
      </c>
      <c r="N513" t="s">
        <v>15</v>
      </c>
      <c r="O513" t="s">
        <v>2356</v>
      </c>
      <c r="P513" t="s">
        <v>23</v>
      </c>
      <c r="Q513" t="s">
        <v>24</v>
      </c>
      <c r="R513" t="s">
        <v>25</v>
      </c>
      <c r="S513" t="s">
        <v>26</v>
      </c>
      <c r="T513" s="6">
        <v>46307</v>
      </c>
      <c r="U513">
        <v>12</v>
      </c>
      <c r="V513">
        <v>12</v>
      </c>
      <c r="W513">
        <v>12</v>
      </c>
      <c r="X513">
        <v>12</v>
      </c>
      <c r="Y513">
        <f t="shared" si="82"/>
        <v>0</v>
      </c>
      <c r="Z513">
        <f t="shared" si="83"/>
        <v>0</v>
      </c>
      <c r="AC513" s="1">
        <v>0</v>
      </c>
      <c r="AF513">
        <f t="shared" si="90"/>
        <v>12</v>
      </c>
      <c r="AG513" s="41">
        <v>12</v>
      </c>
      <c r="AH513">
        <f t="shared" si="84"/>
        <v>12</v>
      </c>
      <c r="AI513">
        <f t="shared" si="85"/>
        <v>0</v>
      </c>
      <c r="AK513">
        <f t="shared" si="86"/>
        <v>1</v>
      </c>
      <c r="AL513">
        <v>13.85</v>
      </c>
      <c r="AM513" t="s">
        <v>27</v>
      </c>
      <c r="AN513">
        <v>13.85</v>
      </c>
      <c r="AO513" t="b">
        <f t="shared" si="87"/>
        <v>1</v>
      </c>
      <c r="AR513" t="s">
        <v>5061</v>
      </c>
      <c r="AS513" s="21">
        <v>46276</v>
      </c>
      <c r="AT513" t="s">
        <v>5062</v>
      </c>
      <c r="AU513" t="s">
        <v>5072</v>
      </c>
      <c r="AV513" t="s">
        <v>5062</v>
      </c>
      <c r="AW513" t="s">
        <v>5086</v>
      </c>
    </row>
    <row r="514" spans="1:49" hidden="1" x14ac:dyDescent="0.35">
      <c r="A514" t="s">
        <v>871</v>
      </c>
      <c r="B514" t="s">
        <v>872</v>
      </c>
      <c r="C514" t="s">
        <v>4818</v>
      </c>
      <c r="D514" t="s">
        <v>18</v>
      </c>
      <c r="E514" t="s">
        <v>2357</v>
      </c>
      <c r="F514" t="s">
        <v>2358</v>
      </c>
      <c r="G514" t="s">
        <v>21</v>
      </c>
      <c r="H514" t="s">
        <v>4826</v>
      </c>
      <c r="I514" t="s">
        <v>4976</v>
      </c>
      <c r="J514" s="4" t="s">
        <v>4977</v>
      </c>
      <c r="K514" s="4" t="s">
        <v>4837</v>
      </c>
      <c r="L514" s="4" t="s">
        <v>4938</v>
      </c>
      <c r="M514" s="4" t="s">
        <v>5035</v>
      </c>
      <c r="N514" t="s">
        <v>15</v>
      </c>
      <c r="O514" t="s">
        <v>2359</v>
      </c>
      <c r="P514" t="s">
        <v>23</v>
      </c>
      <c r="Q514" t="s">
        <v>24</v>
      </c>
      <c r="R514" t="s">
        <v>25</v>
      </c>
      <c r="S514" t="s">
        <v>26</v>
      </c>
      <c r="T514" s="6">
        <v>46307</v>
      </c>
      <c r="U514">
        <v>324</v>
      </c>
      <c r="V514">
        <v>324</v>
      </c>
      <c r="W514">
        <v>348</v>
      </c>
      <c r="X514">
        <v>348</v>
      </c>
      <c r="Y514">
        <f t="shared" si="82"/>
        <v>0</v>
      </c>
      <c r="Z514">
        <f t="shared" si="83"/>
        <v>-24</v>
      </c>
      <c r="AC514" s="1"/>
      <c r="AF514">
        <f t="shared" si="90"/>
        <v>324</v>
      </c>
      <c r="AG514" s="41">
        <v>12</v>
      </c>
      <c r="AH514">
        <f t="shared" si="84"/>
        <v>324</v>
      </c>
      <c r="AI514">
        <f t="shared" si="85"/>
        <v>0</v>
      </c>
      <c r="AK514">
        <f t="shared" si="86"/>
        <v>27</v>
      </c>
      <c r="AL514">
        <v>13.85</v>
      </c>
      <c r="AM514" t="s">
        <v>27</v>
      </c>
      <c r="AN514">
        <v>13.85</v>
      </c>
      <c r="AO514" t="b">
        <f t="shared" si="87"/>
        <v>1</v>
      </c>
      <c r="AR514" t="s">
        <v>5061</v>
      </c>
      <c r="AS514" s="21">
        <v>46276</v>
      </c>
      <c r="AT514" t="s">
        <v>5062</v>
      </c>
      <c r="AU514" t="s">
        <v>5072</v>
      </c>
      <c r="AV514" t="s">
        <v>5062</v>
      </c>
      <c r="AW514" t="s">
        <v>5086</v>
      </c>
    </row>
    <row r="515" spans="1:49" hidden="1" x14ac:dyDescent="0.35">
      <c r="A515" t="s">
        <v>871</v>
      </c>
      <c r="B515" t="s">
        <v>872</v>
      </c>
      <c r="C515" t="s">
        <v>4818</v>
      </c>
      <c r="D515" t="s">
        <v>18</v>
      </c>
      <c r="E515" t="s">
        <v>2360</v>
      </c>
      <c r="F515" t="s">
        <v>2361</v>
      </c>
      <c r="G515" t="s">
        <v>21</v>
      </c>
      <c r="H515" t="s">
        <v>4826</v>
      </c>
      <c r="I515" t="s">
        <v>4976</v>
      </c>
      <c r="J515" s="4" t="s">
        <v>4977</v>
      </c>
      <c r="K515" s="4" t="s">
        <v>4832</v>
      </c>
      <c r="L515" s="4" t="s">
        <v>4973</v>
      </c>
      <c r="M515" s="4" t="s">
        <v>5035</v>
      </c>
      <c r="N515" t="s">
        <v>15</v>
      </c>
      <c r="O515" t="s">
        <v>2362</v>
      </c>
      <c r="P515" t="s">
        <v>23</v>
      </c>
      <c r="Q515" t="s">
        <v>24</v>
      </c>
      <c r="R515" t="s">
        <v>25</v>
      </c>
      <c r="S515" t="s">
        <v>26</v>
      </c>
      <c r="T515" s="6">
        <v>46307</v>
      </c>
      <c r="U515">
        <v>156</v>
      </c>
      <c r="V515">
        <v>156</v>
      </c>
      <c r="W515">
        <v>168</v>
      </c>
      <c r="X515">
        <v>168</v>
      </c>
      <c r="Y515">
        <f t="shared" ref="Y515:Y578" si="91">W515-X515</f>
        <v>0</v>
      </c>
      <c r="Z515">
        <f t="shared" ref="Z515:Z578" si="92">V515-X515</f>
        <v>-12</v>
      </c>
      <c r="AC515" s="1">
        <v>0</v>
      </c>
      <c r="AF515">
        <f t="shared" ref="AF515:AF536" si="93">V515</f>
        <v>156</v>
      </c>
      <c r="AG515" s="41">
        <v>12</v>
      </c>
      <c r="AH515">
        <f t="shared" ref="AH515:AH578" si="94">ROUNDUP(AF515/AG515,0)*AG515</f>
        <v>156</v>
      </c>
      <c r="AI515">
        <f t="shared" ref="AI515:AI578" si="95">V515-AH515</f>
        <v>0</v>
      </c>
      <c r="AK515">
        <f t="shared" ref="AK515:AK578" si="96">AH515/AG515</f>
        <v>13</v>
      </c>
      <c r="AL515">
        <v>13.85</v>
      </c>
      <c r="AM515" t="s">
        <v>27</v>
      </c>
      <c r="AN515">
        <v>13.85</v>
      </c>
      <c r="AO515" t="b">
        <f t="shared" ref="AO515:AO578" si="97">AL515=AN515</f>
        <v>1</v>
      </c>
      <c r="AR515" t="s">
        <v>5061</v>
      </c>
      <c r="AS515" s="21">
        <v>46276</v>
      </c>
      <c r="AT515" t="s">
        <v>5062</v>
      </c>
      <c r="AU515" t="s">
        <v>5072</v>
      </c>
      <c r="AV515" t="s">
        <v>5062</v>
      </c>
      <c r="AW515" t="s">
        <v>5086</v>
      </c>
    </row>
    <row r="516" spans="1:49" hidden="1" x14ac:dyDescent="0.35">
      <c r="A516" t="s">
        <v>871</v>
      </c>
      <c r="B516" t="s">
        <v>872</v>
      </c>
      <c r="C516" t="s">
        <v>4818</v>
      </c>
      <c r="D516" t="s">
        <v>18</v>
      </c>
      <c r="E516" t="s">
        <v>2363</v>
      </c>
      <c r="F516" t="s">
        <v>2364</v>
      </c>
      <c r="G516" t="s">
        <v>21</v>
      </c>
      <c r="H516" t="s">
        <v>4826</v>
      </c>
      <c r="I516" t="s">
        <v>4976</v>
      </c>
      <c r="J516" s="4" t="s">
        <v>4977</v>
      </c>
      <c r="K516" s="4" t="s">
        <v>4957</v>
      </c>
      <c r="L516" s="4" t="s">
        <v>4974</v>
      </c>
      <c r="M516" s="4" t="s">
        <v>5035</v>
      </c>
      <c r="N516" t="s">
        <v>15</v>
      </c>
      <c r="O516" t="s">
        <v>2365</v>
      </c>
      <c r="P516" t="s">
        <v>23</v>
      </c>
      <c r="Q516" t="s">
        <v>24</v>
      </c>
      <c r="R516" t="s">
        <v>25</v>
      </c>
      <c r="S516" t="s">
        <v>26</v>
      </c>
      <c r="T516" s="6">
        <v>46307</v>
      </c>
      <c r="U516">
        <v>156</v>
      </c>
      <c r="V516">
        <v>156</v>
      </c>
      <c r="W516">
        <v>168</v>
      </c>
      <c r="X516">
        <v>168</v>
      </c>
      <c r="Y516">
        <f t="shared" si="91"/>
        <v>0</v>
      </c>
      <c r="Z516">
        <f t="shared" si="92"/>
        <v>-12</v>
      </c>
      <c r="AC516" s="1">
        <v>0</v>
      </c>
      <c r="AF516">
        <f t="shared" si="93"/>
        <v>156</v>
      </c>
      <c r="AG516" s="41">
        <v>12</v>
      </c>
      <c r="AH516">
        <f t="shared" si="94"/>
        <v>156</v>
      </c>
      <c r="AI516">
        <f t="shared" si="95"/>
        <v>0</v>
      </c>
      <c r="AK516">
        <f t="shared" si="96"/>
        <v>13</v>
      </c>
      <c r="AL516">
        <v>13.85</v>
      </c>
      <c r="AM516" t="s">
        <v>27</v>
      </c>
      <c r="AN516">
        <v>13.85</v>
      </c>
      <c r="AO516" t="b">
        <f t="shared" si="97"/>
        <v>1</v>
      </c>
      <c r="AR516" t="s">
        <v>5061</v>
      </c>
      <c r="AS516" s="21">
        <v>46276</v>
      </c>
      <c r="AT516" t="s">
        <v>5062</v>
      </c>
      <c r="AU516" t="s">
        <v>5072</v>
      </c>
      <c r="AV516" t="s">
        <v>5062</v>
      </c>
      <c r="AW516" t="s">
        <v>5086</v>
      </c>
    </row>
    <row r="517" spans="1:49" hidden="1" x14ac:dyDescent="0.35">
      <c r="A517" t="s">
        <v>871</v>
      </c>
      <c r="B517" t="s">
        <v>872</v>
      </c>
      <c r="C517" t="s">
        <v>4818</v>
      </c>
      <c r="D517" t="s">
        <v>18</v>
      </c>
      <c r="E517" t="s">
        <v>2366</v>
      </c>
      <c r="F517" t="s">
        <v>2367</v>
      </c>
      <c r="G517" t="s">
        <v>21</v>
      </c>
      <c r="H517" t="s">
        <v>4826</v>
      </c>
      <c r="I517" t="s">
        <v>4976</v>
      </c>
      <c r="J517" s="4" t="s">
        <v>4977</v>
      </c>
      <c r="K517" s="4" t="s">
        <v>4957</v>
      </c>
      <c r="L517" s="4" t="s">
        <v>4968</v>
      </c>
      <c r="M517" s="4" t="s">
        <v>5035</v>
      </c>
      <c r="N517" t="s">
        <v>15</v>
      </c>
      <c r="O517" t="s">
        <v>2368</v>
      </c>
      <c r="P517" t="s">
        <v>23</v>
      </c>
      <c r="Q517" t="s">
        <v>24</v>
      </c>
      <c r="R517" t="s">
        <v>25</v>
      </c>
      <c r="S517" t="s">
        <v>26</v>
      </c>
      <c r="T517" s="6">
        <v>46307</v>
      </c>
      <c r="U517">
        <v>60</v>
      </c>
      <c r="V517">
        <v>60</v>
      </c>
      <c r="W517">
        <v>72</v>
      </c>
      <c r="X517">
        <v>72</v>
      </c>
      <c r="Y517">
        <f t="shared" si="91"/>
        <v>0</v>
      </c>
      <c r="Z517">
        <f t="shared" si="92"/>
        <v>-12</v>
      </c>
      <c r="AC517" s="1">
        <v>0</v>
      </c>
      <c r="AF517">
        <f t="shared" si="93"/>
        <v>60</v>
      </c>
      <c r="AG517" s="41">
        <v>12</v>
      </c>
      <c r="AH517">
        <f t="shared" si="94"/>
        <v>60</v>
      </c>
      <c r="AI517">
        <f t="shared" si="95"/>
        <v>0</v>
      </c>
      <c r="AK517">
        <f t="shared" si="96"/>
        <v>5</v>
      </c>
      <c r="AL517">
        <v>13.85</v>
      </c>
      <c r="AM517" t="s">
        <v>27</v>
      </c>
      <c r="AN517">
        <v>13.85</v>
      </c>
      <c r="AO517" t="b">
        <f t="shared" si="97"/>
        <v>1</v>
      </c>
      <c r="AR517" t="s">
        <v>5061</v>
      </c>
      <c r="AS517" s="21">
        <v>46276</v>
      </c>
      <c r="AT517" t="s">
        <v>5062</v>
      </c>
      <c r="AU517" t="s">
        <v>5072</v>
      </c>
      <c r="AV517" t="s">
        <v>5062</v>
      </c>
      <c r="AW517" t="s">
        <v>5086</v>
      </c>
    </row>
    <row r="518" spans="1:49" hidden="1" x14ac:dyDescent="0.35">
      <c r="A518" t="s">
        <v>871</v>
      </c>
      <c r="B518" t="s">
        <v>872</v>
      </c>
      <c r="C518" t="s">
        <v>4818</v>
      </c>
      <c r="D518" t="s">
        <v>18</v>
      </c>
      <c r="E518" t="s">
        <v>2369</v>
      </c>
      <c r="F518" t="s">
        <v>2370</v>
      </c>
      <c r="G518" t="s">
        <v>21</v>
      </c>
      <c r="H518" t="s">
        <v>4826</v>
      </c>
      <c r="I518" t="s">
        <v>4976</v>
      </c>
      <c r="J518" s="4" t="s">
        <v>4977</v>
      </c>
      <c r="K518" s="4" t="s">
        <v>4957</v>
      </c>
      <c r="L518" s="4" t="s">
        <v>4960</v>
      </c>
      <c r="M518" s="4" t="s">
        <v>5035</v>
      </c>
      <c r="N518" t="s">
        <v>15</v>
      </c>
      <c r="O518" t="s">
        <v>2371</v>
      </c>
      <c r="P518" t="s">
        <v>23</v>
      </c>
      <c r="Q518" t="s">
        <v>24</v>
      </c>
      <c r="R518" t="s">
        <v>25</v>
      </c>
      <c r="S518" t="s">
        <v>26</v>
      </c>
      <c r="T518" s="6">
        <v>46307</v>
      </c>
      <c r="U518">
        <v>108</v>
      </c>
      <c r="V518">
        <v>108</v>
      </c>
      <c r="W518">
        <v>120</v>
      </c>
      <c r="X518">
        <v>120</v>
      </c>
      <c r="Y518">
        <f t="shared" si="91"/>
        <v>0</v>
      </c>
      <c r="Z518">
        <f t="shared" si="92"/>
        <v>-12</v>
      </c>
      <c r="AC518" s="1">
        <v>0</v>
      </c>
      <c r="AF518">
        <f t="shared" si="93"/>
        <v>108</v>
      </c>
      <c r="AG518" s="41">
        <v>12</v>
      </c>
      <c r="AH518">
        <f t="shared" si="94"/>
        <v>108</v>
      </c>
      <c r="AI518">
        <f t="shared" si="95"/>
        <v>0</v>
      </c>
      <c r="AK518">
        <f t="shared" si="96"/>
        <v>9</v>
      </c>
      <c r="AL518">
        <v>13.85</v>
      </c>
      <c r="AM518" t="s">
        <v>27</v>
      </c>
      <c r="AN518">
        <v>13.85</v>
      </c>
      <c r="AO518" t="b">
        <f t="shared" si="97"/>
        <v>1</v>
      </c>
      <c r="AR518" t="s">
        <v>5061</v>
      </c>
      <c r="AS518" s="21">
        <v>46276</v>
      </c>
      <c r="AT518" t="s">
        <v>5062</v>
      </c>
      <c r="AU518" t="s">
        <v>5072</v>
      </c>
      <c r="AV518" t="s">
        <v>5062</v>
      </c>
      <c r="AW518" t="s">
        <v>5086</v>
      </c>
    </row>
    <row r="519" spans="1:49" hidden="1" x14ac:dyDescent="0.35">
      <c r="A519" t="s">
        <v>871</v>
      </c>
      <c r="B519" t="s">
        <v>872</v>
      </c>
      <c r="C519" t="s">
        <v>4818</v>
      </c>
      <c r="D519" t="s">
        <v>18</v>
      </c>
      <c r="E519" t="s">
        <v>2372</v>
      </c>
      <c r="F519" t="s">
        <v>2373</v>
      </c>
      <c r="G519" t="s">
        <v>21</v>
      </c>
      <c r="H519" t="s">
        <v>4826</v>
      </c>
      <c r="I519" t="s">
        <v>4976</v>
      </c>
      <c r="J519" s="4" t="s">
        <v>4977</v>
      </c>
      <c r="K519" s="4" t="s">
        <v>4831</v>
      </c>
      <c r="L519" s="4" t="s">
        <v>4958</v>
      </c>
      <c r="M519" s="4" t="s">
        <v>5035</v>
      </c>
      <c r="N519" t="s">
        <v>15</v>
      </c>
      <c r="O519" t="s">
        <v>2374</v>
      </c>
      <c r="P519" t="s">
        <v>23</v>
      </c>
      <c r="Q519" t="s">
        <v>24</v>
      </c>
      <c r="R519" t="s">
        <v>25</v>
      </c>
      <c r="S519" t="s">
        <v>26</v>
      </c>
      <c r="T519" s="6">
        <v>46307</v>
      </c>
      <c r="U519">
        <v>84</v>
      </c>
      <c r="V519">
        <v>84</v>
      </c>
      <c r="W519">
        <v>84</v>
      </c>
      <c r="X519">
        <v>84</v>
      </c>
      <c r="Y519">
        <f t="shared" si="91"/>
        <v>0</v>
      </c>
      <c r="Z519">
        <f t="shared" si="92"/>
        <v>0</v>
      </c>
      <c r="AC519" s="1">
        <v>0</v>
      </c>
      <c r="AF519">
        <f t="shared" si="93"/>
        <v>84</v>
      </c>
      <c r="AG519" s="41">
        <v>12</v>
      </c>
      <c r="AH519">
        <f t="shared" si="94"/>
        <v>84</v>
      </c>
      <c r="AI519">
        <f t="shared" si="95"/>
        <v>0</v>
      </c>
      <c r="AK519">
        <f t="shared" si="96"/>
        <v>7</v>
      </c>
      <c r="AL519">
        <v>13.85</v>
      </c>
      <c r="AM519" t="s">
        <v>27</v>
      </c>
      <c r="AN519">
        <v>13.85</v>
      </c>
      <c r="AO519" t="b">
        <f t="shared" si="97"/>
        <v>1</v>
      </c>
      <c r="AR519" t="s">
        <v>5061</v>
      </c>
      <c r="AS519" s="21">
        <v>46276</v>
      </c>
      <c r="AT519" t="s">
        <v>5062</v>
      </c>
      <c r="AU519" t="s">
        <v>5072</v>
      </c>
      <c r="AV519" t="s">
        <v>5062</v>
      </c>
      <c r="AW519" t="s">
        <v>5086</v>
      </c>
    </row>
    <row r="520" spans="1:49" hidden="1" x14ac:dyDescent="0.35">
      <c r="A520" t="s">
        <v>871</v>
      </c>
      <c r="B520" t="s">
        <v>872</v>
      </c>
      <c r="C520" t="s">
        <v>4818</v>
      </c>
      <c r="D520" t="s">
        <v>18</v>
      </c>
      <c r="E520" t="s">
        <v>2375</v>
      </c>
      <c r="F520" t="s">
        <v>2376</v>
      </c>
      <c r="G520" t="s">
        <v>21</v>
      </c>
      <c r="H520" t="s">
        <v>4826</v>
      </c>
      <c r="I520" t="s">
        <v>4976</v>
      </c>
      <c r="J520" s="4" t="s">
        <v>4977</v>
      </c>
      <c r="K520" s="4" t="s">
        <v>4957</v>
      </c>
      <c r="L520" s="4" t="s">
        <v>4956</v>
      </c>
      <c r="M520" s="4" t="s">
        <v>5035</v>
      </c>
      <c r="N520" t="s">
        <v>15</v>
      </c>
      <c r="O520" t="s">
        <v>2377</v>
      </c>
      <c r="P520" t="s">
        <v>23</v>
      </c>
      <c r="Q520" t="s">
        <v>24</v>
      </c>
      <c r="R520" t="s">
        <v>25</v>
      </c>
      <c r="S520" t="s">
        <v>26</v>
      </c>
      <c r="T520" s="6">
        <v>46307</v>
      </c>
      <c r="U520">
        <v>12</v>
      </c>
      <c r="V520">
        <v>12</v>
      </c>
      <c r="W520">
        <v>12</v>
      </c>
      <c r="X520">
        <v>12</v>
      </c>
      <c r="Y520">
        <f t="shared" si="91"/>
        <v>0</v>
      </c>
      <c r="Z520">
        <f t="shared" si="92"/>
        <v>0</v>
      </c>
      <c r="AC520" s="1">
        <v>0</v>
      </c>
      <c r="AF520">
        <f t="shared" si="93"/>
        <v>12</v>
      </c>
      <c r="AG520" s="41">
        <v>12</v>
      </c>
      <c r="AH520">
        <f t="shared" si="94"/>
        <v>12</v>
      </c>
      <c r="AI520">
        <f t="shared" si="95"/>
        <v>0</v>
      </c>
      <c r="AK520">
        <f t="shared" si="96"/>
        <v>1</v>
      </c>
      <c r="AL520">
        <v>13.85</v>
      </c>
      <c r="AM520" t="s">
        <v>27</v>
      </c>
      <c r="AN520">
        <v>13.85</v>
      </c>
      <c r="AO520" t="b">
        <f t="shared" si="97"/>
        <v>1</v>
      </c>
      <c r="AR520" t="s">
        <v>5061</v>
      </c>
      <c r="AS520" s="21">
        <v>46276</v>
      </c>
      <c r="AT520" t="s">
        <v>5062</v>
      </c>
      <c r="AU520" t="s">
        <v>5072</v>
      </c>
      <c r="AV520" t="s">
        <v>5062</v>
      </c>
      <c r="AW520" t="s">
        <v>5086</v>
      </c>
    </row>
    <row r="521" spans="1:49" hidden="1" x14ac:dyDescent="0.35">
      <c r="A521" t="s">
        <v>871</v>
      </c>
      <c r="B521" t="s">
        <v>872</v>
      </c>
      <c r="C521" t="s">
        <v>4818</v>
      </c>
      <c r="D521" t="s">
        <v>18</v>
      </c>
      <c r="E521" t="s">
        <v>2378</v>
      </c>
      <c r="F521" t="s">
        <v>2379</v>
      </c>
      <c r="G521" t="s">
        <v>21</v>
      </c>
      <c r="H521" t="s">
        <v>4826</v>
      </c>
      <c r="I521" t="s">
        <v>4976</v>
      </c>
      <c r="J521" s="4" t="s">
        <v>4977</v>
      </c>
      <c r="K521" s="4" t="s">
        <v>4837</v>
      </c>
      <c r="L521" s="4" t="s">
        <v>4973</v>
      </c>
      <c r="M521" s="4" t="s">
        <v>5035</v>
      </c>
      <c r="N521" t="s">
        <v>15</v>
      </c>
      <c r="O521" t="s">
        <v>2380</v>
      </c>
      <c r="P521" t="s">
        <v>23</v>
      </c>
      <c r="Q521" t="s">
        <v>24</v>
      </c>
      <c r="R521" t="s">
        <v>25</v>
      </c>
      <c r="S521" t="s">
        <v>26</v>
      </c>
      <c r="T521" s="6">
        <v>46307</v>
      </c>
      <c r="U521">
        <v>228</v>
      </c>
      <c r="V521">
        <v>228</v>
      </c>
      <c r="W521">
        <v>240</v>
      </c>
      <c r="X521">
        <v>240</v>
      </c>
      <c r="Y521">
        <f t="shared" si="91"/>
        <v>0</v>
      </c>
      <c r="Z521">
        <f t="shared" si="92"/>
        <v>-12</v>
      </c>
      <c r="AC521" s="1">
        <v>0</v>
      </c>
      <c r="AF521">
        <f t="shared" si="93"/>
        <v>228</v>
      </c>
      <c r="AG521" s="41">
        <v>12</v>
      </c>
      <c r="AH521">
        <f t="shared" si="94"/>
        <v>228</v>
      </c>
      <c r="AI521">
        <f t="shared" si="95"/>
        <v>0</v>
      </c>
      <c r="AK521">
        <f t="shared" si="96"/>
        <v>19</v>
      </c>
      <c r="AL521">
        <v>13.85</v>
      </c>
      <c r="AM521" t="s">
        <v>27</v>
      </c>
      <c r="AN521">
        <v>13.85</v>
      </c>
      <c r="AO521" t="b">
        <f t="shared" si="97"/>
        <v>1</v>
      </c>
      <c r="AR521" t="s">
        <v>5061</v>
      </c>
      <c r="AS521" s="21">
        <v>46276</v>
      </c>
      <c r="AT521" t="s">
        <v>5062</v>
      </c>
      <c r="AU521" t="s">
        <v>5072</v>
      </c>
      <c r="AV521" t="s">
        <v>5062</v>
      </c>
      <c r="AW521" t="s">
        <v>5086</v>
      </c>
    </row>
    <row r="522" spans="1:49" hidden="1" x14ac:dyDescent="0.35">
      <c r="A522" t="s">
        <v>871</v>
      </c>
      <c r="B522" t="s">
        <v>872</v>
      </c>
      <c r="C522" t="s">
        <v>4818</v>
      </c>
      <c r="D522" t="s">
        <v>18</v>
      </c>
      <c r="E522" t="s">
        <v>2381</v>
      </c>
      <c r="F522" t="s">
        <v>2382</v>
      </c>
      <c r="G522" t="s">
        <v>21</v>
      </c>
      <c r="H522" t="s">
        <v>4826</v>
      </c>
      <c r="I522" t="s">
        <v>4976</v>
      </c>
      <c r="J522" s="4" t="s">
        <v>4977</v>
      </c>
      <c r="K522" s="4" t="s">
        <v>4978</v>
      </c>
      <c r="L522" s="4" t="s">
        <v>4974</v>
      </c>
      <c r="M522" s="4" t="s">
        <v>5035</v>
      </c>
      <c r="N522" t="s">
        <v>15</v>
      </c>
      <c r="O522" t="s">
        <v>2383</v>
      </c>
      <c r="P522" t="s">
        <v>23</v>
      </c>
      <c r="Q522" t="s">
        <v>24</v>
      </c>
      <c r="R522" t="s">
        <v>25</v>
      </c>
      <c r="S522" t="s">
        <v>26</v>
      </c>
      <c r="T522" s="6">
        <v>46307</v>
      </c>
      <c r="U522">
        <v>60</v>
      </c>
      <c r="V522">
        <v>60</v>
      </c>
      <c r="W522">
        <v>60</v>
      </c>
      <c r="X522">
        <v>60</v>
      </c>
      <c r="Y522">
        <f t="shared" si="91"/>
        <v>0</v>
      </c>
      <c r="Z522">
        <f t="shared" si="92"/>
        <v>0</v>
      </c>
      <c r="AC522" s="1">
        <v>0</v>
      </c>
      <c r="AF522">
        <f t="shared" si="93"/>
        <v>60</v>
      </c>
      <c r="AG522" s="41">
        <v>12</v>
      </c>
      <c r="AH522">
        <f t="shared" si="94"/>
        <v>60</v>
      </c>
      <c r="AI522">
        <f t="shared" si="95"/>
        <v>0</v>
      </c>
      <c r="AK522">
        <f t="shared" si="96"/>
        <v>5</v>
      </c>
      <c r="AL522">
        <v>13.85</v>
      </c>
      <c r="AM522" t="s">
        <v>27</v>
      </c>
      <c r="AN522">
        <v>13.85</v>
      </c>
      <c r="AO522" t="b">
        <f t="shared" si="97"/>
        <v>1</v>
      </c>
      <c r="AR522" t="s">
        <v>5061</v>
      </c>
      <c r="AS522" s="21">
        <v>46276</v>
      </c>
      <c r="AT522" t="s">
        <v>5062</v>
      </c>
      <c r="AU522" t="s">
        <v>5072</v>
      </c>
      <c r="AV522" t="s">
        <v>5062</v>
      </c>
      <c r="AW522" t="s">
        <v>5086</v>
      </c>
    </row>
    <row r="523" spans="1:49" hidden="1" x14ac:dyDescent="0.35">
      <c r="A523" t="s">
        <v>871</v>
      </c>
      <c r="B523" t="s">
        <v>872</v>
      </c>
      <c r="C523" t="s">
        <v>4818</v>
      </c>
      <c r="D523" t="s">
        <v>18</v>
      </c>
      <c r="E523" t="s">
        <v>2384</v>
      </c>
      <c r="F523" t="s">
        <v>2385</v>
      </c>
      <c r="G523" t="s">
        <v>21</v>
      </c>
      <c r="H523" t="s">
        <v>4826</v>
      </c>
      <c r="I523" t="s">
        <v>4976</v>
      </c>
      <c r="J523" s="4" t="s">
        <v>4977</v>
      </c>
      <c r="K523" s="4" t="s">
        <v>4832</v>
      </c>
      <c r="L523" s="4" t="s">
        <v>4939</v>
      </c>
      <c r="M523" s="4" t="s">
        <v>5035</v>
      </c>
      <c r="N523" t="s">
        <v>15</v>
      </c>
      <c r="O523" t="s">
        <v>2386</v>
      </c>
      <c r="P523" t="s">
        <v>23</v>
      </c>
      <c r="Q523" t="s">
        <v>24</v>
      </c>
      <c r="R523" t="s">
        <v>25</v>
      </c>
      <c r="S523" t="s">
        <v>26</v>
      </c>
      <c r="T523" s="6">
        <v>46307</v>
      </c>
      <c r="U523">
        <v>60</v>
      </c>
      <c r="V523">
        <v>60</v>
      </c>
      <c r="W523">
        <v>60</v>
      </c>
      <c r="X523">
        <v>60</v>
      </c>
      <c r="Y523">
        <f t="shared" si="91"/>
        <v>0</v>
      </c>
      <c r="Z523">
        <f t="shared" si="92"/>
        <v>0</v>
      </c>
      <c r="AC523" s="1">
        <v>0</v>
      </c>
      <c r="AF523">
        <f t="shared" si="93"/>
        <v>60</v>
      </c>
      <c r="AG523" s="41">
        <v>12</v>
      </c>
      <c r="AH523">
        <f t="shared" si="94"/>
        <v>60</v>
      </c>
      <c r="AI523">
        <f t="shared" si="95"/>
        <v>0</v>
      </c>
      <c r="AK523">
        <f t="shared" si="96"/>
        <v>5</v>
      </c>
      <c r="AL523">
        <v>13.85</v>
      </c>
      <c r="AM523" t="s">
        <v>27</v>
      </c>
      <c r="AN523">
        <v>13.85</v>
      </c>
      <c r="AO523" t="b">
        <f t="shared" si="97"/>
        <v>1</v>
      </c>
      <c r="AR523" t="s">
        <v>5061</v>
      </c>
      <c r="AS523" s="21">
        <v>46276</v>
      </c>
      <c r="AT523" t="s">
        <v>5062</v>
      </c>
      <c r="AU523" t="s">
        <v>5072</v>
      </c>
      <c r="AV523" t="s">
        <v>5062</v>
      </c>
      <c r="AW523" t="s">
        <v>5086</v>
      </c>
    </row>
    <row r="524" spans="1:49" hidden="1" x14ac:dyDescent="0.35">
      <c r="A524" t="s">
        <v>871</v>
      </c>
      <c r="B524" t="s">
        <v>872</v>
      </c>
      <c r="C524" t="s">
        <v>4818</v>
      </c>
      <c r="D524" t="s">
        <v>18</v>
      </c>
      <c r="E524" t="s">
        <v>2387</v>
      </c>
      <c r="F524" t="s">
        <v>2388</v>
      </c>
      <c r="G524" t="s">
        <v>21</v>
      </c>
      <c r="H524" t="s">
        <v>4826</v>
      </c>
      <c r="I524" t="s">
        <v>4976</v>
      </c>
      <c r="J524" s="4" t="s">
        <v>4977</v>
      </c>
      <c r="K524" s="4" t="s">
        <v>4831</v>
      </c>
      <c r="L524" s="4" t="s">
        <v>4956</v>
      </c>
      <c r="M524" s="4" t="s">
        <v>5035</v>
      </c>
      <c r="N524" t="s">
        <v>15</v>
      </c>
      <c r="O524" t="s">
        <v>2389</v>
      </c>
      <c r="P524" t="s">
        <v>23</v>
      </c>
      <c r="Q524" t="s">
        <v>24</v>
      </c>
      <c r="R524" t="s">
        <v>25</v>
      </c>
      <c r="S524" t="s">
        <v>26</v>
      </c>
      <c r="T524" s="6">
        <v>46307</v>
      </c>
      <c r="U524">
        <v>12</v>
      </c>
      <c r="V524">
        <v>12</v>
      </c>
      <c r="W524">
        <v>12</v>
      </c>
      <c r="X524">
        <v>12</v>
      </c>
      <c r="Y524">
        <f t="shared" si="91"/>
        <v>0</v>
      </c>
      <c r="Z524">
        <f t="shared" si="92"/>
        <v>0</v>
      </c>
      <c r="AC524" s="1">
        <v>0</v>
      </c>
      <c r="AF524">
        <f t="shared" si="93"/>
        <v>12</v>
      </c>
      <c r="AG524" s="41">
        <v>12</v>
      </c>
      <c r="AH524">
        <f t="shared" si="94"/>
        <v>12</v>
      </c>
      <c r="AI524">
        <f t="shared" si="95"/>
        <v>0</v>
      </c>
      <c r="AK524">
        <f t="shared" si="96"/>
        <v>1</v>
      </c>
      <c r="AL524">
        <v>13.85</v>
      </c>
      <c r="AM524" t="s">
        <v>27</v>
      </c>
      <c r="AN524">
        <v>13.85</v>
      </c>
      <c r="AO524" t="b">
        <f t="shared" si="97"/>
        <v>1</v>
      </c>
      <c r="AR524" t="s">
        <v>5061</v>
      </c>
      <c r="AS524" s="21">
        <v>46276</v>
      </c>
      <c r="AT524" t="s">
        <v>5062</v>
      </c>
      <c r="AU524" t="s">
        <v>5072</v>
      </c>
      <c r="AV524" t="s">
        <v>5062</v>
      </c>
      <c r="AW524" t="s">
        <v>5086</v>
      </c>
    </row>
    <row r="525" spans="1:49" hidden="1" x14ac:dyDescent="0.35">
      <c r="A525" t="s">
        <v>871</v>
      </c>
      <c r="B525" t="s">
        <v>872</v>
      </c>
      <c r="C525" t="s">
        <v>4818</v>
      </c>
      <c r="D525" t="s">
        <v>18</v>
      </c>
      <c r="E525" t="s">
        <v>2390</v>
      </c>
      <c r="F525" t="s">
        <v>2391</v>
      </c>
      <c r="G525" t="s">
        <v>21</v>
      </c>
      <c r="H525" t="s">
        <v>4826</v>
      </c>
      <c r="I525" t="s">
        <v>4976</v>
      </c>
      <c r="J525" s="4" t="s">
        <v>4977</v>
      </c>
      <c r="K525" s="4" t="s">
        <v>4832</v>
      </c>
      <c r="L525" s="4" t="s">
        <v>4970</v>
      </c>
      <c r="M525" s="4" t="s">
        <v>5035</v>
      </c>
      <c r="N525" t="s">
        <v>15</v>
      </c>
      <c r="O525" t="s">
        <v>2392</v>
      </c>
      <c r="P525" t="s">
        <v>23</v>
      </c>
      <c r="Q525" t="s">
        <v>24</v>
      </c>
      <c r="R525" t="s">
        <v>25</v>
      </c>
      <c r="S525" t="s">
        <v>26</v>
      </c>
      <c r="T525" s="6">
        <v>46307</v>
      </c>
      <c r="U525">
        <v>36</v>
      </c>
      <c r="V525">
        <v>36</v>
      </c>
      <c r="W525">
        <v>36</v>
      </c>
      <c r="X525">
        <v>36</v>
      </c>
      <c r="Y525">
        <f t="shared" si="91"/>
        <v>0</v>
      </c>
      <c r="Z525">
        <f t="shared" si="92"/>
        <v>0</v>
      </c>
      <c r="AC525" s="1"/>
      <c r="AF525">
        <f t="shared" si="93"/>
        <v>36</v>
      </c>
      <c r="AG525" s="41">
        <v>12</v>
      </c>
      <c r="AH525">
        <f t="shared" si="94"/>
        <v>36</v>
      </c>
      <c r="AI525">
        <f t="shared" si="95"/>
        <v>0</v>
      </c>
      <c r="AK525">
        <f t="shared" si="96"/>
        <v>3</v>
      </c>
      <c r="AL525">
        <v>13.85</v>
      </c>
      <c r="AM525" t="s">
        <v>27</v>
      </c>
      <c r="AN525">
        <v>13.85</v>
      </c>
      <c r="AO525" t="b">
        <f t="shared" si="97"/>
        <v>1</v>
      </c>
      <c r="AR525" t="s">
        <v>5061</v>
      </c>
      <c r="AS525" s="21">
        <v>46276</v>
      </c>
      <c r="AT525" t="s">
        <v>5062</v>
      </c>
      <c r="AU525" t="s">
        <v>5072</v>
      </c>
      <c r="AV525" t="s">
        <v>5062</v>
      </c>
      <c r="AW525" t="s">
        <v>5086</v>
      </c>
    </row>
    <row r="526" spans="1:49" hidden="1" x14ac:dyDescent="0.35">
      <c r="A526" t="s">
        <v>871</v>
      </c>
      <c r="B526" t="s">
        <v>872</v>
      </c>
      <c r="C526" t="s">
        <v>4818</v>
      </c>
      <c r="D526" t="s">
        <v>18</v>
      </c>
      <c r="E526" t="s">
        <v>2393</v>
      </c>
      <c r="F526" t="s">
        <v>2394</v>
      </c>
      <c r="G526" t="s">
        <v>21</v>
      </c>
      <c r="H526" t="s">
        <v>4826</v>
      </c>
      <c r="I526" t="s">
        <v>4976</v>
      </c>
      <c r="J526" s="4" t="s">
        <v>4977</v>
      </c>
      <c r="K526" s="4" t="s">
        <v>4957</v>
      </c>
      <c r="L526" s="4" t="s">
        <v>4973</v>
      </c>
      <c r="M526" s="4" t="s">
        <v>5035</v>
      </c>
      <c r="N526" t="s">
        <v>15</v>
      </c>
      <c r="O526" t="s">
        <v>2395</v>
      </c>
      <c r="P526" t="s">
        <v>23</v>
      </c>
      <c r="Q526" t="s">
        <v>24</v>
      </c>
      <c r="R526" t="s">
        <v>25</v>
      </c>
      <c r="S526" t="s">
        <v>26</v>
      </c>
      <c r="T526" s="6">
        <v>46307</v>
      </c>
      <c r="U526">
        <v>24</v>
      </c>
      <c r="V526">
        <v>24</v>
      </c>
      <c r="W526">
        <v>24</v>
      </c>
      <c r="X526">
        <v>24</v>
      </c>
      <c r="Y526">
        <f t="shared" si="91"/>
        <v>0</v>
      </c>
      <c r="Z526">
        <f t="shared" si="92"/>
        <v>0</v>
      </c>
      <c r="AC526" s="1">
        <v>0</v>
      </c>
      <c r="AF526">
        <f t="shared" si="93"/>
        <v>24</v>
      </c>
      <c r="AG526" s="41">
        <v>12</v>
      </c>
      <c r="AH526">
        <f t="shared" si="94"/>
        <v>24</v>
      </c>
      <c r="AI526">
        <f t="shared" si="95"/>
        <v>0</v>
      </c>
      <c r="AK526">
        <f t="shared" si="96"/>
        <v>2</v>
      </c>
      <c r="AL526">
        <v>13.85</v>
      </c>
      <c r="AM526" t="s">
        <v>27</v>
      </c>
      <c r="AN526">
        <v>13.85</v>
      </c>
      <c r="AO526" t="b">
        <f t="shared" si="97"/>
        <v>1</v>
      </c>
      <c r="AR526" t="s">
        <v>5061</v>
      </c>
      <c r="AS526" s="21">
        <v>46276</v>
      </c>
      <c r="AT526" t="s">
        <v>5062</v>
      </c>
      <c r="AU526" t="s">
        <v>5072</v>
      </c>
      <c r="AV526" t="s">
        <v>5062</v>
      </c>
      <c r="AW526" t="s">
        <v>5086</v>
      </c>
    </row>
    <row r="527" spans="1:49" hidden="1" x14ac:dyDescent="0.35">
      <c r="A527" t="s">
        <v>871</v>
      </c>
      <c r="B527" t="s">
        <v>872</v>
      </c>
      <c r="C527" t="s">
        <v>4818</v>
      </c>
      <c r="D527" t="s">
        <v>18</v>
      </c>
      <c r="E527" t="s">
        <v>2396</v>
      </c>
      <c r="F527" t="s">
        <v>2397</v>
      </c>
      <c r="G527" t="s">
        <v>21</v>
      </c>
      <c r="H527" t="s">
        <v>4826</v>
      </c>
      <c r="I527" t="s">
        <v>4976</v>
      </c>
      <c r="J527" s="4" t="s">
        <v>4977</v>
      </c>
      <c r="K527" s="4" t="s">
        <v>4832</v>
      </c>
      <c r="L527" s="4" t="s">
        <v>4954</v>
      </c>
      <c r="M527" s="4" t="s">
        <v>5035</v>
      </c>
      <c r="N527" t="s">
        <v>15</v>
      </c>
      <c r="O527" t="s">
        <v>2398</v>
      </c>
      <c r="P527" t="s">
        <v>23</v>
      </c>
      <c r="Q527" t="s">
        <v>24</v>
      </c>
      <c r="R527" t="s">
        <v>25</v>
      </c>
      <c r="S527" t="s">
        <v>26</v>
      </c>
      <c r="T527" s="6">
        <v>46307</v>
      </c>
      <c r="U527">
        <v>60</v>
      </c>
      <c r="V527">
        <v>60</v>
      </c>
      <c r="W527">
        <v>72</v>
      </c>
      <c r="X527">
        <v>72</v>
      </c>
      <c r="Y527">
        <f t="shared" si="91"/>
        <v>0</v>
      </c>
      <c r="Z527">
        <f t="shared" si="92"/>
        <v>-12</v>
      </c>
      <c r="AC527" s="1">
        <v>0</v>
      </c>
      <c r="AF527">
        <f t="shared" si="93"/>
        <v>60</v>
      </c>
      <c r="AG527" s="41">
        <v>12</v>
      </c>
      <c r="AH527">
        <f t="shared" si="94"/>
        <v>60</v>
      </c>
      <c r="AI527">
        <f t="shared" si="95"/>
        <v>0</v>
      </c>
      <c r="AK527">
        <f t="shared" si="96"/>
        <v>5</v>
      </c>
      <c r="AL527">
        <v>13.85</v>
      </c>
      <c r="AM527" t="s">
        <v>27</v>
      </c>
      <c r="AN527">
        <v>13.85</v>
      </c>
      <c r="AO527" t="b">
        <f t="shared" si="97"/>
        <v>1</v>
      </c>
      <c r="AR527" t="s">
        <v>5061</v>
      </c>
      <c r="AS527" s="21">
        <v>46276</v>
      </c>
      <c r="AT527" t="s">
        <v>5062</v>
      </c>
      <c r="AU527" t="s">
        <v>5072</v>
      </c>
      <c r="AV527" t="s">
        <v>5062</v>
      </c>
      <c r="AW527" t="s">
        <v>5086</v>
      </c>
    </row>
    <row r="528" spans="1:49" hidden="1" x14ac:dyDescent="0.35">
      <c r="A528" t="s">
        <v>871</v>
      </c>
      <c r="B528" t="s">
        <v>872</v>
      </c>
      <c r="C528" t="s">
        <v>4818</v>
      </c>
      <c r="D528" t="s">
        <v>18</v>
      </c>
      <c r="E528" t="s">
        <v>2399</v>
      </c>
      <c r="F528" t="s">
        <v>2400</v>
      </c>
      <c r="G528" t="s">
        <v>21</v>
      </c>
      <c r="H528" t="s">
        <v>4826</v>
      </c>
      <c r="I528" t="s">
        <v>4976</v>
      </c>
      <c r="J528" s="4" t="s">
        <v>4977</v>
      </c>
      <c r="K528" s="4" t="s">
        <v>4832</v>
      </c>
      <c r="L528" s="4" t="s">
        <v>4943</v>
      </c>
      <c r="M528" s="4" t="s">
        <v>5035</v>
      </c>
      <c r="N528" t="s">
        <v>15</v>
      </c>
      <c r="O528" t="s">
        <v>2401</v>
      </c>
      <c r="P528" t="s">
        <v>23</v>
      </c>
      <c r="Q528" t="s">
        <v>24</v>
      </c>
      <c r="R528" t="s">
        <v>25</v>
      </c>
      <c r="S528" t="s">
        <v>26</v>
      </c>
      <c r="T528" s="6">
        <v>46307</v>
      </c>
      <c r="U528">
        <v>36</v>
      </c>
      <c r="V528">
        <v>36</v>
      </c>
      <c r="W528">
        <v>36</v>
      </c>
      <c r="X528">
        <v>36</v>
      </c>
      <c r="Y528">
        <f t="shared" si="91"/>
        <v>0</v>
      </c>
      <c r="Z528">
        <f t="shared" si="92"/>
        <v>0</v>
      </c>
      <c r="AC528" s="1">
        <v>0</v>
      </c>
      <c r="AF528">
        <f t="shared" si="93"/>
        <v>36</v>
      </c>
      <c r="AG528" s="41">
        <v>12</v>
      </c>
      <c r="AH528">
        <f t="shared" si="94"/>
        <v>36</v>
      </c>
      <c r="AI528">
        <f t="shared" si="95"/>
        <v>0</v>
      </c>
      <c r="AK528">
        <f t="shared" si="96"/>
        <v>3</v>
      </c>
      <c r="AL528">
        <v>13.85</v>
      </c>
      <c r="AM528" t="s">
        <v>27</v>
      </c>
      <c r="AN528">
        <v>13.85</v>
      </c>
      <c r="AO528" t="b">
        <f t="shared" si="97"/>
        <v>1</v>
      </c>
      <c r="AR528" t="s">
        <v>5061</v>
      </c>
      <c r="AS528" s="21">
        <v>46276</v>
      </c>
      <c r="AT528" t="s">
        <v>5062</v>
      </c>
      <c r="AU528" t="s">
        <v>5072</v>
      </c>
      <c r="AV528" t="s">
        <v>5062</v>
      </c>
      <c r="AW528" t="s">
        <v>5086</v>
      </c>
    </row>
    <row r="529" spans="1:49" hidden="1" x14ac:dyDescent="0.35">
      <c r="A529" t="s">
        <v>871</v>
      </c>
      <c r="B529" t="s">
        <v>872</v>
      </c>
      <c r="C529" t="s">
        <v>4818</v>
      </c>
      <c r="D529" t="s">
        <v>18</v>
      </c>
      <c r="E529" t="s">
        <v>2402</v>
      </c>
      <c r="F529" t="s">
        <v>2403</v>
      </c>
      <c r="G529" t="s">
        <v>21</v>
      </c>
      <c r="H529" t="s">
        <v>4826</v>
      </c>
      <c r="I529" t="s">
        <v>4976</v>
      </c>
      <c r="J529" s="4" t="s">
        <v>4977</v>
      </c>
      <c r="K529" s="4" t="s">
        <v>4957</v>
      </c>
      <c r="L529" s="4" t="s">
        <v>4958</v>
      </c>
      <c r="M529" s="4" t="s">
        <v>5035</v>
      </c>
      <c r="N529" t="s">
        <v>15</v>
      </c>
      <c r="O529" t="s">
        <v>2404</v>
      </c>
      <c r="P529" t="s">
        <v>23</v>
      </c>
      <c r="Q529" t="s">
        <v>24</v>
      </c>
      <c r="R529" t="s">
        <v>25</v>
      </c>
      <c r="S529" t="s">
        <v>26</v>
      </c>
      <c r="T529" s="6">
        <v>46307</v>
      </c>
      <c r="U529">
        <v>156</v>
      </c>
      <c r="V529">
        <v>156</v>
      </c>
      <c r="W529">
        <v>168</v>
      </c>
      <c r="X529">
        <v>168</v>
      </c>
      <c r="Y529">
        <f t="shared" si="91"/>
        <v>0</v>
      </c>
      <c r="Z529">
        <f t="shared" si="92"/>
        <v>-12</v>
      </c>
      <c r="AC529" s="1">
        <v>0</v>
      </c>
      <c r="AF529">
        <f t="shared" si="93"/>
        <v>156</v>
      </c>
      <c r="AG529" s="41">
        <v>12</v>
      </c>
      <c r="AH529">
        <f t="shared" si="94"/>
        <v>156</v>
      </c>
      <c r="AI529">
        <f t="shared" si="95"/>
        <v>0</v>
      </c>
      <c r="AK529">
        <f t="shared" si="96"/>
        <v>13</v>
      </c>
      <c r="AL529">
        <v>13.85</v>
      </c>
      <c r="AM529" t="s">
        <v>27</v>
      </c>
      <c r="AN529">
        <v>13.85</v>
      </c>
      <c r="AO529" t="b">
        <f t="shared" si="97"/>
        <v>1</v>
      </c>
      <c r="AR529" t="s">
        <v>5061</v>
      </c>
      <c r="AS529" s="21">
        <v>46276</v>
      </c>
      <c r="AT529" t="s">
        <v>5062</v>
      </c>
      <c r="AU529" t="s">
        <v>5072</v>
      </c>
      <c r="AV529" t="s">
        <v>5062</v>
      </c>
      <c r="AW529" t="s">
        <v>5086</v>
      </c>
    </row>
    <row r="530" spans="1:49" hidden="1" x14ac:dyDescent="0.35">
      <c r="A530" t="s">
        <v>871</v>
      </c>
      <c r="B530" t="s">
        <v>872</v>
      </c>
      <c r="C530" t="s">
        <v>4818</v>
      </c>
      <c r="D530" t="s">
        <v>18</v>
      </c>
      <c r="E530" t="s">
        <v>2405</v>
      </c>
      <c r="F530" t="s">
        <v>2406</v>
      </c>
      <c r="G530" t="s">
        <v>21</v>
      </c>
      <c r="H530" t="s">
        <v>4826</v>
      </c>
      <c r="I530" t="s">
        <v>4976</v>
      </c>
      <c r="J530" s="4" t="s">
        <v>4977</v>
      </c>
      <c r="K530" s="4" t="s">
        <v>4957</v>
      </c>
      <c r="L530" s="4" t="s">
        <v>4938</v>
      </c>
      <c r="M530" s="4" t="s">
        <v>5035</v>
      </c>
      <c r="N530" t="s">
        <v>15</v>
      </c>
      <c r="O530" t="s">
        <v>2407</v>
      </c>
      <c r="P530" t="s">
        <v>23</v>
      </c>
      <c r="Q530" t="s">
        <v>24</v>
      </c>
      <c r="R530" t="s">
        <v>25</v>
      </c>
      <c r="S530" t="s">
        <v>26</v>
      </c>
      <c r="T530" s="6">
        <v>46307</v>
      </c>
      <c r="U530">
        <v>120</v>
      </c>
      <c r="V530">
        <v>120</v>
      </c>
      <c r="W530">
        <v>132</v>
      </c>
      <c r="X530">
        <v>132</v>
      </c>
      <c r="Y530">
        <f t="shared" si="91"/>
        <v>0</v>
      </c>
      <c r="Z530">
        <f t="shared" si="92"/>
        <v>-12</v>
      </c>
      <c r="AC530" s="1">
        <v>0</v>
      </c>
      <c r="AF530">
        <f t="shared" si="93"/>
        <v>120</v>
      </c>
      <c r="AG530" s="41">
        <v>12</v>
      </c>
      <c r="AH530">
        <f t="shared" si="94"/>
        <v>120</v>
      </c>
      <c r="AI530">
        <f t="shared" si="95"/>
        <v>0</v>
      </c>
      <c r="AK530">
        <f t="shared" si="96"/>
        <v>10</v>
      </c>
      <c r="AL530">
        <v>13.85</v>
      </c>
      <c r="AM530" t="s">
        <v>27</v>
      </c>
      <c r="AN530">
        <v>13.85</v>
      </c>
      <c r="AO530" t="b">
        <f t="shared" si="97"/>
        <v>1</v>
      </c>
      <c r="AR530" t="s">
        <v>5061</v>
      </c>
      <c r="AS530" s="21">
        <v>46276</v>
      </c>
      <c r="AT530" t="s">
        <v>5062</v>
      </c>
      <c r="AU530" t="s">
        <v>5072</v>
      </c>
      <c r="AV530" t="s">
        <v>5062</v>
      </c>
      <c r="AW530" t="s">
        <v>5086</v>
      </c>
    </row>
    <row r="531" spans="1:49" hidden="1" x14ac:dyDescent="0.35">
      <c r="A531" t="s">
        <v>871</v>
      </c>
      <c r="B531" t="s">
        <v>872</v>
      </c>
      <c r="C531" t="s">
        <v>4818</v>
      </c>
      <c r="D531" t="s">
        <v>18</v>
      </c>
      <c r="E531" t="s">
        <v>2408</v>
      </c>
      <c r="F531" t="s">
        <v>2409</v>
      </c>
      <c r="G531" t="s">
        <v>21</v>
      </c>
      <c r="H531" t="s">
        <v>4826</v>
      </c>
      <c r="I531" t="s">
        <v>4976</v>
      </c>
      <c r="J531" s="4" t="s">
        <v>4977</v>
      </c>
      <c r="K531" s="4" t="s">
        <v>4837</v>
      </c>
      <c r="L531" s="4" t="s">
        <v>4960</v>
      </c>
      <c r="M531" s="4" t="s">
        <v>5035</v>
      </c>
      <c r="N531" t="s">
        <v>15</v>
      </c>
      <c r="O531" t="s">
        <v>2410</v>
      </c>
      <c r="P531" t="s">
        <v>23</v>
      </c>
      <c r="Q531" t="s">
        <v>24</v>
      </c>
      <c r="R531" t="s">
        <v>25</v>
      </c>
      <c r="S531" t="s">
        <v>26</v>
      </c>
      <c r="T531" s="6">
        <v>46307</v>
      </c>
      <c r="U531">
        <v>288</v>
      </c>
      <c r="V531">
        <v>288</v>
      </c>
      <c r="W531">
        <v>312</v>
      </c>
      <c r="X531">
        <v>312</v>
      </c>
      <c r="Y531">
        <f t="shared" si="91"/>
        <v>0</v>
      </c>
      <c r="Z531">
        <f t="shared" si="92"/>
        <v>-24</v>
      </c>
      <c r="AC531" s="1"/>
      <c r="AF531">
        <f t="shared" si="93"/>
        <v>288</v>
      </c>
      <c r="AG531" s="41">
        <v>12</v>
      </c>
      <c r="AH531">
        <f t="shared" si="94"/>
        <v>288</v>
      </c>
      <c r="AI531">
        <f t="shared" si="95"/>
        <v>0</v>
      </c>
      <c r="AK531">
        <f t="shared" si="96"/>
        <v>24</v>
      </c>
      <c r="AL531">
        <v>13.85</v>
      </c>
      <c r="AM531" t="s">
        <v>27</v>
      </c>
      <c r="AN531">
        <v>13.85</v>
      </c>
      <c r="AO531" t="b">
        <f t="shared" si="97"/>
        <v>1</v>
      </c>
      <c r="AR531" t="s">
        <v>5061</v>
      </c>
      <c r="AS531" s="21">
        <v>46276</v>
      </c>
      <c r="AT531" t="s">
        <v>5062</v>
      </c>
      <c r="AU531" t="s">
        <v>5072</v>
      </c>
      <c r="AV531" t="s">
        <v>5062</v>
      </c>
      <c r="AW531" t="s">
        <v>5086</v>
      </c>
    </row>
    <row r="532" spans="1:49" hidden="1" x14ac:dyDescent="0.35">
      <c r="A532" t="s">
        <v>871</v>
      </c>
      <c r="B532" t="s">
        <v>872</v>
      </c>
      <c r="C532" t="s">
        <v>4818</v>
      </c>
      <c r="D532" t="s">
        <v>18</v>
      </c>
      <c r="E532" t="s">
        <v>2411</v>
      </c>
      <c r="F532" t="s">
        <v>2412</v>
      </c>
      <c r="G532" t="s">
        <v>21</v>
      </c>
      <c r="H532" t="s">
        <v>4826</v>
      </c>
      <c r="I532" t="s">
        <v>4976</v>
      </c>
      <c r="J532" s="4" t="s">
        <v>4977</v>
      </c>
      <c r="K532" s="4" t="s">
        <v>4837</v>
      </c>
      <c r="L532" s="4" t="s">
        <v>4968</v>
      </c>
      <c r="M532" s="4" t="s">
        <v>5035</v>
      </c>
      <c r="N532" t="s">
        <v>15</v>
      </c>
      <c r="O532" t="s">
        <v>2413</v>
      </c>
      <c r="P532" t="s">
        <v>23</v>
      </c>
      <c r="Q532" t="s">
        <v>24</v>
      </c>
      <c r="R532" t="s">
        <v>25</v>
      </c>
      <c r="S532" t="s">
        <v>26</v>
      </c>
      <c r="T532" s="6">
        <v>46307</v>
      </c>
      <c r="U532">
        <v>192</v>
      </c>
      <c r="V532">
        <v>192</v>
      </c>
      <c r="W532">
        <v>204</v>
      </c>
      <c r="X532">
        <v>204</v>
      </c>
      <c r="Y532">
        <f t="shared" si="91"/>
        <v>0</v>
      </c>
      <c r="Z532">
        <f t="shared" si="92"/>
        <v>-12</v>
      </c>
      <c r="AC532" s="1">
        <v>0</v>
      </c>
      <c r="AF532">
        <f t="shared" si="93"/>
        <v>192</v>
      </c>
      <c r="AG532" s="41">
        <v>12</v>
      </c>
      <c r="AH532">
        <f t="shared" si="94"/>
        <v>192</v>
      </c>
      <c r="AI532">
        <f t="shared" si="95"/>
        <v>0</v>
      </c>
      <c r="AK532">
        <f t="shared" si="96"/>
        <v>16</v>
      </c>
      <c r="AL532">
        <v>13.85</v>
      </c>
      <c r="AM532" t="s">
        <v>27</v>
      </c>
      <c r="AN532">
        <v>13.85</v>
      </c>
      <c r="AO532" t="b">
        <f t="shared" si="97"/>
        <v>1</v>
      </c>
      <c r="AR532" t="s">
        <v>5061</v>
      </c>
      <c r="AS532" s="21">
        <v>46276</v>
      </c>
      <c r="AT532" t="s">
        <v>5062</v>
      </c>
      <c r="AU532" t="s">
        <v>5072</v>
      </c>
      <c r="AV532" t="s">
        <v>5062</v>
      </c>
      <c r="AW532" t="s">
        <v>5086</v>
      </c>
    </row>
    <row r="533" spans="1:49" hidden="1" x14ac:dyDescent="0.35">
      <c r="A533" t="s">
        <v>871</v>
      </c>
      <c r="B533" t="s">
        <v>872</v>
      </c>
      <c r="C533" t="s">
        <v>4818</v>
      </c>
      <c r="D533" t="s">
        <v>18</v>
      </c>
      <c r="E533" t="s">
        <v>2414</v>
      </c>
      <c r="F533" t="s">
        <v>2415</v>
      </c>
      <c r="G533" t="s">
        <v>21</v>
      </c>
      <c r="H533" t="s">
        <v>4826</v>
      </c>
      <c r="I533" t="s">
        <v>4976</v>
      </c>
      <c r="J533" s="4" t="s">
        <v>4977</v>
      </c>
      <c r="K533" s="4" t="s">
        <v>4978</v>
      </c>
      <c r="L533" s="4" t="s">
        <v>4948</v>
      </c>
      <c r="M533" s="4" t="s">
        <v>5035</v>
      </c>
      <c r="N533" t="s">
        <v>15</v>
      </c>
      <c r="O533" t="s">
        <v>2416</v>
      </c>
      <c r="P533" t="s">
        <v>23</v>
      </c>
      <c r="Q533" t="s">
        <v>24</v>
      </c>
      <c r="R533" t="s">
        <v>25</v>
      </c>
      <c r="S533" t="s">
        <v>26</v>
      </c>
      <c r="T533" s="6">
        <v>46307</v>
      </c>
      <c r="U533">
        <v>24</v>
      </c>
      <c r="V533">
        <v>24</v>
      </c>
      <c r="W533">
        <v>24</v>
      </c>
      <c r="X533">
        <v>24</v>
      </c>
      <c r="Y533">
        <f t="shared" si="91"/>
        <v>0</v>
      </c>
      <c r="Z533">
        <f t="shared" si="92"/>
        <v>0</v>
      </c>
      <c r="AC533" s="1">
        <v>0</v>
      </c>
      <c r="AF533">
        <f t="shared" si="93"/>
        <v>24</v>
      </c>
      <c r="AG533" s="41">
        <v>12</v>
      </c>
      <c r="AH533">
        <f t="shared" si="94"/>
        <v>24</v>
      </c>
      <c r="AI533">
        <f t="shared" si="95"/>
        <v>0</v>
      </c>
      <c r="AK533">
        <f t="shared" si="96"/>
        <v>2</v>
      </c>
      <c r="AL533">
        <v>13.85</v>
      </c>
      <c r="AM533" t="s">
        <v>27</v>
      </c>
      <c r="AN533">
        <v>13.85</v>
      </c>
      <c r="AO533" t="b">
        <f t="shared" si="97"/>
        <v>1</v>
      </c>
      <c r="AR533" t="s">
        <v>5061</v>
      </c>
      <c r="AS533" s="21">
        <v>46276</v>
      </c>
      <c r="AT533" t="s">
        <v>5062</v>
      </c>
      <c r="AU533" t="s">
        <v>5072</v>
      </c>
      <c r="AV533" t="s">
        <v>5062</v>
      </c>
      <c r="AW533" t="s">
        <v>5086</v>
      </c>
    </row>
    <row r="534" spans="1:49" hidden="1" x14ac:dyDescent="0.35">
      <c r="A534" t="s">
        <v>871</v>
      </c>
      <c r="B534" t="s">
        <v>872</v>
      </c>
      <c r="C534" t="s">
        <v>4818</v>
      </c>
      <c r="D534" t="s">
        <v>18</v>
      </c>
      <c r="E534" t="s">
        <v>2417</v>
      </c>
      <c r="F534" t="s">
        <v>2418</v>
      </c>
      <c r="G534" t="s">
        <v>21</v>
      </c>
      <c r="H534" t="s">
        <v>4826</v>
      </c>
      <c r="I534" t="s">
        <v>4976</v>
      </c>
      <c r="J534" s="4" t="s">
        <v>4977</v>
      </c>
      <c r="K534" s="4" t="s">
        <v>4837</v>
      </c>
      <c r="L534" s="4" t="s">
        <v>4943</v>
      </c>
      <c r="M534" s="4" t="s">
        <v>5035</v>
      </c>
      <c r="N534" t="s">
        <v>15</v>
      </c>
      <c r="O534" t="s">
        <v>2419</v>
      </c>
      <c r="P534" t="s">
        <v>23</v>
      </c>
      <c r="Q534" t="s">
        <v>24</v>
      </c>
      <c r="R534" t="s">
        <v>25</v>
      </c>
      <c r="S534" t="s">
        <v>26</v>
      </c>
      <c r="T534" s="6">
        <v>46307</v>
      </c>
      <c r="U534">
        <v>288</v>
      </c>
      <c r="V534">
        <v>288</v>
      </c>
      <c r="W534">
        <v>300</v>
      </c>
      <c r="X534">
        <v>300</v>
      </c>
      <c r="Y534">
        <f t="shared" si="91"/>
        <v>0</v>
      </c>
      <c r="Z534">
        <f t="shared" si="92"/>
        <v>-12</v>
      </c>
      <c r="AC534" s="1">
        <v>0</v>
      </c>
      <c r="AF534">
        <f t="shared" si="93"/>
        <v>288</v>
      </c>
      <c r="AG534" s="41">
        <v>12</v>
      </c>
      <c r="AH534">
        <f t="shared" si="94"/>
        <v>288</v>
      </c>
      <c r="AI534">
        <f t="shared" si="95"/>
        <v>0</v>
      </c>
      <c r="AK534">
        <f t="shared" si="96"/>
        <v>24</v>
      </c>
      <c r="AL534">
        <v>13.85</v>
      </c>
      <c r="AM534" t="s">
        <v>27</v>
      </c>
      <c r="AN534">
        <v>13.85</v>
      </c>
      <c r="AO534" t="b">
        <f t="shared" si="97"/>
        <v>1</v>
      </c>
      <c r="AR534" t="s">
        <v>5061</v>
      </c>
      <c r="AS534" s="21">
        <v>46276</v>
      </c>
      <c r="AT534" t="s">
        <v>5062</v>
      </c>
      <c r="AU534" t="s">
        <v>5072</v>
      </c>
      <c r="AV534" t="s">
        <v>5062</v>
      </c>
      <c r="AW534" t="s">
        <v>5086</v>
      </c>
    </row>
    <row r="535" spans="1:49" hidden="1" x14ac:dyDescent="0.35">
      <c r="A535" t="s">
        <v>871</v>
      </c>
      <c r="B535" t="s">
        <v>872</v>
      </c>
      <c r="C535" t="s">
        <v>4818</v>
      </c>
      <c r="D535" t="s">
        <v>18</v>
      </c>
      <c r="E535" t="s">
        <v>2420</v>
      </c>
      <c r="F535" t="s">
        <v>2421</v>
      </c>
      <c r="G535" t="s">
        <v>21</v>
      </c>
      <c r="H535" t="s">
        <v>4826</v>
      </c>
      <c r="I535" t="s">
        <v>4976</v>
      </c>
      <c r="J535" s="4" t="s">
        <v>4977</v>
      </c>
      <c r="K535" s="4" t="s">
        <v>4837</v>
      </c>
      <c r="L535" s="4" t="s">
        <v>4944</v>
      </c>
      <c r="M535" s="4" t="s">
        <v>5035</v>
      </c>
      <c r="N535" t="s">
        <v>15</v>
      </c>
      <c r="O535" t="s">
        <v>2422</v>
      </c>
      <c r="P535" t="s">
        <v>23</v>
      </c>
      <c r="Q535" t="s">
        <v>24</v>
      </c>
      <c r="R535" t="s">
        <v>25</v>
      </c>
      <c r="S535" t="s">
        <v>26</v>
      </c>
      <c r="T535" s="6">
        <v>46307</v>
      </c>
      <c r="U535">
        <v>48</v>
      </c>
      <c r="V535">
        <v>48</v>
      </c>
      <c r="W535">
        <v>60</v>
      </c>
      <c r="X535">
        <v>60</v>
      </c>
      <c r="Y535">
        <f t="shared" si="91"/>
        <v>0</v>
      </c>
      <c r="Z535">
        <f t="shared" si="92"/>
        <v>-12</v>
      </c>
      <c r="AC535" s="1">
        <v>0</v>
      </c>
      <c r="AF535">
        <f t="shared" si="93"/>
        <v>48</v>
      </c>
      <c r="AG535" s="41">
        <v>12</v>
      </c>
      <c r="AH535">
        <f t="shared" si="94"/>
        <v>48</v>
      </c>
      <c r="AI535">
        <f t="shared" si="95"/>
        <v>0</v>
      </c>
      <c r="AK535">
        <f t="shared" si="96"/>
        <v>4</v>
      </c>
      <c r="AL535">
        <v>13.85</v>
      </c>
      <c r="AM535" t="s">
        <v>27</v>
      </c>
      <c r="AN535">
        <v>13.85</v>
      </c>
      <c r="AO535" t="b">
        <f t="shared" si="97"/>
        <v>1</v>
      </c>
      <c r="AR535" t="s">
        <v>5061</v>
      </c>
      <c r="AS535" s="21">
        <v>46276</v>
      </c>
      <c r="AT535" t="s">
        <v>5062</v>
      </c>
      <c r="AU535" t="s">
        <v>5072</v>
      </c>
      <c r="AV535" t="s">
        <v>5062</v>
      </c>
      <c r="AW535" t="s">
        <v>5086</v>
      </c>
    </row>
    <row r="536" spans="1:49" hidden="1" x14ac:dyDescent="0.35">
      <c r="A536" t="s">
        <v>871</v>
      </c>
      <c r="B536" t="s">
        <v>872</v>
      </c>
      <c r="C536" t="s">
        <v>4818</v>
      </c>
      <c r="D536" t="s">
        <v>18</v>
      </c>
      <c r="E536" t="s">
        <v>2423</v>
      </c>
      <c r="F536" t="s">
        <v>2424</v>
      </c>
      <c r="G536" t="s">
        <v>21</v>
      </c>
      <c r="H536" t="s">
        <v>4826</v>
      </c>
      <c r="I536" t="s">
        <v>4976</v>
      </c>
      <c r="J536" s="4" t="s">
        <v>4977</v>
      </c>
      <c r="K536" s="4" t="s">
        <v>4831</v>
      </c>
      <c r="L536" s="4" t="s">
        <v>4943</v>
      </c>
      <c r="M536" s="4" t="s">
        <v>5035</v>
      </c>
      <c r="N536" t="s">
        <v>15</v>
      </c>
      <c r="O536" t="s">
        <v>2425</v>
      </c>
      <c r="P536" t="s">
        <v>23</v>
      </c>
      <c r="Q536" t="s">
        <v>24</v>
      </c>
      <c r="R536" t="s">
        <v>25</v>
      </c>
      <c r="S536" t="s">
        <v>26</v>
      </c>
      <c r="T536" s="6">
        <v>46307</v>
      </c>
      <c r="U536">
        <v>12</v>
      </c>
      <c r="V536">
        <v>12</v>
      </c>
      <c r="W536">
        <v>12</v>
      </c>
      <c r="X536">
        <v>12</v>
      </c>
      <c r="Y536">
        <f t="shared" si="91"/>
        <v>0</v>
      </c>
      <c r="Z536">
        <f t="shared" si="92"/>
        <v>0</v>
      </c>
      <c r="AC536" s="1">
        <v>0</v>
      </c>
      <c r="AF536">
        <f t="shared" si="93"/>
        <v>12</v>
      </c>
      <c r="AG536" s="41">
        <v>12</v>
      </c>
      <c r="AH536">
        <f t="shared" si="94"/>
        <v>12</v>
      </c>
      <c r="AI536">
        <f t="shared" si="95"/>
        <v>0</v>
      </c>
      <c r="AK536">
        <f t="shared" si="96"/>
        <v>1</v>
      </c>
      <c r="AL536">
        <v>13.85</v>
      </c>
      <c r="AM536" t="s">
        <v>27</v>
      </c>
      <c r="AN536">
        <v>13.85</v>
      </c>
      <c r="AO536" t="b">
        <f t="shared" si="97"/>
        <v>1</v>
      </c>
      <c r="AR536" t="s">
        <v>5061</v>
      </c>
      <c r="AS536" s="21">
        <v>46276</v>
      </c>
      <c r="AT536" t="s">
        <v>5062</v>
      </c>
      <c r="AU536" t="s">
        <v>5072</v>
      </c>
      <c r="AV536" t="s">
        <v>5062</v>
      </c>
      <c r="AW536" t="s">
        <v>5086</v>
      </c>
    </row>
    <row r="537" spans="1:49" hidden="1" x14ac:dyDescent="0.35">
      <c r="A537" t="s">
        <v>871</v>
      </c>
      <c r="B537" t="s">
        <v>872</v>
      </c>
      <c r="C537" t="s">
        <v>4818</v>
      </c>
      <c r="D537" t="s">
        <v>18</v>
      </c>
      <c r="E537" t="s">
        <v>2426</v>
      </c>
      <c r="F537" t="s">
        <v>2427</v>
      </c>
      <c r="G537" t="s">
        <v>21</v>
      </c>
      <c r="H537" t="s">
        <v>4826</v>
      </c>
      <c r="I537" t="s">
        <v>4976</v>
      </c>
      <c r="J537" s="4" t="s">
        <v>4977</v>
      </c>
      <c r="K537" s="4" t="s">
        <v>4831</v>
      </c>
      <c r="L537" s="4" t="s">
        <v>4940</v>
      </c>
      <c r="M537" s="4" t="s">
        <v>5035</v>
      </c>
      <c r="N537" t="s">
        <v>15</v>
      </c>
      <c r="O537" t="s">
        <v>2428</v>
      </c>
      <c r="P537" t="s">
        <v>23</v>
      </c>
      <c r="Q537" t="s">
        <v>24</v>
      </c>
      <c r="R537" t="s">
        <v>25</v>
      </c>
      <c r="S537" t="s">
        <v>26</v>
      </c>
      <c r="T537" s="6">
        <v>46307</v>
      </c>
      <c r="U537">
        <v>72</v>
      </c>
      <c r="V537">
        <v>72</v>
      </c>
      <c r="W537">
        <v>60</v>
      </c>
      <c r="X537">
        <v>60</v>
      </c>
      <c r="Y537">
        <f t="shared" si="91"/>
        <v>0</v>
      </c>
      <c r="Z537">
        <f t="shared" si="92"/>
        <v>12</v>
      </c>
      <c r="AA537">
        <f>Z537</f>
        <v>12</v>
      </c>
      <c r="AC537" s="1">
        <v>0</v>
      </c>
      <c r="AF537">
        <f>X537</f>
        <v>60</v>
      </c>
      <c r="AG537" s="41">
        <v>12</v>
      </c>
      <c r="AH537">
        <f t="shared" si="94"/>
        <v>60</v>
      </c>
      <c r="AI537">
        <f t="shared" si="95"/>
        <v>12</v>
      </c>
      <c r="AK537">
        <f t="shared" si="96"/>
        <v>5</v>
      </c>
      <c r="AL537">
        <v>13.85</v>
      </c>
      <c r="AM537" t="s">
        <v>27</v>
      </c>
      <c r="AN537">
        <v>13.85</v>
      </c>
      <c r="AO537" t="b">
        <f t="shared" si="97"/>
        <v>1</v>
      </c>
      <c r="AR537" t="s">
        <v>5061</v>
      </c>
      <c r="AS537" s="21">
        <v>46276</v>
      </c>
      <c r="AT537" t="s">
        <v>5062</v>
      </c>
      <c r="AU537" t="s">
        <v>5072</v>
      </c>
      <c r="AV537" t="s">
        <v>5062</v>
      </c>
      <c r="AW537" t="s">
        <v>5086</v>
      </c>
    </row>
    <row r="538" spans="1:49" hidden="1" x14ac:dyDescent="0.35">
      <c r="A538" t="s">
        <v>871</v>
      </c>
      <c r="B538" t="s">
        <v>872</v>
      </c>
      <c r="C538" t="s">
        <v>4818</v>
      </c>
      <c r="D538" t="s">
        <v>18</v>
      </c>
      <c r="E538" t="s">
        <v>2429</v>
      </c>
      <c r="F538" t="s">
        <v>2430</v>
      </c>
      <c r="G538" t="s">
        <v>21</v>
      </c>
      <c r="H538" t="s">
        <v>4826</v>
      </c>
      <c r="I538" t="s">
        <v>4976</v>
      </c>
      <c r="J538" s="4" t="s">
        <v>4977</v>
      </c>
      <c r="K538" s="4" t="s">
        <v>4837</v>
      </c>
      <c r="L538" s="4" t="s">
        <v>4974</v>
      </c>
      <c r="M538" s="4" t="s">
        <v>5035</v>
      </c>
      <c r="N538" t="s">
        <v>15</v>
      </c>
      <c r="O538" t="s">
        <v>2431</v>
      </c>
      <c r="P538" t="s">
        <v>23</v>
      </c>
      <c r="Q538" t="s">
        <v>24</v>
      </c>
      <c r="R538" t="s">
        <v>25</v>
      </c>
      <c r="S538" t="s">
        <v>26</v>
      </c>
      <c r="T538" s="6">
        <v>46307</v>
      </c>
      <c r="U538">
        <v>48</v>
      </c>
      <c r="V538">
        <v>48</v>
      </c>
      <c r="W538">
        <v>60</v>
      </c>
      <c r="X538">
        <v>60</v>
      </c>
      <c r="Y538">
        <f t="shared" si="91"/>
        <v>0</v>
      </c>
      <c r="Z538">
        <f t="shared" si="92"/>
        <v>-12</v>
      </c>
      <c r="AC538" s="1">
        <v>0</v>
      </c>
      <c r="AF538">
        <f t="shared" ref="AF538:AF582" si="98">V538</f>
        <v>48</v>
      </c>
      <c r="AG538" s="41">
        <v>12</v>
      </c>
      <c r="AH538">
        <f t="shared" si="94"/>
        <v>48</v>
      </c>
      <c r="AI538">
        <f t="shared" si="95"/>
        <v>0</v>
      </c>
      <c r="AK538">
        <f t="shared" si="96"/>
        <v>4</v>
      </c>
      <c r="AL538">
        <v>13.85</v>
      </c>
      <c r="AM538" t="s">
        <v>27</v>
      </c>
      <c r="AN538">
        <v>13.85</v>
      </c>
      <c r="AO538" t="b">
        <f t="shared" si="97"/>
        <v>1</v>
      </c>
      <c r="AR538" t="s">
        <v>5061</v>
      </c>
      <c r="AS538" s="21">
        <v>46276</v>
      </c>
      <c r="AT538" t="s">
        <v>5062</v>
      </c>
      <c r="AU538" t="s">
        <v>5072</v>
      </c>
      <c r="AV538" t="s">
        <v>5062</v>
      </c>
      <c r="AW538" t="s">
        <v>5086</v>
      </c>
    </row>
    <row r="539" spans="1:49" hidden="1" x14ac:dyDescent="0.35">
      <c r="A539" t="s">
        <v>871</v>
      </c>
      <c r="B539" t="s">
        <v>872</v>
      </c>
      <c r="C539" t="s">
        <v>4818</v>
      </c>
      <c r="D539" t="s">
        <v>18</v>
      </c>
      <c r="E539" t="s">
        <v>2432</v>
      </c>
      <c r="F539" t="s">
        <v>2433</v>
      </c>
      <c r="G539" t="s">
        <v>21</v>
      </c>
      <c r="H539" t="s">
        <v>4826</v>
      </c>
      <c r="I539" t="s">
        <v>4976</v>
      </c>
      <c r="J539" s="4" t="s">
        <v>4977</v>
      </c>
      <c r="K539" s="4" t="s">
        <v>4978</v>
      </c>
      <c r="L539" s="4" t="s">
        <v>4970</v>
      </c>
      <c r="M539" s="4" t="s">
        <v>5035</v>
      </c>
      <c r="N539" t="s">
        <v>15</v>
      </c>
      <c r="O539" t="s">
        <v>2434</v>
      </c>
      <c r="P539" t="s">
        <v>23</v>
      </c>
      <c r="Q539" t="s">
        <v>24</v>
      </c>
      <c r="R539" t="s">
        <v>25</v>
      </c>
      <c r="S539" t="s">
        <v>26</v>
      </c>
      <c r="T539" s="6">
        <v>46307</v>
      </c>
      <c r="U539">
        <v>144</v>
      </c>
      <c r="V539">
        <v>144</v>
      </c>
      <c r="W539">
        <v>156</v>
      </c>
      <c r="X539">
        <v>156</v>
      </c>
      <c r="Y539">
        <f t="shared" si="91"/>
        <v>0</v>
      </c>
      <c r="Z539">
        <f t="shared" si="92"/>
        <v>-12</v>
      </c>
      <c r="AC539" s="1"/>
      <c r="AF539">
        <f t="shared" si="98"/>
        <v>144</v>
      </c>
      <c r="AG539" s="41">
        <v>12</v>
      </c>
      <c r="AH539">
        <f t="shared" si="94"/>
        <v>144</v>
      </c>
      <c r="AI539">
        <f t="shared" si="95"/>
        <v>0</v>
      </c>
      <c r="AK539">
        <f t="shared" si="96"/>
        <v>12</v>
      </c>
      <c r="AL539">
        <v>13.85</v>
      </c>
      <c r="AM539" t="s">
        <v>27</v>
      </c>
      <c r="AN539">
        <v>13.85</v>
      </c>
      <c r="AO539" t="b">
        <f t="shared" si="97"/>
        <v>1</v>
      </c>
      <c r="AR539" t="s">
        <v>5061</v>
      </c>
      <c r="AS539" s="21">
        <v>46276</v>
      </c>
      <c r="AT539" t="s">
        <v>5062</v>
      </c>
      <c r="AU539" t="s">
        <v>5072</v>
      </c>
      <c r="AV539" t="s">
        <v>5062</v>
      </c>
      <c r="AW539" t="s">
        <v>5086</v>
      </c>
    </row>
    <row r="540" spans="1:49" hidden="1" x14ac:dyDescent="0.35">
      <c r="A540" t="s">
        <v>871</v>
      </c>
      <c r="B540" t="s">
        <v>872</v>
      </c>
      <c r="C540" t="s">
        <v>4818</v>
      </c>
      <c r="D540" t="s">
        <v>18</v>
      </c>
      <c r="E540" t="s">
        <v>2435</v>
      </c>
      <c r="F540" t="s">
        <v>2436</v>
      </c>
      <c r="G540" t="s">
        <v>21</v>
      </c>
      <c r="H540" t="s">
        <v>4826</v>
      </c>
      <c r="I540" t="s">
        <v>4976</v>
      </c>
      <c r="J540" s="4" t="s">
        <v>4977</v>
      </c>
      <c r="K540" s="4" t="s">
        <v>4831</v>
      </c>
      <c r="L540" s="4" t="s">
        <v>4971</v>
      </c>
      <c r="M540" s="4" t="s">
        <v>5035</v>
      </c>
      <c r="N540" t="s">
        <v>15</v>
      </c>
      <c r="O540" t="s">
        <v>2437</v>
      </c>
      <c r="P540" t="s">
        <v>23</v>
      </c>
      <c r="Q540" t="s">
        <v>24</v>
      </c>
      <c r="R540" t="s">
        <v>25</v>
      </c>
      <c r="S540" t="s">
        <v>26</v>
      </c>
      <c r="T540" s="6">
        <v>46307</v>
      </c>
      <c r="U540">
        <v>24</v>
      </c>
      <c r="V540">
        <v>24</v>
      </c>
      <c r="W540">
        <v>24</v>
      </c>
      <c r="X540">
        <v>24</v>
      </c>
      <c r="Y540">
        <f t="shared" si="91"/>
        <v>0</v>
      </c>
      <c r="Z540">
        <f t="shared" si="92"/>
        <v>0</v>
      </c>
      <c r="AC540" s="1">
        <v>0</v>
      </c>
      <c r="AF540">
        <f t="shared" si="98"/>
        <v>24</v>
      </c>
      <c r="AG540" s="41">
        <v>12</v>
      </c>
      <c r="AH540">
        <f t="shared" si="94"/>
        <v>24</v>
      </c>
      <c r="AI540">
        <f t="shared" si="95"/>
        <v>0</v>
      </c>
      <c r="AK540">
        <f t="shared" si="96"/>
        <v>2</v>
      </c>
      <c r="AL540">
        <v>13.85</v>
      </c>
      <c r="AM540" t="s">
        <v>27</v>
      </c>
      <c r="AN540">
        <v>13.85</v>
      </c>
      <c r="AO540" t="b">
        <f t="shared" si="97"/>
        <v>1</v>
      </c>
      <c r="AR540" t="s">
        <v>5061</v>
      </c>
      <c r="AS540" s="21">
        <v>46276</v>
      </c>
      <c r="AT540" t="s">
        <v>5062</v>
      </c>
      <c r="AU540" t="s">
        <v>5072</v>
      </c>
      <c r="AV540" t="s">
        <v>5062</v>
      </c>
      <c r="AW540" t="s">
        <v>5086</v>
      </c>
    </row>
    <row r="541" spans="1:49" hidden="1" x14ac:dyDescent="0.35">
      <c r="A541" t="s">
        <v>871</v>
      </c>
      <c r="B541" t="s">
        <v>872</v>
      </c>
      <c r="C541" t="s">
        <v>4818</v>
      </c>
      <c r="D541" t="s">
        <v>18</v>
      </c>
      <c r="E541" t="s">
        <v>2438</v>
      </c>
      <c r="F541" t="s">
        <v>2439</v>
      </c>
      <c r="G541" t="s">
        <v>21</v>
      </c>
      <c r="H541" t="s">
        <v>4826</v>
      </c>
      <c r="I541" t="s">
        <v>4976</v>
      </c>
      <c r="J541" s="4" t="s">
        <v>4977</v>
      </c>
      <c r="K541" s="4" t="s">
        <v>4978</v>
      </c>
      <c r="L541" s="4" t="s">
        <v>4939</v>
      </c>
      <c r="M541" s="4" t="s">
        <v>5035</v>
      </c>
      <c r="N541" t="s">
        <v>15</v>
      </c>
      <c r="O541" t="s">
        <v>2440</v>
      </c>
      <c r="P541" t="s">
        <v>23</v>
      </c>
      <c r="Q541" t="s">
        <v>24</v>
      </c>
      <c r="R541" t="s">
        <v>25</v>
      </c>
      <c r="S541" t="s">
        <v>26</v>
      </c>
      <c r="T541" s="6">
        <v>46307</v>
      </c>
      <c r="U541">
        <v>72</v>
      </c>
      <c r="V541">
        <v>72</v>
      </c>
      <c r="W541">
        <v>84</v>
      </c>
      <c r="X541">
        <v>84</v>
      </c>
      <c r="Y541">
        <f t="shared" si="91"/>
        <v>0</v>
      </c>
      <c r="Z541">
        <f t="shared" si="92"/>
        <v>-12</v>
      </c>
      <c r="AC541" s="1">
        <v>0</v>
      </c>
      <c r="AF541">
        <f t="shared" si="98"/>
        <v>72</v>
      </c>
      <c r="AG541" s="41">
        <v>12</v>
      </c>
      <c r="AH541">
        <f t="shared" si="94"/>
        <v>72</v>
      </c>
      <c r="AI541">
        <f t="shared" si="95"/>
        <v>0</v>
      </c>
      <c r="AK541">
        <f t="shared" si="96"/>
        <v>6</v>
      </c>
      <c r="AL541">
        <v>13.85</v>
      </c>
      <c r="AM541" t="s">
        <v>27</v>
      </c>
      <c r="AN541">
        <v>13.85</v>
      </c>
      <c r="AO541" t="b">
        <f t="shared" si="97"/>
        <v>1</v>
      </c>
      <c r="AR541" t="s">
        <v>5061</v>
      </c>
      <c r="AS541" s="21">
        <v>46276</v>
      </c>
      <c r="AT541" t="s">
        <v>5062</v>
      </c>
      <c r="AU541" t="s">
        <v>5072</v>
      </c>
      <c r="AV541" t="s">
        <v>5062</v>
      </c>
      <c r="AW541" t="s">
        <v>5086</v>
      </c>
    </row>
    <row r="542" spans="1:49" hidden="1" x14ac:dyDescent="0.35">
      <c r="A542" t="s">
        <v>871</v>
      </c>
      <c r="B542" t="s">
        <v>872</v>
      </c>
      <c r="C542" t="s">
        <v>4818</v>
      </c>
      <c r="D542" t="s">
        <v>18</v>
      </c>
      <c r="E542" t="s">
        <v>2441</v>
      </c>
      <c r="F542" t="s">
        <v>2442</v>
      </c>
      <c r="G542" t="s">
        <v>21</v>
      </c>
      <c r="H542" t="s">
        <v>4826</v>
      </c>
      <c r="I542" t="s">
        <v>4976</v>
      </c>
      <c r="J542" s="4" t="s">
        <v>4977</v>
      </c>
      <c r="K542" s="4" t="s">
        <v>4978</v>
      </c>
      <c r="L542" s="4" t="s">
        <v>4968</v>
      </c>
      <c r="M542" s="4" t="s">
        <v>5035</v>
      </c>
      <c r="N542" t="s">
        <v>15</v>
      </c>
      <c r="O542" t="s">
        <v>2443</v>
      </c>
      <c r="P542" t="s">
        <v>23</v>
      </c>
      <c r="Q542" t="s">
        <v>24</v>
      </c>
      <c r="R542" t="s">
        <v>25</v>
      </c>
      <c r="S542" t="s">
        <v>26</v>
      </c>
      <c r="T542" s="6">
        <v>46307</v>
      </c>
      <c r="U542">
        <v>24</v>
      </c>
      <c r="V542">
        <v>24</v>
      </c>
      <c r="W542">
        <v>24</v>
      </c>
      <c r="X542">
        <v>24</v>
      </c>
      <c r="Y542">
        <f t="shared" si="91"/>
        <v>0</v>
      </c>
      <c r="Z542">
        <f t="shared" si="92"/>
        <v>0</v>
      </c>
      <c r="AC542" s="1">
        <v>0</v>
      </c>
      <c r="AF542">
        <f t="shared" si="98"/>
        <v>24</v>
      </c>
      <c r="AG542" s="41">
        <v>12</v>
      </c>
      <c r="AH542">
        <f t="shared" si="94"/>
        <v>24</v>
      </c>
      <c r="AI542">
        <f t="shared" si="95"/>
        <v>0</v>
      </c>
      <c r="AK542">
        <f t="shared" si="96"/>
        <v>2</v>
      </c>
      <c r="AL542">
        <v>13.85</v>
      </c>
      <c r="AM542" t="s">
        <v>27</v>
      </c>
      <c r="AN542">
        <v>13.85</v>
      </c>
      <c r="AO542" t="b">
        <f t="shared" si="97"/>
        <v>1</v>
      </c>
      <c r="AR542" t="s">
        <v>5061</v>
      </c>
      <c r="AS542" s="21">
        <v>46276</v>
      </c>
      <c r="AT542" t="s">
        <v>5062</v>
      </c>
      <c r="AU542" t="s">
        <v>5072</v>
      </c>
      <c r="AV542" t="s">
        <v>5062</v>
      </c>
      <c r="AW542" t="s">
        <v>5086</v>
      </c>
    </row>
    <row r="543" spans="1:49" hidden="1" x14ac:dyDescent="0.35">
      <c r="A543" t="s">
        <v>871</v>
      </c>
      <c r="B543" t="s">
        <v>872</v>
      </c>
      <c r="C543" t="s">
        <v>4818</v>
      </c>
      <c r="D543" t="s">
        <v>18</v>
      </c>
      <c r="E543" t="s">
        <v>2444</v>
      </c>
      <c r="F543" t="s">
        <v>2445</v>
      </c>
      <c r="G543" t="s">
        <v>21</v>
      </c>
      <c r="H543" t="s">
        <v>4826</v>
      </c>
      <c r="I543" t="s">
        <v>4976</v>
      </c>
      <c r="J543" s="4" t="s">
        <v>4977</v>
      </c>
      <c r="K543" s="4" t="s">
        <v>4831</v>
      </c>
      <c r="L543" s="4" t="s">
        <v>4951</v>
      </c>
      <c r="M543" s="4" t="s">
        <v>5035</v>
      </c>
      <c r="N543" t="s">
        <v>15</v>
      </c>
      <c r="O543" t="s">
        <v>2446</v>
      </c>
      <c r="P543" t="s">
        <v>23</v>
      </c>
      <c r="Q543" t="s">
        <v>24</v>
      </c>
      <c r="R543" t="s">
        <v>25</v>
      </c>
      <c r="S543" t="s">
        <v>26</v>
      </c>
      <c r="T543" s="6">
        <v>46307</v>
      </c>
      <c r="U543">
        <v>84</v>
      </c>
      <c r="V543">
        <v>84</v>
      </c>
      <c r="W543">
        <v>84</v>
      </c>
      <c r="X543">
        <v>84</v>
      </c>
      <c r="Y543">
        <f t="shared" si="91"/>
        <v>0</v>
      </c>
      <c r="Z543">
        <f t="shared" si="92"/>
        <v>0</v>
      </c>
      <c r="AC543" s="1">
        <v>0</v>
      </c>
      <c r="AF543">
        <f t="shared" si="98"/>
        <v>84</v>
      </c>
      <c r="AG543" s="41">
        <v>12</v>
      </c>
      <c r="AH543">
        <f t="shared" si="94"/>
        <v>84</v>
      </c>
      <c r="AI543">
        <f t="shared" si="95"/>
        <v>0</v>
      </c>
      <c r="AK543">
        <f t="shared" si="96"/>
        <v>7</v>
      </c>
      <c r="AL543">
        <v>13.85</v>
      </c>
      <c r="AM543" t="s">
        <v>27</v>
      </c>
      <c r="AN543">
        <v>13.85</v>
      </c>
      <c r="AO543" t="b">
        <f t="shared" si="97"/>
        <v>1</v>
      </c>
      <c r="AR543" t="s">
        <v>5061</v>
      </c>
      <c r="AS543" s="21">
        <v>46276</v>
      </c>
      <c r="AT543" t="s">
        <v>5062</v>
      </c>
      <c r="AU543" t="s">
        <v>5072</v>
      </c>
      <c r="AV543" t="s">
        <v>5062</v>
      </c>
      <c r="AW543" t="s">
        <v>5086</v>
      </c>
    </row>
    <row r="544" spans="1:49" hidden="1" x14ac:dyDescent="0.35">
      <c r="A544" t="s">
        <v>871</v>
      </c>
      <c r="B544" t="s">
        <v>872</v>
      </c>
      <c r="C544" t="s">
        <v>4818</v>
      </c>
      <c r="D544" t="s">
        <v>18</v>
      </c>
      <c r="E544" t="s">
        <v>2447</v>
      </c>
      <c r="F544" t="s">
        <v>2448</v>
      </c>
      <c r="G544" t="s">
        <v>21</v>
      </c>
      <c r="H544" t="s">
        <v>4826</v>
      </c>
      <c r="I544" t="s">
        <v>4976</v>
      </c>
      <c r="J544" s="4" t="s">
        <v>4977</v>
      </c>
      <c r="K544" s="4" t="s">
        <v>4978</v>
      </c>
      <c r="L544" s="4" t="s">
        <v>4971</v>
      </c>
      <c r="M544" s="4" t="s">
        <v>5035</v>
      </c>
      <c r="N544" t="s">
        <v>15</v>
      </c>
      <c r="O544" t="s">
        <v>2449</v>
      </c>
      <c r="P544" t="s">
        <v>23</v>
      </c>
      <c r="Q544" t="s">
        <v>24</v>
      </c>
      <c r="R544" t="s">
        <v>25</v>
      </c>
      <c r="S544" t="s">
        <v>26</v>
      </c>
      <c r="T544" s="6">
        <v>46307</v>
      </c>
      <c r="U544">
        <v>24</v>
      </c>
      <c r="V544">
        <v>24</v>
      </c>
      <c r="W544">
        <v>24</v>
      </c>
      <c r="X544">
        <v>24</v>
      </c>
      <c r="Y544">
        <f t="shared" si="91"/>
        <v>0</v>
      </c>
      <c r="Z544">
        <f t="shared" si="92"/>
        <v>0</v>
      </c>
      <c r="AC544" s="1">
        <v>0</v>
      </c>
      <c r="AF544">
        <f t="shared" si="98"/>
        <v>24</v>
      </c>
      <c r="AG544" s="41">
        <v>12</v>
      </c>
      <c r="AH544">
        <f t="shared" si="94"/>
        <v>24</v>
      </c>
      <c r="AI544">
        <f t="shared" si="95"/>
        <v>0</v>
      </c>
      <c r="AK544">
        <f t="shared" si="96"/>
        <v>2</v>
      </c>
      <c r="AL544">
        <v>13.85</v>
      </c>
      <c r="AM544" t="s">
        <v>27</v>
      </c>
      <c r="AN544">
        <v>13.85</v>
      </c>
      <c r="AO544" t="b">
        <f t="shared" si="97"/>
        <v>1</v>
      </c>
      <c r="AR544" t="s">
        <v>5061</v>
      </c>
      <c r="AS544" s="21">
        <v>46276</v>
      </c>
      <c r="AT544" t="s">
        <v>5062</v>
      </c>
      <c r="AU544" t="s">
        <v>5072</v>
      </c>
      <c r="AV544" t="s">
        <v>5062</v>
      </c>
      <c r="AW544" t="s">
        <v>5086</v>
      </c>
    </row>
    <row r="545" spans="1:49" hidden="1" x14ac:dyDescent="0.35">
      <c r="A545" t="s">
        <v>871</v>
      </c>
      <c r="B545" t="s">
        <v>872</v>
      </c>
      <c r="C545" t="s">
        <v>4818</v>
      </c>
      <c r="D545" t="s">
        <v>18</v>
      </c>
      <c r="E545" t="s">
        <v>2450</v>
      </c>
      <c r="F545" t="s">
        <v>2451</v>
      </c>
      <c r="G545" t="s">
        <v>21</v>
      </c>
      <c r="H545" t="s">
        <v>4826</v>
      </c>
      <c r="I545" t="s">
        <v>4976</v>
      </c>
      <c r="J545" s="4" t="s">
        <v>4977</v>
      </c>
      <c r="K545" s="4" t="s">
        <v>4837</v>
      </c>
      <c r="L545" s="4" t="s">
        <v>4949</v>
      </c>
      <c r="M545" s="4" t="s">
        <v>5035</v>
      </c>
      <c r="N545" t="s">
        <v>15</v>
      </c>
      <c r="O545" t="s">
        <v>2452</v>
      </c>
      <c r="P545" t="s">
        <v>23</v>
      </c>
      <c r="Q545" t="s">
        <v>24</v>
      </c>
      <c r="R545" t="s">
        <v>25</v>
      </c>
      <c r="S545" t="s">
        <v>26</v>
      </c>
      <c r="T545" s="6">
        <v>46307</v>
      </c>
      <c r="U545">
        <v>60</v>
      </c>
      <c r="V545">
        <v>60</v>
      </c>
      <c r="W545">
        <v>60</v>
      </c>
      <c r="X545">
        <v>60</v>
      </c>
      <c r="Y545">
        <f t="shared" si="91"/>
        <v>0</v>
      </c>
      <c r="Z545">
        <f t="shared" si="92"/>
        <v>0</v>
      </c>
      <c r="AC545" s="1">
        <v>0</v>
      </c>
      <c r="AF545">
        <f t="shared" si="98"/>
        <v>60</v>
      </c>
      <c r="AG545" s="41">
        <v>12</v>
      </c>
      <c r="AH545">
        <f t="shared" si="94"/>
        <v>60</v>
      </c>
      <c r="AI545">
        <f t="shared" si="95"/>
        <v>0</v>
      </c>
      <c r="AK545">
        <f t="shared" si="96"/>
        <v>5</v>
      </c>
      <c r="AL545">
        <v>13.85</v>
      </c>
      <c r="AM545" t="s">
        <v>27</v>
      </c>
      <c r="AN545">
        <v>13.85</v>
      </c>
      <c r="AO545" t="b">
        <f t="shared" si="97"/>
        <v>1</v>
      </c>
      <c r="AR545" t="s">
        <v>5061</v>
      </c>
      <c r="AS545" s="21">
        <v>46276</v>
      </c>
      <c r="AT545" t="s">
        <v>5062</v>
      </c>
      <c r="AU545" t="s">
        <v>5072</v>
      </c>
      <c r="AV545" t="s">
        <v>5062</v>
      </c>
      <c r="AW545" t="s">
        <v>5086</v>
      </c>
    </row>
    <row r="546" spans="1:49" hidden="1" x14ac:dyDescent="0.35">
      <c r="A546" t="s">
        <v>871</v>
      </c>
      <c r="B546" t="s">
        <v>872</v>
      </c>
      <c r="C546" t="s">
        <v>4818</v>
      </c>
      <c r="D546" t="s">
        <v>18</v>
      </c>
      <c r="E546" t="s">
        <v>2453</v>
      </c>
      <c r="F546" t="s">
        <v>2454</v>
      </c>
      <c r="G546" t="s">
        <v>21</v>
      </c>
      <c r="H546" t="s">
        <v>4826</v>
      </c>
      <c r="I546" t="s">
        <v>4976</v>
      </c>
      <c r="J546" s="4" t="s">
        <v>4977</v>
      </c>
      <c r="K546" s="4" t="s">
        <v>4831</v>
      </c>
      <c r="L546" s="4" t="s">
        <v>4955</v>
      </c>
      <c r="M546" s="4" t="s">
        <v>5035</v>
      </c>
      <c r="N546" t="s">
        <v>15</v>
      </c>
      <c r="O546" t="s">
        <v>2455</v>
      </c>
      <c r="P546" t="s">
        <v>23</v>
      </c>
      <c r="Q546" t="s">
        <v>24</v>
      </c>
      <c r="R546" t="s">
        <v>25</v>
      </c>
      <c r="S546" t="s">
        <v>26</v>
      </c>
      <c r="T546" s="6">
        <v>46307</v>
      </c>
      <c r="U546">
        <v>24</v>
      </c>
      <c r="V546">
        <v>24</v>
      </c>
      <c r="W546">
        <v>24</v>
      </c>
      <c r="X546">
        <v>24</v>
      </c>
      <c r="Y546">
        <f t="shared" si="91"/>
        <v>0</v>
      </c>
      <c r="Z546">
        <f t="shared" si="92"/>
        <v>0</v>
      </c>
      <c r="AC546" s="1">
        <v>0</v>
      </c>
      <c r="AF546">
        <f t="shared" si="98"/>
        <v>24</v>
      </c>
      <c r="AG546" s="41">
        <v>12</v>
      </c>
      <c r="AH546">
        <f t="shared" si="94"/>
        <v>24</v>
      </c>
      <c r="AI546">
        <f t="shared" si="95"/>
        <v>0</v>
      </c>
      <c r="AK546">
        <f t="shared" si="96"/>
        <v>2</v>
      </c>
      <c r="AL546">
        <v>13.85</v>
      </c>
      <c r="AM546" t="s">
        <v>27</v>
      </c>
      <c r="AN546">
        <v>13.85</v>
      </c>
      <c r="AO546" t="b">
        <f t="shared" si="97"/>
        <v>1</v>
      </c>
      <c r="AR546" t="s">
        <v>5061</v>
      </c>
      <c r="AS546" s="21">
        <v>46276</v>
      </c>
      <c r="AT546" t="s">
        <v>5062</v>
      </c>
      <c r="AU546" t="s">
        <v>5072</v>
      </c>
      <c r="AV546" t="s">
        <v>5062</v>
      </c>
      <c r="AW546" t="s">
        <v>5086</v>
      </c>
    </row>
    <row r="547" spans="1:49" hidden="1" x14ac:dyDescent="0.35">
      <c r="A547" t="s">
        <v>871</v>
      </c>
      <c r="B547" t="s">
        <v>872</v>
      </c>
      <c r="C547" t="s">
        <v>4818</v>
      </c>
      <c r="D547" t="s">
        <v>18</v>
      </c>
      <c r="E547" t="s">
        <v>2456</v>
      </c>
      <c r="F547" t="s">
        <v>2457</v>
      </c>
      <c r="G547" t="s">
        <v>21</v>
      </c>
      <c r="H547" t="s">
        <v>4826</v>
      </c>
      <c r="I547" t="s">
        <v>4976</v>
      </c>
      <c r="J547" s="4" t="s">
        <v>4977</v>
      </c>
      <c r="K547" s="4" t="s">
        <v>4832</v>
      </c>
      <c r="L547" s="4" t="s">
        <v>4948</v>
      </c>
      <c r="M547" s="4" t="s">
        <v>5035</v>
      </c>
      <c r="N547" t="s">
        <v>15</v>
      </c>
      <c r="O547" t="s">
        <v>2458</v>
      </c>
      <c r="P547" t="s">
        <v>23</v>
      </c>
      <c r="Q547" t="s">
        <v>24</v>
      </c>
      <c r="R547" t="s">
        <v>25</v>
      </c>
      <c r="S547" t="s">
        <v>26</v>
      </c>
      <c r="T547" s="6">
        <v>46307</v>
      </c>
      <c r="U547">
        <v>24</v>
      </c>
      <c r="V547">
        <v>24</v>
      </c>
      <c r="W547">
        <v>24</v>
      </c>
      <c r="X547">
        <v>24</v>
      </c>
      <c r="Y547">
        <f t="shared" si="91"/>
        <v>0</v>
      </c>
      <c r="Z547">
        <f t="shared" si="92"/>
        <v>0</v>
      </c>
      <c r="AC547" s="1">
        <v>0</v>
      </c>
      <c r="AF547">
        <f t="shared" si="98"/>
        <v>24</v>
      </c>
      <c r="AG547" s="41">
        <v>12</v>
      </c>
      <c r="AH547">
        <f t="shared" si="94"/>
        <v>24</v>
      </c>
      <c r="AI547">
        <f t="shared" si="95"/>
        <v>0</v>
      </c>
      <c r="AK547">
        <f t="shared" si="96"/>
        <v>2</v>
      </c>
      <c r="AL547">
        <v>13.85</v>
      </c>
      <c r="AM547" t="s">
        <v>27</v>
      </c>
      <c r="AN547">
        <v>13.85</v>
      </c>
      <c r="AO547" t="b">
        <f t="shared" si="97"/>
        <v>1</v>
      </c>
      <c r="AR547" t="s">
        <v>5061</v>
      </c>
      <c r="AS547" s="21">
        <v>46276</v>
      </c>
      <c r="AT547" t="s">
        <v>5062</v>
      </c>
      <c r="AU547" t="s">
        <v>5072</v>
      </c>
      <c r="AV547" t="s">
        <v>5062</v>
      </c>
      <c r="AW547" t="s">
        <v>5086</v>
      </c>
    </row>
    <row r="548" spans="1:49" hidden="1" x14ac:dyDescent="0.35">
      <c r="A548" t="s">
        <v>871</v>
      </c>
      <c r="B548" t="s">
        <v>872</v>
      </c>
      <c r="C548" t="s">
        <v>4818</v>
      </c>
      <c r="D548" t="s">
        <v>18</v>
      </c>
      <c r="E548" t="s">
        <v>2459</v>
      </c>
      <c r="F548" t="s">
        <v>2460</v>
      </c>
      <c r="G548" t="s">
        <v>21</v>
      </c>
      <c r="H548" t="s">
        <v>4826</v>
      </c>
      <c r="I548" t="s">
        <v>4976</v>
      </c>
      <c r="J548" s="4" t="s">
        <v>4977</v>
      </c>
      <c r="K548" s="4" t="s">
        <v>4978</v>
      </c>
      <c r="L548" s="4" t="s">
        <v>4954</v>
      </c>
      <c r="M548" s="4" t="s">
        <v>5035</v>
      </c>
      <c r="N548" t="s">
        <v>15</v>
      </c>
      <c r="O548" t="s">
        <v>2461</v>
      </c>
      <c r="P548" t="s">
        <v>23</v>
      </c>
      <c r="Q548" t="s">
        <v>24</v>
      </c>
      <c r="R548" t="s">
        <v>25</v>
      </c>
      <c r="S548" t="s">
        <v>26</v>
      </c>
      <c r="T548" s="6">
        <v>46307</v>
      </c>
      <c r="U548">
        <v>12</v>
      </c>
      <c r="V548">
        <v>12</v>
      </c>
      <c r="W548">
        <v>12</v>
      </c>
      <c r="X548">
        <v>12</v>
      </c>
      <c r="Y548">
        <f t="shared" si="91"/>
        <v>0</v>
      </c>
      <c r="Z548">
        <f t="shared" si="92"/>
        <v>0</v>
      </c>
      <c r="AC548" s="1">
        <v>0</v>
      </c>
      <c r="AF548">
        <f t="shared" si="98"/>
        <v>12</v>
      </c>
      <c r="AG548" s="41">
        <v>12</v>
      </c>
      <c r="AH548">
        <f t="shared" si="94"/>
        <v>12</v>
      </c>
      <c r="AI548">
        <f t="shared" si="95"/>
        <v>0</v>
      </c>
      <c r="AK548">
        <f t="shared" si="96"/>
        <v>1</v>
      </c>
      <c r="AL548">
        <v>13.85</v>
      </c>
      <c r="AM548" t="s">
        <v>27</v>
      </c>
      <c r="AN548">
        <v>13.85</v>
      </c>
      <c r="AO548" t="b">
        <f t="shared" si="97"/>
        <v>1</v>
      </c>
      <c r="AR548" t="s">
        <v>5061</v>
      </c>
      <c r="AS548" s="21">
        <v>46276</v>
      </c>
      <c r="AT548" t="s">
        <v>5062</v>
      </c>
      <c r="AU548" t="s">
        <v>5072</v>
      </c>
      <c r="AV548" t="s">
        <v>5062</v>
      </c>
      <c r="AW548" t="s">
        <v>5086</v>
      </c>
    </row>
    <row r="549" spans="1:49" hidden="1" x14ac:dyDescent="0.35">
      <c r="A549" t="s">
        <v>871</v>
      </c>
      <c r="B549" t="s">
        <v>872</v>
      </c>
      <c r="C549" t="s">
        <v>4818</v>
      </c>
      <c r="D549" t="s">
        <v>18</v>
      </c>
      <c r="E549" t="s">
        <v>2462</v>
      </c>
      <c r="F549" t="s">
        <v>2463</v>
      </c>
      <c r="G549" t="s">
        <v>21</v>
      </c>
      <c r="H549" t="s">
        <v>4826</v>
      </c>
      <c r="I549" t="s">
        <v>4976</v>
      </c>
      <c r="J549" s="4" t="s">
        <v>4977</v>
      </c>
      <c r="K549" s="4" t="s">
        <v>4837</v>
      </c>
      <c r="L549" s="4" t="s">
        <v>4963</v>
      </c>
      <c r="M549" s="4" t="s">
        <v>5035</v>
      </c>
      <c r="N549" t="s">
        <v>15</v>
      </c>
      <c r="O549" t="s">
        <v>2464</v>
      </c>
      <c r="P549" t="s">
        <v>23</v>
      </c>
      <c r="Q549" t="s">
        <v>24</v>
      </c>
      <c r="R549" t="s">
        <v>25</v>
      </c>
      <c r="S549" t="s">
        <v>26</v>
      </c>
      <c r="T549" s="6">
        <v>46307</v>
      </c>
      <c r="U549">
        <v>108</v>
      </c>
      <c r="V549">
        <v>108</v>
      </c>
      <c r="W549">
        <v>120</v>
      </c>
      <c r="X549">
        <v>120</v>
      </c>
      <c r="Y549">
        <f t="shared" si="91"/>
        <v>0</v>
      </c>
      <c r="Z549">
        <f t="shared" si="92"/>
        <v>-12</v>
      </c>
      <c r="AC549" s="1">
        <v>0</v>
      </c>
      <c r="AF549">
        <f t="shared" si="98"/>
        <v>108</v>
      </c>
      <c r="AG549" s="41">
        <v>12</v>
      </c>
      <c r="AH549">
        <f t="shared" si="94"/>
        <v>108</v>
      </c>
      <c r="AI549">
        <f t="shared" si="95"/>
        <v>0</v>
      </c>
      <c r="AK549">
        <f t="shared" si="96"/>
        <v>9</v>
      </c>
      <c r="AL549">
        <v>13.85</v>
      </c>
      <c r="AM549" t="s">
        <v>27</v>
      </c>
      <c r="AN549">
        <v>13.85</v>
      </c>
      <c r="AO549" t="b">
        <f t="shared" si="97"/>
        <v>1</v>
      </c>
      <c r="AR549" t="s">
        <v>5061</v>
      </c>
      <c r="AS549" s="21">
        <v>46276</v>
      </c>
      <c r="AT549" t="s">
        <v>5062</v>
      </c>
      <c r="AU549" t="s">
        <v>5072</v>
      </c>
      <c r="AV549" t="s">
        <v>5062</v>
      </c>
      <c r="AW549" t="s">
        <v>5086</v>
      </c>
    </row>
    <row r="550" spans="1:49" hidden="1" x14ac:dyDescent="0.35">
      <c r="A550" t="s">
        <v>871</v>
      </c>
      <c r="B550" t="s">
        <v>872</v>
      </c>
      <c r="C550" t="s">
        <v>4818</v>
      </c>
      <c r="D550" t="s">
        <v>18</v>
      </c>
      <c r="E550" t="s">
        <v>2465</v>
      </c>
      <c r="F550" t="s">
        <v>2466</v>
      </c>
      <c r="G550" t="s">
        <v>21</v>
      </c>
      <c r="H550" t="s">
        <v>4826</v>
      </c>
      <c r="I550" t="s">
        <v>4976</v>
      </c>
      <c r="J550" s="4" t="s">
        <v>4977</v>
      </c>
      <c r="K550" s="4" t="s">
        <v>4978</v>
      </c>
      <c r="L550" s="4" t="s">
        <v>4972</v>
      </c>
      <c r="M550" s="4" t="s">
        <v>5035</v>
      </c>
      <c r="N550" t="s">
        <v>15</v>
      </c>
      <c r="O550" t="s">
        <v>2467</v>
      </c>
      <c r="P550" t="s">
        <v>23</v>
      </c>
      <c r="Q550" t="s">
        <v>24</v>
      </c>
      <c r="R550" t="s">
        <v>25</v>
      </c>
      <c r="S550" t="s">
        <v>26</v>
      </c>
      <c r="T550" s="6">
        <v>46307</v>
      </c>
      <c r="U550">
        <v>72</v>
      </c>
      <c r="V550">
        <v>72</v>
      </c>
      <c r="W550">
        <v>84</v>
      </c>
      <c r="X550">
        <v>84</v>
      </c>
      <c r="Y550">
        <f t="shared" si="91"/>
        <v>0</v>
      </c>
      <c r="Z550">
        <f t="shared" si="92"/>
        <v>-12</v>
      </c>
      <c r="AC550" s="1">
        <v>0</v>
      </c>
      <c r="AF550">
        <f t="shared" si="98"/>
        <v>72</v>
      </c>
      <c r="AG550" s="41">
        <v>12</v>
      </c>
      <c r="AH550">
        <f t="shared" si="94"/>
        <v>72</v>
      </c>
      <c r="AI550">
        <f t="shared" si="95"/>
        <v>0</v>
      </c>
      <c r="AK550">
        <f t="shared" si="96"/>
        <v>6</v>
      </c>
      <c r="AL550">
        <v>13.85</v>
      </c>
      <c r="AM550" t="s">
        <v>27</v>
      </c>
      <c r="AN550">
        <v>13.85</v>
      </c>
      <c r="AO550" t="b">
        <f t="shared" si="97"/>
        <v>1</v>
      </c>
      <c r="AR550" t="s">
        <v>5061</v>
      </c>
      <c r="AS550" s="21">
        <v>46276</v>
      </c>
      <c r="AT550" t="s">
        <v>5062</v>
      </c>
      <c r="AU550" t="s">
        <v>5072</v>
      </c>
      <c r="AV550" t="s">
        <v>5062</v>
      </c>
      <c r="AW550" t="s">
        <v>5086</v>
      </c>
    </row>
    <row r="551" spans="1:49" hidden="1" x14ac:dyDescent="0.35">
      <c r="A551" t="s">
        <v>871</v>
      </c>
      <c r="B551" t="s">
        <v>872</v>
      </c>
      <c r="C551" t="s">
        <v>4818</v>
      </c>
      <c r="D551" t="s">
        <v>18</v>
      </c>
      <c r="E551" t="s">
        <v>2468</v>
      </c>
      <c r="F551" t="s">
        <v>2469</v>
      </c>
      <c r="G551" t="s">
        <v>21</v>
      </c>
      <c r="H551" t="s">
        <v>4826</v>
      </c>
      <c r="I551" t="s">
        <v>4976</v>
      </c>
      <c r="J551" s="4" t="s">
        <v>4977</v>
      </c>
      <c r="K551" s="4" t="s">
        <v>4978</v>
      </c>
      <c r="L551" s="4" t="s">
        <v>4951</v>
      </c>
      <c r="M551" s="4" t="s">
        <v>5035</v>
      </c>
      <c r="N551" t="s">
        <v>15</v>
      </c>
      <c r="O551" t="s">
        <v>2470</v>
      </c>
      <c r="P551" t="s">
        <v>23</v>
      </c>
      <c r="Q551" t="s">
        <v>24</v>
      </c>
      <c r="R551" t="s">
        <v>25</v>
      </c>
      <c r="S551" t="s">
        <v>26</v>
      </c>
      <c r="T551" s="6">
        <v>46307</v>
      </c>
      <c r="U551">
        <v>144</v>
      </c>
      <c r="V551">
        <v>144</v>
      </c>
      <c r="W551">
        <v>156</v>
      </c>
      <c r="X551">
        <v>156</v>
      </c>
      <c r="Y551">
        <f t="shared" si="91"/>
        <v>0</v>
      </c>
      <c r="Z551">
        <f t="shared" si="92"/>
        <v>-12</v>
      </c>
      <c r="AC551" s="1"/>
      <c r="AF551">
        <f t="shared" si="98"/>
        <v>144</v>
      </c>
      <c r="AG551" s="41">
        <v>12</v>
      </c>
      <c r="AH551">
        <f t="shared" si="94"/>
        <v>144</v>
      </c>
      <c r="AI551">
        <f t="shared" si="95"/>
        <v>0</v>
      </c>
      <c r="AK551">
        <f t="shared" si="96"/>
        <v>12</v>
      </c>
      <c r="AL551">
        <v>13.85</v>
      </c>
      <c r="AM551" t="s">
        <v>27</v>
      </c>
      <c r="AN551">
        <v>13.85</v>
      </c>
      <c r="AO551" t="b">
        <f t="shared" si="97"/>
        <v>1</v>
      </c>
      <c r="AR551" t="s">
        <v>5061</v>
      </c>
      <c r="AS551" s="21">
        <v>46276</v>
      </c>
      <c r="AT551" t="s">
        <v>5062</v>
      </c>
      <c r="AU551" t="s">
        <v>5072</v>
      </c>
      <c r="AV551" t="s">
        <v>5062</v>
      </c>
      <c r="AW551" t="s">
        <v>5086</v>
      </c>
    </row>
    <row r="552" spans="1:49" hidden="1" x14ac:dyDescent="0.35">
      <c r="A552" t="s">
        <v>871</v>
      </c>
      <c r="B552" t="s">
        <v>872</v>
      </c>
      <c r="C552" t="s">
        <v>4818</v>
      </c>
      <c r="D552" t="s">
        <v>18</v>
      </c>
      <c r="E552" t="s">
        <v>2471</v>
      </c>
      <c r="F552" t="s">
        <v>2472</v>
      </c>
      <c r="G552" t="s">
        <v>21</v>
      </c>
      <c r="H552" t="s">
        <v>4826</v>
      </c>
      <c r="I552" t="s">
        <v>4976</v>
      </c>
      <c r="J552" s="4" t="s">
        <v>4977</v>
      </c>
      <c r="K552" s="4" t="s">
        <v>4837</v>
      </c>
      <c r="L552" s="4" t="s">
        <v>4962</v>
      </c>
      <c r="M552" s="4" t="s">
        <v>5035</v>
      </c>
      <c r="N552" t="s">
        <v>15</v>
      </c>
      <c r="O552" t="s">
        <v>2473</v>
      </c>
      <c r="P552" t="s">
        <v>23</v>
      </c>
      <c r="Q552" t="s">
        <v>24</v>
      </c>
      <c r="R552" t="s">
        <v>25</v>
      </c>
      <c r="S552" t="s">
        <v>26</v>
      </c>
      <c r="T552" s="6">
        <v>46307</v>
      </c>
      <c r="U552">
        <v>396</v>
      </c>
      <c r="V552">
        <v>396</v>
      </c>
      <c r="W552">
        <v>420</v>
      </c>
      <c r="X552">
        <v>420</v>
      </c>
      <c r="Y552">
        <f t="shared" si="91"/>
        <v>0</v>
      </c>
      <c r="Z552">
        <f t="shared" si="92"/>
        <v>-24</v>
      </c>
      <c r="AC552" s="1"/>
      <c r="AF552">
        <f t="shared" si="98"/>
        <v>396</v>
      </c>
      <c r="AG552" s="41">
        <v>12</v>
      </c>
      <c r="AH552">
        <f t="shared" si="94"/>
        <v>396</v>
      </c>
      <c r="AI552">
        <f t="shared" si="95"/>
        <v>0</v>
      </c>
      <c r="AK552">
        <f t="shared" si="96"/>
        <v>33</v>
      </c>
      <c r="AL552">
        <v>13.85</v>
      </c>
      <c r="AM552" t="s">
        <v>27</v>
      </c>
      <c r="AN552">
        <v>13.85</v>
      </c>
      <c r="AO552" t="b">
        <f t="shared" si="97"/>
        <v>1</v>
      </c>
      <c r="AR552" t="s">
        <v>5061</v>
      </c>
      <c r="AS552" s="21">
        <v>46276</v>
      </c>
      <c r="AT552" t="s">
        <v>5062</v>
      </c>
      <c r="AU552" t="s">
        <v>5072</v>
      </c>
      <c r="AV552" t="s">
        <v>5062</v>
      </c>
      <c r="AW552" t="s">
        <v>5086</v>
      </c>
    </row>
    <row r="553" spans="1:49" hidden="1" x14ac:dyDescent="0.35">
      <c r="A553" t="s">
        <v>871</v>
      </c>
      <c r="B553" t="s">
        <v>872</v>
      </c>
      <c r="C553" t="s">
        <v>4818</v>
      </c>
      <c r="D553" t="s">
        <v>18</v>
      </c>
      <c r="E553" t="s">
        <v>2474</v>
      </c>
      <c r="F553" t="s">
        <v>2475</v>
      </c>
      <c r="G553" t="s">
        <v>21</v>
      </c>
      <c r="H553" t="s">
        <v>4826</v>
      </c>
      <c r="I553" t="s">
        <v>4976</v>
      </c>
      <c r="J553" s="4" t="s">
        <v>4977</v>
      </c>
      <c r="K553" s="4" t="s">
        <v>4831</v>
      </c>
      <c r="L553" s="4" t="s">
        <v>4938</v>
      </c>
      <c r="M553" s="4" t="s">
        <v>5035</v>
      </c>
      <c r="N553" t="s">
        <v>15</v>
      </c>
      <c r="O553" t="s">
        <v>2476</v>
      </c>
      <c r="P553" t="s">
        <v>23</v>
      </c>
      <c r="Q553" t="s">
        <v>24</v>
      </c>
      <c r="R553" t="s">
        <v>25</v>
      </c>
      <c r="S553" t="s">
        <v>26</v>
      </c>
      <c r="T553" s="6">
        <v>46307</v>
      </c>
      <c r="U553">
        <v>48</v>
      </c>
      <c r="V553">
        <v>48</v>
      </c>
      <c r="W553">
        <v>48</v>
      </c>
      <c r="X553">
        <v>48</v>
      </c>
      <c r="Y553">
        <f t="shared" si="91"/>
        <v>0</v>
      </c>
      <c r="Z553">
        <f t="shared" si="92"/>
        <v>0</v>
      </c>
      <c r="AC553" s="1">
        <v>0</v>
      </c>
      <c r="AF553">
        <f t="shared" si="98"/>
        <v>48</v>
      </c>
      <c r="AG553" s="41">
        <v>12</v>
      </c>
      <c r="AH553">
        <f t="shared" si="94"/>
        <v>48</v>
      </c>
      <c r="AI553">
        <f t="shared" si="95"/>
        <v>0</v>
      </c>
      <c r="AK553">
        <f t="shared" si="96"/>
        <v>4</v>
      </c>
      <c r="AL553">
        <v>13.85</v>
      </c>
      <c r="AM553" t="s">
        <v>27</v>
      </c>
      <c r="AN553">
        <v>13.85</v>
      </c>
      <c r="AO553" t="b">
        <f t="shared" si="97"/>
        <v>1</v>
      </c>
      <c r="AR553" t="s">
        <v>5061</v>
      </c>
      <c r="AS553" s="21">
        <v>46276</v>
      </c>
      <c r="AT553" t="s">
        <v>5062</v>
      </c>
      <c r="AU553" t="s">
        <v>5072</v>
      </c>
      <c r="AV553" t="s">
        <v>5062</v>
      </c>
      <c r="AW553" t="s">
        <v>5086</v>
      </c>
    </row>
    <row r="554" spans="1:49" hidden="1" x14ac:dyDescent="0.35">
      <c r="A554" t="s">
        <v>871</v>
      </c>
      <c r="B554" t="s">
        <v>872</v>
      </c>
      <c r="C554" t="s">
        <v>4818</v>
      </c>
      <c r="D554" t="s">
        <v>18</v>
      </c>
      <c r="E554" t="s">
        <v>2477</v>
      </c>
      <c r="F554" t="s">
        <v>2478</v>
      </c>
      <c r="G554" t="s">
        <v>21</v>
      </c>
      <c r="H554" t="s">
        <v>4826</v>
      </c>
      <c r="I554" t="s">
        <v>4976</v>
      </c>
      <c r="J554" s="4" t="s">
        <v>4977</v>
      </c>
      <c r="K554" s="4" t="s">
        <v>4831</v>
      </c>
      <c r="L554" s="4" t="s">
        <v>4953</v>
      </c>
      <c r="M554" s="4" t="s">
        <v>5035</v>
      </c>
      <c r="N554" t="s">
        <v>15</v>
      </c>
      <c r="O554" t="s">
        <v>2479</v>
      </c>
      <c r="P554" t="s">
        <v>23</v>
      </c>
      <c r="Q554" t="s">
        <v>24</v>
      </c>
      <c r="R554" t="s">
        <v>25</v>
      </c>
      <c r="S554" t="s">
        <v>26</v>
      </c>
      <c r="T554" s="6">
        <v>46307</v>
      </c>
      <c r="U554">
        <v>60</v>
      </c>
      <c r="V554">
        <v>60</v>
      </c>
      <c r="W554">
        <v>60</v>
      </c>
      <c r="X554">
        <v>60</v>
      </c>
      <c r="Y554">
        <f t="shared" si="91"/>
        <v>0</v>
      </c>
      <c r="Z554">
        <f t="shared" si="92"/>
        <v>0</v>
      </c>
      <c r="AC554" s="1">
        <v>0</v>
      </c>
      <c r="AF554">
        <f t="shared" si="98"/>
        <v>60</v>
      </c>
      <c r="AG554" s="41">
        <v>12</v>
      </c>
      <c r="AH554">
        <f t="shared" si="94"/>
        <v>60</v>
      </c>
      <c r="AI554">
        <f t="shared" si="95"/>
        <v>0</v>
      </c>
      <c r="AK554">
        <f t="shared" si="96"/>
        <v>5</v>
      </c>
      <c r="AL554">
        <v>13.85</v>
      </c>
      <c r="AM554" t="s">
        <v>27</v>
      </c>
      <c r="AN554">
        <v>13.85</v>
      </c>
      <c r="AO554" t="b">
        <f t="shared" si="97"/>
        <v>1</v>
      </c>
      <c r="AR554" t="s">
        <v>5061</v>
      </c>
      <c r="AS554" s="21">
        <v>46276</v>
      </c>
      <c r="AT554" t="s">
        <v>5062</v>
      </c>
      <c r="AU554" t="s">
        <v>5072</v>
      </c>
      <c r="AV554" t="s">
        <v>5062</v>
      </c>
      <c r="AW554" t="s">
        <v>5086</v>
      </c>
    </row>
    <row r="555" spans="1:49" hidden="1" x14ac:dyDescent="0.35">
      <c r="A555" t="s">
        <v>871</v>
      </c>
      <c r="B555" t="s">
        <v>872</v>
      </c>
      <c r="C555" t="s">
        <v>4818</v>
      </c>
      <c r="D555" t="s">
        <v>18</v>
      </c>
      <c r="E555" t="s">
        <v>2480</v>
      </c>
      <c r="F555" t="s">
        <v>2481</v>
      </c>
      <c r="G555" t="s">
        <v>21</v>
      </c>
      <c r="H555" t="s">
        <v>4826</v>
      </c>
      <c r="I555" t="s">
        <v>4976</v>
      </c>
      <c r="J555" s="4" t="s">
        <v>4977</v>
      </c>
      <c r="K555" s="4" t="s">
        <v>4978</v>
      </c>
      <c r="L555" s="4" t="s">
        <v>4946</v>
      </c>
      <c r="M555" s="4" t="s">
        <v>5035</v>
      </c>
      <c r="N555" t="s">
        <v>15</v>
      </c>
      <c r="O555" t="s">
        <v>2482</v>
      </c>
      <c r="P555" t="s">
        <v>23</v>
      </c>
      <c r="Q555" t="s">
        <v>24</v>
      </c>
      <c r="R555" t="s">
        <v>25</v>
      </c>
      <c r="S555" t="s">
        <v>26</v>
      </c>
      <c r="T555" s="6">
        <v>46307</v>
      </c>
      <c r="U555">
        <v>168</v>
      </c>
      <c r="V555">
        <v>168</v>
      </c>
      <c r="W555">
        <v>180</v>
      </c>
      <c r="X555">
        <v>180</v>
      </c>
      <c r="Y555">
        <f t="shared" si="91"/>
        <v>0</v>
      </c>
      <c r="Z555">
        <f t="shared" si="92"/>
        <v>-12</v>
      </c>
      <c r="AC555" s="1"/>
      <c r="AF555">
        <f t="shared" si="98"/>
        <v>168</v>
      </c>
      <c r="AG555" s="41">
        <v>12</v>
      </c>
      <c r="AH555">
        <f t="shared" si="94"/>
        <v>168</v>
      </c>
      <c r="AI555">
        <f t="shared" si="95"/>
        <v>0</v>
      </c>
      <c r="AK555">
        <f t="shared" si="96"/>
        <v>14</v>
      </c>
      <c r="AL555">
        <v>13.85</v>
      </c>
      <c r="AM555" t="s">
        <v>27</v>
      </c>
      <c r="AN555">
        <v>13.85</v>
      </c>
      <c r="AO555" t="b">
        <f t="shared" si="97"/>
        <v>1</v>
      </c>
      <c r="AR555" t="s">
        <v>5061</v>
      </c>
      <c r="AS555" s="21">
        <v>46276</v>
      </c>
      <c r="AT555" t="s">
        <v>5062</v>
      </c>
      <c r="AU555" t="s">
        <v>5072</v>
      </c>
      <c r="AV555" t="s">
        <v>5062</v>
      </c>
      <c r="AW555" t="s">
        <v>5086</v>
      </c>
    </row>
    <row r="556" spans="1:49" hidden="1" x14ac:dyDescent="0.35">
      <c r="A556" t="s">
        <v>871</v>
      </c>
      <c r="B556" t="s">
        <v>872</v>
      </c>
      <c r="C556" t="s">
        <v>4818</v>
      </c>
      <c r="D556" t="s">
        <v>18</v>
      </c>
      <c r="E556" t="s">
        <v>2483</v>
      </c>
      <c r="F556" t="s">
        <v>2484</v>
      </c>
      <c r="G556" t="s">
        <v>21</v>
      </c>
      <c r="H556" t="s">
        <v>4826</v>
      </c>
      <c r="I556" t="s">
        <v>4976</v>
      </c>
      <c r="J556" s="4" t="s">
        <v>4977</v>
      </c>
      <c r="K556" s="4" t="s">
        <v>4957</v>
      </c>
      <c r="L556" s="4" t="s">
        <v>4970</v>
      </c>
      <c r="M556" s="4" t="s">
        <v>5035</v>
      </c>
      <c r="N556" t="s">
        <v>15</v>
      </c>
      <c r="O556" t="s">
        <v>2485</v>
      </c>
      <c r="P556" t="s">
        <v>23</v>
      </c>
      <c r="Q556" t="s">
        <v>24</v>
      </c>
      <c r="R556" t="s">
        <v>25</v>
      </c>
      <c r="S556" t="s">
        <v>26</v>
      </c>
      <c r="T556" s="6">
        <v>46307</v>
      </c>
      <c r="U556">
        <v>84</v>
      </c>
      <c r="V556">
        <v>84</v>
      </c>
      <c r="W556">
        <v>96</v>
      </c>
      <c r="X556">
        <v>96</v>
      </c>
      <c r="Y556">
        <f t="shared" si="91"/>
        <v>0</v>
      </c>
      <c r="Z556">
        <f t="shared" si="92"/>
        <v>-12</v>
      </c>
      <c r="AC556" s="1">
        <v>0</v>
      </c>
      <c r="AF556">
        <f t="shared" si="98"/>
        <v>84</v>
      </c>
      <c r="AG556" s="41">
        <v>12</v>
      </c>
      <c r="AH556">
        <f t="shared" si="94"/>
        <v>84</v>
      </c>
      <c r="AI556">
        <f t="shared" si="95"/>
        <v>0</v>
      </c>
      <c r="AK556">
        <f t="shared" si="96"/>
        <v>7</v>
      </c>
      <c r="AL556">
        <v>13.85</v>
      </c>
      <c r="AM556" t="s">
        <v>27</v>
      </c>
      <c r="AN556">
        <v>13.85</v>
      </c>
      <c r="AO556" t="b">
        <f t="shared" si="97"/>
        <v>1</v>
      </c>
      <c r="AR556" t="s">
        <v>5061</v>
      </c>
      <c r="AS556" s="21">
        <v>46276</v>
      </c>
      <c r="AT556" t="s">
        <v>5062</v>
      </c>
      <c r="AU556" t="s">
        <v>5072</v>
      </c>
      <c r="AV556" t="s">
        <v>5062</v>
      </c>
      <c r="AW556" t="s">
        <v>5086</v>
      </c>
    </row>
    <row r="557" spans="1:49" hidden="1" x14ac:dyDescent="0.35">
      <c r="A557" t="s">
        <v>871</v>
      </c>
      <c r="B557" t="s">
        <v>872</v>
      </c>
      <c r="C557" t="s">
        <v>4818</v>
      </c>
      <c r="D557" t="s">
        <v>18</v>
      </c>
      <c r="E557" t="s">
        <v>2486</v>
      </c>
      <c r="F557" t="s">
        <v>2487</v>
      </c>
      <c r="G557" t="s">
        <v>21</v>
      </c>
      <c r="H557" t="s">
        <v>4826</v>
      </c>
      <c r="I557" t="s">
        <v>4976</v>
      </c>
      <c r="J557" s="4" t="s">
        <v>4977</v>
      </c>
      <c r="K557" s="4" t="s">
        <v>4831</v>
      </c>
      <c r="L557" s="4" t="s">
        <v>4965</v>
      </c>
      <c r="M557" s="4" t="s">
        <v>5035</v>
      </c>
      <c r="N557" t="s">
        <v>15</v>
      </c>
      <c r="O557" t="s">
        <v>2488</v>
      </c>
      <c r="P557" t="s">
        <v>23</v>
      </c>
      <c r="Q557" t="s">
        <v>24</v>
      </c>
      <c r="R557" t="s">
        <v>25</v>
      </c>
      <c r="S557" t="s">
        <v>26</v>
      </c>
      <c r="T557" s="6">
        <v>46307</v>
      </c>
      <c r="U557">
        <v>12</v>
      </c>
      <c r="V557">
        <v>12</v>
      </c>
      <c r="W557">
        <v>12</v>
      </c>
      <c r="X557">
        <v>12</v>
      </c>
      <c r="Y557">
        <f t="shared" si="91"/>
        <v>0</v>
      </c>
      <c r="Z557">
        <f t="shared" si="92"/>
        <v>0</v>
      </c>
      <c r="AC557" s="1">
        <v>0</v>
      </c>
      <c r="AF557">
        <f t="shared" si="98"/>
        <v>12</v>
      </c>
      <c r="AG557" s="41">
        <v>12</v>
      </c>
      <c r="AH557">
        <f t="shared" si="94"/>
        <v>12</v>
      </c>
      <c r="AI557">
        <f t="shared" si="95"/>
        <v>0</v>
      </c>
      <c r="AK557">
        <f t="shared" si="96"/>
        <v>1</v>
      </c>
      <c r="AL557">
        <v>13.85</v>
      </c>
      <c r="AM557" t="s">
        <v>27</v>
      </c>
      <c r="AN557">
        <v>13.85</v>
      </c>
      <c r="AO557" t="b">
        <f t="shared" si="97"/>
        <v>1</v>
      </c>
      <c r="AR557" t="s">
        <v>5061</v>
      </c>
      <c r="AS557" s="21">
        <v>46276</v>
      </c>
      <c r="AT557" t="s">
        <v>5062</v>
      </c>
      <c r="AU557" t="s">
        <v>5072</v>
      </c>
      <c r="AV557" t="s">
        <v>5062</v>
      </c>
      <c r="AW557" t="s">
        <v>5086</v>
      </c>
    </row>
    <row r="558" spans="1:49" hidden="1" x14ac:dyDescent="0.35">
      <c r="A558" t="s">
        <v>871</v>
      </c>
      <c r="B558" t="s">
        <v>872</v>
      </c>
      <c r="C558" t="s">
        <v>4818</v>
      </c>
      <c r="D558" t="s">
        <v>18</v>
      </c>
      <c r="E558" t="s">
        <v>2489</v>
      </c>
      <c r="F558" t="s">
        <v>2490</v>
      </c>
      <c r="G558" t="s">
        <v>21</v>
      </c>
      <c r="H558" t="s">
        <v>4826</v>
      </c>
      <c r="I558" t="s">
        <v>4976</v>
      </c>
      <c r="J558" s="4" t="s">
        <v>4977</v>
      </c>
      <c r="K558" s="4" t="s">
        <v>4978</v>
      </c>
      <c r="L558" s="4" t="s">
        <v>4958</v>
      </c>
      <c r="M558" s="4" t="s">
        <v>5035</v>
      </c>
      <c r="N558" t="s">
        <v>15</v>
      </c>
      <c r="O558" t="s">
        <v>2491</v>
      </c>
      <c r="P558" t="s">
        <v>23</v>
      </c>
      <c r="Q558" t="s">
        <v>24</v>
      </c>
      <c r="R558" t="s">
        <v>25</v>
      </c>
      <c r="S558" t="s">
        <v>26</v>
      </c>
      <c r="T558" s="6">
        <v>46307</v>
      </c>
      <c r="U558">
        <v>96</v>
      </c>
      <c r="V558">
        <v>96</v>
      </c>
      <c r="W558">
        <v>108</v>
      </c>
      <c r="X558">
        <v>108</v>
      </c>
      <c r="Y558">
        <f t="shared" si="91"/>
        <v>0</v>
      </c>
      <c r="Z558">
        <f t="shared" si="92"/>
        <v>-12</v>
      </c>
      <c r="AC558" s="1">
        <v>0</v>
      </c>
      <c r="AF558">
        <f t="shared" si="98"/>
        <v>96</v>
      </c>
      <c r="AG558" s="41">
        <v>12</v>
      </c>
      <c r="AH558">
        <f t="shared" si="94"/>
        <v>96</v>
      </c>
      <c r="AI558">
        <f t="shared" si="95"/>
        <v>0</v>
      </c>
      <c r="AK558">
        <f t="shared" si="96"/>
        <v>8</v>
      </c>
      <c r="AL558">
        <v>13.85</v>
      </c>
      <c r="AM558" t="s">
        <v>27</v>
      </c>
      <c r="AN558">
        <v>13.85</v>
      </c>
      <c r="AO558" t="b">
        <f t="shared" si="97"/>
        <v>1</v>
      </c>
      <c r="AR558" t="s">
        <v>5061</v>
      </c>
      <c r="AS558" s="21">
        <v>46276</v>
      </c>
      <c r="AT558" t="s">
        <v>5062</v>
      </c>
      <c r="AU558" t="s">
        <v>5072</v>
      </c>
      <c r="AV558" t="s">
        <v>5062</v>
      </c>
      <c r="AW558" t="s">
        <v>5086</v>
      </c>
    </row>
    <row r="559" spans="1:49" hidden="1" x14ac:dyDescent="0.35">
      <c r="A559" t="s">
        <v>871</v>
      </c>
      <c r="B559" t="s">
        <v>872</v>
      </c>
      <c r="C559" t="s">
        <v>4818</v>
      </c>
      <c r="D559" t="s">
        <v>18</v>
      </c>
      <c r="E559" t="s">
        <v>2492</v>
      </c>
      <c r="F559" t="s">
        <v>2493</v>
      </c>
      <c r="G559" t="s">
        <v>21</v>
      </c>
      <c r="H559" t="s">
        <v>4826</v>
      </c>
      <c r="I559" t="s">
        <v>4976</v>
      </c>
      <c r="J559" s="4" t="s">
        <v>4977</v>
      </c>
      <c r="K559" s="4" t="s">
        <v>4978</v>
      </c>
      <c r="L559" s="4" t="s">
        <v>4966</v>
      </c>
      <c r="M559" s="4" t="s">
        <v>5035</v>
      </c>
      <c r="N559" t="s">
        <v>15</v>
      </c>
      <c r="O559" t="s">
        <v>2494</v>
      </c>
      <c r="P559" t="s">
        <v>23</v>
      </c>
      <c r="Q559" t="s">
        <v>24</v>
      </c>
      <c r="R559" t="s">
        <v>25</v>
      </c>
      <c r="S559" t="s">
        <v>26</v>
      </c>
      <c r="T559" s="6">
        <v>46307</v>
      </c>
      <c r="U559">
        <v>96</v>
      </c>
      <c r="V559">
        <v>96</v>
      </c>
      <c r="W559">
        <v>108</v>
      </c>
      <c r="X559">
        <v>108</v>
      </c>
      <c r="Y559">
        <f t="shared" si="91"/>
        <v>0</v>
      </c>
      <c r="Z559">
        <f t="shared" si="92"/>
        <v>-12</v>
      </c>
      <c r="AC559" s="1">
        <v>0</v>
      </c>
      <c r="AF559">
        <f t="shared" si="98"/>
        <v>96</v>
      </c>
      <c r="AG559" s="41">
        <v>12</v>
      </c>
      <c r="AH559">
        <f t="shared" si="94"/>
        <v>96</v>
      </c>
      <c r="AI559">
        <f t="shared" si="95"/>
        <v>0</v>
      </c>
      <c r="AK559">
        <f t="shared" si="96"/>
        <v>8</v>
      </c>
      <c r="AL559">
        <v>13.85</v>
      </c>
      <c r="AM559" t="s">
        <v>27</v>
      </c>
      <c r="AN559">
        <v>13.85</v>
      </c>
      <c r="AO559" t="b">
        <f t="shared" si="97"/>
        <v>1</v>
      </c>
      <c r="AR559" t="s">
        <v>5061</v>
      </c>
      <c r="AS559" s="21">
        <v>46276</v>
      </c>
      <c r="AT559" t="s">
        <v>5062</v>
      </c>
      <c r="AU559" t="s">
        <v>5072</v>
      </c>
      <c r="AV559" t="s">
        <v>5062</v>
      </c>
      <c r="AW559" t="s">
        <v>5086</v>
      </c>
    </row>
    <row r="560" spans="1:49" hidden="1" x14ac:dyDescent="0.35">
      <c r="A560" t="s">
        <v>871</v>
      </c>
      <c r="B560" t="s">
        <v>872</v>
      </c>
      <c r="C560" t="s">
        <v>4818</v>
      </c>
      <c r="D560" t="s">
        <v>18</v>
      </c>
      <c r="E560" t="s">
        <v>2495</v>
      </c>
      <c r="F560" t="s">
        <v>2496</v>
      </c>
      <c r="G560" t="s">
        <v>21</v>
      </c>
      <c r="H560" t="s">
        <v>4826</v>
      </c>
      <c r="I560" t="s">
        <v>4976</v>
      </c>
      <c r="J560" s="4" t="s">
        <v>4977</v>
      </c>
      <c r="K560" s="4" t="s">
        <v>4831</v>
      </c>
      <c r="L560" s="4" t="s">
        <v>4941</v>
      </c>
      <c r="M560" s="4" t="s">
        <v>5035</v>
      </c>
      <c r="N560" t="s">
        <v>15</v>
      </c>
      <c r="O560" t="s">
        <v>2497</v>
      </c>
      <c r="P560" t="s">
        <v>23</v>
      </c>
      <c r="Q560" t="s">
        <v>24</v>
      </c>
      <c r="R560" t="s">
        <v>25</v>
      </c>
      <c r="S560" t="s">
        <v>26</v>
      </c>
      <c r="T560" s="6">
        <v>46307</v>
      </c>
      <c r="U560">
        <v>24</v>
      </c>
      <c r="V560">
        <v>24</v>
      </c>
      <c r="W560">
        <v>24</v>
      </c>
      <c r="X560">
        <v>24</v>
      </c>
      <c r="Y560">
        <f t="shared" si="91"/>
        <v>0</v>
      </c>
      <c r="Z560">
        <f t="shared" si="92"/>
        <v>0</v>
      </c>
      <c r="AC560" s="1">
        <v>0</v>
      </c>
      <c r="AF560">
        <f t="shared" si="98"/>
        <v>24</v>
      </c>
      <c r="AG560" s="41">
        <v>12</v>
      </c>
      <c r="AH560">
        <f t="shared" si="94"/>
        <v>24</v>
      </c>
      <c r="AI560">
        <f t="shared" si="95"/>
        <v>0</v>
      </c>
      <c r="AK560">
        <f t="shared" si="96"/>
        <v>2</v>
      </c>
      <c r="AL560">
        <v>13.85</v>
      </c>
      <c r="AM560" t="s">
        <v>27</v>
      </c>
      <c r="AN560">
        <v>13.85</v>
      </c>
      <c r="AO560" t="b">
        <f t="shared" si="97"/>
        <v>1</v>
      </c>
      <c r="AR560" t="s">
        <v>5061</v>
      </c>
      <c r="AS560" s="21">
        <v>46276</v>
      </c>
      <c r="AT560" t="s">
        <v>5062</v>
      </c>
      <c r="AU560" t="s">
        <v>5072</v>
      </c>
      <c r="AV560" t="s">
        <v>5062</v>
      </c>
      <c r="AW560" t="s">
        <v>5086</v>
      </c>
    </row>
    <row r="561" spans="1:49" hidden="1" x14ac:dyDescent="0.35">
      <c r="A561" t="s">
        <v>871</v>
      </c>
      <c r="B561" t="s">
        <v>872</v>
      </c>
      <c r="C561" t="s">
        <v>4818</v>
      </c>
      <c r="D561" t="s">
        <v>18</v>
      </c>
      <c r="E561" t="s">
        <v>2498</v>
      </c>
      <c r="F561" t="s">
        <v>2499</v>
      </c>
      <c r="G561" t="s">
        <v>21</v>
      </c>
      <c r="H561" t="s">
        <v>4826</v>
      </c>
      <c r="I561" t="s">
        <v>4976</v>
      </c>
      <c r="J561" s="4" t="s">
        <v>4977</v>
      </c>
      <c r="K561" s="4" t="s">
        <v>4831</v>
      </c>
      <c r="L561" s="4" t="s">
        <v>4939</v>
      </c>
      <c r="M561" s="4" t="s">
        <v>5035</v>
      </c>
      <c r="N561" t="s">
        <v>15</v>
      </c>
      <c r="O561" t="s">
        <v>2500</v>
      </c>
      <c r="P561" t="s">
        <v>23</v>
      </c>
      <c r="Q561" t="s">
        <v>24</v>
      </c>
      <c r="R561" t="s">
        <v>25</v>
      </c>
      <c r="S561" t="s">
        <v>26</v>
      </c>
      <c r="T561" s="6">
        <v>46307</v>
      </c>
      <c r="U561">
        <v>60</v>
      </c>
      <c r="V561">
        <v>60</v>
      </c>
      <c r="W561">
        <v>60</v>
      </c>
      <c r="X561">
        <v>60</v>
      </c>
      <c r="Y561">
        <f t="shared" si="91"/>
        <v>0</v>
      </c>
      <c r="Z561">
        <f t="shared" si="92"/>
        <v>0</v>
      </c>
      <c r="AC561" s="1">
        <v>0</v>
      </c>
      <c r="AF561">
        <f t="shared" si="98"/>
        <v>60</v>
      </c>
      <c r="AG561" s="41">
        <v>12</v>
      </c>
      <c r="AH561">
        <f t="shared" si="94"/>
        <v>60</v>
      </c>
      <c r="AI561">
        <f t="shared" si="95"/>
        <v>0</v>
      </c>
      <c r="AK561">
        <f t="shared" si="96"/>
        <v>5</v>
      </c>
      <c r="AL561">
        <v>13.85</v>
      </c>
      <c r="AM561" t="s">
        <v>27</v>
      </c>
      <c r="AN561">
        <v>13.85</v>
      </c>
      <c r="AO561" t="b">
        <f t="shared" si="97"/>
        <v>1</v>
      </c>
      <c r="AR561" t="s">
        <v>5061</v>
      </c>
      <c r="AS561" s="21">
        <v>46276</v>
      </c>
      <c r="AT561" t="s">
        <v>5062</v>
      </c>
      <c r="AU561" t="s">
        <v>5072</v>
      </c>
      <c r="AV561" t="s">
        <v>5062</v>
      </c>
      <c r="AW561" t="s">
        <v>5086</v>
      </c>
    </row>
    <row r="562" spans="1:49" hidden="1" x14ac:dyDescent="0.35">
      <c r="A562" t="s">
        <v>871</v>
      </c>
      <c r="B562" t="s">
        <v>872</v>
      </c>
      <c r="C562" t="s">
        <v>4818</v>
      </c>
      <c r="D562" t="s">
        <v>18</v>
      </c>
      <c r="E562" t="s">
        <v>2501</v>
      </c>
      <c r="F562" t="s">
        <v>2502</v>
      </c>
      <c r="G562" t="s">
        <v>21</v>
      </c>
      <c r="H562" t="s">
        <v>4826</v>
      </c>
      <c r="I562" t="s">
        <v>4976</v>
      </c>
      <c r="J562" s="4" t="s">
        <v>4977</v>
      </c>
      <c r="K562" s="4" t="s">
        <v>4832</v>
      </c>
      <c r="L562" s="4" t="s">
        <v>4969</v>
      </c>
      <c r="M562" s="4" t="s">
        <v>5035</v>
      </c>
      <c r="N562" t="s">
        <v>15</v>
      </c>
      <c r="O562" t="s">
        <v>2503</v>
      </c>
      <c r="P562" t="s">
        <v>23</v>
      </c>
      <c r="Q562" t="s">
        <v>24</v>
      </c>
      <c r="R562" t="s">
        <v>25</v>
      </c>
      <c r="S562" t="s">
        <v>26</v>
      </c>
      <c r="T562" s="6">
        <v>46307</v>
      </c>
      <c r="U562">
        <v>12</v>
      </c>
      <c r="V562">
        <v>12</v>
      </c>
      <c r="W562">
        <v>12</v>
      </c>
      <c r="X562">
        <v>12</v>
      </c>
      <c r="Y562">
        <f t="shared" si="91"/>
        <v>0</v>
      </c>
      <c r="Z562">
        <f t="shared" si="92"/>
        <v>0</v>
      </c>
      <c r="AC562" s="1">
        <v>0</v>
      </c>
      <c r="AF562">
        <f t="shared" si="98"/>
        <v>12</v>
      </c>
      <c r="AG562" s="41">
        <v>12</v>
      </c>
      <c r="AH562">
        <f t="shared" si="94"/>
        <v>12</v>
      </c>
      <c r="AI562">
        <f t="shared" si="95"/>
        <v>0</v>
      </c>
      <c r="AK562">
        <f t="shared" si="96"/>
        <v>1</v>
      </c>
      <c r="AL562">
        <v>13.85</v>
      </c>
      <c r="AM562" t="s">
        <v>27</v>
      </c>
      <c r="AN562">
        <v>13.85</v>
      </c>
      <c r="AO562" t="b">
        <f t="shared" si="97"/>
        <v>1</v>
      </c>
      <c r="AR562" t="s">
        <v>5061</v>
      </c>
      <c r="AS562" s="21">
        <v>46276</v>
      </c>
      <c r="AT562" t="s">
        <v>5062</v>
      </c>
      <c r="AU562" t="s">
        <v>5072</v>
      </c>
      <c r="AV562" t="s">
        <v>5062</v>
      </c>
      <c r="AW562" t="s">
        <v>5086</v>
      </c>
    </row>
    <row r="563" spans="1:49" hidden="1" x14ac:dyDescent="0.35">
      <c r="A563" t="s">
        <v>871</v>
      </c>
      <c r="B563" t="s">
        <v>872</v>
      </c>
      <c r="C563" t="s">
        <v>4818</v>
      </c>
      <c r="D563" t="s">
        <v>18</v>
      </c>
      <c r="E563" t="s">
        <v>2504</v>
      </c>
      <c r="F563" t="s">
        <v>2505</v>
      </c>
      <c r="G563" t="s">
        <v>21</v>
      </c>
      <c r="H563" t="s">
        <v>4826</v>
      </c>
      <c r="I563" t="s">
        <v>4976</v>
      </c>
      <c r="J563" s="4" t="s">
        <v>4977</v>
      </c>
      <c r="K563" s="4" t="s">
        <v>4837</v>
      </c>
      <c r="L563" s="4" t="s">
        <v>4971</v>
      </c>
      <c r="M563" s="4" t="s">
        <v>5035</v>
      </c>
      <c r="N563" t="s">
        <v>15</v>
      </c>
      <c r="O563" t="s">
        <v>2506</v>
      </c>
      <c r="P563" t="s">
        <v>23</v>
      </c>
      <c r="Q563" t="s">
        <v>24</v>
      </c>
      <c r="R563" t="s">
        <v>25</v>
      </c>
      <c r="S563" t="s">
        <v>26</v>
      </c>
      <c r="T563" s="6">
        <v>46307</v>
      </c>
      <c r="U563">
        <v>48</v>
      </c>
      <c r="V563">
        <v>48</v>
      </c>
      <c r="W563">
        <v>48</v>
      </c>
      <c r="X563">
        <v>48</v>
      </c>
      <c r="Y563">
        <f t="shared" si="91"/>
        <v>0</v>
      </c>
      <c r="Z563">
        <f t="shared" si="92"/>
        <v>0</v>
      </c>
      <c r="AC563" s="1">
        <v>0</v>
      </c>
      <c r="AF563">
        <f t="shared" si="98"/>
        <v>48</v>
      </c>
      <c r="AG563" s="41">
        <v>12</v>
      </c>
      <c r="AH563">
        <f t="shared" si="94"/>
        <v>48</v>
      </c>
      <c r="AI563">
        <f t="shared" si="95"/>
        <v>0</v>
      </c>
      <c r="AK563">
        <f t="shared" si="96"/>
        <v>4</v>
      </c>
      <c r="AL563">
        <v>13.85</v>
      </c>
      <c r="AM563" t="s">
        <v>27</v>
      </c>
      <c r="AN563">
        <v>13.85</v>
      </c>
      <c r="AO563" t="b">
        <f t="shared" si="97"/>
        <v>1</v>
      </c>
      <c r="AR563" t="s">
        <v>5061</v>
      </c>
      <c r="AS563" s="21">
        <v>46276</v>
      </c>
      <c r="AT563" t="s">
        <v>5062</v>
      </c>
      <c r="AU563" t="s">
        <v>5072</v>
      </c>
      <c r="AV563" t="s">
        <v>5062</v>
      </c>
      <c r="AW563" t="s">
        <v>5086</v>
      </c>
    </row>
    <row r="564" spans="1:49" hidden="1" x14ac:dyDescent="0.35">
      <c r="A564" t="s">
        <v>871</v>
      </c>
      <c r="B564" t="s">
        <v>872</v>
      </c>
      <c r="C564" t="s">
        <v>4818</v>
      </c>
      <c r="D564" t="s">
        <v>18</v>
      </c>
      <c r="E564" t="s">
        <v>2507</v>
      </c>
      <c r="F564" t="s">
        <v>2508</v>
      </c>
      <c r="G564" t="s">
        <v>21</v>
      </c>
      <c r="H564" t="s">
        <v>4826</v>
      </c>
      <c r="I564" t="s">
        <v>4976</v>
      </c>
      <c r="J564" s="4" t="s">
        <v>4977</v>
      </c>
      <c r="K564" s="4" t="s">
        <v>4978</v>
      </c>
      <c r="L564" s="4" t="s">
        <v>4944</v>
      </c>
      <c r="M564" s="4" t="s">
        <v>5035</v>
      </c>
      <c r="N564" t="s">
        <v>15</v>
      </c>
      <c r="O564" t="s">
        <v>2509</v>
      </c>
      <c r="P564" t="s">
        <v>23</v>
      </c>
      <c r="Q564" t="s">
        <v>24</v>
      </c>
      <c r="R564" t="s">
        <v>25</v>
      </c>
      <c r="S564" t="s">
        <v>26</v>
      </c>
      <c r="T564" s="6">
        <v>46307</v>
      </c>
      <c r="U564">
        <v>156</v>
      </c>
      <c r="V564">
        <v>156</v>
      </c>
      <c r="W564">
        <v>168</v>
      </c>
      <c r="X564">
        <v>168</v>
      </c>
      <c r="Y564">
        <f t="shared" si="91"/>
        <v>0</v>
      </c>
      <c r="Z564">
        <f t="shared" si="92"/>
        <v>-12</v>
      </c>
      <c r="AC564" s="1"/>
      <c r="AF564">
        <f t="shared" si="98"/>
        <v>156</v>
      </c>
      <c r="AG564" s="41">
        <v>12</v>
      </c>
      <c r="AH564">
        <f t="shared" si="94"/>
        <v>156</v>
      </c>
      <c r="AI564">
        <f t="shared" si="95"/>
        <v>0</v>
      </c>
      <c r="AK564">
        <f t="shared" si="96"/>
        <v>13</v>
      </c>
      <c r="AL564">
        <v>13.85</v>
      </c>
      <c r="AM564" t="s">
        <v>27</v>
      </c>
      <c r="AN564">
        <v>13.85</v>
      </c>
      <c r="AO564" t="b">
        <f t="shared" si="97"/>
        <v>1</v>
      </c>
      <c r="AR564" t="s">
        <v>5061</v>
      </c>
      <c r="AS564" s="21">
        <v>46276</v>
      </c>
      <c r="AT564" t="s">
        <v>5062</v>
      </c>
      <c r="AU564" t="s">
        <v>5072</v>
      </c>
      <c r="AV564" t="s">
        <v>5062</v>
      </c>
      <c r="AW564" t="s">
        <v>5086</v>
      </c>
    </row>
    <row r="565" spans="1:49" hidden="1" x14ac:dyDescent="0.35">
      <c r="A565" t="s">
        <v>871</v>
      </c>
      <c r="B565" t="s">
        <v>872</v>
      </c>
      <c r="C565" t="s">
        <v>4818</v>
      </c>
      <c r="D565" t="s">
        <v>18</v>
      </c>
      <c r="E565" t="s">
        <v>2510</v>
      </c>
      <c r="F565" t="s">
        <v>2511</v>
      </c>
      <c r="G565" t="s">
        <v>21</v>
      </c>
      <c r="H565" t="s">
        <v>4826</v>
      </c>
      <c r="I565" t="s">
        <v>4976</v>
      </c>
      <c r="J565" s="4" t="s">
        <v>4977</v>
      </c>
      <c r="K565" s="4" t="s">
        <v>4837</v>
      </c>
      <c r="L565" s="4" t="s">
        <v>4965</v>
      </c>
      <c r="M565" s="4" t="s">
        <v>5035</v>
      </c>
      <c r="N565" t="s">
        <v>15</v>
      </c>
      <c r="O565" t="s">
        <v>2512</v>
      </c>
      <c r="P565" t="s">
        <v>23</v>
      </c>
      <c r="Q565" t="s">
        <v>24</v>
      </c>
      <c r="R565" t="s">
        <v>25</v>
      </c>
      <c r="S565" t="s">
        <v>26</v>
      </c>
      <c r="T565" s="6">
        <v>46307</v>
      </c>
      <c r="U565">
        <v>108</v>
      </c>
      <c r="V565">
        <v>108</v>
      </c>
      <c r="W565">
        <v>120</v>
      </c>
      <c r="X565">
        <v>120</v>
      </c>
      <c r="Y565">
        <f t="shared" si="91"/>
        <v>0</v>
      </c>
      <c r="Z565">
        <f t="shared" si="92"/>
        <v>-12</v>
      </c>
      <c r="AC565" s="1">
        <v>0</v>
      </c>
      <c r="AF565">
        <f t="shared" si="98"/>
        <v>108</v>
      </c>
      <c r="AG565" s="41">
        <v>12</v>
      </c>
      <c r="AH565">
        <f t="shared" si="94"/>
        <v>108</v>
      </c>
      <c r="AI565">
        <f t="shared" si="95"/>
        <v>0</v>
      </c>
      <c r="AK565">
        <f t="shared" si="96"/>
        <v>9</v>
      </c>
      <c r="AL565">
        <v>13.85</v>
      </c>
      <c r="AM565" t="s">
        <v>27</v>
      </c>
      <c r="AN565">
        <v>13.85</v>
      </c>
      <c r="AO565" t="b">
        <f t="shared" si="97"/>
        <v>1</v>
      </c>
      <c r="AR565" t="s">
        <v>5061</v>
      </c>
      <c r="AS565" s="21">
        <v>46276</v>
      </c>
      <c r="AT565" t="s">
        <v>5062</v>
      </c>
      <c r="AU565" t="s">
        <v>5072</v>
      </c>
      <c r="AV565" t="s">
        <v>5062</v>
      </c>
      <c r="AW565" t="s">
        <v>5086</v>
      </c>
    </row>
    <row r="566" spans="1:49" hidden="1" x14ac:dyDescent="0.35">
      <c r="A566" t="s">
        <v>871</v>
      </c>
      <c r="B566" t="s">
        <v>872</v>
      </c>
      <c r="C566" t="s">
        <v>4818</v>
      </c>
      <c r="D566" t="s">
        <v>18</v>
      </c>
      <c r="E566" t="s">
        <v>2513</v>
      </c>
      <c r="F566" t="s">
        <v>2514</v>
      </c>
      <c r="G566" t="s">
        <v>21</v>
      </c>
      <c r="H566" t="s">
        <v>4826</v>
      </c>
      <c r="I566" t="s">
        <v>4976</v>
      </c>
      <c r="J566" s="4" t="s">
        <v>4977</v>
      </c>
      <c r="K566" s="4" t="s">
        <v>4978</v>
      </c>
      <c r="L566" s="4" t="s">
        <v>4943</v>
      </c>
      <c r="M566" s="4" t="s">
        <v>5035</v>
      </c>
      <c r="N566" t="s">
        <v>15</v>
      </c>
      <c r="O566" t="s">
        <v>2515</v>
      </c>
      <c r="P566" t="s">
        <v>23</v>
      </c>
      <c r="Q566" t="s">
        <v>24</v>
      </c>
      <c r="R566" t="s">
        <v>25</v>
      </c>
      <c r="S566" t="s">
        <v>26</v>
      </c>
      <c r="T566" s="6">
        <v>46307</v>
      </c>
      <c r="U566">
        <v>24</v>
      </c>
      <c r="V566">
        <v>24</v>
      </c>
      <c r="W566">
        <v>24</v>
      </c>
      <c r="X566">
        <v>24</v>
      </c>
      <c r="Y566">
        <f t="shared" si="91"/>
        <v>0</v>
      </c>
      <c r="Z566">
        <f t="shared" si="92"/>
        <v>0</v>
      </c>
      <c r="AC566" s="1">
        <v>0</v>
      </c>
      <c r="AF566">
        <f t="shared" si="98"/>
        <v>24</v>
      </c>
      <c r="AG566" s="41">
        <v>12</v>
      </c>
      <c r="AH566">
        <f t="shared" si="94"/>
        <v>24</v>
      </c>
      <c r="AI566">
        <f t="shared" si="95"/>
        <v>0</v>
      </c>
      <c r="AK566">
        <f t="shared" si="96"/>
        <v>2</v>
      </c>
      <c r="AL566">
        <v>13.85</v>
      </c>
      <c r="AM566" t="s">
        <v>27</v>
      </c>
      <c r="AN566">
        <v>13.85</v>
      </c>
      <c r="AO566" t="b">
        <f t="shared" si="97"/>
        <v>1</v>
      </c>
      <c r="AR566" t="s">
        <v>5061</v>
      </c>
      <c r="AS566" s="21">
        <v>46276</v>
      </c>
      <c r="AT566" t="s">
        <v>5062</v>
      </c>
      <c r="AU566" t="s">
        <v>5072</v>
      </c>
      <c r="AV566" t="s">
        <v>5062</v>
      </c>
      <c r="AW566" t="s">
        <v>5086</v>
      </c>
    </row>
    <row r="567" spans="1:49" hidden="1" x14ac:dyDescent="0.35">
      <c r="A567" t="s">
        <v>871</v>
      </c>
      <c r="B567" t="s">
        <v>872</v>
      </c>
      <c r="C567" t="s">
        <v>4818</v>
      </c>
      <c r="D567" t="s">
        <v>18</v>
      </c>
      <c r="E567" t="s">
        <v>2516</v>
      </c>
      <c r="F567" t="s">
        <v>2517</v>
      </c>
      <c r="G567" t="s">
        <v>21</v>
      </c>
      <c r="H567" t="s">
        <v>4826</v>
      </c>
      <c r="I567" t="s">
        <v>4976</v>
      </c>
      <c r="J567" s="4" t="s">
        <v>4977</v>
      </c>
      <c r="K567" s="4" t="s">
        <v>4837</v>
      </c>
      <c r="L567" s="4" t="s">
        <v>4959</v>
      </c>
      <c r="M567" s="4" t="s">
        <v>5035</v>
      </c>
      <c r="N567" t="s">
        <v>15</v>
      </c>
      <c r="O567" t="s">
        <v>2518</v>
      </c>
      <c r="P567" t="s">
        <v>23</v>
      </c>
      <c r="Q567" t="s">
        <v>24</v>
      </c>
      <c r="R567" t="s">
        <v>25</v>
      </c>
      <c r="S567" t="s">
        <v>26</v>
      </c>
      <c r="T567" s="6">
        <v>46307</v>
      </c>
      <c r="U567">
        <v>24</v>
      </c>
      <c r="V567">
        <v>24</v>
      </c>
      <c r="W567">
        <v>24</v>
      </c>
      <c r="X567">
        <v>24</v>
      </c>
      <c r="Y567">
        <f t="shared" si="91"/>
        <v>0</v>
      </c>
      <c r="Z567">
        <f t="shared" si="92"/>
        <v>0</v>
      </c>
      <c r="AC567" s="1">
        <v>0</v>
      </c>
      <c r="AF567">
        <f t="shared" si="98"/>
        <v>24</v>
      </c>
      <c r="AG567" s="41">
        <v>12</v>
      </c>
      <c r="AH567">
        <f t="shared" si="94"/>
        <v>24</v>
      </c>
      <c r="AI567">
        <f t="shared" si="95"/>
        <v>0</v>
      </c>
      <c r="AK567">
        <f t="shared" si="96"/>
        <v>2</v>
      </c>
      <c r="AL567">
        <v>13.85</v>
      </c>
      <c r="AM567" t="s">
        <v>27</v>
      </c>
      <c r="AN567">
        <v>13.85</v>
      </c>
      <c r="AO567" t="b">
        <f t="shared" si="97"/>
        <v>1</v>
      </c>
      <c r="AR567" t="s">
        <v>5061</v>
      </c>
      <c r="AS567" s="21">
        <v>46276</v>
      </c>
      <c r="AT567" t="s">
        <v>5062</v>
      </c>
      <c r="AU567" t="s">
        <v>5072</v>
      </c>
      <c r="AV567" t="s">
        <v>5062</v>
      </c>
      <c r="AW567" t="s">
        <v>5086</v>
      </c>
    </row>
    <row r="568" spans="1:49" hidden="1" x14ac:dyDescent="0.35">
      <c r="A568" t="s">
        <v>871</v>
      </c>
      <c r="B568" t="s">
        <v>872</v>
      </c>
      <c r="C568" t="s">
        <v>4818</v>
      </c>
      <c r="D568" t="s">
        <v>18</v>
      </c>
      <c r="E568" t="s">
        <v>2519</v>
      </c>
      <c r="F568" t="s">
        <v>2520</v>
      </c>
      <c r="G568" t="s">
        <v>21</v>
      </c>
      <c r="H568" t="s">
        <v>4826</v>
      </c>
      <c r="I568" t="s">
        <v>4976</v>
      </c>
      <c r="J568" s="4" t="s">
        <v>4977</v>
      </c>
      <c r="K568" s="4" t="s">
        <v>4978</v>
      </c>
      <c r="L568" s="4" t="s">
        <v>4941</v>
      </c>
      <c r="M568" s="4" t="s">
        <v>5035</v>
      </c>
      <c r="N568" t="s">
        <v>15</v>
      </c>
      <c r="O568" t="s">
        <v>2521</v>
      </c>
      <c r="P568" t="s">
        <v>23</v>
      </c>
      <c r="Q568" t="s">
        <v>24</v>
      </c>
      <c r="R568" t="s">
        <v>25</v>
      </c>
      <c r="S568" t="s">
        <v>26</v>
      </c>
      <c r="T568" s="6">
        <v>46307</v>
      </c>
      <c r="U568">
        <v>60</v>
      </c>
      <c r="V568">
        <v>60</v>
      </c>
      <c r="W568">
        <v>60</v>
      </c>
      <c r="X568">
        <v>60</v>
      </c>
      <c r="Y568">
        <f t="shared" si="91"/>
        <v>0</v>
      </c>
      <c r="Z568">
        <f t="shared" si="92"/>
        <v>0</v>
      </c>
      <c r="AC568" s="1">
        <v>0</v>
      </c>
      <c r="AF568">
        <f t="shared" si="98"/>
        <v>60</v>
      </c>
      <c r="AG568" s="41">
        <v>12</v>
      </c>
      <c r="AH568">
        <f t="shared" si="94"/>
        <v>60</v>
      </c>
      <c r="AI568">
        <f t="shared" si="95"/>
        <v>0</v>
      </c>
      <c r="AK568">
        <f t="shared" si="96"/>
        <v>5</v>
      </c>
      <c r="AL568">
        <v>13.85</v>
      </c>
      <c r="AM568" t="s">
        <v>27</v>
      </c>
      <c r="AN568">
        <v>13.85</v>
      </c>
      <c r="AO568" t="b">
        <f t="shared" si="97"/>
        <v>1</v>
      </c>
      <c r="AR568" t="s">
        <v>5061</v>
      </c>
      <c r="AS568" s="21">
        <v>46276</v>
      </c>
      <c r="AT568" t="s">
        <v>5062</v>
      </c>
      <c r="AU568" t="s">
        <v>5072</v>
      </c>
      <c r="AV568" t="s">
        <v>5062</v>
      </c>
      <c r="AW568" t="s">
        <v>5086</v>
      </c>
    </row>
    <row r="569" spans="1:49" hidden="1" x14ac:dyDescent="0.35">
      <c r="A569" t="s">
        <v>871</v>
      </c>
      <c r="B569" t="s">
        <v>872</v>
      </c>
      <c r="C569" t="s">
        <v>4818</v>
      </c>
      <c r="D569" t="s">
        <v>18</v>
      </c>
      <c r="E569" t="s">
        <v>2522</v>
      </c>
      <c r="F569" t="s">
        <v>2523</v>
      </c>
      <c r="G569" t="s">
        <v>21</v>
      </c>
      <c r="H569" t="s">
        <v>4826</v>
      </c>
      <c r="I569" t="s">
        <v>4976</v>
      </c>
      <c r="J569" s="4" t="s">
        <v>4977</v>
      </c>
      <c r="K569" s="4" t="s">
        <v>4978</v>
      </c>
      <c r="L569" s="4" t="s">
        <v>4959</v>
      </c>
      <c r="M569" s="4" t="s">
        <v>5035</v>
      </c>
      <c r="N569" t="s">
        <v>15</v>
      </c>
      <c r="O569" t="s">
        <v>2524</v>
      </c>
      <c r="P569" t="s">
        <v>23</v>
      </c>
      <c r="Q569" t="s">
        <v>24</v>
      </c>
      <c r="R569" t="s">
        <v>25</v>
      </c>
      <c r="S569" t="s">
        <v>26</v>
      </c>
      <c r="T569" s="6">
        <v>46307</v>
      </c>
      <c r="U569">
        <v>24</v>
      </c>
      <c r="V569">
        <v>24</v>
      </c>
      <c r="W569">
        <v>24</v>
      </c>
      <c r="X569">
        <v>24</v>
      </c>
      <c r="Y569">
        <f t="shared" si="91"/>
        <v>0</v>
      </c>
      <c r="Z569">
        <f t="shared" si="92"/>
        <v>0</v>
      </c>
      <c r="AC569" s="1">
        <v>0</v>
      </c>
      <c r="AF569">
        <f t="shared" si="98"/>
        <v>24</v>
      </c>
      <c r="AG569" s="41">
        <v>12</v>
      </c>
      <c r="AH569">
        <f t="shared" si="94"/>
        <v>24</v>
      </c>
      <c r="AI569">
        <f t="shared" si="95"/>
        <v>0</v>
      </c>
      <c r="AK569">
        <f t="shared" si="96"/>
        <v>2</v>
      </c>
      <c r="AL569">
        <v>13.85</v>
      </c>
      <c r="AM569" t="s">
        <v>27</v>
      </c>
      <c r="AN569">
        <v>13.85</v>
      </c>
      <c r="AO569" t="b">
        <f t="shared" si="97"/>
        <v>1</v>
      </c>
      <c r="AR569" t="s">
        <v>5061</v>
      </c>
      <c r="AS569" s="21">
        <v>46276</v>
      </c>
      <c r="AT569" t="s">
        <v>5062</v>
      </c>
      <c r="AU569" t="s">
        <v>5072</v>
      </c>
      <c r="AV569" t="s">
        <v>5062</v>
      </c>
      <c r="AW569" t="s">
        <v>5086</v>
      </c>
    </row>
    <row r="570" spans="1:49" hidden="1" x14ac:dyDescent="0.35">
      <c r="A570" t="s">
        <v>871</v>
      </c>
      <c r="B570" t="s">
        <v>872</v>
      </c>
      <c r="C570" t="s">
        <v>4818</v>
      </c>
      <c r="D570" t="s">
        <v>18</v>
      </c>
      <c r="E570" t="s">
        <v>2525</v>
      </c>
      <c r="F570" t="s">
        <v>2526</v>
      </c>
      <c r="G570" t="s">
        <v>21</v>
      </c>
      <c r="H570" t="s">
        <v>4826</v>
      </c>
      <c r="I570" t="s">
        <v>4976</v>
      </c>
      <c r="J570" s="4" t="s">
        <v>4977</v>
      </c>
      <c r="K570" s="4" t="s">
        <v>4831</v>
      </c>
      <c r="L570" s="4" t="s">
        <v>4972</v>
      </c>
      <c r="M570" s="4" t="s">
        <v>5035</v>
      </c>
      <c r="N570" t="s">
        <v>15</v>
      </c>
      <c r="O570" t="s">
        <v>2527</v>
      </c>
      <c r="P570" t="s">
        <v>23</v>
      </c>
      <c r="Q570" t="s">
        <v>24</v>
      </c>
      <c r="R570" t="s">
        <v>25</v>
      </c>
      <c r="S570" t="s">
        <v>26</v>
      </c>
      <c r="T570" s="6">
        <v>46307</v>
      </c>
      <c r="U570">
        <v>132</v>
      </c>
      <c r="V570">
        <v>132</v>
      </c>
      <c r="W570">
        <v>132</v>
      </c>
      <c r="X570">
        <v>132</v>
      </c>
      <c r="Y570">
        <f t="shared" si="91"/>
        <v>0</v>
      </c>
      <c r="Z570">
        <f t="shared" si="92"/>
        <v>0</v>
      </c>
      <c r="AC570" s="1">
        <v>0</v>
      </c>
      <c r="AF570">
        <f t="shared" si="98"/>
        <v>132</v>
      </c>
      <c r="AG570" s="41">
        <v>12</v>
      </c>
      <c r="AH570">
        <f t="shared" si="94"/>
        <v>132</v>
      </c>
      <c r="AI570">
        <f t="shared" si="95"/>
        <v>0</v>
      </c>
      <c r="AK570">
        <f t="shared" si="96"/>
        <v>11</v>
      </c>
      <c r="AL570">
        <v>13.85</v>
      </c>
      <c r="AM570" t="s">
        <v>27</v>
      </c>
      <c r="AN570">
        <v>13.85</v>
      </c>
      <c r="AO570" t="b">
        <f t="shared" si="97"/>
        <v>1</v>
      </c>
      <c r="AR570" t="s">
        <v>5061</v>
      </c>
      <c r="AS570" s="21">
        <v>46276</v>
      </c>
      <c r="AT570" t="s">
        <v>5062</v>
      </c>
      <c r="AU570" t="s">
        <v>5072</v>
      </c>
      <c r="AV570" t="s">
        <v>5062</v>
      </c>
      <c r="AW570" t="s">
        <v>5086</v>
      </c>
    </row>
    <row r="571" spans="1:49" hidden="1" x14ac:dyDescent="0.35">
      <c r="A571" t="s">
        <v>871</v>
      </c>
      <c r="B571" t="s">
        <v>872</v>
      </c>
      <c r="C571" t="s">
        <v>4818</v>
      </c>
      <c r="D571" t="s">
        <v>18</v>
      </c>
      <c r="E571" t="s">
        <v>2528</v>
      </c>
      <c r="F571" t="s">
        <v>2529</v>
      </c>
      <c r="G571" t="s">
        <v>21</v>
      </c>
      <c r="H571" t="s">
        <v>4826</v>
      </c>
      <c r="I571" t="s">
        <v>4976</v>
      </c>
      <c r="J571" s="4" t="s">
        <v>4977</v>
      </c>
      <c r="K571" s="4" t="s">
        <v>4831</v>
      </c>
      <c r="L571" s="4" t="s">
        <v>4949</v>
      </c>
      <c r="M571" s="4" t="s">
        <v>5035</v>
      </c>
      <c r="N571" t="s">
        <v>15</v>
      </c>
      <c r="O571" t="s">
        <v>2530</v>
      </c>
      <c r="P571" t="s">
        <v>23</v>
      </c>
      <c r="Q571" t="s">
        <v>24</v>
      </c>
      <c r="R571" t="s">
        <v>25</v>
      </c>
      <c r="S571" t="s">
        <v>26</v>
      </c>
      <c r="T571" s="6">
        <v>46307</v>
      </c>
      <c r="U571">
        <v>60</v>
      </c>
      <c r="V571">
        <v>60</v>
      </c>
      <c r="W571">
        <v>60</v>
      </c>
      <c r="X571">
        <v>60</v>
      </c>
      <c r="Y571">
        <f t="shared" si="91"/>
        <v>0</v>
      </c>
      <c r="Z571">
        <f t="shared" si="92"/>
        <v>0</v>
      </c>
      <c r="AC571" s="1">
        <v>0</v>
      </c>
      <c r="AF571">
        <f t="shared" si="98"/>
        <v>60</v>
      </c>
      <c r="AG571" s="41">
        <v>12</v>
      </c>
      <c r="AH571">
        <f t="shared" si="94"/>
        <v>60</v>
      </c>
      <c r="AI571">
        <f t="shared" si="95"/>
        <v>0</v>
      </c>
      <c r="AK571">
        <f t="shared" si="96"/>
        <v>5</v>
      </c>
      <c r="AL571">
        <v>13.85</v>
      </c>
      <c r="AM571" t="s">
        <v>27</v>
      </c>
      <c r="AN571">
        <v>13.85</v>
      </c>
      <c r="AO571" t="b">
        <f t="shared" si="97"/>
        <v>1</v>
      </c>
      <c r="AR571" t="s">
        <v>5061</v>
      </c>
      <c r="AS571" s="21">
        <v>46276</v>
      </c>
      <c r="AT571" t="s">
        <v>5062</v>
      </c>
      <c r="AU571" t="s">
        <v>5072</v>
      </c>
      <c r="AV571" t="s">
        <v>5062</v>
      </c>
      <c r="AW571" t="s">
        <v>5086</v>
      </c>
    </row>
    <row r="572" spans="1:49" hidden="1" x14ac:dyDescent="0.35">
      <c r="A572" t="s">
        <v>871</v>
      </c>
      <c r="B572" t="s">
        <v>872</v>
      </c>
      <c r="C572" t="s">
        <v>4818</v>
      </c>
      <c r="D572" t="s">
        <v>18</v>
      </c>
      <c r="E572" t="s">
        <v>2531</v>
      </c>
      <c r="F572" t="s">
        <v>2532</v>
      </c>
      <c r="G572" t="s">
        <v>21</v>
      </c>
      <c r="H572" t="s">
        <v>4826</v>
      </c>
      <c r="I572" t="s">
        <v>4976</v>
      </c>
      <c r="J572" s="4" t="s">
        <v>4977</v>
      </c>
      <c r="K572" s="4" t="s">
        <v>4837</v>
      </c>
      <c r="L572" s="4" t="s">
        <v>4961</v>
      </c>
      <c r="M572" s="4" t="s">
        <v>5035</v>
      </c>
      <c r="N572" t="s">
        <v>15</v>
      </c>
      <c r="O572" t="s">
        <v>2533</v>
      </c>
      <c r="P572" t="s">
        <v>23</v>
      </c>
      <c r="Q572" t="s">
        <v>24</v>
      </c>
      <c r="R572" t="s">
        <v>25</v>
      </c>
      <c r="S572" t="s">
        <v>26</v>
      </c>
      <c r="T572" s="6">
        <v>46307</v>
      </c>
      <c r="U572">
        <v>60</v>
      </c>
      <c r="V572">
        <v>60</v>
      </c>
      <c r="W572">
        <v>60</v>
      </c>
      <c r="X572">
        <v>60</v>
      </c>
      <c r="Y572">
        <f t="shared" si="91"/>
        <v>0</v>
      </c>
      <c r="Z572">
        <f t="shared" si="92"/>
        <v>0</v>
      </c>
      <c r="AC572" s="1">
        <v>0</v>
      </c>
      <c r="AF572">
        <f t="shared" si="98"/>
        <v>60</v>
      </c>
      <c r="AG572" s="41">
        <v>12</v>
      </c>
      <c r="AH572">
        <f t="shared" si="94"/>
        <v>60</v>
      </c>
      <c r="AI572">
        <f t="shared" si="95"/>
        <v>0</v>
      </c>
      <c r="AK572">
        <f t="shared" si="96"/>
        <v>5</v>
      </c>
      <c r="AL572">
        <v>13.85</v>
      </c>
      <c r="AM572" t="s">
        <v>27</v>
      </c>
      <c r="AN572">
        <v>13.85</v>
      </c>
      <c r="AO572" t="b">
        <f t="shared" si="97"/>
        <v>1</v>
      </c>
      <c r="AR572" t="s">
        <v>5061</v>
      </c>
      <c r="AS572" s="21">
        <v>46276</v>
      </c>
      <c r="AT572" t="s">
        <v>5062</v>
      </c>
      <c r="AU572" t="s">
        <v>5072</v>
      </c>
      <c r="AV572" t="s">
        <v>5062</v>
      </c>
      <c r="AW572" t="s">
        <v>5086</v>
      </c>
    </row>
    <row r="573" spans="1:49" hidden="1" x14ac:dyDescent="0.35">
      <c r="A573" t="s">
        <v>871</v>
      </c>
      <c r="B573" t="s">
        <v>872</v>
      </c>
      <c r="C573" t="s">
        <v>4818</v>
      </c>
      <c r="D573" t="s">
        <v>18</v>
      </c>
      <c r="E573" t="s">
        <v>2534</v>
      </c>
      <c r="F573" t="s">
        <v>2535</v>
      </c>
      <c r="G573" t="s">
        <v>21</v>
      </c>
      <c r="H573" t="s">
        <v>4826</v>
      </c>
      <c r="I573" t="s">
        <v>4976</v>
      </c>
      <c r="J573" s="4" t="s">
        <v>4977</v>
      </c>
      <c r="K573" s="4" t="s">
        <v>4832</v>
      </c>
      <c r="L573" s="4" t="s">
        <v>4963</v>
      </c>
      <c r="M573" s="4" t="s">
        <v>5035</v>
      </c>
      <c r="N573" t="s">
        <v>15</v>
      </c>
      <c r="O573" t="s">
        <v>2536</v>
      </c>
      <c r="P573" t="s">
        <v>23</v>
      </c>
      <c r="Q573" t="s">
        <v>24</v>
      </c>
      <c r="R573" t="s">
        <v>25</v>
      </c>
      <c r="S573" t="s">
        <v>26</v>
      </c>
      <c r="T573" s="6">
        <v>46307</v>
      </c>
      <c r="U573">
        <v>24</v>
      </c>
      <c r="V573">
        <v>24</v>
      </c>
      <c r="W573">
        <v>24</v>
      </c>
      <c r="X573">
        <v>24</v>
      </c>
      <c r="Y573">
        <f t="shared" si="91"/>
        <v>0</v>
      </c>
      <c r="Z573">
        <f t="shared" si="92"/>
        <v>0</v>
      </c>
      <c r="AC573" s="1">
        <v>0</v>
      </c>
      <c r="AF573">
        <f t="shared" si="98"/>
        <v>24</v>
      </c>
      <c r="AG573" s="41">
        <v>12</v>
      </c>
      <c r="AH573">
        <f t="shared" si="94"/>
        <v>24</v>
      </c>
      <c r="AI573">
        <f t="shared" si="95"/>
        <v>0</v>
      </c>
      <c r="AK573">
        <f t="shared" si="96"/>
        <v>2</v>
      </c>
      <c r="AL573">
        <v>13.85</v>
      </c>
      <c r="AM573" t="s">
        <v>27</v>
      </c>
      <c r="AN573">
        <v>13.85</v>
      </c>
      <c r="AO573" t="b">
        <f t="shared" si="97"/>
        <v>1</v>
      </c>
      <c r="AR573" t="s">
        <v>5061</v>
      </c>
      <c r="AS573" s="21">
        <v>46276</v>
      </c>
      <c r="AT573" t="s">
        <v>5062</v>
      </c>
      <c r="AU573" t="s">
        <v>5072</v>
      </c>
      <c r="AV573" t="s">
        <v>5062</v>
      </c>
      <c r="AW573" t="s">
        <v>5086</v>
      </c>
    </row>
    <row r="574" spans="1:49" hidden="1" x14ac:dyDescent="0.35">
      <c r="A574" t="s">
        <v>871</v>
      </c>
      <c r="B574" t="s">
        <v>872</v>
      </c>
      <c r="C574" t="s">
        <v>4818</v>
      </c>
      <c r="D574" t="s">
        <v>18</v>
      </c>
      <c r="E574" t="s">
        <v>2537</v>
      </c>
      <c r="F574" t="s">
        <v>2538</v>
      </c>
      <c r="G574" t="s">
        <v>21</v>
      </c>
      <c r="H574" t="s">
        <v>4826</v>
      </c>
      <c r="I574" t="s">
        <v>4976</v>
      </c>
      <c r="J574" s="4" t="s">
        <v>4977</v>
      </c>
      <c r="K574" s="4" t="s">
        <v>4837</v>
      </c>
      <c r="L574" s="4" t="s">
        <v>4956</v>
      </c>
      <c r="M574" s="4" t="s">
        <v>5035</v>
      </c>
      <c r="N574" t="s">
        <v>15</v>
      </c>
      <c r="O574" t="s">
        <v>2539</v>
      </c>
      <c r="P574" t="s">
        <v>23</v>
      </c>
      <c r="Q574" t="s">
        <v>24</v>
      </c>
      <c r="R574" t="s">
        <v>25</v>
      </c>
      <c r="S574" t="s">
        <v>26</v>
      </c>
      <c r="T574" s="6">
        <v>46307</v>
      </c>
      <c r="U574">
        <v>252</v>
      </c>
      <c r="V574">
        <v>252</v>
      </c>
      <c r="W574">
        <v>276</v>
      </c>
      <c r="X574">
        <v>276</v>
      </c>
      <c r="Y574">
        <f t="shared" si="91"/>
        <v>0</v>
      </c>
      <c r="Z574">
        <f t="shared" si="92"/>
        <v>-24</v>
      </c>
      <c r="AC574" s="1">
        <v>0</v>
      </c>
      <c r="AF574">
        <f t="shared" si="98"/>
        <v>252</v>
      </c>
      <c r="AG574" s="41">
        <v>12</v>
      </c>
      <c r="AH574">
        <f t="shared" si="94"/>
        <v>252</v>
      </c>
      <c r="AI574">
        <f t="shared" si="95"/>
        <v>0</v>
      </c>
      <c r="AK574">
        <f t="shared" si="96"/>
        <v>21</v>
      </c>
      <c r="AL574">
        <v>13.85</v>
      </c>
      <c r="AM574" t="s">
        <v>27</v>
      </c>
      <c r="AN574">
        <v>13.85</v>
      </c>
      <c r="AO574" t="b">
        <f t="shared" si="97"/>
        <v>1</v>
      </c>
      <c r="AR574" t="s">
        <v>5061</v>
      </c>
      <c r="AS574" s="21">
        <v>46276</v>
      </c>
      <c r="AT574" t="s">
        <v>5062</v>
      </c>
      <c r="AU574" t="s">
        <v>5072</v>
      </c>
      <c r="AV574" t="s">
        <v>5062</v>
      </c>
      <c r="AW574" t="s">
        <v>5086</v>
      </c>
    </row>
    <row r="575" spans="1:49" hidden="1" x14ac:dyDescent="0.35">
      <c r="A575" t="s">
        <v>871</v>
      </c>
      <c r="B575" t="s">
        <v>872</v>
      </c>
      <c r="C575" t="s">
        <v>4818</v>
      </c>
      <c r="D575" t="s">
        <v>18</v>
      </c>
      <c r="E575" t="s">
        <v>2540</v>
      </c>
      <c r="F575" t="s">
        <v>2541</v>
      </c>
      <c r="G575" t="s">
        <v>21</v>
      </c>
      <c r="H575" t="s">
        <v>4826</v>
      </c>
      <c r="I575" t="s">
        <v>4976</v>
      </c>
      <c r="J575" s="4" t="s">
        <v>4977</v>
      </c>
      <c r="K575" s="4" t="s">
        <v>4978</v>
      </c>
      <c r="L575" s="4" t="s">
        <v>4961</v>
      </c>
      <c r="M575" s="4" t="s">
        <v>5035</v>
      </c>
      <c r="N575" t="s">
        <v>15</v>
      </c>
      <c r="O575" t="s">
        <v>2542</v>
      </c>
      <c r="P575" t="s">
        <v>23</v>
      </c>
      <c r="Q575" t="s">
        <v>24</v>
      </c>
      <c r="R575" t="s">
        <v>25</v>
      </c>
      <c r="S575" t="s">
        <v>26</v>
      </c>
      <c r="T575" s="6">
        <v>46307</v>
      </c>
      <c r="U575">
        <v>24</v>
      </c>
      <c r="V575">
        <v>24</v>
      </c>
      <c r="W575">
        <v>24</v>
      </c>
      <c r="X575">
        <v>24</v>
      </c>
      <c r="Y575">
        <f t="shared" si="91"/>
        <v>0</v>
      </c>
      <c r="Z575">
        <f t="shared" si="92"/>
        <v>0</v>
      </c>
      <c r="AC575" s="1">
        <v>0</v>
      </c>
      <c r="AF575">
        <f t="shared" si="98"/>
        <v>24</v>
      </c>
      <c r="AG575" s="41">
        <v>12</v>
      </c>
      <c r="AH575">
        <f t="shared" si="94"/>
        <v>24</v>
      </c>
      <c r="AI575">
        <f t="shared" si="95"/>
        <v>0</v>
      </c>
      <c r="AK575">
        <f t="shared" si="96"/>
        <v>2</v>
      </c>
      <c r="AL575">
        <v>13.85</v>
      </c>
      <c r="AM575" t="s">
        <v>27</v>
      </c>
      <c r="AN575">
        <v>13.85</v>
      </c>
      <c r="AO575" t="b">
        <f t="shared" si="97"/>
        <v>1</v>
      </c>
      <c r="AR575" t="s">
        <v>5061</v>
      </c>
      <c r="AS575" s="21">
        <v>46276</v>
      </c>
      <c r="AT575" t="s">
        <v>5062</v>
      </c>
      <c r="AU575" t="s">
        <v>5072</v>
      </c>
      <c r="AV575" t="s">
        <v>5062</v>
      </c>
      <c r="AW575" t="s">
        <v>5086</v>
      </c>
    </row>
    <row r="576" spans="1:49" hidden="1" x14ac:dyDescent="0.35">
      <c r="A576" t="s">
        <v>871</v>
      </c>
      <c r="B576" t="s">
        <v>872</v>
      </c>
      <c r="C576" t="s">
        <v>4818</v>
      </c>
      <c r="D576" t="s">
        <v>18</v>
      </c>
      <c r="E576" t="s">
        <v>2543</v>
      </c>
      <c r="F576" t="s">
        <v>2544</v>
      </c>
      <c r="G576" t="s">
        <v>21</v>
      </c>
      <c r="H576" t="s">
        <v>4826</v>
      </c>
      <c r="I576" t="s">
        <v>4976</v>
      </c>
      <c r="J576" s="4" t="s">
        <v>4977</v>
      </c>
      <c r="K576" s="4" t="s">
        <v>4832</v>
      </c>
      <c r="L576" s="4" t="s">
        <v>4974</v>
      </c>
      <c r="M576" s="4" t="s">
        <v>5035</v>
      </c>
      <c r="N576" t="s">
        <v>15</v>
      </c>
      <c r="O576" t="s">
        <v>2545</v>
      </c>
      <c r="P576" t="s">
        <v>23</v>
      </c>
      <c r="Q576" t="s">
        <v>24</v>
      </c>
      <c r="R576" t="s">
        <v>25</v>
      </c>
      <c r="S576" t="s">
        <v>26</v>
      </c>
      <c r="T576" s="6">
        <v>46307</v>
      </c>
      <c r="U576">
        <v>192</v>
      </c>
      <c r="V576">
        <v>192</v>
      </c>
      <c r="W576">
        <v>204</v>
      </c>
      <c r="X576">
        <v>204</v>
      </c>
      <c r="Y576">
        <f t="shared" si="91"/>
        <v>0</v>
      </c>
      <c r="Z576">
        <f t="shared" si="92"/>
        <v>-12</v>
      </c>
      <c r="AC576" s="1">
        <v>0</v>
      </c>
      <c r="AF576">
        <f t="shared" si="98"/>
        <v>192</v>
      </c>
      <c r="AG576" s="41">
        <v>12</v>
      </c>
      <c r="AH576">
        <f t="shared" si="94"/>
        <v>192</v>
      </c>
      <c r="AI576">
        <f t="shared" si="95"/>
        <v>0</v>
      </c>
      <c r="AK576">
        <f t="shared" si="96"/>
        <v>16</v>
      </c>
      <c r="AL576">
        <v>13.85</v>
      </c>
      <c r="AM576" t="s">
        <v>27</v>
      </c>
      <c r="AN576">
        <v>13.85</v>
      </c>
      <c r="AO576" t="b">
        <f t="shared" si="97"/>
        <v>1</v>
      </c>
      <c r="AR576" t="s">
        <v>5061</v>
      </c>
      <c r="AS576" s="21">
        <v>46276</v>
      </c>
      <c r="AT576" t="s">
        <v>5062</v>
      </c>
      <c r="AU576" t="s">
        <v>5072</v>
      </c>
      <c r="AV576" t="s">
        <v>5062</v>
      </c>
      <c r="AW576" t="s">
        <v>5086</v>
      </c>
    </row>
    <row r="577" spans="1:49" hidden="1" x14ac:dyDescent="0.35">
      <c r="A577" t="s">
        <v>871</v>
      </c>
      <c r="B577" t="s">
        <v>872</v>
      </c>
      <c r="C577" t="s">
        <v>4818</v>
      </c>
      <c r="D577" t="s">
        <v>18</v>
      </c>
      <c r="E577" t="s">
        <v>2546</v>
      </c>
      <c r="F577" t="s">
        <v>2547</v>
      </c>
      <c r="G577" t="s">
        <v>21</v>
      </c>
      <c r="H577" t="s">
        <v>4826</v>
      </c>
      <c r="I577" t="s">
        <v>4976</v>
      </c>
      <c r="J577" s="4" t="s">
        <v>4977</v>
      </c>
      <c r="K577" s="4" t="s">
        <v>4832</v>
      </c>
      <c r="L577" s="4" t="s">
        <v>4971</v>
      </c>
      <c r="M577" s="4" t="s">
        <v>5035</v>
      </c>
      <c r="N577" t="s">
        <v>15</v>
      </c>
      <c r="O577" t="s">
        <v>2548</v>
      </c>
      <c r="P577" t="s">
        <v>23</v>
      </c>
      <c r="Q577" t="s">
        <v>24</v>
      </c>
      <c r="R577" t="s">
        <v>25</v>
      </c>
      <c r="S577" t="s">
        <v>26</v>
      </c>
      <c r="T577" s="6">
        <v>46307</v>
      </c>
      <c r="U577">
        <v>24</v>
      </c>
      <c r="V577">
        <v>24</v>
      </c>
      <c r="W577">
        <v>24</v>
      </c>
      <c r="X577">
        <v>24</v>
      </c>
      <c r="Y577">
        <f t="shared" si="91"/>
        <v>0</v>
      </c>
      <c r="Z577">
        <f t="shared" si="92"/>
        <v>0</v>
      </c>
      <c r="AC577" s="1">
        <v>0</v>
      </c>
      <c r="AF577">
        <f t="shared" si="98"/>
        <v>24</v>
      </c>
      <c r="AG577" s="41">
        <v>12</v>
      </c>
      <c r="AH577">
        <f t="shared" si="94"/>
        <v>24</v>
      </c>
      <c r="AI577">
        <f t="shared" si="95"/>
        <v>0</v>
      </c>
      <c r="AK577">
        <f t="shared" si="96"/>
        <v>2</v>
      </c>
      <c r="AL577">
        <v>13.85</v>
      </c>
      <c r="AM577" t="s">
        <v>27</v>
      </c>
      <c r="AN577">
        <v>13.85</v>
      </c>
      <c r="AO577" t="b">
        <f t="shared" si="97"/>
        <v>1</v>
      </c>
      <c r="AR577" t="s">
        <v>5061</v>
      </c>
      <c r="AS577" s="21">
        <v>46276</v>
      </c>
      <c r="AT577" t="s">
        <v>5062</v>
      </c>
      <c r="AU577" t="s">
        <v>5072</v>
      </c>
      <c r="AV577" t="s">
        <v>5062</v>
      </c>
      <c r="AW577" t="s">
        <v>5086</v>
      </c>
    </row>
    <row r="578" spans="1:49" hidden="1" x14ac:dyDescent="0.35">
      <c r="A578" t="s">
        <v>871</v>
      </c>
      <c r="B578" t="s">
        <v>872</v>
      </c>
      <c r="C578" t="s">
        <v>4818</v>
      </c>
      <c r="D578" t="s">
        <v>18</v>
      </c>
      <c r="E578" t="s">
        <v>2549</v>
      </c>
      <c r="F578" t="s">
        <v>2550</v>
      </c>
      <c r="G578" t="s">
        <v>21</v>
      </c>
      <c r="H578" t="s">
        <v>4826</v>
      </c>
      <c r="I578" t="s">
        <v>4976</v>
      </c>
      <c r="J578" s="4" t="s">
        <v>4977</v>
      </c>
      <c r="K578" s="4" t="s">
        <v>4832</v>
      </c>
      <c r="L578" s="4" t="s">
        <v>4941</v>
      </c>
      <c r="M578" s="4" t="s">
        <v>5035</v>
      </c>
      <c r="N578" t="s">
        <v>15</v>
      </c>
      <c r="O578" t="s">
        <v>2551</v>
      </c>
      <c r="P578" t="s">
        <v>23</v>
      </c>
      <c r="Q578" t="s">
        <v>24</v>
      </c>
      <c r="R578" t="s">
        <v>25</v>
      </c>
      <c r="S578" t="s">
        <v>26</v>
      </c>
      <c r="T578" s="6">
        <v>46307</v>
      </c>
      <c r="U578">
        <v>36</v>
      </c>
      <c r="V578">
        <v>36</v>
      </c>
      <c r="W578">
        <v>36</v>
      </c>
      <c r="X578">
        <v>36</v>
      </c>
      <c r="Y578">
        <f t="shared" si="91"/>
        <v>0</v>
      </c>
      <c r="Z578">
        <f t="shared" si="92"/>
        <v>0</v>
      </c>
      <c r="AC578" s="1">
        <v>0</v>
      </c>
      <c r="AF578">
        <f t="shared" si="98"/>
        <v>36</v>
      </c>
      <c r="AG578" s="41">
        <v>12</v>
      </c>
      <c r="AH578">
        <f t="shared" si="94"/>
        <v>36</v>
      </c>
      <c r="AI578">
        <f t="shared" si="95"/>
        <v>0</v>
      </c>
      <c r="AK578">
        <f t="shared" si="96"/>
        <v>3</v>
      </c>
      <c r="AL578">
        <v>13.85</v>
      </c>
      <c r="AM578" t="s">
        <v>27</v>
      </c>
      <c r="AN578">
        <v>13.85</v>
      </c>
      <c r="AO578" t="b">
        <f t="shared" si="97"/>
        <v>1</v>
      </c>
      <c r="AR578" t="s">
        <v>5061</v>
      </c>
      <c r="AS578" s="21">
        <v>46276</v>
      </c>
      <c r="AT578" t="s">
        <v>5062</v>
      </c>
      <c r="AU578" t="s">
        <v>5072</v>
      </c>
      <c r="AV578" t="s">
        <v>5062</v>
      </c>
      <c r="AW578" t="s">
        <v>5086</v>
      </c>
    </row>
    <row r="579" spans="1:49" hidden="1" x14ac:dyDescent="0.35">
      <c r="A579" t="s">
        <v>871</v>
      </c>
      <c r="B579" t="s">
        <v>872</v>
      </c>
      <c r="C579" t="s">
        <v>4818</v>
      </c>
      <c r="D579" t="s">
        <v>18</v>
      </c>
      <c r="E579" t="s">
        <v>2552</v>
      </c>
      <c r="F579" t="s">
        <v>2553</v>
      </c>
      <c r="G579" t="s">
        <v>21</v>
      </c>
      <c r="H579" t="s">
        <v>4826</v>
      </c>
      <c r="I579" t="s">
        <v>4976</v>
      </c>
      <c r="J579" s="4" t="s">
        <v>4977</v>
      </c>
      <c r="K579" s="4" t="s">
        <v>4831</v>
      </c>
      <c r="L579" s="4" t="s">
        <v>4963</v>
      </c>
      <c r="M579" s="4" t="s">
        <v>5035</v>
      </c>
      <c r="N579" t="s">
        <v>15</v>
      </c>
      <c r="O579" t="s">
        <v>2554</v>
      </c>
      <c r="P579" t="s">
        <v>23</v>
      </c>
      <c r="Q579" t="s">
        <v>24</v>
      </c>
      <c r="R579" t="s">
        <v>25</v>
      </c>
      <c r="S579" t="s">
        <v>26</v>
      </c>
      <c r="T579" s="6">
        <v>46307</v>
      </c>
      <c r="U579">
        <v>36</v>
      </c>
      <c r="V579">
        <v>36</v>
      </c>
      <c r="W579">
        <v>36</v>
      </c>
      <c r="X579">
        <v>36</v>
      </c>
      <c r="Y579">
        <f t="shared" ref="Y579:Y642" si="99">W579-X579</f>
        <v>0</v>
      </c>
      <c r="Z579">
        <f t="shared" ref="Z579:Z642" si="100">V579-X579</f>
        <v>0</v>
      </c>
      <c r="AC579" s="1">
        <v>0</v>
      </c>
      <c r="AF579">
        <f t="shared" si="98"/>
        <v>36</v>
      </c>
      <c r="AG579" s="41">
        <v>12</v>
      </c>
      <c r="AH579">
        <f t="shared" ref="AH579:AH642" si="101">ROUNDUP(AF579/AG579,0)*AG579</f>
        <v>36</v>
      </c>
      <c r="AI579">
        <f t="shared" ref="AI579:AI642" si="102">V579-AH579</f>
        <v>0</v>
      </c>
      <c r="AK579">
        <f t="shared" ref="AK579:AK642" si="103">AH579/AG579</f>
        <v>3</v>
      </c>
      <c r="AL579">
        <v>13.85</v>
      </c>
      <c r="AM579" t="s">
        <v>27</v>
      </c>
      <c r="AN579">
        <v>13.85</v>
      </c>
      <c r="AO579" t="b">
        <f t="shared" ref="AO579:AO642" si="104">AL579=AN579</f>
        <v>1</v>
      </c>
      <c r="AR579" t="s">
        <v>5061</v>
      </c>
      <c r="AS579" s="21">
        <v>46276</v>
      </c>
      <c r="AT579" t="s">
        <v>5062</v>
      </c>
      <c r="AU579" t="s">
        <v>5072</v>
      </c>
      <c r="AV579" t="s">
        <v>5062</v>
      </c>
      <c r="AW579" t="s">
        <v>5086</v>
      </c>
    </row>
    <row r="580" spans="1:49" hidden="1" x14ac:dyDescent="0.35">
      <c r="A580" t="s">
        <v>871</v>
      </c>
      <c r="B580" t="s">
        <v>872</v>
      </c>
      <c r="C580" t="s">
        <v>4818</v>
      </c>
      <c r="D580" t="s">
        <v>18</v>
      </c>
      <c r="E580" t="s">
        <v>2555</v>
      </c>
      <c r="F580" t="s">
        <v>2556</v>
      </c>
      <c r="G580" t="s">
        <v>21</v>
      </c>
      <c r="H580" t="s">
        <v>4826</v>
      </c>
      <c r="I580" t="s">
        <v>4976</v>
      </c>
      <c r="J580" s="4" t="s">
        <v>4977</v>
      </c>
      <c r="K580" s="4" t="s">
        <v>4832</v>
      </c>
      <c r="L580" s="4" t="s">
        <v>4972</v>
      </c>
      <c r="M580" s="4" t="s">
        <v>5035</v>
      </c>
      <c r="N580" t="s">
        <v>15</v>
      </c>
      <c r="O580" t="s">
        <v>2557</v>
      </c>
      <c r="P580" t="s">
        <v>23</v>
      </c>
      <c r="Q580" t="s">
        <v>24</v>
      </c>
      <c r="R580" t="s">
        <v>25</v>
      </c>
      <c r="S580" t="s">
        <v>26</v>
      </c>
      <c r="T580" s="6">
        <v>46307</v>
      </c>
      <c r="U580">
        <v>132</v>
      </c>
      <c r="V580">
        <v>132</v>
      </c>
      <c r="W580">
        <v>144</v>
      </c>
      <c r="X580">
        <v>144</v>
      </c>
      <c r="Y580">
        <f t="shared" si="99"/>
        <v>0</v>
      </c>
      <c r="Z580">
        <f t="shared" si="100"/>
        <v>-12</v>
      </c>
      <c r="AC580" s="1">
        <v>0</v>
      </c>
      <c r="AF580">
        <f t="shared" si="98"/>
        <v>132</v>
      </c>
      <c r="AG580" s="41">
        <v>12</v>
      </c>
      <c r="AH580">
        <f t="shared" si="101"/>
        <v>132</v>
      </c>
      <c r="AI580">
        <f t="shared" si="102"/>
        <v>0</v>
      </c>
      <c r="AK580">
        <f t="shared" si="103"/>
        <v>11</v>
      </c>
      <c r="AL580">
        <v>13.85</v>
      </c>
      <c r="AM580" t="s">
        <v>27</v>
      </c>
      <c r="AN580">
        <v>13.85</v>
      </c>
      <c r="AO580" t="b">
        <f t="shared" si="104"/>
        <v>1</v>
      </c>
      <c r="AR580" t="s">
        <v>5061</v>
      </c>
      <c r="AS580" s="21">
        <v>46276</v>
      </c>
      <c r="AT580" t="s">
        <v>5062</v>
      </c>
      <c r="AU580" t="s">
        <v>5072</v>
      </c>
      <c r="AV580" t="s">
        <v>5062</v>
      </c>
      <c r="AW580" t="s">
        <v>5086</v>
      </c>
    </row>
    <row r="581" spans="1:49" hidden="1" x14ac:dyDescent="0.35">
      <c r="A581" t="s">
        <v>871</v>
      </c>
      <c r="B581" t="s">
        <v>872</v>
      </c>
      <c r="C581" t="s">
        <v>4818</v>
      </c>
      <c r="D581" t="s">
        <v>18</v>
      </c>
      <c r="E581" t="s">
        <v>2558</v>
      </c>
      <c r="F581" t="s">
        <v>2559</v>
      </c>
      <c r="G581" t="s">
        <v>21</v>
      </c>
      <c r="H581" t="s">
        <v>4826</v>
      </c>
      <c r="I581" t="s">
        <v>4976</v>
      </c>
      <c r="J581" s="4" t="s">
        <v>4977</v>
      </c>
      <c r="K581" s="4" t="s">
        <v>4831</v>
      </c>
      <c r="L581" s="4" t="s">
        <v>4960</v>
      </c>
      <c r="M581" s="4" t="s">
        <v>5035</v>
      </c>
      <c r="N581" t="s">
        <v>15</v>
      </c>
      <c r="O581" t="s">
        <v>2560</v>
      </c>
      <c r="P581" t="s">
        <v>23</v>
      </c>
      <c r="Q581" t="s">
        <v>24</v>
      </c>
      <c r="R581" t="s">
        <v>25</v>
      </c>
      <c r="S581" t="s">
        <v>26</v>
      </c>
      <c r="T581" s="6">
        <v>46307</v>
      </c>
      <c r="U581">
        <v>36</v>
      </c>
      <c r="V581">
        <v>36</v>
      </c>
      <c r="W581">
        <v>36</v>
      </c>
      <c r="X581">
        <v>36</v>
      </c>
      <c r="Y581">
        <f t="shared" si="99"/>
        <v>0</v>
      </c>
      <c r="Z581">
        <f t="shared" si="100"/>
        <v>0</v>
      </c>
      <c r="AC581" s="1">
        <v>0</v>
      </c>
      <c r="AF581">
        <f t="shared" si="98"/>
        <v>36</v>
      </c>
      <c r="AG581" s="41">
        <v>12</v>
      </c>
      <c r="AH581">
        <f t="shared" si="101"/>
        <v>36</v>
      </c>
      <c r="AI581">
        <f t="shared" si="102"/>
        <v>0</v>
      </c>
      <c r="AK581">
        <f t="shared" si="103"/>
        <v>3</v>
      </c>
      <c r="AL581">
        <v>13.85</v>
      </c>
      <c r="AM581" t="s">
        <v>27</v>
      </c>
      <c r="AN581">
        <v>13.85</v>
      </c>
      <c r="AO581" t="b">
        <f t="shared" si="104"/>
        <v>1</v>
      </c>
      <c r="AR581" t="s">
        <v>5061</v>
      </c>
      <c r="AS581" s="21">
        <v>46276</v>
      </c>
      <c r="AT581" t="s">
        <v>5062</v>
      </c>
      <c r="AU581" t="s">
        <v>5072</v>
      </c>
      <c r="AV581" t="s">
        <v>5062</v>
      </c>
      <c r="AW581" t="s">
        <v>5086</v>
      </c>
    </row>
    <row r="582" spans="1:49" hidden="1" x14ac:dyDescent="0.35">
      <c r="A582" t="s">
        <v>871</v>
      </c>
      <c r="B582" t="s">
        <v>872</v>
      </c>
      <c r="C582" t="s">
        <v>4818</v>
      </c>
      <c r="D582" t="s">
        <v>18</v>
      </c>
      <c r="E582" t="s">
        <v>2561</v>
      </c>
      <c r="F582" t="s">
        <v>2562</v>
      </c>
      <c r="G582" t="s">
        <v>21</v>
      </c>
      <c r="H582" t="s">
        <v>4826</v>
      </c>
      <c r="I582" t="s">
        <v>4976</v>
      </c>
      <c r="J582" s="4" t="s">
        <v>4977</v>
      </c>
      <c r="K582" s="4" t="s">
        <v>4832</v>
      </c>
      <c r="L582" s="4" t="s">
        <v>4946</v>
      </c>
      <c r="M582" s="4" t="s">
        <v>5035</v>
      </c>
      <c r="N582" t="s">
        <v>15</v>
      </c>
      <c r="O582" t="s">
        <v>2563</v>
      </c>
      <c r="P582" t="s">
        <v>23</v>
      </c>
      <c r="Q582" t="s">
        <v>24</v>
      </c>
      <c r="R582" t="s">
        <v>25</v>
      </c>
      <c r="S582" t="s">
        <v>26</v>
      </c>
      <c r="T582" s="6">
        <v>46307</v>
      </c>
      <c r="U582">
        <v>36</v>
      </c>
      <c r="V582">
        <v>36</v>
      </c>
      <c r="W582">
        <v>36</v>
      </c>
      <c r="X582">
        <v>36</v>
      </c>
      <c r="Y582">
        <f t="shared" si="99"/>
        <v>0</v>
      </c>
      <c r="Z582">
        <f t="shared" si="100"/>
        <v>0</v>
      </c>
      <c r="AC582" s="1">
        <v>0</v>
      </c>
      <c r="AF582">
        <f t="shared" si="98"/>
        <v>36</v>
      </c>
      <c r="AG582" s="41">
        <v>12</v>
      </c>
      <c r="AH582">
        <f t="shared" si="101"/>
        <v>36</v>
      </c>
      <c r="AI582">
        <f t="shared" si="102"/>
        <v>0</v>
      </c>
      <c r="AK582">
        <f t="shared" si="103"/>
        <v>3</v>
      </c>
      <c r="AL582">
        <v>13.85</v>
      </c>
      <c r="AM582" t="s">
        <v>27</v>
      </c>
      <c r="AN582">
        <v>13.85</v>
      </c>
      <c r="AO582" t="b">
        <f t="shared" si="104"/>
        <v>1</v>
      </c>
      <c r="AR582" t="s">
        <v>5061</v>
      </c>
      <c r="AS582" s="21">
        <v>46276</v>
      </c>
      <c r="AT582" t="s">
        <v>5062</v>
      </c>
      <c r="AU582" t="s">
        <v>5072</v>
      </c>
      <c r="AV582" t="s">
        <v>5062</v>
      </c>
      <c r="AW582" t="s">
        <v>5086</v>
      </c>
    </row>
    <row r="583" spans="1:49" hidden="1" x14ac:dyDescent="0.35">
      <c r="A583" t="s">
        <v>871</v>
      </c>
      <c r="B583" t="s">
        <v>872</v>
      </c>
      <c r="C583" t="s">
        <v>4818</v>
      </c>
      <c r="D583" t="s">
        <v>18</v>
      </c>
      <c r="E583" t="s">
        <v>2564</v>
      </c>
      <c r="F583" t="s">
        <v>2565</v>
      </c>
      <c r="G583" t="s">
        <v>21</v>
      </c>
      <c r="H583" t="s">
        <v>4826</v>
      </c>
      <c r="I583" t="s">
        <v>4976</v>
      </c>
      <c r="J583" s="4" t="s">
        <v>4977</v>
      </c>
      <c r="K583" s="4" t="s">
        <v>4831</v>
      </c>
      <c r="L583" s="4" t="s">
        <v>4974</v>
      </c>
      <c r="M583" s="4" t="s">
        <v>5035</v>
      </c>
      <c r="N583" t="s">
        <v>15</v>
      </c>
      <c r="O583" t="s">
        <v>2566</v>
      </c>
      <c r="P583" t="s">
        <v>23</v>
      </c>
      <c r="Q583" t="s">
        <v>24</v>
      </c>
      <c r="R583" t="s">
        <v>25</v>
      </c>
      <c r="S583" t="s">
        <v>26</v>
      </c>
      <c r="T583" s="6">
        <v>46307</v>
      </c>
      <c r="U583">
        <v>72</v>
      </c>
      <c r="V583">
        <v>72</v>
      </c>
      <c r="W583">
        <v>60</v>
      </c>
      <c r="X583">
        <v>60</v>
      </c>
      <c r="Y583">
        <f t="shared" si="99"/>
        <v>0</v>
      </c>
      <c r="Z583">
        <f t="shared" si="100"/>
        <v>12</v>
      </c>
      <c r="AA583">
        <f>Z583</f>
        <v>12</v>
      </c>
      <c r="AC583" s="1">
        <v>0</v>
      </c>
      <c r="AF583">
        <f>X583</f>
        <v>60</v>
      </c>
      <c r="AG583" s="41">
        <v>12</v>
      </c>
      <c r="AH583">
        <f t="shared" si="101"/>
        <v>60</v>
      </c>
      <c r="AI583">
        <f t="shared" si="102"/>
        <v>12</v>
      </c>
      <c r="AK583">
        <f t="shared" si="103"/>
        <v>5</v>
      </c>
      <c r="AL583">
        <v>13.85</v>
      </c>
      <c r="AM583" t="s">
        <v>27</v>
      </c>
      <c r="AN583">
        <v>13.85</v>
      </c>
      <c r="AO583" t="b">
        <f t="shared" si="104"/>
        <v>1</v>
      </c>
      <c r="AR583" t="s">
        <v>5061</v>
      </c>
      <c r="AS583" s="21">
        <v>46276</v>
      </c>
      <c r="AT583" t="s">
        <v>5062</v>
      </c>
      <c r="AU583" t="s">
        <v>5072</v>
      </c>
      <c r="AV583" t="s">
        <v>5062</v>
      </c>
      <c r="AW583" t="s">
        <v>5086</v>
      </c>
    </row>
    <row r="584" spans="1:49" hidden="1" x14ac:dyDescent="0.35">
      <c r="A584" t="s">
        <v>871</v>
      </c>
      <c r="B584" t="s">
        <v>872</v>
      </c>
      <c r="C584" t="s">
        <v>4818</v>
      </c>
      <c r="D584" t="s">
        <v>18</v>
      </c>
      <c r="E584" t="s">
        <v>2567</v>
      </c>
      <c r="F584" t="s">
        <v>2568</v>
      </c>
      <c r="G584" t="s">
        <v>21</v>
      </c>
      <c r="H584" t="s">
        <v>4826</v>
      </c>
      <c r="I584" t="s">
        <v>4976</v>
      </c>
      <c r="J584" s="4" t="s">
        <v>4977</v>
      </c>
      <c r="K584" s="4" t="s">
        <v>4832</v>
      </c>
      <c r="L584" s="4" t="s">
        <v>4959</v>
      </c>
      <c r="M584" s="4" t="s">
        <v>5035</v>
      </c>
      <c r="N584" t="s">
        <v>15</v>
      </c>
      <c r="O584" t="s">
        <v>2569</v>
      </c>
      <c r="P584" t="s">
        <v>23</v>
      </c>
      <c r="Q584" t="s">
        <v>24</v>
      </c>
      <c r="R584" t="s">
        <v>25</v>
      </c>
      <c r="S584" t="s">
        <v>26</v>
      </c>
      <c r="T584" s="6">
        <v>46307</v>
      </c>
      <c r="U584">
        <v>24</v>
      </c>
      <c r="V584">
        <v>24</v>
      </c>
      <c r="W584">
        <v>24</v>
      </c>
      <c r="X584">
        <v>24</v>
      </c>
      <c r="Y584">
        <f t="shared" si="99"/>
        <v>0</v>
      </c>
      <c r="Z584">
        <f t="shared" si="100"/>
        <v>0</v>
      </c>
      <c r="AC584" s="1">
        <v>0</v>
      </c>
      <c r="AF584">
        <f>V584</f>
        <v>24</v>
      </c>
      <c r="AG584" s="41">
        <v>12</v>
      </c>
      <c r="AH584">
        <f t="shared" si="101"/>
        <v>24</v>
      </c>
      <c r="AI584">
        <f t="shared" si="102"/>
        <v>0</v>
      </c>
      <c r="AK584">
        <f t="shared" si="103"/>
        <v>2</v>
      </c>
      <c r="AL584">
        <v>13.85</v>
      </c>
      <c r="AM584" t="s">
        <v>27</v>
      </c>
      <c r="AN584">
        <v>13.85</v>
      </c>
      <c r="AO584" t="b">
        <f t="shared" si="104"/>
        <v>1</v>
      </c>
      <c r="AR584" t="s">
        <v>5061</v>
      </c>
      <c r="AS584" s="21">
        <v>46276</v>
      </c>
      <c r="AT584" t="s">
        <v>5062</v>
      </c>
      <c r="AU584" t="s">
        <v>5072</v>
      </c>
      <c r="AV584" t="s">
        <v>5062</v>
      </c>
      <c r="AW584" t="s">
        <v>5086</v>
      </c>
    </row>
    <row r="585" spans="1:49" hidden="1" x14ac:dyDescent="0.35">
      <c r="A585" t="s">
        <v>871</v>
      </c>
      <c r="B585" t="s">
        <v>872</v>
      </c>
      <c r="C585" t="s">
        <v>4818</v>
      </c>
      <c r="D585" t="s">
        <v>18</v>
      </c>
      <c r="E585" t="s">
        <v>2570</v>
      </c>
      <c r="F585" t="s">
        <v>2571</v>
      </c>
      <c r="G585" t="s">
        <v>21</v>
      </c>
      <c r="H585" t="s">
        <v>4826</v>
      </c>
      <c r="I585" t="s">
        <v>4976</v>
      </c>
      <c r="J585" s="4" t="s">
        <v>4977</v>
      </c>
      <c r="K585" s="4" t="s">
        <v>4837</v>
      </c>
      <c r="L585" s="4" t="s">
        <v>4954</v>
      </c>
      <c r="M585" s="4" t="s">
        <v>5035</v>
      </c>
      <c r="N585" t="s">
        <v>15</v>
      </c>
      <c r="O585" t="s">
        <v>2572</v>
      </c>
      <c r="P585" t="s">
        <v>23</v>
      </c>
      <c r="Q585" t="s">
        <v>24</v>
      </c>
      <c r="R585" t="s">
        <v>25</v>
      </c>
      <c r="S585" t="s">
        <v>26</v>
      </c>
      <c r="T585" s="6">
        <v>46307</v>
      </c>
      <c r="U585">
        <v>168</v>
      </c>
      <c r="V585">
        <v>168</v>
      </c>
      <c r="W585">
        <v>180</v>
      </c>
      <c r="X585">
        <v>180</v>
      </c>
      <c r="Y585">
        <f t="shared" si="99"/>
        <v>0</v>
      </c>
      <c r="Z585">
        <f t="shared" si="100"/>
        <v>-12</v>
      </c>
      <c r="AC585" s="1">
        <v>0</v>
      </c>
      <c r="AF585">
        <f>V585</f>
        <v>168</v>
      </c>
      <c r="AG585" s="41">
        <v>12</v>
      </c>
      <c r="AH585">
        <f t="shared" si="101"/>
        <v>168</v>
      </c>
      <c r="AI585">
        <f t="shared" si="102"/>
        <v>0</v>
      </c>
      <c r="AK585">
        <f t="shared" si="103"/>
        <v>14</v>
      </c>
      <c r="AL585">
        <v>13.85</v>
      </c>
      <c r="AM585" t="s">
        <v>27</v>
      </c>
      <c r="AN585">
        <v>13.85</v>
      </c>
      <c r="AO585" t="b">
        <f t="shared" si="104"/>
        <v>1</v>
      </c>
      <c r="AR585" t="s">
        <v>5061</v>
      </c>
      <c r="AS585" s="21">
        <v>46276</v>
      </c>
      <c r="AT585" t="s">
        <v>5062</v>
      </c>
      <c r="AU585" t="s">
        <v>5072</v>
      </c>
      <c r="AV585" t="s">
        <v>5062</v>
      </c>
      <c r="AW585" t="s">
        <v>5086</v>
      </c>
    </row>
    <row r="586" spans="1:49" hidden="1" x14ac:dyDescent="0.35">
      <c r="A586" t="s">
        <v>871</v>
      </c>
      <c r="B586" t="s">
        <v>872</v>
      </c>
      <c r="C586" t="s">
        <v>4818</v>
      </c>
      <c r="D586" t="s">
        <v>18</v>
      </c>
      <c r="E586" t="s">
        <v>2573</v>
      </c>
      <c r="F586" t="s">
        <v>2574</v>
      </c>
      <c r="G586" t="s">
        <v>21</v>
      </c>
      <c r="H586" t="s">
        <v>4826</v>
      </c>
      <c r="I586" t="s">
        <v>4976</v>
      </c>
      <c r="J586" s="4" t="s">
        <v>4977</v>
      </c>
      <c r="K586" s="4" t="s">
        <v>4832</v>
      </c>
      <c r="L586" s="4" t="s">
        <v>4949</v>
      </c>
      <c r="M586" s="4" t="s">
        <v>5035</v>
      </c>
      <c r="N586" t="s">
        <v>15</v>
      </c>
      <c r="O586" t="s">
        <v>2575</v>
      </c>
      <c r="P586" t="s">
        <v>23</v>
      </c>
      <c r="Q586" t="s">
        <v>24</v>
      </c>
      <c r="R586" t="s">
        <v>25</v>
      </c>
      <c r="S586" t="s">
        <v>26</v>
      </c>
      <c r="T586" s="6">
        <v>46307</v>
      </c>
      <c r="U586">
        <v>144</v>
      </c>
      <c r="V586">
        <v>144</v>
      </c>
      <c r="W586">
        <v>132</v>
      </c>
      <c r="X586">
        <v>132</v>
      </c>
      <c r="Y586">
        <f t="shared" si="99"/>
        <v>0</v>
      </c>
      <c r="Z586">
        <f t="shared" si="100"/>
        <v>12</v>
      </c>
      <c r="AA586">
        <f>Z586</f>
        <v>12</v>
      </c>
      <c r="AC586" s="1">
        <v>0</v>
      </c>
      <c r="AF586">
        <f>X586</f>
        <v>132</v>
      </c>
      <c r="AG586" s="41">
        <v>12</v>
      </c>
      <c r="AH586">
        <f t="shared" si="101"/>
        <v>132</v>
      </c>
      <c r="AI586">
        <f t="shared" si="102"/>
        <v>12</v>
      </c>
      <c r="AK586">
        <f t="shared" si="103"/>
        <v>11</v>
      </c>
      <c r="AL586">
        <v>13.85</v>
      </c>
      <c r="AM586" t="s">
        <v>27</v>
      </c>
      <c r="AN586">
        <v>13.85</v>
      </c>
      <c r="AO586" t="b">
        <f t="shared" si="104"/>
        <v>1</v>
      </c>
      <c r="AR586" t="s">
        <v>5061</v>
      </c>
      <c r="AS586" s="21">
        <v>46276</v>
      </c>
      <c r="AT586" t="s">
        <v>5062</v>
      </c>
      <c r="AU586" t="s">
        <v>5072</v>
      </c>
      <c r="AV586" t="s">
        <v>5062</v>
      </c>
      <c r="AW586" t="s">
        <v>5086</v>
      </c>
    </row>
    <row r="587" spans="1:49" hidden="1" x14ac:dyDescent="0.35">
      <c r="A587" t="s">
        <v>871</v>
      </c>
      <c r="B587" t="s">
        <v>872</v>
      </c>
      <c r="C587" t="s">
        <v>4818</v>
      </c>
      <c r="D587" t="s">
        <v>18</v>
      </c>
      <c r="E587" t="s">
        <v>2576</v>
      </c>
      <c r="F587" t="s">
        <v>2577</v>
      </c>
      <c r="G587" t="s">
        <v>21</v>
      </c>
      <c r="H587" t="s">
        <v>4826</v>
      </c>
      <c r="I587" t="s">
        <v>4976</v>
      </c>
      <c r="J587" s="4" t="s">
        <v>4977</v>
      </c>
      <c r="K587" s="4" t="s">
        <v>4832</v>
      </c>
      <c r="L587" s="4" t="s">
        <v>4951</v>
      </c>
      <c r="M587" s="4" t="s">
        <v>5035</v>
      </c>
      <c r="N587" t="s">
        <v>15</v>
      </c>
      <c r="O587" t="s">
        <v>2578</v>
      </c>
      <c r="P587" t="s">
        <v>23</v>
      </c>
      <c r="Q587" t="s">
        <v>24</v>
      </c>
      <c r="R587" t="s">
        <v>25</v>
      </c>
      <c r="S587" t="s">
        <v>26</v>
      </c>
      <c r="T587" s="6">
        <v>46307</v>
      </c>
      <c r="U587">
        <v>96</v>
      </c>
      <c r="V587">
        <v>96</v>
      </c>
      <c r="W587">
        <v>108</v>
      </c>
      <c r="X587">
        <v>108</v>
      </c>
      <c r="Y587">
        <f t="shared" si="99"/>
        <v>0</v>
      </c>
      <c r="Z587">
        <f t="shared" si="100"/>
        <v>-12</v>
      </c>
      <c r="AC587" s="1">
        <v>0</v>
      </c>
      <c r="AF587">
        <f t="shared" ref="AF587:AF608" si="105">V587</f>
        <v>96</v>
      </c>
      <c r="AG587" s="41">
        <v>12</v>
      </c>
      <c r="AH587">
        <f t="shared" si="101"/>
        <v>96</v>
      </c>
      <c r="AI587">
        <f t="shared" si="102"/>
        <v>0</v>
      </c>
      <c r="AK587">
        <f t="shared" si="103"/>
        <v>8</v>
      </c>
      <c r="AL587">
        <v>13.85</v>
      </c>
      <c r="AM587" t="s">
        <v>27</v>
      </c>
      <c r="AN587">
        <v>13.85</v>
      </c>
      <c r="AO587" t="b">
        <f t="shared" si="104"/>
        <v>1</v>
      </c>
      <c r="AR587" t="s">
        <v>5061</v>
      </c>
      <c r="AS587" s="21">
        <v>46276</v>
      </c>
      <c r="AT587" t="s">
        <v>5062</v>
      </c>
      <c r="AU587" t="s">
        <v>5072</v>
      </c>
      <c r="AV587" t="s">
        <v>5062</v>
      </c>
      <c r="AW587" t="s">
        <v>5086</v>
      </c>
    </row>
    <row r="588" spans="1:49" hidden="1" x14ac:dyDescent="0.35">
      <c r="A588" t="s">
        <v>871</v>
      </c>
      <c r="B588" t="s">
        <v>872</v>
      </c>
      <c r="C588" t="s">
        <v>4818</v>
      </c>
      <c r="D588" t="s">
        <v>18</v>
      </c>
      <c r="E588" t="s">
        <v>2579</v>
      </c>
      <c r="F588" t="s">
        <v>2580</v>
      </c>
      <c r="G588" t="s">
        <v>21</v>
      </c>
      <c r="H588" t="s">
        <v>4826</v>
      </c>
      <c r="I588" t="s">
        <v>4976</v>
      </c>
      <c r="J588" s="4" t="s">
        <v>4977</v>
      </c>
      <c r="K588" s="4" t="s">
        <v>4832</v>
      </c>
      <c r="L588" s="4" t="s">
        <v>4950</v>
      </c>
      <c r="M588" s="4" t="s">
        <v>5035</v>
      </c>
      <c r="N588" t="s">
        <v>15</v>
      </c>
      <c r="O588" t="s">
        <v>2581</v>
      </c>
      <c r="P588" t="s">
        <v>23</v>
      </c>
      <c r="Q588" t="s">
        <v>24</v>
      </c>
      <c r="R588" t="s">
        <v>25</v>
      </c>
      <c r="S588" t="s">
        <v>26</v>
      </c>
      <c r="T588" s="6">
        <v>46307</v>
      </c>
      <c r="U588">
        <v>96</v>
      </c>
      <c r="V588">
        <v>96</v>
      </c>
      <c r="W588">
        <v>108</v>
      </c>
      <c r="X588">
        <v>108</v>
      </c>
      <c r="Y588">
        <f t="shared" si="99"/>
        <v>0</v>
      </c>
      <c r="Z588">
        <f t="shared" si="100"/>
        <v>-12</v>
      </c>
      <c r="AC588" s="1">
        <v>0</v>
      </c>
      <c r="AF588">
        <f t="shared" si="105"/>
        <v>96</v>
      </c>
      <c r="AG588" s="41">
        <v>12</v>
      </c>
      <c r="AH588">
        <f t="shared" si="101"/>
        <v>96</v>
      </c>
      <c r="AI588">
        <f t="shared" si="102"/>
        <v>0</v>
      </c>
      <c r="AK588">
        <f t="shared" si="103"/>
        <v>8</v>
      </c>
      <c r="AL588">
        <v>13.85</v>
      </c>
      <c r="AM588" t="s">
        <v>27</v>
      </c>
      <c r="AN588">
        <v>13.85</v>
      </c>
      <c r="AO588" t="b">
        <f t="shared" si="104"/>
        <v>1</v>
      </c>
      <c r="AR588" t="s">
        <v>5061</v>
      </c>
      <c r="AS588" s="21">
        <v>46276</v>
      </c>
      <c r="AT588" t="s">
        <v>5062</v>
      </c>
      <c r="AU588" t="s">
        <v>5072</v>
      </c>
      <c r="AV588" t="s">
        <v>5062</v>
      </c>
      <c r="AW588" t="s">
        <v>5086</v>
      </c>
    </row>
    <row r="589" spans="1:49" hidden="1" x14ac:dyDescent="0.35">
      <c r="A589" t="s">
        <v>871</v>
      </c>
      <c r="B589" t="s">
        <v>872</v>
      </c>
      <c r="C589" t="s">
        <v>4818</v>
      </c>
      <c r="D589" t="s">
        <v>18</v>
      </c>
      <c r="E589" t="s">
        <v>2582</v>
      </c>
      <c r="F589" t="s">
        <v>2583</v>
      </c>
      <c r="G589" t="s">
        <v>21</v>
      </c>
      <c r="H589" t="s">
        <v>4826</v>
      </c>
      <c r="I589" t="s">
        <v>4976</v>
      </c>
      <c r="J589" s="4" t="s">
        <v>4977</v>
      </c>
      <c r="K589" s="4" t="s">
        <v>4957</v>
      </c>
      <c r="L589" s="4" t="s">
        <v>4954</v>
      </c>
      <c r="M589" s="4" t="s">
        <v>5035</v>
      </c>
      <c r="N589" t="s">
        <v>15</v>
      </c>
      <c r="O589" t="s">
        <v>2584</v>
      </c>
      <c r="P589" t="s">
        <v>23</v>
      </c>
      <c r="Q589" t="s">
        <v>24</v>
      </c>
      <c r="R589" t="s">
        <v>25</v>
      </c>
      <c r="S589" t="s">
        <v>26</v>
      </c>
      <c r="T589" s="6">
        <v>46307</v>
      </c>
      <c r="U589">
        <v>12</v>
      </c>
      <c r="V589">
        <v>12</v>
      </c>
      <c r="W589">
        <v>12</v>
      </c>
      <c r="X589">
        <v>12</v>
      </c>
      <c r="Y589">
        <f t="shared" si="99"/>
        <v>0</v>
      </c>
      <c r="Z589">
        <f t="shared" si="100"/>
        <v>0</v>
      </c>
      <c r="AC589" s="1">
        <v>0</v>
      </c>
      <c r="AF589">
        <f t="shared" si="105"/>
        <v>12</v>
      </c>
      <c r="AG589" s="41">
        <v>12</v>
      </c>
      <c r="AH589">
        <f t="shared" si="101"/>
        <v>12</v>
      </c>
      <c r="AI589">
        <f t="shared" si="102"/>
        <v>0</v>
      </c>
      <c r="AK589">
        <f t="shared" si="103"/>
        <v>1</v>
      </c>
      <c r="AL589">
        <v>13.85</v>
      </c>
      <c r="AM589" t="s">
        <v>27</v>
      </c>
      <c r="AN589">
        <v>13.85</v>
      </c>
      <c r="AO589" t="b">
        <f t="shared" si="104"/>
        <v>1</v>
      </c>
      <c r="AR589" t="s">
        <v>5061</v>
      </c>
      <c r="AS589" s="21">
        <v>46276</v>
      </c>
      <c r="AT589" t="s">
        <v>5062</v>
      </c>
      <c r="AU589" t="s">
        <v>5072</v>
      </c>
      <c r="AV589" t="s">
        <v>5062</v>
      </c>
      <c r="AW589" t="s">
        <v>5086</v>
      </c>
    </row>
    <row r="590" spans="1:49" hidden="1" x14ac:dyDescent="0.35">
      <c r="A590" t="s">
        <v>871</v>
      </c>
      <c r="B590" t="s">
        <v>872</v>
      </c>
      <c r="C590" t="s">
        <v>4818</v>
      </c>
      <c r="D590" t="s">
        <v>18</v>
      </c>
      <c r="E590" t="s">
        <v>2585</v>
      </c>
      <c r="F590" t="s">
        <v>2586</v>
      </c>
      <c r="G590" t="s">
        <v>21</v>
      </c>
      <c r="H590" t="s">
        <v>4826</v>
      </c>
      <c r="I590" t="s">
        <v>4976</v>
      </c>
      <c r="J590" s="4" t="s">
        <v>4977</v>
      </c>
      <c r="K590" s="4" t="s">
        <v>4978</v>
      </c>
      <c r="L590" s="4" t="s">
        <v>4940</v>
      </c>
      <c r="M590" s="4" t="s">
        <v>5035</v>
      </c>
      <c r="N590" t="s">
        <v>15</v>
      </c>
      <c r="O590" t="s">
        <v>2587</v>
      </c>
      <c r="P590" t="s">
        <v>23</v>
      </c>
      <c r="Q590" t="s">
        <v>24</v>
      </c>
      <c r="R590" t="s">
        <v>25</v>
      </c>
      <c r="S590" t="s">
        <v>26</v>
      </c>
      <c r="T590" s="6">
        <v>46307</v>
      </c>
      <c r="U590">
        <v>24</v>
      </c>
      <c r="V590">
        <v>24</v>
      </c>
      <c r="W590">
        <v>24</v>
      </c>
      <c r="X590">
        <v>24</v>
      </c>
      <c r="Y590">
        <f t="shared" si="99"/>
        <v>0</v>
      </c>
      <c r="Z590">
        <f t="shared" si="100"/>
        <v>0</v>
      </c>
      <c r="AC590" s="1">
        <v>0</v>
      </c>
      <c r="AF590">
        <f t="shared" si="105"/>
        <v>24</v>
      </c>
      <c r="AG590" s="41">
        <v>12</v>
      </c>
      <c r="AH590">
        <f t="shared" si="101"/>
        <v>24</v>
      </c>
      <c r="AI590">
        <f t="shared" si="102"/>
        <v>0</v>
      </c>
      <c r="AK590">
        <f t="shared" si="103"/>
        <v>2</v>
      </c>
      <c r="AL590">
        <v>13.85</v>
      </c>
      <c r="AM590" t="s">
        <v>27</v>
      </c>
      <c r="AN590">
        <v>13.85</v>
      </c>
      <c r="AO590" t="b">
        <f t="shared" si="104"/>
        <v>1</v>
      </c>
      <c r="AR590" t="s">
        <v>5061</v>
      </c>
      <c r="AS590" s="21">
        <v>46276</v>
      </c>
      <c r="AT590" t="s">
        <v>5062</v>
      </c>
      <c r="AU590" t="s">
        <v>5072</v>
      </c>
      <c r="AV590" t="s">
        <v>5062</v>
      </c>
      <c r="AW590" t="s">
        <v>5086</v>
      </c>
    </row>
    <row r="591" spans="1:49" hidden="1" x14ac:dyDescent="0.35">
      <c r="A591" t="s">
        <v>871</v>
      </c>
      <c r="B591" t="s">
        <v>872</v>
      </c>
      <c r="C591" t="s">
        <v>4818</v>
      </c>
      <c r="D591" t="s">
        <v>18</v>
      </c>
      <c r="E591" t="s">
        <v>2588</v>
      </c>
      <c r="F591" t="s">
        <v>2589</v>
      </c>
      <c r="G591" t="s">
        <v>21</v>
      </c>
      <c r="H591" t="s">
        <v>4826</v>
      </c>
      <c r="I591" t="s">
        <v>4976</v>
      </c>
      <c r="J591" s="4" t="s">
        <v>4977</v>
      </c>
      <c r="K591" s="4" t="s">
        <v>4957</v>
      </c>
      <c r="L591" s="4" t="s">
        <v>4950</v>
      </c>
      <c r="M591" s="4" t="s">
        <v>5035</v>
      </c>
      <c r="N591" t="s">
        <v>15</v>
      </c>
      <c r="O591" t="s">
        <v>2590</v>
      </c>
      <c r="P591" t="s">
        <v>23</v>
      </c>
      <c r="Q591" t="s">
        <v>24</v>
      </c>
      <c r="R591" t="s">
        <v>25</v>
      </c>
      <c r="S591" t="s">
        <v>26</v>
      </c>
      <c r="T591" s="6">
        <v>46307</v>
      </c>
      <c r="U591">
        <v>12</v>
      </c>
      <c r="V591">
        <v>12</v>
      </c>
      <c r="W591">
        <v>12</v>
      </c>
      <c r="X591">
        <v>12</v>
      </c>
      <c r="Y591">
        <f t="shared" si="99"/>
        <v>0</v>
      </c>
      <c r="Z591">
        <f t="shared" si="100"/>
        <v>0</v>
      </c>
      <c r="AC591" s="1">
        <v>0</v>
      </c>
      <c r="AF591">
        <f t="shared" si="105"/>
        <v>12</v>
      </c>
      <c r="AG591" s="41">
        <v>12</v>
      </c>
      <c r="AH591">
        <f t="shared" si="101"/>
        <v>12</v>
      </c>
      <c r="AI591">
        <f t="shared" si="102"/>
        <v>0</v>
      </c>
      <c r="AK591">
        <f t="shared" si="103"/>
        <v>1</v>
      </c>
      <c r="AL591">
        <v>13.85</v>
      </c>
      <c r="AM591" t="s">
        <v>27</v>
      </c>
      <c r="AN591">
        <v>13.85</v>
      </c>
      <c r="AO591" t="b">
        <f t="shared" si="104"/>
        <v>1</v>
      </c>
      <c r="AR591" t="s">
        <v>5061</v>
      </c>
      <c r="AS591" s="21">
        <v>46276</v>
      </c>
      <c r="AT591" t="s">
        <v>5062</v>
      </c>
      <c r="AU591" t="s">
        <v>5072</v>
      </c>
      <c r="AV591" t="s">
        <v>5062</v>
      </c>
      <c r="AW591" t="s">
        <v>5086</v>
      </c>
    </row>
    <row r="592" spans="1:49" hidden="1" x14ac:dyDescent="0.35">
      <c r="A592" t="s">
        <v>871</v>
      </c>
      <c r="B592" t="s">
        <v>872</v>
      </c>
      <c r="C592" t="s">
        <v>4818</v>
      </c>
      <c r="D592" t="s">
        <v>18</v>
      </c>
      <c r="E592" t="s">
        <v>2591</v>
      </c>
      <c r="F592" t="s">
        <v>2592</v>
      </c>
      <c r="G592" t="s">
        <v>21</v>
      </c>
      <c r="H592" t="s">
        <v>4826</v>
      </c>
      <c r="I592" t="s">
        <v>4976</v>
      </c>
      <c r="J592" s="4" t="s">
        <v>4977</v>
      </c>
      <c r="K592" s="4" t="s">
        <v>4831</v>
      </c>
      <c r="L592" s="4" t="s">
        <v>4973</v>
      </c>
      <c r="M592" s="4" t="s">
        <v>5035</v>
      </c>
      <c r="N592" t="s">
        <v>15</v>
      </c>
      <c r="O592" t="s">
        <v>2593</v>
      </c>
      <c r="P592" t="s">
        <v>23</v>
      </c>
      <c r="Q592" t="s">
        <v>24</v>
      </c>
      <c r="R592" t="s">
        <v>25</v>
      </c>
      <c r="S592" t="s">
        <v>26</v>
      </c>
      <c r="T592" s="6">
        <v>46307</v>
      </c>
      <c r="U592">
        <v>48</v>
      </c>
      <c r="V592">
        <v>48</v>
      </c>
      <c r="W592">
        <v>48</v>
      </c>
      <c r="X592">
        <v>48</v>
      </c>
      <c r="Y592">
        <f t="shared" si="99"/>
        <v>0</v>
      </c>
      <c r="Z592">
        <f t="shared" si="100"/>
        <v>0</v>
      </c>
      <c r="AC592" s="1">
        <v>0</v>
      </c>
      <c r="AF592">
        <f t="shared" si="105"/>
        <v>48</v>
      </c>
      <c r="AG592" s="41">
        <v>12</v>
      </c>
      <c r="AH592">
        <f t="shared" si="101"/>
        <v>48</v>
      </c>
      <c r="AI592">
        <f t="shared" si="102"/>
        <v>0</v>
      </c>
      <c r="AK592">
        <f t="shared" si="103"/>
        <v>4</v>
      </c>
      <c r="AL592">
        <v>13.85</v>
      </c>
      <c r="AM592" t="s">
        <v>27</v>
      </c>
      <c r="AN592">
        <v>13.85</v>
      </c>
      <c r="AO592" t="b">
        <f t="shared" si="104"/>
        <v>1</v>
      </c>
      <c r="AR592" t="s">
        <v>5061</v>
      </c>
      <c r="AS592" s="21">
        <v>46276</v>
      </c>
      <c r="AT592" t="s">
        <v>5062</v>
      </c>
      <c r="AU592" t="s">
        <v>5072</v>
      </c>
      <c r="AV592" t="s">
        <v>5062</v>
      </c>
      <c r="AW592" t="s">
        <v>5086</v>
      </c>
    </row>
    <row r="593" spans="1:49" hidden="1" x14ac:dyDescent="0.35">
      <c r="A593" t="s">
        <v>871</v>
      </c>
      <c r="B593" t="s">
        <v>872</v>
      </c>
      <c r="C593" t="s">
        <v>4818</v>
      </c>
      <c r="D593" t="s">
        <v>18</v>
      </c>
      <c r="E593" t="s">
        <v>2594</v>
      </c>
      <c r="F593" t="s">
        <v>2595</v>
      </c>
      <c r="G593" t="s">
        <v>21</v>
      </c>
      <c r="H593" t="s">
        <v>4826</v>
      </c>
      <c r="I593" t="s">
        <v>4976</v>
      </c>
      <c r="J593" s="4" t="s">
        <v>4977</v>
      </c>
      <c r="K593" s="4" t="s">
        <v>4837</v>
      </c>
      <c r="L593" s="4" t="s">
        <v>4939</v>
      </c>
      <c r="M593" s="4" t="s">
        <v>5035</v>
      </c>
      <c r="N593" t="s">
        <v>15</v>
      </c>
      <c r="O593" t="s">
        <v>2596</v>
      </c>
      <c r="P593" t="s">
        <v>23</v>
      </c>
      <c r="Q593" t="s">
        <v>24</v>
      </c>
      <c r="R593" t="s">
        <v>25</v>
      </c>
      <c r="S593" t="s">
        <v>26</v>
      </c>
      <c r="T593" s="6">
        <v>46307</v>
      </c>
      <c r="U593">
        <v>96</v>
      </c>
      <c r="V593">
        <v>96</v>
      </c>
      <c r="W593">
        <v>108</v>
      </c>
      <c r="X593">
        <v>108</v>
      </c>
      <c r="Y593">
        <f t="shared" si="99"/>
        <v>0</v>
      </c>
      <c r="Z593">
        <f t="shared" si="100"/>
        <v>-12</v>
      </c>
      <c r="AC593" s="1">
        <v>0</v>
      </c>
      <c r="AF593">
        <f t="shared" si="105"/>
        <v>96</v>
      </c>
      <c r="AG593" s="41">
        <v>12</v>
      </c>
      <c r="AH593">
        <f t="shared" si="101"/>
        <v>96</v>
      </c>
      <c r="AI593">
        <f t="shared" si="102"/>
        <v>0</v>
      </c>
      <c r="AK593">
        <f t="shared" si="103"/>
        <v>8</v>
      </c>
      <c r="AL593">
        <v>13.85</v>
      </c>
      <c r="AM593" t="s">
        <v>27</v>
      </c>
      <c r="AN593">
        <v>13.85</v>
      </c>
      <c r="AO593" t="b">
        <f t="shared" si="104"/>
        <v>1</v>
      </c>
      <c r="AR593" t="s">
        <v>5061</v>
      </c>
      <c r="AS593" s="21">
        <v>46276</v>
      </c>
      <c r="AT593" t="s">
        <v>5062</v>
      </c>
      <c r="AU593" t="s">
        <v>5072</v>
      </c>
      <c r="AV593" t="s">
        <v>5062</v>
      </c>
      <c r="AW593" t="s">
        <v>5086</v>
      </c>
    </row>
    <row r="594" spans="1:49" hidden="1" x14ac:dyDescent="0.35">
      <c r="A594" t="s">
        <v>871</v>
      </c>
      <c r="B594" t="s">
        <v>872</v>
      </c>
      <c r="C594" t="s">
        <v>4818</v>
      </c>
      <c r="D594" t="s">
        <v>18</v>
      </c>
      <c r="E594" t="s">
        <v>2597</v>
      </c>
      <c r="F594" t="s">
        <v>2598</v>
      </c>
      <c r="G594" t="s">
        <v>21</v>
      </c>
      <c r="H594" t="s">
        <v>4826</v>
      </c>
      <c r="I594" t="s">
        <v>4976</v>
      </c>
      <c r="J594" s="4" t="s">
        <v>4977</v>
      </c>
      <c r="K594" s="4" t="s">
        <v>4978</v>
      </c>
      <c r="L594" s="4" t="s">
        <v>4947</v>
      </c>
      <c r="M594" s="4" t="s">
        <v>5035</v>
      </c>
      <c r="N594" t="s">
        <v>15</v>
      </c>
      <c r="O594" t="s">
        <v>2599</v>
      </c>
      <c r="P594" t="s">
        <v>23</v>
      </c>
      <c r="Q594" t="s">
        <v>24</v>
      </c>
      <c r="R594" t="s">
        <v>25</v>
      </c>
      <c r="S594" t="s">
        <v>26</v>
      </c>
      <c r="T594" s="6">
        <v>46307</v>
      </c>
      <c r="U594">
        <v>12</v>
      </c>
      <c r="V594">
        <v>12</v>
      </c>
      <c r="W594">
        <v>12</v>
      </c>
      <c r="X594">
        <v>12</v>
      </c>
      <c r="Y594">
        <f t="shared" si="99"/>
        <v>0</v>
      </c>
      <c r="Z594">
        <f t="shared" si="100"/>
        <v>0</v>
      </c>
      <c r="AC594" s="1">
        <v>0</v>
      </c>
      <c r="AF594">
        <f t="shared" si="105"/>
        <v>12</v>
      </c>
      <c r="AG594" s="41">
        <v>12</v>
      </c>
      <c r="AH594">
        <f t="shared" si="101"/>
        <v>12</v>
      </c>
      <c r="AI594">
        <f t="shared" si="102"/>
        <v>0</v>
      </c>
      <c r="AK594">
        <f t="shared" si="103"/>
        <v>1</v>
      </c>
      <c r="AL594">
        <v>13.85</v>
      </c>
      <c r="AM594" t="s">
        <v>27</v>
      </c>
      <c r="AN594">
        <v>13.85</v>
      </c>
      <c r="AO594" t="b">
        <f t="shared" si="104"/>
        <v>1</v>
      </c>
      <c r="AR594" t="s">
        <v>5061</v>
      </c>
      <c r="AS594" s="21">
        <v>46276</v>
      </c>
      <c r="AT594" t="s">
        <v>5062</v>
      </c>
      <c r="AU594" t="s">
        <v>5072</v>
      </c>
      <c r="AV594" t="s">
        <v>5062</v>
      </c>
      <c r="AW594" t="s">
        <v>5086</v>
      </c>
    </row>
    <row r="595" spans="1:49" hidden="1" x14ac:dyDescent="0.35">
      <c r="A595" t="s">
        <v>871</v>
      </c>
      <c r="B595" t="s">
        <v>872</v>
      </c>
      <c r="C595" t="s">
        <v>4818</v>
      </c>
      <c r="D595" t="s">
        <v>18</v>
      </c>
      <c r="E595" t="s">
        <v>2600</v>
      </c>
      <c r="F595" t="s">
        <v>2601</v>
      </c>
      <c r="G595" t="s">
        <v>21</v>
      </c>
      <c r="H595" t="s">
        <v>4826</v>
      </c>
      <c r="I595" t="s">
        <v>4976</v>
      </c>
      <c r="J595" s="4" t="s">
        <v>4977</v>
      </c>
      <c r="K595" s="4" t="s">
        <v>4957</v>
      </c>
      <c r="L595" s="4" t="s">
        <v>4941</v>
      </c>
      <c r="M595" s="4" t="s">
        <v>5035</v>
      </c>
      <c r="N595" t="s">
        <v>15</v>
      </c>
      <c r="O595" t="s">
        <v>2602</v>
      </c>
      <c r="P595" t="s">
        <v>23</v>
      </c>
      <c r="Q595" t="s">
        <v>24</v>
      </c>
      <c r="R595" t="s">
        <v>25</v>
      </c>
      <c r="S595" t="s">
        <v>26</v>
      </c>
      <c r="T595" s="6">
        <v>46307</v>
      </c>
      <c r="U595">
        <v>24</v>
      </c>
      <c r="V595">
        <v>24</v>
      </c>
      <c r="W595">
        <v>24</v>
      </c>
      <c r="X595">
        <v>24</v>
      </c>
      <c r="Y595">
        <f t="shared" si="99"/>
        <v>0</v>
      </c>
      <c r="Z595">
        <f t="shared" si="100"/>
        <v>0</v>
      </c>
      <c r="AC595" s="1">
        <v>0</v>
      </c>
      <c r="AF595">
        <f t="shared" si="105"/>
        <v>24</v>
      </c>
      <c r="AG595" s="41">
        <v>12</v>
      </c>
      <c r="AH595">
        <f t="shared" si="101"/>
        <v>24</v>
      </c>
      <c r="AI595">
        <f t="shared" si="102"/>
        <v>0</v>
      </c>
      <c r="AK595">
        <f t="shared" si="103"/>
        <v>2</v>
      </c>
      <c r="AL595">
        <v>13.85</v>
      </c>
      <c r="AM595" t="s">
        <v>27</v>
      </c>
      <c r="AN595">
        <v>13.85</v>
      </c>
      <c r="AO595" t="b">
        <f t="shared" si="104"/>
        <v>1</v>
      </c>
      <c r="AR595" t="s">
        <v>5061</v>
      </c>
      <c r="AS595" s="21">
        <v>46276</v>
      </c>
      <c r="AT595" t="s">
        <v>5062</v>
      </c>
      <c r="AU595" t="s">
        <v>5072</v>
      </c>
      <c r="AV595" t="s">
        <v>5062</v>
      </c>
      <c r="AW595" t="s">
        <v>5086</v>
      </c>
    </row>
    <row r="596" spans="1:49" hidden="1" x14ac:dyDescent="0.35">
      <c r="A596" t="s">
        <v>871</v>
      </c>
      <c r="B596" t="s">
        <v>872</v>
      </c>
      <c r="C596" t="s">
        <v>4818</v>
      </c>
      <c r="D596" t="s">
        <v>18</v>
      </c>
      <c r="E596" t="s">
        <v>2603</v>
      </c>
      <c r="F596" t="s">
        <v>2604</v>
      </c>
      <c r="G596" t="s">
        <v>21</v>
      </c>
      <c r="H596" t="s">
        <v>4826</v>
      </c>
      <c r="I596" t="s">
        <v>4976</v>
      </c>
      <c r="J596" s="4" t="s">
        <v>4977</v>
      </c>
      <c r="K596" s="4" t="s">
        <v>4837</v>
      </c>
      <c r="L596" s="4" t="s">
        <v>4947</v>
      </c>
      <c r="M596" s="4" t="s">
        <v>5035</v>
      </c>
      <c r="N596" t="s">
        <v>15</v>
      </c>
      <c r="O596" t="s">
        <v>2605</v>
      </c>
      <c r="P596" t="s">
        <v>23</v>
      </c>
      <c r="Q596" t="s">
        <v>24</v>
      </c>
      <c r="R596" t="s">
        <v>25</v>
      </c>
      <c r="S596" t="s">
        <v>26</v>
      </c>
      <c r="T596" s="6">
        <v>46307</v>
      </c>
      <c r="U596">
        <v>12</v>
      </c>
      <c r="V596">
        <v>12</v>
      </c>
      <c r="W596">
        <v>12</v>
      </c>
      <c r="X596">
        <v>12</v>
      </c>
      <c r="Y596">
        <f t="shared" si="99"/>
        <v>0</v>
      </c>
      <c r="Z596">
        <f t="shared" si="100"/>
        <v>0</v>
      </c>
      <c r="AC596" s="1">
        <v>0</v>
      </c>
      <c r="AF596">
        <f t="shared" si="105"/>
        <v>12</v>
      </c>
      <c r="AG596" s="41">
        <v>12</v>
      </c>
      <c r="AH596">
        <f t="shared" si="101"/>
        <v>12</v>
      </c>
      <c r="AI596">
        <f t="shared" si="102"/>
        <v>0</v>
      </c>
      <c r="AK596">
        <f t="shared" si="103"/>
        <v>1</v>
      </c>
      <c r="AL596">
        <v>13.85</v>
      </c>
      <c r="AM596" t="s">
        <v>27</v>
      </c>
      <c r="AN596">
        <v>13.85</v>
      </c>
      <c r="AO596" t="b">
        <f t="shared" si="104"/>
        <v>1</v>
      </c>
      <c r="AR596" t="s">
        <v>5061</v>
      </c>
      <c r="AS596" s="21">
        <v>46276</v>
      </c>
      <c r="AT596" t="s">
        <v>5062</v>
      </c>
      <c r="AU596" t="s">
        <v>5072</v>
      </c>
      <c r="AV596" t="s">
        <v>5062</v>
      </c>
      <c r="AW596" t="s">
        <v>5086</v>
      </c>
    </row>
    <row r="597" spans="1:49" hidden="1" x14ac:dyDescent="0.35">
      <c r="A597" t="s">
        <v>871</v>
      </c>
      <c r="B597" t="s">
        <v>872</v>
      </c>
      <c r="C597" t="s">
        <v>4818</v>
      </c>
      <c r="D597" t="s">
        <v>18</v>
      </c>
      <c r="E597" t="s">
        <v>2606</v>
      </c>
      <c r="F597" t="s">
        <v>2607</v>
      </c>
      <c r="G597" t="s">
        <v>21</v>
      </c>
      <c r="H597" t="s">
        <v>4826</v>
      </c>
      <c r="I597" t="s">
        <v>4976</v>
      </c>
      <c r="J597" s="4" t="s">
        <v>4977</v>
      </c>
      <c r="K597" s="4" t="s">
        <v>4837</v>
      </c>
      <c r="L597" s="4" t="s">
        <v>4942</v>
      </c>
      <c r="M597" s="4" t="s">
        <v>5035</v>
      </c>
      <c r="N597" t="s">
        <v>15</v>
      </c>
      <c r="O597" t="s">
        <v>2608</v>
      </c>
      <c r="P597" t="s">
        <v>23</v>
      </c>
      <c r="Q597" t="s">
        <v>24</v>
      </c>
      <c r="R597" t="s">
        <v>25</v>
      </c>
      <c r="S597" t="s">
        <v>26</v>
      </c>
      <c r="T597" s="6">
        <v>46307</v>
      </c>
      <c r="U597">
        <v>36</v>
      </c>
      <c r="V597">
        <v>36</v>
      </c>
      <c r="W597">
        <v>36</v>
      </c>
      <c r="X597">
        <v>36</v>
      </c>
      <c r="Y597">
        <f t="shared" si="99"/>
        <v>0</v>
      </c>
      <c r="Z597">
        <f t="shared" si="100"/>
        <v>0</v>
      </c>
      <c r="AC597" s="1">
        <v>0</v>
      </c>
      <c r="AF597">
        <f t="shared" si="105"/>
        <v>36</v>
      </c>
      <c r="AG597" s="41">
        <v>12</v>
      </c>
      <c r="AH597">
        <f t="shared" si="101"/>
        <v>36</v>
      </c>
      <c r="AI597">
        <f t="shared" si="102"/>
        <v>0</v>
      </c>
      <c r="AK597">
        <f t="shared" si="103"/>
        <v>3</v>
      </c>
      <c r="AL597">
        <v>13.85</v>
      </c>
      <c r="AM597" t="s">
        <v>27</v>
      </c>
      <c r="AN597">
        <v>13.85</v>
      </c>
      <c r="AO597" t="b">
        <f t="shared" si="104"/>
        <v>1</v>
      </c>
      <c r="AR597" t="s">
        <v>5061</v>
      </c>
      <c r="AS597" s="21">
        <v>46276</v>
      </c>
      <c r="AT597" t="s">
        <v>5062</v>
      </c>
      <c r="AU597" t="s">
        <v>5072</v>
      </c>
      <c r="AV597" t="s">
        <v>5062</v>
      </c>
      <c r="AW597" t="s">
        <v>5086</v>
      </c>
    </row>
    <row r="598" spans="1:49" hidden="1" x14ac:dyDescent="0.35">
      <c r="A598" t="s">
        <v>871</v>
      </c>
      <c r="B598" t="s">
        <v>872</v>
      </c>
      <c r="C598" t="s">
        <v>4818</v>
      </c>
      <c r="D598" t="s">
        <v>18</v>
      </c>
      <c r="E598" t="s">
        <v>2609</v>
      </c>
      <c r="F598" t="s">
        <v>2610</v>
      </c>
      <c r="G598" t="s">
        <v>21</v>
      </c>
      <c r="H598" t="s">
        <v>4826</v>
      </c>
      <c r="I598" t="s">
        <v>4976</v>
      </c>
      <c r="J598" s="4" t="s">
        <v>4977</v>
      </c>
      <c r="K598" s="4" t="s">
        <v>4978</v>
      </c>
      <c r="L598" s="4" t="s">
        <v>4938</v>
      </c>
      <c r="M598" s="4" t="s">
        <v>5035</v>
      </c>
      <c r="N598" t="s">
        <v>15</v>
      </c>
      <c r="O598" t="s">
        <v>2611</v>
      </c>
      <c r="P598" t="s">
        <v>23</v>
      </c>
      <c r="Q598" t="s">
        <v>24</v>
      </c>
      <c r="R598" t="s">
        <v>25</v>
      </c>
      <c r="S598" t="s">
        <v>26</v>
      </c>
      <c r="T598" s="6">
        <v>46307</v>
      </c>
      <c r="U598">
        <v>108</v>
      </c>
      <c r="V598">
        <v>108</v>
      </c>
      <c r="W598">
        <v>120</v>
      </c>
      <c r="X598">
        <v>120</v>
      </c>
      <c r="Y598">
        <f t="shared" si="99"/>
        <v>0</v>
      </c>
      <c r="Z598">
        <f t="shared" si="100"/>
        <v>-12</v>
      </c>
      <c r="AC598" s="1">
        <v>0</v>
      </c>
      <c r="AF598">
        <f t="shared" si="105"/>
        <v>108</v>
      </c>
      <c r="AG598" s="41">
        <v>12</v>
      </c>
      <c r="AH598">
        <f t="shared" si="101"/>
        <v>108</v>
      </c>
      <c r="AI598">
        <f t="shared" si="102"/>
        <v>0</v>
      </c>
      <c r="AK598">
        <f t="shared" si="103"/>
        <v>9</v>
      </c>
      <c r="AL598">
        <v>13.85</v>
      </c>
      <c r="AM598" t="s">
        <v>27</v>
      </c>
      <c r="AN598">
        <v>13.85</v>
      </c>
      <c r="AO598" t="b">
        <f t="shared" si="104"/>
        <v>1</v>
      </c>
      <c r="AR598" t="s">
        <v>5061</v>
      </c>
      <c r="AS598" s="21">
        <v>46276</v>
      </c>
      <c r="AT598" t="s">
        <v>5062</v>
      </c>
      <c r="AU598" t="s">
        <v>5072</v>
      </c>
      <c r="AV598" t="s">
        <v>5062</v>
      </c>
      <c r="AW598" t="s">
        <v>5086</v>
      </c>
    </row>
    <row r="599" spans="1:49" hidden="1" x14ac:dyDescent="0.35">
      <c r="A599" t="s">
        <v>871</v>
      </c>
      <c r="B599" t="s">
        <v>872</v>
      </c>
      <c r="C599" t="s">
        <v>4818</v>
      </c>
      <c r="D599" t="s">
        <v>18</v>
      </c>
      <c r="E599" t="s">
        <v>2612</v>
      </c>
      <c r="F599" t="s">
        <v>2613</v>
      </c>
      <c r="G599" t="s">
        <v>21</v>
      </c>
      <c r="H599" t="s">
        <v>4826</v>
      </c>
      <c r="I599" t="s">
        <v>4976</v>
      </c>
      <c r="J599" s="4" t="s">
        <v>4977</v>
      </c>
      <c r="K599" s="4" t="s">
        <v>4832</v>
      </c>
      <c r="L599" s="4" t="s">
        <v>4944</v>
      </c>
      <c r="M599" s="4" t="s">
        <v>5035</v>
      </c>
      <c r="N599" t="s">
        <v>15</v>
      </c>
      <c r="O599" t="s">
        <v>2614</v>
      </c>
      <c r="P599" t="s">
        <v>23</v>
      </c>
      <c r="Q599" t="s">
        <v>24</v>
      </c>
      <c r="R599" t="s">
        <v>25</v>
      </c>
      <c r="S599" t="s">
        <v>26</v>
      </c>
      <c r="T599" s="6">
        <v>46307</v>
      </c>
      <c r="U599">
        <v>24</v>
      </c>
      <c r="V599">
        <v>24</v>
      </c>
      <c r="W599">
        <v>24</v>
      </c>
      <c r="X599">
        <v>24</v>
      </c>
      <c r="Y599">
        <f t="shared" si="99"/>
        <v>0</v>
      </c>
      <c r="Z599">
        <f t="shared" si="100"/>
        <v>0</v>
      </c>
      <c r="AC599" s="1">
        <v>0</v>
      </c>
      <c r="AF599">
        <f t="shared" si="105"/>
        <v>24</v>
      </c>
      <c r="AG599" s="41">
        <v>12</v>
      </c>
      <c r="AH599">
        <f t="shared" si="101"/>
        <v>24</v>
      </c>
      <c r="AI599">
        <f t="shared" si="102"/>
        <v>0</v>
      </c>
      <c r="AK599">
        <f t="shared" si="103"/>
        <v>2</v>
      </c>
      <c r="AL599">
        <v>13.85</v>
      </c>
      <c r="AM599" t="s">
        <v>27</v>
      </c>
      <c r="AN599">
        <v>13.85</v>
      </c>
      <c r="AO599" t="b">
        <f t="shared" si="104"/>
        <v>1</v>
      </c>
      <c r="AR599" t="s">
        <v>5061</v>
      </c>
      <c r="AS599" s="21">
        <v>46276</v>
      </c>
      <c r="AT599" t="s">
        <v>5062</v>
      </c>
      <c r="AU599" t="s">
        <v>5072</v>
      </c>
      <c r="AV599" t="s">
        <v>5062</v>
      </c>
      <c r="AW599" t="s">
        <v>5086</v>
      </c>
    </row>
    <row r="600" spans="1:49" hidden="1" x14ac:dyDescent="0.35">
      <c r="A600" t="s">
        <v>871</v>
      </c>
      <c r="B600" t="s">
        <v>872</v>
      </c>
      <c r="C600" t="s">
        <v>4818</v>
      </c>
      <c r="D600" t="s">
        <v>18</v>
      </c>
      <c r="E600" t="s">
        <v>2615</v>
      </c>
      <c r="F600" t="s">
        <v>2616</v>
      </c>
      <c r="G600" t="s">
        <v>21</v>
      </c>
      <c r="H600" t="s">
        <v>4826</v>
      </c>
      <c r="I600" t="s">
        <v>4976</v>
      </c>
      <c r="J600" s="4" t="s">
        <v>4977</v>
      </c>
      <c r="K600" s="4" t="s">
        <v>4957</v>
      </c>
      <c r="L600" s="4" t="s">
        <v>4939</v>
      </c>
      <c r="M600" s="4" t="s">
        <v>5035</v>
      </c>
      <c r="N600" t="s">
        <v>15</v>
      </c>
      <c r="O600" t="s">
        <v>2617</v>
      </c>
      <c r="P600" t="s">
        <v>23</v>
      </c>
      <c r="Q600" t="s">
        <v>24</v>
      </c>
      <c r="R600" t="s">
        <v>25</v>
      </c>
      <c r="S600" t="s">
        <v>26</v>
      </c>
      <c r="T600" s="6">
        <v>46307</v>
      </c>
      <c r="U600">
        <v>12</v>
      </c>
      <c r="V600">
        <v>12</v>
      </c>
      <c r="W600">
        <v>12</v>
      </c>
      <c r="X600">
        <v>12</v>
      </c>
      <c r="Y600">
        <f t="shared" si="99"/>
        <v>0</v>
      </c>
      <c r="Z600">
        <f t="shared" si="100"/>
        <v>0</v>
      </c>
      <c r="AC600" s="1">
        <v>0</v>
      </c>
      <c r="AF600">
        <f t="shared" si="105"/>
        <v>12</v>
      </c>
      <c r="AG600" s="41">
        <v>12</v>
      </c>
      <c r="AH600">
        <f t="shared" si="101"/>
        <v>12</v>
      </c>
      <c r="AI600">
        <f t="shared" si="102"/>
        <v>0</v>
      </c>
      <c r="AK600">
        <f t="shared" si="103"/>
        <v>1</v>
      </c>
      <c r="AL600">
        <v>13.85</v>
      </c>
      <c r="AM600" t="s">
        <v>27</v>
      </c>
      <c r="AN600">
        <v>13.85</v>
      </c>
      <c r="AO600" t="b">
        <f t="shared" si="104"/>
        <v>1</v>
      </c>
      <c r="AR600" t="s">
        <v>5061</v>
      </c>
      <c r="AS600" s="21">
        <v>46276</v>
      </c>
      <c r="AT600" t="s">
        <v>5062</v>
      </c>
      <c r="AU600" t="s">
        <v>5072</v>
      </c>
      <c r="AV600" t="s">
        <v>5062</v>
      </c>
      <c r="AW600" t="s">
        <v>5086</v>
      </c>
    </row>
    <row r="601" spans="1:49" hidden="1" x14ac:dyDescent="0.35">
      <c r="A601" t="s">
        <v>871</v>
      </c>
      <c r="B601" t="s">
        <v>872</v>
      </c>
      <c r="C601" t="s">
        <v>4818</v>
      </c>
      <c r="D601" t="s">
        <v>18</v>
      </c>
      <c r="E601" t="s">
        <v>2618</v>
      </c>
      <c r="F601" t="s">
        <v>2619</v>
      </c>
      <c r="G601" t="s">
        <v>21</v>
      </c>
      <c r="H601" t="s">
        <v>4826</v>
      </c>
      <c r="I601" t="s">
        <v>4976</v>
      </c>
      <c r="J601" s="4" t="s">
        <v>4977</v>
      </c>
      <c r="K601" s="4" t="s">
        <v>4978</v>
      </c>
      <c r="L601" s="4" t="s">
        <v>4949</v>
      </c>
      <c r="M601" s="4" t="s">
        <v>5035</v>
      </c>
      <c r="N601" t="s">
        <v>15</v>
      </c>
      <c r="O601" t="s">
        <v>2620</v>
      </c>
      <c r="P601" t="s">
        <v>23</v>
      </c>
      <c r="Q601" t="s">
        <v>24</v>
      </c>
      <c r="R601" t="s">
        <v>25</v>
      </c>
      <c r="S601" t="s">
        <v>26</v>
      </c>
      <c r="T601" s="6">
        <v>46307</v>
      </c>
      <c r="U601">
        <v>108</v>
      </c>
      <c r="V601">
        <v>108</v>
      </c>
      <c r="W601">
        <v>120</v>
      </c>
      <c r="X601">
        <v>120</v>
      </c>
      <c r="Y601">
        <f t="shared" si="99"/>
        <v>0</v>
      </c>
      <c r="Z601">
        <f t="shared" si="100"/>
        <v>-12</v>
      </c>
      <c r="AC601" s="1">
        <v>0</v>
      </c>
      <c r="AF601">
        <f t="shared" si="105"/>
        <v>108</v>
      </c>
      <c r="AG601" s="41">
        <v>12</v>
      </c>
      <c r="AH601">
        <f t="shared" si="101"/>
        <v>108</v>
      </c>
      <c r="AI601">
        <f t="shared" si="102"/>
        <v>0</v>
      </c>
      <c r="AK601">
        <f t="shared" si="103"/>
        <v>9</v>
      </c>
      <c r="AL601">
        <v>13.85</v>
      </c>
      <c r="AM601" t="s">
        <v>27</v>
      </c>
      <c r="AN601">
        <v>13.85</v>
      </c>
      <c r="AO601" t="b">
        <f t="shared" si="104"/>
        <v>1</v>
      </c>
      <c r="AR601" t="s">
        <v>5061</v>
      </c>
      <c r="AS601" s="21">
        <v>46276</v>
      </c>
      <c r="AT601" t="s">
        <v>5062</v>
      </c>
      <c r="AU601" t="s">
        <v>5072</v>
      </c>
      <c r="AV601" t="s">
        <v>5062</v>
      </c>
      <c r="AW601" t="s">
        <v>5086</v>
      </c>
    </row>
    <row r="602" spans="1:49" hidden="1" x14ac:dyDescent="0.35">
      <c r="A602" t="s">
        <v>871</v>
      </c>
      <c r="B602" t="s">
        <v>872</v>
      </c>
      <c r="C602" t="s">
        <v>4818</v>
      </c>
      <c r="D602" t="s">
        <v>18</v>
      </c>
      <c r="E602" t="s">
        <v>2621</v>
      </c>
      <c r="F602" t="s">
        <v>2622</v>
      </c>
      <c r="G602" t="s">
        <v>21</v>
      </c>
      <c r="H602" t="s">
        <v>4826</v>
      </c>
      <c r="I602" t="s">
        <v>4976</v>
      </c>
      <c r="J602" s="4" t="s">
        <v>4977</v>
      </c>
      <c r="K602" s="4" t="s">
        <v>4978</v>
      </c>
      <c r="L602" s="4" t="s">
        <v>4950</v>
      </c>
      <c r="M602" s="4" t="s">
        <v>5035</v>
      </c>
      <c r="N602" t="s">
        <v>15</v>
      </c>
      <c r="O602" t="s">
        <v>2623</v>
      </c>
      <c r="P602" t="s">
        <v>23</v>
      </c>
      <c r="Q602" t="s">
        <v>24</v>
      </c>
      <c r="R602" t="s">
        <v>25</v>
      </c>
      <c r="S602" t="s">
        <v>26</v>
      </c>
      <c r="T602" s="6">
        <v>46307</v>
      </c>
      <c r="U602">
        <v>12</v>
      </c>
      <c r="V602">
        <v>12</v>
      </c>
      <c r="W602">
        <v>12</v>
      </c>
      <c r="X602">
        <v>12</v>
      </c>
      <c r="Y602">
        <f t="shared" si="99"/>
        <v>0</v>
      </c>
      <c r="Z602">
        <f t="shared" si="100"/>
        <v>0</v>
      </c>
      <c r="AC602" s="1">
        <v>0</v>
      </c>
      <c r="AF602">
        <f t="shared" si="105"/>
        <v>12</v>
      </c>
      <c r="AG602" s="41">
        <v>12</v>
      </c>
      <c r="AH602">
        <f t="shared" si="101"/>
        <v>12</v>
      </c>
      <c r="AI602">
        <f t="shared" si="102"/>
        <v>0</v>
      </c>
      <c r="AK602">
        <f t="shared" si="103"/>
        <v>1</v>
      </c>
      <c r="AL602">
        <v>13.85</v>
      </c>
      <c r="AM602" t="s">
        <v>27</v>
      </c>
      <c r="AN602">
        <v>13.85</v>
      </c>
      <c r="AO602" t="b">
        <f t="shared" si="104"/>
        <v>1</v>
      </c>
      <c r="AR602" t="s">
        <v>5061</v>
      </c>
      <c r="AS602" s="21">
        <v>46276</v>
      </c>
      <c r="AT602" t="s">
        <v>5062</v>
      </c>
      <c r="AU602" t="s">
        <v>5072</v>
      </c>
      <c r="AV602" t="s">
        <v>5062</v>
      </c>
      <c r="AW602" t="s">
        <v>5086</v>
      </c>
    </row>
    <row r="603" spans="1:49" hidden="1" x14ac:dyDescent="0.35">
      <c r="A603" t="s">
        <v>871</v>
      </c>
      <c r="B603" t="s">
        <v>872</v>
      </c>
      <c r="C603" t="s">
        <v>4818</v>
      </c>
      <c r="D603" t="s">
        <v>18</v>
      </c>
      <c r="E603" t="s">
        <v>2624</v>
      </c>
      <c r="F603" t="s">
        <v>2625</v>
      </c>
      <c r="G603" t="s">
        <v>21</v>
      </c>
      <c r="H603" t="s">
        <v>4826</v>
      </c>
      <c r="I603" t="s">
        <v>4976</v>
      </c>
      <c r="J603" s="4" t="s">
        <v>4977</v>
      </c>
      <c r="K603" s="4" t="s">
        <v>4832</v>
      </c>
      <c r="L603" s="4" t="s">
        <v>4961</v>
      </c>
      <c r="M603" s="4" t="s">
        <v>5035</v>
      </c>
      <c r="N603" t="s">
        <v>15</v>
      </c>
      <c r="O603" t="s">
        <v>2626</v>
      </c>
      <c r="P603" t="s">
        <v>23</v>
      </c>
      <c r="Q603" t="s">
        <v>24</v>
      </c>
      <c r="R603" t="s">
        <v>25</v>
      </c>
      <c r="S603" t="s">
        <v>26</v>
      </c>
      <c r="T603" s="6">
        <v>46307</v>
      </c>
      <c r="U603">
        <v>36</v>
      </c>
      <c r="V603">
        <v>36</v>
      </c>
      <c r="W603">
        <v>36</v>
      </c>
      <c r="X603">
        <v>36</v>
      </c>
      <c r="Y603">
        <f t="shared" si="99"/>
        <v>0</v>
      </c>
      <c r="Z603">
        <f t="shared" si="100"/>
        <v>0</v>
      </c>
      <c r="AC603" s="1">
        <v>0</v>
      </c>
      <c r="AF603">
        <f t="shared" si="105"/>
        <v>36</v>
      </c>
      <c r="AG603" s="41">
        <v>12</v>
      </c>
      <c r="AH603">
        <f t="shared" si="101"/>
        <v>36</v>
      </c>
      <c r="AI603">
        <f t="shared" si="102"/>
        <v>0</v>
      </c>
      <c r="AK603">
        <f t="shared" si="103"/>
        <v>3</v>
      </c>
      <c r="AL603">
        <v>13.85</v>
      </c>
      <c r="AM603" t="s">
        <v>27</v>
      </c>
      <c r="AN603">
        <v>13.85</v>
      </c>
      <c r="AO603" t="b">
        <f t="shared" si="104"/>
        <v>1</v>
      </c>
      <c r="AR603" t="s">
        <v>5061</v>
      </c>
      <c r="AS603" s="21">
        <v>46276</v>
      </c>
      <c r="AT603" t="s">
        <v>5062</v>
      </c>
      <c r="AU603" t="s">
        <v>5072</v>
      </c>
      <c r="AV603" t="s">
        <v>5062</v>
      </c>
      <c r="AW603" t="s">
        <v>5086</v>
      </c>
    </row>
    <row r="604" spans="1:49" hidden="1" x14ac:dyDescent="0.35">
      <c r="A604" t="s">
        <v>871</v>
      </c>
      <c r="B604" t="s">
        <v>872</v>
      </c>
      <c r="C604" t="s">
        <v>4818</v>
      </c>
      <c r="D604" t="s">
        <v>18</v>
      </c>
      <c r="E604" t="s">
        <v>2627</v>
      </c>
      <c r="F604" t="s">
        <v>2628</v>
      </c>
      <c r="G604" t="s">
        <v>21</v>
      </c>
      <c r="H604" t="s">
        <v>4826</v>
      </c>
      <c r="I604" t="s">
        <v>4976</v>
      </c>
      <c r="J604" s="4" t="s">
        <v>4977</v>
      </c>
      <c r="K604" s="4" t="s">
        <v>4837</v>
      </c>
      <c r="L604" s="4" t="s">
        <v>4940</v>
      </c>
      <c r="M604" s="4" t="s">
        <v>5035</v>
      </c>
      <c r="N604" t="s">
        <v>15</v>
      </c>
      <c r="O604" t="s">
        <v>2629</v>
      </c>
      <c r="P604" t="s">
        <v>23</v>
      </c>
      <c r="Q604" t="s">
        <v>24</v>
      </c>
      <c r="R604" t="s">
        <v>25</v>
      </c>
      <c r="S604" t="s">
        <v>26</v>
      </c>
      <c r="T604" s="6">
        <v>46307</v>
      </c>
      <c r="U604">
        <v>276</v>
      </c>
      <c r="V604">
        <v>276</v>
      </c>
      <c r="W604">
        <v>300</v>
      </c>
      <c r="X604">
        <v>300</v>
      </c>
      <c r="Y604">
        <f t="shared" si="99"/>
        <v>0</v>
      </c>
      <c r="Z604">
        <f t="shared" si="100"/>
        <v>-24</v>
      </c>
      <c r="AC604" s="1"/>
      <c r="AF604">
        <f t="shared" si="105"/>
        <v>276</v>
      </c>
      <c r="AG604" s="41">
        <v>12</v>
      </c>
      <c r="AH604">
        <f t="shared" si="101"/>
        <v>276</v>
      </c>
      <c r="AI604">
        <f t="shared" si="102"/>
        <v>0</v>
      </c>
      <c r="AK604">
        <f t="shared" si="103"/>
        <v>23</v>
      </c>
      <c r="AL604">
        <v>13.85</v>
      </c>
      <c r="AM604" t="s">
        <v>27</v>
      </c>
      <c r="AN604">
        <v>13.85</v>
      </c>
      <c r="AO604" t="b">
        <f t="shared" si="104"/>
        <v>1</v>
      </c>
      <c r="AR604" t="s">
        <v>5061</v>
      </c>
      <c r="AS604" s="21">
        <v>46276</v>
      </c>
      <c r="AT604" t="s">
        <v>5062</v>
      </c>
      <c r="AU604" t="s">
        <v>5072</v>
      </c>
      <c r="AV604" t="s">
        <v>5062</v>
      </c>
      <c r="AW604" t="s">
        <v>5086</v>
      </c>
    </row>
    <row r="605" spans="1:49" hidden="1" x14ac:dyDescent="0.35">
      <c r="A605" t="s">
        <v>871</v>
      </c>
      <c r="B605" t="s">
        <v>872</v>
      </c>
      <c r="C605" t="s">
        <v>4818</v>
      </c>
      <c r="D605" t="s">
        <v>18</v>
      </c>
      <c r="E605" t="s">
        <v>2630</v>
      </c>
      <c r="F605" t="s">
        <v>2631</v>
      </c>
      <c r="G605" t="s">
        <v>21</v>
      </c>
      <c r="H605" t="s">
        <v>4826</v>
      </c>
      <c r="I605" t="s">
        <v>4976</v>
      </c>
      <c r="J605" s="4" t="s">
        <v>4977</v>
      </c>
      <c r="K605" s="4" t="s">
        <v>4837</v>
      </c>
      <c r="L605" s="4" t="s">
        <v>4966</v>
      </c>
      <c r="M605" s="4" t="s">
        <v>5035</v>
      </c>
      <c r="N605" t="s">
        <v>15</v>
      </c>
      <c r="O605" t="s">
        <v>2632</v>
      </c>
      <c r="P605" t="s">
        <v>23</v>
      </c>
      <c r="Q605" t="s">
        <v>24</v>
      </c>
      <c r="R605" t="s">
        <v>25</v>
      </c>
      <c r="S605" t="s">
        <v>26</v>
      </c>
      <c r="T605" s="6">
        <v>46307</v>
      </c>
      <c r="U605">
        <v>84</v>
      </c>
      <c r="V605">
        <v>84</v>
      </c>
      <c r="W605">
        <v>96</v>
      </c>
      <c r="X605">
        <v>96</v>
      </c>
      <c r="Y605">
        <f t="shared" si="99"/>
        <v>0</v>
      </c>
      <c r="Z605">
        <f t="shared" si="100"/>
        <v>-12</v>
      </c>
      <c r="AC605" s="1">
        <v>0</v>
      </c>
      <c r="AF605">
        <f t="shared" si="105"/>
        <v>84</v>
      </c>
      <c r="AG605" s="41">
        <v>12</v>
      </c>
      <c r="AH605">
        <f t="shared" si="101"/>
        <v>84</v>
      </c>
      <c r="AI605">
        <f t="shared" si="102"/>
        <v>0</v>
      </c>
      <c r="AK605">
        <f t="shared" si="103"/>
        <v>7</v>
      </c>
      <c r="AL605">
        <v>13.85</v>
      </c>
      <c r="AM605" t="s">
        <v>27</v>
      </c>
      <c r="AN605">
        <v>13.85</v>
      </c>
      <c r="AO605" t="b">
        <f t="shared" si="104"/>
        <v>1</v>
      </c>
      <c r="AR605" t="s">
        <v>5061</v>
      </c>
      <c r="AS605" s="21">
        <v>46276</v>
      </c>
      <c r="AT605" t="s">
        <v>5062</v>
      </c>
      <c r="AU605" t="s">
        <v>5072</v>
      </c>
      <c r="AV605" t="s">
        <v>5062</v>
      </c>
      <c r="AW605" t="s">
        <v>5086</v>
      </c>
    </row>
    <row r="606" spans="1:49" hidden="1" x14ac:dyDescent="0.35">
      <c r="A606" t="s">
        <v>871</v>
      </c>
      <c r="B606" t="s">
        <v>872</v>
      </c>
      <c r="C606" t="s">
        <v>4818</v>
      </c>
      <c r="D606" t="s">
        <v>18</v>
      </c>
      <c r="E606" t="s">
        <v>2633</v>
      </c>
      <c r="F606" t="s">
        <v>2634</v>
      </c>
      <c r="G606" t="s">
        <v>21</v>
      </c>
      <c r="H606" t="s">
        <v>4826</v>
      </c>
      <c r="I606" t="s">
        <v>4976</v>
      </c>
      <c r="J606" s="4" t="s">
        <v>4977</v>
      </c>
      <c r="K606" s="4" t="s">
        <v>4978</v>
      </c>
      <c r="L606" s="4" t="s">
        <v>4956</v>
      </c>
      <c r="M606" s="4" t="s">
        <v>5035</v>
      </c>
      <c r="N606" t="s">
        <v>15</v>
      </c>
      <c r="O606" t="s">
        <v>2635</v>
      </c>
      <c r="P606" t="s">
        <v>23</v>
      </c>
      <c r="Q606" t="s">
        <v>24</v>
      </c>
      <c r="R606" t="s">
        <v>25</v>
      </c>
      <c r="S606" t="s">
        <v>26</v>
      </c>
      <c r="T606" s="6">
        <v>46307</v>
      </c>
      <c r="U606">
        <v>12</v>
      </c>
      <c r="V606">
        <v>12</v>
      </c>
      <c r="W606">
        <v>12</v>
      </c>
      <c r="X606">
        <v>12</v>
      </c>
      <c r="Y606">
        <f t="shared" si="99"/>
        <v>0</v>
      </c>
      <c r="Z606">
        <f t="shared" si="100"/>
        <v>0</v>
      </c>
      <c r="AC606" s="1">
        <v>0</v>
      </c>
      <c r="AF606">
        <f t="shared" si="105"/>
        <v>12</v>
      </c>
      <c r="AG606" s="41">
        <v>12</v>
      </c>
      <c r="AH606">
        <f t="shared" si="101"/>
        <v>12</v>
      </c>
      <c r="AI606">
        <f t="shared" si="102"/>
        <v>0</v>
      </c>
      <c r="AK606">
        <f t="shared" si="103"/>
        <v>1</v>
      </c>
      <c r="AL606">
        <v>13.85</v>
      </c>
      <c r="AM606" t="s">
        <v>27</v>
      </c>
      <c r="AN606">
        <v>13.85</v>
      </c>
      <c r="AO606" t="b">
        <f t="shared" si="104"/>
        <v>1</v>
      </c>
      <c r="AR606" t="s">
        <v>5061</v>
      </c>
      <c r="AS606" s="21">
        <v>46276</v>
      </c>
      <c r="AT606" t="s">
        <v>5062</v>
      </c>
      <c r="AU606" t="s">
        <v>5072</v>
      </c>
      <c r="AV606" t="s">
        <v>5062</v>
      </c>
      <c r="AW606" t="s">
        <v>5086</v>
      </c>
    </row>
    <row r="607" spans="1:49" hidden="1" x14ac:dyDescent="0.35">
      <c r="A607" t="s">
        <v>871</v>
      </c>
      <c r="B607" t="s">
        <v>872</v>
      </c>
      <c r="C607" t="s">
        <v>4818</v>
      </c>
      <c r="D607" t="s">
        <v>18</v>
      </c>
      <c r="E607" t="s">
        <v>2636</v>
      </c>
      <c r="F607" t="s">
        <v>2637</v>
      </c>
      <c r="G607" t="s">
        <v>21</v>
      </c>
      <c r="H607" t="s">
        <v>4826</v>
      </c>
      <c r="I607" t="s">
        <v>4976</v>
      </c>
      <c r="J607" s="4" t="s">
        <v>4977</v>
      </c>
      <c r="K607" s="4" t="s">
        <v>4831</v>
      </c>
      <c r="L607" s="4" t="s">
        <v>4967</v>
      </c>
      <c r="M607" s="4" t="s">
        <v>5035</v>
      </c>
      <c r="N607" t="s">
        <v>15</v>
      </c>
      <c r="O607" t="s">
        <v>2638</v>
      </c>
      <c r="P607" t="s">
        <v>23</v>
      </c>
      <c r="Q607" t="s">
        <v>24</v>
      </c>
      <c r="R607" t="s">
        <v>25</v>
      </c>
      <c r="S607" t="s">
        <v>26</v>
      </c>
      <c r="T607" s="6">
        <v>46307</v>
      </c>
      <c r="U607">
        <v>12</v>
      </c>
      <c r="V607">
        <v>12</v>
      </c>
      <c r="W607">
        <v>12</v>
      </c>
      <c r="X607">
        <v>12</v>
      </c>
      <c r="Y607">
        <f t="shared" si="99"/>
        <v>0</v>
      </c>
      <c r="Z607">
        <f t="shared" si="100"/>
        <v>0</v>
      </c>
      <c r="AC607" s="1">
        <v>0</v>
      </c>
      <c r="AF607">
        <f t="shared" si="105"/>
        <v>12</v>
      </c>
      <c r="AG607" s="41">
        <v>12</v>
      </c>
      <c r="AH607">
        <f t="shared" si="101"/>
        <v>12</v>
      </c>
      <c r="AI607">
        <f t="shared" si="102"/>
        <v>0</v>
      </c>
      <c r="AK607">
        <f t="shared" si="103"/>
        <v>1</v>
      </c>
      <c r="AL607">
        <v>13.85</v>
      </c>
      <c r="AM607" t="s">
        <v>27</v>
      </c>
      <c r="AN607">
        <v>13.85</v>
      </c>
      <c r="AO607" t="b">
        <f t="shared" si="104"/>
        <v>1</v>
      </c>
      <c r="AR607" t="s">
        <v>5061</v>
      </c>
      <c r="AS607" s="21">
        <v>46276</v>
      </c>
      <c r="AT607" t="s">
        <v>5062</v>
      </c>
      <c r="AU607" t="s">
        <v>5072</v>
      </c>
      <c r="AV607" t="s">
        <v>5062</v>
      </c>
      <c r="AW607" t="s">
        <v>5086</v>
      </c>
    </row>
    <row r="608" spans="1:49" hidden="1" x14ac:dyDescent="0.35">
      <c r="A608" t="s">
        <v>871</v>
      </c>
      <c r="B608" t="s">
        <v>872</v>
      </c>
      <c r="C608" t="s">
        <v>4818</v>
      </c>
      <c r="D608" t="s">
        <v>18</v>
      </c>
      <c r="E608" t="s">
        <v>2639</v>
      </c>
      <c r="F608" t="s">
        <v>2640</v>
      </c>
      <c r="G608" t="s">
        <v>21</v>
      </c>
      <c r="H608" t="s">
        <v>4826</v>
      </c>
      <c r="I608" t="s">
        <v>4976</v>
      </c>
      <c r="J608" s="4" t="s">
        <v>4977</v>
      </c>
      <c r="K608" s="4" t="s">
        <v>4837</v>
      </c>
      <c r="L608" s="4" t="s">
        <v>4955</v>
      </c>
      <c r="M608" s="4" t="s">
        <v>5035</v>
      </c>
      <c r="N608" t="s">
        <v>15</v>
      </c>
      <c r="O608" t="s">
        <v>2641</v>
      </c>
      <c r="P608" t="s">
        <v>23</v>
      </c>
      <c r="Q608" t="s">
        <v>24</v>
      </c>
      <c r="R608" t="s">
        <v>25</v>
      </c>
      <c r="S608" t="s">
        <v>26</v>
      </c>
      <c r="T608" s="6">
        <v>46307</v>
      </c>
      <c r="U608">
        <v>276</v>
      </c>
      <c r="V608">
        <v>276</v>
      </c>
      <c r="W608">
        <v>300</v>
      </c>
      <c r="X608">
        <v>300</v>
      </c>
      <c r="Y608">
        <f t="shared" si="99"/>
        <v>0</v>
      </c>
      <c r="Z608">
        <f t="shared" si="100"/>
        <v>-24</v>
      </c>
      <c r="AC608" s="1"/>
      <c r="AF608">
        <f t="shared" si="105"/>
        <v>276</v>
      </c>
      <c r="AG608" s="41">
        <v>12</v>
      </c>
      <c r="AH608">
        <f t="shared" si="101"/>
        <v>276</v>
      </c>
      <c r="AI608">
        <f t="shared" si="102"/>
        <v>0</v>
      </c>
      <c r="AK608">
        <f t="shared" si="103"/>
        <v>23</v>
      </c>
      <c r="AL608">
        <v>13.85</v>
      </c>
      <c r="AM608" t="s">
        <v>27</v>
      </c>
      <c r="AN608">
        <v>13.85</v>
      </c>
      <c r="AO608" t="b">
        <f t="shared" si="104"/>
        <v>1</v>
      </c>
      <c r="AR608" t="s">
        <v>5061</v>
      </c>
      <c r="AS608" s="21">
        <v>46276</v>
      </c>
      <c r="AT608" t="s">
        <v>5062</v>
      </c>
      <c r="AU608" t="s">
        <v>5072</v>
      </c>
      <c r="AV608" t="s">
        <v>5062</v>
      </c>
      <c r="AW608" t="s">
        <v>5086</v>
      </c>
    </row>
    <row r="609" spans="1:49" hidden="1" x14ac:dyDescent="0.35">
      <c r="A609" t="s">
        <v>871</v>
      </c>
      <c r="B609" t="s">
        <v>872</v>
      </c>
      <c r="C609" t="s">
        <v>4818</v>
      </c>
      <c r="D609" t="s">
        <v>18</v>
      </c>
      <c r="E609" t="s">
        <v>2642</v>
      </c>
      <c r="F609" t="s">
        <v>2643</v>
      </c>
      <c r="G609" t="s">
        <v>21</v>
      </c>
      <c r="H609" t="s">
        <v>4826</v>
      </c>
      <c r="I609" t="s">
        <v>4979</v>
      </c>
      <c r="J609" s="4" t="s">
        <v>4980</v>
      </c>
      <c r="K609" s="4" t="s">
        <v>4832</v>
      </c>
      <c r="L609" s="4">
        <v>36</v>
      </c>
      <c r="M609" s="4" t="s">
        <v>5035</v>
      </c>
      <c r="N609" t="s">
        <v>15</v>
      </c>
      <c r="O609" t="s">
        <v>2644</v>
      </c>
      <c r="P609" t="s">
        <v>23</v>
      </c>
      <c r="Q609" t="s">
        <v>24</v>
      </c>
      <c r="R609" t="s">
        <v>25</v>
      </c>
      <c r="S609" t="s">
        <v>26</v>
      </c>
      <c r="T609" s="6">
        <v>46307</v>
      </c>
      <c r="U609">
        <v>624</v>
      </c>
      <c r="V609">
        <v>624</v>
      </c>
      <c r="W609">
        <v>564</v>
      </c>
      <c r="X609">
        <v>564</v>
      </c>
      <c r="Y609">
        <f t="shared" si="99"/>
        <v>0</v>
      </c>
      <c r="Z609">
        <f t="shared" si="100"/>
        <v>60</v>
      </c>
      <c r="AA609">
        <f>Z609</f>
        <v>60</v>
      </c>
      <c r="AC609" s="1">
        <v>0</v>
      </c>
      <c r="AF609">
        <f>X609</f>
        <v>564</v>
      </c>
      <c r="AG609" s="41">
        <v>12</v>
      </c>
      <c r="AH609">
        <f t="shared" si="101"/>
        <v>564</v>
      </c>
      <c r="AI609">
        <f t="shared" si="102"/>
        <v>60</v>
      </c>
      <c r="AK609">
        <f t="shared" si="103"/>
        <v>47</v>
      </c>
      <c r="AL609">
        <v>7.12</v>
      </c>
      <c r="AM609" t="s">
        <v>27</v>
      </c>
      <c r="AN609">
        <v>7.12</v>
      </c>
      <c r="AO609" t="b">
        <f t="shared" si="104"/>
        <v>1</v>
      </c>
      <c r="AR609" t="s">
        <v>5061</v>
      </c>
      <c r="AS609" s="21">
        <v>46276</v>
      </c>
      <c r="AT609" t="s">
        <v>5062</v>
      </c>
      <c r="AU609" t="s">
        <v>5073</v>
      </c>
      <c r="AV609" t="s">
        <v>5062</v>
      </c>
      <c r="AW609" t="s">
        <v>5086</v>
      </c>
    </row>
    <row r="610" spans="1:49" hidden="1" x14ac:dyDescent="0.35">
      <c r="A610" t="s">
        <v>871</v>
      </c>
      <c r="B610" t="s">
        <v>872</v>
      </c>
      <c r="C610" t="s">
        <v>4818</v>
      </c>
      <c r="D610" t="s">
        <v>18</v>
      </c>
      <c r="E610" t="s">
        <v>2645</v>
      </c>
      <c r="F610" t="s">
        <v>2646</v>
      </c>
      <c r="G610" t="s">
        <v>21</v>
      </c>
      <c r="H610" t="s">
        <v>4826</v>
      </c>
      <c r="I610" t="s">
        <v>4979</v>
      </c>
      <c r="J610" s="4" t="s">
        <v>4980</v>
      </c>
      <c r="K610" s="4" t="s">
        <v>4832</v>
      </c>
      <c r="L610" s="4">
        <v>38</v>
      </c>
      <c r="M610" s="4" t="s">
        <v>5035</v>
      </c>
      <c r="N610" t="s">
        <v>15</v>
      </c>
      <c r="O610" t="s">
        <v>2647</v>
      </c>
      <c r="P610" t="s">
        <v>23</v>
      </c>
      <c r="Q610" t="s">
        <v>24</v>
      </c>
      <c r="R610" t="s">
        <v>25</v>
      </c>
      <c r="S610" t="s">
        <v>26</v>
      </c>
      <c r="T610" s="6">
        <v>46307</v>
      </c>
      <c r="U610">
        <v>24</v>
      </c>
      <c r="V610">
        <v>24</v>
      </c>
      <c r="W610">
        <v>24</v>
      </c>
      <c r="X610">
        <v>24</v>
      </c>
      <c r="Y610">
        <f t="shared" si="99"/>
        <v>0</v>
      </c>
      <c r="Z610">
        <f t="shared" si="100"/>
        <v>0</v>
      </c>
      <c r="AC610" s="1"/>
      <c r="AF610">
        <f>V610</f>
        <v>24</v>
      </c>
      <c r="AG610" s="41">
        <v>12</v>
      </c>
      <c r="AH610">
        <f t="shared" si="101"/>
        <v>24</v>
      </c>
      <c r="AI610">
        <f t="shared" si="102"/>
        <v>0</v>
      </c>
      <c r="AK610">
        <f t="shared" si="103"/>
        <v>2</v>
      </c>
      <c r="AL610">
        <v>7.12</v>
      </c>
      <c r="AM610" t="s">
        <v>27</v>
      </c>
      <c r="AN610">
        <v>7.12</v>
      </c>
      <c r="AO610" t="b">
        <f t="shared" si="104"/>
        <v>1</v>
      </c>
      <c r="AR610" t="s">
        <v>5061</v>
      </c>
      <c r="AS610" s="21">
        <v>46276</v>
      </c>
      <c r="AT610" t="s">
        <v>5062</v>
      </c>
      <c r="AU610" t="s">
        <v>5073</v>
      </c>
      <c r="AV610" t="s">
        <v>5062</v>
      </c>
      <c r="AW610" t="s">
        <v>5086</v>
      </c>
    </row>
    <row r="611" spans="1:49" hidden="1" x14ac:dyDescent="0.35">
      <c r="A611" t="s">
        <v>871</v>
      </c>
      <c r="B611" t="s">
        <v>872</v>
      </c>
      <c r="C611" t="s">
        <v>4818</v>
      </c>
      <c r="D611" t="s">
        <v>18</v>
      </c>
      <c r="E611" t="s">
        <v>2648</v>
      </c>
      <c r="F611" t="s">
        <v>2649</v>
      </c>
      <c r="G611" t="s">
        <v>21</v>
      </c>
      <c r="H611" t="s">
        <v>4826</v>
      </c>
      <c r="I611" t="s">
        <v>4979</v>
      </c>
      <c r="J611" s="4" t="s">
        <v>4980</v>
      </c>
      <c r="K611" s="4" t="s">
        <v>4832</v>
      </c>
      <c r="L611" s="4">
        <v>34</v>
      </c>
      <c r="M611" s="4" t="s">
        <v>5035</v>
      </c>
      <c r="N611" t="s">
        <v>15</v>
      </c>
      <c r="O611" t="s">
        <v>2650</v>
      </c>
      <c r="P611" t="s">
        <v>23</v>
      </c>
      <c r="Q611" t="s">
        <v>24</v>
      </c>
      <c r="R611" t="s">
        <v>25</v>
      </c>
      <c r="S611" t="s">
        <v>26</v>
      </c>
      <c r="T611" s="6">
        <v>46307</v>
      </c>
      <c r="U611">
        <v>564</v>
      </c>
      <c r="V611">
        <v>564</v>
      </c>
      <c r="W611">
        <v>504</v>
      </c>
      <c r="X611">
        <v>504</v>
      </c>
      <c r="Y611">
        <f t="shared" si="99"/>
        <v>0</v>
      </c>
      <c r="Z611">
        <f t="shared" si="100"/>
        <v>60</v>
      </c>
      <c r="AA611">
        <f t="shared" ref="AA611:AA617" si="106">Z611</f>
        <v>60</v>
      </c>
      <c r="AC611" s="1">
        <v>0</v>
      </c>
      <c r="AF611">
        <f t="shared" ref="AF611:AF617" si="107">X611</f>
        <v>504</v>
      </c>
      <c r="AG611" s="41">
        <v>12</v>
      </c>
      <c r="AH611">
        <f t="shared" si="101"/>
        <v>504</v>
      </c>
      <c r="AI611">
        <f t="shared" si="102"/>
        <v>60</v>
      </c>
      <c r="AK611">
        <f t="shared" si="103"/>
        <v>42</v>
      </c>
      <c r="AL611">
        <v>7.12</v>
      </c>
      <c r="AM611" t="s">
        <v>27</v>
      </c>
      <c r="AN611">
        <v>7.12</v>
      </c>
      <c r="AO611" t="b">
        <f t="shared" si="104"/>
        <v>1</v>
      </c>
      <c r="AR611" t="s">
        <v>5061</v>
      </c>
      <c r="AS611" s="21">
        <v>46276</v>
      </c>
      <c r="AT611" t="s">
        <v>5062</v>
      </c>
      <c r="AU611" t="s">
        <v>5073</v>
      </c>
      <c r="AV611" t="s">
        <v>5062</v>
      </c>
      <c r="AW611" t="s">
        <v>5086</v>
      </c>
    </row>
    <row r="612" spans="1:49" hidden="1" x14ac:dyDescent="0.35">
      <c r="A612" t="s">
        <v>871</v>
      </c>
      <c r="B612" t="s">
        <v>872</v>
      </c>
      <c r="C612" t="s">
        <v>4818</v>
      </c>
      <c r="D612" t="s">
        <v>18</v>
      </c>
      <c r="E612" t="s">
        <v>2651</v>
      </c>
      <c r="F612" t="s">
        <v>2652</v>
      </c>
      <c r="G612" t="s">
        <v>21</v>
      </c>
      <c r="H612" t="s">
        <v>4826</v>
      </c>
      <c r="I612" t="s">
        <v>4979</v>
      </c>
      <c r="J612" s="4" t="s">
        <v>4980</v>
      </c>
      <c r="K612" s="4" t="s">
        <v>4832</v>
      </c>
      <c r="L612" s="4">
        <v>32</v>
      </c>
      <c r="M612" s="4" t="s">
        <v>5035</v>
      </c>
      <c r="N612" t="s">
        <v>15</v>
      </c>
      <c r="O612" t="s">
        <v>2653</v>
      </c>
      <c r="P612" t="s">
        <v>23</v>
      </c>
      <c r="Q612" t="s">
        <v>24</v>
      </c>
      <c r="R612" t="s">
        <v>25</v>
      </c>
      <c r="S612" t="s">
        <v>26</v>
      </c>
      <c r="T612" s="6">
        <v>46307</v>
      </c>
      <c r="U612">
        <v>444</v>
      </c>
      <c r="V612">
        <v>444</v>
      </c>
      <c r="W612">
        <v>396</v>
      </c>
      <c r="X612">
        <v>396</v>
      </c>
      <c r="Y612">
        <f t="shared" si="99"/>
        <v>0</v>
      </c>
      <c r="Z612">
        <f t="shared" si="100"/>
        <v>48</v>
      </c>
      <c r="AA612">
        <f t="shared" si="106"/>
        <v>48</v>
      </c>
      <c r="AC612" s="1">
        <v>0</v>
      </c>
      <c r="AF612">
        <f t="shared" si="107"/>
        <v>396</v>
      </c>
      <c r="AG612" s="41">
        <v>12</v>
      </c>
      <c r="AH612">
        <f t="shared" si="101"/>
        <v>396</v>
      </c>
      <c r="AI612">
        <f t="shared" si="102"/>
        <v>48</v>
      </c>
      <c r="AK612">
        <f t="shared" si="103"/>
        <v>33</v>
      </c>
      <c r="AL612">
        <v>7.12</v>
      </c>
      <c r="AM612" t="s">
        <v>27</v>
      </c>
      <c r="AN612">
        <v>7.12</v>
      </c>
      <c r="AO612" t="b">
        <f t="shared" si="104"/>
        <v>1</v>
      </c>
      <c r="AR612" t="s">
        <v>5061</v>
      </c>
      <c r="AS612" s="21">
        <v>46276</v>
      </c>
      <c r="AT612" t="s">
        <v>5062</v>
      </c>
      <c r="AU612" t="s">
        <v>5073</v>
      </c>
      <c r="AV612" t="s">
        <v>5062</v>
      </c>
      <c r="AW612" t="s">
        <v>5086</v>
      </c>
    </row>
    <row r="613" spans="1:49" hidden="1" x14ac:dyDescent="0.35">
      <c r="A613" t="s">
        <v>871</v>
      </c>
      <c r="B613" t="s">
        <v>872</v>
      </c>
      <c r="C613" t="s">
        <v>4818</v>
      </c>
      <c r="D613" t="s">
        <v>18</v>
      </c>
      <c r="E613" t="s">
        <v>2654</v>
      </c>
      <c r="F613" t="s">
        <v>2655</v>
      </c>
      <c r="G613" t="s">
        <v>21</v>
      </c>
      <c r="H613" t="s">
        <v>4826</v>
      </c>
      <c r="I613" t="s">
        <v>4979</v>
      </c>
      <c r="J613" s="4" t="s">
        <v>4980</v>
      </c>
      <c r="K613" s="4" t="s">
        <v>4832</v>
      </c>
      <c r="L613" s="4">
        <v>40</v>
      </c>
      <c r="M613" s="4" t="s">
        <v>5035</v>
      </c>
      <c r="N613" t="s">
        <v>15</v>
      </c>
      <c r="O613" t="s">
        <v>2656</v>
      </c>
      <c r="P613" t="s">
        <v>23</v>
      </c>
      <c r="Q613" t="s">
        <v>24</v>
      </c>
      <c r="R613" t="s">
        <v>25</v>
      </c>
      <c r="S613" t="s">
        <v>26</v>
      </c>
      <c r="T613" s="6">
        <v>46307</v>
      </c>
      <c r="U613">
        <v>228</v>
      </c>
      <c r="V613">
        <v>228</v>
      </c>
      <c r="W613">
        <v>204</v>
      </c>
      <c r="X613">
        <v>204</v>
      </c>
      <c r="Y613">
        <f t="shared" si="99"/>
        <v>0</v>
      </c>
      <c r="Z613">
        <f t="shared" si="100"/>
        <v>24</v>
      </c>
      <c r="AA613">
        <f t="shared" si="106"/>
        <v>24</v>
      </c>
      <c r="AC613" s="1">
        <v>0</v>
      </c>
      <c r="AF613">
        <f t="shared" si="107"/>
        <v>204</v>
      </c>
      <c r="AG613" s="41">
        <v>12</v>
      </c>
      <c r="AH613">
        <f t="shared" si="101"/>
        <v>204</v>
      </c>
      <c r="AI613">
        <f t="shared" si="102"/>
        <v>24</v>
      </c>
      <c r="AK613">
        <f t="shared" si="103"/>
        <v>17</v>
      </c>
      <c r="AL613">
        <v>7.12</v>
      </c>
      <c r="AM613" t="s">
        <v>27</v>
      </c>
      <c r="AN613">
        <v>7.12</v>
      </c>
      <c r="AO613" t="b">
        <f t="shared" si="104"/>
        <v>1</v>
      </c>
      <c r="AR613" t="s">
        <v>5061</v>
      </c>
      <c r="AS613" s="21">
        <v>46276</v>
      </c>
      <c r="AT613" t="s">
        <v>5062</v>
      </c>
      <c r="AU613" t="s">
        <v>5073</v>
      </c>
      <c r="AV613" t="s">
        <v>5062</v>
      </c>
      <c r="AW613" t="s">
        <v>5086</v>
      </c>
    </row>
    <row r="614" spans="1:49" hidden="1" x14ac:dyDescent="0.35">
      <c r="A614" t="s">
        <v>871</v>
      </c>
      <c r="B614" t="s">
        <v>872</v>
      </c>
      <c r="C614" t="s">
        <v>4818</v>
      </c>
      <c r="D614" t="s">
        <v>18</v>
      </c>
      <c r="E614" t="s">
        <v>2657</v>
      </c>
      <c r="F614" t="s">
        <v>2658</v>
      </c>
      <c r="G614" t="s">
        <v>21</v>
      </c>
      <c r="H614" t="s">
        <v>4826</v>
      </c>
      <c r="I614" t="s">
        <v>4979</v>
      </c>
      <c r="J614" s="4" t="s">
        <v>4980</v>
      </c>
      <c r="K614" s="4" t="s">
        <v>4832</v>
      </c>
      <c r="L614" s="4">
        <v>33</v>
      </c>
      <c r="M614" s="4" t="s">
        <v>5035</v>
      </c>
      <c r="N614" t="s">
        <v>15</v>
      </c>
      <c r="O614" t="s">
        <v>2659</v>
      </c>
      <c r="P614" t="s">
        <v>23</v>
      </c>
      <c r="Q614" t="s">
        <v>24</v>
      </c>
      <c r="R614" t="s">
        <v>25</v>
      </c>
      <c r="S614" t="s">
        <v>26</v>
      </c>
      <c r="T614" s="6">
        <v>46307</v>
      </c>
      <c r="U614">
        <v>264</v>
      </c>
      <c r="V614">
        <v>264</v>
      </c>
      <c r="W614">
        <v>240</v>
      </c>
      <c r="X614">
        <v>240</v>
      </c>
      <c r="Y614">
        <f t="shared" si="99"/>
        <v>0</v>
      </c>
      <c r="Z614">
        <f t="shared" si="100"/>
        <v>24</v>
      </c>
      <c r="AA614">
        <f t="shared" si="106"/>
        <v>24</v>
      </c>
      <c r="AC614" s="1">
        <v>0</v>
      </c>
      <c r="AF614">
        <f t="shared" si="107"/>
        <v>240</v>
      </c>
      <c r="AG614" s="41">
        <v>12</v>
      </c>
      <c r="AH614">
        <f t="shared" si="101"/>
        <v>240</v>
      </c>
      <c r="AI614">
        <f t="shared" si="102"/>
        <v>24</v>
      </c>
      <c r="AK614">
        <f t="shared" si="103"/>
        <v>20</v>
      </c>
      <c r="AL614">
        <v>7.12</v>
      </c>
      <c r="AM614" t="s">
        <v>27</v>
      </c>
      <c r="AN614">
        <v>7.12</v>
      </c>
      <c r="AO614" t="b">
        <f t="shared" si="104"/>
        <v>1</v>
      </c>
      <c r="AR614" t="s">
        <v>5061</v>
      </c>
      <c r="AS614" s="21">
        <v>46276</v>
      </c>
      <c r="AT614" t="s">
        <v>5062</v>
      </c>
      <c r="AU614" t="s">
        <v>5073</v>
      </c>
      <c r="AV614" t="s">
        <v>5062</v>
      </c>
      <c r="AW614" t="s">
        <v>5086</v>
      </c>
    </row>
    <row r="615" spans="1:49" hidden="1" x14ac:dyDescent="0.35">
      <c r="A615" t="s">
        <v>871</v>
      </c>
      <c r="B615" t="s">
        <v>872</v>
      </c>
      <c r="C615" t="s">
        <v>4818</v>
      </c>
      <c r="D615" t="s">
        <v>18</v>
      </c>
      <c r="E615" t="s">
        <v>2660</v>
      </c>
      <c r="F615" t="s">
        <v>2661</v>
      </c>
      <c r="G615" t="s">
        <v>21</v>
      </c>
      <c r="H615" t="s">
        <v>4826</v>
      </c>
      <c r="I615" t="s">
        <v>4979</v>
      </c>
      <c r="J615" s="4" t="s">
        <v>4980</v>
      </c>
      <c r="K615" s="4" t="s">
        <v>4832</v>
      </c>
      <c r="L615" s="4">
        <v>30</v>
      </c>
      <c r="M615" s="4" t="s">
        <v>5035</v>
      </c>
      <c r="N615" t="s">
        <v>15</v>
      </c>
      <c r="O615" t="s">
        <v>2662</v>
      </c>
      <c r="P615" t="s">
        <v>23</v>
      </c>
      <c r="Q615" t="s">
        <v>24</v>
      </c>
      <c r="R615" t="s">
        <v>25</v>
      </c>
      <c r="S615" t="s">
        <v>26</v>
      </c>
      <c r="T615" s="6">
        <v>46307</v>
      </c>
      <c r="U615">
        <v>72</v>
      </c>
      <c r="V615">
        <v>72</v>
      </c>
      <c r="W615">
        <v>60</v>
      </c>
      <c r="X615">
        <v>60</v>
      </c>
      <c r="Y615">
        <f t="shared" si="99"/>
        <v>0</v>
      </c>
      <c r="Z615">
        <f t="shared" si="100"/>
        <v>12</v>
      </c>
      <c r="AA615">
        <f t="shared" si="106"/>
        <v>12</v>
      </c>
      <c r="AC615" s="1">
        <v>0</v>
      </c>
      <c r="AF615">
        <f t="shared" si="107"/>
        <v>60</v>
      </c>
      <c r="AG615" s="41">
        <v>12</v>
      </c>
      <c r="AH615">
        <f t="shared" si="101"/>
        <v>60</v>
      </c>
      <c r="AI615">
        <f t="shared" si="102"/>
        <v>12</v>
      </c>
      <c r="AK615">
        <f t="shared" si="103"/>
        <v>5</v>
      </c>
      <c r="AL615">
        <v>7.12</v>
      </c>
      <c r="AM615" t="s">
        <v>27</v>
      </c>
      <c r="AN615">
        <v>7.12</v>
      </c>
      <c r="AO615" t="b">
        <f t="shared" si="104"/>
        <v>1</v>
      </c>
      <c r="AR615" t="s">
        <v>5061</v>
      </c>
      <c r="AS615" s="21">
        <v>46276</v>
      </c>
      <c r="AT615" t="s">
        <v>5062</v>
      </c>
      <c r="AU615" t="s">
        <v>5073</v>
      </c>
      <c r="AV615" t="s">
        <v>5062</v>
      </c>
      <c r="AW615" t="s">
        <v>5086</v>
      </c>
    </row>
    <row r="616" spans="1:49" hidden="1" x14ac:dyDescent="0.35">
      <c r="A616" t="s">
        <v>871</v>
      </c>
      <c r="B616" t="s">
        <v>872</v>
      </c>
      <c r="C616" t="s">
        <v>4818</v>
      </c>
      <c r="D616" t="s">
        <v>18</v>
      </c>
      <c r="E616" t="s">
        <v>2663</v>
      </c>
      <c r="F616" t="s">
        <v>2664</v>
      </c>
      <c r="G616" t="s">
        <v>21</v>
      </c>
      <c r="H616" t="s">
        <v>4826</v>
      </c>
      <c r="I616" t="s">
        <v>4979</v>
      </c>
      <c r="J616" s="4" t="s">
        <v>4980</v>
      </c>
      <c r="K616" s="4" t="s">
        <v>4832</v>
      </c>
      <c r="L616" s="4">
        <v>31</v>
      </c>
      <c r="M616" s="4" t="s">
        <v>5035</v>
      </c>
      <c r="N616" t="s">
        <v>15</v>
      </c>
      <c r="O616" t="s">
        <v>2665</v>
      </c>
      <c r="P616" t="s">
        <v>23</v>
      </c>
      <c r="Q616" t="s">
        <v>24</v>
      </c>
      <c r="R616" t="s">
        <v>25</v>
      </c>
      <c r="S616" t="s">
        <v>26</v>
      </c>
      <c r="T616" s="6">
        <v>46307</v>
      </c>
      <c r="U616">
        <v>108</v>
      </c>
      <c r="V616">
        <v>108</v>
      </c>
      <c r="W616">
        <v>96</v>
      </c>
      <c r="X616">
        <v>96</v>
      </c>
      <c r="Y616">
        <f t="shared" si="99"/>
        <v>0</v>
      </c>
      <c r="Z616">
        <f t="shared" si="100"/>
        <v>12</v>
      </c>
      <c r="AA616">
        <f t="shared" si="106"/>
        <v>12</v>
      </c>
      <c r="AC616" s="1">
        <v>0</v>
      </c>
      <c r="AF616">
        <f t="shared" si="107"/>
        <v>96</v>
      </c>
      <c r="AG616" s="41">
        <v>12</v>
      </c>
      <c r="AH616">
        <f t="shared" si="101"/>
        <v>96</v>
      </c>
      <c r="AI616">
        <f t="shared" si="102"/>
        <v>12</v>
      </c>
      <c r="AK616">
        <f t="shared" si="103"/>
        <v>8</v>
      </c>
      <c r="AL616">
        <v>7.12</v>
      </c>
      <c r="AM616" t="s">
        <v>27</v>
      </c>
      <c r="AN616">
        <v>7.12</v>
      </c>
      <c r="AO616" t="b">
        <f t="shared" si="104"/>
        <v>1</v>
      </c>
      <c r="AR616" t="s">
        <v>5061</v>
      </c>
      <c r="AS616" s="21">
        <v>46276</v>
      </c>
      <c r="AT616" t="s">
        <v>5062</v>
      </c>
      <c r="AU616" t="s">
        <v>5073</v>
      </c>
      <c r="AV616" t="s">
        <v>5062</v>
      </c>
      <c r="AW616" t="s">
        <v>5086</v>
      </c>
    </row>
    <row r="617" spans="1:49" hidden="1" x14ac:dyDescent="0.35">
      <c r="A617" t="s">
        <v>871</v>
      </c>
      <c r="B617" t="s">
        <v>872</v>
      </c>
      <c r="C617" t="s">
        <v>4818</v>
      </c>
      <c r="D617" t="s">
        <v>18</v>
      </c>
      <c r="E617" t="s">
        <v>2666</v>
      </c>
      <c r="F617" t="s">
        <v>2667</v>
      </c>
      <c r="G617" t="s">
        <v>21</v>
      </c>
      <c r="H617" t="s">
        <v>4826</v>
      </c>
      <c r="I617" t="s">
        <v>4979</v>
      </c>
      <c r="J617" s="4" t="s">
        <v>4980</v>
      </c>
      <c r="K617" s="4" t="s">
        <v>4937</v>
      </c>
      <c r="L617" s="4">
        <v>31</v>
      </c>
      <c r="M617" s="4" t="s">
        <v>5035</v>
      </c>
      <c r="N617" t="s">
        <v>15</v>
      </c>
      <c r="O617" t="s">
        <v>2668</v>
      </c>
      <c r="P617" t="s">
        <v>23</v>
      </c>
      <c r="Q617" t="s">
        <v>24</v>
      </c>
      <c r="R617" t="s">
        <v>25</v>
      </c>
      <c r="S617" t="s">
        <v>26</v>
      </c>
      <c r="T617" s="6">
        <v>46307</v>
      </c>
      <c r="U617">
        <v>204</v>
      </c>
      <c r="V617">
        <v>204</v>
      </c>
      <c r="W617">
        <v>180</v>
      </c>
      <c r="X617">
        <v>180</v>
      </c>
      <c r="Y617">
        <f t="shared" si="99"/>
        <v>0</v>
      </c>
      <c r="Z617">
        <f t="shared" si="100"/>
        <v>24</v>
      </c>
      <c r="AA617">
        <f t="shared" si="106"/>
        <v>24</v>
      </c>
      <c r="AC617" s="1">
        <v>0</v>
      </c>
      <c r="AF617">
        <f t="shared" si="107"/>
        <v>180</v>
      </c>
      <c r="AG617" s="41">
        <v>12</v>
      </c>
      <c r="AH617">
        <f t="shared" si="101"/>
        <v>180</v>
      </c>
      <c r="AI617">
        <f t="shared" si="102"/>
        <v>24</v>
      </c>
      <c r="AK617">
        <f t="shared" si="103"/>
        <v>15</v>
      </c>
      <c r="AL617">
        <v>7.12</v>
      </c>
      <c r="AM617" t="s">
        <v>27</v>
      </c>
      <c r="AN617">
        <v>7.12</v>
      </c>
      <c r="AO617" t="b">
        <f t="shared" si="104"/>
        <v>1</v>
      </c>
      <c r="AR617" t="s">
        <v>5061</v>
      </c>
      <c r="AS617" s="21">
        <v>46276</v>
      </c>
      <c r="AT617" t="s">
        <v>5062</v>
      </c>
      <c r="AU617" t="s">
        <v>5073</v>
      </c>
      <c r="AV617" t="s">
        <v>5062</v>
      </c>
      <c r="AW617" t="s">
        <v>5086</v>
      </c>
    </row>
    <row r="618" spans="1:49" hidden="1" x14ac:dyDescent="0.35">
      <c r="A618" t="s">
        <v>871</v>
      </c>
      <c r="B618" t="s">
        <v>872</v>
      </c>
      <c r="C618" t="s">
        <v>4818</v>
      </c>
      <c r="D618" t="s">
        <v>18</v>
      </c>
      <c r="E618" t="s">
        <v>2669</v>
      </c>
      <c r="F618" t="s">
        <v>2670</v>
      </c>
      <c r="G618" t="s">
        <v>21</v>
      </c>
      <c r="H618" t="s">
        <v>4826</v>
      </c>
      <c r="I618" t="s">
        <v>4979</v>
      </c>
      <c r="J618" s="4" t="s">
        <v>4980</v>
      </c>
      <c r="K618" s="4" t="s">
        <v>4832</v>
      </c>
      <c r="L618" s="4">
        <v>42</v>
      </c>
      <c r="M618" s="4" t="s">
        <v>5035</v>
      </c>
      <c r="N618" t="s">
        <v>15</v>
      </c>
      <c r="O618" t="s">
        <v>2671</v>
      </c>
      <c r="P618" t="s">
        <v>23</v>
      </c>
      <c r="Q618" t="s">
        <v>24</v>
      </c>
      <c r="R618" t="s">
        <v>25</v>
      </c>
      <c r="S618" t="s">
        <v>26</v>
      </c>
      <c r="T618" s="6">
        <v>46307</v>
      </c>
      <c r="U618">
        <v>276</v>
      </c>
      <c r="V618">
        <v>276</v>
      </c>
      <c r="W618">
        <v>300</v>
      </c>
      <c r="X618">
        <v>300</v>
      </c>
      <c r="Y618">
        <f t="shared" si="99"/>
        <v>0</v>
      </c>
      <c r="Z618">
        <f t="shared" si="100"/>
        <v>-24</v>
      </c>
      <c r="AC618" s="1">
        <v>0</v>
      </c>
      <c r="AF618">
        <f>V618</f>
        <v>276</v>
      </c>
      <c r="AG618" s="41">
        <v>12</v>
      </c>
      <c r="AH618">
        <f t="shared" si="101"/>
        <v>276</v>
      </c>
      <c r="AI618">
        <f t="shared" si="102"/>
        <v>0</v>
      </c>
      <c r="AK618">
        <f t="shared" si="103"/>
        <v>23</v>
      </c>
      <c r="AL618">
        <v>7.12</v>
      </c>
      <c r="AM618" t="s">
        <v>27</v>
      </c>
      <c r="AN618">
        <v>7.12</v>
      </c>
      <c r="AO618" t="b">
        <f t="shared" si="104"/>
        <v>1</v>
      </c>
      <c r="AR618" t="s">
        <v>5061</v>
      </c>
      <c r="AS618" s="21">
        <v>46276</v>
      </c>
      <c r="AT618" t="s">
        <v>5062</v>
      </c>
      <c r="AU618" t="s">
        <v>5073</v>
      </c>
      <c r="AV618" t="s">
        <v>5062</v>
      </c>
      <c r="AW618" t="s">
        <v>5086</v>
      </c>
    </row>
    <row r="619" spans="1:49" hidden="1" x14ac:dyDescent="0.35">
      <c r="A619" t="s">
        <v>871</v>
      </c>
      <c r="B619" t="s">
        <v>872</v>
      </c>
      <c r="C619" t="s">
        <v>4818</v>
      </c>
      <c r="D619" t="s">
        <v>18</v>
      </c>
      <c r="E619" t="s">
        <v>2672</v>
      </c>
      <c r="F619" t="s">
        <v>2673</v>
      </c>
      <c r="G619" t="s">
        <v>21</v>
      </c>
      <c r="H619" t="s">
        <v>4826</v>
      </c>
      <c r="I619" t="s">
        <v>4979</v>
      </c>
      <c r="J619" s="4" t="s">
        <v>4980</v>
      </c>
      <c r="K619" s="4" t="s">
        <v>4837</v>
      </c>
      <c r="L619" s="4">
        <v>31</v>
      </c>
      <c r="M619" s="4" t="s">
        <v>5035</v>
      </c>
      <c r="N619" t="s">
        <v>15</v>
      </c>
      <c r="O619" t="s">
        <v>2674</v>
      </c>
      <c r="P619" t="s">
        <v>23</v>
      </c>
      <c r="Q619" t="s">
        <v>24</v>
      </c>
      <c r="R619" t="s">
        <v>25</v>
      </c>
      <c r="S619" t="s">
        <v>26</v>
      </c>
      <c r="T619" s="6">
        <v>46307</v>
      </c>
      <c r="U619">
        <v>264</v>
      </c>
      <c r="V619">
        <v>264</v>
      </c>
      <c r="W619">
        <v>240</v>
      </c>
      <c r="X619">
        <v>240</v>
      </c>
      <c r="Y619">
        <f t="shared" si="99"/>
        <v>0</v>
      </c>
      <c r="Z619">
        <f t="shared" si="100"/>
        <v>24</v>
      </c>
      <c r="AA619">
        <f t="shared" ref="AA619:AA627" si="108">Z619</f>
        <v>24</v>
      </c>
      <c r="AC619" s="1">
        <v>0</v>
      </c>
      <c r="AF619">
        <f t="shared" ref="AF619:AF627" si="109">X619</f>
        <v>240</v>
      </c>
      <c r="AG619" s="41">
        <v>12</v>
      </c>
      <c r="AH619">
        <f t="shared" si="101"/>
        <v>240</v>
      </c>
      <c r="AI619">
        <f t="shared" si="102"/>
        <v>24</v>
      </c>
      <c r="AK619">
        <f t="shared" si="103"/>
        <v>20</v>
      </c>
      <c r="AL619">
        <v>7.12</v>
      </c>
      <c r="AM619" t="s">
        <v>27</v>
      </c>
      <c r="AN619">
        <v>7.12</v>
      </c>
      <c r="AO619" t="b">
        <f t="shared" si="104"/>
        <v>1</v>
      </c>
      <c r="AR619" t="s">
        <v>5061</v>
      </c>
      <c r="AS619" s="21">
        <v>46276</v>
      </c>
      <c r="AT619" t="s">
        <v>5062</v>
      </c>
      <c r="AU619" t="s">
        <v>5073</v>
      </c>
      <c r="AV619" t="s">
        <v>5062</v>
      </c>
      <c r="AW619" t="s">
        <v>5086</v>
      </c>
    </row>
    <row r="620" spans="1:49" hidden="1" x14ac:dyDescent="0.35">
      <c r="A620" t="s">
        <v>871</v>
      </c>
      <c r="B620" t="s">
        <v>872</v>
      </c>
      <c r="C620" t="s">
        <v>4818</v>
      </c>
      <c r="D620" t="s">
        <v>18</v>
      </c>
      <c r="E620" t="s">
        <v>2675</v>
      </c>
      <c r="F620" t="s">
        <v>2676</v>
      </c>
      <c r="G620" t="s">
        <v>21</v>
      </c>
      <c r="H620" t="s">
        <v>4826</v>
      </c>
      <c r="I620" t="s">
        <v>4979</v>
      </c>
      <c r="J620" s="4" t="s">
        <v>4980</v>
      </c>
      <c r="K620" s="4" t="s">
        <v>4837</v>
      </c>
      <c r="L620" s="4">
        <v>29</v>
      </c>
      <c r="M620" s="4" t="s">
        <v>5035</v>
      </c>
      <c r="N620" t="s">
        <v>15</v>
      </c>
      <c r="O620" t="s">
        <v>2677</v>
      </c>
      <c r="P620" t="s">
        <v>23</v>
      </c>
      <c r="Q620" t="s">
        <v>24</v>
      </c>
      <c r="R620" t="s">
        <v>25</v>
      </c>
      <c r="S620" t="s">
        <v>26</v>
      </c>
      <c r="T620" s="6">
        <v>46307</v>
      </c>
      <c r="U620">
        <v>132</v>
      </c>
      <c r="V620">
        <v>132</v>
      </c>
      <c r="W620">
        <v>108</v>
      </c>
      <c r="X620">
        <v>108</v>
      </c>
      <c r="Y620">
        <f t="shared" si="99"/>
        <v>0</v>
      </c>
      <c r="Z620">
        <f t="shared" si="100"/>
        <v>24</v>
      </c>
      <c r="AA620">
        <f t="shared" si="108"/>
        <v>24</v>
      </c>
      <c r="AC620" s="1">
        <v>0</v>
      </c>
      <c r="AF620">
        <f t="shared" si="109"/>
        <v>108</v>
      </c>
      <c r="AG620" s="41">
        <v>12</v>
      </c>
      <c r="AH620">
        <f t="shared" si="101"/>
        <v>108</v>
      </c>
      <c r="AI620">
        <f t="shared" si="102"/>
        <v>24</v>
      </c>
      <c r="AK620">
        <f t="shared" si="103"/>
        <v>9</v>
      </c>
      <c r="AL620">
        <v>7.12</v>
      </c>
      <c r="AM620" t="s">
        <v>27</v>
      </c>
      <c r="AN620">
        <v>7.12</v>
      </c>
      <c r="AO620" t="b">
        <f t="shared" si="104"/>
        <v>1</v>
      </c>
      <c r="AR620" t="s">
        <v>5061</v>
      </c>
      <c r="AS620" s="21">
        <v>46276</v>
      </c>
      <c r="AT620" t="s">
        <v>5062</v>
      </c>
      <c r="AU620" t="s">
        <v>5073</v>
      </c>
      <c r="AV620" t="s">
        <v>5062</v>
      </c>
      <c r="AW620" t="s">
        <v>5086</v>
      </c>
    </row>
    <row r="621" spans="1:49" hidden="1" x14ac:dyDescent="0.35">
      <c r="A621" t="s">
        <v>871</v>
      </c>
      <c r="B621" t="s">
        <v>872</v>
      </c>
      <c r="C621" t="s">
        <v>4818</v>
      </c>
      <c r="D621" t="s">
        <v>18</v>
      </c>
      <c r="E621" t="s">
        <v>2678</v>
      </c>
      <c r="F621" t="s">
        <v>2679</v>
      </c>
      <c r="G621" t="s">
        <v>2680</v>
      </c>
      <c r="H621" t="s">
        <v>4826</v>
      </c>
      <c r="I621" t="s">
        <v>4979</v>
      </c>
      <c r="J621" s="4" t="s">
        <v>4980</v>
      </c>
      <c r="K621" s="4" t="s">
        <v>4937</v>
      </c>
      <c r="L621" s="4">
        <v>38</v>
      </c>
      <c r="M621" s="4" t="s">
        <v>5035</v>
      </c>
      <c r="N621" t="s">
        <v>15</v>
      </c>
      <c r="O621" t="s">
        <v>2681</v>
      </c>
      <c r="P621" t="s">
        <v>23</v>
      </c>
      <c r="Q621" t="s">
        <v>24</v>
      </c>
      <c r="R621" t="s">
        <v>25</v>
      </c>
      <c r="S621" t="s">
        <v>26</v>
      </c>
      <c r="T621" s="6">
        <v>46307</v>
      </c>
      <c r="U621">
        <v>396</v>
      </c>
      <c r="V621">
        <v>396</v>
      </c>
      <c r="W621">
        <v>360</v>
      </c>
      <c r="X621">
        <v>360</v>
      </c>
      <c r="Y621">
        <f t="shared" si="99"/>
        <v>0</v>
      </c>
      <c r="Z621">
        <f t="shared" si="100"/>
        <v>36</v>
      </c>
      <c r="AA621">
        <f t="shared" si="108"/>
        <v>36</v>
      </c>
      <c r="AC621" s="1">
        <v>0</v>
      </c>
      <c r="AF621">
        <f t="shared" si="109"/>
        <v>360</v>
      </c>
      <c r="AG621" s="41">
        <v>12</v>
      </c>
      <c r="AH621">
        <f t="shared" si="101"/>
        <v>360</v>
      </c>
      <c r="AI621">
        <f t="shared" si="102"/>
        <v>36</v>
      </c>
      <c r="AK621">
        <f t="shared" si="103"/>
        <v>30</v>
      </c>
      <c r="AL621">
        <v>7.12</v>
      </c>
      <c r="AM621" t="s">
        <v>27</v>
      </c>
      <c r="AN621">
        <v>7.12</v>
      </c>
      <c r="AO621" t="b">
        <f t="shared" si="104"/>
        <v>1</v>
      </c>
      <c r="AR621" t="s">
        <v>5061</v>
      </c>
      <c r="AS621" s="21">
        <v>46276</v>
      </c>
      <c r="AT621" t="s">
        <v>5062</v>
      </c>
      <c r="AU621" t="s">
        <v>5073</v>
      </c>
      <c r="AV621" t="s">
        <v>5062</v>
      </c>
      <c r="AW621" t="s">
        <v>5086</v>
      </c>
    </row>
    <row r="622" spans="1:49" hidden="1" x14ac:dyDescent="0.35">
      <c r="A622" t="s">
        <v>871</v>
      </c>
      <c r="B622" t="s">
        <v>872</v>
      </c>
      <c r="C622" t="s">
        <v>4818</v>
      </c>
      <c r="D622" t="s">
        <v>18</v>
      </c>
      <c r="E622" t="s">
        <v>2682</v>
      </c>
      <c r="F622" t="s">
        <v>2683</v>
      </c>
      <c r="G622" t="s">
        <v>2680</v>
      </c>
      <c r="H622" t="s">
        <v>4826</v>
      </c>
      <c r="I622" t="s">
        <v>4979</v>
      </c>
      <c r="J622" s="4" t="s">
        <v>4980</v>
      </c>
      <c r="K622" s="4" t="s">
        <v>4937</v>
      </c>
      <c r="L622" s="4">
        <v>42</v>
      </c>
      <c r="M622" s="4" t="s">
        <v>5035</v>
      </c>
      <c r="N622" t="s">
        <v>15</v>
      </c>
      <c r="O622" t="s">
        <v>2684</v>
      </c>
      <c r="P622" t="s">
        <v>23</v>
      </c>
      <c r="Q622" t="s">
        <v>24</v>
      </c>
      <c r="R622" t="s">
        <v>25</v>
      </c>
      <c r="S622" t="s">
        <v>26</v>
      </c>
      <c r="T622" s="6">
        <v>46307</v>
      </c>
      <c r="U622">
        <v>372</v>
      </c>
      <c r="V622">
        <v>372</v>
      </c>
      <c r="W622">
        <v>336</v>
      </c>
      <c r="X622">
        <v>336</v>
      </c>
      <c r="Y622">
        <f t="shared" si="99"/>
        <v>0</v>
      </c>
      <c r="Z622">
        <f t="shared" si="100"/>
        <v>36</v>
      </c>
      <c r="AA622">
        <f t="shared" si="108"/>
        <v>36</v>
      </c>
      <c r="AC622" s="1">
        <v>0</v>
      </c>
      <c r="AF622">
        <f t="shared" si="109"/>
        <v>336</v>
      </c>
      <c r="AG622" s="41">
        <v>12</v>
      </c>
      <c r="AH622">
        <f t="shared" si="101"/>
        <v>336</v>
      </c>
      <c r="AI622">
        <f t="shared" si="102"/>
        <v>36</v>
      </c>
      <c r="AK622">
        <f t="shared" si="103"/>
        <v>28</v>
      </c>
      <c r="AL622">
        <v>7.12</v>
      </c>
      <c r="AM622" t="s">
        <v>27</v>
      </c>
      <c r="AN622">
        <v>7.12</v>
      </c>
      <c r="AO622" t="b">
        <f t="shared" si="104"/>
        <v>1</v>
      </c>
      <c r="AR622" t="s">
        <v>5061</v>
      </c>
      <c r="AS622" s="21">
        <v>46276</v>
      </c>
      <c r="AT622" t="s">
        <v>5062</v>
      </c>
      <c r="AU622" t="s">
        <v>5073</v>
      </c>
      <c r="AV622" t="s">
        <v>5062</v>
      </c>
      <c r="AW622" t="s">
        <v>5086</v>
      </c>
    </row>
    <row r="623" spans="1:49" hidden="1" x14ac:dyDescent="0.35">
      <c r="A623" t="s">
        <v>871</v>
      </c>
      <c r="B623" t="s">
        <v>872</v>
      </c>
      <c r="C623" t="s">
        <v>4818</v>
      </c>
      <c r="D623" t="s">
        <v>18</v>
      </c>
      <c r="E623" t="s">
        <v>2685</v>
      </c>
      <c r="F623" t="s">
        <v>2686</v>
      </c>
      <c r="G623" t="s">
        <v>2680</v>
      </c>
      <c r="H623" t="s">
        <v>4826</v>
      </c>
      <c r="I623" t="s">
        <v>4979</v>
      </c>
      <c r="J623" s="4" t="s">
        <v>4980</v>
      </c>
      <c r="K623" s="4" t="s">
        <v>4937</v>
      </c>
      <c r="L623" s="4">
        <v>36</v>
      </c>
      <c r="M623" s="4" t="s">
        <v>5035</v>
      </c>
      <c r="N623" t="s">
        <v>15</v>
      </c>
      <c r="O623" t="s">
        <v>2687</v>
      </c>
      <c r="P623" t="s">
        <v>23</v>
      </c>
      <c r="Q623" t="s">
        <v>24</v>
      </c>
      <c r="R623" t="s">
        <v>25</v>
      </c>
      <c r="S623" t="s">
        <v>26</v>
      </c>
      <c r="T623" s="6">
        <v>46307</v>
      </c>
      <c r="U623">
        <v>708</v>
      </c>
      <c r="V623">
        <v>708</v>
      </c>
      <c r="W623">
        <v>648</v>
      </c>
      <c r="X623">
        <v>648</v>
      </c>
      <c r="Y623">
        <f t="shared" si="99"/>
        <v>0</v>
      </c>
      <c r="Z623">
        <f t="shared" si="100"/>
        <v>60</v>
      </c>
      <c r="AA623">
        <f t="shared" si="108"/>
        <v>60</v>
      </c>
      <c r="AC623" s="1">
        <v>0</v>
      </c>
      <c r="AF623">
        <f t="shared" si="109"/>
        <v>648</v>
      </c>
      <c r="AG623" s="41">
        <v>12</v>
      </c>
      <c r="AH623">
        <f t="shared" si="101"/>
        <v>648</v>
      </c>
      <c r="AI623">
        <f t="shared" si="102"/>
        <v>60</v>
      </c>
      <c r="AK623">
        <f t="shared" si="103"/>
        <v>54</v>
      </c>
      <c r="AL623">
        <v>7.12</v>
      </c>
      <c r="AM623" t="s">
        <v>27</v>
      </c>
      <c r="AN623">
        <v>7.12</v>
      </c>
      <c r="AO623" t="b">
        <f t="shared" si="104"/>
        <v>1</v>
      </c>
      <c r="AR623" t="s">
        <v>5061</v>
      </c>
      <c r="AS623" s="21">
        <v>46276</v>
      </c>
      <c r="AT623" t="s">
        <v>5062</v>
      </c>
      <c r="AU623" t="s">
        <v>5073</v>
      </c>
      <c r="AV623" t="s">
        <v>5062</v>
      </c>
      <c r="AW623" t="s">
        <v>5086</v>
      </c>
    </row>
    <row r="624" spans="1:49" hidden="1" x14ac:dyDescent="0.35">
      <c r="A624" t="s">
        <v>871</v>
      </c>
      <c r="B624" t="s">
        <v>872</v>
      </c>
      <c r="C624" t="s">
        <v>4818</v>
      </c>
      <c r="D624" t="s">
        <v>18</v>
      </c>
      <c r="E624" t="s">
        <v>2688</v>
      </c>
      <c r="F624" t="s">
        <v>2689</v>
      </c>
      <c r="G624" t="s">
        <v>2680</v>
      </c>
      <c r="H624" t="s">
        <v>4826</v>
      </c>
      <c r="I624" t="s">
        <v>4979</v>
      </c>
      <c r="J624" s="4" t="s">
        <v>4980</v>
      </c>
      <c r="K624" s="4" t="s">
        <v>4937</v>
      </c>
      <c r="L624" s="4">
        <v>33</v>
      </c>
      <c r="M624" s="4" t="s">
        <v>5035</v>
      </c>
      <c r="N624" t="s">
        <v>15</v>
      </c>
      <c r="O624" t="s">
        <v>2690</v>
      </c>
      <c r="P624" t="s">
        <v>23</v>
      </c>
      <c r="Q624" t="s">
        <v>24</v>
      </c>
      <c r="R624" t="s">
        <v>25</v>
      </c>
      <c r="S624" t="s">
        <v>26</v>
      </c>
      <c r="T624" s="6">
        <v>46307</v>
      </c>
      <c r="U624">
        <v>420</v>
      </c>
      <c r="V624">
        <v>420</v>
      </c>
      <c r="W624">
        <v>372</v>
      </c>
      <c r="X624">
        <v>372</v>
      </c>
      <c r="Y624">
        <f t="shared" si="99"/>
        <v>0</v>
      </c>
      <c r="Z624">
        <f t="shared" si="100"/>
        <v>48</v>
      </c>
      <c r="AA624">
        <f t="shared" si="108"/>
        <v>48</v>
      </c>
      <c r="AC624" s="1">
        <v>0</v>
      </c>
      <c r="AF624">
        <f t="shared" si="109"/>
        <v>372</v>
      </c>
      <c r="AG624" s="41">
        <v>12</v>
      </c>
      <c r="AH624">
        <f t="shared" si="101"/>
        <v>372</v>
      </c>
      <c r="AI624">
        <f t="shared" si="102"/>
        <v>48</v>
      </c>
      <c r="AK624">
        <f t="shared" si="103"/>
        <v>31</v>
      </c>
      <c r="AL624">
        <v>7.12</v>
      </c>
      <c r="AM624" t="s">
        <v>27</v>
      </c>
      <c r="AN624">
        <v>7.12</v>
      </c>
      <c r="AO624" t="b">
        <f t="shared" si="104"/>
        <v>1</v>
      </c>
      <c r="AR624" t="s">
        <v>5061</v>
      </c>
      <c r="AS624" s="21">
        <v>46276</v>
      </c>
      <c r="AT624" t="s">
        <v>5062</v>
      </c>
      <c r="AU624" t="s">
        <v>5073</v>
      </c>
      <c r="AV624" t="s">
        <v>5062</v>
      </c>
      <c r="AW624" t="s">
        <v>5086</v>
      </c>
    </row>
    <row r="625" spans="1:49" hidden="1" x14ac:dyDescent="0.35">
      <c r="A625" t="s">
        <v>871</v>
      </c>
      <c r="B625" t="s">
        <v>872</v>
      </c>
      <c r="C625" t="s">
        <v>4818</v>
      </c>
      <c r="D625" t="s">
        <v>18</v>
      </c>
      <c r="E625" t="s">
        <v>2691</v>
      </c>
      <c r="F625" t="s">
        <v>2692</v>
      </c>
      <c r="G625" t="s">
        <v>2680</v>
      </c>
      <c r="H625" t="s">
        <v>4826</v>
      </c>
      <c r="I625" t="s">
        <v>4979</v>
      </c>
      <c r="J625" s="4" t="s">
        <v>4980</v>
      </c>
      <c r="K625" s="4" t="s">
        <v>4937</v>
      </c>
      <c r="L625" s="4">
        <v>40</v>
      </c>
      <c r="M625" s="4" t="s">
        <v>5035</v>
      </c>
      <c r="N625" t="s">
        <v>15</v>
      </c>
      <c r="O625" t="s">
        <v>2693</v>
      </c>
      <c r="P625" t="s">
        <v>23</v>
      </c>
      <c r="Q625" t="s">
        <v>24</v>
      </c>
      <c r="R625" t="s">
        <v>25</v>
      </c>
      <c r="S625" t="s">
        <v>26</v>
      </c>
      <c r="T625" s="6">
        <v>46307</v>
      </c>
      <c r="U625">
        <v>648</v>
      </c>
      <c r="V625">
        <v>648</v>
      </c>
      <c r="W625">
        <v>588</v>
      </c>
      <c r="X625">
        <v>588</v>
      </c>
      <c r="Y625">
        <f t="shared" si="99"/>
        <v>0</v>
      </c>
      <c r="Z625">
        <f t="shared" si="100"/>
        <v>60</v>
      </c>
      <c r="AA625">
        <f t="shared" si="108"/>
        <v>60</v>
      </c>
      <c r="AC625" s="1">
        <v>0</v>
      </c>
      <c r="AF625">
        <f t="shared" si="109"/>
        <v>588</v>
      </c>
      <c r="AG625" s="41">
        <v>12</v>
      </c>
      <c r="AH625">
        <f t="shared" si="101"/>
        <v>588</v>
      </c>
      <c r="AI625">
        <f t="shared" si="102"/>
        <v>60</v>
      </c>
      <c r="AK625">
        <f t="shared" si="103"/>
        <v>49</v>
      </c>
      <c r="AL625">
        <v>7.12</v>
      </c>
      <c r="AM625" t="s">
        <v>27</v>
      </c>
      <c r="AN625">
        <v>7.12</v>
      </c>
      <c r="AO625" t="b">
        <f t="shared" si="104"/>
        <v>1</v>
      </c>
      <c r="AR625" t="s">
        <v>5061</v>
      </c>
      <c r="AS625" s="21">
        <v>46276</v>
      </c>
      <c r="AT625" t="s">
        <v>5062</v>
      </c>
      <c r="AU625" t="s">
        <v>5073</v>
      </c>
      <c r="AV625" t="s">
        <v>5062</v>
      </c>
      <c r="AW625" t="s">
        <v>5086</v>
      </c>
    </row>
    <row r="626" spans="1:49" hidden="1" x14ac:dyDescent="0.35">
      <c r="A626" t="s">
        <v>871</v>
      </c>
      <c r="B626" t="s">
        <v>872</v>
      </c>
      <c r="C626" t="s">
        <v>4818</v>
      </c>
      <c r="D626" t="s">
        <v>18</v>
      </c>
      <c r="E626" t="s">
        <v>2694</v>
      </c>
      <c r="F626" t="s">
        <v>2695</v>
      </c>
      <c r="G626" t="s">
        <v>2680</v>
      </c>
      <c r="H626" t="s">
        <v>4826</v>
      </c>
      <c r="I626" t="s">
        <v>4979</v>
      </c>
      <c r="J626" s="4" t="s">
        <v>4980</v>
      </c>
      <c r="K626" s="4" t="s">
        <v>4937</v>
      </c>
      <c r="L626" s="4">
        <v>29</v>
      </c>
      <c r="M626" s="4" t="s">
        <v>5035</v>
      </c>
      <c r="N626" t="s">
        <v>15</v>
      </c>
      <c r="O626" t="s">
        <v>2696</v>
      </c>
      <c r="P626" t="s">
        <v>23</v>
      </c>
      <c r="Q626" t="s">
        <v>24</v>
      </c>
      <c r="R626" t="s">
        <v>25</v>
      </c>
      <c r="S626" t="s">
        <v>26</v>
      </c>
      <c r="T626" s="6">
        <v>46307</v>
      </c>
      <c r="U626">
        <v>60</v>
      </c>
      <c r="V626">
        <v>60</v>
      </c>
      <c r="W626">
        <v>48</v>
      </c>
      <c r="X626">
        <v>48</v>
      </c>
      <c r="Y626">
        <f t="shared" si="99"/>
        <v>0</v>
      </c>
      <c r="Z626">
        <f t="shared" si="100"/>
        <v>12</v>
      </c>
      <c r="AA626">
        <f t="shared" si="108"/>
        <v>12</v>
      </c>
      <c r="AC626" s="1">
        <v>0</v>
      </c>
      <c r="AF626">
        <f t="shared" si="109"/>
        <v>48</v>
      </c>
      <c r="AG626" s="41">
        <v>12</v>
      </c>
      <c r="AH626">
        <f t="shared" si="101"/>
        <v>48</v>
      </c>
      <c r="AI626">
        <f t="shared" si="102"/>
        <v>12</v>
      </c>
      <c r="AK626">
        <f t="shared" si="103"/>
        <v>4</v>
      </c>
      <c r="AL626">
        <v>7.12</v>
      </c>
      <c r="AM626" t="s">
        <v>27</v>
      </c>
      <c r="AN626">
        <v>7.12</v>
      </c>
      <c r="AO626" t="b">
        <f t="shared" si="104"/>
        <v>1</v>
      </c>
      <c r="AR626" t="s">
        <v>5061</v>
      </c>
      <c r="AS626" s="21">
        <v>46276</v>
      </c>
      <c r="AT626" t="s">
        <v>5062</v>
      </c>
      <c r="AU626" t="s">
        <v>5073</v>
      </c>
      <c r="AV626" t="s">
        <v>5062</v>
      </c>
      <c r="AW626" t="s">
        <v>5086</v>
      </c>
    </row>
    <row r="627" spans="1:49" hidden="1" x14ac:dyDescent="0.35">
      <c r="A627" t="s">
        <v>871</v>
      </c>
      <c r="B627" t="s">
        <v>872</v>
      </c>
      <c r="C627" t="s">
        <v>4818</v>
      </c>
      <c r="D627" t="s">
        <v>18</v>
      </c>
      <c r="E627" t="s">
        <v>2697</v>
      </c>
      <c r="F627" t="s">
        <v>2698</v>
      </c>
      <c r="G627" t="s">
        <v>2680</v>
      </c>
      <c r="H627" t="s">
        <v>4826</v>
      </c>
      <c r="I627" t="s">
        <v>4979</v>
      </c>
      <c r="J627" s="4" t="s">
        <v>4980</v>
      </c>
      <c r="K627" s="4" t="s">
        <v>4937</v>
      </c>
      <c r="L627" s="4">
        <v>32</v>
      </c>
      <c r="M627" s="4" t="s">
        <v>5035</v>
      </c>
      <c r="N627" t="s">
        <v>15</v>
      </c>
      <c r="O627" t="s">
        <v>2699</v>
      </c>
      <c r="P627" t="s">
        <v>23</v>
      </c>
      <c r="Q627" t="s">
        <v>24</v>
      </c>
      <c r="R627" t="s">
        <v>25</v>
      </c>
      <c r="S627" t="s">
        <v>26</v>
      </c>
      <c r="T627" s="6">
        <v>46307</v>
      </c>
      <c r="U627">
        <v>516</v>
      </c>
      <c r="V627">
        <v>516</v>
      </c>
      <c r="W627">
        <v>456</v>
      </c>
      <c r="X627">
        <v>456</v>
      </c>
      <c r="Y627">
        <f t="shared" si="99"/>
        <v>0</v>
      </c>
      <c r="Z627">
        <f t="shared" si="100"/>
        <v>60</v>
      </c>
      <c r="AA627">
        <f t="shared" si="108"/>
        <v>60</v>
      </c>
      <c r="AC627" s="1">
        <v>0</v>
      </c>
      <c r="AF627">
        <f t="shared" si="109"/>
        <v>456</v>
      </c>
      <c r="AG627" s="41">
        <v>12</v>
      </c>
      <c r="AH627">
        <f t="shared" si="101"/>
        <v>456</v>
      </c>
      <c r="AI627">
        <f t="shared" si="102"/>
        <v>60</v>
      </c>
      <c r="AK627">
        <f t="shared" si="103"/>
        <v>38</v>
      </c>
      <c r="AL627">
        <v>7.12</v>
      </c>
      <c r="AM627" t="s">
        <v>27</v>
      </c>
      <c r="AN627">
        <v>7.12</v>
      </c>
      <c r="AO627" t="b">
        <f t="shared" si="104"/>
        <v>1</v>
      </c>
      <c r="AR627" t="s">
        <v>5061</v>
      </c>
      <c r="AS627" s="21">
        <v>46276</v>
      </c>
      <c r="AT627" t="s">
        <v>5062</v>
      </c>
      <c r="AU627" t="s">
        <v>5073</v>
      </c>
      <c r="AV627" t="s">
        <v>5062</v>
      </c>
      <c r="AW627" t="s">
        <v>5086</v>
      </c>
    </row>
    <row r="628" spans="1:49" hidden="1" x14ac:dyDescent="0.35">
      <c r="A628" t="s">
        <v>871</v>
      </c>
      <c r="B628" t="s">
        <v>872</v>
      </c>
      <c r="C628" t="s">
        <v>4818</v>
      </c>
      <c r="D628" t="s">
        <v>18</v>
      </c>
      <c r="E628" t="s">
        <v>2700</v>
      </c>
      <c r="F628" t="s">
        <v>2701</v>
      </c>
      <c r="G628" t="s">
        <v>2680</v>
      </c>
      <c r="H628" t="s">
        <v>4826</v>
      </c>
      <c r="I628" t="s">
        <v>4979</v>
      </c>
      <c r="J628" s="4" t="s">
        <v>4980</v>
      </c>
      <c r="K628" s="4" t="s">
        <v>4837</v>
      </c>
      <c r="L628" s="4">
        <v>34</v>
      </c>
      <c r="M628" s="4" t="s">
        <v>5035</v>
      </c>
      <c r="N628" t="s">
        <v>15</v>
      </c>
      <c r="O628" t="s">
        <v>2702</v>
      </c>
      <c r="P628" t="s">
        <v>23</v>
      </c>
      <c r="Q628" t="s">
        <v>24</v>
      </c>
      <c r="R628" t="s">
        <v>25</v>
      </c>
      <c r="S628" t="s">
        <v>26</v>
      </c>
      <c r="T628" s="6">
        <v>46307</v>
      </c>
      <c r="U628">
        <v>936</v>
      </c>
      <c r="V628">
        <v>936</v>
      </c>
      <c r="W628">
        <v>996</v>
      </c>
      <c r="X628">
        <v>996</v>
      </c>
      <c r="Y628">
        <f t="shared" si="99"/>
        <v>0</v>
      </c>
      <c r="Z628">
        <f t="shared" si="100"/>
        <v>-60</v>
      </c>
      <c r="AC628" s="1"/>
      <c r="AF628">
        <f>V628</f>
        <v>936</v>
      </c>
      <c r="AG628" s="41">
        <v>12</v>
      </c>
      <c r="AH628">
        <f t="shared" si="101"/>
        <v>936</v>
      </c>
      <c r="AI628">
        <f t="shared" si="102"/>
        <v>0</v>
      </c>
      <c r="AK628">
        <f t="shared" si="103"/>
        <v>78</v>
      </c>
      <c r="AL628">
        <v>7.12</v>
      </c>
      <c r="AM628" t="s">
        <v>27</v>
      </c>
      <c r="AN628">
        <v>7.12</v>
      </c>
      <c r="AO628" t="b">
        <f t="shared" si="104"/>
        <v>1</v>
      </c>
      <c r="AR628" t="s">
        <v>5061</v>
      </c>
      <c r="AS628" s="21">
        <v>46276</v>
      </c>
      <c r="AT628" t="s">
        <v>5062</v>
      </c>
      <c r="AU628" t="s">
        <v>5073</v>
      </c>
      <c r="AV628" t="s">
        <v>5062</v>
      </c>
      <c r="AW628" t="s">
        <v>5086</v>
      </c>
    </row>
    <row r="629" spans="1:49" hidden="1" x14ac:dyDescent="0.35">
      <c r="A629" t="s">
        <v>871</v>
      </c>
      <c r="B629" t="s">
        <v>872</v>
      </c>
      <c r="C629" t="s">
        <v>4818</v>
      </c>
      <c r="D629" t="s">
        <v>18</v>
      </c>
      <c r="E629" t="s">
        <v>2703</v>
      </c>
      <c r="F629" t="s">
        <v>2704</v>
      </c>
      <c r="G629" t="s">
        <v>2680</v>
      </c>
      <c r="H629" t="s">
        <v>4826</v>
      </c>
      <c r="I629" t="s">
        <v>4979</v>
      </c>
      <c r="J629" s="4" t="s">
        <v>4980</v>
      </c>
      <c r="K629" s="4" t="s">
        <v>4837</v>
      </c>
      <c r="L629" s="4">
        <v>38</v>
      </c>
      <c r="M629" s="4" t="s">
        <v>5035</v>
      </c>
      <c r="N629" t="s">
        <v>15</v>
      </c>
      <c r="O629" t="s">
        <v>2705</v>
      </c>
      <c r="P629" t="s">
        <v>23</v>
      </c>
      <c r="Q629" t="s">
        <v>24</v>
      </c>
      <c r="R629" t="s">
        <v>25</v>
      </c>
      <c r="S629" t="s">
        <v>26</v>
      </c>
      <c r="T629" s="6">
        <v>46307</v>
      </c>
      <c r="U629">
        <v>264</v>
      </c>
      <c r="V629">
        <v>264</v>
      </c>
      <c r="W629">
        <v>240</v>
      </c>
      <c r="X629">
        <v>240</v>
      </c>
      <c r="Y629">
        <f t="shared" si="99"/>
        <v>0</v>
      </c>
      <c r="Z629">
        <f t="shared" si="100"/>
        <v>24</v>
      </c>
      <c r="AA629">
        <f>Z629</f>
        <v>24</v>
      </c>
      <c r="AC629" s="1">
        <v>0</v>
      </c>
      <c r="AF629">
        <f>X629</f>
        <v>240</v>
      </c>
      <c r="AG629" s="41">
        <v>12</v>
      </c>
      <c r="AH629">
        <f t="shared" si="101"/>
        <v>240</v>
      </c>
      <c r="AI629">
        <f t="shared" si="102"/>
        <v>24</v>
      </c>
      <c r="AK629">
        <f t="shared" si="103"/>
        <v>20</v>
      </c>
      <c r="AL629">
        <v>7.12</v>
      </c>
      <c r="AM629" t="s">
        <v>27</v>
      </c>
      <c r="AN629">
        <v>7.12</v>
      </c>
      <c r="AO629" t="b">
        <f t="shared" si="104"/>
        <v>1</v>
      </c>
      <c r="AR629" t="s">
        <v>5061</v>
      </c>
      <c r="AS629" s="21">
        <v>46276</v>
      </c>
      <c r="AT629" t="s">
        <v>5062</v>
      </c>
      <c r="AU629" t="s">
        <v>5073</v>
      </c>
      <c r="AV629" t="s">
        <v>5062</v>
      </c>
      <c r="AW629" t="s">
        <v>5086</v>
      </c>
    </row>
    <row r="630" spans="1:49" hidden="1" x14ac:dyDescent="0.35">
      <c r="A630" t="s">
        <v>871</v>
      </c>
      <c r="B630" t="s">
        <v>872</v>
      </c>
      <c r="C630" t="s">
        <v>4818</v>
      </c>
      <c r="D630" t="s">
        <v>18</v>
      </c>
      <c r="E630" t="s">
        <v>2706</v>
      </c>
      <c r="F630" t="s">
        <v>2707</v>
      </c>
      <c r="G630" t="s">
        <v>2680</v>
      </c>
      <c r="H630" t="s">
        <v>4826</v>
      </c>
      <c r="I630" t="s">
        <v>4979</v>
      </c>
      <c r="J630" s="4" t="s">
        <v>4980</v>
      </c>
      <c r="K630" s="4" t="s">
        <v>4837</v>
      </c>
      <c r="L630" s="4">
        <v>32</v>
      </c>
      <c r="M630" s="4" t="s">
        <v>5035</v>
      </c>
      <c r="N630" t="s">
        <v>15</v>
      </c>
      <c r="O630" t="s">
        <v>2708</v>
      </c>
      <c r="P630" t="s">
        <v>23</v>
      </c>
      <c r="Q630" t="s">
        <v>24</v>
      </c>
      <c r="R630" t="s">
        <v>25</v>
      </c>
      <c r="S630" t="s">
        <v>26</v>
      </c>
      <c r="T630" s="6">
        <v>46307</v>
      </c>
      <c r="U630">
        <v>144</v>
      </c>
      <c r="V630">
        <v>144</v>
      </c>
      <c r="W630">
        <v>156</v>
      </c>
      <c r="X630">
        <v>156</v>
      </c>
      <c r="Y630">
        <f t="shared" si="99"/>
        <v>0</v>
      </c>
      <c r="Z630">
        <f t="shared" si="100"/>
        <v>-12</v>
      </c>
      <c r="AC630" s="1">
        <v>0</v>
      </c>
      <c r="AF630">
        <f>V630</f>
        <v>144</v>
      </c>
      <c r="AG630" s="41">
        <v>12</v>
      </c>
      <c r="AH630">
        <f t="shared" si="101"/>
        <v>144</v>
      </c>
      <c r="AI630">
        <f t="shared" si="102"/>
        <v>0</v>
      </c>
      <c r="AK630">
        <f t="shared" si="103"/>
        <v>12</v>
      </c>
      <c r="AL630">
        <v>7.12</v>
      </c>
      <c r="AM630" t="s">
        <v>27</v>
      </c>
      <c r="AN630">
        <v>7.12</v>
      </c>
      <c r="AO630" t="b">
        <f t="shared" si="104"/>
        <v>1</v>
      </c>
      <c r="AR630" t="s">
        <v>5061</v>
      </c>
      <c r="AS630" s="21">
        <v>46276</v>
      </c>
      <c r="AT630" t="s">
        <v>5062</v>
      </c>
      <c r="AU630" t="s">
        <v>5073</v>
      </c>
      <c r="AV630" t="s">
        <v>5062</v>
      </c>
      <c r="AW630" t="s">
        <v>5086</v>
      </c>
    </row>
    <row r="631" spans="1:49" hidden="1" x14ac:dyDescent="0.35">
      <c r="A631" t="s">
        <v>871</v>
      </c>
      <c r="B631" t="s">
        <v>872</v>
      </c>
      <c r="C631" t="s">
        <v>4818</v>
      </c>
      <c r="D631" t="s">
        <v>18</v>
      </c>
      <c r="E631" t="s">
        <v>2709</v>
      </c>
      <c r="F631" t="s">
        <v>2710</v>
      </c>
      <c r="G631" t="s">
        <v>2680</v>
      </c>
      <c r="H631" t="s">
        <v>4826</v>
      </c>
      <c r="I631" t="s">
        <v>4979</v>
      </c>
      <c r="J631" s="4" t="s">
        <v>4980</v>
      </c>
      <c r="K631" s="4" t="s">
        <v>4837</v>
      </c>
      <c r="L631" s="4">
        <v>42</v>
      </c>
      <c r="M631" s="4" t="s">
        <v>5035</v>
      </c>
      <c r="N631" t="s">
        <v>15</v>
      </c>
      <c r="O631" t="s">
        <v>2711</v>
      </c>
      <c r="P631" t="s">
        <v>23</v>
      </c>
      <c r="Q631" t="s">
        <v>24</v>
      </c>
      <c r="R631" t="s">
        <v>25</v>
      </c>
      <c r="S631" t="s">
        <v>26</v>
      </c>
      <c r="T631" s="6">
        <v>46307</v>
      </c>
      <c r="U631">
        <v>252</v>
      </c>
      <c r="V631">
        <v>252</v>
      </c>
      <c r="W631">
        <v>276</v>
      </c>
      <c r="X631">
        <v>276</v>
      </c>
      <c r="Y631">
        <f t="shared" si="99"/>
        <v>0</v>
      </c>
      <c r="Z631">
        <f t="shared" si="100"/>
        <v>-24</v>
      </c>
      <c r="AC631" s="1"/>
      <c r="AF631">
        <f>V631</f>
        <v>252</v>
      </c>
      <c r="AG631" s="41">
        <v>12</v>
      </c>
      <c r="AH631">
        <f t="shared" si="101"/>
        <v>252</v>
      </c>
      <c r="AI631">
        <f t="shared" si="102"/>
        <v>0</v>
      </c>
      <c r="AK631">
        <f t="shared" si="103"/>
        <v>21</v>
      </c>
      <c r="AL631">
        <v>7.12</v>
      </c>
      <c r="AM631" t="s">
        <v>27</v>
      </c>
      <c r="AN631">
        <v>7.12</v>
      </c>
      <c r="AO631" t="b">
        <f t="shared" si="104"/>
        <v>1</v>
      </c>
      <c r="AR631" t="s">
        <v>5061</v>
      </c>
      <c r="AS631" s="21">
        <v>46276</v>
      </c>
      <c r="AT631" t="s">
        <v>5062</v>
      </c>
      <c r="AU631" t="s">
        <v>5073</v>
      </c>
      <c r="AV631" t="s">
        <v>5062</v>
      </c>
      <c r="AW631" t="s">
        <v>5086</v>
      </c>
    </row>
    <row r="632" spans="1:49" hidden="1" x14ac:dyDescent="0.35">
      <c r="A632" t="s">
        <v>871</v>
      </c>
      <c r="B632" t="s">
        <v>872</v>
      </c>
      <c r="C632" t="s">
        <v>4818</v>
      </c>
      <c r="D632" t="s">
        <v>18</v>
      </c>
      <c r="E632" t="s">
        <v>2712</v>
      </c>
      <c r="F632" t="s">
        <v>2713</v>
      </c>
      <c r="G632" t="s">
        <v>2680</v>
      </c>
      <c r="H632" t="s">
        <v>4826</v>
      </c>
      <c r="I632" t="s">
        <v>4979</v>
      </c>
      <c r="J632" s="4" t="s">
        <v>4980</v>
      </c>
      <c r="K632" s="4" t="s">
        <v>4837</v>
      </c>
      <c r="L632" s="4">
        <v>36</v>
      </c>
      <c r="M632" s="4" t="s">
        <v>5035</v>
      </c>
      <c r="N632" t="s">
        <v>15</v>
      </c>
      <c r="O632" t="s">
        <v>2714</v>
      </c>
      <c r="P632" t="s">
        <v>23</v>
      </c>
      <c r="Q632" t="s">
        <v>24</v>
      </c>
      <c r="R632" t="s">
        <v>25</v>
      </c>
      <c r="S632" t="s">
        <v>26</v>
      </c>
      <c r="T632" s="6">
        <v>46307</v>
      </c>
      <c r="U632">
        <v>828</v>
      </c>
      <c r="V632">
        <v>828</v>
      </c>
      <c r="W632">
        <v>876</v>
      </c>
      <c r="X632">
        <v>876</v>
      </c>
      <c r="Y632">
        <f t="shared" si="99"/>
        <v>0</v>
      </c>
      <c r="Z632">
        <f t="shared" si="100"/>
        <v>-48</v>
      </c>
      <c r="AC632" s="1"/>
      <c r="AF632">
        <f>V632</f>
        <v>828</v>
      </c>
      <c r="AG632" s="41">
        <v>12</v>
      </c>
      <c r="AH632">
        <f t="shared" si="101"/>
        <v>828</v>
      </c>
      <c r="AI632">
        <f t="shared" si="102"/>
        <v>0</v>
      </c>
      <c r="AK632">
        <f t="shared" si="103"/>
        <v>69</v>
      </c>
      <c r="AL632">
        <v>7.12</v>
      </c>
      <c r="AM632" t="s">
        <v>27</v>
      </c>
      <c r="AN632">
        <v>7.12</v>
      </c>
      <c r="AO632" t="b">
        <f t="shared" si="104"/>
        <v>1</v>
      </c>
      <c r="AR632" t="s">
        <v>5061</v>
      </c>
      <c r="AS632" s="21">
        <v>46276</v>
      </c>
      <c r="AT632" t="s">
        <v>5062</v>
      </c>
      <c r="AU632" t="s">
        <v>5073</v>
      </c>
      <c r="AV632" t="s">
        <v>5062</v>
      </c>
      <c r="AW632" t="s">
        <v>5086</v>
      </c>
    </row>
    <row r="633" spans="1:49" hidden="1" x14ac:dyDescent="0.35">
      <c r="A633" t="s">
        <v>871</v>
      </c>
      <c r="B633" t="s">
        <v>872</v>
      </c>
      <c r="C633" t="s">
        <v>4818</v>
      </c>
      <c r="D633" t="s">
        <v>18</v>
      </c>
      <c r="E633" t="s">
        <v>2715</v>
      </c>
      <c r="F633" t="s">
        <v>2716</v>
      </c>
      <c r="G633" t="s">
        <v>2680</v>
      </c>
      <c r="H633" t="s">
        <v>4826</v>
      </c>
      <c r="I633" t="s">
        <v>4979</v>
      </c>
      <c r="J633" s="4" t="s">
        <v>4980</v>
      </c>
      <c r="K633" s="4" t="s">
        <v>4837</v>
      </c>
      <c r="L633" s="4">
        <v>30</v>
      </c>
      <c r="M633" s="4" t="s">
        <v>5035</v>
      </c>
      <c r="N633" t="s">
        <v>15</v>
      </c>
      <c r="O633" t="s">
        <v>2717</v>
      </c>
      <c r="P633" t="s">
        <v>23</v>
      </c>
      <c r="Q633" t="s">
        <v>24</v>
      </c>
      <c r="R633" t="s">
        <v>25</v>
      </c>
      <c r="S633" t="s">
        <v>26</v>
      </c>
      <c r="T633" s="6">
        <v>46307</v>
      </c>
      <c r="U633">
        <v>288</v>
      </c>
      <c r="V633">
        <v>288</v>
      </c>
      <c r="W633">
        <v>264</v>
      </c>
      <c r="X633">
        <v>264</v>
      </c>
      <c r="Y633">
        <f t="shared" si="99"/>
        <v>0</v>
      </c>
      <c r="Z633">
        <f t="shared" si="100"/>
        <v>24</v>
      </c>
      <c r="AA633">
        <f>Z633</f>
        <v>24</v>
      </c>
      <c r="AC633" s="1">
        <v>0</v>
      </c>
      <c r="AF633">
        <f>X633</f>
        <v>264</v>
      </c>
      <c r="AG633" s="41">
        <v>12</v>
      </c>
      <c r="AH633">
        <f t="shared" si="101"/>
        <v>264</v>
      </c>
      <c r="AI633">
        <f t="shared" si="102"/>
        <v>24</v>
      </c>
      <c r="AK633">
        <f t="shared" si="103"/>
        <v>22</v>
      </c>
      <c r="AL633">
        <v>7.12</v>
      </c>
      <c r="AM633" t="s">
        <v>27</v>
      </c>
      <c r="AN633">
        <v>7.12</v>
      </c>
      <c r="AO633" t="b">
        <f t="shared" si="104"/>
        <v>1</v>
      </c>
      <c r="AR633" t="s">
        <v>5061</v>
      </c>
      <c r="AS633" s="21">
        <v>46276</v>
      </c>
      <c r="AT633" t="s">
        <v>5062</v>
      </c>
      <c r="AU633" t="s">
        <v>5073</v>
      </c>
      <c r="AV633" t="s">
        <v>5062</v>
      </c>
      <c r="AW633" t="s">
        <v>5086</v>
      </c>
    </row>
    <row r="634" spans="1:49" hidden="1" x14ac:dyDescent="0.35">
      <c r="A634" t="s">
        <v>2718</v>
      </c>
      <c r="B634" t="s">
        <v>2719</v>
      </c>
      <c r="C634" t="s">
        <v>4818</v>
      </c>
      <c r="D634" t="s">
        <v>18</v>
      </c>
      <c r="E634" t="s">
        <v>2720</v>
      </c>
      <c r="F634" t="s">
        <v>2721</v>
      </c>
      <c r="G634" t="s">
        <v>21</v>
      </c>
      <c r="H634" t="s">
        <v>4888</v>
      </c>
      <c r="I634" t="s">
        <v>4981</v>
      </c>
      <c r="J634" s="4" t="s">
        <v>4982</v>
      </c>
      <c r="K634" s="4" t="s">
        <v>4904</v>
      </c>
      <c r="L634" s="4" t="s">
        <v>4983</v>
      </c>
      <c r="M634" s="4" t="s">
        <v>5035</v>
      </c>
      <c r="N634" t="s">
        <v>2722</v>
      </c>
      <c r="O634" t="s">
        <v>2723</v>
      </c>
      <c r="P634" t="s">
        <v>23</v>
      </c>
      <c r="Q634" t="s">
        <v>24</v>
      </c>
      <c r="R634" t="s">
        <v>25</v>
      </c>
      <c r="S634" t="s">
        <v>26</v>
      </c>
      <c r="T634" s="6">
        <v>46307</v>
      </c>
      <c r="U634">
        <v>264</v>
      </c>
      <c r="V634">
        <v>264</v>
      </c>
      <c r="W634">
        <v>288</v>
      </c>
      <c r="X634">
        <v>288</v>
      </c>
      <c r="Y634">
        <f t="shared" si="99"/>
        <v>0</v>
      </c>
      <c r="Z634">
        <f t="shared" si="100"/>
        <v>-24</v>
      </c>
      <c r="AC634" s="1"/>
      <c r="AF634">
        <f t="shared" ref="AF634:AF648" si="110">V634</f>
        <v>264</v>
      </c>
      <c r="AG634" s="41">
        <v>12</v>
      </c>
      <c r="AH634">
        <f t="shared" si="101"/>
        <v>264</v>
      </c>
      <c r="AI634">
        <f t="shared" si="102"/>
        <v>0</v>
      </c>
      <c r="AK634">
        <f t="shared" si="103"/>
        <v>22</v>
      </c>
      <c r="AL634">
        <v>14.2</v>
      </c>
      <c r="AM634" t="s">
        <v>27</v>
      </c>
      <c r="AN634">
        <v>14.2</v>
      </c>
      <c r="AO634" t="b">
        <f t="shared" si="104"/>
        <v>1</v>
      </c>
      <c r="AR634" t="s">
        <v>5061</v>
      </c>
      <c r="AS634" s="21">
        <v>46276</v>
      </c>
      <c r="AT634" t="s">
        <v>5074</v>
      </c>
      <c r="AU634" t="s">
        <v>5075</v>
      </c>
      <c r="AV634" t="s">
        <v>5074</v>
      </c>
      <c r="AW634" t="s">
        <v>5086</v>
      </c>
    </row>
    <row r="635" spans="1:49" hidden="1" x14ac:dyDescent="0.35">
      <c r="A635" t="s">
        <v>2718</v>
      </c>
      <c r="B635" t="s">
        <v>2719</v>
      </c>
      <c r="C635" t="s">
        <v>4818</v>
      </c>
      <c r="D635" t="s">
        <v>18</v>
      </c>
      <c r="E635" t="s">
        <v>2724</v>
      </c>
      <c r="F635" t="s">
        <v>2725</v>
      </c>
      <c r="G635" t="s">
        <v>21</v>
      </c>
      <c r="H635" t="s">
        <v>4888</v>
      </c>
      <c r="I635" t="s">
        <v>4981</v>
      </c>
      <c r="J635" s="4" t="s">
        <v>4982</v>
      </c>
      <c r="K635" s="4" t="s">
        <v>4984</v>
      </c>
      <c r="L635" s="4" t="s">
        <v>4985</v>
      </c>
      <c r="M635" s="4" t="s">
        <v>5035</v>
      </c>
      <c r="N635" t="s">
        <v>2726</v>
      </c>
      <c r="O635" t="s">
        <v>2727</v>
      </c>
      <c r="P635" t="s">
        <v>23</v>
      </c>
      <c r="Q635" t="s">
        <v>24</v>
      </c>
      <c r="R635" t="s">
        <v>25</v>
      </c>
      <c r="S635" t="s">
        <v>26</v>
      </c>
      <c r="T635" s="6">
        <v>46307</v>
      </c>
      <c r="U635">
        <v>288</v>
      </c>
      <c r="V635">
        <v>288</v>
      </c>
      <c r="W635">
        <v>312</v>
      </c>
      <c r="X635">
        <v>312</v>
      </c>
      <c r="Y635">
        <f t="shared" si="99"/>
        <v>0</v>
      </c>
      <c r="Z635">
        <f t="shared" si="100"/>
        <v>-24</v>
      </c>
      <c r="AC635" s="1"/>
      <c r="AF635">
        <f t="shared" si="110"/>
        <v>288</v>
      </c>
      <c r="AG635" s="41">
        <v>12</v>
      </c>
      <c r="AH635">
        <f t="shared" si="101"/>
        <v>288</v>
      </c>
      <c r="AI635">
        <f t="shared" si="102"/>
        <v>0</v>
      </c>
      <c r="AK635">
        <f t="shared" si="103"/>
        <v>24</v>
      </c>
      <c r="AL635">
        <v>13.96</v>
      </c>
      <c r="AM635" t="s">
        <v>27</v>
      </c>
      <c r="AN635">
        <v>13.96</v>
      </c>
      <c r="AO635" t="b">
        <f t="shared" si="104"/>
        <v>1</v>
      </c>
      <c r="AR635" t="s">
        <v>5061</v>
      </c>
      <c r="AS635" s="21">
        <v>46276</v>
      </c>
      <c r="AT635" t="s">
        <v>5074</v>
      </c>
      <c r="AU635" t="s">
        <v>5075</v>
      </c>
      <c r="AV635" t="s">
        <v>5074</v>
      </c>
      <c r="AW635" t="s">
        <v>5086</v>
      </c>
    </row>
    <row r="636" spans="1:49" hidden="1" x14ac:dyDescent="0.35">
      <c r="A636" t="s">
        <v>2718</v>
      </c>
      <c r="B636" t="s">
        <v>2719</v>
      </c>
      <c r="C636" t="s">
        <v>4818</v>
      </c>
      <c r="D636" t="s">
        <v>18</v>
      </c>
      <c r="E636" t="s">
        <v>2728</v>
      </c>
      <c r="F636" t="s">
        <v>2729</v>
      </c>
      <c r="G636" t="s">
        <v>21</v>
      </c>
      <c r="H636" t="s">
        <v>4888</v>
      </c>
      <c r="I636" t="s">
        <v>4981</v>
      </c>
      <c r="J636" s="4" t="s">
        <v>4982</v>
      </c>
      <c r="K636" s="4" t="s">
        <v>4904</v>
      </c>
      <c r="L636" s="4" t="s">
        <v>4986</v>
      </c>
      <c r="M636" s="4" t="s">
        <v>5035</v>
      </c>
      <c r="N636" t="s">
        <v>2730</v>
      </c>
      <c r="O636" t="s">
        <v>2731</v>
      </c>
      <c r="P636" t="s">
        <v>23</v>
      </c>
      <c r="Q636" t="s">
        <v>24</v>
      </c>
      <c r="R636" t="s">
        <v>25</v>
      </c>
      <c r="S636" t="s">
        <v>26</v>
      </c>
      <c r="T636" s="6">
        <v>46307</v>
      </c>
      <c r="U636">
        <v>264</v>
      </c>
      <c r="V636">
        <v>264</v>
      </c>
      <c r="W636">
        <v>288</v>
      </c>
      <c r="X636">
        <v>288</v>
      </c>
      <c r="Y636">
        <f t="shared" si="99"/>
        <v>0</v>
      </c>
      <c r="Z636">
        <f t="shared" si="100"/>
        <v>-24</v>
      </c>
      <c r="AC636" s="1">
        <v>0</v>
      </c>
      <c r="AF636">
        <f t="shared" si="110"/>
        <v>264</v>
      </c>
      <c r="AG636" s="41">
        <v>12</v>
      </c>
      <c r="AH636">
        <f t="shared" si="101"/>
        <v>264</v>
      </c>
      <c r="AI636">
        <f t="shared" si="102"/>
        <v>0</v>
      </c>
      <c r="AK636">
        <f t="shared" si="103"/>
        <v>22</v>
      </c>
      <c r="AL636">
        <v>14.2</v>
      </c>
      <c r="AM636" t="s">
        <v>27</v>
      </c>
      <c r="AN636">
        <v>14.2</v>
      </c>
      <c r="AO636" t="b">
        <f t="shared" si="104"/>
        <v>1</v>
      </c>
      <c r="AR636" t="s">
        <v>5061</v>
      </c>
      <c r="AS636" s="21">
        <v>46276</v>
      </c>
      <c r="AT636" t="s">
        <v>5074</v>
      </c>
      <c r="AU636" t="s">
        <v>5075</v>
      </c>
      <c r="AV636" t="s">
        <v>5074</v>
      </c>
      <c r="AW636" t="s">
        <v>5086</v>
      </c>
    </row>
    <row r="637" spans="1:49" hidden="1" x14ac:dyDescent="0.35">
      <c r="A637" t="s">
        <v>2718</v>
      </c>
      <c r="B637" t="s">
        <v>2719</v>
      </c>
      <c r="C637" t="s">
        <v>4818</v>
      </c>
      <c r="D637" t="s">
        <v>18</v>
      </c>
      <c r="E637" t="s">
        <v>2732</v>
      </c>
      <c r="F637" t="s">
        <v>2733</v>
      </c>
      <c r="G637" t="s">
        <v>21</v>
      </c>
      <c r="H637" t="s">
        <v>4888</v>
      </c>
      <c r="I637" t="s">
        <v>4981</v>
      </c>
      <c r="J637" s="4" t="s">
        <v>4982</v>
      </c>
      <c r="K637" s="4" t="s">
        <v>4904</v>
      </c>
      <c r="L637" s="4" t="s">
        <v>4985</v>
      </c>
      <c r="M637" s="4" t="s">
        <v>5035</v>
      </c>
      <c r="N637" t="s">
        <v>2734</v>
      </c>
      <c r="O637" t="s">
        <v>2735</v>
      </c>
      <c r="P637" t="s">
        <v>23</v>
      </c>
      <c r="Q637" t="s">
        <v>24</v>
      </c>
      <c r="R637" t="s">
        <v>25</v>
      </c>
      <c r="S637" t="s">
        <v>26</v>
      </c>
      <c r="T637" s="6">
        <v>46307</v>
      </c>
      <c r="U637">
        <v>216</v>
      </c>
      <c r="V637">
        <v>216</v>
      </c>
      <c r="W637">
        <v>240</v>
      </c>
      <c r="X637">
        <v>240</v>
      </c>
      <c r="Y637">
        <f t="shared" si="99"/>
        <v>0</v>
      </c>
      <c r="Z637">
        <f t="shared" si="100"/>
        <v>-24</v>
      </c>
      <c r="AC637" s="1">
        <v>0</v>
      </c>
      <c r="AF637">
        <f t="shared" si="110"/>
        <v>216</v>
      </c>
      <c r="AG637" s="41">
        <v>12</v>
      </c>
      <c r="AH637">
        <f t="shared" si="101"/>
        <v>216</v>
      </c>
      <c r="AI637">
        <f t="shared" si="102"/>
        <v>0</v>
      </c>
      <c r="AK637">
        <f t="shared" si="103"/>
        <v>18</v>
      </c>
      <c r="AL637">
        <v>14.2</v>
      </c>
      <c r="AM637" t="s">
        <v>27</v>
      </c>
      <c r="AN637">
        <v>14.2</v>
      </c>
      <c r="AO637" t="b">
        <f t="shared" si="104"/>
        <v>1</v>
      </c>
      <c r="AR637" t="s">
        <v>5061</v>
      </c>
      <c r="AS637" s="21">
        <v>46276</v>
      </c>
      <c r="AT637" t="s">
        <v>5074</v>
      </c>
      <c r="AU637" t="s">
        <v>5075</v>
      </c>
      <c r="AV637" t="s">
        <v>5074</v>
      </c>
      <c r="AW637" t="s">
        <v>5086</v>
      </c>
    </row>
    <row r="638" spans="1:49" hidden="1" x14ac:dyDescent="0.35">
      <c r="A638" t="s">
        <v>2718</v>
      </c>
      <c r="B638" t="s">
        <v>2719</v>
      </c>
      <c r="C638" t="s">
        <v>4818</v>
      </c>
      <c r="D638" t="s">
        <v>18</v>
      </c>
      <c r="E638" t="s">
        <v>2736</v>
      </c>
      <c r="F638" t="s">
        <v>2737</v>
      </c>
      <c r="G638" t="s">
        <v>21</v>
      </c>
      <c r="H638" t="s">
        <v>4888</v>
      </c>
      <c r="I638" t="s">
        <v>4981</v>
      </c>
      <c r="J638" s="4" t="s">
        <v>4982</v>
      </c>
      <c r="K638" s="4" t="s">
        <v>4904</v>
      </c>
      <c r="L638" s="4" t="s">
        <v>4987</v>
      </c>
      <c r="M638" s="4" t="s">
        <v>5035</v>
      </c>
      <c r="N638" t="s">
        <v>2738</v>
      </c>
      <c r="O638" t="s">
        <v>2739</v>
      </c>
      <c r="P638" t="s">
        <v>23</v>
      </c>
      <c r="Q638" t="s">
        <v>24</v>
      </c>
      <c r="R638" t="s">
        <v>25</v>
      </c>
      <c r="S638" t="s">
        <v>26</v>
      </c>
      <c r="T638" s="6">
        <v>46307</v>
      </c>
      <c r="U638">
        <v>156</v>
      </c>
      <c r="V638">
        <v>156</v>
      </c>
      <c r="W638">
        <v>168</v>
      </c>
      <c r="X638">
        <v>168</v>
      </c>
      <c r="Y638">
        <f t="shared" si="99"/>
        <v>0</v>
      </c>
      <c r="Z638">
        <f t="shared" si="100"/>
        <v>-12</v>
      </c>
      <c r="AC638" s="1">
        <v>0</v>
      </c>
      <c r="AF638">
        <f t="shared" si="110"/>
        <v>156</v>
      </c>
      <c r="AG638" s="41">
        <v>12</v>
      </c>
      <c r="AH638">
        <f t="shared" si="101"/>
        <v>156</v>
      </c>
      <c r="AI638">
        <f t="shared" si="102"/>
        <v>0</v>
      </c>
      <c r="AK638">
        <f t="shared" si="103"/>
        <v>13</v>
      </c>
      <c r="AL638">
        <v>14.2</v>
      </c>
      <c r="AM638" t="s">
        <v>27</v>
      </c>
      <c r="AN638">
        <v>14.2</v>
      </c>
      <c r="AO638" t="b">
        <f t="shared" si="104"/>
        <v>1</v>
      </c>
      <c r="AR638" t="s">
        <v>5061</v>
      </c>
      <c r="AS638" s="21">
        <v>46276</v>
      </c>
      <c r="AT638" t="s">
        <v>5074</v>
      </c>
      <c r="AU638" t="s">
        <v>5075</v>
      </c>
      <c r="AV638" t="s">
        <v>5074</v>
      </c>
      <c r="AW638" t="s">
        <v>5086</v>
      </c>
    </row>
    <row r="639" spans="1:49" hidden="1" x14ac:dyDescent="0.35">
      <c r="A639" t="s">
        <v>2718</v>
      </c>
      <c r="B639" t="s">
        <v>2719</v>
      </c>
      <c r="C639" t="s">
        <v>4818</v>
      </c>
      <c r="D639" t="s">
        <v>18</v>
      </c>
      <c r="E639" t="s">
        <v>2740</v>
      </c>
      <c r="F639" t="s">
        <v>2741</v>
      </c>
      <c r="G639" t="s">
        <v>21</v>
      </c>
      <c r="H639" t="s">
        <v>4888</v>
      </c>
      <c r="I639" t="s">
        <v>4981</v>
      </c>
      <c r="J639" s="4" t="s">
        <v>4982</v>
      </c>
      <c r="K639" s="4" t="s">
        <v>4984</v>
      </c>
      <c r="L639" s="4" t="s">
        <v>4988</v>
      </c>
      <c r="M639" s="4" t="s">
        <v>5035</v>
      </c>
      <c r="N639" t="s">
        <v>2742</v>
      </c>
      <c r="O639" t="s">
        <v>2743</v>
      </c>
      <c r="P639" t="s">
        <v>23</v>
      </c>
      <c r="Q639" t="s">
        <v>24</v>
      </c>
      <c r="R639" t="s">
        <v>25</v>
      </c>
      <c r="S639" t="s">
        <v>26</v>
      </c>
      <c r="T639" s="6">
        <v>46307</v>
      </c>
      <c r="U639">
        <v>108</v>
      </c>
      <c r="V639">
        <v>108</v>
      </c>
      <c r="W639">
        <v>120</v>
      </c>
      <c r="X639">
        <v>120</v>
      </c>
      <c r="Y639">
        <f t="shared" si="99"/>
        <v>0</v>
      </c>
      <c r="Z639">
        <f t="shared" si="100"/>
        <v>-12</v>
      </c>
      <c r="AC639" s="1">
        <v>0</v>
      </c>
      <c r="AF639">
        <f t="shared" si="110"/>
        <v>108</v>
      </c>
      <c r="AG639" s="41">
        <v>12</v>
      </c>
      <c r="AH639">
        <f t="shared" si="101"/>
        <v>108</v>
      </c>
      <c r="AI639">
        <f t="shared" si="102"/>
        <v>0</v>
      </c>
      <c r="AK639">
        <f t="shared" si="103"/>
        <v>9</v>
      </c>
      <c r="AL639">
        <v>13.96</v>
      </c>
      <c r="AM639" t="s">
        <v>27</v>
      </c>
      <c r="AN639">
        <v>13.96</v>
      </c>
      <c r="AO639" t="b">
        <f t="shared" si="104"/>
        <v>1</v>
      </c>
      <c r="AR639" t="s">
        <v>5061</v>
      </c>
      <c r="AS639" s="21">
        <v>46276</v>
      </c>
      <c r="AT639" t="s">
        <v>5074</v>
      </c>
      <c r="AU639" t="s">
        <v>5075</v>
      </c>
      <c r="AV639" t="s">
        <v>5074</v>
      </c>
      <c r="AW639" t="s">
        <v>5086</v>
      </c>
    </row>
    <row r="640" spans="1:49" hidden="1" x14ac:dyDescent="0.35">
      <c r="A640" t="s">
        <v>2718</v>
      </c>
      <c r="B640" t="s">
        <v>2719</v>
      </c>
      <c r="C640" t="s">
        <v>4818</v>
      </c>
      <c r="D640" t="s">
        <v>18</v>
      </c>
      <c r="E640" t="s">
        <v>2744</v>
      </c>
      <c r="F640" t="s">
        <v>2745</v>
      </c>
      <c r="G640" t="s">
        <v>21</v>
      </c>
      <c r="H640" t="s">
        <v>4888</v>
      </c>
      <c r="I640" t="s">
        <v>4981</v>
      </c>
      <c r="J640" s="4" t="s">
        <v>4982</v>
      </c>
      <c r="K640" s="4" t="s">
        <v>4904</v>
      </c>
      <c r="L640" s="4" t="s">
        <v>4988</v>
      </c>
      <c r="M640" s="4" t="s">
        <v>5035</v>
      </c>
      <c r="N640" t="s">
        <v>2746</v>
      </c>
      <c r="O640" t="s">
        <v>2747</v>
      </c>
      <c r="P640" t="s">
        <v>23</v>
      </c>
      <c r="Q640" t="s">
        <v>24</v>
      </c>
      <c r="R640" t="s">
        <v>25</v>
      </c>
      <c r="S640" t="s">
        <v>26</v>
      </c>
      <c r="T640" s="6">
        <v>46307</v>
      </c>
      <c r="U640">
        <v>72</v>
      </c>
      <c r="V640">
        <v>72</v>
      </c>
      <c r="W640">
        <v>84</v>
      </c>
      <c r="X640">
        <v>84</v>
      </c>
      <c r="Y640">
        <f t="shared" si="99"/>
        <v>0</v>
      </c>
      <c r="Z640">
        <f t="shared" si="100"/>
        <v>-12</v>
      </c>
      <c r="AC640" s="1">
        <v>0</v>
      </c>
      <c r="AF640">
        <f t="shared" si="110"/>
        <v>72</v>
      </c>
      <c r="AG640" s="41">
        <v>12</v>
      </c>
      <c r="AH640">
        <f t="shared" si="101"/>
        <v>72</v>
      </c>
      <c r="AI640">
        <f t="shared" si="102"/>
        <v>0</v>
      </c>
      <c r="AK640">
        <f t="shared" si="103"/>
        <v>6</v>
      </c>
      <c r="AL640">
        <v>14.2</v>
      </c>
      <c r="AM640" t="s">
        <v>27</v>
      </c>
      <c r="AN640">
        <v>14.2</v>
      </c>
      <c r="AO640" t="b">
        <f t="shared" si="104"/>
        <v>1</v>
      </c>
      <c r="AR640" t="s">
        <v>5061</v>
      </c>
      <c r="AS640" s="21">
        <v>46276</v>
      </c>
      <c r="AT640" t="s">
        <v>5074</v>
      </c>
      <c r="AU640" t="s">
        <v>5075</v>
      </c>
      <c r="AV640" t="s">
        <v>5074</v>
      </c>
      <c r="AW640" t="s">
        <v>5086</v>
      </c>
    </row>
    <row r="641" spans="1:49" hidden="1" x14ac:dyDescent="0.35">
      <c r="A641" t="s">
        <v>2718</v>
      </c>
      <c r="B641" t="s">
        <v>2719</v>
      </c>
      <c r="C641" t="s">
        <v>4818</v>
      </c>
      <c r="D641" t="s">
        <v>18</v>
      </c>
      <c r="E641" t="s">
        <v>2748</v>
      </c>
      <c r="F641" t="s">
        <v>2749</v>
      </c>
      <c r="G641" t="s">
        <v>21</v>
      </c>
      <c r="H641" t="s">
        <v>4888</v>
      </c>
      <c r="I641" t="s">
        <v>4981</v>
      </c>
      <c r="J641" s="4" t="s">
        <v>4982</v>
      </c>
      <c r="K641" s="4" t="s">
        <v>4984</v>
      </c>
      <c r="L641" s="4" t="s">
        <v>4983</v>
      </c>
      <c r="M641" s="4" t="s">
        <v>5035</v>
      </c>
      <c r="N641" t="s">
        <v>2750</v>
      </c>
      <c r="O641" t="s">
        <v>2751</v>
      </c>
      <c r="P641" t="s">
        <v>23</v>
      </c>
      <c r="Q641" t="s">
        <v>24</v>
      </c>
      <c r="R641" t="s">
        <v>25</v>
      </c>
      <c r="S641" t="s">
        <v>26</v>
      </c>
      <c r="T641" s="6">
        <v>46307</v>
      </c>
      <c r="U641">
        <v>276</v>
      </c>
      <c r="V641">
        <v>276</v>
      </c>
      <c r="W641">
        <v>300</v>
      </c>
      <c r="X641">
        <v>300</v>
      </c>
      <c r="Y641">
        <f t="shared" si="99"/>
        <v>0</v>
      </c>
      <c r="Z641">
        <f t="shared" si="100"/>
        <v>-24</v>
      </c>
      <c r="AC641" s="1">
        <v>0</v>
      </c>
      <c r="AF641">
        <f t="shared" si="110"/>
        <v>276</v>
      </c>
      <c r="AG641" s="41">
        <v>12</v>
      </c>
      <c r="AH641">
        <f t="shared" si="101"/>
        <v>276</v>
      </c>
      <c r="AI641">
        <f t="shared" si="102"/>
        <v>0</v>
      </c>
      <c r="AK641">
        <f t="shared" si="103"/>
        <v>23</v>
      </c>
      <c r="AL641">
        <v>13.96</v>
      </c>
      <c r="AM641" t="s">
        <v>27</v>
      </c>
      <c r="AN641">
        <v>13.96</v>
      </c>
      <c r="AO641" t="b">
        <f t="shared" si="104"/>
        <v>1</v>
      </c>
      <c r="AR641" t="s">
        <v>5061</v>
      </c>
      <c r="AS641" s="21">
        <v>46276</v>
      </c>
      <c r="AT641" t="s">
        <v>5074</v>
      </c>
      <c r="AU641" t="s">
        <v>5075</v>
      </c>
      <c r="AV641" t="s">
        <v>5074</v>
      </c>
      <c r="AW641" t="s">
        <v>5086</v>
      </c>
    </row>
    <row r="642" spans="1:49" hidden="1" x14ac:dyDescent="0.35">
      <c r="A642" t="s">
        <v>2718</v>
      </c>
      <c r="B642" t="s">
        <v>2719</v>
      </c>
      <c r="C642" t="s">
        <v>4818</v>
      </c>
      <c r="D642" t="s">
        <v>18</v>
      </c>
      <c r="E642" t="s">
        <v>2752</v>
      </c>
      <c r="F642" t="s">
        <v>2753</v>
      </c>
      <c r="G642" t="s">
        <v>21</v>
      </c>
      <c r="H642" t="s">
        <v>4888</v>
      </c>
      <c r="I642" t="s">
        <v>4981</v>
      </c>
      <c r="J642" s="4" t="s">
        <v>4982</v>
      </c>
      <c r="K642" s="4" t="s">
        <v>4984</v>
      </c>
      <c r="L642" s="4" t="s">
        <v>4986</v>
      </c>
      <c r="M642" s="4" t="s">
        <v>5035</v>
      </c>
      <c r="N642" t="s">
        <v>2754</v>
      </c>
      <c r="O642" t="s">
        <v>2755</v>
      </c>
      <c r="P642" t="s">
        <v>23</v>
      </c>
      <c r="Q642" t="s">
        <v>24</v>
      </c>
      <c r="R642" t="s">
        <v>25</v>
      </c>
      <c r="S642" t="s">
        <v>26</v>
      </c>
      <c r="T642" s="6">
        <v>46307</v>
      </c>
      <c r="U642">
        <v>300</v>
      </c>
      <c r="V642">
        <v>300</v>
      </c>
      <c r="W642">
        <v>324</v>
      </c>
      <c r="X642">
        <v>324</v>
      </c>
      <c r="Y642">
        <f t="shared" si="99"/>
        <v>0</v>
      </c>
      <c r="Z642">
        <f t="shared" si="100"/>
        <v>-24</v>
      </c>
      <c r="AC642" s="1">
        <v>0</v>
      </c>
      <c r="AF642">
        <f t="shared" si="110"/>
        <v>300</v>
      </c>
      <c r="AG642" s="41">
        <v>12</v>
      </c>
      <c r="AH642">
        <f t="shared" si="101"/>
        <v>300</v>
      </c>
      <c r="AI642">
        <f t="shared" si="102"/>
        <v>0</v>
      </c>
      <c r="AK642">
        <f t="shared" si="103"/>
        <v>25</v>
      </c>
      <c r="AL642">
        <v>13.96</v>
      </c>
      <c r="AM642" t="s">
        <v>27</v>
      </c>
      <c r="AN642">
        <v>13.96</v>
      </c>
      <c r="AO642" t="b">
        <f t="shared" si="104"/>
        <v>1</v>
      </c>
      <c r="AR642" t="s">
        <v>5061</v>
      </c>
      <c r="AS642" s="21">
        <v>46276</v>
      </c>
      <c r="AT642" t="s">
        <v>5074</v>
      </c>
      <c r="AU642" t="s">
        <v>5075</v>
      </c>
      <c r="AV642" t="s">
        <v>5074</v>
      </c>
      <c r="AW642" t="s">
        <v>5086</v>
      </c>
    </row>
    <row r="643" spans="1:49" hidden="1" x14ac:dyDescent="0.35">
      <c r="A643" t="s">
        <v>2718</v>
      </c>
      <c r="B643" t="s">
        <v>2719</v>
      </c>
      <c r="C643" t="s">
        <v>4818</v>
      </c>
      <c r="D643" t="s">
        <v>18</v>
      </c>
      <c r="E643" t="s">
        <v>2756</v>
      </c>
      <c r="F643" t="s">
        <v>2757</v>
      </c>
      <c r="G643" t="s">
        <v>21</v>
      </c>
      <c r="H643" t="s">
        <v>4888</v>
      </c>
      <c r="I643" t="s">
        <v>4981</v>
      </c>
      <c r="J643" s="4" t="s">
        <v>4982</v>
      </c>
      <c r="K643" s="4" t="s">
        <v>4904</v>
      </c>
      <c r="L643" s="4" t="s">
        <v>4989</v>
      </c>
      <c r="M643" s="4" t="s">
        <v>5035</v>
      </c>
      <c r="N643" t="s">
        <v>2758</v>
      </c>
      <c r="O643" t="s">
        <v>2759</v>
      </c>
      <c r="P643" t="s">
        <v>23</v>
      </c>
      <c r="Q643" t="s">
        <v>24</v>
      </c>
      <c r="R643" t="s">
        <v>25</v>
      </c>
      <c r="S643" t="s">
        <v>26</v>
      </c>
      <c r="T643" s="6">
        <v>46307</v>
      </c>
      <c r="U643">
        <v>156</v>
      </c>
      <c r="V643">
        <v>156</v>
      </c>
      <c r="W643">
        <v>168</v>
      </c>
      <c r="X643">
        <v>168</v>
      </c>
      <c r="Y643">
        <f t="shared" ref="Y643:Y706" si="111">W643-X643</f>
        <v>0</v>
      </c>
      <c r="Z643">
        <f t="shared" ref="Z643:Z706" si="112">V643-X643</f>
        <v>-12</v>
      </c>
      <c r="AC643" s="1">
        <v>0</v>
      </c>
      <c r="AF643">
        <f t="shared" si="110"/>
        <v>156</v>
      </c>
      <c r="AG643" s="41">
        <v>12</v>
      </c>
      <c r="AH643">
        <f t="shared" ref="AH643:AH706" si="113">ROUNDUP(AF643/AG643,0)*AG643</f>
        <v>156</v>
      </c>
      <c r="AI643">
        <f t="shared" ref="AI643:AI706" si="114">V643-AH643</f>
        <v>0</v>
      </c>
      <c r="AK643">
        <f t="shared" ref="AK643:AK706" si="115">AH643/AG643</f>
        <v>13</v>
      </c>
      <c r="AL643">
        <v>14.2</v>
      </c>
      <c r="AM643" t="s">
        <v>27</v>
      </c>
      <c r="AN643">
        <v>14.2</v>
      </c>
      <c r="AO643" t="b">
        <f t="shared" ref="AO643:AO706" si="116">AL643=AN643</f>
        <v>1</v>
      </c>
      <c r="AR643" t="s">
        <v>5061</v>
      </c>
      <c r="AS643" s="21">
        <v>46276</v>
      </c>
      <c r="AT643" t="s">
        <v>5074</v>
      </c>
      <c r="AU643" t="s">
        <v>5075</v>
      </c>
      <c r="AV643" t="s">
        <v>5074</v>
      </c>
      <c r="AW643" t="s">
        <v>5086</v>
      </c>
    </row>
    <row r="644" spans="1:49" hidden="1" x14ac:dyDescent="0.35">
      <c r="A644" t="s">
        <v>2718</v>
      </c>
      <c r="B644" t="s">
        <v>2719</v>
      </c>
      <c r="C644" t="s">
        <v>4818</v>
      </c>
      <c r="D644" t="s">
        <v>18</v>
      </c>
      <c r="E644" t="s">
        <v>2760</v>
      </c>
      <c r="F644" t="s">
        <v>2761</v>
      </c>
      <c r="G644" t="s">
        <v>21</v>
      </c>
      <c r="H644" t="s">
        <v>4888</v>
      </c>
      <c r="I644" t="s">
        <v>4981</v>
      </c>
      <c r="J644" s="4" t="s">
        <v>4982</v>
      </c>
      <c r="K644" s="4" t="s">
        <v>4984</v>
      </c>
      <c r="L644" s="4" t="s">
        <v>4989</v>
      </c>
      <c r="M644" s="4" t="s">
        <v>5035</v>
      </c>
      <c r="N644" t="s">
        <v>2762</v>
      </c>
      <c r="O644" t="s">
        <v>2763</v>
      </c>
      <c r="P644" t="s">
        <v>23</v>
      </c>
      <c r="Q644" t="s">
        <v>24</v>
      </c>
      <c r="R644" t="s">
        <v>25</v>
      </c>
      <c r="S644" t="s">
        <v>26</v>
      </c>
      <c r="T644" s="6">
        <v>46307</v>
      </c>
      <c r="U644">
        <v>204</v>
      </c>
      <c r="V644">
        <v>204</v>
      </c>
      <c r="W644">
        <v>216</v>
      </c>
      <c r="X644">
        <v>216</v>
      </c>
      <c r="Y644">
        <f t="shared" si="111"/>
        <v>0</v>
      </c>
      <c r="Z644">
        <f t="shared" si="112"/>
        <v>-12</v>
      </c>
      <c r="AC644" s="1"/>
      <c r="AF644">
        <f t="shared" si="110"/>
        <v>204</v>
      </c>
      <c r="AG644" s="41">
        <v>12</v>
      </c>
      <c r="AH644">
        <f t="shared" si="113"/>
        <v>204</v>
      </c>
      <c r="AI644">
        <f t="shared" si="114"/>
        <v>0</v>
      </c>
      <c r="AK644">
        <f t="shared" si="115"/>
        <v>17</v>
      </c>
      <c r="AL644">
        <v>13.96</v>
      </c>
      <c r="AM644" t="s">
        <v>27</v>
      </c>
      <c r="AN644">
        <v>13.96</v>
      </c>
      <c r="AO644" t="b">
        <f t="shared" si="116"/>
        <v>1</v>
      </c>
      <c r="AR644" t="s">
        <v>5061</v>
      </c>
      <c r="AS644" s="21">
        <v>46276</v>
      </c>
      <c r="AT644" t="s">
        <v>5074</v>
      </c>
      <c r="AU644" t="s">
        <v>5075</v>
      </c>
      <c r="AV644" t="s">
        <v>5074</v>
      </c>
      <c r="AW644" t="s">
        <v>5086</v>
      </c>
    </row>
    <row r="645" spans="1:49" hidden="1" x14ac:dyDescent="0.35">
      <c r="A645" t="s">
        <v>2718</v>
      </c>
      <c r="B645" t="s">
        <v>2719</v>
      </c>
      <c r="C645" t="s">
        <v>4818</v>
      </c>
      <c r="D645" t="s">
        <v>18</v>
      </c>
      <c r="E645" t="s">
        <v>2764</v>
      </c>
      <c r="F645" t="s">
        <v>2765</v>
      </c>
      <c r="G645" t="s">
        <v>21</v>
      </c>
      <c r="H645" t="s">
        <v>4888</v>
      </c>
      <c r="I645" t="s">
        <v>4981</v>
      </c>
      <c r="J645" s="4" t="s">
        <v>4982</v>
      </c>
      <c r="K645" s="4" t="s">
        <v>4904</v>
      </c>
      <c r="L645" s="4" t="s">
        <v>4990</v>
      </c>
      <c r="M645" s="4" t="s">
        <v>5035</v>
      </c>
      <c r="N645" t="s">
        <v>2766</v>
      </c>
      <c r="O645" t="s">
        <v>2767</v>
      </c>
      <c r="P645" t="s">
        <v>23</v>
      </c>
      <c r="Q645" t="s">
        <v>24</v>
      </c>
      <c r="R645" t="s">
        <v>25</v>
      </c>
      <c r="S645" t="s">
        <v>26</v>
      </c>
      <c r="T645" s="6">
        <v>46307</v>
      </c>
      <c r="U645">
        <v>120</v>
      </c>
      <c r="V645">
        <v>120</v>
      </c>
      <c r="W645">
        <v>132</v>
      </c>
      <c r="X645">
        <v>132</v>
      </c>
      <c r="Y645">
        <f t="shared" si="111"/>
        <v>0</v>
      </c>
      <c r="Z645">
        <f t="shared" si="112"/>
        <v>-12</v>
      </c>
      <c r="AC645" s="1">
        <v>0</v>
      </c>
      <c r="AF645">
        <f t="shared" si="110"/>
        <v>120</v>
      </c>
      <c r="AG645" s="41">
        <v>12</v>
      </c>
      <c r="AH645">
        <f t="shared" si="113"/>
        <v>120</v>
      </c>
      <c r="AI645">
        <f t="shared" si="114"/>
        <v>0</v>
      </c>
      <c r="AK645">
        <f t="shared" si="115"/>
        <v>10</v>
      </c>
      <c r="AL645">
        <v>14.2</v>
      </c>
      <c r="AM645" t="s">
        <v>27</v>
      </c>
      <c r="AN645">
        <v>14.2</v>
      </c>
      <c r="AO645" t="b">
        <f t="shared" si="116"/>
        <v>1</v>
      </c>
      <c r="AR645" t="s">
        <v>5061</v>
      </c>
      <c r="AS645" s="21">
        <v>46276</v>
      </c>
      <c r="AT645" t="s">
        <v>5074</v>
      </c>
      <c r="AU645" t="s">
        <v>5075</v>
      </c>
      <c r="AV645" t="s">
        <v>5074</v>
      </c>
      <c r="AW645" t="s">
        <v>5086</v>
      </c>
    </row>
    <row r="646" spans="1:49" hidden="1" x14ac:dyDescent="0.35">
      <c r="A646" t="s">
        <v>2718</v>
      </c>
      <c r="B646" t="s">
        <v>2719</v>
      </c>
      <c r="C646" t="s">
        <v>4818</v>
      </c>
      <c r="D646" t="s">
        <v>18</v>
      </c>
      <c r="E646" t="s">
        <v>2768</v>
      </c>
      <c r="F646" t="s">
        <v>2769</v>
      </c>
      <c r="G646" t="s">
        <v>21</v>
      </c>
      <c r="H646" t="s">
        <v>4888</v>
      </c>
      <c r="I646" t="s">
        <v>4981</v>
      </c>
      <c r="J646" s="4" t="s">
        <v>4982</v>
      </c>
      <c r="K646" s="4" t="s">
        <v>4984</v>
      </c>
      <c r="L646" s="4" t="s">
        <v>4990</v>
      </c>
      <c r="M646" s="4" t="s">
        <v>5035</v>
      </c>
      <c r="N646" t="s">
        <v>2770</v>
      </c>
      <c r="O646" t="s">
        <v>2771</v>
      </c>
      <c r="P646" t="s">
        <v>23</v>
      </c>
      <c r="Q646" t="s">
        <v>24</v>
      </c>
      <c r="R646" t="s">
        <v>25</v>
      </c>
      <c r="S646" t="s">
        <v>26</v>
      </c>
      <c r="T646" s="6">
        <v>46307</v>
      </c>
      <c r="U646">
        <v>180</v>
      </c>
      <c r="V646">
        <v>180</v>
      </c>
      <c r="W646">
        <v>192</v>
      </c>
      <c r="X646">
        <v>192</v>
      </c>
      <c r="Y646">
        <f t="shared" si="111"/>
        <v>0</v>
      </c>
      <c r="Z646">
        <f t="shared" si="112"/>
        <v>-12</v>
      </c>
      <c r="AC646" s="1"/>
      <c r="AF646">
        <f t="shared" si="110"/>
        <v>180</v>
      </c>
      <c r="AG646" s="41">
        <v>12</v>
      </c>
      <c r="AH646">
        <f t="shared" si="113"/>
        <v>180</v>
      </c>
      <c r="AI646">
        <f t="shared" si="114"/>
        <v>0</v>
      </c>
      <c r="AK646">
        <f t="shared" si="115"/>
        <v>15</v>
      </c>
      <c r="AL646">
        <v>13.96</v>
      </c>
      <c r="AM646" t="s">
        <v>27</v>
      </c>
      <c r="AN646">
        <v>13.96</v>
      </c>
      <c r="AO646" t="b">
        <f t="shared" si="116"/>
        <v>1</v>
      </c>
      <c r="AR646" t="s">
        <v>5061</v>
      </c>
      <c r="AS646" s="21">
        <v>46276</v>
      </c>
      <c r="AT646" t="s">
        <v>5074</v>
      </c>
      <c r="AU646" t="s">
        <v>5075</v>
      </c>
      <c r="AV646" t="s">
        <v>5074</v>
      </c>
      <c r="AW646" t="s">
        <v>5086</v>
      </c>
    </row>
    <row r="647" spans="1:49" hidden="1" x14ac:dyDescent="0.35">
      <c r="A647" t="s">
        <v>2718</v>
      </c>
      <c r="B647" t="s">
        <v>2719</v>
      </c>
      <c r="C647" t="s">
        <v>4818</v>
      </c>
      <c r="D647" t="s">
        <v>18</v>
      </c>
      <c r="E647" t="s">
        <v>2772</v>
      </c>
      <c r="F647" t="s">
        <v>2773</v>
      </c>
      <c r="G647" t="s">
        <v>21</v>
      </c>
      <c r="H647" t="s">
        <v>4888</v>
      </c>
      <c r="I647" t="s">
        <v>4991</v>
      </c>
      <c r="J647" s="4" t="s">
        <v>4992</v>
      </c>
      <c r="K647" s="4" t="s">
        <v>4993</v>
      </c>
      <c r="L647" s="4" t="s">
        <v>4994</v>
      </c>
      <c r="M647" s="4" t="s">
        <v>5035</v>
      </c>
      <c r="N647" t="s">
        <v>2774</v>
      </c>
      <c r="O647" t="s">
        <v>2775</v>
      </c>
      <c r="P647" t="s">
        <v>23</v>
      </c>
      <c r="Q647" t="s">
        <v>24</v>
      </c>
      <c r="R647" t="s">
        <v>25</v>
      </c>
      <c r="S647" t="s">
        <v>26</v>
      </c>
      <c r="T647" s="6">
        <v>46307</v>
      </c>
      <c r="U647">
        <v>804</v>
      </c>
      <c r="V647">
        <v>804</v>
      </c>
      <c r="W647">
        <v>804</v>
      </c>
      <c r="X647">
        <v>804</v>
      </c>
      <c r="Y647">
        <f t="shared" si="111"/>
        <v>0</v>
      </c>
      <c r="Z647">
        <f t="shared" si="112"/>
        <v>0</v>
      </c>
      <c r="AC647" s="1">
        <v>0</v>
      </c>
      <c r="AF647">
        <f t="shared" si="110"/>
        <v>804</v>
      </c>
      <c r="AG647" s="41">
        <v>12</v>
      </c>
      <c r="AH647">
        <f t="shared" si="113"/>
        <v>804</v>
      </c>
      <c r="AI647">
        <f t="shared" si="114"/>
        <v>0</v>
      </c>
      <c r="AK647">
        <f t="shared" si="115"/>
        <v>67</v>
      </c>
      <c r="AL647">
        <v>15.15</v>
      </c>
      <c r="AM647" t="s">
        <v>27</v>
      </c>
      <c r="AN647">
        <v>15.15</v>
      </c>
      <c r="AO647" t="b">
        <f t="shared" si="116"/>
        <v>1</v>
      </c>
      <c r="AR647" t="s">
        <v>5061</v>
      </c>
      <c r="AS647" s="21">
        <v>46276</v>
      </c>
      <c r="AT647" t="s">
        <v>5074</v>
      </c>
      <c r="AU647" t="s">
        <v>5076</v>
      </c>
      <c r="AV647" t="s">
        <v>5074</v>
      </c>
      <c r="AW647" t="s">
        <v>5086</v>
      </c>
    </row>
    <row r="648" spans="1:49" hidden="1" x14ac:dyDescent="0.35">
      <c r="A648" t="s">
        <v>2718</v>
      </c>
      <c r="B648" t="s">
        <v>2719</v>
      </c>
      <c r="C648" t="s">
        <v>4818</v>
      </c>
      <c r="D648" t="s">
        <v>18</v>
      </c>
      <c r="E648" t="s">
        <v>2776</v>
      </c>
      <c r="F648" t="s">
        <v>2777</v>
      </c>
      <c r="G648" t="s">
        <v>21</v>
      </c>
      <c r="H648" t="s">
        <v>4888</v>
      </c>
      <c r="I648" t="s">
        <v>4991</v>
      </c>
      <c r="J648" s="4" t="s">
        <v>4992</v>
      </c>
      <c r="K648" s="4" t="s">
        <v>4993</v>
      </c>
      <c r="L648" s="4" t="s">
        <v>4995</v>
      </c>
      <c r="M648" s="4" t="s">
        <v>5035</v>
      </c>
      <c r="N648" t="s">
        <v>2778</v>
      </c>
      <c r="O648" t="s">
        <v>2779</v>
      </c>
      <c r="P648" t="s">
        <v>23</v>
      </c>
      <c r="Q648" t="s">
        <v>24</v>
      </c>
      <c r="R648" t="s">
        <v>25</v>
      </c>
      <c r="S648" t="s">
        <v>26</v>
      </c>
      <c r="T648" s="6">
        <v>46307</v>
      </c>
      <c r="U648">
        <v>156</v>
      </c>
      <c r="V648">
        <v>156</v>
      </c>
      <c r="W648">
        <v>168</v>
      </c>
      <c r="X648">
        <v>168</v>
      </c>
      <c r="Y648">
        <f t="shared" si="111"/>
        <v>0</v>
      </c>
      <c r="Z648">
        <f t="shared" si="112"/>
        <v>-12</v>
      </c>
      <c r="AC648" s="1">
        <v>0</v>
      </c>
      <c r="AF648">
        <f t="shared" si="110"/>
        <v>156</v>
      </c>
      <c r="AG648" s="41">
        <v>12</v>
      </c>
      <c r="AH648">
        <f t="shared" si="113"/>
        <v>156</v>
      </c>
      <c r="AI648">
        <f t="shared" si="114"/>
        <v>0</v>
      </c>
      <c r="AK648">
        <f t="shared" si="115"/>
        <v>13</v>
      </c>
      <c r="AL648">
        <v>15.15</v>
      </c>
      <c r="AM648" t="s">
        <v>27</v>
      </c>
      <c r="AN648">
        <v>15.15</v>
      </c>
      <c r="AO648" t="b">
        <f t="shared" si="116"/>
        <v>1</v>
      </c>
      <c r="AR648" t="s">
        <v>5061</v>
      </c>
      <c r="AS648" s="21">
        <v>46276</v>
      </c>
      <c r="AT648" t="s">
        <v>5074</v>
      </c>
      <c r="AU648" t="s">
        <v>5076</v>
      </c>
      <c r="AV648" t="s">
        <v>5074</v>
      </c>
      <c r="AW648" t="s">
        <v>5086</v>
      </c>
    </row>
    <row r="649" spans="1:49" hidden="1" x14ac:dyDescent="0.35">
      <c r="A649" t="s">
        <v>2718</v>
      </c>
      <c r="B649" t="s">
        <v>2719</v>
      </c>
      <c r="C649" t="s">
        <v>4818</v>
      </c>
      <c r="D649" t="s">
        <v>18</v>
      </c>
      <c r="E649" t="s">
        <v>2780</v>
      </c>
      <c r="F649" t="s">
        <v>2781</v>
      </c>
      <c r="G649" t="s">
        <v>21</v>
      </c>
      <c r="H649" t="s">
        <v>4888</v>
      </c>
      <c r="I649" t="s">
        <v>4991</v>
      </c>
      <c r="J649" s="4" t="s">
        <v>4992</v>
      </c>
      <c r="K649" s="4" t="s">
        <v>4993</v>
      </c>
      <c r="L649" s="4" t="s">
        <v>4996</v>
      </c>
      <c r="M649" s="4" t="s">
        <v>5035</v>
      </c>
      <c r="N649" t="s">
        <v>2782</v>
      </c>
      <c r="O649" t="s">
        <v>2783</v>
      </c>
      <c r="P649" t="s">
        <v>23</v>
      </c>
      <c r="Q649" t="s">
        <v>24</v>
      </c>
      <c r="R649" t="s">
        <v>25</v>
      </c>
      <c r="S649" t="s">
        <v>26</v>
      </c>
      <c r="T649" s="6">
        <v>46307</v>
      </c>
      <c r="U649">
        <v>612</v>
      </c>
      <c r="V649">
        <v>612</v>
      </c>
      <c r="W649">
        <v>576</v>
      </c>
      <c r="X649">
        <v>576</v>
      </c>
      <c r="Y649">
        <f t="shared" si="111"/>
        <v>0</v>
      </c>
      <c r="Z649">
        <f t="shared" si="112"/>
        <v>36</v>
      </c>
      <c r="AA649">
        <f t="shared" ref="AA649:AA650" si="117">Z649</f>
        <v>36</v>
      </c>
      <c r="AC649" s="1">
        <v>0</v>
      </c>
      <c r="AF649">
        <f>X649</f>
        <v>576</v>
      </c>
      <c r="AG649" s="41">
        <v>12</v>
      </c>
      <c r="AH649">
        <f t="shared" si="113"/>
        <v>576</v>
      </c>
      <c r="AI649">
        <f t="shared" si="114"/>
        <v>36</v>
      </c>
      <c r="AK649">
        <f t="shared" si="115"/>
        <v>48</v>
      </c>
      <c r="AL649">
        <v>15.15</v>
      </c>
      <c r="AM649" t="s">
        <v>27</v>
      </c>
      <c r="AN649">
        <v>15.15</v>
      </c>
      <c r="AO649" t="b">
        <f t="shared" si="116"/>
        <v>1</v>
      </c>
      <c r="AR649" t="s">
        <v>5061</v>
      </c>
      <c r="AS649" s="21">
        <v>46276</v>
      </c>
      <c r="AT649" t="s">
        <v>5074</v>
      </c>
      <c r="AU649" t="s">
        <v>5076</v>
      </c>
      <c r="AV649" t="s">
        <v>5074</v>
      </c>
      <c r="AW649" t="s">
        <v>5086</v>
      </c>
    </row>
    <row r="650" spans="1:49" hidden="1" x14ac:dyDescent="0.35">
      <c r="A650" t="s">
        <v>2718</v>
      </c>
      <c r="B650" t="s">
        <v>2719</v>
      </c>
      <c r="C650" t="s">
        <v>4818</v>
      </c>
      <c r="D650" t="s">
        <v>18</v>
      </c>
      <c r="E650" t="s">
        <v>2784</v>
      </c>
      <c r="F650" t="s">
        <v>2785</v>
      </c>
      <c r="G650" t="s">
        <v>21</v>
      </c>
      <c r="H650" t="s">
        <v>4888</v>
      </c>
      <c r="I650" t="s">
        <v>4991</v>
      </c>
      <c r="J650" s="4" t="s">
        <v>4992</v>
      </c>
      <c r="K650" s="4" t="s">
        <v>4993</v>
      </c>
      <c r="L650" s="4" t="s">
        <v>4997</v>
      </c>
      <c r="M650" s="4" t="s">
        <v>5035</v>
      </c>
      <c r="N650" t="s">
        <v>2786</v>
      </c>
      <c r="O650" t="s">
        <v>2787</v>
      </c>
      <c r="P650" t="s">
        <v>23</v>
      </c>
      <c r="Q650" t="s">
        <v>24</v>
      </c>
      <c r="R650" t="s">
        <v>25</v>
      </c>
      <c r="S650" t="s">
        <v>26</v>
      </c>
      <c r="T650" s="6">
        <v>46307</v>
      </c>
      <c r="U650">
        <v>480</v>
      </c>
      <c r="V650">
        <v>480</v>
      </c>
      <c r="W650">
        <v>432</v>
      </c>
      <c r="X650">
        <v>432</v>
      </c>
      <c r="Y650">
        <f t="shared" si="111"/>
        <v>0</v>
      </c>
      <c r="Z650">
        <f t="shared" si="112"/>
        <v>48</v>
      </c>
      <c r="AA650">
        <f t="shared" si="117"/>
        <v>48</v>
      </c>
      <c r="AC650" s="1">
        <v>0</v>
      </c>
      <c r="AF650">
        <f>X650</f>
        <v>432</v>
      </c>
      <c r="AG650" s="41">
        <v>12</v>
      </c>
      <c r="AH650">
        <f t="shared" si="113"/>
        <v>432</v>
      </c>
      <c r="AI650">
        <f t="shared" si="114"/>
        <v>48</v>
      </c>
      <c r="AK650">
        <f t="shared" si="115"/>
        <v>36</v>
      </c>
      <c r="AL650">
        <v>15.15</v>
      </c>
      <c r="AM650" t="s">
        <v>27</v>
      </c>
      <c r="AN650">
        <v>15.15</v>
      </c>
      <c r="AO650" t="b">
        <f t="shared" si="116"/>
        <v>1</v>
      </c>
      <c r="AR650" t="s">
        <v>5061</v>
      </c>
      <c r="AS650" s="21">
        <v>46276</v>
      </c>
      <c r="AT650" t="s">
        <v>5074</v>
      </c>
      <c r="AU650" t="s">
        <v>5076</v>
      </c>
      <c r="AV650" t="s">
        <v>5074</v>
      </c>
      <c r="AW650" t="s">
        <v>5086</v>
      </c>
    </row>
    <row r="651" spans="1:49" hidden="1" x14ac:dyDescent="0.35">
      <c r="A651" t="s">
        <v>2718</v>
      </c>
      <c r="B651" t="s">
        <v>2719</v>
      </c>
      <c r="C651" t="s">
        <v>4818</v>
      </c>
      <c r="D651" t="s">
        <v>18</v>
      </c>
      <c r="E651" t="s">
        <v>2788</v>
      </c>
      <c r="F651" t="s">
        <v>2789</v>
      </c>
      <c r="G651" t="s">
        <v>21</v>
      </c>
      <c r="H651" t="s">
        <v>4888</v>
      </c>
      <c r="I651" t="s">
        <v>4991</v>
      </c>
      <c r="J651" s="4" t="s">
        <v>4992</v>
      </c>
      <c r="K651" s="4" t="s">
        <v>4993</v>
      </c>
      <c r="L651" s="4" t="s">
        <v>4998</v>
      </c>
      <c r="M651" s="4" t="s">
        <v>5035</v>
      </c>
      <c r="N651" t="s">
        <v>2790</v>
      </c>
      <c r="O651" t="s">
        <v>2791</v>
      </c>
      <c r="P651" t="s">
        <v>23</v>
      </c>
      <c r="Q651" t="s">
        <v>24</v>
      </c>
      <c r="R651" t="s">
        <v>25</v>
      </c>
      <c r="S651" t="s">
        <v>26</v>
      </c>
      <c r="T651" s="6">
        <v>46307</v>
      </c>
      <c r="U651">
        <v>384</v>
      </c>
      <c r="V651">
        <v>384</v>
      </c>
      <c r="W651">
        <v>408</v>
      </c>
      <c r="X651">
        <v>408</v>
      </c>
      <c r="Y651">
        <f t="shared" si="111"/>
        <v>0</v>
      </c>
      <c r="Z651">
        <f t="shared" si="112"/>
        <v>-24</v>
      </c>
      <c r="AC651" s="1">
        <v>0</v>
      </c>
      <c r="AF651">
        <f t="shared" ref="AF651:AF688" si="118">V651</f>
        <v>384</v>
      </c>
      <c r="AG651" s="41">
        <v>12</v>
      </c>
      <c r="AH651">
        <f t="shared" si="113"/>
        <v>384</v>
      </c>
      <c r="AI651">
        <f t="shared" si="114"/>
        <v>0</v>
      </c>
      <c r="AK651">
        <f t="shared" si="115"/>
        <v>32</v>
      </c>
      <c r="AL651">
        <v>15.15</v>
      </c>
      <c r="AM651" t="s">
        <v>27</v>
      </c>
      <c r="AN651">
        <v>15.15</v>
      </c>
      <c r="AO651" t="b">
        <f t="shared" si="116"/>
        <v>1</v>
      </c>
      <c r="AR651" t="s">
        <v>5061</v>
      </c>
      <c r="AS651" s="21">
        <v>46276</v>
      </c>
      <c r="AT651" t="s">
        <v>5074</v>
      </c>
      <c r="AU651" t="s">
        <v>5076</v>
      </c>
      <c r="AV651" t="s">
        <v>5074</v>
      </c>
      <c r="AW651" t="s">
        <v>5086</v>
      </c>
    </row>
    <row r="652" spans="1:49" hidden="1" x14ac:dyDescent="0.35">
      <c r="A652" t="s">
        <v>2718</v>
      </c>
      <c r="B652" t="s">
        <v>2719</v>
      </c>
      <c r="C652" t="s">
        <v>4818</v>
      </c>
      <c r="D652" t="s">
        <v>18</v>
      </c>
      <c r="E652" t="s">
        <v>2792</v>
      </c>
      <c r="F652" t="s">
        <v>2793</v>
      </c>
      <c r="G652" t="s">
        <v>21</v>
      </c>
      <c r="H652" t="s">
        <v>4888</v>
      </c>
      <c r="I652" t="s">
        <v>4991</v>
      </c>
      <c r="J652" s="4" t="s">
        <v>4992</v>
      </c>
      <c r="K652" s="4" t="s">
        <v>4993</v>
      </c>
      <c r="L652" s="4" t="s">
        <v>4999</v>
      </c>
      <c r="M652" s="4" t="s">
        <v>5035</v>
      </c>
      <c r="N652" t="s">
        <v>2794</v>
      </c>
      <c r="O652" t="s">
        <v>2795</v>
      </c>
      <c r="P652" t="s">
        <v>23</v>
      </c>
      <c r="Q652" t="s">
        <v>24</v>
      </c>
      <c r="R652" t="s">
        <v>25</v>
      </c>
      <c r="S652" t="s">
        <v>26</v>
      </c>
      <c r="T652" s="6">
        <v>46307</v>
      </c>
      <c r="U652">
        <v>588</v>
      </c>
      <c r="V652">
        <v>588</v>
      </c>
      <c r="W652">
        <v>612</v>
      </c>
      <c r="X652">
        <v>612</v>
      </c>
      <c r="Y652">
        <f t="shared" si="111"/>
        <v>0</v>
      </c>
      <c r="Z652">
        <f t="shared" si="112"/>
        <v>-24</v>
      </c>
      <c r="AC652" s="1">
        <v>0</v>
      </c>
      <c r="AF652">
        <f t="shared" si="118"/>
        <v>588</v>
      </c>
      <c r="AG652" s="41">
        <v>12</v>
      </c>
      <c r="AH652">
        <f t="shared" si="113"/>
        <v>588</v>
      </c>
      <c r="AI652">
        <f t="shared" si="114"/>
        <v>0</v>
      </c>
      <c r="AK652">
        <f t="shared" si="115"/>
        <v>49</v>
      </c>
      <c r="AL652">
        <v>15.15</v>
      </c>
      <c r="AM652" t="s">
        <v>27</v>
      </c>
      <c r="AN652">
        <v>15.15</v>
      </c>
      <c r="AO652" t="b">
        <f t="shared" si="116"/>
        <v>1</v>
      </c>
      <c r="AR652" t="s">
        <v>5061</v>
      </c>
      <c r="AS652" s="21">
        <v>46276</v>
      </c>
      <c r="AT652" t="s">
        <v>5074</v>
      </c>
      <c r="AU652" t="s">
        <v>5076</v>
      </c>
      <c r="AV652" t="s">
        <v>5074</v>
      </c>
      <c r="AW652" t="s">
        <v>5086</v>
      </c>
    </row>
    <row r="653" spans="1:49" hidden="1" x14ac:dyDescent="0.35">
      <c r="A653" t="s">
        <v>2796</v>
      </c>
      <c r="B653" t="s">
        <v>872</v>
      </c>
      <c r="C653" t="s">
        <v>4818</v>
      </c>
      <c r="D653" t="s">
        <v>18</v>
      </c>
      <c r="E653" t="s">
        <v>2797</v>
      </c>
      <c r="F653" t="s">
        <v>2798</v>
      </c>
      <c r="G653" t="s">
        <v>21</v>
      </c>
      <c r="H653" t="s">
        <v>5000</v>
      </c>
      <c r="I653" t="s">
        <v>5001</v>
      </c>
      <c r="J653" s="4" t="s">
        <v>5002</v>
      </c>
      <c r="K653" s="4" t="s">
        <v>4837</v>
      </c>
      <c r="L653" s="4">
        <v>20</v>
      </c>
      <c r="M653" s="4" t="s">
        <v>5035</v>
      </c>
      <c r="N653" t="s">
        <v>2799</v>
      </c>
      <c r="O653" t="s">
        <v>2800</v>
      </c>
      <c r="P653" t="s">
        <v>23</v>
      </c>
      <c r="Q653" t="s">
        <v>24</v>
      </c>
      <c r="R653" t="s">
        <v>25</v>
      </c>
      <c r="S653" t="s">
        <v>26</v>
      </c>
      <c r="T653" s="6">
        <v>46307</v>
      </c>
      <c r="U653">
        <v>200</v>
      </c>
      <c r="V653">
        <v>200</v>
      </c>
      <c r="W653">
        <v>200</v>
      </c>
      <c r="X653">
        <v>200</v>
      </c>
      <c r="Y653">
        <f t="shared" si="111"/>
        <v>0</v>
      </c>
      <c r="Z653">
        <f t="shared" si="112"/>
        <v>0</v>
      </c>
      <c r="AC653" s="1">
        <v>0</v>
      </c>
      <c r="AF653">
        <f t="shared" si="118"/>
        <v>200</v>
      </c>
      <c r="AG653" s="41">
        <v>20</v>
      </c>
      <c r="AH653">
        <f t="shared" si="113"/>
        <v>200</v>
      </c>
      <c r="AI653">
        <f t="shared" si="114"/>
        <v>0</v>
      </c>
      <c r="AK653">
        <f t="shared" si="115"/>
        <v>10</v>
      </c>
      <c r="AL653">
        <v>10.06</v>
      </c>
      <c r="AM653" t="s">
        <v>27</v>
      </c>
      <c r="AN653">
        <v>10.06</v>
      </c>
      <c r="AO653" t="b">
        <f t="shared" si="116"/>
        <v>1</v>
      </c>
      <c r="AR653" t="s">
        <v>5061</v>
      </c>
      <c r="AS653" s="21">
        <v>46276</v>
      </c>
      <c r="AT653" t="s">
        <v>5062</v>
      </c>
      <c r="AU653" t="s">
        <v>5077</v>
      </c>
      <c r="AV653" t="s">
        <v>5062</v>
      </c>
      <c r="AW653" t="s">
        <v>5086</v>
      </c>
    </row>
    <row r="654" spans="1:49" hidden="1" x14ac:dyDescent="0.35">
      <c r="A654" t="s">
        <v>2796</v>
      </c>
      <c r="B654" t="s">
        <v>872</v>
      </c>
      <c r="C654" t="s">
        <v>4818</v>
      </c>
      <c r="D654" t="s">
        <v>18</v>
      </c>
      <c r="E654" t="s">
        <v>2801</v>
      </c>
      <c r="F654" t="s">
        <v>2802</v>
      </c>
      <c r="G654" t="s">
        <v>21</v>
      </c>
      <c r="H654" t="s">
        <v>5000</v>
      </c>
      <c r="I654" t="s">
        <v>5001</v>
      </c>
      <c r="J654" s="4" t="s">
        <v>5002</v>
      </c>
      <c r="K654" s="4" t="s">
        <v>4837</v>
      </c>
      <c r="L654" s="4">
        <v>2</v>
      </c>
      <c r="M654" s="4" t="s">
        <v>5035</v>
      </c>
      <c r="N654" t="s">
        <v>2803</v>
      </c>
      <c r="O654" t="s">
        <v>2804</v>
      </c>
      <c r="P654" t="s">
        <v>23</v>
      </c>
      <c r="Q654" t="s">
        <v>24</v>
      </c>
      <c r="R654" t="s">
        <v>25</v>
      </c>
      <c r="S654" t="s">
        <v>26</v>
      </c>
      <c r="T654" s="6">
        <v>46307</v>
      </c>
      <c r="U654">
        <v>300</v>
      </c>
      <c r="V654">
        <v>300</v>
      </c>
      <c r="W654">
        <v>300</v>
      </c>
      <c r="X654">
        <v>300</v>
      </c>
      <c r="Y654">
        <f t="shared" si="111"/>
        <v>0</v>
      </c>
      <c r="Z654">
        <f t="shared" si="112"/>
        <v>0</v>
      </c>
      <c r="AC654" s="1">
        <v>0</v>
      </c>
      <c r="AF654">
        <f t="shared" si="118"/>
        <v>300</v>
      </c>
      <c r="AG654" s="41">
        <v>20</v>
      </c>
      <c r="AH654">
        <f t="shared" si="113"/>
        <v>300</v>
      </c>
      <c r="AI654">
        <f t="shared" si="114"/>
        <v>0</v>
      </c>
      <c r="AK654">
        <f t="shared" si="115"/>
        <v>15</v>
      </c>
      <c r="AL654">
        <v>10.06</v>
      </c>
      <c r="AM654" t="s">
        <v>27</v>
      </c>
      <c r="AN654">
        <v>10.06</v>
      </c>
      <c r="AO654" t="b">
        <f t="shared" si="116"/>
        <v>1</v>
      </c>
      <c r="AR654" t="s">
        <v>5061</v>
      </c>
      <c r="AS654" s="21">
        <v>46276</v>
      </c>
      <c r="AT654" t="s">
        <v>5062</v>
      </c>
      <c r="AU654" t="s">
        <v>5077</v>
      </c>
      <c r="AV654" t="s">
        <v>5062</v>
      </c>
      <c r="AW654" t="s">
        <v>5086</v>
      </c>
    </row>
    <row r="655" spans="1:49" hidden="1" x14ac:dyDescent="0.35">
      <c r="A655" t="s">
        <v>2796</v>
      </c>
      <c r="B655" t="s">
        <v>872</v>
      </c>
      <c r="C655" t="s">
        <v>4818</v>
      </c>
      <c r="D655" t="s">
        <v>18</v>
      </c>
      <c r="E655" t="s">
        <v>2805</v>
      </c>
      <c r="F655" t="s">
        <v>2806</v>
      </c>
      <c r="G655" t="s">
        <v>21</v>
      </c>
      <c r="H655" t="s">
        <v>5000</v>
      </c>
      <c r="I655" t="s">
        <v>5001</v>
      </c>
      <c r="J655" s="4" t="s">
        <v>5002</v>
      </c>
      <c r="K655" s="4" t="s">
        <v>4837</v>
      </c>
      <c r="L655" s="4">
        <v>10</v>
      </c>
      <c r="M655" s="4" t="s">
        <v>5035</v>
      </c>
      <c r="N655" t="s">
        <v>2807</v>
      </c>
      <c r="O655" t="s">
        <v>2808</v>
      </c>
      <c r="P655" t="s">
        <v>23</v>
      </c>
      <c r="Q655" t="s">
        <v>24</v>
      </c>
      <c r="R655" t="s">
        <v>25</v>
      </c>
      <c r="S655" t="s">
        <v>26</v>
      </c>
      <c r="T655" s="6">
        <v>46307</v>
      </c>
      <c r="U655">
        <v>80</v>
      </c>
      <c r="V655">
        <v>80</v>
      </c>
      <c r="W655">
        <v>80</v>
      </c>
      <c r="X655">
        <v>80</v>
      </c>
      <c r="Y655">
        <f t="shared" si="111"/>
        <v>0</v>
      </c>
      <c r="Z655">
        <f t="shared" si="112"/>
        <v>0</v>
      </c>
      <c r="AC655" s="1">
        <v>0</v>
      </c>
      <c r="AF655">
        <f t="shared" si="118"/>
        <v>80</v>
      </c>
      <c r="AG655" s="41">
        <v>20</v>
      </c>
      <c r="AH655">
        <f t="shared" si="113"/>
        <v>80</v>
      </c>
      <c r="AI655">
        <f t="shared" si="114"/>
        <v>0</v>
      </c>
      <c r="AK655">
        <f t="shared" si="115"/>
        <v>4</v>
      </c>
      <c r="AL655">
        <v>10.06</v>
      </c>
      <c r="AM655" t="s">
        <v>27</v>
      </c>
      <c r="AN655">
        <v>10.06</v>
      </c>
      <c r="AO655" t="b">
        <f t="shared" si="116"/>
        <v>1</v>
      </c>
      <c r="AR655" t="s">
        <v>5061</v>
      </c>
      <c r="AS655" s="21">
        <v>46276</v>
      </c>
      <c r="AT655" t="s">
        <v>5062</v>
      </c>
      <c r="AU655" t="s">
        <v>5077</v>
      </c>
      <c r="AV655" t="s">
        <v>5062</v>
      </c>
      <c r="AW655" t="s">
        <v>5086</v>
      </c>
    </row>
    <row r="656" spans="1:49" hidden="1" x14ac:dyDescent="0.35">
      <c r="A656" t="s">
        <v>2796</v>
      </c>
      <c r="B656" t="s">
        <v>872</v>
      </c>
      <c r="C656" t="s">
        <v>4818</v>
      </c>
      <c r="D656" t="s">
        <v>18</v>
      </c>
      <c r="E656" t="s">
        <v>2809</v>
      </c>
      <c r="F656" t="s">
        <v>2810</v>
      </c>
      <c r="G656" t="s">
        <v>21</v>
      </c>
      <c r="H656" t="s">
        <v>5000</v>
      </c>
      <c r="I656" t="s">
        <v>5001</v>
      </c>
      <c r="J656" s="4" t="s">
        <v>5002</v>
      </c>
      <c r="K656" s="4" t="s">
        <v>4837</v>
      </c>
      <c r="L656" s="4">
        <v>6</v>
      </c>
      <c r="M656" s="4" t="s">
        <v>5035</v>
      </c>
      <c r="N656" t="s">
        <v>2811</v>
      </c>
      <c r="O656" t="s">
        <v>2812</v>
      </c>
      <c r="P656" t="s">
        <v>23</v>
      </c>
      <c r="Q656" t="s">
        <v>24</v>
      </c>
      <c r="R656" t="s">
        <v>25</v>
      </c>
      <c r="S656" t="s">
        <v>26</v>
      </c>
      <c r="T656" s="6">
        <v>46307</v>
      </c>
      <c r="U656">
        <v>460</v>
      </c>
      <c r="V656">
        <v>460</v>
      </c>
      <c r="W656">
        <v>480</v>
      </c>
      <c r="X656">
        <v>480</v>
      </c>
      <c r="Y656">
        <f t="shared" si="111"/>
        <v>0</v>
      </c>
      <c r="Z656">
        <f t="shared" si="112"/>
        <v>-20</v>
      </c>
      <c r="AC656" s="1">
        <v>0</v>
      </c>
      <c r="AF656">
        <f t="shared" si="118"/>
        <v>460</v>
      </c>
      <c r="AG656" s="41">
        <v>20</v>
      </c>
      <c r="AH656">
        <f t="shared" si="113"/>
        <v>460</v>
      </c>
      <c r="AI656">
        <f t="shared" si="114"/>
        <v>0</v>
      </c>
      <c r="AK656">
        <f t="shared" si="115"/>
        <v>23</v>
      </c>
      <c r="AL656">
        <v>10.06</v>
      </c>
      <c r="AM656" t="s">
        <v>27</v>
      </c>
      <c r="AN656">
        <v>10.06</v>
      </c>
      <c r="AO656" t="b">
        <f t="shared" si="116"/>
        <v>1</v>
      </c>
      <c r="AR656" t="s">
        <v>5061</v>
      </c>
      <c r="AS656" s="21">
        <v>46276</v>
      </c>
      <c r="AT656" t="s">
        <v>5062</v>
      </c>
      <c r="AU656" t="s">
        <v>5077</v>
      </c>
      <c r="AV656" t="s">
        <v>5062</v>
      </c>
      <c r="AW656" t="s">
        <v>5086</v>
      </c>
    </row>
    <row r="657" spans="1:49" hidden="1" x14ac:dyDescent="0.35">
      <c r="A657" t="s">
        <v>2796</v>
      </c>
      <c r="B657" t="s">
        <v>872</v>
      </c>
      <c r="C657" t="s">
        <v>4818</v>
      </c>
      <c r="D657" t="s">
        <v>18</v>
      </c>
      <c r="E657" t="s">
        <v>2813</v>
      </c>
      <c r="F657" t="s">
        <v>2814</v>
      </c>
      <c r="G657" t="s">
        <v>21</v>
      </c>
      <c r="H657" t="s">
        <v>5000</v>
      </c>
      <c r="I657" t="s">
        <v>5001</v>
      </c>
      <c r="J657" s="4" t="s">
        <v>5002</v>
      </c>
      <c r="K657" s="4" t="s">
        <v>4837</v>
      </c>
      <c r="L657" s="4">
        <v>4</v>
      </c>
      <c r="M657" s="4" t="s">
        <v>5035</v>
      </c>
      <c r="N657" t="s">
        <v>2815</v>
      </c>
      <c r="O657" t="s">
        <v>2816</v>
      </c>
      <c r="P657" t="s">
        <v>23</v>
      </c>
      <c r="Q657" t="s">
        <v>24</v>
      </c>
      <c r="R657" t="s">
        <v>25</v>
      </c>
      <c r="S657" t="s">
        <v>26</v>
      </c>
      <c r="T657" s="6">
        <v>46307</v>
      </c>
      <c r="U657">
        <v>340</v>
      </c>
      <c r="V657">
        <v>340</v>
      </c>
      <c r="W657">
        <v>360</v>
      </c>
      <c r="X657">
        <v>360</v>
      </c>
      <c r="Y657">
        <f t="shared" si="111"/>
        <v>0</v>
      </c>
      <c r="Z657">
        <f t="shared" si="112"/>
        <v>-20</v>
      </c>
      <c r="AC657" s="1"/>
      <c r="AF657">
        <f t="shared" si="118"/>
        <v>340</v>
      </c>
      <c r="AG657" s="41">
        <v>20</v>
      </c>
      <c r="AH657">
        <f t="shared" si="113"/>
        <v>340</v>
      </c>
      <c r="AI657">
        <f t="shared" si="114"/>
        <v>0</v>
      </c>
      <c r="AK657">
        <f t="shared" si="115"/>
        <v>17</v>
      </c>
      <c r="AL657">
        <v>10.06</v>
      </c>
      <c r="AM657" t="s">
        <v>27</v>
      </c>
      <c r="AN657">
        <v>10.06</v>
      </c>
      <c r="AO657" t="b">
        <f t="shared" si="116"/>
        <v>1</v>
      </c>
      <c r="AR657" t="s">
        <v>5061</v>
      </c>
      <c r="AS657" s="21">
        <v>46276</v>
      </c>
      <c r="AT657" t="s">
        <v>5062</v>
      </c>
      <c r="AU657" t="s">
        <v>5077</v>
      </c>
      <c r="AV657" t="s">
        <v>5062</v>
      </c>
      <c r="AW657" t="s">
        <v>5086</v>
      </c>
    </row>
    <row r="658" spans="1:49" hidden="1" x14ac:dyDescent="0.35">
      <c r="A658" t="s">
        <v>2796</v>
      </c>
      <c r="B658" t="s">
        <v>872</v>
      </c>
      <c r="C658" t="s">
        <v>4818</v>
      </c>
      <c r="D658" t="s">
        <v>18</v>
      </c>
      <c r="E658" t="s">
        <v>2817</v>
      </c>
      <c r="F658" t="s">
        <v>2818</v>
      </c>
      <c r="G658" t="s">
        <v>21</v>
      </c>
      <c r="H658" t="s">
        <v>5000</v>
      </c>
      <c r="I658" t="s">
        <v>5001</v>
      </c>
      <c r="J658" s="4" t="s">
        <v>5002</v>
      </c>
      <c r="K658" s="4" t="s">
        <v>4837</v>
      </c>
      <c r="L658" s="4">
        <v>0</v>
      </c>
      <c r="M658" s="4" t="s">
        <v>5035</v>
      </c>
      <c r="N658" t="s">
        <v>2819</v>
      </c>
      <c r="O658" t="s">
        <v>2820</v>
      </c>
      <c r="P658" t="s">
        <v>23</v>
      </c>
      <c r="Q658" t="s">
        <v>24</v>
      </c>
      <c r="R658" t="s">
        <v>25</v>
      </c>
      <c r="S658" t="s">
        <v>26</v>
      </c>
      <c r="T658" s="6">
        <v>46307</v>
      </c>
      <c r="U658">
        <v>260</v>
      </c>
      <c r="V658">
        <v>260</v>
      </c>
      <c r="W658">
        <v>280</v>
      </c>
      <c r="X658">
        <v>280</v>
      </c>
      <c r="Y658">
        <f t="shared" si="111"/>
        <v>0</v>
      </c>
      <c r="Z658">
        <f t="shared" si="112"/>
        <v>-20</v>
      </c>
      <c r="AC658" s="1">
        <v>0</v>
      </c>
      <c r="AF658">
        <f t="shared" si="118"/>
        <v>260</v>
      </c>
      <c r="AG658" s="41">
        <v>20</v>
      </c>
      <c r="AH658">
        <f t="shared" si="113"/>
        <v>260</v>
      </c>
      <c r="AI658">
        <f t="shared" si="114"/>
        <v>0</v>
      </c>
      <c r="AK658">
        <f t="shared" si="115"/>
        <v>13</v>
      </c>
      <c r="AL658">
        <v>10.06</v>
      </c>
      <c r="AM658" t="s">
        <v>27</v>
      </c>
      <c r="AN658">
        <v>10.06</v>
      </c>
      <c r="AO658" t="b">
        <f t="shared" si="116"/>
        <v>1</v>
      </c>
      <c r="AR658" t="s">
        <v>5061</v>
      </c>
      <c r="AS658" s="21">
        <v>46276</v>
      </c>
      <c r="AT658" t="s">
        <v>5062</v>
      </c>
      <c r="AU658" t="s">
        <v>5077</v>
      </c>
      <c r="AV658" t="s">
        <v>5062</v>
      </c>
      <c r="AW658" t="s">
        <v>5086</v>
      </c>
    </row>
    <row r="659" spans="1:49" hidden="1" x14ac:dyDescent="0.35">
      <c r="A659" t="s">
        <v>2796</v>
      </c>
      <c r="B659" t="s">
        <v>872</v>
      </c>
      <c r="C659" t="s">
        <v>4818</v>
      </c>
      <c r="D659" t="s">
        <v>18</v>
      </c>
      <c r="E659" t="s">
        <v>2821</v>
      </c>
      <c r="F659" t="s">
        <v>2822</v>
      </c>
      <c r="G659" t="s">
        <v>21</v>
      </c>
      <c r="H659" t="s">
        <v>5000</v>
      </c>
      <c r="I659" t="s">
        <v>5001</v>
      </c>
      <c r="J659" s="4" t="s">
        <v>5002</v>
      </c>
      <c r="K659" s="4" t="s">
        <v>4837</v>
      </c>
      <c r="L659" s="4">
        <v>8</v>
      </c>
      <c r="M659" s="4" t="s">
        <v>5035</v>
      </c>
      <c r="N659" t="s">
        <v>2823</v>
      </c>
      <c r="O659" t="s">
        <v>2824</v>
      </c>
      <c r="P659" t="s">
        <v>23</v>
      </c>
      <c r="Q659" t="s">
        <v>24</v>
      </c>
      <c r="R659" t="s">
        <v>25</v>
      </c>
      <c r="S659" t="s">
        <v>26</v>
      </c>
      <c r="T659" s="6">
        <v>46307</v>
      </c>
      <c r="U659">
        <v>100</v>
      </c>
      <c r="V659">
        <v>100</v>
      </c>
      <c r="W659">
        <v>100</v>
      </c>
      <c r="X659">
        <v>100</v>
      </c>
      <c r="Y659">
        <f t="shared" si="111"/>
        <v>0</v>
      </c>
      <c r="Z659">
        <f t="shared" si="112"/>
        <v>0</v>
      </c>
      <c r="AC659" s="1">
        <v>0</v>
      </c>
      <c r="AF659">
        <f t="shared" si="118"/>
        <v>100</v>
      </c>
      <c r="AG659" s="41">
        <v>20</v>
      </c>
      <c r="AH659">
        <f t="shared" si="113"/>
        <v>100</v>
      </c>
      <c r="AI659">
        <f t="shared" si="114"/>
        <v>0</v>
      </c>
      <c r="AK659">
        <f t="shared" si="115"/>
        <v>5</v>
      </c>
      <c r="AL659">
        <v>10.06</v>
      </c>
      <c r="AM659" t="s">
        <v>27</v>
      </c>
      <c r="AN659">
        <v>10.06</v>
      </c>
      <c r="AO659" t="b">
        <f t="shared" si="116"/>
        <v>1</v>
      </c>
      <c r="AR659" t="s">
        <v>5061</v>
      </c>
      <c r="AS659" s="21">
        <v>46276</v>
      </c>
      <c r="AT659" t="s">
        <v>5062</v>
      </c>
      <c r="AU659" t="s">
        <v>5077</v>
      </c>
      <c r="AV659" t="s">
        <v>5062</v>
      </c>
      <c r="AW659" t="s">
        <v>5086</v>
      </c>
    </row>
    <row r="660" spans="1:49" hidden="1" x14ac:dyDescent="0.35">
      <c r="A660" t="s">
        <v>2796</v>
      </c>
      <c r="B660" t="s">
        <v>872</v>
      </c>
      <c r="C660" t="s">
        <v>4818</v>
      </c>
      <c r="D660" t="s">
        <v>18</v>
      </c>
      <c r="E660" t="s">
        <v>2825</v>
      </c>
      <c r="F660" t="s">
        <v>2826</v>
      </c>
      <c r="G660" t="s">
        <v>21</v>
      </c>
      <c r="H660" t="s">
        <v>5000</v>
      </c>
      <c r="I660" t="s">
        <v>5001</v>
      </c>
      <c r="J660" s="4" t="s">
        <v>5002</v>
      </c>
      <c r="K660" s="4" t="s">
        <v>4837</v>
      </c>
      <c r="L660" s="4">
        <v>16</v>
      </c>
      <c r="M660" s="4" t="s">
        <v>5035</v>
      </c>
      <c r="N660" t="s">
        <v>2827</v>
      </c>
      <c r="O660" t="s">
        <v>2828</v>
      </c>
      <c r="P660" t="s">
        <v>23</v>
      </c>
      <c r="Q660" t="s">
        <v>24</v>
      </c>
      <c r="R660" t="s">
        <v>25</v>
      </c>
      <c r="S660" t="s">
        <v>26</v>
      </c>
      <c r="T660" s="6">
        <v>46307</v>
      </c>
      <c r="U660">
        <v>80</v>
      </c>
      <c r="V660">
        <v>80</v>
      </c>
      <c r="W660">
        <v>80</v>
      </c>
      <c r="X660">
        <v>80</v>
      </c>
      <c r="Y660">
        <f t="shared" si="111"/>
        <v>0</v>
      </c>
      <c r="Z660">
        <f t="shared" si="112"/>
        <v>0</v>
      </c>
      <c r="AC660" s="1">
        <v>0</v>
      </c>
      <c r="AF660">
        <f t="shared" si="118"/>
        <v>80</v>
      </c>
      <c r="AG660" s="41">
        <v>20</v>
      </c>
      <c r="AH660">
        <f t="shared" si="113"/>
        <v>80</v>
      </c>
      <c r="AI660">
        <f t="shared" si="114"/>
        <v>0</v>
      </c>
      <c r="AK660">
        <f t="shared" si="115"/>
        <v>4</v>
      </c>
      <c r="AL660">
        <v>10.06</v>
      </c>
      <c r="AM660" t="s">
        <v>27</v>
      </c>
      <c r="AN660">
        <v>10.06</v>
      </c>
      <c r="AO660" t="b">
        <f t="shared" si="116"/>
        <v>1</v>
      </c>
      <c r="AR660" t="s">
        <v>5061</v>
      </c>
      <c r="AS660" s="21">
        <v>46276</v>
      </c>
      <c r="AT660" t="s">
        <v>5062</v>
      </c>
      <c r="AU660" t="s">
        <v>5077</v>
      </c>
      <c r="AV660" t="s">
        <v>5062</v>
      </c>
      <c r="AW660" t="s">
        <v>5086</v>
      </c>
    </row>
    <row r="661" spans="1:49" hidden="1" x14ac:dyDescent="0.35">
      <c r="A661" t="s">
        <v>2796</v>
      </c>
      <c r="B661" t="s">
        <v>872</v>
      </c>
      <c r="C661" t="s">
        <v>4818</v>
      </c>
      <c r="D661" t="s">
        <v>18</v>
      </c>
      <c r="E661" t="s">
        <v>2829</v>
      </c>
      <c r="F661" t="s">
        <v>2830</v>
      </c>
      <c r="G661" t="s">
        <v>21</v>
      </c>
      <c r="H661" t="s">
        <v>5000</v>
      </c>
      <c r="I661" t="s">
        <v>5001</v>
      </c>
      <c r="J661" s="4" t="s">
        <v>5002</v>
      </c>
      <c r="K661" s="4" t="s">
        <v>4837</v>
      </c>
      <c r="L661" s="4">
        <v>12</v>
      </c>
      <c r="M661" s="4" t="s">
        <v>5035</v>
      </c>
      <c r="N661" t="s">
        <v>2831</v>
      </c>
      <c r="O661" t="s">
        <v>2832</v>
      </c>
      <c r="P661" t="s">
        <v>23</v>
      </c>
      <c r="Q661" t="s">
        <v>24</v>
      </c>
      <c r="R661" t="s">
        <v>25</v>
      </c>
      <c r="S661" t="s">
        <v>26</v>
      </c>
      <c r="T661" s="6">
        <v>46307</v>
      </c>
      <c r="U661">
        <v>520</v>
      </c>
      <c r="V661">
        <v>520</v>
      </c>
      <c r="W661">
        <v>520</v>
      </c>
      <c r="X661">
        <v>520</v>
      </c>
      <c r="Y661">
        <f t="shared" si="111"/>
        <v>0</v>
      </c>
      <c r="Z661">
        <f t="shared" si="112"/>
        <v>0</v>
      </c>
      <c r="AC661" s="1">
        <v>0</v>
      </c>
      <c r="AF661">
        <f t="shared" si="118"/>
        <v>520</v>
      </c>
      <c r="AG661" s="41">
        <v>20</v>
      </c>
      <c r="AH661">
        <f t="shared" si="113"/>
        <v>520</v>
      </c>
      <c r="AI661">
        <f t="shared" si="114"/>
        <v>0</v>
      </c>
      <c r="AK661">
        <f t="shared" si="115"/>
        <v>26</v>
      </c>
      <c r="AL661">
        <v>10.06</v>
      </c>
      <c r="AM661" t="s">
        <v>27</v>
      </c>
      <c r="AN661">
        <v>10.06</v>
      </c>
      <c r="AO661" t="b">
        <f t="shared" si="116"/>
        <v>1</v>
      </c>
      <c r="AR661" t="s">
        <v>5061</v>
      </c>
      <c r="AS661" s="21">
        <v>46276</v>
      </c>
      <c r="AT661" t="s">
        <v>5062</v>
      </c>
      <c r="AU661" t="s">
        <v>5077</v>
      </c>
      <c r="AV661" t="s">
        <v>5062</v>
      </c>
      <c r="AW661" t="s">
        <v>5086</v>
      </c>
    </row>
    <row r="662" spans="1:49" hidden="1" x14ac:dyDescent="0.35">
      <c r="A662" t="s">
        <v>2796</v>
      </c>
      <c r="B662" t="s">
        <v>872</v>
      </c>
      <c r="C662" t="s">
        <v>4818</v>
      </c>
      <c r="D662" t="s">
        <v>18</v>
      </c>
      <c r="E662" t="s">
        <v>2833</v>
      </c>
      <c r="F662" t="s">
        <v>2834</v>
      </c>
      <c r="G662" t="s">
        <v>21</v>
      </c>
      <c r="H662" t="s">
        <v>5000</v>
      </c>
      <c r="I662" t="s">
        <v>5001</v>
      </c>
      <c r="J662" s="4" t="s">
        <v>5002</v>
      </c>
      <c r="K662" s="4" t="s">
        <v>4837</v>
      </c>
      <c r="L662" s="4">
        <v>14</v>
      </c>
      <c r="M662" s="4" t="s">
        <v>5035</v>
      </c>
      <c r="N662" t="s">
        <v>2835</v>
      </c>
      <c r="O662" t="s">
        <v>2836</v>
      </c>
      <c r="P662" t="s">
        <v>23</v>
      </c>
      <c r="Q662" t="s">
        <v>24</v>
      </c>
      <c r="R662" t="s">
        <v>25</v>
      </c>
      <c r="S662" t="s">
        <v>26</v>
      </c>
      <c r="T662" s="6">
        <v>46307</v>
      </c>
      <c r="U662">
        <v>420</v>
      </c>
      <c r="V662">
        <v>420</v>
      </c>
      <c r="W662">
        <v>440</v>
      </c>
      <c r="X662">
        <v>440</v>
      </c>
      <c r="Y662">
        <f t="shared" si="111"/>
        <v>0</v>
      </c>
      <c r="Z662">
        <f t="shared" si="112"/>
        <v>-20</v>
      </c>
      <c r="AC662" s="1">
        <v>0</v>
      </c>
      <c r="AF662">
        <f t="shared" si="118"/>
        <v>420</v>
      </c>
      <c r="AG662" s="41">
        <v>20</v>
      </c>
      <c r="AH662">
        <f t="shared" si="113"/>
        <v>420</v>
      </c>
      <c r="AI662">
        <f t="shared" si="114"/>
        <v>0</v>
      </c>
      <c r="AK662">
        <f t="shared" si="115"/>
        <v>21</v>
      </c>
      <c r="AL662">
        <v>10.06</v>
      </c>
      <c r="AM662" t="s">
        <v>27</v>
      </c>
      <c r="AN662">
        <v>10.06</v>
      </c>
      <c r="AO662" t="b">
        <f t="shared" si="116"/>
        <v>1</v>
      </c>
      <c r="AR662" t="s">
        <v>5061</v>
      </c>
      <c r="AS662" s="21">
        <v>46276</v>
      </c>
      <c r="AT662" t="s">
        <v>5062</v>
      </c>
      <c r="AU662" t="s">
        <v>5077</v>
      </c>
      <c r="AV662" t="s">
        <v>5062</v>
      </c>
      <c r="AW662" t="s">
        <v>5086</v>
      </c>
    </row>
    <row r="663" spans="1:49" hidden="1" x14ac:dyDescent="0.35">
      <c r="A663" t="s">
        <v>2796</v>
      </c>
      <c r="B663" t="s">
        <v>872</v>
      </c>
      <c r="C663" t="s">
        <v>4818</v>
      </c>
      <c r="D663" t="s">
        <v>18</v>
      </c>
      <c r="E663" t="s">
        <v>2837</v>
      </c>
      <c r="F663" t="s">
        <v>2838</v>
      </c>
      <c r="G663" t="s">
        <v>21</v>
      </c>
      <c r="H663" t="s">
        <v>4888</v>
      </c>
      <c r="I663" t="s">
        <v>5003</v>
      </c>
      <c r="J663" s="4" t="s">
        <v>5004</v>
      </c>
      <c r="K663" s="4" t="s">
        <v>4904</v>
      </c>
      <c r="L663" s="4" t="s">
        <v>4909</v>
      </c>
      <c r="M663" s="4" t="s">
        <v>5035</v>
      </c>
      <c r="N663" t="s">
        <v>2839</v>
      </c>
      <c r="O663" t="s">
        <v>2840</v>
      </c>
      <c r="P663" t="s">
        <v>23</v>
      </c>
      <c r="Q663" t="s">
        <v>24</v>
      </c>
      <c r="R663" t="s">
        <v>25</v>
      </c>
      <c r="S663" t="s">
        <v>26</v>
      </c>
      <c r="T663" s="6">
        <v>46307</v>
      </c>
      <c r="U663">
        <v>48</v>
      </c>
      <c r="V663">
        <v>48</v>
      </c>
      <c r="W663">
        <v>48</v>
      </c>
      <c r="X663">
        <v>48</v>
      </c>
      <c r="Y663">
        <f t="shared" si="111"/>
        <v>0</v>
      </c>
      <c r="Z663">
        <f t="shared" si="112"/>
        <v>0</v>
      </c>
      <c r="AC663" s="1">
        <v>0</v>
      </c>
      <c r="AF663">
        <f t="shared" si="118"/>
        <v>48</v>
      </c>
      <c r="AG663" s="41">
        <v>12</v>
      </c>
      <c r="AH663">
        <f t="shared" si="113"/>
        <v>48</v>
      </c>
      <c r="AI663">
        <f t="shared" si="114"/>
        <v>0</v>
      </c>
      <c r="AK663">
        <f t="shared" si="115"/>
        <v>4</v>
      </c>
      <c r="AL663">
        <v>12.89</v>
      </c>
      <c r="AM663" t="s">
        <v>27</v>
      </c>
      <c r="AN663">
        <v>12.89</v>
      </c>
      <c r="AO663" t="b">
        <f t="shared" si="116"/>
        <v>1</v>
      </c>
      <c r="AR663" t="s">
        <v>5061</v>
      </c>
      <c r="AS663" s="21">
        <v>46276</v>
      </c>
      <c r="AT663" t="s">
        <v>5062</v>
      </c>
      <c r="AU663" t="s">
        <v>5078</v>
      </c>
      <c r="AV663" t="s">
        <v>5062</v>
      </c>
      <c r="AW663" t="s">
        <v>5086</v>
      </c>
    </row>
    <row r="664" spans="1:49" hidden="1" x14ac:dyDescent="0.35">
      <c r="A664" t="s">
        <v>2796</v>
      </c>
      <c r="B664" t="s">
        <v>872</v>
      </c>
      <c r="C664" t="s">
        <v>4818</v>
      </c>
      <c r="D664" t="s">
        <v>18</v>
      </c>
      <c r="E664" t="s">
        <v>2841</v>
      </c>
      <c r="F664" t="s">
        <v>2842</v>
      </c>
      <c r="G664" t="s">
        <v>21</v>
      </c>
      <c r="H664" t="s">
        <v>4888</v>
      </c>
      <c r="I664" t="s">
        <v>5005</v>
      </c>
      <c r="J664" s="4" t="s">
        <v>5006</v>
      </c>
      <c r="K664" s="4" t="s">
        <v>5007</v>
      </c>
      <c r="L664" s="4">
        <v>36</v>
      </c>
      <c r="M664" s="4" t="s">
        <v>5035</v>
      </c>
      <c r="N664" t="s">
        <v>2843</v>
      </c>
      <c r="O664" t="s">
        <v>2844</v>
      </c>
      <c r="P664" t="s">
        <v>23</v>
      </c>
      <c r="Q664" t="s">
        <v>24</v>
      </c>
      <c r="R664" t="s">
        <v>25</v>
      </c>
      <c r="S664" t="s">
        <v>26</v>
      </c>
      <c r="T664" s="6">
        <v>46307</v>
      </c>
      <c r="U664">
        <v>792</v>
      </c>
      <c r="V664">
        <v>792</v>
      </c>
      <c r="W664">
        <v>792</v>
      </c>
      <c r="X664">
        <v>792</v>
      </c>
      <c r="Y664">
        <f t="shared" si="111"/>
        <v>0</v>
      </c>
      <c r="Z664">
        <f t="shared" si="112"/>
        <v>0</v>
      </c>
      <c r="AC664" s="1">
        <v>0</v>
      </c>
      <c r="AF664">
        <f t="shared" si="118"/>
        <v>792</v>
      </c>
      <c r="AG664" s="41">
        <v>24</v>
      </c>
      <c r="AH664">
        <f t="shared" si="113"/>
        <v>792</v>
      </c>
      <c r="AI664">
        <f t="shared" si="114"/>
        <v>0</v>
      </c>
      <c r="AK664">
        <f t="shared" si="115"/>
        <v>33</v>
      </c>
      <c r="AL664">
        <v>10.45</v>
      </c>
      <c r="AM664" t="s">
        <v>27</v>
      </c>
      <c r="AN664">
        <v>10.45</v>
      </c>
      <c r="AO664" t="b">
        <f t="shared" si="116"/>
        <v>1</v>
      </c>
      <c r="AR664" t="s">
        <v>5061</v>
      </c>
      <c r="AS664" s="21">
        <v>46276</v>
      </c>
      <c r="AT664" t="s">
        <v>5062</v>
      </c>
      <c r="AU664" t="s">
        <v>5079</v>
      </c>
      <c r="AV664" t="s">
        <v>5062</v>
      </c>
      <c r="AW664" t="s">
        <v>5086</v>
      </c>
    </row>
    <row r="665" spans="1:49" hidden="1" x14ac:dyDescent="0.35">
      <c r="A665" t="s">
        <v>2796</v>
      </c>
      <c r="B665" t="s">
        <v>872</v>
      </c>
      <c r="C665" t="s">
        <v>4818</v>
      </c>
      <c r="D665" t="s">
        <v>18</v>
      </c>
      <c r="E665" t="s">
        <v>2845</v>
      </c>
      <c r="F665" t="s">
        <v>2846</v>
      </c>
      <c r="G665" t="s">
        <v>21</v>
      </c>
      <c r="H665" t="s">
        <v>4888</v>
      </c>
      <c r="I665" t="s">
        <v>5003</v>
      </c>
      <c r="J665" s="4" t="s">
        <v>5004</v>
      </c>
      <c r="K665" s="4" t="s">
        <v>4904</v>
      </c>
      <c r="L665" s="4" t="s">
        <v>4905</v>
      </c>
      <c r="M665" s="4" t="s">
        <v>5035</v>
      </c>
      <c r="N665" t="s">
        <v>2847</v>
      </c>
      <c r="O665" t="s">
        <v>2848</v>
      </c>
      <c r="P665" t="s">
        <v>23</v>
      </c>
      <c r="Q665" t="s">
        <v>24</v>
      </c>
      <c r="R665" t="s">
        <v>25</v>
      </c>
      <c r="S665" t="s">
        <v>26</v>
      </c>
      <c r="T665" s="6">
        <v>46307</v>
      </c>
      <c r="U665">
        <v>48</v>
      </c>
      <c r="V665">
        <v>48</v>
      </c>
      <c r="W665">
        <v>48</v>
      </c>
      <c r="X665">
        <v>48</v>
      </c>
      <c r="Y665">
        <f t="shared" si="111"/>
        <v>0</v>
      </c>
      <c r="Z665">
        <f t="shared" si="112"/>
        <v>0</v>
      </c>
      <c r="AC665" s="1">
        <v>0</v>
      </c>
      <c r="AF665">
        <f t="shared" si="118"/>
        <v>48</v>
      </c>
      <c r="AG665" s="41">
        <v>12</v>
      </c>
      <c r="AH665">
        <f t="shared" si="113"/>
        <v>48</v>
      </c>
      <c r="AI665">
        <f t="shared" si="114"/>
        <v>0</v>
      </c>
      <c r="AK665">
        <f t="shared" si="115"/>
        <v>4</v>
      </c>
      <c r="AL665">
        <v>12.89</v>
      </c>
      <c r="AM665" t="s">
        <v>27</v>
      </c>
      <c r="AN665">
        <v>12.89</v>
      </c>
      <c r="AO665" t="b">
        <f t="shared" si="116"/>
        <v>1</v>
      </c>
      <c r="AR665" t="s">
        <v>5061</v>
      </c>
      <c r="AS665" s="21">
        <v>46276</v>
      </c>
      <c r="AT665" t="s">
        <v>5062</v>
      </c>
      <c r="AU665" t="s">
        <v>5078</v>
      </c>
      <c r="AV665" t="s">
        <v>5062</v>
      </c>
      <c r="AW665" t="s">
        <v>5086</v>
      </c>
    </row>
    <row r="666" spans="1:49" hidden="1" x14ac:dyDescent="0.35">
      <c r="A666" t="s">
        <v>2796</v>
      </c>
      <c r="B666" t="s">
        <v>872</v>
      </c>
      <c r="C666" t="s">
        <v>4818</v>
      </c>
      <c r="D666" t="s">
        <v>18</v>
      </c>
      <c r="E666" t="s">
        <v>2849</v>
      </c>
      <c r="F666" t="s">
        <v>2850</v>
      </c>
      <c r="G666" t="s">
        <v>21</v>
      </c>
      <c r="H666" t="s">
        <v>4888</v>
      </c>
      <c r="I666" t="s">
        <v>5003</v>
      </c>
      <c r="J666" s="4" t="s">
        <v>5004</v>
      </c>
      <c r="K666" s="4" t="s">
        <v>4904</v>
      </c>
      <c r="L666" s="4" t="s">
        <v>4914</v>
      </c>
      <c r="M666" s="4" t="s">
        <v>5035</v>
      </c>
      <c r="N666" t="s">
        <v>2851</v>
      </c>
      <c r="O666" t="s">
        <v>2852</v>
      </c>
      <c r="P666" t="s">
        <v>23</v>
      </c>
      <c r="Q666" t="s">
        <v>24</v>
      </c>
      <c r="R666" t="s">
        <v>25</v>
      </c>
      <c r="S666" t="s">
        <v>26</v>
      </c>
      <c r="T666" s="6">
        <v>46307</v>
      </c>
      <c r="U666">
        <v>36</v>
      </c>
      <c r="V666">
        <v>36</v>
      </c>
      <c r="W666">
        <v>36</v>
      </c>
      <c r="X666">
        <v>36</v>
      </c>
      <c r="Y666">
        <f t="shared" si="111"/>
        <v>0</v>
      </c>
      <c r="Z666">
        <f t="shared" si="112"/>
        <v>0</v>
      </c>
      <c r="AC666" s="1">
        <v>0</v>
      </c>
      <c r="AF666">
        <f t="shared" si="118"/>
        <v>36</v>
      </c>
      <c r="AG666" s="41">
        <v>12</v>
      </c>
      <c r="AH666">
        <f t="shared" si="113"/>
        <v>36</v>
      </c>
      <c r="AI666">
        <f t="shared" si="114"/>
        <v>0</v>
      </c>
      <c r="AK666">
        <f t="shared" si="115"/>
        <v>3</v>
      </c>
      <c r="AL666">
        <v>12.89</v>
      </c>
      <c r="AM666" t="s">
        <v>27</v>
      </c>
      <c r="AN666">
        <v>12.89</v>
      </c>
      <c r="AO666" t="b">
        <f t="shared" si="116"/>
        <v>1</v>
      </c>
      <c r="AR666" t="s">
        <v>5061</v>
      </c>
      <c r="AS666" s="21">
        <v>46276</v>
      </c>
      <c r="AT666" t="s">
        <v>5062</v>
      </c>
      <c r="AU666" t="s">
        <v>5078</v>
      </c>
      <c r="AV666" t="s">
        <v>5062</v>
      </c>
      <c r="AW666" t="s">
        <v>5086</v>
      </c>
    </row>
    <row r="667" spans="1:49" hidden="1" x14ac:dyDescent="0.35">
      <c r="A667" t="s">
        <v>2796</v>
      </c>
      <c r="B667" t="s">
        <v>872</v>
      </c>
      <c r="C667" t="s">
        <v>4818</v>
      </c>
      <c r="D667" t="s">
        <v>18</v>
      </c>
      <c r="E667" t="s">
        <v>2853</v>
      </c>
      <c r="F667" t="s">
        <v>2854</v>
      </c>
      <c r="G667" t="s">
        <v>21</v>
      </c>
      <c r="H667" t="s">
        <v>4888</v>
      </c>
      <c r="I667" t="s">
        <v>5003</v>
      </c>
      <c r="J667" s="4" t="s">
        <v>5004</v>
      </c>
      <c r="K667" s="4" t="s">
        <v>4837</v>
      </c>
      <c r="L667" s="4" t="s">
        <v>4916</v>
      </c>
      <c r="M667" s="4" t="s">
        <v>5035</v>
      </c>
      <c r="N667" t="s">
        <v>2855</v>
      </c>
      <c r="O667" t="s">
        <v>2856</v>
      </c>
      <c r="P667" t="s">
        <v>23</v>
      </c>
      <c r="Q667" t="s">
        <v>24</v>
      </c>
      <c r="R667" t="s">
        <v>25</v>
      </c>
      <c r="S667" t="s">
        <v>26</v>
      </c>
      <c r="T667" s="6">
        <v>46307</v>
      </c>
      <c r="U667">
        <v>60</v>
      </c>
      <c r="V667">
        <v>60</v>
      </c>
      <c r="W667">
        <v>60</v>
      </c>
      <c r="X667">
        <v>60</v>
      </c>
      <c r="Y667">
        <f t="shared" si="111"/>
        <v>0</v>
      </c>
      <c r="Z667">
        <f t="shared" si="112"/>
        <v>0</v>
      </c>
      <c r="AC667" s="1">
        <v>0</v>
      </c>
      <c r="AF667">
        <f t="shared" si="118"/>
        <v>60</v>
      </c>
      <c r="AG667" s="41">
        <v>12</v>
      </c>
      <c r="AH667">
        <f t="shared" si="113"/>
        <v>60</v>
      </c>
      <c r="AI667">
        <f t="shared" si="114"/>
        <v>0</v>
      </c>
      <c r="AK667">
        <f t="shared" si="115"/>
        <v>5</v>
      </c>
      <c r="AL667">
        <v>12.87</v>
      </c>
      <c r="AM667" t="s">
        <v>27</v>
      </c>
      <c r="AN667">
        <v>12.87</v>
      </c>
      <c r="AO667" t="b">
        <f t="shared" si="116"/>
        <v>1</v>
      </c>
      <c r="AR667" t="s">
        <v>5061</v>
      </c>
      <c r="AS667" s="21">
        <v>46276</v>
      </c>
      <c r="AT667" t="s">
        <v>5062</v>
      </c>
      <c r="AU667" t="s">
        <v>5078</v>
      </c>
      <c r="AV667" t="s">
        <v>5062</v>
      </c>
      <c r="AW667" t="s">
        <v>5086</v>
      </c>
    </row>
    <row r="668" spans="1:49" hidden="1" x14ac:dyDescent="0.35">
      <c r="A668" t="s">
        <v>2796</v>
      </c>
      <c r="B668" t="s">
        <v>872</v>
      </c>
      <c r="C668" t="s">
        <v>4818</v>
      </c>
      <c r="D668" t="s">
        <v>18</v>
      </c>
      <c r="E668" t="s">
        <v>2857</v>
      </c>
      <c r="F668" t="s">
        <v>2858</v>
      </c>
      <c r="G668" t="s">
        <v>21</v>
      </c>
      <c r="H668" t="s">
        <v>4888</v>
      </c>
      <c r="I668" t="s">
        <v>5003</v>
      </c>
      <c r="J668" s="4" t="s">
        <v>5004</v>
      </c>
      <c r="K668" s="4" t="s">
        <v>4904</v>
      </c>
      <c r="L668" s="4" t="s">
        <v>4867</v>
      </c>
      <c r="M668" s="4" t="s">
        <v>5035</v>
      </c>
      <c r="N668" t="s">
        <v>2859</v>
      </c>
      <c r="O668" t="s">
        <v>2860</v>
      </c>
      <c r="P668" t="s">
        <v>23</v>
      </c>
      <c r="Q668" t="s">
        <v>24</v>
      </c>
      <c r="R668" t="s">
        <v>25</v>
      </c>
      <c r="S668" t="s">
        <v>26</v>
      </c>
      <c r="T668" s="6">
        <v>46307</v>
      </c>
      <c r="U668">
        <v>36</v>
      </c>
      <c r="V668">
        <v>36</v>
      </c>
      <c r="W668">
        <v>36</v>
      </c>
      <c r="X668">
        <v>36</v>
      </c>
      <c r="Y668">
        <f t="shared" si="111"/>
        <v>0</v>
      </c>
      <c r="Z668">
        <f t="shared" si="112"/>
        <v>0</v>
      </c>
      <c r="AC668" s="1">
        <v>0</v>
      </c>
      <c r="AF668">
        <f t="shared" si="118"/>
        <v>36</v>
      </c>
      <c r="AG668" s="41">
        <v>12</v>
      </c>
      <c r="AH668">
        <f t="shared" si="113"/>
        <v>36</v>
      </c>
      <c r="AI668">
        <f t="shared" si="114"/>
        <v>0</v>
      </c>
      <c r="AK668">
        <f t="shared" si="115"/>
        <v>3</v>
      </c>
      <c r="AL668">
        <v>12.89</v>
      </c>
      <c r="AM668" t="s">
        <v>27</v>
      </c>
      <c r="AN668">
        <v>12.89</v>
      </c>
      <c r="AO668" t="b">
        <f t="shared" si="116"/>
        <v>1</v>
      </c>
      <c r="AR668" t="s">
        <v>5061</v>
      </c>
      <c r="AS668" s="21">
        <v>46276</v>
      </c>
      <c r="AT668" t="s">
        <v>5062</v>
      </c>
      <c r="AU668" t="s">
        <v>5078</v>
      </c>
      <c r="AV668" t="s">
        <v>5062</v>
      </c>
      <c r="AW668" t="s">
        <v>5086</v>
      </c>
    </row>
    <row r="669" spans="1:49" hidden="1" x14ac:dyDescent="0.35">
      <c r="A669" t="s">
        <v>2796</v>
      </c>
      <c r="B669" t="s">
        <v>872</v>
      </c>
      <c r="C669" t="s">
        <v>4818</v>
      </c>
      <c r="D669" t="s">
        <v>18</v>
      </c>
      <c r="E669" t="s">
        <v>2861</v>
      </c>
      <c r="F669" t="s">
        <v>2862</v>
      </c>
      <c r="G669" t="s">
        <v>21</v>
      </c>
      <c r="H669" t="s">
        <v>4888</v>
      </c>
      <c r="I669" t="s">
        <v>5008</v>
      </c>
      <c r="J669" s="4" t="s">
        <v>5009</v>
      </c>
      <c r="K669" s="4" t="s">
        <v>4904</v>
      </c>
      <c r="L669" s="4">
        <v>36</v>
      </c>
      <c r="M669" s="4" t="s">
        <v>5035</v>
      </c>
      <c r="N669" t="s">
        <v>2863</v>
      </c>
      <c r="O669" t="s">
        <v>2864</v>
      </c>
      <c r="P669" t="s">
        <v>23</v>
      </c>
      <c r="Q669" t="s">
        <v>24</v>
      </c>
      <c r="R669" t="s">
        <v>25</v>
      </c>
      <c r="S669" t="s">
        <v>26</v>
      </c>
      <c r="T669" s="6">
        <v>46307</v>
      </c>
      <c r="U669">
        <v>960</v>
      </c>
      <c r="V669">
        <v>960</v>
      </c>
      <c r="W669">
        <v>1032</v>
      </c>
      <c r="X669">
        <v>1032</v>
      </c>
      <c r="Y669">
        <f t="shared" si="111"/>
        <v>0</v>
      </c>
      <c r="Z669">
        <f t="shared" si="112"/>
        <v>-72</v>
      </c>
      <c r="AC669" s="1"/>
      <c r="AF669">
        <f t="shared" si="118"/>
        <v>960</v>
      </c>
      <c r="AG669" s="41">
        <v>24</v>
      </c>
      <c r="AH669">
        <f t="shared" si="113"/>
        <v>960</v>
      </c>
      <c r="AI669">
        <f t="shared" si="114"/>
        <v>0</v>
      </c>
      <c r="AK669">
        <f t="shared" si="115"/>
        <v>40</v>
      </c>
      <c r="AL669">
        <v>10.11</v>
      </c>
      <c r="AM669" t="s">
        <v>27</v>
      </c>
      <c r="AN669">
        <v>10.11</v>
      </c>
      <c r="AO669" t="b">
        <f t="shared" si="116"/>
        <v>1</v>
      </c>
      <c r="AR669" t="s">
        <v>5061</v>
      </c>
      <c r="AS669" s="21">
        <v>46276</v>
      </c>
      <c r="AT669" t="s">
        <v>5062</v>
      </c>
      <c r="AU669" t="s">
        <v>5080</v>
      </c>
      <c r="AV669" t="s">
        <v>5062</v>
      </c>
      <c r="AW669" t="s">
        <v>5086</v>
      </c>
    </row>
    <row r="670" spans="1:49" hidden="1" x14ac:dyDescent="0.35">
      <c r="A670" t="s">
        <v>2796</v>
      </c>
      <c r="B670" t="s">
        <v>872</v>
      </c>
      <c r="C670" t="s">
        <v>4818</v>
      </c>
      <c r="D670" t="s">
        <v>18</v>
      </c>
      <c r="E670" t="s">
        <v>2865</v>
      </c>
      <c r="F670" t="s">
        <v>2866</v>
      </c>
      <c r="G670" t="s">
        <v>21</v>
      </c>
      <c r="H670" t="s">
        <v>4888</v>
      </c>
      <c r="I670" t="s">
        <v>5005</v>
      </c>
      <c r="J670" s="4" t="s">
        <v>5006</v>
      </c>
      <c r="K670" s="4" t="s">
        <v>5007</v>
      </c>
      <c r="L670" s="4">
        <v>28</v>
      </c>
      <c r="M670" s="4" t="s">
        <v>5035</v>
      </c>
      <c r="N670" t="s">
        <v>2867</v>
      </c>
      <c r="O670" t="s">
        <v>2868</v>
      </c>
      <c r="P670" t="s">
        <v>23</v>
      </c>
      <c r="Q670" t="s">
        <v>24</v>
      </c>
      <c r="R670" t="s">
        <v>25</v>
      </c>
      <c r="S670" t="s">
        <v>26</v>
      </c>
      <c r="T670" s="6">
        <v>46307</v>
      </c>
      <c r="U670">
        <v>144</v>
      </c>
      <c r="V670">
        <v>144</v>
      </c>
      <c r="W670">
        <v>144</v>
      </c>
      <c r="X670">
        <v>144</v>
      </c>
      <c r="Y670">
        <f t="shared" si="111"/>
        <v>0</v>
      </c>
      <c r="Z670">
        <f t="shared" si="112"/>
        <v>0</v>
      </c>
      <c r="AC670" s="1">
        <v>0</v>
      </c>
      <c r="AF670">
        <f t="shared" si="118"/>
        <v>144</v>
      </c>
      <c r="AG670" s="41">
        <v>24</v>
      </c>
      <c r="AH670">
        <f t="shared" si="113"/>
        <v>144</v>
      </c>
      <c r="AI670">
        <f t="shared" si="114"/>
        <v>0</v>
      </c>
      <c r="AK670">
        <f t="shared" si="115"/>
        <v>6</v>
      </c>
      <c r="AL670">
        <v>10.45</v>
      </c>
      <c r="AM670" t="s">
        <v>27</v>
      </c>
      <c r="AN670">
        <v>10.45</v>
      </c>
      <c r="AO670" t="b">
        <f t="shared" si="116"/>
        <v>1</v>
      </c>
      <c r="AR670" t="s">
        <v>5061</v>
      </c>
      <c r="AS670" s="21">
        <v>46276</v>
      </c>
      <c r="AT670" t="s">
        <v>5062</v>
      </c>
      <c r="AU670" t="s">
        <v>5079</v>
      </c>
      <c r="AV670" t="s">
        <v>5062</v>
      </c>
      <c r="AW670" t="s">
        <v>5086</v>
      </c>
    </row>
    <row r="671" spans="1:49" hidden="1" x14ac:dyDescent="0.35">
      <c r="A671" t="s">
        <v>2796</v>
      </c>
      <c r="B671" t="s">
        <v>872</v>
      </c>
      <c r="C671" t="s">
        <v>4818</v>
      </c>
      <c r="D671" t="s">
        <v>18</v>
      </c>
      <c r="E671" t="s">
        <v>2869</v>
      </c>
      <c r="F671" t="s">
        <v>2870</v>
      </c>
      <c r="G671" t="s">
        <v>21</v>
      </c>
      <c r="H671" t="s">
        <v>4888</v>
      </c>
      <c r="I671" t="s">
        <v>5005</v>
      </c>
      <c r="J671" s="4" t="s">
        <v>5006</v>
      </c>
      <c r="K671" s="4" t="s">
        <v>4837</v>
      </c>
      <c r="L671" s="4">
        <v>32</v>
      </c>
      <c r="M671" s="4" t="s">
        <v>5035</v>
      </c>
      <c r="N671" t="s">
        <v>2871</v>
      </c>
      <c r="O671" t="s">
        <v>2872</v>
      </c>
      <c r="P671" t="s">
        <v>23</v>
      </c>
      <c r="Q671" t="s">
        <v>24</v>
      </c>
      <c r="R671" t="s">
        <v>25</v>
      </c>
      <c r="S671" t="s">
        <v>26</v>
      </c>
      <c r="T671" s="6">
        <v>46307</v>
      </c>
      <c r="U671">
        <v>528</v>
      </c>
      <c r="V671">
        <v>528</v>
      </c>
      <c r="W671">
        <v>576</v>
      </c>
      <c r="X671">
        <v>576</v>
      </c>
      <c r="Y671">
        <f t="shared" si="111"/>
        <v>0</v>
      </c>
      <c r="Z671">
        <f t="shared" si="112"/>
        <v>-48</v>
      </c>
      <c r="AC671" s="1"/>
      <c r="AF671">
        <f t="shared" si="118"/>
        <v>528</v>
      </c>
      <c r="AG671" s="41">
        <v>24</v>
      </c>
      <c r="AH671">
        <f t="shared" si="113"/>
        <v>528</v>
      </c>
      <c r="AI671">
        <f t="shared" si="114"/>
        <v>0</v>
      </c>
      <c r="AK671">
        <f t="shared" si="115"/>
        <v>22</v>
      </c>
      <c r="AL671">
        <v>9.58</v>
      </c>
      <c r="AM671" t="s">
        <v>27</v>
      </c>
      <c r="AN671">
        <v>9.58</v>
      </c>
      <c r="AO671" t="b">
        <f t="shared" si="116"/>
        <v>1</v>
      </c>
      <c r="AR671" t="s">
        <v>5061</v>
      </c>
      <c r="AS671" s="21">
        <v>46276</v>
      </c>
      <c r="AT671" t="s">
        <v>5062</v>
      </c>
      <c r="AU671" t="s">
        <v>5079</v>
      </c>
      <c r="AV671" t="s">
        <v>5062</v>
      </c>
      <c r="AW671" t="s">
        <v>5086</v>
      </c>
    </row>
    <row r="672" spans="1:49" hidden="1" x14ac:dyDescent="0.35">
      <c r="A672" t="s">
        <v>2796</v>
      </c>
      <c r="B672" t="s">
        <v>872</v>
      </c>
      <c r="C672" t="s">
        <v>4818</v>
      </c>
      <c r="D672" t="s">
        <v>18</v>
      </c>
      <c r="E672" t="s">
        <v>2873</v>
      </c>
      <c r="F672" t="s">
        <v>2874</v>
      </c>
      <c r="G672" t="s">
        <v>21</v>
      </c>
      <c r="H672" t="s">
        <v>4888</v>
      </c>
      <c r="I672" t="s">
        <v>5010</v>
      </c>
      <c r="J672" s="4" t="s">
        <v>5011</v>
      </c>
      <c r="K672" s="4" t="s">
        <v>4904</v>
      </c>
      <c r="L672" s="4" t="s">
        <v>4983</v>
      </c>
      <c r="M672" s="4" t="s">
        <v>5035</v>
      </c>
      <c r="N672" t="s">
        <v>2875</v>
      </c>
      <c r="O672" t="s">
        <v>2876</v>
      </c>
      <c r="P672" t="s">
        <v>23</v>
      </c>
      <c r="Q672" t="s">
        <v>24</v>
      </c>
      <c r="R672" t="s">
        <v>25</v>
      </c>
      <c r="S672" t="s">
        <v>26</v>
      </c>
      <c r="T672" s="6">
        <v>46307</v>
      </c>
      <c r="U672">
        <v>288</v>
      </c>
      <c r="V672">
        <v>288</v>
      </c>
      <c r="W672">
        <v>312</v>
      </c>
      <c r="X672">
        <v>312</v>
      </c>
      <c r="Y672">
        <f t="shared" si="111"/>
        <v>0</v>
      </c>
      <c r="Z672">
        <f t="shared" si="112"/>
        <v>-24</v>
      </c>
      <c r="AC672" s="1"/>
      <c r="AF672">
        <f t="shared" si="118"/>
        <v>288</v>
      </c>
      <c r="AG672" s="41">
        <v>24</v>
      </c>
      <c r="AH672">
        <f t="shared" si="113"/>
        <v>288</v>
      </c>
      <c r="AI672">
        <f t="shared" si="114"/>
        <v>0</v>
      </c>
      <c r="AK672">
        <f t="shared" si="115"/>
        <v>12</v>
      </c>
      <c r="AL672">
        <v>5.03</v>
      </c>
      <c r="AM672" t="s">
        <v>27</v>
      </c>
      <c r="AN672">
        <v>5.03</v>
      </c>
      <c r="AO672" t="b">
        <f t="shared" si="116"/>
        <v>1</v>
      </c>
      <c r="AR672" t="s">
        <v>5061</v>
      </c>
      <c r="AS672" s="21">
        <v>46276</v>
      </c>
      <c r="AT672" t="s">
        <v>5062</v>
      </c>
      <c r="AU672" t="s">
        <v>5081</v>
      </c>
      <c r="AV672" t="s">
        <v>5062</v>
      </c>
      <c r="AW672" t="s">
        <v>5086</v>
      </c>
    </row>
    <row r="673" spans="1:49" hidden="1" x14ac:dyDescent="0.35">
      <c r="A673" t="s">
        <v>2796</v>
      </c>
      <c r="B673" t="s">
        <v>872</v>
      </c>
      <c r="C673" t="s">
        <v>4818</v>
      </c>
      <c r="D673" t="s">
        <v>18</v>
      </c>
      <c r="E673" t="s">
        <v>2877</v>
      </c>
      <c r="F673" t="s">
        <v>2878</v>
      </c>
      <c r="G673" t="s">
        <v>21</v>
      </c>
      <c r="H673" t="s">
        <v>4888</v>
      </c>
      <c r="I673" t="s">
        <v>5010</v>
      </c>
      <c r="J673" s="4" t="s">
        <v>5011</v>
      </c>
      <c r="K673" s="4" t="s">
        <v>4904</v>
      </c>
      <c r="L673" s="4" t="s">
        <v>4994</v>
      </c>
      <c r="M673" s="4" t="s">
        <v>5035</v>
      </c>
      <c r="N673" t="s">
        <v>2879</v>
      </c>
      <c r="O673" t="s">
        <v>2880</v>
      </c>
      <c r="P673" t="s">
        <v>23</v>
      </c>
      <c r="Q673" t="s">
        <v>24</v>
      </c>
      <c r="R673" t="s">
        <v>25</v>
      </c>
      <c r="S673" t="s">
        <v>26</v>
      </c>
      <c r="T673" s="6">
        <v>46307</v>
      </c>
      <c r="U673">
        <v>24</v>
      </c>
      <c r="V673">
        <v>24</v>
      </c>
      <c r="W673">
        <v>24</v>
      </c>
      <c r="X673">
        <v>24</v>
      </c>
      <c r="Y673">
        <f t="shared" si="111"/>
        <v>0</v>
      </c>
      <c r="Z673">
        <f t="shared" si="112"/>
        <v>0</v>
      </c>
      <c r="AC673" s="1">
        <v>0</v>
      </c>
      <c r="AF673">
        <f t="shared" si="118"/>
        <v>24</v>
      </c>
      <c r="AG673" s="41">
        <v>24</v>
      </c>
      <c r="AH673">
        <f t="shared" si="113"/>
        <v>24</v>
      </c>
      <c r="AI673">
        <f t="shared" si="114"/>
        <v>0</v>
      </c>
      <c r="AK673">
        <f t="shared" si="115"/>
        <v>1</v>
      </c>
      <c r="AL673">
        <v>5.03</v>
      </c>
      <c r="AM673" t="s">
        <v>27</v>
      </c>
      <c r="AN673">
        <v>5.03</v>
      </c>
      <c r="AO673" t="b">
        <f t="shared" si="116"/>
        <v>1</v>
      </c>
      <c r="AR673" t="s">
        <v>5061</v>
      </c>
      <c r="AS673" s="21">
        <v>46276</v>
      </c>
      <c r="AT673" t="s">
        <v>5062</v>
      </c>
      <c r="AU673" t="s">
        <v>5081</v>
      </c>
      <c r="AV673" t="s">
        <v>5062</v>
      </c>
      <c r="AW673" t="s">
        <v>5086</v>
      </c>
    </row>
    <row r="674" spans="1:49" hidden="1" x14ac:dyDescent="0.35">
      <c r="A674" t="s">
        <v>2796</v>
      </c>
      <c r="B674" t="s">
        <v>872</v>
      </c>
      <c r="C674" t="s">
        <v>4818</v>
      </c>
      <c r="D674" t="s">
        <v>18</v>
      </c>
      <c r="E674" t="s">
        <v>2881</v>
      </c>
      <c r="F674" t="s">
        <v>2882</v>
      </c>
      <c r="G674" t="s">
        <v>21</v>
      </c>
      <c r="H674" t="s">
        <v>4888</v>
      </c>
      <c r="I674" t="s">
        <v>5012</v>
      </c>
      <c r="J674" s="4" t="s">
        <v>5013</v>
      </c>
      <c r="K674" s="4" t="s">
        <v>4984</v>
      </c>
      <c r="L674" s="4" t="s">
        <v>4985</v>
      </c>
      <c r="M674" s="4" t="s">
        <v>5035</v>
      </c>
      <c r="N674" t="s">
        <v>2883</v>
      </c>
      <c r="O674" t="s">
        <v>2884</v>
      </c>
      <c r="P674" t="s">
        <v>23</v>
      </c>
      <c r="Q674" t="s">
        <v>24</v>
      </c>
      <c r="R674" t="s">
        <v>25</v>
      </c>
      <c r="S674" t="s">
        <v>26</v>
      </c>
      <c r="T674" s="6">
        <v>46307</v>
      </c>
      <c r="U674">
        <v>624</v>
      </c>
      <c r="V674">
        <v>624</v>
      </c>
      <c r="W674">
        <v>672</v>
      </c>
      <c r="X674">
        <v>672</v>
      </c>
      <c r="Y674">
        <f t="shared" si="111"/>
        <v>0</v>
      </c>
      <c r="Z674">
        <f t="shared" si="112"/>
        <v>-48</v>
      </c>
      <c r="AC674" s="1"/>
      <c r="AF674">
        <f t="shared" si="118"/>
        <v>624</v>
      </c>
      <c r="AG674" s="41">
        <v>24</v>
      </c>
      <c r="AH674">
        <f t="shared" si="113"/>
        <v>624</v>
      </c>
      <c r="AI674">
        <f t="shared" si="114"/>
        <v>0</v>
      </c>
      <c r="AK674">
        <f t="shared" si="115"/>
        <v>26</v>
      </c>
      <c r="AL674">
        <v>6.05</v>
      </c>
      <c r="AM674" t="s">
        <v>27</v>
      </c>
      <c r="AN674">
        <v>6.05</v>
      </c>
      <c r="AO674" t="b">
        <f t="shared" si="116"/>
        <v>1</v>
      </c>
      <c r="AR674" t="s">
        <v>5061</v>
      </c>
      <c r="AS674" s="21">
        <v>46276</v>
      </c>
      <c r="AT674" t="s">
        <v>5062</v>
      </c>
      <c r="AU674" t="s">
        <v>5081</v>
      </c>
      <c r="AV674" t="s">
        <v>5062</v>
      </c>
      <c r="AW674" t="s">
        <v>5086</v>
      </c>
    </row>
    <row r="675" spans="1:49" hidden="1" x14ac:dyDescent="0.35">
      <c r="A675" t="s">
        <v>2796</v>
      </c>
      <c r="B675" t="s">
        <v>872</v>
      </c>
      <c r="C675" t="s">
        <v>4818</v>
      </c>
      <c r="D675" t="s">
        <v>18</v>
      </c>
      <c r="E675" t="s">
        <v>2885</v>
      </c>
      <c r="F675" t="s">
        <v>2886</v>
      </c>
      <c r="G675" t="s">
        <v>21</v>
      </c>
      <c r="H675" t="s">
        <v>4888</v>
      </c>
      <c r="I675" t="s">
        <v>5005</v>
      </c>
      <c r="J675" s="4" t="s">
        <v>5006</v>
      </c>
      <c r="K675" s="4" t="s">
        <v>4899</v>
      </c>
      <c r="L675" s="4">
        <v>31</v>
      </c>
      <c r="M675" s="4" t="s">
        <v>5035</v>
      </c>
      <c r="N675" t="s">
        <v>2887</v>
      </c>
      <c r="O675" t="s">
        <v>2888</v>
      </c>
      <c r="P675" t="s">
        <v>23</v>
      </c>
      <c r="Q675" t="s">
        <v>24</v>
      </c>
      <c r="R675" t="s">
        <v>25</v>
      </c>
      <c r="S675" t="s">
        <v>26</v>
      </c>
      <c r="T675" s="6">
        <v>46307</v>
      </c>
      <c r="U675">
        <v>240</v>
      </c>
      <c r="V675">
        <v>240</v>
      </c>
      <c r="W675">
        <v>264</v>
      </c>
      <c r="X675">
        <v>264</v>
      </c>
      <c r="Y675">
        <f t="shared" si="111"/>
        <v>0</v>
      </c>
      <c r="Z675">
        <f t="shared" si="112"/>
        <v>-24</v>
      </c>
      <c r="AC675" s="1">
        <v>0</v>
      </c>
      <c r="AF675">
        <f t="shared" si="118"/>
        <v>240</v>
      </c>
      <c r="AG675" s="41">
        <v>24</v>
      </c>
      <c r="AH675">
        <f t="shared" si="113"/>
        <v>240</v>
      </c>
      <c r="AI675">
        <f t="shared" si="114"/>
        <v>0</v>
      </c>
      <c r="AK675">
        <f t="shared" si="115"/>
        <v>10</v>
      </c>
      <c r="AL675">
        <v>10.14</v>
      </c>
      <c r="AM675" t="s">
        <v>27</v>
      </c>
      <c r="AN675">
        <v>10.14</v>
      </c>
      <c r="AO675" t="b">
        <f t="shared" si="116"/>
        <v>1</v>
      </c>
      <c r="AR675" t="s">
        <v>5061</v>
      </c>
      <c r="AS675" s="21">
        <v>46276</v>
      </c>
      <c r="AT675" t="s">
        <v>5062</v>
      </c>
      <c r="AU675" t="s">
        <v>5079</v>
      </c>
      <c r="AV675" t="s">
        <v>5062</v>
      </c>
      <c r="AW675" t="s">
        <v>5086</v>
      </c>
    </row>
    <row r="676" spans="1:49" hidden="1" x14ac:dyDescent="0.35">
      <c r="A676" t="s">
        <v>2796</v>
      </c>
      <c r="B676" t="s">
        <v>872</v>
      </c>
      <c r="C676" t="s">
        <v>4818</v>
      </c>
      <c r="D676" t="s">
        <v>18</v>
      </c>
      <c r="E676" t="s">
        <v>2889</v>
      </c>
      <c r="F676" t="s">
        <v>2890</v>
      </c>
      <c r="G676" t="s">
        <v>21</v>
      </c>
      <c r="H676" t="s">
        <v>4888</v>
      </c>
      <c r="I676" t="s">
        <v>5012</v>
      </c>
      <c r="J676" s="4" t="s">
        <v>5013</v>
      </c>
      <c r="K676" s="4" t="s">
        <v>4904</v>
      </c>
      <c r="L676" s="4" t="s">
        <v>5014</v>
      </c>
      <c r="M676" s="4" t="s">
        <v>5035</v>
      </c>
      <c r="N676" t="s">
        <v>2891</v>
      </c>
      <c r="O676" t="s">
        <v>2892</v>
      </c>
      <c r="P676" t="s">
        <v>23</v>
      </c>
      <c r="Q676" t="s">
        <v>24</v>
      </c>
      <c r="R676" t="s">
        <v>25</v>
      </c>
      <c r="S676" t="s">
        <v>26</v>
      </c>
      <c r="T676" s="6">
        <v>46307</v>
      </c>
      <c r="U676">
        <v>384</v>
      </c>
      <c r="V676">
        <v>384</v>
      </c>
      <c r="W676">
        <v>408</v>
      </c>
      <c r="X676">
        <v>408</v>
      </c>
      <c r="Y676">
        <f t="shared" si="111"/>
        <v>0</v>
      </c>
      <c r="Z676">
        <f t="shared" si="112"/>
        <v>-24</v>
      </c>
      <c r="AC676" s="1"/>
      <c r="AF676">
        <f t="shared" si="118"/>
        <v>384</v>
      </c>
      <c r="AG676" s="41">
        <v>24</v>
      </c>
      <c r="AH676">
        <f t="shared" si="113"/>
        <v>384</v>
      </c>
      <c r="AI676">
        <f t="shared" si="114"/>
        <v>0</v>
      </c>
      <c r="AK676">
        <f t="shared" si="115"/>
        <v>16</v>
      </c>
      <c r="AL676">
        <v>6.15</v>
      </c>
      <c r="AM676" t="s">
        <v>27</v>
      </c>
      <c r="AN676">
        <v>6.15</v>
      </c>
      <c r="AO676" t="b">
        <f t="shared" si="116"/>
        <v>1</v>
      </c>
      <c r="AR676" t="s">
        <v>5061</v>
      </c>
      <c r="AS676" s="21">
        <v>46276</v>
      </c>
      <c r="AT676" t="s">
        <v>5062</v>
      </c>
      <c r="AU676" t="s">
        <v>5081</v>
      </c>
      <c r="AV676" t="s">
        <v>5062</v>
      </c>
      <c r="AW676" t="s">
        <v>5086</v>
      </c>
    </row>
    <row r="677" spans="1:49" hidden="1" x14ac:dyDescent="0.35">
      <c r="A677" t="s">
        <v>2796</v>
      </c>
      <c r="B677" t="s">
        <v>872</v>
      </c>
      <c r="C677" t="s">
        <v>4818</v>
      </c>
      <c r="D677" t="s">
        <v>18</v>
      </c>
      <c r="E677" t="s">
        <v>2893</v>
      </c>
      <c r="F677" t="s">
        <v>2894</v>
      </c>
      <c r="G677" t="s">
        <v>21</v>
      </c>
      <c r="H677" t="s">
        <v>4888</v>
      </c>
      <c r="I677" t="s">
        <v>5003</v>
      </c>
      <c r="J677" s="4" t="s">
        <v>5004</v>
      </c>
      <c r="K677" s="4" t="s">
        <v>4837</v>
      </c>
      <c r="L677" s="4" t="s">
        <v>4877</v>
      </c>
      <c r="M677" s="4" t="s">
        <v>5035</v>
      </c>
      <c r="N677" t="s">
        <v>2895</v>
      </c>
      <c r="O677" t="s">
        <v>2896</v>
      </c>
      <c r="P677" t="s">
        <v>23</v>
      </c>
      <c r="Q677" t="s">
        <v>24</v>
      </c>
      <c r="R677" t="s">
        <v>25</v>
      </c>
      <c r="S677" t="s">
        <v>26</v>
      </c>
      <c r="T677" s="6">
        <v>46307</v>
      </c>
      <c r="U677">
        <v>84</v>
      </c>
      <c r="V677">
        <v>84</v>
      </c>
      <c r="W677">
        <v>96</v>
      </c>
      <c r="X677">
        <v>96</v>
      </c>
      <c r="Y677">
        <f t="shared" si="111"/>
        <v>0</v>
      </c>
      <c r="Z677">
        <f t="shared" si="112"/>
        <v>-12</v>
      </c>
      <c r="AC677" s="1">
        <v>0</v>
      </c>
      <c r="AF677">
        <f t="shared" si="118"/>
        <v>84</v>
      </c>
      <c r="AG677" s="41">
        <v>12</v>
      </c>
      <c r="AH677">
        <f t="shared" si="113"/>
        <v>84</v>
      </c>
      <c r="AI677">
        <f t="shared" si="114"/>
        <v>0</v>
      </c>
      <c r="AK677">
        <f t="shared" si="115"/>
        <v>7</v>
      </c>
      <c r="AL677">
        <v>12.87</v>
      </c>
      <c r="AM677" t="s">
        <v>27</v>
      </c>
      <c r="AN677">
        <v>12.87</v>
      </c>
      <c r="AO677" t="b">
        <f t="shared" si="116"/>
        <v>1</v>
      </c>
      <c r="AR677" t="s">
        <v>5061</v>
      </c>
      <c r="AS677" s="21">
        <v>46276</v>
      </c>
      <c r="AT677" t="s">
        <v>5062</v>
      </c>
      <c r="AU677" t="s">
        <v>5078</v>
      </c>
      <c r="AV677" t="s">
        <v>5062</v>
      </c>
      <c r="AW677" t="s">
        <v>5086</v>
      </c>
    </row>
    <row r="678" spans="1:49" hidden="1" x14ac:dyDescent="0.35">
      <c r="A678" t="s">
        <v>2796</v>
      </c>
      <c r="B678" t="s">
        <v>872</v>
      </c>
      <c r="C678" t="s">
        <v>4818</v>
      </c>
      <c r="D678" t="s">
        <v>18</v>
      </c>
      <c r="E678" t="s">
        <v>2897</v>
      </c>
      <c r="F678" t="s">
        <v>2898</v>
      </c>
      <c r="G678" t="s">
        <v>21</v>
      </c>
      <c r="H678" t="s">
        <v>4888</v>
      </c>
      <c r="I678" t="s">
        <v>5003</v>
      </c>
      <c r="J678" s="4" t="s">
        <v>5004</v>
      </c>
      <c r="K678" s="4" t="s">
        <v>4837</v>
      </c>
      <c r="L678" s="4" t="s">
        <v>4855</v>
      </c>
      <c r="M678" s="4" t="s">
        <v>5035</v>
      </c>
      <c r="N678" t="s">
        <v>2899</v>
      </c>
      <c r="O678" t="s">
        <v>2900</v>
      </c>
      <c r="P678" t="s">
        <v>23</v>
      </c>
      <c r="Q678" t="s">
        <v>24</v>
      </c>
      <c r="R678" t="s">
        <v>25</v>
      </c>
      <c r="S678" t="s">
        <v>26</v>
      </c>
      <c r="T678" s="6">
        <v>46307</v>
      </c>
      <c r="U678">
        <v>84</v>
      </c>
      <c r="V678">
        <v>84</v>
      </c>
      <c r="W678">
        <v>96</v>
      </c>
      <c r="X678">
        <v>96</v>
      </c>
      <c r="Y678">
        <f t="shared" si="111"/>
        <v>0</v>
      </c>
      <c r="Z678">
        <f t="shared" si="112"/>
        <v>-12</v>
      </c>
      <c r="AC678" s="1">
        <v>0</v>
      </c>
      <c r="AF678">
        <f t="shared" si="118"/>
        <v>84</v>
      </c>
      <c r="AG678" s="41">
        <v>12</v>
      </c>
      <c r="AH678">
        <f t="shared" si="113"/>
        <v>84</v>
      </c>
      <c r="AI678">
        <f t="shared" si="114"/>
        <v>0</v>
      </c>
      <c r="AK678">
        <f t="shared" si="115"/>
        <v>7</v>
      </c>
      <c r="AL678">
        <v>12.87</v>
      </c>
      <c r="AM678" t="s">
        <v>27</v>
      </c>
      <c r="AN678">
        <v>12.87</v>
      </c>
      <c r="AO678" t="b">
        <f t="shared" si="116"/>
        <v>1</v>
      </c>
      <c r="AR678" t="s">
        <v>5061</v>
      </c>
      <c r="AS678" s="21">
        <v>46276</v>
      </c>
      <c r="AT678" t="s">
        <v>5062</v>
      </c>
      <c r="AU678" t="s">
        <v>5078</v>
      </c>
      <c r="AV678" t="s">
        <v>5062</v>
      </c>
      <c r="AW678" t="s">
        <v>5086</v>
      </c>
    </row>
    <row r="679" spans="1:49" hidden="1" x14ac:dyDescent="0.35">
      <c r="A679" t="s">
        <v>2796</v>
      </c>
      <c r="B679" t="s">
        <v>872</v>
      </c>
      <c r="C679" t="s">
        <v>4818</v>
      </c>
      <c r="D679" t="s">
        <v>18</v>
      </c>
      <c r="E679" t="s">
        <v>2901</v>
      </c>
      <c r="F679" t="s">
        <v>2902</v>
      </c>
      <c r="G679" t="s">
        <v>21</v>
      </c>
      <c r="H679" t="s">
        <v>4888</v>
      </c>
      <c r="I679" t="s">
        <v>5003</v>
      </c>
      <c r="J679" s="4" t="s">
        <v>5004</v>
      </c>
      <c r="K679" s="4" t="s">
        <v>4837</v>
      </c>
      <c r="L679" s="4" t="s">
        <v>4931</v>
      </c>
      <c r="M679" s="4" t="s">
        <v>5035</v>
      </c>
      <c r="N679" t="s">
        <v>2903</v>
      </c>
      <c r="O679" t="s">
        <v>2904</v>
      </c>
      <c r="P679" t="s">
        <v>23</v>
      </c>
      <c r="Q679" t="s">
        <v>24</v>
      </c>
      <c r="R679" t="s">
        <v>25</v>
      </c>
      <c r="S679" t="s">
        <v>26</v>
      </c>
      <c r="T679" s="6">
        <v>46307</v>
      </c>
      <c r="U679">
        <v>156</v>
      </c>
      <c r="V679">
        <v>156</v>
      </c>
      <c r="W679">
        <v>168</v>
      </c>
      <c r="X679">
        <v>168</v>
      </c>
      <c r="Y679">
        <f t="shared" si="111"/>
        <v>0</v>
      </c>
      <c r="Z679">
        <f t="shared" si="112"/>
        <v>-12</v>
      </c>
      <c r="AC679" s="1">
        <v>0</v>
      </c>
      <c r="AF679">
        <f t="shared" si="118"/>
        <v>156</v>
      </c>
      <c r="AG679" s="41">
        <v>12</v>
      </c>
      <c r="AH679">
        <f t="shared" si="113"/>
        <v>156</v>
      </c>
      <c r="AI679">
        <f t="shared" si="114"/>
        <v>0</v>
      </c>
      <c r="AK679">
        <f t="shared" si="115"/>
        <v>13</v>
      </c>
      <c r="AL679">
        <v>12.87</v>
      </c>
      <c r="AM679" t="s">
        <v>27</v>
      </c>
      <c r="AN679">
        <v>12.87</v>
      </c>
      <c r="AO679" t="b">
        <f t="shared" si="116"/>
        <v>1</v>
      </c>
      <c r="AR679" t="s">
        <v>5061</v>
      </c>
      <c r="AS679" s="21">
        <v>46276</v>
      </c>
      <c r="AT679" t="s">
        <v>5062</v>
      </c>
      <c r="AU679" t="s">
        <v>5078</v>
      </c>
      <c r="AV679" t="s">
        <v>5062</v>
      </c>
      <c r="AW679" t="s">
        <v>5086</v>
      </c>
    </row>
    <row r="680" spans="1:49" hidden="1" x14ac:dyDescent="0.35">
      <c r="A680" t="s">
        <v>2796</v>
      </c>
      <c r="B680" t="s">
        <v>872</v>
      </c>
      <c r="C680" t="s">
        <v>4818</v>
      </c>
      <c r="D680" t="s">
        <v>18</v>
      </c>
      <c r="E680" t="s">
        <v>2905</v>
      </c>
      <c r="F680" t="s">
        <v>2906</v>
      </c>
      <c r="G680" t="s">
        <v>21</v>
      </c>
      <c r="H680" t="s">
        <v>4888</v>
      </c>
      <c r="I680" t="s">
        <v>5003</v>
      </c>
      <c r="J680" s="4" t="s">
        <v>5004</v>
      </c>
      <c r="K680" s="4" t="s">
        <v>5015</v>
      </c>
      <c r="L680" s="4" t="s">
        <v>4863</v>
      </c>
      <c r="M680" s="4" t="s">
        <v>5035</v>
      </c>
      <c r="N680" t="s">
        <v>2907</v>
      </c>
      <c r="O680" t="s">
        <v>2908</v>
      </c>
      <c r="P680" t="s">
        <v>23</v>
      </c>
      <c r="Q680" t="s">
        <v>24</v>
      </c>
      <c r="R680" t="s">
        <v>25</v>
      </c>
      <c r="S680" t="s">
        <v>26</v>
      </c>
      <c r="T680" s="6">
        <v>46307</v>
      </c>
      <c r="U680">
        <v>48</v>
      </c>
      <c r="V680">
        <v>48</v>
      </c>
      <c r="W680">
        <v>60</v>
      </c>
      <c r="X680">
        <v>60</v>
      </c>
      <c r="Y680">
        <f t="shared" si="111"/>
        <v>0</v>
      </c>
      <c r="Z680">
        <f t="shared" si="112"/>
        <v>-12</v>
      </c>
      <c r="AC680" s="1">
        <v>0</v>
      </c>
      <c r="AF680">
        <f t="shared" si="118"/>
        <v>48</v>
      </c>
      <c r="AG680" s="41">
        <v>12</v>
      </c>
      <c r="AH680">
        <f t="shared" si="113"/>
        <v>48</v>
      </c>
      <c r="AI680">
        <f t="shared" si="114"/>
        <v>0</v>
      </c>
      <c r="AK680">
        <f t="shared" si="115"/>
        <v>4</v>
      </c>
      <c r="AL680">
        <v>13.01</v>
      </c>
      <c r="AM680" t="s">
        <v>27</v>
      </c>
      <c r="AN680">
        <v>13.01</v>
      </c>
      <c r="AO680" t="b">
        <f t="shared" si="116"/>
        <v>1</v>
      </c>
      <c r="AR680" t="s">
        <v>5061</v>
      </c>
      <c r="AS680" s="21">
        <v>46276</v>
      </c>
      <c r="AT680" t="s">
        <v>5062</v>
      </c>
      <c r="AU680" t="s">
        <v>5078</v>
      </c>
      <c r="AV680" t="s">
        <v>5062</v>
      </c>
      <c r="AW680" t="s">
        <v>5086</v>
      </c>
    </row>
    <row r="681" spans="1:49" hidden="1" x14ac:dyDescent="0.35">
      <c r="A681" t="s">
        <v>2796</v>
      </c>
      <c r="B681" t="s">
        <v>872</v>
      </c>
      <c r="C681" t="s">
        <v>4818</v>
      </c>
      <c r="D681" t="s">
        <v>18</v>
      </c>
      <c r="E681" t="s">
        <v>2909</v>
      </c>
      <c r="F681" t="s">
        <v>2910</v>
      </c>
      <c r="G681" t="s">
        <v>21</v>
      </c>
      <c r="H681" t="s">
        <v>4888</v>
      </c>
      <c r="I681" t="s">
        <v>5003</v>
      </c>
      <c r="J681" s="4" t="s">
        <v>5004</v>
      </c>
      <c r="K681" s="4" t="s">
        <v>5016</v>
      </c>
      <c r="L681" s="4" t="s">
        <v>4928</v>
      </c>
      <c r="M681" s="4" t="s">
        <v>5035</v>
      </c>
      <c r="N681" t="s">
        <v>2911</v>
      </c>
      <c r="O681" t="s">
        <v>2912</v>
      </c>
      <c r="P681" t="s">
        <v>23</v>
      </c>
      <c r="Q681" t="s">
        <v>24</v>
      </c>
      <c r="R681" t="s">
        <v>25</v>
      </c>
      <c r="S681" t="s">
        <v>26</v>
      </c>
      <c r="T681" s="6">
        <v>46307</v>
      </c>
      <c r="U681">
        <v>48</v>
      </c>
      <c r="V681">
        <v>48</v>
      </c>
      <c r="W681">
        <v>48</v>
      </c>
      <c r="X681">
        <v>48</v>
      </c>
      <c r="Y681">
        <f t="shared" si="111"/>
        <v>0</v>
      </c>
      <c r="Z681">
        <f t="shared" si="112"/>
        <v>0</v>
      </c>
      <c r="AC681" s="1">
        <v>0</v>
      </c>
      <c r="AF681">
        <f t="shared" si="118"/>
        <v>48</v>
      </c>
      <c r="AG681" s="41">
        <v>12</v>
      </c>
      <c r="AH681">
        <f t="shared" si="113"/>
        <v>48</v>
      </c>
      <c r="AI681">
        <f t="shared" si="114"/>
        <v>0</v>
      </c>
      <c r="AK681">
        <f t="shared" si="115"/>
        <v>4</v>
      </c>
      <c r="AL681">
        <v>13.33</v>
      </c>
      <c r="AM681" t="s">
        <v>27</v>
      </c>
      <c r="AN681">
        <v>13.33</v>
      </c>
      <c r="AO681" t="b">
        <f t="shared" si="116"/>
        <v>1</v>
      </c>
      <c r="AR681" t="s">
        <v>5061</v>
      </c>
      <c r="AS681" s="21">
        <v>46276</v>
      </c>
      <c r="AT681" t="s">
        <v>5062</v>
      </c>
      <c r="AU681" t="s">
        <v>5078</v>
      </c>
      <c r="AV681" t="s">
        <v>5062</v>
      </c>
      <c r="AW681" t="s">
        <v>5086</v>
      </c>
    </row>
    <row r="682" spans="1:49" hidden="1" x14ac:dyDescent="0.35">
      <c r="A682" t="s">
        <v>2796</v>
      </c>
      <c r="B682" t="s">
        <v>872</v>
      </c>
      <c r="C682" t="s">
        <v>4818</v>
      </c>
      <c r="D682" t="s">
        <v>18</v>
      </c>
      <c r="E682" t="s">
        <v>2913</v>
      </c>
      <c r="F682" t="s">
        <v>2914</v>
      </c>
      <c r="G682" t="s">
        <v>21</v>
      </c>
      <c r="H682" t="s">
        <v>4888</v>
      </c>
      <c r="I682" t="s">
        <v>5003</v>
      </c>
      <c r="J682" s="4" t="s">
        <v>5004</v>
      </c>
      <c r="K682" s="4" t="s">
        <v>5016</v>
      </c>
      <c r="L682" s="4" t="s">
        <v>4910</v>
      </c>
      <c r="M682" s="4" t="s">
        <v>5035</v>
      </c>
      <c r="N682" t="s">
        <v>2915</v>
      </c>
      <c r="O682" t="s">
        <v>2916</v>
      </c>
      <c r="P682" t="s">
        <v>23</v>
      </c>
      <c r="Q682" t="s">
        <v>24</v>
      </c>
      <c r="R682" t="s">
        <v>25</v>
      </c>
      <c r="S682" t="s">
        <v>26</v>
      </c>
      <c r="T682" s="6">
        <v>46307</v>
      </c>
      <c r="U682">
        <v>12</v>
      </c>
      <c r="V682">
        <v>12</v>
      </c>
      <c r="W682">
        <v>12</v>
      </c>
      <c r="X682">
        <v>12</v>
      </c>
      <c r="Y682">
        <f t="shared" si="111"/>
        <v>0</v>
      </c>
      <c r="Z682">
        <f t="shared" si="112"/>
        <v>0</v>
      </c>
      <c r="AC682" s="1">
        <v>0</v>
      </c>
      <c r="AF682">
        <f t="shared" si="118"/>
        <v>12</v>
      </c>
      <c r="AG682" s="41">
        <v>12</v>
      </c>
      <c r="AH682">
        <f t="shared" si="113"/>
        <v>12</v>
      </c>
      <c r="AI682">
        <f t="shared" si="114"/>
        <v>0</v>
      </c>
      <c r="AK682">
        <f t="shared" si="115"/>
        <v>1</v>
      </c>
      <c r="AL682">
        <v>13.33</v>
      </c>
      <c r="AM682" t="s">
        <v>27</v>
      </c>
      <c r="AN682">
        <v>13.33</v>
      </c>
      <c r="AO682" t="b">
        <f t="shared" si="116"/>
        <v>1</v>
      </c>
      <c r="AR682" t="s">
        <v>5061</v>
      </c>
      <c r="AS682" s="21">
        <v>46276</v>
      </c>
      <c r="AT682" t="s">
        <v>5062</v>
      </c>
      <c r="AU682" t="s">
        <v>5078</v>
      </c>
      <c r="AV682" t="s">
        <v>5062</v>
      </c>
      <c r="AW682" t="s">
        <v>5086</v>
      </c>
    </row>
    <row r="683" spans="1:49" hidden="1" x14ac:dyDescent="0.35">
      <c r="A683" t="s">
        <v>2796</v>
      </c>
      <c r="B683" t="s">
        <v>872</v>
      </c>
      <c r="C683" t="s">
        <v>4818</v>
      </c>
      <c r="D683" t="s">
        <v>18</v>
      </c>
      <c r="E683" t="s">
        <v>2917</v>
      </c>
      <c r="F683" t="s">
        <v>2918</v>
      </c>
      <c r="G683" t="s">
        <v>21</v>
      </c>
      <c r="H683" t="s">
        <v>4888</v>
      </c>
      <c r="I683" t="s">
        <v>5003</v>
      </c>
      <c r="J683" s="4" t="s">
        <v>5004</v>
      </c>
      <c r="K683" s="4" t="s">
        <v>5016</v>
      </c>
      <c r="L683" s="4" t="s">
        <v>4892</v>
      </c>
      <c r="M683" s="4" t="s">
        <v>5035</v>
      </c>
      <c r="N683" t="s">
        <v>2919</v>
      </c>
      <c r="O683" t="s">
        <v>2920</v>
      </c>
      <c r="P683" t="s">
        <v>23</v>
      </c>
      <c r="Q683" t="s">
        <v>24</v>
      </c>
      <c r="R683" t="s">
        <v>25</v>
      </c>
      <c r="S683" t="s">
        <v>26</v>
      </c>
      <c r="T683" s="6">
        <v>46307</v>
      </c>
      <c r="U683">
        <v>12</v>
      </c>
      <c r="V683">
        <v>12</v>
      </c>
      <c r="W683">
        <v>12</v>
      </c>
      <c r="X683">
        <v>12</v>
      </c>
      <c r="Y683">
        <f t="shared" si="111"/>
        <v>0</v>
      </c>
      <c r="Z683">
        <f t="shared" si="112"/>
        <v>0</v>
      </c>
      <c r="AC683" s="1">
        <v>0</v>
      </c>
      <c r="AF683">
        <f t="shared" si="118"/>
        <v>12</v>
      </c>
      <c r="AG683" s="41">
        <v>12</v>
      </c>
      <c r="AH683">
        <f t="shared" si="113"/>
        <v>12</v>
      </c>
      <c r="AI683">
        <f t="shared" si="114"/>
        <v>0</v>
      </c>
      <c r="AK683">
        <f t="shared" si="115"/>
        <v>1</v>
      </c>
      <c r="AL683">
        <v>13.33</v>
      </c>
      <c r="AM683" t="s">
        <v>27</v>
      </c>
      <c r="AN683">
        <v>13.33</v>
      </c>
      <c r="AO683" t="b">
        <f t="shared" si="116"/>
        <v>1</v>
      </c>
      <c r="AR683" t="s">
        <v>5061</v>
      </c>
      <c r="AS683" s="21">
        <v>46276</v>
      </c>
      <c r="AT683" t="s">
        <v>5062</v>
      </c>
      <c r="AU683" t="s">
        <v>5078</v>
      </c>
      <c r="AV683" t="s">
        <v>5062</v>
      </c>
      <c r="AW683" t="s">
        <v>5086</v>
      </c>
    </row>
    <row r="684" spans="1:49" hidden="1" x14ac:dyDescent="0.35">
      <c r="A684" t="s">
        <v>2796</v>
      </c>
      <c r="B684" t="s">
        <v>872</v>
      </c>
      <c r="C684" t="s">
        <v>4818</v>
      </c>
      <c r="D684" t="s">
        <v>18</v>
      </c>
      <c r="E684" t="s">
        <v>2921</v>
      </c>
      <c r="F684" t="s">
        <v>2922</v>
      </c>
      <c r="G684" t="s">
        <v>21</v>
      </c>
      <c r="H684" t="s">
        <v>4888</v>
      </c>
      <c r="I684" t="s">
        <v>5003</v>
      </c>
      <c r="J684" s="4" t="s">
        <v>5004</v>
      </c>
      <c r="K684" s="4" t="s">
        <v>5016</v>
      </c>
      <c r="L684" s="4" t="s">
        <v>4912</v>
      </c>
      <c r="M684" s="4" t="s">
        <v>5035</v>
      </c>
      <c r="N684" t="s">
        <v>2923</v>
      </c>
      <c r="O684" t="s">
        <v>2924</v>
      </c>
      <c r="P684" t="s">
        <v>23</v>
      </c>
      <c r="Q684" t="s">
        <v>24</v>
      </c>
      <c r="R684" t="s">
        <v>25</v>
      </c>
      <c r="S684" t="s">
        <v>26</v>
      </c>
      <c r="T684" s="6">
        <v>46307</v>
      </c>
      <c r="U684">
        <v>48</v>
      </c>
      <c r="V684">
        <v>48</v>
      </c>
      <c r="W684">
        <v>48</v>
      </c>
      <c r="X684">
        <v>48</v>
      </c>
      <c r="Y684">
        <f t="shared" si="111"/>
        <v>0</v>
      </c>
      <c r="Z684">
        <f t="shared" si="112"/>
        <v>0</v>
      </c>
      <c r="AC684" s="1">
        <v>0</v>
      </c>
      <c r="AF684">
        <f t="shared" si="118"/>
        <v>48</v>
      </c>
      <c r="AG684" s="41">
        <v>12</v>
      </c>
      <c r="AH684">
        <f t="shared" si="113"/>
        <v>48</v>
      </c>
      <c r="AI684">
        <f t="shared" si="114"/>
        <v>0</v>
      </c>
      <c r="AK684">
        <f t="shared" si="115"/>
        <v>4</v>
      </c>
      <c r="AL684">
        <v>13.33</v>
      </c>
      <c r="AM684" t="s">
        <v>27</v>
      </c>
      <c r="AN684">
        <v>13.33</v>
      </c>
      <c r="AO684" t="b">
        <f t="shared" si="116"/>
        <v>1</v>
      </c>
      <c r="AR684" t="s">
        <v>5061</v>
      </c>
      <c r="AS684" s="21">
        <v>46276</v>
      </c>
      <c r="AT684" t="s">
        <v>5062</v>
      </c>
      <c r="AU684" t="s">
        <v>5078</v>
      </c>
      <c r="AV684" t="s">
        <v>5062</v>
      </c>
      <c r="AW684" t="s">
        <v>5086</v>
      </c>
    </row>
    <row r="685" spans="1:49" hidden="1" x14ac:dyDescent="0.35">
      <c r="A685" t="s">
        <v>2796</v>
      </c>
      <c r="B685" t="s">
        <v>872</v>
      </c>
      <c r="C685" t="s">
        <v>4818</v>
      </c>
      <c r="D685" t="s">
        <v>18</v>
      </c>
      <c r="E685" t="s">
        <v>2925</v>
      </c>
      <c r="F685" t="s">
        <v>2926</v>
      </c>
      <c r="G685" t="s">
        <v>21</v>
      </c>
      <c r="H685" t="s">
        <v>4888</v>
      </c>
      <c r="I685" t="s">
        <v>5008</v>
      </c>
      <c r="J685" s="4" t="s">
        <v>5009</v>
      </c>
      <c r="K685" s="4" t="s">
        <v>5017</v>
      </c>
      <c r="L685" s="4">
        <v>29</v>
      </c>
      <c r="M685" s="4" t="s">
        <v>5035</v>
      </c>
      <c r="N685" t="s">
        <v>2927</v>
      </c>
      <c r="O685" t="s">
        <v>2928</v>
      </c>
      <c r="P685" t="s">
        <v>23</v>
      </c>
      <c r="Q685" t="s">
        <v>24</v>
      </c>
      <c r="R685" t="s">
        <v>25</v>
      </c>
      <c r="S685" t="s">
        <v>26</v>
      </c>
      <c r="T685" s="6">
        <v>46307</v>
      </c>
      <c r="U685">
        <v>144</v>
      </c>
      <c r="V685">
        <v>144</v>
      </c>
      <c r="W685">
        <v>144</v>
      </c>
      <c r="X685">
        <v>144</v>
      </c>
      <c r="Y685">
        <f t="shared" si="111"/>
        <v>0</v>
      </c>
      <c r="Z685">
        <f t="shared" si="112"/>
        <v>0</v>
      </c>
      <c r="AC685" s="1">
        <v>0</v>
      </c>
      <c r="AF685">
        <f t="shared" si="118"/>
        <v>144</v>
      </c>
      <c r="AG685" s="41">
        <v>24</v>
      </c>
      <c r="AH685">
        <f t="shared" si="113"/>
        <v>144</v>
      </c>
      <c r="AI685">
        <f t="shared" si="114"/>
        <v>0</v>
      </c>
      <c r="AK685">
        <f t="shared" si="115"/>
        <v>6</v>
      </c>
      <c r="AL685">
        <v>10.01</v>
      </c>
      <c r="AM685" t="s">
        <v>27</v>
      </c>
      <c r="AN685">
        <v>10.01</v>
      </c>
      <c r="AO685" t="b">
        <f t="shared" si="116"/>
        <v>1</v>
      </c>
      <c r="AR685" t="s">
        <v>5061</v>
      </c>
      <c r="AS685" s="21">
        <v>46276</v>
      </c>
      <c r="AT685" t="s">
        <v>5062</v>
      </c>
      <c r="AU685" t="s">
        <v>5080</v>
      </c>
      <c r="AV685" t="s">
        <v>5062</v>
      </c>
      <c r="AW685" t="s">
        <v>5086</v>
      </c>
    </row>
    <row r="686" spans="1:49" hidden="1" x14ac:dyDescent="0.35">
      <c r="A686" t="s">
        <v>2796</v>
      </c>
      <c r="B686" t="s">
        <v>872</v>
      </c>
      <c r="C686" t="s">
        <v>4818</v>
      </c>
      <c r="D686" t="s">
        <v>18</v>
      </c>
      <c r="E686" t="s">
        <v>2929</v>
      </c>
      <c r="F686" t="s">
        <v>2930</v>
      </c>
      <c r="G686" t="s">
        <v>21</v>
      </c>
      <c r="H686" t="s">
        <v>4888</v>
      </c>
      <c r="I686" t="s">
        <v>5005</v>
      </c>
      <c r="J686" s="4" t="s">
        <v>5006</v>
      </c>
      <c r="K686" s="4" t="s">
        <v>4837</v>
      </c>
      <c r="L686" s="4">
        <v>31</v>
      </c>
      <c r="M686" s="4" t="s">
        <v>5035</v>
      </c>
      <c r="N686" t="s">
        <v>2931</v>
      </c>
      <c r="O686" t="s">
        <v>2932</v>
      </c>
      <c r="P686" t="s">
        <v>23</v>
      </c>
      <c r="Q686" t="s">
        <v>24</v>
      </c>
      <c r="R686" t="s">
        <v>25</v>
      </c>
      <c r="S686" t="s">
        <v>26</v>
      </c>
      <c r="T686" s="6">
        <v>46307</v>
      </c>
      <c r="U686">
        <v>240</v>
      </c>
      <c r="V686">
        <v>240</v>
      </c>
      <c r="W686">
        <v>240</v>
      </c>
      <c r="X686">
        <v>240</v>
      </c>
      <c r="Y686">
        <f t="shared" si="111"/>
        <v>0</v>
      </c>
      <c r="Z686">
        <f t="shared" si="112"/>
        <v>0</v>
      </c>
      <c r="AC686" s="1">
        <v>0</v>
      </c>
      <c r="AF686">
        <f t="shared" si="118"/>
        <v>240</v>
      </c>
      <c r="AG686" s="41">
        <v>24</v>
      </c>
      <c r="AH686">
        <f t="shared" si="113"/>
        <v>240</v>
      </c>
      <c r="AI686">
        <f t="shared" si="114"/>
        <v>0</v>
      </c>
      <c r="AK686">
        <f t="shared" si="115"/>
        <v>10</v>
      </c>
      <c r="AL686">
        <v>9.58</v>
      </c>
      <c r="AM686" t="s">
        <v>27</v>
      </c>
      <c r="AN686">
        <v>9.58</v>
      </c>
      <c r="AO686" t="b">
        <f t="shared" si="116"/>
        <v>1</v>
      </c>
      <c r="AR686" t="s">
        <v>5061</v>
      </c>
      <c r="AS686" s="21">
        <v>46276</v>
      </c>
      <c r="AT686" t="s">
        <v>5062</v>
      </c>
      <c r="AU686" t="s">
        <v>5079</v>
      </c>
      <c r="AV686" t="s">
        <v>5062</v>
      </c>
      <c r="AW686" t="s">
        <v>5086</v>
      </c>
    </row>
    <row r="687" spans="1:49" hidden="1" x14ac:dyDescent="0.35">
      <c r="A687" t="s">
        <v>2796</v>
      </c>
      <c r="B687" t="s">
        <v>872</v>
      </c>
      <c r="C687" t="s">
        <v>4818</v>
      </c>
      <c r="D687" t="s">
        <v>18</v>
      </c>
      <c r="E687" t="s">
        <v>2933</v>
      </c>
      <c r="F687" t="s">
        <v>2934</v>
      </c>
      <c r="G687" t="s">
        <v>21</v>
      </c>
      <c r="H687" t="s">
        <v>4888</v>
      </c>
      <c r="I687" t="s">
        <v>5003</v>
      </c>
      <c r="J687" s="4" t="s">
        <v>5004</v>
      </c>
      <c r="K687" s="4" t="s">
        <v>5016</v>
      </c>
      <c r="L687" s="4" t="s">
        <v>4867</v>
      </c>
      <c r="M687" s="4" t="s">
        <v>5035</v>
      </c>
      <c r="N687" t="s">
        <v>2935</v>
      </c>
      <c r="O687" t="s">
        <v>2936</v>
      </c>
      <c r="P687" t="s">
        <v>23</v>
      </c>
      <c r="Q687" t="s">
        <v>24</v>
      </c>
      <c r="R687" t="s">
        <v>25</v>
      </c>
      <c r="S687" t="s">
        <v>26</v>
      </c>
      <c r="T687" s="6">
        <v>46307</v>
      </c>
      <c r="U687">
        <v>84</v>
      </c>
      <c r="V687">
        <v>84</v>
      </c>
      <c r="W687">
        <v>96</v>
      </c>
      <c r="X687">
        <v>96</v>
      </c>
      <c r="Y687">
        <f t="shared" si="111"/>
        <v>0</v>
      </c>
      <c r="Z687">
        <f t="shared" si="112"/>
        <v>-12</v>
      </c>
      <c r="AC687" s="1">
        <v>0</v>
      </c>
      <c r="AF687">
        <f t="shared" si="118"/>
        <v>84</v>
      </c>
      <c r="AG687" s="41">
        <v>12</v>
      </c>
      <c r="AH687">
        <f t="shared" si="113"/>
        <v>84</v>
      </c>
      <c r="AI687">
        <f t="shared" si="114"/>
        <v>0</v>
      </c>
      <c r="AK687">
        <f t="shared" si="115"/>
        <v>7</v>
      </c>
      <c r="AL687">
        <v>13.33</v>
      </c>
      <c r="AM687" t="s">
        <v>27</v>
      </c>
      <c r="AN687">
        <v>13.33</v>
      </c>
      <c r="AO687" t="b">
        <f t="shared" si="116"/>
        <v>1</v>
      </c>
      <c r="AR687" t="s">
        <v>5061</v>
      </c>
      <c r="AS687" s="21">
        <v>46276</v>
      </c>
      <c r="AT687" t="s">
        <v>5062</v>
      </c>
      <c r="AU687" t="s">
        <v>5078</v>
      </c>
      <c r="AV687" t="s">
        <v>5062</v>
      </c>
      <c r="AW687" t="s">
        <v>5086</v>
      </c>
    </row>
    <row r="688" spans="1:49" hidden="1" x14ac:dyDescent="0.35">
      <c r="A688" t="s">
        <v>2796</v>
      </c>
      <c r="B688" t="s">
        <v>872</v>
      </c>
      <c r="C688" t="s">
        <v>4818</v>
      </c>
      <c r="D688" t="s">
        <v>18</v>
      </c>
      <c r="E688" t="s">
        <v>2937</v>
      </c>
      <c r="F688" t="s">
        <v>2938</v>
      </c>
      <c r="G688" t="s">
        <v>21</v>
      </c>
      <c r="H688" t="s">
        <v>4888</v>
      </c>
      <c r="I688" t="s">
        <v>5003</v>
      </c>
      <c r="J688" s="4" t="s">
        <v>5004</v>
      </c>
      <c r="K688" s="4" t="s">
        <v>5015</v>
      </c>
      <c r="L688" s="4" t="s">
        <v>4886</v>
      </c>
      <c r="M688" s="4" t="s">
        <v>5035</v>
      </c>
      <c r="N688" t="s">
        <v>2939</v>
      </c>
      <c r="O688" t="s">
        <v>2940</v>
      </c>
      <c r="P688" t="s">
        <v>23</v>
      </c>
      <c r="Q688" t="s">
        <v>24</v>
      </c>
      <c r="R688" t="s">
        <v>25</v>
      </c>
      <c r="S688" t="s">
        <v>26</v>
      </c>
      <c r="T688" s="6">
        <v>46307</v>
      </c>
      <c r="U688">
        <v>60</v>
      </c>
      <c r="V688">
        <v>60</v>
      </c>
      <c r="W688">
        <v>60</v>
      </c>
      <c r="X688">
        <v>60</v>
      </c>
      <c r="Y688">
        <f t="shared" si="111"/>
        <v>0</v>
      </c>
      <c r="Z688">
        <f t="shared" si="112"/>
        <v>0</v>
      </c>
      <c r="AC688" s="1">
        <v>0</v>
      </c>
      <c r="AF688">
        <f t="shared" si="118"/>
        <v>60</v>
      </c>
      <c r="AG688" s="41">
        <v>12</v>
      </c>
      <c r="AH688">
        <f t="shared" si="113"/>
        <v>60</v>
      </c>
      <c r="AI688">
        <f t="shared" si="114"/>
        <v>0</v>
      </c>
      <c r="AK688">
        <f t="shared" si="115"/>
        <v>5</v>
      </c>
      <c r="AL688">
        <v>13.01</v>
      </c>
      <c r="AM688" t="s">
        <v>27</v>
      </c>
      <c r="AN688">
        <v>13.01</v>
      </c>
      <c r="AO688" t="b">
        <f t="shared" si="116"/>
        <v>1</v>
      </c>
      <c r="AR688" t="s">
        <v>5061</v>
      </c>
      <c r="AS688" s="21">
        <v>46276</v>
      </c>
      <c r="AT688" t="s">
        <v>5062</v>
      </c>
      <c r="AU688" t="s">
        <v>5078</v>
      </c>
      <c r="AV688" t="s">
        <v>5062</v>
      </c>
      <c r="AW688" t="s">
        <v>5086</v>
      </c>
    </row>
    <row r="689" spans="1:49" hidden="1" x14ac:dyDescent="0.35">
      <c r="A689" t="s">
        <v>2796</v>
      </c>
      <c r="B689" t="s">
        <v>872</v>
      </c>
      <c r="C689" t="s">
        <v>4818</v>
      </c>
      <c r="D689" t="s">
        <v>18</v>
      </c>
      <c r="E689" t="s">
        <v>2941</v>
      </c>
      <c r="F689" t="s">
        <v>2942</v>
      </c>
      <c r="G689" t="s">
        <v>21</v>
      </c>
      <c r="H689" t="s">
        <v>4888</v>
      </c>
      <c r="I689" t="s">
        <v>5003</v>
      </c>
      <c r="J689" s="4" t="s">
        <v>5004</v>
      </c>
      <c r="K689" s="4" t="s">
        <v>5015</v>
      </c>
      <c r="L689" s="4" t="s">
        <v>4934</v>
      </c>
      <c r="M689" s="4" t="s">
        <v>5035</v>
      </c>
      <c r="N689" t="s">
        <v>2943</v>
      </c>
      <c r="O689" t="s">
        <v>2944</v>
      </c>
      <c r="P689" t="s">
        <v>23</v>
      </c>
      <c r="Q689" t="s">
        <v>24</v>
      </c>
      <c r="R689" t="s">
        <v>25</v>
      </c>
      <c r="S689" t="s">
        <v>26</v>
      </c>
      <c r="T689" s="6">
        <v>46307</v>
      </c>
      <c r="U689">
        <v>48</v>
      </c>
      <c r="V689">
        <v>48</v>
      </c>
      <c r="W689">
        <v>36</v>
      </c>
      <c r="X689">
        <v>36</v>
      </c>
      <c r="Y689">
        <f t="shared" si="111"/>
        <v>0</v>
      </c>
      <c r="Z689">
        <f t="shared" si="112"/>
        <v>12</v>
      </c>
      <c r="AA689">
        <f>Z689</f>
        <v>12</v>
      </c>
      <c r="AC689" s="1">
        <v>0</v>
      </c>
      <c r="AF689">
        <f>X689</f>
        <v>36</v>
      </c>
      <c r="AG689" s="41">
        <v>12</v>
      </c>
      <c r="AH689">
        <f t="shared" si="113"/>
        <v>36</v>
      </c>
      <c r="AI689">
        <f t="shared" si="114"/>
        <v>12</v>
      </c>
      <c r="AK689">
        <f t="shared" si="115"/>
        <v>3</v>
      </c>
      <c r="AL689">
        <v>13.01</v>
      </c>
      <c r="AM689" t="s">
        <v>27</v>
      </c>
      <c r="AN689">
        <v>13.01</v>
      </c>
      <c r="AO689" t="b">
        <f t="shared" si="116"/>
        <v>1</v>
      </c>
      <c r="AR689" t="s">
        <v>5061</v>
      </c>
      <c r="AS689" s="21">
        <v>46276</v>
      </c>
      <c r="AT689" t="s">
        <v>5062</v>
      </c>
      <c r="AU689" t="s">
        <v>5078</v>
      </c>
      <c r="AV689" t="s">
        <v>5062</v>
      </c>
      <c r="AW689" t="s">
        <v>5086</v>
      </c>
    </row>
    <row r="690" spans="1:49" hidden="1" x14ac:dyDescent="0.35">
      <c r="A690" t="s">
        <v>2796</v>
      </c>
      <c r="B690" t="s">
        <v>872</v>
      </c>
      <c r="C690" t="s">
        <v>4818</v>
      </c>
      <c r="D690" t="s">
        <v>18</v>
      </c>
      <c r="E690" t="s">
        <v>2945</v>
      </c>
      <c r="F690" t="s">
        <v>2946</v>
      </c>
      <c r="G690" t="s">
        <v>21</v>
      </c>
      <c r="H690" t="s">
        <v>4888</v>
      </c>
      <c r="I690" t="s">
        <v>5003</v>
      </c>
      <c r="J690" s="4" t="s">
        <v>5004</v>
      </c>
      <c r="K690" s="4" t="s">
        <v>4837</v>
      </c>
      <c r="L690" s="4" t="s">
        <v>4900</v>
      </c>
      <c r="M690" s="4" t="s">
        <v>5035</v>
      </c>
      <c r="N690" t="s">
        <v>2947</v>
      </c>
      <c r="O690" t="s">
        <v>2948</v>
      </c>
      <c r="P690" t="s">
        <v>23</v>
      </c>
      <c r="Q690" t="s">
        <v>24</v>
      </c>
      <c r="R690" t="s">
        <v>25</v>
      </c>
      <c r="S690" t="s">
        <v>26</v>
      </c>
      <c r="T690" s="6">
        <v>46307</v>
      </c>
      <c r="U690">
        <v>60</v>
      </c>
      <c r="V690">
        <v>60</v>
      </c>
      <c r="W690">
        <v>72</v>
      </c>
      <c r="X690">
        <v>72</v>
      </c>
      <c r="Y690">
        <f t="shared" si="111"/>
        <v>0</v>
      </c>
      <c r="Z690">
        <f t="shared" si="112"/>
        <v>-12</v>
      </c>
      <c r="AC690" s="1">
        <v>0</v>
      </c>
      <c r="AF690">
        <f>V690</f>
        <v>60</v>
      </c>
      <c r="AG690" s="41">
        <v>12</v>
      </c>
      <c r="AH690">
        <f t="shared" si="113"/>
        <v>60</v>
      </c>
      <c r="AI690">
        <f t="shared" si="114"/>
        <v>0</v>
      </c>
      <c r="AK690">
        <f t="shared" si="115"/>
        <v>5</v>
      </c>
      <c r="AL690">
        <v>12.87</v>
      </c>
      <c r="AM690" t="s">
        <v>27</v>
      </c>
      <c r="AN690">
        <v>12.87</v>
      </c>
      <c r="AO690" t="b">
        <f t="shared" si="116"/>
        <v>1</v>
      </c>
      <c r="AR690" t="s">
        <v>5061</v>
      </c>
      <c r="AS690" s="21">
        <v>46276</v>
      </c>
      <c r="AT690" t="s">
        <v>5062</v>
      </c>
      <c r="AU690" t="s">
        <v>5078</v>
      </c>
      <c r="AV690" t="s">
        <v>5062</v>
      </c>
      <c r="AW690" t="s">
        <v>5086</v>
      </c>
    </row>
    <row r="691" spans="1:49" hidden="1" x14ac:dyDescent="0.35">
      <c r="A691" t="s">
        <v>2796</v>
      </c>
      <c r="B691" t="s">
        <v>872</v>
      </c>
      <c r="C691" t="s">
        <v>4818</v>
      </c>
      <c r="D691" t="s">
        <v>18</v>
      </c>
      <c r="E691" t="s">
        <v>2949</v>
      </c>
      <c r="F691" t="s">
        <v>2950</v>
      </c>
      <c r="G691" t="s">
        <v>21</v>
      </c>
      <c r="H691" t="s">
        <v>4888</v>
      </c>
      <c r="I691" t="s">
        <v>5003</v>
      </c>
      <c r="J691" s="4" t="s">
        <v>5004</v>
      </c>
      <c r="K691" s="4" t="s">
        <v>4837</v>
      </c>
      <c r="L691" s="4" t="s">
        <v>4851</v>
      </c>
      <c r="M691" s="4" t="s">
        <v>5035</v>
      </c>
      <c r="N691" t="s">
        <v>2951</v>
      </c>
      <c r="O691" t="s">
        <v>2952</v>
      </c>
      <c r="P691" t="s">
        <v>23</v>
      </c>
      <c r="Q691" t="s">
        <v>24</v>
      </c>
      <c r="R691" t="s">
        <v>25</v>
      </c>
      <c r="S691" t="s">
        <v>26</v>
      </c>
      <c r="T691" s="6">
        <v>46307</v>
      </c>
      <c r="U691">
        <v>96</v>
      </c>
      <c r="V691">
        <v>96</v>
      </c>
      <c r="W691">
        <v>108</v>
      </c>
      <c r="X691">
        <v>108</v>
      </c>
      <c r="Y691">
        <f t="shared" si="111"/>
        <v>0</v>
      </c>
      <c r="Z691">
        <f t="shared" si="112"/>
        <v>-12</v>
      </c>
      <c r="AC691" s="1">
        <v>0</v>
      </c>
      <c r="AF691">
        <f>V691</f>
        <v>96</v>
      </c>
      <c r="AG691" s="41">
        <v>12</v>
      </c>
      <c r="AH691">
        <f t="shared" si="113"/>
        <v>96</v>
      </c>
      <c r="AI691">
        <f t="shared" si="114"/>
        <v>0</v>
      </c>
      <c r="AK691">
        <f t="shared" si="115"/>
        <v>8</v>
      </c>
      <c r="AL691">
        <v>12.87</v>
      </c>
      <c r="AM691" t="s">
        <v>27</v>
      </c>
      <c r="AN691">
        <v>12.87</v>
      </c>
      <c r="AO691" t="b">
        <f t="shared" si="116"/>
        <v>1</v>
      </c>
      <c r="AR691" t="s">
        <v>5061</v>
      </c>
      <c r="AS691" s="21">
        <v>46276</v>
      </c>
      <c r="AT691" t="s">
        <v>5062</v>
      </c>
      <c r="AU691" t="s">
        <v>5078</v>
      </c>
      <c r="AV691" t="s">
        <v>5062</v>
      </c>
      <c r="AW691" t="s">
        <v>5086</v>
      </c>
    </row>
    <row r="692" spans="1:49" hidden="1" x14ac:dyDescent="0.35">
      <c r="A692" t="s">
        <v>2796</v>
      </c>
      <c r="B692" t="s">
        <v>872</v>
      </c>
      <c r="C692" t="s">
        <v>4818</v>
      </c>
      <c r="D692" t="s">
        <v>18</v>
      </c>
      <c r="E692" t="s">
        <v>2953</v>
      </c>
      <c r="F692" t="s">
        <v>2954</v>
      </c>
      <c r="G692" t="s">
        <v>21</v>
      </c>
      <c r="H692" t="s">
        <v>4888</v>
      </c>
      <c r="I692" t="s">
        <v>5018</v>
      </c>
      <c r="J692" s="4" t="s">
        <v>5019</v>
      </c>
      <c r="K692" s="4" t="s">
        <v>5020</v>
      </c>
      <c r="L692" s="4">
        <v>7</v>
      </c>
      <c r="M692" s="4" t="s">
        <v>5035</v>
      </c>
      <c r="N692" t="s">
        <v>2955</v>
      </c>
      <c r="O692" t="s">
        <v>2956</v>
      </c>
      <c r="P692" t="s">
        <v>23</v>
      </c>
      <c r="Q692" t="s">
        <v>24</v>
      </c>
      <c r="R692" t="s">
        <v>25</v>
      </c>
      <c r="S692" t="s">
        <v>26</v>
      </c>
      <c r="T692" s="6">
        <v>46307</v>
      </c>
      <c r="U692">
        <v>336</v>
      </c>
      <c r="V692">
        <v>336</v>
      </c>
      <c r="W692">
        <v>312</v>
      </c>
      <c r="X692">
        <v>312</v>
      </c>
      <c r="Y692">
        <f t="shared" si="111"/>
        <v>0</v>
      </c>
      <c r="Z692">
        <f t="shared" si="112"/>
        <v>24</v>
      </c>
      <c r="AA692">
        <f t="shared" ref="AA692:AA693" si="119">Z692</f>
        <v>24</v>
      </c>
      <c r="AC692" s="1">
        <v>0</v>
      </c>
      <c r="AF692">
        <f>X692</f>
        <v>312</v>
      </c>
      <c r="AG692" s="41">
        <v>24</v>
      </c>
      <c r="AH692">
        <f t="shared" si="113"/>
        <v>312</v>
      </c>
      <c r="AI692">
        <f t="shared" si="114"/>
        <v>24</v>
      </c>
      <c r="AK692">
        <f t="shared" si="115"/>
        <v>13</v>
      </c>
      <c r="AL692">
        <v>10.79</v>
      </c>
      <c r="AM692" t="s">
        <v>27</v>
      </c>
      <c r="AN692">
        <v>10.79</v>
      </c>
      <c r="AO692" t="b">
        <f t="shared" si="116"/>
        <v>1</v>
      </c>
      <c r="AR692" t="s">
        <v>5061</v>
      </c>
      <c r="AS692" s="21">
        <v>46276</v>
      </c>
      <c r="AT692" t="s">
        <v>5062</v>
      </c>
      <c r="AU692" t="s">
        <v>5082</v>
      </c>
      <c r="AV692" t="s">
        <v>5062</v>
      </c>
      <c r="AW692" t="s">
        <v>5086</v>
      </c>
    </row>
    <row r="693" spans="1:49" hidden="1" x14ac:dyDescent="0.35">
      <c r="A693" t="s">
        <v>2796</v>
      </c>
      <c r="B693" t="s">
        <v>872</v>
      </c>
      <c r="C693" t="s">
        <v>4818</v>
      </c>
      <c r="D693" t="s">
        <v>18</v>
      </c>
      <c r="E693" t="s">
        <v>2957</v>
      </c>
      <c r="F693" t="s">
        <v>2958</v>
      </c>
      <c r="G693" t="s">
        <v>21</v>
      </c>
      <c r="H693" t="s">
        <v>4888</v>
      </c>
      <c r="I693" t="s">
        <v>5005</v>
      </c>
      <c r="J693" s="4" t="s">
        <v>5006</v>
      </c>
      <c r="K693" s="4" t="s">
        <v>4899</v>
      </c>
      <c r="L693" s="4">
        <v>36</v>
      </c>
      <c r="M693" s="4" t="s">
        <v>5035</v>
      </c>
      <c r="N693" t="s">
        <v>2959</v>
      </c>
      <c r="O693" t="s">
        <v>2960</v>
      </c>
      <c r="P693" t="s">
        <v>23</v>
      </c>
      <c r="Q693" t="s">
        <v>24</v>
      </c>
      <c r="R693" t="s">
        <v>25</v>
      </c>
      <c r="S693" t="s">
        <v>26</v>
      </c>
      <c r="T693" s="6">
        <v>46307</v>
      </c>
      <c r="U693">
        <v>912</v>
      </c>
      <c r="V693">
        <v>912</v>
      </c>
      <c r="W693">
        <v>864</v>
      </c>
      <c r="X693">
        <v>864</v>
      </c>
      <c r="Y693">
        <f t="shared" si="111"/>
        <v>0</v>
      </c>
      <c r="Z693">
        <f t="shared" si="112"/>
        <v>48</v>
      </c>
      <c r="AA693">
        <f t="shared" si="119"/>
        <v>48</v>
      </c>
      <c r="AC693" s="1">
        <v>0</v>
      </c>
      <c r="AF693">
        <f>X693</f>
        <v>864</v>
      </c>
      <c r="AG693" s="41">
        <v>24</v>
      </c>
      <c r="AH693">
        <f t="shared" si="113"/>
        <v>864</v>
      </c>
      <c r="AI693">
        <f t="shared" si="114"/>
        <v>48</v>
      </c>
      <c r="AK693">
        <f t="shared" si="115"/>
        <v>36</v>
      </c>
      <c r="AL693">
        <v>10.14</v>
      </c>
      <c r="AM693" t="s">
        <v>27</v>
      </c>
      <c r="AN693">
        <v>10.14</v>
      </c>
      <c r="AO693" t="b">
        <f t="shared" si="116"/>
        <v>1</v>
      </c>
      <c r="AR693" t="s">
        <v>5061</v>
      </c>
      <c r="AS693" s="21">
        <v>46276</v>
      </c>
      <c r="AT693" t="s">
        <v>5062</v>
      </c>
      <c r="AU693" t="s">
        <v>5079</v>
      </c>
      <c r="AV693" t="s">
        <v>5062</v>
      </c>
      <c r="AW693" t="s">
        <v>5086</v>
      </c>
    </row>
    <row r="694" spans="1:49" hidden="1" x14ac:dyDescent="0.35">
      <c r="A694" t="s">
        <v>2796</v>
      </c>
      <c r="B694" t="s">
        <v>872</v>
      </c>
      <c r="C694" t="s">
        <v>4818</v>
      </c>
      <c r="D694" t="s">
        <v>18</v>
      </c>
      <c r="E694" t="s">
        <v>2961</v>
      </c>
      <c r="F694" t="s">
        <v>2962</v>
      </c>
      <c r="G694" t="s">
        <v>21</v>
      </c>
      <c r="H694" t="s">
        <v>4888</v>
      </c>
      <c r="I694" t="s">
        <v>5003</v>
      </c>
      <c r="J694" s="4" t="s">
        <v>5004</v>
      </c>
      <c r="K694" s="4" t="s">
        <v>4904</v>
      </c>
      <c r="L694" s="4" t="s">
        <v>4851</v>
      </c>
      <c r="M694" s="4" t="s">
        <v>5035</v>
      </c>
      <c r="N694" t="s">
        <v>2963</v>
      </c>
      <c r="O694" t="s">
        <v>2964</v>
      </c>
      <c r="P694" t="s">
        <v>23</v>
      </c>
      <c r="Q694" t="s">
        <v>24</v>
      </c>
      <c r="R694" t="s">
        <v>25</v>
      </c>
      <c r="S694" t="s">
        <v>26</v>
      </c>
      <c r="T694" s="6">
        <v>46307</v>
      </c>
      <c r="U694">
        <v>60</v>
      </c>
      <c r="V694">
        <v>60</v>
      </c>
      <c r="W694">
        <v>72</v>
      </c>
      <c r="X694">
        <v>72</v>
      </c>
      <c r="Y694">
        <f t="shared" si="111"/>
        <v>0</v>
      </c>
      <c r="Z694">
        <f t="shared" si="112"/>
        <v>-12</v>
      </c>
      <c r="AC694" s="1">
        <v>0</v>
      </c>
      <c r="AF694">
        <f>V694</f>
        <v>60</v>
      </c>
      <c r="AG694" s="41">
        <v>12</v>
      </c>
      <c r="AH694">
        <f t="shared" si="113"/>
        <v>60</v>
      </c>
      <c r="AI694">
        <f t="shared" si="114"/>
        <v>0</v>
      </c>
      <c r="AK694">
        <f t="shared" si="115"/>
        <v>5</v>
      </c>
      <c r="AL694">
        <v>12.89</v>
      </c>
      <c r="AM694" t="s">
        <v>27</v>
      </c>
      <c r="AN694">
        <v>12.89</v>
      </c>
      <c r="AO694" t="b">
        <f t="shared" si="116"/>
        <v>1</v>
      </c>
      <c r="AR694" t="s">
        <v>5061</v>
      </c>
      <c r="AS694" s="21">
        <v>46276</v>
      </c>
      <c r="AT694" t="s">
        <v>5062</v>
      </c>
      <c r="AU694" t="s">
        <v>5078</v>
      </c>
      <c r="AV694" t="s">
        <v>5062</v>
      </c>
      <c r="AW694" t="s">
        <v>5086</v>
      </c>
    </row>
    <row r="695" spans="1:49" hidden="1" x14ac:dyDescent="0.35">
      <c r="A695" t="s">
        <v>2796</v>
      </c>
      <c r="B695" t="s">
        <v>872</v>
      </c>
      <c r="C695" t="s">
        <v>4818</v>
      </c>
      <c r="D695" t="s">
        <v>18</v>
      </c>
      <c r="E695" t="s">
        <v>2965</v>
      </c>
      <c r="F695" t="s">
        <v>2966</v>
      </c>
      <c r="G695" t="s">
        <v>21</v>
      </c>
      <c r="H695" t="s">
        <v>4888</v>
      </c>
      <c r="I695" t="s">
        <v>5008</v>
      </c>
      <c r="J695" s="4" t="s">
        <v>5009</v>
      </c>
      <c r="K695" s="4" t="s">
        <v>5021</v>
      </c>
      <c r="L695" s="4">
        <v>40</v>
      </c>
      <c r="M695" s="4" t="s">
        <v>5035</v>
      </c>
      <c r="N695" t="s">
        <v>2967</v>
      </c>
      <c r="O695" t="s">
        <v>2968</v>
      </c>
      <c r="P695" t="s">
        <v>23</v>
      </c>
      <c r="Q695" t="s">
        <v>24</v>
      </c>
      <c r="R695" t="s">
        <v>25</v>
      </c>
      <c r="S695" t="s">
        <v>26</v>
      </c>
      <c r="T695" s="6">
        <v>46307</v>
      </c>
      <c r="U695">
        <v>384</v>
      </c>
      <c r="V695">
        <v>384</v>
      </c>
      <c r="W695">
        <v>408</v>
      </c>
      <c r="X695">
        <v>408</v>
      </c>
      <c r="Y695">
        <f t="shared" si="111"/>
        <v>0</v>
      </c>
      <c r="Z695">
        <f t="shared" si="112"/>
        <v>-24</v>
      </c>
      <c r="AC695" s="1"/>
      <c r="AF695">
        <f>V695</f>
        <v>384</v>
      </c>
      <c r="AG695" s="41">
        <v>24</v>
      </c>
      <c r="AH695">
        <f t="shared" si="113"/>
        <v>384</v>
      </c>
      <c r="AI695">
        <f t="shared" si="114"/>
        <v>0</v>
      </c>
      <c r="AK695">
        <f t="shared" si="115"/>
        <v>16</v>
      </c>
      <c r="AL695">
        <v>10.11</v>
      </c>
      <c r="AM695" t="s">
        <v>27</v>
      </c>
      <c r="AN695">
        <v>10.11</v>
      </c>
      <c r="AO695" t="b">
        <f t="shared" si="116"/>
        <v>1</v>
      </c>
      <c r="AR695" t="s">
        <v>5061</v>
      </c>
      <c r="AS695" s="21">
        <v>46276</v>
      </c>
      <c r="AT695" t="s">
        <v>5062</v>
      </c>
      <c r="AU695" t="s">
        <v>5080</v>
      </c>
      <c r="AV695" t="s">
        <v>5062</v>
      </c>
      <c r="AW695" t="s">
        <v>5086</v>
      </c>
    </row>
    <row r="696" spans="1:49" hidden="1" x14ac:dyDescent="0.35">
      <c r="A696" t="s">
        <v>2796</v>
      </c>
      <c r="B696" t="s">
        <v>872</v>
      </c>
      <c r="C696" t="s">
        <v>4818</v>
      </c>
      <c r="D696" t="s">
        <v>18</v>
      </c>
      <c r="E696" t="s">
        <v>2969</v>
      </c>
      <c r="F696" t="s">
        <v>2970</v>
      </c>
      <c r="G696" t="s">
        <v>21</v>
      </c>
      <c r="H696" t="s">
        <v>4888</v>
      </c>
      <c r="I696" t="s">
        <v>5005</v>
      </c>
      <c r="J696" s="4" t="s">
        <v>5006</v>
      </c>
      <c r="K696" s="4" t="s">
        <v>5007</v>
      </c>
      <c r="L696" s="4">
        <v>38</v>
      </c>
      <c r="M696" s="4" t="s">
        <v>5035</v>
      </c>
      <c r="N696" t="s">
        <v>2971</v>
      </c>
      <c r="O696" t="s">
        <v>2972</v>
      </c>
      <c r="P696" t="s">
        <v>23</v>
      </c>
      <c r="Q696" t="s">
        <v>24</v>
      </c>
      <c r="R696" t="s">
        <v>25</v>
      </c>
      <c r="S696" t="s">
        <v>26</v>
      </c>
      <c r="T696" s="6">
        <v>46307</v>
      </c>
      <c r="U696">
        <v>672</v>
      </c>
      <c r="V696">
        <v>672</v>
      </c>
      <c r="W696">
        <v>624</v>
      </c>
      <c r="X696">
        <v>624</v>
      </c>
      <c r="Y696">
        <f t="shared" si="111"/>
        <v>0</v>
      </c>
      <c r="Z696">
        <f t="shared" si="112"/>
        <v>48</v>
      </c>
      <c r="AA696">
        <f>Z696</f>
        <v>48</v>
      </c>
      <c r="AC696" s="1">
        <v>0</v>
      </c>
      <c r="AF696">
        <f>X696</f>
        <v>624</v>
      </c>
      <c r="AG696" s="41">
        <v>24</v>
      </c>
      <c r="AH696">
        <f t="shared" si="113"/>
        <v>624</v>
      </c>
      <c r="AI696">
        <f t="shared" si="114"/>
        <v>48</v>
      </c>
      <c r="AK696">
        <f t="shared" si="115"/>
        <v>26</v>
      </c>
      <c r="AL696">
        <v>10.45</v>
      </c>
      <c r="AM696" t="s">
        <v>27</v>
      </c>
      <c r="AN696">
        <v>10.45</v>
      </c>
      <c r="AO696" t="b">
        <f t="shared" si="116"/>
        <v>1</v>
      </c>
      <c r="AR696" t="s">
        <v>5061</v>
      </c>
      <c r="AS696" s="21">
        <v>46276</v>
      </c>
      <c r="AT696" t="s">
        <v>5062</v>
      </c>
      <c r="AU696" t="s">
        <v>5079</v>
      </c>
      <c r="AV696" t="s">
        <v>5062</v>
      </c>
      <c r="AW696" t="s">
        <v>5086</v>
      </c>
    </row>
    <row r="697" spans="1:49" hidden="1" x14ac:dyDescent="0.35">
      <c r="A697" t="s">
        <v>2796</v>
      </c>
      <c r="B697" t="s">
        <v>872</v>
      </c>
      <c r="C697" t="s">
        <v>4818</v>
      </c>
      <c r="D697" t="s">
        <v>18</v>
      </c>
      <c r="E697" t="s">
        <v>2973</v>
      </c>
      <c r="F697" t="s">
        <v>2974</v>
      </c>
      <c r="G697" t="s">
        <v>21</v>
      </c>
      <c r="H697" t="s">
        <v>4888</v>
      </c>
      <c r="I697" t="s">
        <v>5003</v>
      </c>
      <c r="J697" s="4" t="s">
        <v>5004</v>
      </c>
      <c r="K697" s="4" t="s">
        <v>4837</v>
      </c>
      <c r="L697" s="4" t="s">
        <v>4909</v>
      </c>
      <c r="M697" s="4" t="s">
        <v>5035</v>
      </c>
      <c r="N697" t="s">
        <v>2975</v>
      </c>
      <c r="O697" t="s">
        <v>2976</v>
      </c>
      <c r="P697" t="s">
        <v>23</v>
      </c>
      <c r="Q697" t="s">
        <v>24</v>
      </c>
      <c r="R697" t="s">
        <v>25</v>
      </c>
      <c r="S697" t="s">
        <v>26</v>
      </c>
      <c r="T697" s="6">
        <v>46307</v>
      </c>
      <c r="U697">
        <v>48</v>
      </c>
      <c r="V697">
        <v>48</v>
      </c>
      <c r="W697">
        <v>48</v>
      </c>
      <c r="X697">
        <v>48</v>
      </c>
      <c r="Y697">
        <f t="shared" si="111"/>
        <v>0</v>
      </c>
      <c r="Z697">
        <f t="shared" si="112"/>
        <v>0</v>
      </c>
      <c r="AC697" s="1">
        <v>0</v>
      </c>
      <c r="AF697">
        <f>V697</f>
        <v>48</v>
      </c>
      <c r="AG697" s="41">
        <v>12</v>
      </c>
      <c r="AH697">
        <f t="shared" si="113"/>
        <v>48</v>
      </c>
      <c r="AI697">
        <f t="shared" si="114"/>
        <v>0</v>
      </c>
      <c r="AK697">
        <f t="shared" si="115"/>
        <v>4</v>
      </c>
      <c r="AL697">
        <v>12.87</v>
      </c>
      <c r="AM697" t="s">
        <v>27</v>
      </c>
      <c r="AN697">
        <v>12.87</v>
      </c>
      <c r="AO697" t="b">
        <f t="shared" si="116"/>
        <v>1</v>
      </c>
      <c r="AR697" t="s">
        <v>5061</v>
      </c>
      <c r="AS697" s="21">
        <v>46276</v>
      </c>
      <c r="AT697" t="s">
        <v>5062</v>
      </c>
      <c r="AU697" t="s">
        <v>5078</v>
      </c>
      <c r="AV697" t="s">
        <v>5062</v>
      </c>
      <c r="AW697" t="s">
        <v>5086</v>
      </c>
    </row>
    <row r="698" spans="1:49" hidden="1" x14ac:dyDescent="0.35">
      <c r="A698" t="s">
        <v>2796</v>
      </c>
      <c r="B698" t="s">
        <v>872</v>
      </c>
      <c r="C698" t="s">
        <v>4818</v>
      </c>
      <c r="D698" t="s">
        <v>18</v>
      </c>
      <c r="E698" t="s">
        <v>2977</v>
      </c>
      <c r="F698" t="s">
        <v>2978</v>
      </c>
      <c r="G698" t="s">
        <v>21</v>
      </c>
      <c r="H698" t="s">
        <v>4888</v>
      </c>
      <c r="I698" t="s">
        <v>5005</v>
      </c>
      <c r="J698" s="4" t="s">
        <v>5006</v>
      </c>
      <c r="K698" s="4" t="s">
        <v>4899</v>
      </c>
      <c r="L698" s="4">
        <v>34</v>
      </c>
      <c r="M698" s="4" t="s">
        <v>5035</v>
      </c>
      <c r="N698" t="s">
        <v>2979</v>
      </c>
      <c r="O698" t="s">
        <v>2980</v>
      </c>
      <c r="P698" t="s">
        <v>23</v>
      </c>
      <c r="Q698" t="s">
        <v>24</v>
      </c>
      <c r="R698" t="s">
        <v>25</v>
      </c>
      <c r="S698" t="s">
        <v>26</v>
      </c>
      <c r="T698" s="6">
        <v>46307</v>
      </c>
      <c r="U698">
        <v>744</v>
      </c>
      <c r="V698">
        <v>744</v>
      </c>
      <c r="W698">
        <v>792</v>
      </c>
      <c r="X698">
        <v>792</v>
      </c>
      <c r="Y698">
        <f t="shared" si="111"/>
        <v>0</v>
      </c>
      <c r="Z698">
        <f t="shared" si="112"/>
        <v>-48</v>
      </c>
      <c r="AC698" s="1"/>
      <c r="AF698">
        <f>V698</f>
        <v>744</v>
      </c>
      <c r="AG698" s="41">
        <v>24</v>
      </c>
      <c r="AH698">
        <f t="shared" si="113"/>
        <v>744</v>
      </c>
      <c r="AI698">
        <f t="shared" si="114"/>
        <v>0</v>
      </c>
      <c r="AK698">
        <f t="shared" si="115"/>
        <v>31</v>
      </c>
      <c r="AL698">
        <v>10.14</v>
      </c>
      <c r="AM698" t="s">
        <v>27</v>
      </c>
      <c r="AN698">
        <v>10.14</v>
      </c>
      <c r="AO698" t="b">
        <f t="shared" si="116"/>
        <v>1</v>
      </c>
      <c r="AR698" t="s">
        <v>5061</v>
      </c>
      <c r="AS698" s="21">
        <v>46276</v>
      </c>
      <c r="AT698" t="s">
        <v>5062</v>
      </c>
      <c r="AU698" t="s">
        <v>5079</v>
      </c>
      <c r="AV698" t="s">
        <v>5062</v>
      </c>
      <c r="AW698" t="s">
        <v>5086</v>
      </c>
    </row>
    <row r="699" spans="1:49" hidden="1" x14ac:dyDescent="0.35">
      <c r="A699" t="s">
        <v>2796</v>
      </c>
      <c r="B699" t="s">
        <v>872</v>
      </c>
      <c r="C699" t="s">
        <v>4818</v>
      </c>
      <c r="D699" t="s">
        <v>18</v>
      </c>
      <c r="E699" t="s">
        <v>2981</v>
      </c>
      <c r="F699" t="s">
        <v>2982</v>
      </c>
      <c r="G699" t="s">
        <v>21</v>
      </c>
      <c r="H699" t="s">
        <v>4888</v>
      </c>
      <c r="I699" t="s">
        <v>5003</v>
      </c>
      <c r="J699" s="4" t="s">
        <v>5004</v>
      </c>
      <c r="K699" s="4" t="s">
        <v>5015</v>
      </c>
      <c r="L699" s="4" t="s">
        <v>4929</v>
      </c>
      <c r="M699" s="4" t="s">
        <v>5035</v>
      </c>
      <c r="N699" t="s">
        <v>2983</v>
      </c>
      <c r="O699" t="s">
        <v>2984</v>
      </c>
      <c r="P699" t="s">
        <v>23</v>
      </c>
      <c r="Q699" t="s">
        <v>24</v>
      </c>
      <c r="R699" t="s">
        <v>25</v>
      </c>
      <c r="S699" t="s">
        <v>26</v>
      </c>
      <c r="T699" s="6">
        <v>46307</v>
      </c>
      <c r="U699">
        <v>48</v>
      </c>
      <c r="V699">
        <v>48</v>
      </c>
      <c r="W699">
        <v>48</v>
      </c>
      <c r="X699">
        <v>48</v>
      </c>
      <c r="Y699">
        <f t="shared" si="111"/>
        <v>0</v>
      </c>
      <c r="Z699">
        <f t="shared" si="112"/>
        <v>0</v>
      </c>
      <c r="AC699" s="1">
        <v>0</v>
      </c>
      <c r="AF699">
        <f>V699</f>
        <v>48</v>
      </c>
      <c r="AG699" s="41">
        <v>12</v>
      </c>
      <c r="AH699">
        <f t="shared" si="113"/>
        <v>48</v>
      </c>
      <c r="AI699">
        <f t="shared" si="114"/>
        <v>0</v>
      </c>
      <c r="AK699">
        <f t="shared" si="115"/>
        <v>4</v>
      </c>
      <c r="AL699">
        <v>13.01</v>
      </c>
      <c r="AM699" t="s">
        <v>27</v>
      </c>
      <c r="AN699">
        <v>13.01</v>
      </c>
      <c r="AO699" t="b">
        <f t="shared" si="116"/>
        <v>1</v>
      </c>
      <c r="AR699" t="s">
        <v>5061</v>
      </c>
      <c r="AS699" s="21">
        <v>46276</v>
      </c>
      <c r="AT699" t="s">
        <v>5062</v>
      </c>
      <c r="AU699" t="s">
        <v>5078</v>
      </c>
      <c r="AV699" t="s">
        <v>5062</v>
      </c>
      <c r="AW699" t="s">
        <v>5086</v>
      </c>
    </row>
    <row r="700" spans="1:49" hidden="1" x14ac:dyDescent="0.35">
      <c r="A700" t="s">
        <v>2796</v>
      </c>
      <c r="B700" t="s">
        <v>872</v>
      </c>
      <c r="C700" t="s">
        <v>4818</v>
      </c>
      <c r="D700" t="s">
        <v>18</v>
      </c>
      <c r="E700" t="s">
        <v>2985</v>
      </c>
      <c r="F700" t="s">
        <v>2986</v>
      </c>
      <c r="G700" t="s">
        <v>21</v>
      </c>
      <c r="H700" t="s">
        <v>4888</v>
      </c>
      <c r="I700" t="s">
        <v>5008</v>
      </c>
      <c r="J700" s="4" t="s">
        <v>5009</v>
      </c>
      <c r="K700" s="4" t="s">
        <v>5021</v>
      </c>
      <c r="L700" s="4">
        <v>34</v>
      </c>
      <c r="M700" s="4" t="s">
        <v>5035</v>
      </c>
      <c r="N700" t="s">
        <v>2987</v>
      </c>
      <c r="O700" t="s">
        <v>2988</v>
      </c>
      <c r="P700" t="s">
        <v>23</v>
      </c>
      <c r="Q700" t="s">
        <v>24</v>
      </c>
      <c r="R700" t="s">
        <v>25</v>
      </c>
      <c r="S700" t="s">
        <v>26</v>
      </c>
      <c r="T700" s="6">
        <v>46307</v>
      </c>
      <c r="U700">
        <v>912</v>
      </c>
      <c r="V700">
        <v>912</v>
      </c>
      <c r="W700">
        <v>864</v>
      </c>
      <c r="X700">
        <v>864</v>
      </c>
      <c r="Y700">
        <f t="shared" si="111"/>
        <v>0</v>
      </c>
      <c r="Z700">
        <f t="shared" si="112"/>
        <v>48</v>
      </c>
      <c r="AA700">
        <f>Z700</f>
        <v>48</v>
      </c>
      <c r="AC700" s="1">
        <v>0</v>
      </c>
      <c r="AF700">
        <f>X700</f>
        <v>864</v>
      </c>
      <c r="AG700" s="41">
        <v>24</v>
      </c>
      <c r="AH700">
        <f t="shared" si="113"/>
        <v>864</v>
      </c>
      <c r="AI700">
        <f t="shared" si="114"/>
        <v>48</v>
      </c>
      <c r="AK700">
        <f t="shared" si="115"/>
        <v>36</v>
      </c>
      <c r="AL700">
        <v>10.11</v>
      </c>
      <c r="AM700" t="s">
        <v>27</v>
      </c>
      <c r="AN700">
        <v>10.11</v>
      </c>
      <c r="AO700" t="b">
        <f t="shared" si="116"/>
        <v>1</v>
      </c>
      <c r="AR700" t="s">
        <v>5061</v>
      </c>
      <c r="AS700" s="21">
        <v>46276</v>
      </c>
      <c r="AT700" t="s">
        <v>5062</v>
      </c>
      <c r="AU700" t="s">
        <v>5080</v>
      </c>
      <c r="AV700" t="s">
        <v>5062</v>
      </c>
      <c r="AW700" t="s">
        <v>5086</v>
      </c>
    </row>
    <row r="701" spans="1:49" hidden="1" x14ac:dyDescent="0.35">
      <c r="A701" t="s">
        <v>2796</v>
      </c>
      <c r="B701" t="s">
        <v>872</v>
      </c>
      <c r="C701" t="s">
        <v>4818</v>
      </c>
      <c r="D701" t="s">
        <v>18</v>
      </c>
      <c r="E701" t="s">
        <v>2989</v>
      </c>
      <c r="F701" t="s">
        <v>2990</v>
      </c>
      <c r="G701" t="s">
        <v>21</v>
      </c>
      <c r="H701" t="s">
        <v>4888</v>
      </c>
      <c r="I701" t="s">
        <v>5003</v>
      </c>
      <c r="J701" s="4" t="s">
        <v>5004</v>
      </c>
      <c r="K701" s="4" t="s">
        <v>5015</v>
      </c>
      <c r="L701" s="4" t="s">
        <v>4864</v>
      </c>
      <c r="M701" s="4" t="s">
        <v>5035</v>
      </c>
      <c r="N701" t="s">
        <v>2991</v>
      </c>
      <c r="O701" t="s">
        <v>2992</v>
      </c>
      <c r="P701" t="s">
        <v>23</v>
      </c>
      <c r="Q701" t="s">
        <v>24</v>
      </c>
      <c r="R701" t="s">
        <v>25</v>
      </c>
      <c r="S701" t="s">
        <v>26</v>
      </c>
      <c r="T701" s="6">
        <v>46307</v>
      </c>
      <c r="U701">
        <v>36</v>
      </c>
      <c r="V701">
        <v>36</v>
      </c>
      <c r="W701">
        <v>36</v>
      </c>
      <c r="X701">
        <v>36</v>
      </c>
      <c r="Y701">
        <f t="shared" si="111"/>
        <v>0</v>
      </c>
      <c r="Z701">
        <f t="shared" si="112"/>
        <v>0</v>
      </c>
      <c r="AC701" s="1">
        <v>0</v>
      </c>
      <c r="AF701">
        <f t="shared" ref="AF701:AF706" si="120">V701</f>
        <v>36</v>
      </c>
      <c r="AG701" s="41">
        <v>12</v>
      </c>
      <c r="AH701">
        <f t="shared" si="113"/>
        <v>36</v>
      </c>
      <c r="AI701">
        <f t="shared" si="114"/>
        <v>0</v>
      </c>
      <c r="AK701">
        <f t="shared" si="115"/>
        <v>3</v>
      </c>
      <c r="AL701">
        <v>13.01</v>
      </c>
      <c r="AM701" t="s">
        <v>27</v>
      </c>
      <c r="AN701">
        <v>13.01</v>
      </c>
      <c r="AO701" t="b">
        <f t="shared" si="116"/>
        <v>1</v>
      </c>
      <c r="AR701" t="s">
        <v>5061</v>
      </c>
      <c r="AS701" s="21">
        <v>46276</v>
      </c>
      <c r="AT701" t="s">
        <v>5062</v>
      </c>
      <c r="AU701" t="s">
        <v>5078</v>
      </c>
      <c r="AV701" t="s">
        <v>5062</v>
      </c>
      <c r="AW701" t="s">
        <v>5086</v>
      </c>
    </row>
    <row r="702" spans="1:49" hidden="1" x14ac:dyDescent="0.35">
      <c r="A702" t="s">
        <v>2796</v>
      </c>
      <c r="B702" t="s">
        <v>872</v>
      </c>
      <c r="C702" t="s">
        <v>4818</v>
      </c>
      <c r="D702" t="s">
        <v>18</v>
      </c>
      <c r="E702" t="s">
        <v>2993</v>
      </c>
      <c r="F702" t="s">
        <v>2994</v>
      </c>
      <c r="G702" t="s">
        <v>21</v>
      </c>
      <c r="H702" t="s">
        <v>4888</v>
      </c>
      <c r="I702" t="s">
        <v>5003</v>
      </c>
      <c r="J702" s="4" t="s">
        <v>5004</v>
      </c>
      <c r="K702" s="4" t="s">
        <v>4904</v>
      </c>
      <c r="L702" s="4" t="s">
        <v>4869</v>
      </c>
      <c r="M702" s="4" t="s">
        <v>5035</v>
      </c>
      <c r="N702" t="s">
        <v>2995</v>
      </c>
      <c r="O702" t="s">
        <v>2996</v>
      </c>
      <c r="P702" t="s">
        <v>23</v>
      </c>
      <c r="Q702" t="s">
        <v>24</v>
      </c>
      <c r="R702" t="s">
        <v>25</v>
      </c>
      <c r="S702" t="s">
        <v>26</v>
      </c>
      <c r="T702" s="6">
        <v>46307</v>
      </c>
      <c r="U702">
        <v>60</v>
      </c>
      <c r="V702">
        <v>60</v>
      </c>
      <c r="W702">
        <v>60</v>
      </c>
      <c r="X702">
        <v>60</v>
      </c>
      <c r="Y702">
        <f t="shared" si="111"/>
        <v>0</v>
      </c>
      <c r="Z702">
        <f t="shared" si="112"/>
        <v>0</v>
      </c>
      <c r="AC702" s="1">
        <v>0</v>
      </c>
      <c r="AF702">
        <f t="shared" si="120"/>
        <v>60</v>
      </c>
      <c r="AG702" s="41">
        <v>12</v>
      </c>
      <c r="AH702">
        <f t="shared" si="113"/>
        <v>60</v>
      </c>
      <c r="AI702">
        <f t="shared" si="114"/>
        <v>0</v>
      </c>
      <c r="AK702">
        <f t="shared" si="115"/>
        <v>5</v>
      </c>
      <c r="AL702">
        <v>12.89</v>
      </c>
      <c r="AM702" t="s">
        <v>27</v>
      </c>
      <c r="AN702">
        <v>12.89</v>
      </c>
      <c r="AO702" t="b">
        <f t="shared" si="116"/>
        <v>1</v>
      </c>
      <c r="AR702" t="s">
        <v>5061</v>
      </c>
      <c r="AS702" s="21">
        <v>46276</v>
      </c>
      <c r="AT702" t="s">
        <v>5062</v>
      </c>
      <c r="AU702" t="s">
        <v>5078</v>
      </c>
      <c r="AV702" t="s">
        <v>5062</v>
      </c>
      <c r="AW702" t="s">
        <v>5086</v>
      </c>
    </row>
    <row r="703" spans="1:49" hidden="1" x14ac:dyDescent="0.35">
      <c r="A703" t="s">
        <v>2796</v>
      </c>
      <c r="B703" t="s">
        <v>872</v>
      </c>
      <c r="C703" t="s">
        <v>4818</v>
      </c>
      <c r="D703" t="s">
        <v>18</v>
      </c>
      <c r="E703" t="s">
        <v>2997</v>
      </c>
      <c r="F703" t="s">
        <v>2998</v>
      </c>
      <c r="G703" t="s">
        <v>21</v>
      </c>
      <c r="H703" t="s">
        <v>4888</v>
      </c>
      <c r="I703" t="s">
        <v>5003</v>
      </c>
      <c r="J703" s="4" t="s">
        <v>5004</v>
      </c>
      <c r="K703" s="4" t="s">
        <v>5016</v>
      </c>
      <c r="L703" s="4" t="s">
        <v>4851</v>
      </c>
      <c r="M703" s="4" t="s">
        <v>5035</v>
      </c>
      <c r="N703" t="s">
        <v>2999</v>
      </c>
      <c r="O703" t="s">
        <v>3000</v>
      </c>
      <c r="P703" t="s">
        <v>23</v>
      </c>
      <c r="Q703" t="s">
        <v>24</v>
      </c>
      <c r="R703" t="s">
        <v>25</v>
      </c>
      <c r="S703" t="s">
        <v>26</v>
      </c>
      <c r="T703" s="6">
        <v>46307</v>
      </c>
      <c r="U703">
        <v>96</v>
      </c>
      <c r="V703">
        <v>96</v>
      </c>
      <c r="W703">
        <v>108</v>
      </c>
      <c r="X703">
        <v>108</v>
      </c>
      <c r="Y703">
        <f t="shared" si="111"/>
        <v>0</v>
      </c>
      <c r="Z703">
        <f t="shared" si="112"/>
        <v>-12</v>
      </c>
      <c r="AC703" s="1">
        <v>0</v>
      </c>
      <c r="AF703">
        <f t="shared" si="120"/>
        <v>96</v>
      </c>
      <c r="AG703" s="41">
        <v>12</v>
      </c>
      <c r="AH703">
        <f t="shared" si="113"/>
        <v>96</v>
      </c>
      <c r="AI703">
        <f t="shared" si="114"/>
        <v>0</v>
      </c>
      <c r="AK703">
        <f t="shared" si="115"/>
        <v>8</v>
      </c>
      <c r="AL703">
        <v>13.33</v>
      </c>
      <c r="AM703" t="s">
        <v>27</v>
      </c>
      <c r="AN703">
        <v>13.33</v>
      </c>
      <c r="AO703" t="b">
        <f t="shared" si="116"/>
        <v>1</v>
      </c>
      <c r="AR703" t="s">
        <v>5061</v>
      </c>
      <c r="AS703" s="21">
        <v>46276</v>
      </c>
      <c r="AT703" t="s">
        <v>5062</v>
      </c>
      <c r="AU703" t="s">
        <v>5078</v>
      </c>
      <c r="AV703" t="s">
        <v>5062</v>
      </c>
      <c r="AW703" t="s">
        <v>5086</v>
      </c>
    </row>
    <row r="704" spans="1:49" hidden="1" x14ac:dyDescent="0.35">
      <c r="A704" t="s">
        <v>2796</v>
      </c>
      <c r="B704" t="s">
        <v>872</v>
      </c>
      <c r="C704" t="s">
        <v>4818</v>
      </c>
      <c r="D704" t="s">
        <v>18</v>
      </c>
      <c r="E704" t="s">
        <v>3001</v>
      </c>
      <c r="F704" t="s">
        <v>3002</v>
      </c>
      <c r="G704" t="s">
        <v>21</v>
      </c>
      <c r="H704" t="s">
        <v>4888</v>
      </c>
      <c r="I704" t="s">
        <v>5003</v>
      </c>
      <c r="J704" s="4" t="s">
        <v>5004</v>
      </c>
      <c r="K704" s="4" t="s">
        <v>5015</v>
      </c>
      <c r="L704" s="4" t="s">
        <v>4892</v>
      </c>
      <c r="M704" s="4" t="s">
        <v>5035</v>
      </c>
      <c r="N704" t="s">
        <v>3003</v>
      </c>
      <c r="O704" t="s">
        <v>3004</v>
      </c>
      <c r="P704" t="s">
        <v>23</v>
      </c>
      <c r="Q704" t="s">
        <v>24</v>
      </c>
      <c r="R704" t="s">
        <v>25</v>
      </c>
      <c r="S704" t="s">
        <v>26</v>
      </c>
      <c r="T704" s="6">
        <v>46307</v>
      </c>
      <c r="U704">
        <v>60</v>
      </c>
      <c r="V704">
        <v>60</v>
      </c>
      <c r="W704">
        <v>60</v>
      </c>
      <c r="X704">
        <v>60</v>
      </c>
      <c r="Y704">
        <f t="shared" si="111"/>
        <v>0</v>
      </c>
      <c r="Z704">
        <f t="shared" si="112"/>
        <v>0</v>
      </c>
      <c r="AC704" s="1">
        <v>0</v>
      </c>
      <c r="AF704">
        <f t="shared" si="120"/>
        <v>60</v>
      </c>
      <c r="AG704" s="41">
        <v>12</v>
      </c>
      <c r="AH704">
        <f t="shared" si="113"/>
        <v>60</v>
      </c>
      <c r="AI704">
        <f t="shared" si="114"/>
        <v>0</v>
      </c>
      <c r="AK704">
        <f t="shared" si="115"/>
        <v>5</v>
      </c>
      <c r="AL704">
        <v>13.01</v>
      </c>
      <c r="AM704" t="s">
        <v>27</v>
      </c>
      <c r="AN704">
        <v>13.01</v>
      </c>
      <c r="AO704" t="b">
        <f t="shared" si="116"/>
        <v>1</v>
      </c>
      <c r="AR704" t="s">
        <v>5061</v>
      </c>
      <c r="AS704" s="21">
        <v>46276</v>
      </c>
      <c r="AT704" t="s">
        <v>5062</v>
      </c>
      <c r="AU704" t="s">
        <v>5078</v>
      </c>
      <c r="AV704" t="s">
        <v>5062</v>
      </c>
      <c r="AW704" t="s">
        <v>5086</v>
      </c>
    </row>
    <row r="705" spans="1:49" hidden="1" x14ac:dyDescent="0.35">
      <c r="A705" t="s">
        <v>2796</v>
      </c>
      <c r="B705" t="s">
        <v>872</v>
      </c>
      <c r="C705" t="s">
        <v>4818</v>
      </c>
      <c r="D705" t="s">
        <v>18</v>
      </c>
      <c r="E705" t="s">
        <v>3005</v>
      </c>
      <c r="F705" t="s">
        <v>3006</v>
      </c>
      <c r="G705" t="s">
        <v>21</v>
      </c>
      <c r="H705" t="s">
        <v>4888</v>
      </c>
      <c r="I705" t="s">
        <v>5003</v>
      </c>
      <c r="J705" s="4" t="s">
        <v>5004</v>
      </c>
      <c r="K705" s="4" t="s">
        <v>4904</v>
      </c>
      <c r="L705" s="4" t="s">
        <v>4884</v>
      </c>
      <c r="M705" s="4" t="s">
        <v>5035</v>
      </c>
      <c r="N705" t="s">
        <v>3007</v>
      </c>
      <c r="O705" t="s">
        <v>3008</v>
      </c>
      <c r="P705" t="s">
        <v>23</v>
      </c>
      <c r="Q705" t="s">
        <v>24</v>
      </c>
      <c r="R705" t="s">
        <v>25</v>
      </c>
      <c r="S705" t="s">
        <v>26</v>
      </c>
      <c r="T705" s="6">
        <v>46307</v>
      </c>
      <c r="U705">
        <v>12</v>
      </c>
      <c r="V705">
        <v>12</v>
      </c>
      <c r="W705">
        <v>12</v>
      </c>
      <c r="X705">
        <v>12</v>
      </c>
      <c r="Y705">
        <f t="shared" si="111"/>
        <v>0</v>
      </c>
      <c r="Z705">
        <f t="shared" si="112"/>
        <v>0</v>
      </c>
      <c r="AC705" s="1">
        <v>0</v>
      </c>
      <c r="AF705">
        <f t="shared" si="120"/>
        <v>12</v>
      </c>
      <c r="AG705" s="41">
        <v>12</v>
      </c>
      <c r="AH705">
        <f t="shared" si="113"/>
        <v>12</v>
      </c>
      <c r="AI705">
        <f t="shared" si="114"/>
        <v>0</v>
      </c>
      <c r="AK705">
        <f t="shared" si="115"/>
        <v>1</v>
      </c>
      <c r="AL705">
        <v>12.89</v>
      </c>
      <c r="AM705" t="s">
        <v>27</v>
      </c>
      <c r="AN705">
        <v>12.89</v>
      </c>
      <c r="AO705" t="b">
        <f t="shared" si="116"/>
        <v>1</v>
      </c>
      <c r="AR705" t="s">
        <v>5061</v>
      </c>
      <c r="AS705" s="21">
        <v>46276</v>
      </c>
      <c r="AT705" t="s">
        <v>5062</v>
      </c>
      <c r="AU705" t="s">
        <v>5078</v>
      </c>
      <c r="AV705" t="s">
        <v>5062</v>
      </c>
      <c r="AW705" t="s">
        <v>5086</v>
      </c>
    </row>
    <row r="706" spans="1:49" hidden="1" x14ac:dyDescent="0.35">
      <c r="A706" t="s">
        <v>2796</v>
      </c>
      <c r="B706" t="s">
        <v>872</v>
      </c>
      <c r="C706" t="s">
        <v>4818</v>
      </c>
      <c r="D706" t="s">
        <v>18</v>
      </c>
      <c r="E706" t="s">
        <v>3009</v>
      </c>
      <c r="F706" t="s">
        <v>3010</v>
      </c>
      <c r="G706" t="s">
        <v>21</v>
      </c>
      <c r="H706" t="s">
        <v>4888</v>
      </c>
      <c r="I706" t="s">
        <v>5003</v>
      </c>
      <c r="J706" s="4" t="s">
        <v>5004</v>
      </c>
      <c r="K706" s="4" t="s">
        <v>4837</v>
      </c>
      <c r="L706" s="4" t="s">
        <v>4917</v>
      </c>
      <c r="M706" s="4" t="s">
        <v>5035</v>
      </c>
      <c r="N706" t="s">
        <v>3011</v>
      </c>
      <c r="O706" t="s">
        <v>3012</v>
      </c>
      <c r="P706" t="s">
        <v>23</v>
      </c>
      <c r="Q706" t="s">
        <v>24</v>
      </c>
      <c r="R706" t="s">
        <v>25</v>
      </c>
      <c r="S706" t="s">
        <v>26</v>
      </c>
      <c r="T706" s="6">
        <v>46307</v>
      </c>
      <c r="U706">
        <v>72</v>
      </c>
      <c r="V706">
        <v>72</v>
      </c>
      <c r="W706">
        <v>84</v>
      </c>
      <c r="X706">
        <v>84</v>
      </c>
      <c r="Y706">
        <f t="shared" si="111"/>
        <v>0</v>
      </c>
      <c r="Z706">
        <f t="shared" si="112"/>
        <v>-12</v>
      </c>
      <c r="AC706" s="1">
        <v>0</v>
      </c>
      <c r="AF706">
        <f t="shared" si="120"/>
        <v>72</v>
      </c>
      <c r="AG706" s="41">
        <v>12</v>
      </c>
      <c r="AH706">
        <f t="shared" si="113"/>
        <v>72</v>
      </c>
      <c r="AI706">
        <f t="shared" si="114"/>
        <v>0</v>
      </c>
      <c r="AK706">
        <f t="shared" si="115"/>
        <v>6</v>
      </c>
      <c r="AL706">
        <v>12.87</v>
      </c>
      <c r="AM706" t="s">
        <v>27</v>
      </c>
      <c r="AN706">
        <v>12.87</v>
      </c>
      <c r="AO706" t="b">
        <f t="shared" si="116"/>
        <v>1</v>
      </c>
      <c r="AR706" t="s">
        <v>5061</v>
      </c>
      <c r="AS706" s="21">
        <v>46276</v>
      </c>
      <c r="AT706" t="s">
        <v>5062</v>
      </c>
      <c r="AU706" t="s">
        <v>5078</v>
      </c>
      <c r="AV706" t="s">
        <v>5062</v>
      </c>
      <c r="AW706" t="s">
        <v>5086</v>
      </c>
    </row>
    <row r="707" spans="1:49" hidden="1" x14ac:dyDescent="0.35">
      <c r="A707" t="s">
        <v>2796</v>
      </c>
      <c r="B707" t="s">
        <v>872</v>
      </c>
      <c r="C707" t="s">
        <v>4818</v>
      </c>
      <c r="D707" t="s">
        <v>18</v>
      </c>
      <c r="E707" t="s">
        <v>3013</v>
      </c>
      <c r="F707" t="s">
        <v>3014</v>
      </c>
      <c r="G707" t="s">
        <v>21</v>
      </c>
      <c r="H707" t="s">
        <v>4888</v>
      </c>
      <c r="I707" t="s">
        <v>5003</v>
      </c>
      <c r="J707" s="4" t="s">
        <v>5004</v>
      </c>
      <c r="K707" s="4" t="s">
        <v>5015</v>
      </c>
      <c r="L707" s="4" t="s">
        <v>4919</v>
      </c>
      <c r="M707" s="4" t="s">
        <v>5035</v>
      </c>
      <c r="N707" t="s">
        <v>3015</v>
      </c>
      <c r="O707" t="s">
        <v>3016</v>
      </c>
      <c r="P707" t="s">
        <v>23</v>
      </c>
      <c r="Q707" t="s">
        <v>24</v>
      </c>
      <c r="R707" t="s">
        <v>25</v>
      </c>
      <c r="S707" t="s">
        <v>26</v>
      </c>
      <c r="T707" s="6">
        <v>46307</v>
      </c>
      <c r="U707">
        <v>72</v>
      </c>
      <c r="V707">
        <v>72</v>
      </c>
      <c r="W707">
        <v>60</v>
      </c>
      <c r="X707">
        <v>60</v>
      </c>
      <c r="Y707">
        <f t="shared" ref="Y707:Y770" si="121">W707-X707</f>
        <v>0</v>
      </c>
      <c r="Z707">
        <f t="shared" ref="Z707:Z770" si="122">V707-X707</f>
        <v>12</v>
      </c>
      <c r="AA707">
        <f t="shared" ref="AA707:AA708" si="123">Z707</f>
        <v>12</v>
      </c>
      <c r="AC707" s="1">
        <v>0</v>
      </c>
      <c r="AF707">
        <f>X707</f>
        <v>60</v>
      </c>
      <c r="AG707" s="41">
        <v>12</v>
      </c>
      <c r="AH707">
        <f t="shared" ref="AH707:AH770" si="124">ROUNDUP(AF707/AG707,0)*AG707</f>
        <v>60</v>
      </c>
      <c r="AI707">
        <f t="shared" ref="AI707:AI770" si="125">V707-AH707</f>
        <v>12</v>
      </c>
      <c r="AK707">
        <f t="shared" ref="AK707:AK770" si="126">AH707/AG707</f>
        <v>5</v>
      </c>
      <c r="AL707">
        <v>13.01</v>
      </c>
      <c r="AM707" t="s">
        <v>27</v>
      </c>
      <c r="AN707">
        <v>13.01</v>
      </c>
      <c r="AO707" t="b">
        <f t="shared" ref="AO707:AO770" si="127">AL707=AN707</f>
        <v>1</v>
      </c>
      <c r="AR707" t="s">
        <v>5061</v>
      </c>
      <c r="AS707" s="21">
        <v>46276</v>
      </c>
      <c r="AT707" t="s">
        <v>5062</v>
      </c>
      <c r="AU707" t="s">
        <v>5078</v>
      </c>
      <c r="AV707" t="s">
        <v>5062</v>
      </c>
      <c r="AW707" t="s">
        <v>5086</v>
      </c>
    </row>
    <row r="708" spans="1:49" hidden="1" x14ac:dyDescent="0.35">
      <c r="A708" t="s">
        <v>2796</v>
      </c>
      <c r="B708" t="s">
        <v>872</v>
      </c>
      <c r="C708" t="s">
        <v>4818</v>
      </c>
      <c r="D708" t="s">
        <v>18</v>
      </c>
      <c r="E708" t="s">
        <v>3017</v>
      </c>
      <c r="F708" t="s">
        <v>3018</v>
      </c>
      <c r="G708" t="s">
        <v>21</v>
      </c>
      <c r="H708" t="s">
        <v>4888</v>
      </c>
      <c r="I708" t="s">
        <v>5003</v>
      </c>
      <c r="J708" s="4" t="s">
        <v>5004</v>
      </c>
      <c r="K708" s="4" t="s">
        <v>5015</v>
      </c>
      <c r="L708" s="4" t="s">
        <v>4926</v>
      </c>
      <c r="M708" s="4" t="s">
        <v>5035</v>
      </c>
      <c r="N708" t="s">
        <v>3019</v>
      </c>
      <c r="O708" t="s">
        <v>3020</v>
      </c>
      <c r="P708" t="s">
        <v>23</v>
      </c>
      <c r="Q708" t="s">
        <v>24</v>
      </c>
      <c r="R708" t="s">
        <v>25</v>
      </c>
      <c r="S708" t="s">
        <v>26</v>
      </c>
      <c r="T708" s="6">
        <v>46307</v>
      </c>
      <c r="U708">
        <v>36</v>
      </c>
      <c r="V708">
        <v>36</v>
      </c>
      <c r="W708">
        <v>24</v>
      </c>
      <c r="X708">
        <v>24</v>
      </c>
      <c r="Y708">
        <f t="shared" si="121"/>
        <v>0</v>
      </c>
      <c r="Z708">
        <f t="shared" si="122"/>
        <v>12</v>
      </c>
      <c r="AA708">
        <f t="shared" si="123"/>
        <v>12</v>
      </c>
      <c r="AC708" s="1">
        <v>0</v>
      </c>
      <c r="AF708">
        <f>X708</f>
        <v>24</v>
      </c>
      <c r="AG708" s="41">
        <v>12</v>
      </c>
      <c r="AH708">
        <f t="shared" si="124"/>
        <v>24</v>
      </c>
      <c r="AI708">
        <f t="shared" si="125"/>
        <v>12</v>
      </c>
      <c r="AK708">
        <f t="shared" si="126"/>
        <v>2</v>
      </c>
      <c r="AL708">
        <v>13.01</v>
      </c>
      <c r="AM708" t="s">
        <v>27</v>
      </c>
      <c r="AN708">
        <v>13.01</v>
      </c>
      <c r="AO708" t="b">
        <f t="shared" si="127"/>
        <v>1</v>
      </c>
      <c r="AR708" t="s">
        <v>5061</v>
      </c>
      <c r="AS708" s="21">
        <v>46276</v>
      </c>
      <c r="AT708" t="s">
        <v>5062</v>
      </c>
      <c r="AU708" t="s">
        <v>5078</v>
      </c>
      <c r="AV708" t="s">
        <v>5062</v>
      </c>
      <c r="AW708" t="s">
        <v>5086</v>
      </c>
    </row>
    <row r="709" spans="1:49" hidden="1" x14ac:dyDescent="0.35">
      <c r="A709" t="s">
        <v>2796</v>
      </c>
      <c r="B709" t="s">
        <v>872</v>
      </c>
      <c r="C709" t="s">
        <v>4818</v>
      </c>
      <c r="D709" t="s">
        <v>18</v>
      </c>
      <c r="E709" t="s">
        <v>3021</v>
      </c>
      <c r="F709" t="s">
        <v>3022</v>
      </c>
      <c r="G709" t="s">
        <v>21</v>
      </c>
      <c r="H709" t="s">
        <v>4888</v>
      </c>
      <c r="I709" t="s">
        <v>5022</v>
      </c>
      <c r="J709" s="4" t="s">
        <v>5023</v>
      </c>
      <c r="K709" s="4" t="s">
        <v>5024</v>
      </c>
      <c r="L709" s="4">
        <v>12</v>
      </c>
      <c r="M709" s="4" t="s">
        <v>5035</v>
      </c>
      <c r="N709" t="s">
        <v>3023</v>
      </c>
      <c r="O709" t="s">
        <v>3024</v>
      </c>
      <c r="P709" t="s">
        <v>23</v>
      </c>
      <c r="Q709" t="s">
        <v>24</v>
      </c>
      <c r="R709" t="s">
        <v>25</v>
      </c>
      <c r="S709" t="s">
        <v>26</v>
      </c>
      <c r="T709" s="6">
        <v>46307</v>
      </c>
      <c r="U709">
        <v>504</v>
      </c>
      <c r="V709">
        <v>504</v>
      </c>
      <c r="W709">
        <v>552</v>
      </c>
      <c r="X709">
        <v>552</v>
      </c>
      <c r="Y709">
        <f t="shared" si="121"/>
        <v>0</v>
      </c>
      <c r="Z709">
        <f t="shared" si="122"/>
        <v>-48</v>
      </c>
      <c r="AC709" s="1">
        <v>0</v>
      </c>
      <c r="AF709">
        <f t="shared" ref="AF709:AF714" si="128">V709</f>
        <v>504</v>
      </c>
      <c r="AG709" s="41">
        <v>24</v>
      </c>
      <c r="AH709">
        <f t="shared" si="124"/>
        <v>504</v>
      </c>
      <c r="AI709">
        <f t="shared" si="125"/>
        <v>0</v>
      </c>
      <c r="AK709">
        <f t="shared" si="126"/>
        <v>21</v>
      </c>
      <c r="AL709">
        <v>6.99</v>
      </c>
      <c r="AM709" t="s">
        <v>27</v>
      </c>
      <c r="AN709">
        <v>8.68</v>
      </c>
      <c r="AO709" t="b">
        <f t="shared" si="127"/>
        <v>0</v>
      </c>
      <c r="AR709" t="s">
        <v>5061</v>
      </c>
      <c r="AS709" s="21">
        <v>46276</v>
      </c>
      <c r="AT709" t="s">
        <v>5062</v>
      </c>
      <c r="AU709" t="s">
        <v>5083</v>
      </c>
      <c r="AV709" t="s">
        <v>5062</v>
      </c>
      <c r="AW709" t="s">
        <v>5086</v>
      </c>
    </row>
    <row r="710" spans="1:49" hidden="1" x14ac:dyDescent="0.35">
      <c r="A710" t="s">
        <v>2796</v>
      </c>
      <c r="B710" t="s">
        <v>872</v>
      </c>
      <c r="C710" t="s">
        <v>4818</v>
      </c>
      <c r="D710" t="s">
        <v>18</v>
      </c>
      <c r="E710" t="s">
        <v>3025</v>
      </c>
      <c r="F710" t="s">
        <v>3026</v>
      </c>
      <c r="G710" t="s">
        <v>21</v>
      </c>
      <c r="H710" t="s">
        <v>4888</v>
      </c>
      <c r="I710" t="s">
        <v>5003</v>
      </c>
      <c r="J710" s="4" t="s">
        <v>5004</v>
      </c>
      <c r="K710" s="4" t="s">
        <v>4837</v>
      </c>
      <c r="L710" s="4" t="s">
        <v>4869</v>
      </c>
      <c r="M710" s="4" t="s">
        <v>5035</v>
      </c>
      <c r="N710" t="s">
        <v>3027</v>
      </c>
      <c r="O710" t="s">
        <v>3028</v>
      </c>
      <c r="P710" t="s">
        <v>23</v>
      </c>
      <c r="Q710" t="s">
        <v>24</v>
      </c>
      <c r="R710" t="s">
        <v>25</v>
      </c>
      <c r="S710" t="s">
        <v>26</v>
      </c>
      <c r="T710" s="6">
        <v>46307</v>
      </c>
      <c r="U710">
        <v>96</v>
      </c>
      <c r="V710">
        <v>96</v>
      </c>
      <c r="W710">
        <v>108</v>
      </c>
      <c r="X710">
        <v>108</v>
      </c>
      <c r="Y710">
        <f t="shared" si="121"/>
        <v>0</v>
      </c>
      <c r="Z710">
        <f t="shared" si="122"/>
        <v>-12</v>
      </c>
      <c r="AC710" s="1">
        <v>0</v>
      </c>
      <c r="AF710">
        <f t="shared" si="128"/>
        <v>96</v>
      </c>
      <c r="AG710" s="41">
        <v>12</v>
      </c>
      <c r="AH710">
        <f t="shared" si="124"/>
        <v>96</v>
      </c>
      <c r="AI710">
        <f t="shared" si="125"/>
        <v>0</v>
      </c>
      <c r="AK710">
        <f t="shared" si="126"/>
        <v>8</v>
      </c>
      <c r="AL710">
        <v>12.87</v>
      </c>
      <c r="AM710" t="s">
        <v>27</v>
      </c>
      <c r="AN710">
        <v>12.87</v>
      </c>
      <c r="AO710" t="b">
        <f t="shared" si="127"/>
        <v>1</v>
      </c>
      <c r="AR710" t="s">
        <v>5061</v>
      </c>
      <c r="AS710" s="21">
        <v>46276</v>
      </c>
      <c r="AT710" t="s">
        <v>5062</v>
      </c>
      <c r="AU710" t="s">
        <v>5078</v>
      </c>
      <c r="AV710" t="s">
        <v>5062</v>
      </c>
      <c r="AW710" t="s">
        <v>5086</v>
      </c>
    </row>
    <row r="711" spans="1:49" hidden="1" x14ac:dyDescent="0.35">
      <c r="A711" t="s">
        <v>2796</v>
      </c>
      <c r="B711" t="s">
        <v>872</v>
      </c>
      <c r="C711" t="s">
        <v>4818</v>
      </c>
      <c r="D711" t="s">
        <v>18</v>
      </c>
      <c r="E711" t="s">
        <v>3029</v>
      </c>
      <c r="F711" t="s">
        <v>3030</v>
      </c>
      <c r="G711" t="s">
        <v>21</v>
      </c>
      <c r="H711" t="s">
        <v>4888</v>
      </c>
      <c r="I711" t="s">
        <v>5018</v>
      </c>
      <c r="J711" s="4" t="s">
        <v>5019</v>
      </c>
      <c r="K711" s="4" t="s">
        <v>5020</v>
      </c>
      <c r="L711" s="4">
        <v>10</v>
      </c>
      <c r="M711" s="4" t="s">
        <v>5035</v>
      </c>
      <c r="N711" t="s">
        <v>3031</v>
      </c>
      <c r="O711" t="s">
        <v>3032</v>
      </c>
      <c r="P711" t="s">
        <v>23</v>
      </c>
      <c r="Q711" t="s">
        <v>24</v>
      </c>
      <c r="R711" t="s">
        <v>25</v>
      </c>
      <c r="S711" t="s">
        <v>26</v>
      </c>
      <c r="T711" s="6">
        <v>46307</v>
      </c>
      <c r="U711">
        <v>72</v>
      </c>
      <c r="V711">
        <v>72</v>
      </c>
      <c r="W711">
        <v>72</v>
      </c>
      <c r="X711">
        <v>72</v>
      </c>
      <c r="Y711">
        <f t="shared" si="121"/>
        <v>0</v>
      </c>
      <c r="Z711">
        <f t="shared" si="122"/>
        <v>0</v>
      </c>
      <c r="AC711" s="1">
        <v>0</v>
      </c>
      <c r="AF711">
        <f t="shared" si="128"/>
        <v>72</v>
      </c>
      <c r="AG711" s="41">
        <v>24</v>
      </c>
      <c r="AH711">
        <f t="shared" si="124"/>
        <v>72</v>
      </c>
      <c r="AI711">
        <f t="shared" si="125"/>
        <v>0</v>
      </c>
      <c r="AK711">
        <f t="shared" si="126"/>
        <v>3</v>
      </c>
      <c r="AL711">
        <v>10.79</v>
      </c>
      <c r="AM711" t="s">
        <v>27</v>
      </c>
      <c r="AN711">
        <v>10.79</v>
      </c>
      <c r="AO711" t="b">
        <f t="shared" si="127"/>
        <v>1</v>
      </c>
      <c r="AR711" t="s">
        <v>5061</v>
      </c>
      <c r="AS711" s="21">
        <v>46276</v>
      </c>
      <c r="AT711" t="s">
        <v>5062</v>
      </c>
      <c r="AU711" t="s">
        <v>5082</v>
      </c>
      <c r="AV711" t="s">
        <v>5062</v>
      </c>
      <c r="AW711" t="s">
        <v>5086</v>
      </c>
    </row>
    <row r="712" spans="1:49" hidden="1" x14ac:dyDescent="0.35">
      <c r="A712" t="s">
        <v>2796</v>
      </c>
      <c r="B712" t="s">
        <v>872</v>
      </c>
      <c r="C712" t="s">
        <v>4818</v>
      </c>
      <c r="D712" t="s">
        <v>18</v>
      </c>
      <c r="E712" t="s">
        <v>3033</v>
      </c>
      <c r="F712" t="s">
        <v>3034</v>
      </c>
      <c r="G712" t="s">
        <v>21</v>
      </c>
      <c r="H712" t="s">
        <v>4888</v>
      </c>
      <c r="I712" t="s">
        <v>5003</v>
      </c>
      <c r="J712" s="4" t="s">
        <v>5004</v>
      </c>
      <c r="K712" s="4" t="s">
        <v>4904</v>
      </c>
      <c r="L712" s="4" t="s">
        <v>4916</v>
      </c>
      <c r="M712" s="4" t="s">
        <v>5035</v>
      </c>
      <c r="N712" t="s">
        <v>3035</v>
      </c>
      <c r="O712" t="s">
        <v>3036</v>
      </c>
      <c r="P712" t="s">
        <v>23</v>
      </c>
      <c r="Q712" t="s">
        <v>24</v>
      </c>
      <c r="R712" t="s">
        <v>25</v>
      </c>
      <c r="S712" t="s">
        <v>26</v>
      </c>
      <c r="T712" s="6">
        <v>46307</v>
      </c>
      <c r="U712">
        <v>48</v>
      </c>
      <c r="V712">
        <v>48</v>
      </c>
      <c r="W712">
        <v>48</v>
      </c>
      <c r="X712">
        <v>48</v>
      </c>
      <c r="Y712">
        <f t="shared" si="121"/>
        <v>0</v>
      </c>
      <c r="Z712">
        <f t="shared" si="122"/>
        <v>0</v>
      </c>
      <c r="AC712" s="1">
        <v>0</v>
      </c>
      <c r="AF712">
        <f t="shared" si="128"/>
        <v>48</v>
      </c>
      <c r="AG712" s="41">
        <v>12</v>
      </c>
      <c r="AH712">
        <f t="shared" si="124"/>
        <v>48</v>
      </c>
      <c r="AI712">
        <f t="shared" si="125"/>
        <v>0</v>
      </c>
      <c r="AK712">
        <f t="shared" si="126"/>
        <v>4</v>
      </c>
      <c r="AL712">
        <v>12.89</v>
      </c>
      <c r="AM712" t="s">
        <v>27</v>
      </c>
      <c r="AN712">
        <v>12.89</v>
      </c>
      <c r="AO712" t="b">
        <f t="shared" si="127"/>
        <v>1</v>
      </c>
      <c r="AR712" t="s">
        <v>5061</v>
      </c>
      <c r="AS712" s="21">
        <v>46276</v>
      </c>
      <c r="AT712" t="s">
        <v>5062</v>
      </c>
      <c r="AU712" t="s">
        <v>5078</v>
      </c>
      <c r="AV712" t="s">
        <v>5062</v>
      </c>
      <c r="AW712" t="s">
        <v>5086</v>
      </c>
    </row>
    <row r="713" spans="1:49" hidden="1" x14ac:dyDescent="0.35">
      <c r="A713" t="s">
        <v>2796</v>
      </c>
      <c r="B713" t="s">
        <v>872</v>
      </c>
      <c r="C713" t="s">
        <v>4818</v>
      </c>
      <c r="D713" t="s">
        <v>18</v>
      </c>
      <c r="E713" t="s">
        <v>3037</v>
      </c>
      <c r="F713" t="s">
        <v>3038</v>
      </c>
      <c r="G713" t="s">
        <v>21</v>
      </c>
      <c r="H713" t="s">
        <v>4888</v>
      </c>
      <c r="I713" t="s">
        <v>5003</v>
      </c>
      <c r="J713" s="4" t="s">
        <v>5004</v>
      </c>
      <c r="K713" s="4" t="s">
        <v>4837</v>
      </c>
      <c r="L713" s="4" t="s">
        <v>4905</v>
      </c>
      <c r="M713" s="4" t="s">
        <v>5035</v>
      </c>
      <c r="N713" t="s">
        <v>3039</v>
      </c>
      <c r="O713" t="s">
        <v>3040</v>
      </c>
      <c r="P713" t="s">
        <v>23</v>
      </c>
      <c r="Q713" t="s">
        <v>24</v>
      </c>
      <c r="R713" t="s">
        <v>25</v>
      </c>
      <c r="S713" t="s">
        <v>26</v>
      </c>
      <c r="T713" s="6">
        <v>46307</v>
      </c>
      <c r="U713">
        <v>36</v>
      </c>
      <c r="V713">
        <v>36</v>
      </c>
      <c r="W713">
        <v>36</v>
      </c>
      <c r="X713">
        <v>36</v>
      </c>
      <c r="Y713">
        <f t="shared" si="121"/>
        <v>0</v>
      </c>
      <c r="Z713">
        <f t="shared" si="122"/>
        <v>0</v>
      </c>
      <c r="AC713" s="1">
        <v>0</v>
      </c>
      <c r="AF713">
        <f t="shared" si="128"/>
        <v>36</v>
      </c>
      <c r="AG713" s="41">
        <v>12</v>
      </c>
      <c r="AH713">
        <f t="shared" si="124"/>
        <v>36</v>
      </c>
      <c r="AI713">
        <f t="shared" si="125"/>
        <v>0</v>
      </c>
      <c r="AK713">
        <f t="shared" si="126"/>
        <v>3</v>
      </c>
      <c r="AL713">
        <v>12.87</v>
      </c>
      <c r="AM713" t="s">
        <v>27</v>
      </c>
      <c r="AN713">
        <v>12.87</v>
      </c>
      <c r="AO713" t="b">
        <f t="shared" si="127"/>
        <v>1</v>
      </c>
      <c r="AR713" t="s">
        <v>5061</v>
      </c>
      <c r="AS713" s="21">
        <v>46276</v>
      </c>
      <c r="AT713" t="s">
        <v>5062</v>
      </c>
      <c r="AU713" t="s">
        <v>5078</v>
      </c>
      <c r="AV713" t="s">
        <v>5062</v>
      </c>
      <c r="AW713" t="s">
        <v>5086</v>
      </c>
    </row>
    <row r="714" spans="1:49" hidden="1" x14ac:dyDescent="0.35">
      <c r="A714" t="s">
        <v>2796</v>
      </c>
      <c r="B714" t="s">
        <v>872</v>
      </c>
      <c r="C714" t="s">
        <v>4818</v>
      </c>
      <c r="D714" t="s">
        <v>18</v>
      </c>
      <c r="E714" t="s">
        <v>3041</v>
      </c>
      <c r="F714" t="s">
        <v>3042</v>
      </c>
      <c r="G714" t="s">
        <v>21</v>
      </c>
      <c r="H714" t="s">
        <v>4888</v>
      </c>
      <c r="I714" t="s">
        <v>5012</v>
      </c>
      <c r="J714" s="4" t="s">
        <v>5013</v>
      </c>
      <c r="K714" s="4" t="s">
        <v>4984</v>
      </c>
      <c r="L714" s="4" t="s">
        <v>4987</v>
      </c>
      <c r="M714" s="4" t="s">
        <v>5035</v>
      </c>
      <c r="N714" t="s">
        <v>3043</v>
      </c>
      <c r="O714" t="s">
        <v>3044</v>
      </c>
      <c r="P714" t="s">
        <v>23</v>
      </c>
      <c r="Q714" t="s">
        <v>24</v>
      </c>
      <c r="R714" t="s">
        <v>25</v>
      </c>
      <c r="S714" t="s">
        <v>26</v>
      </c>
      <c r="T714" s="6">
        <v>46307</v>
      </c>
      <c r="U714">
        <v>336</v>
      </c>
      <c r="V714">
        <v>336</v>
      </c>
      <c r="W714">
        <v>360</v>
      </c>
      <c r="X714">
        <v>360</v>
      </c>
      <c r="Y714">
        <f t="shared" si="121"/>
        <v>0</v>
      </c>
      <c r="Z714">
        <f t="shared" si="122"/>
        <v>-24</v>
      </c>
      <c r="AC714" s="1">
        <v>0</v>
      </c>
      <c r="AF714">
        <f t="shared" si="128"/>
        <v>336</v>
      </c>
      <c r="AG714" s="41">
        <v>24</v>
      </c>
      <c r="AH714">
        <f t="shared" si="124"/>
        <v>336</v>
      </c>
      <c r="AI714">
        <f t="shared" si="125"/>
        <v>0</v>
      </c>
      <c r="AK714">
        <f t="shared" si="126"/>
        <v>14</v>
      </c>
      <c r="AL714">
        <v>6.05</v>
      </c>
      <c r="AM714" t="s">
        <v>27</v>
      </c>
      <c r="AN714">
        <v>6.05</v>
      </c>
      <c r="AO714" t="b">
        <f t="shared" si="127"/>
        <v>1</v>
      </c>
      <c r="AR714" t="s">
        <v>5061</v>
      </c>
      <c r="AS714" s="21">
        <v>46276</v>
      </c>
      <c r="AT714" t="s">
        <v>5062</v>
      </c>
      <c r="AU714" t="s">
        <v>5081</v>
      </c>
      <c r="AV714" t="s">
        <v>5062</v>
      </c>
      <c r="AW714" t="s">
        <v>5086</v>
      </c>
    </row>
    <row r="715" spans="1:49" hidden="1" x14ac:dyDescent="0.35">
      <c r="A715" t="s">
        <v>2796</v>
      </c>
      <c r="B715" t="s">
        <v>872</v>
      </c>
      <c r="C715" t="s">
        <v>4818</v>
      </c>
      <c r="D715" t="s">
        <v>18</v>
      </c>
      <c r="E715" t="s">
        <v>3045</v>
      </c>
      <c r="F715" t="s">
        <v>3046</v>
      </c>
      <c r="G715" t="s">
        <v>21</v>
      </c>
      <c r="H715" t="s">
        <v>4888</v>
      </c>
      <c r="I715" t="s">
        <v>5008</v>
      </c>
      <c r="J715" s="4" t="s">
        <v>5009</v>
      </c>
      <c r="K715" s="4" t="s">
        <v>5017</v>
      </c>
      <c r="L715" s="4">
        <v>32</v>
      </c>
      <c r="M715" s="4" t="s">
        <v>5035</v>
      </c>
      <c r="N715" t="s">
        <v>3047</v>
      </c>
      <c r="O715" t="s">
        <v>3048</v>
      </c>
      <c r="P715" t="s">
        <v>23</v>
      </c>
      <c r="Q715" t="s">
        <v>24</v>
      </c>
      <c r="R715" t="s">
        <v>25</v>
      </c>
      <c r="S715" t="s">
        <v>26</v>
      </c>
      <c r="T715" s="6">
        <v>46307</v>
      </c>
      <c r="U715">
        <v>480</v>
      </c>
      <c r="V715">
        <v>480</v>
      </c>
      <c r="W715">
        <v>456</v>
      </c>
      <c r="X715">
        <v>456</v>
      </c>
      <c r="Y715">
        <f t="shared" si="121"/>
        <v>0</v>
      </c>
      <c r="Z715">
        <f t="shared" si="122"/>
        <v>24</v>
      </c>
      <c r="AA715">
        <f>Z715</f>
        <v>24</v>
      </c>
      <c r="AC715" s="1">
        <v>0</v>
      </c>
      <c r="AF715">
        <f>X715</f>
        <v>456</v>
      </c>
      <c r="AG715" s="41">
        <v>24</v>
      </c>
      <c r="AH715">
        <f t="shared" si="124"/>
        <v>456</v>
      </c>
      <c r="AI715">
        <f t="shared" si="125"/>
        <v>24</v>
      </c>
      <c r="AK715">
        <f t="shared" si="126"/>
        <v>19</v>
      </c>
      <c r="AL715">
        <v>10.01</v>
      </c>
      <c r="AM715" t="s">
        <v>27</v>
      </c>
      <c r="AN715">
        <v>10.01</v>
      </c>
      <c r="AO715" t="b">
        <f t="shared" si="127"/>
        <v>1</v>
      </c>
      <c r="AR715" t="s">
        <v>5061</v>
      </c>
      <c r="AS715" s="21">
        <v>46276</v>
      </c>
      <c r="AT715" t="s">
        <v>5062</v>
      </c>
      <c r="AU715" t="s">
        <v>5080</v>
      </c>
      <c r="AV715" t="s">
        <v>5062</v>
      </c>
      <c r="AW715" t="s">
        <v>5086</v>
      </c>
    </row>
    <row r="716" spans="1:49" hidden="1" x14ac:dyDescent="0.35">
      <c r="A716" t="s">
        <v>2796</v>
      </c>
      <c r="B716" t="s">
        <v>872</v>
      </c>
      <c r="C716" t="s">
        <v>4818</v>
      </c>
      <c r="D716" t="s">
        <v>18</v>
      </c>
      <c r="E716" t="s">
        <v>3049</v>
      </c>
      <c r="F716" t="s">
        <v>3050</v>
      </c>
      <c r="G716" t="s">
        <v>21</v>
      </c>
      <c r="H716" t="s">
        <v>4888</v>
      </c>
      <c r="I716" t="s">
        <v>5005</v>
      </c>
      <c r="J716" s="4" t="s">
        <v>5006</v>
      </c>
      <c r="K716" s="4" t="s">
        <v>4899</v>
      </c>
      <c r="L716" s="4">
        <v>33</v>
      </c>
      <c r="M716" s="4" t="s">
        <v>5035</v>
      </c>
      <c r="N716" t="s">
        <v>3051</v>
      </c>
      <c r="O716" t="s">
        <v>3052</v>
      </c>
      <c r="P716" t="s">
        <v>23</v>
      </c>
      <c r="Q716" t="s">
        <v>24</v>
      </c>
      <c r="R716" t="s">
        <v>25</v>
      </c>
      <c r="S716" t="s">
        <v>26</v>
      </c>
      <c r="T716" s="6">
        <v>46307</v>
      </c>
      <c r="U716">
        <v>264</v>
      </c>
      <c r="V716">
        <v>264</v>
      </c>
      <c r="W716">
        <v>288</v>
      </c>
      <c r="X716">
        <v>288</v>
      </c>
      <c r="Y716">
        <f t="shared" si="121"/>
        <v>0</v>
      </c>
      <c r="Z716">
        <f t="shared" si="122"/>
        <v>-24</v>
      </c>
      <c r="AC716" s="1">
        <v>0</v>
      </c>
      <c r="AF716">
        <f t="shared" ref="AF716:AF722" si="129">V716</f>
        <v>264</v>
      </c>
      <c r="AG716" s="41">
        <v>24</v>
      </c>
      <c r="AH716">
        <f t="shared" si="124"/>
        <v>264</v>
      </c>
      <c r="AI716">
        <f t="shared" si="125"/>
        <v>0</v>
      </c>
      <c r="AK716">
        <f t="shared" si="126"/>
        <v>11</v>
      </c>
      <c r="AL716">
        <v>10.14</v>
      </c>
      <c r="AM716" t="s">
        <v>27</v>
      </c>
      <c r="AN716">
        <v>10.14</v>
      </c>
      <c r="AO716" t="b">
        <f t="shared" si="127"/>
        <v>1</v>
      </c>
      <c r="AR716" t="s">
        <v>5061</v>
      </c>
      <c r="AS716" s="21">
        <v>46276</v>
      </c>
      <c r="AT716" t="s">
        <v>5062</v>
      </c>
      <c r="AU716" t="s">
        <v>5079</v>
      </c>
      <c r="AV716" t="s">
        <v>5062</v>
      </c>
      <c r="AW716" t="s">
        <v>5086</v>
      </c>
    </row>
    <row r="717" spans="1:49" hidden="1" x14ac:dyDescent="0.35">
      <c r="A717" t="s">
        <v>2796</v>
      </c>
      <c r="B717" t="s">
        <v>872</v>
      </c>
      <c r="C717" t="s">
        <v>4818</v>
      </c>
      <c r="D717" t="s">
        <v>18</v>
      </c>
      <c r="E717" t="s">
        <v>3053</v>
      </c>
      <c r="F717" t="s">
        <v>3054</v>
      </c>
      <c r="G717" t="s">
        <v>21</v>
      </c>
      <c r="H717" t="s">
        <v>4888</v>
      </c>
      <c r="I717" t="s">
        <v>5003</v>
      </c>
      <c r="J717" s="4" t="s">
        <v>5004</v>
      </c>
      <c r="K717" s="4" t="s">
        <v>4837</v>
      </c>
      <c r="L717" s="4" t="s">
        <v>4875</v>
      </c>
      <c r="M717" s="4" t="s">
        <v>5035</v>
      </c>
      <c r="N717" t="s">
        <v>3055</v>
      </c>
      <c r="O717" t="s">
        <v>3056</v>
      </c>
      <c r="P717" t="s">
        <v>23</v>
      </c>
      <c r="Q717" t="s">
        <v>24</v>
      </c>
      <c r="R717" t="s">
        <v>25</v>
      </c>
      <c r="S717" t="s">
        <v>26</v>
      </c>
      <c r="T717" s="6">
        <v>46307</v>
      </c>
      <c r="U717">
        <v>48</v>
      </c>
      <c r="V717">
        <v>48</v>
      </c>
      <c r="W717">
        <v>48</v>
      </c>
      <c r="X717">
        <v>48</v>
      </c>
      <c r="Y717">
        <f t="shared" si="121"/>
        <v>0</v>
      </c>
      <c r="Z717">
        <f t="shared" si="122"/>
        <v>0</v>
      </c>
      <c r="AC717" s="1">
        <v>0</v>
      </c>
      <c r="AF717">
        <f t="shared" si="129"/>
        <v>48</v>
      </c>
      <c r="AG717" s="41">
        <v>12</v>
      </c>
      <c r="AH717">
        <f t="shared" si="124"/>
        <v>48</v>
      </c>
      <c r="AI717">
        <f t="shared" si="125"/>
        <v>0</v>
      </c>
      <c r="AK717">
        <f t="shared" si="126"/>
        <v>4</v>
      </c>
      <c r="AL717">
        <v>12.87</v>
      </c>
      <c r="AM717" t="s">
        <v>27</v>
      </c>
      <c r="AN717">
        <v>12.87</v>
      </c>
      <c r="AO717" t="b">
        <f t="shared" si="127"/>
        <v>1</v>
      </c>
      <c r="AR717" t="s">
        <v>5061</v>
      </c>
      <c r="AS717" s="21">
        <v>46276</v>
      </c>
      <c r="AT717" t="s">
        <v>5062</v>
      </c>
      <c r="AU717" t="s">
        <v>5078</v>
      </c>
      <c r="AV717" t="s">
        <v>5062</v>
      </c>
      <c r="AW717" t="s">
        <v>5086</v>
      </c>
    </row>
    <row r="718" spans="1:49" hidden="1" x14ac:dyDescent="0.35">
      <c r="A718" t="s">
        <v>2796</v>
      </c>
      <c r="B718" t="s">
        <v>872</v>
      </c>
      <c r="C718" t="s">
        <v>4818</v>
      </c>
      <c r="D718" t="s">
        <v>18</v>
      </c>
      <c r="E718" t="s">
        <v>3057</v>
      </c>
      <c r="F718" t="s">
        <v>3058</v>
      </c>
      <c r="G718" t="s">
        <v>21</v>
      </c>
      <c r="H718" t="s">
        <v>4888</v>
      </c>
      <c r="I718" t="s">
        <v>5025</v>
      </c>
      <c r="J718" s="4" t="s">
        <v>5026</v>
      </c>
      <c r="K718" s="4" t="s">
        <v>5020</v>
      </c>
      <c r="L718" s="4" t="s">
        <v>5014</v>
      </c>
      <c r="M718" s="4" t="s">
        <v>5035</v>
      </c>
      <c r="N718" t="s">
        <v>3059</v>
      </c>
      <c r="O718" t="s">
        <v>3060</v>
      </c>
      <c r="P718" t="s">
        <v>23</v>
      </c>
      <c r="Q718" t="s">
        <v>24</v>
      </c>
      <c r="R718" t="s">
        <v>25</v>
      </c>
      <c r="S718" t="s">
        <v>26</v>
      </c>
      <c r="T718" s="6">
        <v>46307</v>
      </c>
      <c r="U718">
        <v>312</v>
      </c>
      <c r="V718">
        <v>312</v>
      </c>
      <c r="W718">
        <v>336</v>
      </c>
      <c r="X718">
        <v>336</v>
      </c>
      <c r="Y718">
        <f t="shared" si="121"/>
        <v>0</v>
      </c>
      <c r="Z718">
        <f t="shared" si="122"/>
        <v>-24</v>
      </c>
      <c r="AC718" s="1"/>
      <c r="AF718">
        <f t="shared" si="129"/>
        <v>312</v>
      </c>
      <c r="AG718" s="41">
        <v>24</v>
      </c>
      <c r="AH718">
        <f t="shared" si="124"/>
        <v>312</v>
      </c>
      <c r="AI718">
        <f t="shared" si="125"/>
        <v>0</v>
      </c>
      <c r="AK718">
        <f t="shared" si="126"/>
        <v>13</v>
      </c>
      <c r="AL718">
        <v>6.2</v>
      </c>
      <c r="AM718" t="s">
        <v>27</v>
      </c>
      <c r="AN718">
        <v>6.2</v>
      </c>
      <c r="AO718" t="b">
        <f t="shared" si="127"/>
        <v>1</v>
      </c>
      <c r="AR718" t="s">
        <v>5061</v>
      </c>
      <c r="AS718" s="21">
        <v>46276</v>
      </c>
      <c r="AT718" t="s">
        <v>5062</v>
      </c>
      <c r="AU718" t="s">
        <v>5082</v>
      </c>
      <c r="AV718" t="s">
        <v>5062</v>
      </c>
      <c r="AW718" t="s">
        <v>5086</v>
      </c>
    </row>
    <row r="719" spans="1:49" hidden="1" x14ac:dyDescent="0.35">
      <c r="A719" t="s">
        <v>2796</v>
      </c>
      <c r="B719" t="s">
        <v>872</v>
      </c>
      <c r="C719" t="s">
        <v>4818</v>
      </c>
      <c r="D719" t="s">
        <v>18</v>
      </c>
      <c r="E719" t="s">
        <v>3061</v>
      </c>
      <c r="F719" t="s">
        <v>3062</v>
      </c>
      <c r="G719" t="s">
        <v>21</v>
      </c>
      <c r="H719" t="s">
        <v>4888</v>
      </c>
      <c r="I719" t="s">
        <v>5003</v>
      </c>
      <c r="J719" s="4" t="s">
        <v>5004</v>
      </c>
      <c r="K719" s="4" t="s">
        <v>5015</v>
      </c>
      <c r="L719" s="4" t="s">
        <v>4870</v>
      </c>
      <c r="M719" s="4" t="s">
        <v>5035</v>
      </c>
      <c r="N719" t="s">
        <v>3063</v>
      </c>
      <c r="O719" t="s">
        <v>3064</v>
      </c>
      <c r="P719" t="s">
        <v>23</v>
      </c>
      <c r="Q719" t="s">
        <v>24</v>
      </c>
      <c r="R719" t="s">
        <v>25</v>
      </c>
      <c r="S719" t="s">
        <v>26</v>
      </c>
      <c r="T719" s="6">
        <v>46307</v>
      </c>
      <c r="U719">
        <v>24</v>
      </c>
      <c r="V719">
        <v>24</v>
      </c>
      <c r="W719">
        <v>24</v>
      </c>
      <c r="X719">
        <v>24</v>
      </c>
      <c r="Y719">
        <f t="shared" si="121"/>
        <v>0</v>
      </c>
      <c r="Z719">
        <f t="shared" si="122"/>
        <v>0</v>
      </c>
      <c r="AC719" s="1">
        <v>0</v>
      </c>
      <c r="AF719">
        <f t="shared" si="129"/>
        <v>24</v>
      </c>
      <c r="AG719" s="41">
        <v>12</v>
      </c>
      <c r="AH719">
        <f t="shared" si="124"/>
        <v>24</v>
      </c>
      <c r="AI719">
        <f t="shared" si="125"/>
        <v>0</v>
      </c>
      <c r="AK719">
        <f t="shared" si="126"/>
        <v>2</v>
      </c>
      <c r="AL719">
        <v>13.01</v>
      </c>
      <c r="AM719" t="s">
        <v>27</v>
      </c>
      <c r="AN719">
        <v>13.01</v>
      </c>
      <c r="AO719" t="b">
        <f t="shared" si="127"/>
        <v>1</v>
      </c>
      <c r="AR719" t="s">
        <v>5061</v>
      </c>
      <c r="AS719" s="21">
        <v>46276</v>
      </c>
      <c r="AT719" t="s">
        <v>5062</v>
      </c>
      <c r="AU719" t="s">
        <v>5078</v>
      </c>
      <c r="AV719" t="s">
        <v>5062</v>
      </c>
      <c r="AW719" t="s">
        <v>5086</v>
      </c>
    </row>
    <row r="720" spans="1:49" hidden="1" x14ac:dyDescent="0.35">
      <c r="A720" t="s">
        <v>2796</v>
      </c>
      <c r="B720" t="s">
        <v>872</v>
      </c>
      <c r="C720" t="s">
        <v>4818</v>
      </c>
      <c r="D720" t="s">
        <v>18</v>
      </c>
      <c r="E720" t="s">
        <v>3065</v>
      </c>
      <c r="F720" t="s">
        <v>3066</v>
      </c>
      <c r="G720" t="s">
        <v>21</v>
      </c>
      <c r="H720" t="s">
        <v>4888</v>
      </c>
      <c r="I720" t="s">
        <v>5008</v>
      </c>
      <c r="J720" s="4" t="s">
        <v>5009</v>
      </c>
      <c r="K720" s="4" t="s">
        <v>4904</v>
      </c>
      <c r="L720" s="4">
        <v>28</v>
      </c>
      <c r="M720" s="4" t="s">
        <v>5035</v>
      </c>
      <c r="N720" t="s">
        <v>3067</v>
      </c>
      <c r="O720" t="s">
        <v>3068</v>
      </c>
      <c r="P720" t="s">
        <v>23</v>
      </c>
      <c r="Q720" t="s">
        <v>24</v>
      </c>
      <c r="R720" t="s">
        <v>25</v>
      </c>
      <c r="S720" t="s">
        <v>26</v>
      </c>
      <c r="T720" s="6">
        <v>46307</v>
      </c>
      <c r="U720">
        <v>48</v>
      </c>
      <c r="V720">
        <v>48</v>
      </c>
      <c r="W720">
        <v>48</v>
      </c>
      <c r="X720">
        <v>48</v>
      </c>
      <c r="Y720">
        <f t="shared" si="121"/>
        <v>0</v>
      </c>
      <c r="Z720">
        <f t="shared" si="122"/>
        <v>0</v>
      </c>
      <c r="AC720" s="1"/>
      <c r="AF720">
        <f t="shared" si="129"/>
        <v>48</v>
      </c>
      <c r="AG720" s="41">
        <v>24</v>
      </c>
      <c r="AH720">
        <f t="shared" si="124"/>
        <v>48</v>
      </c>
      <c r="AI720">
        <f t="shared" si="125"/>
        <v>0</v>
      </c>
      <c r="AK720">
        <f t="shared" si="126"/>
        <v>2</v>
      </c>
      <c r="AL720">
        <v>10.11</v>
      </c>
      <c r="AM720" t="s">
        <v>27</v>
      </c>
      <c r="AN720">
        <v>10.11</v>
      </c>
      <c r="AO720" t="b">
        <f t="shared" si="127"/>
        <v>1</v>
      </c>
      <c r="AR720" t="s">
        <v>5061</v>
      </c>
      <c r="AS720" s="21">
        <v>46276</v>
      </c>
      <c r="AT720" t="s">
        <v>5062</v>
      </c>
      <c r="AU720" t="s">
        <v>5080</v>
      </c>
      <c r="AV720" t="s">
        <v>5062</v>
      </c>
      <c r="AW720" t="s">
        <v>5086</v>
      </c>
    </row>
    <row r="721" spans="1:49" hidden="1" x14ac:dyDescent="0.35">
      <c r="A721" t="s">
        <v>2796</v>
      </c>
      <c r="B721" t="s">
        <v>872</v>
      </c>
      <c r="C721" t="s">
        <v>4818</v>
      </c>
      <c r="D721" t="s">
        <v>18</v>
      </c>
      <c r="E721" t="s">
        <v>3069</v>
      </c>
      <c r="F721" t="s">
        <v>3070</v>
      </c>
      <c r="G721" t="s">
        <v>21</v>
      </c>
      <c r="H721" t="s">
        <v>4888</v>
      </c>
      <c r="I721" t="s">
        <v>5003</v>
      </c>
      <c r="J721" s="4" t="s">
        <v>5004</v>
      </c>
      <c r="K721" s="4" t="s">
        <v>4904</v>
      </c>
      <c r="L721" s="4" t="s">
        <v>4930</v>
      </c>
      <c r="M721" s="4" t="s">
        <v>5035</v>
      </c>
      <c r="N721" t="s">
        <v>3071</v>
      </c>
      <c r="O721" t="s">
        <v>3072</v>
      </c>
      <c r="P721" t="s">
        <v>23</v>
      </c>
      <c r="Q721" t="s">
        <v>24</v>
      </c>
      <c r="R721" t="s">
        <v>25</v>
      </c>
      <c r="S721" t="s">
        <v>26</v>
      </c>
      <c r="T721" s="6">
        <v>46307</v>
      </c>
      <c r="U721">
        <v>24</v>
      </c>
      <c r="V721">
        <v>24</v>
      </c>
      <c r="W721">
        <v>24</v>
      </c>
      <c r="X721">
        <v>24</v>
      </c>
      <c r="Y721">
        <f t="shared" si="121"/>
        <v>0</v>
      </c>
      <c r="Z721">
        <f t="shared" si="122"/>
        <v>0</v>
      </c>
      <c r="AC721" s="1">
        <v>0</v>
      </c>
      <c r="AF721">
        <f t="shared" si="129"/>
        <v>24</v>
      </c>
      <c r="AG721" s="41">
        <v>12</v>
      </c>
      <c r="AH721">
        <f t="shared" si="124"/>
        <v>24</v>
      </c>
      <c r="AI721">
        <f t="shared" si="125"/>
        <v>0</v>
      </c>
      <c r="AK721">
        <f t="shared" si="126"/>
        <v>2</v>
      </c>
      <c r="AL721">
        <v>12.89</v>
      </c>
      <c r="AM721" t="s">
        <v>27</v>
      </c>
      <c r="AN721">
        <v>12.89</v>
      </c>
      <c r="AO721" t="b">
        <f t="shared" si="127"/>
        <v>1</v>
      </c>
      <c r="AR721" t="s">
        <v>5061</v>
      </c>
      <c r="AS721" s="21">
        <v>46276</v>
      </c>
      <c r="AT721" t="s">
        <v>5062</v>
      </c>
      <c r="AU721" t="s">
        <v>5078</v>
      </c>
      <c r="AV721" t="s">
        <v>5062</v>
      </c>
      <c r="AW721" t="s">
        <v>5086</v>
      </c>
    </row>
    <row r="722" spans="1:49" hidden="1" x14ac:dyDescent="0.35">
      <c r="A722" t="s">
        <v>2796</v>
      </c>
      <c r="B722" t="s">
        <v>872</v>
      </c>
      <c r="C722" t="s">
        <v>4818</v>
      </c>
      <c r="D722" t="s">
        <v>18</v>
      </c>
      <c r="E722" t="s">
        <v>3073</v>
      </c>
      <c r="F722" t="s">
        <v>3074</v>
      </c>
      <c r="G722" t="s">
        <v>21</v>
      </c>
      <c r="H722" t="s">
        <v>4888</v>
      </c>
      <c r="I722" t="s">
        <v>5003</v>
      </c>
      <c r="J722" s="4" t="s">
        <v>5004</v>
      </c>
      <c r="K722" s="4" t="s">
        <v>5016</v>
      </c>
      <c r="L722" s="4" t="s">
        <v>4873</v>
      </c>
      <c r="M722" s="4" t="s">
        <v>5035</v>
      </c>
      <c r="N722" t="s">
        <v>3075</v>
      </c>
      <c r="O722" t="s">
        <v>3076</v>
      </c>
      <c r="P722" t="s">
        <v>23</v>
      </c>
      <c r="Q722" t="s">
        <v>24</v>
      </c>
      <c r="R722" t="s">
        <v>25</v>
      </c>
      <c r="S722" t="s">
        <v>26</v>
      </c>
      <c r="T722" s="6">
        <v>46307</v>
      </c>
      <c r="U722">
        <v>36</v>
      </c>
      <c r="V722">
        <v>36</v>
      </c>
      <c r="W722">
        <v>36</v>
      </c>
      <c r="X722">
        <v>36</v>
      </c>
      <c r="Y722">
        <f t="shared" si="121"/>
        <v>0</v>
      </c>
      <c r="Z722">
        <f t="shared" si="122"/>
        <v>0</v>
      </c>
      <c r="AC722" s="1">
        <v>0</v>
      </c>
      <c r="AF722">
        <f t="shared" si="129"/>
        <v>36</v>
      </c>
      <c r="AG722" s="41">
        <v>12</v>
      </c>
      <c r="AH722">
        <f t="shared" si="124"/>
        <v>36</v>
      </c>
      <c r="AI722">
        <f t="shared" si="125"/>
        <v>0</v>
      </c>
      <c r="AK722">
        <f t="shared" si="126"/>
        <v>3</v>
      </c>
      <c r="AL722">
        <v>13.33</v>
      </c>
      <c r="AM722" t="s">
        <v>27</v>
      </c>
      <c r="AN722">
        <v>13.33</v>
      </c>
      <c r="AO722" t="b">
        <f t="shared" si="127"/>
        <v>1</v>
      </c>
      <c r="AR722" t="s">
        <v>5061</v>
      </c>
      <c r="AS722" s="21">
        <v>46276</v>
      </c>
      <c r="AT722" t="s">
        <v>5062</v>
      </c>
      <c r="AU722" t="s">
        <v>5078</v>
      </c>
      <c r="AV722" t="s">
        <v>5062</v>
      </c>
      <c r="AW722" t="s">
        <v>5086</v>
      </c>
    </row>
    <row r="723" spans="1:49" hidden="1" x14ac:dyDescent="0.35">
      <c r="A723" t="s">
        <v>2796</v>
      </c>
      <c r="B723" t="s">
        <v>872</v>
      </c>
      <c r="C723" t="s">
        <v>4818</v>
      </c>
      <c r="D723" t="s">
        <v>18</v>
      </c>
      <c r="E723" t="s">
        <v>3077</v>
      </c>
      <c r="F723" t="s">
        <v>3078</v>
      </c>
      <c r="G723" t="s">
        <v>21</v>
      </c>
      <c r="H723" t="s">
        <v>4888</v>
      </c>
      <c r="I723" t="s">
        <v>5003</v>
      </c>
      <c r="J723" s="4" t="s">
        <v>5004</v>
      </c>
      <c r="K723" s="4" t="s">
        <v>5015</v>
      </c>
      <c r="L723" s="4" t="s">
        <v>4928</v>
      </c>
      <c r="M723" s="4" t="s">
        <v>5035</v>
      </c>
      <c r="N723" t="s">
        <v>3079</v>
      </c>
      <c r="O723" t="s">
        <v>3080</v>
      </c>
      <c r="P723" t="s">
        <v>23</v>
      </c>
      <c r="Q723" t="s">
        <v>24</v>
      </c>
      <c r="R723" t="s">
        <v>25</v>
      </c>
      <c r="S723" t="s">
        <v>26</v>
      </c>
      <c r="T723" s="6">
        <v>46307</v>
      </c>
      <c r="U723">
        <v>36</v>
      </c>
      <c r="V723">
        <v>36</v>
      </c>
      <c r="W723">
        <v>24</v>
      </c>
      <c r="X723">
        <v>24</v>
      </c>
      <c r="Y723">
        <f t="shared" si="121"/>
        <v>0</v>
      </c>
      <c r="Z723">
        <f t="shared" si="122"/>
        <v>12</v>
      </c>
      <c r="AA723">
        <f>Z723</f>
        <v>12</v>
      </c>
      <c r="AC723" s="1">
        <v>0</v>
      </c>
      <c r="AF723">
        <f>X723</f>
        <v>24</v>
      </c>
      <c r="AG723" s="41">
        <v>12</v>
      </c>
      <c r="AH723">
        <f t="shared" si="124"/>
        <v>24</v>
      </c>
      <c r="AI723">
        <f t="shared" si="125"/>
        <v>12</v>
      </c>
      <c r="AK723">
        <f t="shared" si="126"/>
        <v>2</v>
      </c>
      <c r="AL723">
        <v>13.01</v>
      </c>
      <c r="AM723" t="s">
        <v>27</v>
      </c>
      <c r="AN723">
        <v>13.01</v>
      </c>
      <c r="AO723" t="b">
        <f t="shared" si="127"/>
        <v>1</v>
      </c>
      <c r="AR723" t="s">
        <v>5061</v>
      </c>
      <c r="AS723" s="21">
        <v>46276</v>
      </c>
      <c r="AT723" t="s">
        <v>5062</v>
      </c>
      <c r="AU723" t="s">
        <v>5078</v>
      </c>
      <c r="AV723" t="s">
        <v>5062</v>
      </c>
      <c r="AW723" t="s">
        <v>5086</v>
      </c>
    </row>
    <row r="724" spans="1:49" hidden="1" x14ac:dyDescent="0.35">
      <c r="A724" t="s">
        <v>2796</v>
      </c>
      <c r="B724" t="s">
        <v>872</v>
      </c>
      <c r="C724" t="s">
        <v>4818</v>
      </c>
      <c r="D724" t="s">
        <v>18</v>
      </c>
      <c r="E724" t="s">
        <v>3081</v>
      </c>
      <c r="F724" t="s">
        <v>3082</v>
      </c>
      <c r="G724" t="s">
        <v>21</v>
      </c>
      <c r="H724" t="s">
        <v>4888</v>
      </c>
      <c r="I724" t="s">
        <v>5003</v>
      </c>
      <c r="J724" s="4" t="s">
        <v>5004</v>
      </c>
      <c r="K724" s="4" t="s">
        <v>4904</v>
      </c>
      <c r="L724" s="4" t="s">
        <v>4910</v>
      </c>
      <c r="M724" s="4" t="s">
        <v>5035</v>
      </c>
      <c r="N724" t="s">
        <v>3083</v>
      </c>
      <c r="O724" t="s">
        <v>3084</v>
      </c>
      <c r="P724" t="s">
        <v>23</v>
      </c>
      <c r="Q724" t="s">
        <v>24</v>
      </c>
      <c r="R724" t="s">
        <v>25</v>
      </c>
      <c r="S724" t="s">
        <v>26</v>
      </c>
      <c r="T724" s="6">
        <v>46307</v>
      </c>
      <c r="U724">
        <v>60</v>
      </c>
      <c r="V724">
        <v>60</v>
      </c>
      <c r="W724">
        <v>60</v>
      </c>
      <c r="X724">
        <v>60</v>
      </c>
      <c r="Y724">
        <f t="shared" si="121"/>
        <v>0</v>
      </c>
      <c r="Z724">
        <f t="shared" si="122"/>
        <v>0</v>
      </c>
      <c r="AC724" s="1">
        <v>0</v>
      </c>
      <c r="AF724">
        <f>V724</f>
        <v>60</v>
      </c>
      <c r="AG724" s="41">
        <v>12</v>
      </c>
      <c r="AH724">
        <f t="shared" si="124"/>
        <v>60</v>
      </c>
      <c r="AI724">
        <f t="shared" si="125"/>
        <v>0</v>
      </c>
      <c r="AK724">
        <f t="shared" si="126"/>
        <v>5</v>
      </c>
      <c r="AL724">
        <v>12.89</v>
      </c>
      <c r="AM724" t="s">
        <v>27</v>
      </c>
      <c r="AN724">
        <v>12.89</v>
      </c>
      <c r="AO724" t="b">
        <f t="shared" si="127"/>
        <v>1</v>
      </c>
      <c r="AR724" t="s">
        <v>5061</v>
      </c>
      <c r="AS724" s="21">
        <v>46276</v>
      </c>
      <c r="AT724" t="s">
        <v>5062</v>
      </c>
      <c r="AU724" t="s">
        <v>5078</v>
      </c>
      <c r="AV724" t="s">
        <v>5062</v>
      </c>
      <c r="AW724" t="s">
        <v>5086</v>
      </c>
    </row>
    <row r="725" spans="1:49" hidden="1" x14ac:dyDescent="0.35">
      <c r="A725" t="s">
        <v>2796</v>
      </c>
      <c r="B725" t="s">
        <v>872</v>
      </c>
      <c r="C725" t="s">
        <v>4818</v>
      </c>
      <c r="D725" t="s">
        <v>18</v>
      </c>
      <c r="E725" t="s">
        <v>3085</v>
      </c>
      <c r="F725" t="s">
        <v>3086</v>
      </c>
      <c r="G725" t="s">
        <v>21</v>
      </c>
      <c r="H725" t="s">
        <v>4888</v>
      </c>
      <c r="I725" t="s">
        <v>5003</v>
      </c>
      <c r="J725" s="4" t="s">
        <v>5004</v>
      </c>
      <c r="K725" s="4" t="s">
        <v>5015</v>
      </c>
      <c r="L725" s="4" t="s">
        <v>4920</v>
      </c>
      <c r="M725" s="4" t="s">
        <v>5035</v>
      </c>
      <c r="N725" t="s">
        <v>3087</v>
      </c>
      <c r="O725" t="s">
        <v>3088</v>
      </c>
      <c r="P725" t="s">
        <v>23</v>
      </c>
      <c r="Q725" t="s">
        <v>24</v>
      </c>
      <c r="R725" t="s">
        <v>25</v>
      </c>
      <c r="S725" t="s">
        <v>26</v>
      </c>
      <c r="T725" s="6">
        <v>46307</v>
      </c>
      <c r="U725">
        <v>48</v>
      </c>
      <c r="V725">
        <v>48</v>
      </c>
      <c r="W725">
        <v>36</v>
      </c>
      <c r="X725">
        <v>36</v>
      </c>
      <c r="Y725">
        <f t="shared" si="121"/>
        <v>0</v>
      </c>
      <c r="Z725">
        <f t="shared" si="122"/>
        <v>12</v>
      </c>
      <c r="AA725">
        <f>Z725</f>
        <v>12</v>
      </c>
      <c r="AC725" s="1">
        <v>0</v>
      </c>
      <c r="AF725">
        <f>X725</f>
        <v>36</v>
      </c>
      <c r="AG725" s="41">
        <v>12</v>
      </c>
      <c r="AH725">
        <f t="shared" si="124"/>
        <v>36</v>
      </c>
      <c r="AI725">
        <f t="shared" si="125"/>
        <v>12</v>
      </c>
      <c r="AK725">
        <f t="shared" si="126"/>
        <v>3</v>
      </c>
      <c r="AL725">
        <v>13.01</v>
      </c>
      <c r="AM725" t="s">
        <v>27</v>
      </c>
      <c r="AN725">
        <v>13.01</v>
      </c>
      <c r="AO725" t="b">
        <f t="shared" si="127"/>
        <v>1</v>
      </c>
      <c r="AR725" t="s">
        <v>5061</v>
      </c>
      <c r="AS725" s="21">
        <v>46276</v>
      </c>
      <c r="AT725" t="s">
        <v>5062</v>
      </c>
      <c r="AU725" t="s">
        <v>5078</v>
      </c>
      <c r="AV725" t="s">
        <v>5062</v>
      </c>
      <c r="AW725" t="s">
        <v>5086</v>
      </c>
    </row>
    <row r="726" spans="1:49" hidden="1" x14ac:dyDescent="0.35">
      <c r="A726" t="s">
        <v>2796</v>
      </c>
      <c r="B726" t="s">
        <v>872</v>
      </c>
      <c r="C726" t="s">
        <v>4818</v>
      </c>
      <c r="D726" t="s">
        <v>18</v>
      </c>
      <c r="E726" t="s">
        <v>3089</v>
      </c>
      <c r="F726" t="s">
        <v>3090</v>
      </c>
      <c r="G726" t="s">
        <v>21</v>
      </c>
      <c r="H726" t="s">
        <v>4888</v>
      </c>
      <c r="I726" t="s">
        <v>5008</v>
      </c>
      <c r="J726" s="4" t="s">
        <v>5009</v>
      </c>
      <c r="K726" s="4" t="s">
        <v>5017</v>
      </c>
      <c r="L726" s="4">
        <v>42</v>
      </c>
      <c r="M726" s="4" t="s">
        <v>5035</v>
      </c>
      <c r="N726" t="s">
        <v>3091</v>
      </c>
      <c r="O726" t="s">
        <v>3092</v>
      </c>
      <c r="P726" t="s">
        <v>23</v>
      </c>
      <c r="Q726" t="s">
        <v>24</v>
      </c>
      <c r="R726" t="s">
        <v>25</v>
      </c>
      <c r="S726" t="s">
        <v>26</v>
      </c>
      <c r="T726" s="6">
        <v>46307</v>
      </c>
      <c r="U726">
        <v>504</v>
      </c>
      <c r="V726">
        <v>504</v>
      </c>
      <c r="W726">
        <v>552</v>
      </c>
      <c r="X726">
        <v>552</v>
      </c>
      <c r="Y726">
        <f t="shared" si="121"/>
        <v>0</v>
      </c>
      <c r="Z726">
        <f t="shared" si="122"/>
        <v>-48</v>
      </c>
      <c r="AC726" s="1">
        <v>0</v>
      </c>
      <c r="AF726">
        <f t="shared" ref="AF726:AF733" si="130">V726</f>
        <v>504</v>
      </c>
      <c r="AG726" s="41">
        <v>24</v>
      </c>
      <c r="AH726">
        <f t="shared" si="124"/>
        <v>504</v>
      </c>
      <c r="AI726">
        <f t="shared" si="125"/>
        <v>0</v>
      </c>
      <c r="AK726">
        <f t="shared" si="126"/>
        <v>21</v>
      </c>
      <c r="AL726">
        <v>10.01</v>
      </c>
      <c r="AM726" t="s">
        <v>27</v>
      </c>
      <c r="AN726">
        <v>10.01</v>
      </c>
      <c r="AO726" t="b">
        <f t="shared" si="127"/>
        <v>1</v>
      </c>
      <c r="AR726" t="s">
        <v>5061</v>
      </c>
      <c r="AS726" s="21">
        <v>46276</v>
      </c>
      <c r="AT726" t="s">
        <v>5062</v>
      </c>
      <c r="AU726" t="s">
        <v>5080</v>
      </c>
      <c r="AV726" t="s">
        <v>5062</v>
      </c>
      <c r="AW726" t="s">
        <v>5086</v>
      </c>
    </row>
    <row r="727" spans="1:49" hidden="1" x14ac:dyDescent="0.35">
      <c r="A727" t="s">
        <v>2796</v>
      </c>
      <c r="B727" t="s">
        <v>872</v>
      </c>
      <c r="C727" t="s">
        <v>4818</v>
      </c>
      <c r="D727" t="s">
        <v>18</v>
      </c>
      <c r="E727" t="s">
        <v>3093</v>
      </c>
      <c r="F727" t="s">
        <v>3094</v>
      </c>
      <c r="G727" t="s">
        <v>21</v>
      </c>
      <c r="H727" t="s">
        <v>4888</v>
      </c>
      <c r="I727" t="s">
        <v>5003</v>
      </c>
      <c r="J727" s="4" t="s">
        <v>5004</v>
      </c>
      <c r="K727" s="4" t="s">
        <v>4904</v>
      </c>
      <c r="L727" s="4" t="s">
        <v>4879</v>
      </c>
      <c r="M727" s="4" t="s">
        <v>5035</v>
      </c>
      <c r="N727" t="s">
        <v>3095</v>
      </c>
      <c r="O727" t="s">
        <v>3096</v>
      </c>
      <c r="P727" t="s">
        <v>23</v>
      </c>
      <c r="Q727" t="s">
        <v>24</v>
      </c>
      <c r="R727" t="s">
        <v>25</v>
      </c>
      <c r="S727" t="s">
        <v>26</v>
      </c>
      <c r="T727" s="6">
        <v>46307</v>
      </c>
      <c r="U727">
        <v>72</v>
      </c>
      <c r="V727">
        <v>72</v>
      </c>
      <c r="W727">
        <v>84</v>
      </c>
      <c r="X727">
        <v>84</v>
      </c>
      <c r="Y727">
        <f t="shared" si="121"/>
        <v>0</v>
      </c>
      <c r="Z727">
        <f t="shared" si="122"/>
        <v>-12</v>
      </c>
      <c r="AC727" s="1">
        <v>0</v>
      </c>
      <c r="AF727">
        <f t="shared" si="130"/>
        <v>72</v>
      </c>
      <c r="AG727" s="41">
        <v>12</v>
      </c>
      <c r="AH727">
        <f t="shared" si="124"/>
        <v>72</v>
      </c>
      <c r="AI727">
        <f t="shared" si="125"/>
        <v>0</v>
      </c>
      <c r="AK727">
        <f t="shared" si="126"/>
        <v>6</v>
      </c>
      <c r="AL727">
        <v>12.89</v>
      </c>
      <c r="AM727" t="s">
        <v>27</v>
      </c>
      <c r="AN727">
        <v>12.89</v>
      </c>
      <c r="AO727" t="b">
        <f t="shared" si="127"/>
        <v>1</v>
      </c>
      <c r="AR727" t="s">
        <v>5061</v>
      </c>
      <c r="AS727" s="21">
        <v>46276</v>
      </c>
      <c r="AT727" t="s">
        <v>5062</v>
      </c>
      <c r="AU727" t="s">
        <v>5078</v>
      </c>
      <c r="AV727" t="s">
        <v>5062</v>
      </c>
      <c r="AW727" t="s">
        <v>5086</v>
      </c>
    </row>
    <row r="728" spans="1:49" hidden="1" x14ac:dyDescent="0.35">
      <c r="A728" t="s">
        <v>2796</v>
      </c>
      <c r="B728" t="s">
        <v>872</v>
      </c>
      <c r="C728" t="s">
        <v>4818</v>
      </c>
      <c r="D728" t="s">
        <v>18</v>
      </c>
      <c r="E728" t="s">
        <v>3097</v>
      </c>
      <c r="F728" t="s">
        <v>3098</v>
      </c>
      <c r="G728" t="s">
        <v>21</v>
      </c>
      <c r="H728" t="s">
        <v>4888</v>
      </c>
      <c r="I728" t="s">
        <v>5003</v>
      </c>
      <c r="J728" s="4" t="s">
        <v>5004</v>
      </c>
      <c r="K728" s="4" t="s">
        <v>5016</v>
      </c>
      <c r="L728" s="4" t="s">
        <v>4919</v>
      </c>
      <c r="M728" s="4" t="s">
        <v>5035</v>
      </c>
      <c r="N728" t="s">
        <v>3099</v>
      </c>
      <c r="O728" t="s">
        <v>3100</v>
      </c>
      <c r="P728" t="s">
        <v>23</v>
      </c>
      <c r="Q728" t="s">
        <v>24</v>
      </c>
      <c r="R728" t="s">
        <v>25</v>
      </c>
      <c r="S728" t="s">
        <v>26</v>
      </c>
      <c r="T728" s="6">
        <v>46307</v>
      </c>
      <c r="U728">
        <v>48</v>
      </c>
      <c r="V728">
        <v>48</v>
      </c>
      <c r="W728">
        <v>48</v>
      </c>
      <c r="X728">
        <v>48</v>
      </c>
      <c r="Y728">
        <f t="shared" si="121"/>
        <v>0</v>
      </c>
      <c r="Z728">
        <f t="shared" si="122"/>
        <v>0</v>
      </c>
      <c r="AC728" s="1">
        <v>0</v>
      </c>
      <c r="AF728">
        <f t="shared" si="130"/>
        <v>48</v>
      </c>
      <c r="AG728" s="41">
        <v>12</v>
      </c>
      <c r="AH728">
        <f t="shared" si="124"/>
        <v>48</v>
      </c>
      <c r="AI728">
        <f t="shared" si="125"/>
        <v>0</v>
      </c>
      <c r="AK728">
        <f t="shared" si="126"/>
        <v>4</v>
      </c>
      <c r="AL728">
        <v>13.33</v>
      </c>
      <c r="AM728" t="s">
        <v>27</v>
      </c>
      <c r="AN728">
        <v>13.33</v>
      </c>
      <c r="AO728" t="b">
        <f t="shared" si="127"/>
        <v>1</v>
      </c>
      <c r="AR728" t="s">
        <v>5061</v>
      </c>
      <c r="AS728" s="21">
        <v>46276</v>
      </c>
      <c r="AT728" t="s">
        <v>5062</v>
      </c>
      <c r="AU728" t="s">
        <v>5078</v>
      </c>
      <c r="AV728" t="s">
        <v>5062</v>
      </c>
      <c r="AW728" t="s">
        <v>5086</v>
      </c>
    </row>
    <row r="729" spans="1:49" hidden="1" x14ac:dyDescent="0.35">
      <c r="A729" t="s">
        <v>2796</v>
      </c>
      <c r="B729" t="s">
        <v>872</v>
      </c>
      <c r="C729" t="s">
        <v>4818</v>
      </c>
      <c r="D729" t="s">
        <v>18</v>
      </c>
      <c r="E729" t="s">
        <v>3101</v>
      </c>
      <c r="F729" t="s">
        <v>3102</v>
      </c>
      <c r="G729" t="s">
        <v>21</v>
      </c>
      <c r="H729" t="s">
        <v>4888</v>
      </c>
      <c r="I729" t="s">
        <v>5003</v>
      </c>
      <c r="J729" s="4" t="s">
        <v>5004</v>
      </c>
      <c r="K729" s="4" t="s">
        <v>4904</v>
      </c>
      <c r="L729" s="4" t="s">
        <v>4898</v>
      </c>
      <c r="M729" s="4" t="s">
        <v>5035</v>
      </c>
      <c r="N729" t="s">
        <v>3103</v>
      </c>
      <c r="O729" t="s">
        <v>3104</v>
      </c>
      <c r="P729" t="s">
        <v>23</v>
      </c>
      <c r="Q729" t="s">
        <v>24</v>
      </c>
      <c r="R729" t="s">
        <v>25</v>
      </c>
      <c r="S729" t="s">
        <v>26</v>
      </c>
      <c r="T729" s="6">
        <v>46307</v>
      </c>
      <c r="U729">
        <v>60</v>
      </c>
      <c r="V729">
        <v>60</v>
      </c>
      <c r="W729">
        <v>60</v>
      </c>
      <c r="X729">
        <v>60</v>
      </c>
      <c r="Y729">
        <f t="shared" si="121"/>
        <v>0</v>
      </c>
      <c r="Z729">
        <f t="shared" si="122"/>
        <v>0</v>
      </c>
      <c r="AC729" s="1">
        <v>0</v>
      </c>
      <c r="AF729">
        <f t="shared" si="130"/>
        <v>60</v>
      </c>
      <c r="AG729" s="41">
        <v>12</v>
      </c>
      <c r="AH729">
        <f t="shared" si="124"/>
        <v>60</v>
      </c>
      <c r="AI729">
        <f t="shared" si="125"/>
        <v>0</v>
      </c>
      <c r="AK729">
        <f t="shared" si="126"/>
        <v>5</v>
      </c>
      <c r="AL729">
        <v>12.89</v>
      </c>
      <c r="AM729" t="s">
        <v>27</v>
      </c>
      <c r="AN729">
        <v>12.89</v>
      </c>
      <c r="AO729" t="b">
        <f t="shared" si="127"/>
        <v>1</v>
      </c>
      <c r="AR729" t="s">
        <v>5061</v>
      </c>
      <c r="AS729" s="21">
        <v>46276</v>
      </c>
      <c r="AT729" t="s">
        <v>5062</v>
      </c>
      <c r="AU729" t="s">
        <v>5078</v>
      </c>
      <c r="AV729" t="s">
        <v>5062</v>
      </c>
      <c r="AW729" t="s">
        <v>5086</v>
      </c>
    </row>
    <row r="730" spans="1:49" hidden="1" x14ac:dyDescent="0.35">
      <c r="A730" t="s">
        <v>2796</v>
      </c>
      <c r="B730" t="s">
        <v>872</v>
      </c>
      <c r="C730" t="s">
        <v>4818</v>
      </c>
      <c r="D730" t="s">
        <v>18</v>
      </c>
      <c r="E730" t="s">
        <v>3105</v>
      </c>
      <c r="F730" t="s">
        <v>3106</v>
      </c>
      <c r="G730" t="s">
        <v>21</v>
      </c>
      <c r="H730" t="s">
        <v>4888</v>
      </c>
      <c r="I730" t="s">
        <v>5003</v>
      </c>
      <c r="J730" s="4" t="s">
        <v>5004</v>
      </c>
      <c r="K730" s="4" t="s">
        <v>4837</v>
      </c>
      <c r="L730" s="4" t="s">
        <v>4871</v>
      </c>
      <c r="M730" s="4" t="s">
        <v>5035</v>
      </c>
      <c r="N730" t="s">
        <v>3107</v>
      </c>
      <c r="O730" t="s">
        <v>3108</v>
      </c>
      <c r="P730" t="s">
        <v>23</v>
      </c>
      <c r="Q730" t="s">
        <v>24</v>
      </c>
      <c r="R730" t="s">
        <v>25</v>
      </c>
      <c r="S730" t="s">
        <v>26</v>
      </c>
      <c r="T730" s="6">
        <v>46307</v>
      </c>
      <c r="U730">
        <v>72</v>
      </c>
      <c r="V730">
        <v>72</v>
      </c>
      <c r="W730">
        <v>84</v>
      </c>
      <c r="X730">
        <v>84</v>
      </c>
      <c r="Y730">
        <f t="shared" si="121"/>
        <v>0</v>
      </c>
      <c r="Z730">
        <f t="shared" si="122"/>
        <v>-12</v>
      </c>
      <c r="AC730" s="1">
        <v>0</v>
      </c>
      <c r="AF730">
        <f t="shared" si="130"/>
        <v>72</v>
      </c>
      <c r="AG730" s="41">
        <v>12</v>
      </c>
      <c r="AH730">
        <f t="shared" si="124"/>
        <v>72</v>
      </c>
      <c r="AI730">
        <f t="shared" si="125"/>
        <v>0</v>
      </c>
      <c r="AK730">
        <f t="shared" si="126"/>
        <v>6</v>
      </c>
      <c r="AL730">
        <v>12.87</v>
      </c>
      <c r="AM730" t="s">
        <v>27</v>
      </c>
      <c r="AN730">
        <v>12.87</v>
      </c>
      <c r="AO730" t="b">
        <f t="shared" si="127"/>
        <v>1</v>
      </c>
      <c r="AR730" t="s">
        <v>5061</v>
      </c>
      <c r="AS730" s="21">
        <v>46276</v>
      </c>
      <c r="AT730" t="s">
        <v>5062</v>
      </c>
      <c r="AU730" t="s">
        <v>5078</v>
      </c>
      <c r="AV730" t="s">
        <v>5062</v>
      </c>
      <c r="AW730" t="s">
        <v>5086</v>
      </c>
    </row>
    <row r="731" spans="1:49" hidden="1" x14ac:dyDescent="0.35">
      <c r="A731" t="s">
        <v>2796</v>
      </c>
      <c r="B731" t="s">
        <v>872</v>
      </c>
      <c r="C731" t="s">
        <v>4818</v>
      </c>
      <c r="D731" t="s">
        <v>18</v>
      </c>
      <c r="E731" t="s">
        <v>3109</v>
      </c>
      <c r="F731" t="s">
        <v>3110</v>
      </c>
      <c r="G731" t="s">
        <v>21</v>
      </c>
      <c r="H731" t="s">
        <v>4888</v>
      </c>
      <c r="I731" t="s">
        <v>5005</v>
      </c>
      <c r="J731" s="4" t="s">
        <v>5006</v>
      </c>
      <c r="K731" s="4" t="s">
        <v>5007</v>
      </c>
      <c r="L731" s="4">
        <v>30</v>
      </c>
      <c r="M731" s="4" t="s">
        <v>5035</v>
      </c>
      <c r="N731" t="s">
        <v>3111</v>
      </c>
      <c r="O731" t="s">
        <v>3112</v>
      </c>
      <c r="P731" t="s">
        <v>23</v>
      </c>
      <c r="Q731" t="s">
        <v>24</v>
      </c>
      <c r="R731" t="s">
        <v>25</v>
      </c>
      <c r="S731" t="s">
        <v>26</v>
      </c>
      <c r="T731" s="6">
        <v>46307</v>
      </c>
      <c r="U731">
        <v>312</v>
      </c>
      <c r="V731">
        <v>312</v>
      </c>
      <c r="W731">
        <v>336</v>
      </c>
      <c r="X731">
        <v>336</v>
      </c>
      <c r="Y731">
        <f t="shared" si="121"/>
        <v>0</v>
      </c>
      <c r="Z731">
        <f t="shared" si="122"/>
        <v>-24</v>
      </c>
      <c r="AC731" s="1"/>
      <c r="AF731">
        <f t="shared" si="130"/>
        <v>312</v>
      </c>
      <c r="AG731" s="41">
        <v>24</v>
      </c>
      <c r="AH731">
        <f t="shared" si="124"/>
        <v>312</v>
      </c>
      <c r="AI731">
        <f t="shared" si="125"/>
        <v>0</v>
      </c>
      <c r="AK731">
        <f t="shared" si="126"/>
        <v>13</v>
      </c>
      <c r="AL731">
        <v>10.45</v>
      </c>
      <c r="AM731" t="s">
        <v>27</v>
      </c>
      <c r="AN731">
        <v>10.45</v>
      </c>
      <c r="AO731" t="b">
        <f t="shared" si="127"/>
        <v>1</v>
      </c>
      <c r="AR731" t="s">
        <v>5061</v>
      </c>
      <c r="AS731" s="21">
        <v>46276</v>
      </c>
      <c r="AT731" t="s">
        <v>5062</v>
      </c>
      <c r="AU731" t="s">
        <v>5079</v>
      </c>
      <c r="AV731" t="s">
        <v>5062</v>
      </c>
      <c r="AW731" t="s">
        <v>5086</v>
      </c>
    </row>
    <row r="732" spans="1:49" hidden="1" x14ac:dyDescent="0.35">
      <c r="A732" t="s">
        <v>2796</v>
      </c>
      <c r="B732" t="s">
        <v>872</v>
      </c>
      <c r="C732" t="s">
        <v>4818</v>
      </c>
      <c r="D732" t="s">
        <v>18</v>
      </c>
      <c r="E732" t="s">
        <v>3113</v>
      </c>
      <c r="F732" t="s">
        <v>3114</v>
      </c>
      <c r="G732" t="s">
        <v>21</v>
      </c>
      <c r="H732" t="s">
        <v>4888</v>
      </c>
      <c r="I732" t="s">
        <v>5005</v>
      </c>
      <c r="J732" s="4" t="s">
        <v>5006</v>
      </c>
      <c r="K732" s="4" t="s">
        <v>4837</v>
      </c>
      <c r="L732" s="4">
        <v>36</v>
      </c>
      <c r="M732" s="4" t="s">
        <v>5035</v>
      </c>
      <c r="N732" t="s">
        <v>3115</v>
      </c>
      <c r="O732" t="s">
        <v>3116</v>
      </c>
      <c r="P732" t="s">
        <v>23</v>
      </c>
      <c r="Q732" t="s">
        <v>24</v>
      </c>
      <c r="R732" t="s">
        <v>25</v>
      </c>
      <c r="S732" t="s">
        <v>26</v>
      </c>
      <c r="T732" s="6">
        <v>46307</v>
      </c>
      <c r="U732">
        <v>888</v>
      </c>
      <c r="V732">
        <v>888</v>
      </c>
      <c r="W732">
        <v>912</v>
      </c>
      <c r="X732">
        <v>912</v>
      </c>
      <c r="Y732">
        <f t="shared" si="121"/>
        <v>0</v>
      </c>
      <c r="Z732">
        <f t="shared" si="122"/>
        <v>-24</v>
      </c>
      <c r="AC732" s="1">
        <v>0</v>
      </c>
      <c r="AF732">
        <f t="shared" si="130"/>
        <v>888</v>
      </c>
      <c r="AG732" s="41">
        <v>24</v>
      </c>
      <c r="AH732">
        <f t="shared" si="124"/>
        <v>888</v>
      </c>
      <c r="AI732">
        <f t="shared" si="125"/>
        <v>0</v>
      </c>
      <c r="AK732">
        <f t="shared" si="126"/>
        <v>37</v>
      </c>
      <c r="AL732">
        <v>9.58</v>
      </c>
      <c r="AM732" t="s">
        <v>27</v>
      </c>
      <c r="AN732">
        <v>9.58</v>
      </c>
      <c r="AO732" t="b">
        <f t="shared" si="127"/>
        <v>1</v>
      </c>
      <c r="AR732" t="s">
        <v>5061</v>
      </c>
      <c r="AS732" s="21">
        <v>46276</v>
      </c>
      <c r="AT732" t="s">
        <v>5062</v>
      </c>
      <c r="AU732" t="s">
        <v>5079</v>
      </c>
      <c r="AV732" t="s">
        <v>5062</v>
      </c>
      <c r="AW732" t="s">
        <v>5086</v>
      </c>
    </row>
    <row r="733" spans="1:49" hidden="1" x14ac:dyDescent="0.35">
      <c r="A733" t="s">
        <v>2796</v>
      </c>
      <c r="B733" t="s">
        <v>872</v>
      </c>
      <c r="C733" t="s">
        <v>4818</v>
      </c>
      <c r="D733" t="s">
        <v>18</v>
      </c>
      <c r="E733" t="s">
        <v>3117</v>
      </c>
      <c r="F733" t="s">
        <v>3118</v>
      </c>
      <c r="G733" t="s">
        <v>21</v>
      </c>
      <c r="H733" t="s">
        <v>4888</v>
      </c>
      <c r="I733" t="s">
        <v>5005</v>
      </c>
      <c r="J733" s="4" t="s">
        <v>5006</v>
      </c>
      <c r="K733" s="4" t="s">
        <v>4837</v>
      </c>
      <c r="L733" s="4">
        <v>33</v>
      </c>
      <c r="M733" s="4" t="s">
        <v>5035</v>
      </c>
      <c r="N733" t="s">
        <v>3119</v>
      </c>
      <c r="O733" t="s">
        <v>3120</v>
      </c>
      <c r="P733" t="s">
        <v>23</v>
      </c>
      <c r="Q733" t="s">
        <v>24</v>
      </c>
      <c r="R733" t="s">
        <v>25</v>
      </c>
      <c r="S733" t="s">
        <v>26</v>
      </c>
      <c r="T733" s="6">
        <v>46307</v>
      </c>
      <c r="U733">
        <v>528</v>
      </c>
      <c r="V733">
        <v>528</v>
      </c>
      <c r="W733">
        <v>576</v>
      </c>
      <c r="X733">
        <v>576</v>
      </c>
      <c r="Y733">
        <f t="shared" si="121"/>
        <v>0</v>
      </c>
      <c r="Z733">
        <f t="shared" si="122"/>
        <v>-48</v>
      </c>
      <c r="AC733" s="1">
        <v>0</v>
      </c>
      <c r="AF733">
        <f t="shared" si="130"/>
        <v>528</v>
      </c>
      <c r="AG733" s="41">
        <v>24</v>
      </c>
      <c r="AH733">
        <f t="shared" si="124"/>
        <v>528</v>
      </c>
      <c r="AI733">
        <f t="shared" si="125"/>
        <v>0</v>
      </c>
      <c r="AK733">
        <f t="shared" si="126"/>
        <v>22</v>
      </c>
      <c r="AL733">
        <v>9.58</v>
      </c>
      <c r="AM733" t="s">
        <v>27</v>
      </c>
      <c r="AN733">
        <v>9.58</v>
      </c>
      <c r="AO733" t="b">
        <f t="shared" si="127"/>
        <v>1</v>
      </c>
      <c r="AR733" t="s">
        <v>5061</v>
      </c>
      <c r="AS733" s="21">
        <v>46276</v>
      </c>
      <c r="AT733" t="s">
        <v>5062</v>
      </c>
      <c r="AU733" t="s">
        <v>5079</v>
      </c>
      <c r="AV733" t="s">
        <v>5062</v>
      </c>
      <c r="AW733" t="s">
        <v>5086</v>
      </c>
    </row>
    <row r="734" spans="1:49" hidden="1" x14ac:dyDescent="0.35">
      <c r="A734" t="s">
        <v>2796</v>
      </c>
      <c r="B734" t="s">
        <v>872</v>
      </c>
      <c r="C734" t="s">
        <v>4818</v>
      </c>
      <c r="D734" t="s">
        <v>18</v>
      </c>
      <c r="E734" t="s">
        <v>3121</v>
      </c>
      <c r="F734" t="s">
        <v>3122</v>
      </c>
      <c r="G734" t="s">
        <v>21</v>
      </c>
      <c r="H734" t="s">
        <v>4888</v>
      </c>
      <c r="I734" t="s">
        <v>5008</v>
      </c>
      <c r="J734" s="4" t="s">
        <v>5009</v>
      </c>
      <c r="K734" s="4" t="s">
        <v>5017</v>
      </c>
      <c r="L734" s="4">
        <v>36</v>
      </c>
      <c r="M734" s="4" t="s">
        <v>5035</v>
      </c>
      <c r="N734" t="s">
        <v>3123</v>
      </c>
      <c r="O734" t="s">
        <v>3124</v>
      </c>
      <c r="P734" t="s">
        <v>23</v>
      </c>
      <c r="Q734" t="s">
        <v>24</v>
      </c>
      <c r="R734" t="s">
        <v>25</v>
      </c>
      <c r="S734" t="s">
        <v>26</v>
      </c>
      <c r="T734" s="6">
        <v>46307</v>
      </c>
      <c r="U734">
        <v>912</v>
      </c>
      <c r="V734">
        <v>912</v>
      </c>
      <c r="W734">
        <v>840</v>
      </c>
      <c r="X734">
        <v>840</v>
      </c>
      <c r="Y734">
        <f t="shared" si="121"/>
        <v>0</v>
      </c>
      <c r="Z734">
        <f t="shared" si="122"/>
        <v>72</v>
      </c>
      <c r="AA734">
        <f>Z734</f>
        <v>72</v>
      </c>
      <c r="AC734" s="1">
        <v>0</v>
      </c>
      <c r="AF734">
        <f>X734</f>
        <v>840</v>
      </c>
      <c r="AG734" s="41">
        <v>24</v>
      </c>
      <c r="AH734">
        <f t="shared" si="124"/>
        <v>840</v>
      </c>
      <c r="AI734">
        <f t="shared" si="125"/>
        <v>72</v>
      </c>
      <c r="AK734">
        <f t="shared" si="126"/>
        <v>35</v>
      </c>
      <c r="AL734">
        <v>10.01</v>
      </c>
      <c r="AM734" t="s">
        <v>27</v>
      </c>
      <c r="AN734">
        <v>10.01</v>
      </c>
      <c r="AO734" t="b">
        <f t="shared" si="127"/>
        <v>1</v>
      </c>
      <c r="AR734" t="s">
        <v>5061</v>
      </c>
      <c r="AS734" s="21">
        <v>46276</v>
      </c>
      <c r="AT734" t="s">
        <v>5062</v>
      </c>
      <c r="AU734" t="s">
        <v>5080</v>
      </c>
      <c r="AV734" t="s">
        <v>5062</v>
      </c>
      <c r="AW734" t="s">
        <v>5086</v>
      </c>
    </row>
    <row r="735" spans="1:49" hidden="1" x14ac:dyDescent="0.35">
      <c r="A735" t="s">
        <v>2796</v>
      </c>
      <c r="B735" t="s">
        <v>872</v>
      </c>
      <c r="C735" t="s">
        <v>4818</v>
      </c>
      <c r="D735" t="s">
        <v>18</v>
      </c>
      <c r="E735" t="s">
        <v>3125</v>
      </c>
      <c r="F735" t="s">
        <v>3126</v>
      </c>
      <c r="G735" t="s">
        <v>21</v>
      </c>
      <c r="H735" t="s">
        <v>4888</v>
      </c>
      <c r="I735" t="s">
        <v>5003</v>
      </c>
      <c r="J735" s="4" t="s">
        <v>5004</v>
      </c>
      <c r="K735" s="4" t="s">
        <v>4837</v>
      </c>
      <c r="L735" s="4" t="s">
        <v>4934</v>
      </c>
      <c r="M735" s="4" t="s">
        <v>5035</v>
      </c>
      <c r="N735" t="s">
        <v>3127</v>
      </c>
      <c r="O735" t="s">
        <v>3128</v>
      </c>
      <c r="P735" t="s">
        <v>23</v>
      </c>
      <c r="Q735" t="s">
        <v>24</v>
      </c>
      <c r="R735" t="s">
        <v>25</v>
      </c>
      <c r="S735" t="s">
        <v>26</v>
      </c>
      <c r="T735" s="6">
        <v>46307</v>
      </c>
      <c r="U735">
        <v>24</v>
      </c>
      <c r="V735">
        <v>24</v>
      </c>
      <c r="W735">
        <v>24</v>
      </c>
      <c r="X735">
        <v>24</v>
      </c>
      <c r="Y735">
        <f t="shared" si="121"/>
        <v>0</v>
      </c>
      <c r="Z735">
        <f t="shared" si="122"/>
        <v>0</v>
      </c>
      <c r="AC735" s="1">
        <v>0</v>
      </c>
      <c r="AF735">
        <f>V735</f>
        <v>24</v>
      </c>
      <c r="AG735" s="41">
        <v>12</v>
      </c>
      <c r="AH735">
        <f t="shared" si="124"/>
        <v>24</v>
      </c>
      <c r="AI735">
        <f t="shared" si="125"/>
        <v>0</v>
      </c>
      <c r="AK735">
        <f t="shared" si="126"/>
        <v>2</v>
      </c>
      <c r="AL735">
        <v>12.87</v>
      </c>
      <c r="AM735" t="s">
        <v>27</v>
      </c>
      <c r="AN735">
        <v>12.87</v>
      </c>
      <c r="AO735" t="b">
        <f t="shared" si="127"/>
        <v>1</v>
      </c>
      <c r="AR735" t="s">
        <v>5061</v>
      </c>
      <c r="AS735" s="21">
        <v>46276</v>
      </c>
      <c r="AT735" t="s">
        <v>5062</v>
      </c>
      <c r="AU735" t="s">
        <v>5078</v>
      </c>
      <c r="AV735" t="s">
        <v>5062</v>
      </c>
      <c r="AW735" t="s">
        <v>5086</v>
      </c>
    </row>
    <row r="736" spans="1:49" hidden="1" x14ac:dyDescent="0.35">
      <c r="A736" t="s">
        <v>2796</v>
      </c>
      <c r="B736" t="s">
        <v>872</v>
      </c>
      <c r="C736" t="s">
        <v>4818</v>
      </c>
      <c r="D736" t="s">
        <v>18</v>
      </c>
      <c r="E736" t="s">
        <v>3129</v>
      </c>
      <c r="F736" t="s">
        <v>3130</v>
      </c>
      <c r="G736" t="s">
        <v>21</v>
      </c>
      <c r="H736" t="s">
        <v>4888</v>
      </c>
      <c r="I736" t="s">
        <v>5025</v>
      </c>
      <c r="J736" s="4" t="s">
        <v>5026</v>
      </c>
      <c r="K736" s="4" t="s">
        <v>5020</v>
      </c>
      <c r="L736" s="4" t="s">
        <v>4988</v>
      </c>
      <c r="M736" s="4" t="s">
        <v>5035</v>
      </c>
      <c r="N736" t="s">
        <v>3131</v>
      </c>
      <c r="O736" t="s">
        <v>3132</v>
      </c>
      <c r="P736" t="s">
        <v>23</v>
      </c>
      <c r="Q736" t="s">
        <v>24</v>
      </c>
      <c r="R736" t="s">
        <v>25</v>
      </c>
      <c r="S736" t="s">
        <v>26</v>
      </c>
      <c r="T736" s="6">
        <v>46307</v>
      </c>
      <c r="U736">
        <v>312</v>
      </c>
      <c r="V736">
        <v>312</v>
      </c>
      <c r="W736">
        <v>288</v>
      </c>
      <c r="X736">
        <v>288</v>
      </c>
      <c r="Y736">
        <f t="shared" si="121"/>
        <v>0</v>
      </c>
      <c r="Z736">
        <f t="shared" si="122"/>
        <v>24</v>
      </c>
      <c r="AA736">
        <f>Z736</f>
        <v>24</v>
      </c>
      <c r="AC736" s="1">
        <v>0</v>
      </c>
      <c r="AF736">
        <f>X736</f>
        <v>288</v>
      </c>
      <c r="AG736" s="41">
        <v>24</v>
      </c>
      <c r="AH736">
        <f t="shared" si="124"/>
        <v>288</v>
      </c>
      <c r="AI736">
        <f t="shared" si="125"/>
        <v>24</v>
      </c>
      <c r="AK736">
        <f t="shared" si="126"/>
        <v>12</v>
      </c>
      <c r="AL736">
        <v>6.2</v>
      </c>
      <c r="AM736" t="s">
        <v>27</v>
      </c>
      <c r="AN736">
        <v>6.2</v>
      </c>
      <c r="AO736" t="b">
        <f t="shared" si="127"/>
        <v>1</v>
      </c>
      <c r="AR736" t="s">
        <v>5061</v>
      </c>
      <c r="AS736" s="21">
        <v>46276</v>
      </c>
      <c r="AT736" t="s">
        <v>5062</v>
      </c>
      <c r="AU736" t="s">
        <v>5082</v>
      </c>
      <c r="AV736" t="s">
        <v>5062</v>
      </c>
      <c r="AW736" t="s">
        <v>5086</v>
      </c>
    </row>
    <row r="737" spans="1:49" hidden="1" x14ac:dyDescent="0.35">
      <c r="A737" t="s">
        <v>2796</v>
      </c>
      <c r="B737" t="s">
        <v>872</v>
      </c>
      <c r="C737" t="s">
        <v>4818</v>
      </c>
      <c r="D737" t="s">
        <v>18</v>
      </c>
      <c r="E737" t="s">
        <v>3133</v>
      </c>
      <c r="F737" t="s">
        <v>3134</v>
      </c>
      <c r="G737" t="s">
        <v>21</v>
      </c>
      <c r="H737" t="s">
        <v>4888</v>
      </c>
      <c r="I737" t="s">
        <v>5003</v>
      </c>
      <c r="J737" s="4" t="s">
        <v>5004</v>
      </c>
      <c r="K737" s="4" t="s">
        <v>4904</v>
      </c>
      <c r="L737" s="4" t="s">
        <v>4933</v>
      </c>
      <c r="M737" s="4" t="s">
        <v>5035</v>
      </c>
      <c r="N737" t="s">
        <v>3135</v>
      </c>
      <c r="O737" t="s">
        <v>3136</v>
      </c>
      <c r="P737" t="s">
        <v>23</v>
      </c>
      <c r="Q737" t="s">
        <v>24</v>
      </c>
      <c r="R737" t="s">
        <v>25</v>
      </c>
      <c r="S737" t="s">
        <v>26</v>
      </c>
      <c r="T737" s="6">
        <v>46307</v>
      </c>
      <c r="U737">
        <v>72</v>
      </c>
      <c r="V737">
        <v>72</v>
      </c>
      <c r="W737">
        <v>84</v>
      </c>
      <c r="X737">
        <v>84</v>
      </c>
      <c r="Y737">
        <f t="shared" si="121"/>
        <v>0</v>
      </c>
      <c r="Z737">
        <f t="shared" si="122"/>
        <v>-12</v>
      </c>
      <c r="AC737" s="1">
        <v>0</v>
      </c>
      <c r="AF737">
        <f>V737</f>
        <v>72</v>
      </c>
      <c r="AG737" s="41">
        <v>12</v>
      </c>
      <c r="AH737">
        <f t="shared" si="124"/>
        <v>72</v>
      </c>
      <c r="AI737">
        <f t="shared" si="125"/>
        <v>0</v>
      </c>
      <c r="AK737">
        <f t="shared" si="126"/>
        <v>6</v>
      </c>
      <c r="AL737">
        <v>12.89</v>
      </c>
      <c r="AM737" t="s">
        <v>27</v>
      </c>
      <c r="AN737">
        <v>12.89</v>
      </c>
      <c r="AO737" t="b">
        <f t="shared" si="127"/>
        <v>1</v>
      </c>
      <c r="AR737" t="s">
        <v>5061</v>
      </c>
      <c r="AS737" s="21">
        <v>46276</v>
      </c>
      <c r="AT737" t="s">
        <v>5062</v>
      </c>
      <c r="AU737" t="s">
        <v>5078</v>
      </c>
      <c r="AV737" t="s">
        <v>5062</v>
      </c>
      <c r="AW737" t="s">
        <v>5086</v>
      </c>
    </row>
    <row r="738" spans="1:49" hidden="1" x14ac:dyDescent="0.35">
      <c r="A738" t="s">
        <v>2796</v>
      </c>
      <c r="B738" t="s">
        <v>872</v>
      </c>
      <c r="C738" t="s">
        <v>4818</v>
      </c>
      <c r="D738" t="s">
        <v>18</v>
      </c>
      <c r="E738" t="s">
        <v>3137</v>
      </c>
      <c r="F738" t="s">
        <v>3138</v>
      </c>
      <c r="G738" t="s">
        <v>21</v>
      </c>
      <c r="H738" t="s">
        <v>4888</v>
      </c>
      <c r="I738" t="s">
        <v>5003</v>
      </c>
      <c r="J738" s="4" t="s">
        <v>5004</v>
      </c>
      <c r="K738" s="4" t="s">
        <v>5016</v>
      </c>
      <c r="L738" s="4" t="s">
        <v>4886</v>
      </c>
      <c r="M738" s="4" t="s">
        <v>5035</v>
      </c>
      <c r="N738" t="s">
        <v>3139</v>
      </c>
      <c r="O738" t="s">
        <v>3140</v>
      </c>
      <c r="P738" t="s">
        <v>23</v>
      </c>
      <c r="Q738" t="s">
        <v>24</v>
      </c>
      <c r="R738" t="s">
        <v>25</v>
      </c>
      <c r="S738" t="s">
        <v>26</v>
      </c>
      <c r="T738" s="6">
        <v>46307</v>
      </c>
      <c r="U738">
        <v>72</v>
      </c>
      <c r="V738">
        <v>72</v>
      </c>
      <c r="W738">
        <v>84</v>
      </c>
      <c r="X738">
        <v>84</v>
      </c>
      <c r="Y738">
        <f t="shared" si="121"/>
        <v>0</v>
      </c>
      <c r="Z738">
        <f t="shared" si="122"/>
        <v>-12</v>
      </c>
      <c r="AC738" s="1">
        <v>0</v>
      </c>
      <c r="AF738">
        <f>V738</f>
        <v>72</v>
      </c>
      <c r="AG738" s="41">
        <v>12</v>
      </c>
      <c r="AH738">
        <f t="shared" si="124"/>
        <v>72</v>
      </c>
      <c r="AI738">
        <f t="shared" si="125"/>
        <v>0</v>
      </c>
      <c r="AK738">
        <f t="shared" si="126"/>
        <v>6</v>
      </c>
      <c r="AL738">
        <v>13.33</v>
      </c>
      <c r="AM738" t="s">
        <v>27</v>
      </c>
      <c r="AN738">
        <v>13.33</v>
      </c>
      <c r="AO738" t="b">
        <f t="shared" si="127"/>
        <v>1</v>
      </c>
      <c r="AR738" t="s">
        <v>5061</v>
      </c>
      <c r="AS738" s="21">
        <v>46276</v>
      </c>
      <c r="AT738" t="s">
        <v>5062</v>
      </c>
      <c r="AU738" t="s">
        <v>5078</v>
      </c>
      <c r="AV738" t="s">
        <v>5062</v>
      </c>
      <c r="AW738" t="s">
        <v>5086</v>
      </c>
    </row>
    <row r="739" spans="1:49" hidden="1" x14ac:dyDescent="0.35">
      <c r="A739" t="s">
        <v>2796</v>
      </c>
      <c r="B739" t="s">
        <v>872</v>
      </c>
      <c r="C739" t="s">
        <v>4818</v>
      </c>
      <c r="D739" t="s">
        <v>18</v>
      </c>
      <c r="E739" t="s">
        <v>3141</v>
      </c>
      <c r="F739" t="s">
        <v>3142</v>
      </c>
      <c r="G739" t="s">
        <v>21</v>
      </c>
      <c r="H739" t="s">
        <v>4888</v>
      </c>
      <c r="I739" t="s">
        <v>5022</v>
      </c>
      <c r="J739" s="4" t="s">
        <v>5023</v>
      </c>
      <c r="K739" s="4" t="s">
        <v>5024</v>
      </c>
      <c r="L739" s="4">
        <v>6</v>
      </c>
      <c r="M739" s="4" t="s">
        <v>5035</v>
      </c>
      <c r="N739" t="s">
        <v>3143</v>
      </c>
      <c r="O739" t="s">
        <v>3144</v>
      </c>
      <c r="P739" t="s">
        <v>23</v>
      </c>
      <c r="Q739" t="s">
        <v>24</v>
      </c>
      <c r="R739" t="s">
        <v>25</v>
      </c>
      <c r="S739" t="s">
        <v>26</v>
      </c>
      <c r="T739" s="6">
        <v>46307</v>
      </c>
      <c r="U739">
        <v>336</v>
      </c>
      <c r="V739">
        <v>336</v>
      </c>
      <c r="W739">
        <v>360</v>
      </c>
      <c r="X739">
        <v>360</v>
      </c>
      <c r="Y739">
        <f t="shared" si="121"/>
        <v>0</v>
      </c>
      <c r="Z739">
        <f t="shared" si="122"/>
        <v>-24</v>
      </c>
      <c r="AC739" s="1"/>
      <c r="AF739">
        <f>V739</f>
        <v>336</v>
      </c>
      <c r="AG739" s="41">
        <v>24</v>
      </c>
      <c r="AH739">
        <f t="shared" si="124"/>
        <v>336</v>
      </c>
      <c r="AI739">
        <f t="shared" si="125"/>
        <v>0</v>
      </c>
      <c r="AK739">
        <f t="shared" si="126"/>
        <v>14</v>
      </c>
      <c r="AL739">
        <v>6.99</v>
      </c>
      <c r="AM739" t="s">
        <v>27</v>
      </c>
      <c r="AN739">
        <v>8.68</v>
      </c>
      <c r="AO739" t="b">
        <f t="shared" si="127"/>
        <v>0</v>
      </c>
      <c r="AR739" t="s">
        <v>5061</v>
      </c>
      <c r="AS739" s="21">
        <v>46276</v>
      </c>
      <c r="AT739" t="s">
        <v>5062</v>
      </c>
      <c r="AU739" t="s">
        <v>5083</v>
      </c>
      <c r="AV739" t="s">
        <v>5062</v>
      </c>
      <c r="AW739" t="s">
        <v>5086</v>
      </c>
    </row>
    <row r="740" spans="1:49" hidden="1" x14ac:dyDescent="0.35">
      <c r="A740" t="s">
        <v>2796</v>
      </c>
      <c r="B740" t="s">
        <v>872</v>
      </c>
      <c r="C740" t="s">
        <v>4818</v>
      </c>
      <c r="D740" t="s">
        <v>18</v>
      </c>
      <c r="E740" t="s">
        <v>3145</v>
      </c>
      <c r="F740" t="s">
        <v>3146</v>
      </c>
      <c r="G740" t="s">
        <v>21</v>
      </c>
      <c r="H740" t="s">
        <v>4888</v>
      </c>
      <c r="I740" t="s">
        <v>5012</v>
      </c>
      <c r="J740" s="4" t="s">
        <v>5013</v>
      </c>
      <c r="K740" s="4" t="s">
        <v>4904</v>
      </c>
      <c r="L740" s="4" t="s">
        <v>4986</v>
      </c>
      <c r="M740" s="4" t="s">
        <v>5035</v>
      </c>
      <c r="N740" t="s">
        <v>3147</v>
      </c>
      <c r="O740" t="s">
        <v>3148</v>
      </c>
      <c r="P740" t="s">
        <v>23</v>
      </c>
      <c r="Q740" t="s">
        <v>24</v>
      </c>
      <c r="R740" t="s">
        <v>25</v>
      </c>
      <c r="S740" t="s">
        <v>26</v>
      </c>
      <c r="T740" s="6">
        <v>46307</v>
      </c>
      <c r="U740">
        <v>600</v>
      </c>
      <c r="V740">
        <v>600</v>
      </c>
      <c r="W740">
        <v>648</v>
      </c>
      <c r="X740">
        <v>648</v>
      </c>
      <c r="Y740">
        <f t="shared" si="121"/>
        <v>0</v>
      </c>
      <c r="Z740">
        <f t="shared" si="122"/>
        <v>-48</v>
      </c>
      <c r="AC740" s="1"/>
      <c r="AF740">
        <f>V740</f>
        <v>600</v>
      </c>
      <c r="AG740" s="41">
        <v>24</v>
      </c>
      <c r="AH740">
        <f t="shared" si="124"/>
        <v>600</v>
      </c>
      <c r="AI740">
        <f t="shared" si="125"/>
        <v>0</v>
      </c>
      <c r="AK740">
        <f t="shared" si="126"/>
        <v>25</v>
      </c>
      <c r="AL740">
        <v>6.15</v>
      </c>
      <c r="AM740" t="s">
        <v>27</v>
      </c>
      <c r="AN740">
        <v>6.15</v>
      </c>
      <c r="AO740" t="b">
        <f t="shared" si="127"/>
        <v>1</v>
      </c>
      <c r="AR740" t="s">
        <v>5061</v>
      </c>
      <c r="AS740" s="21">
        <v>46276</v>
      </c>
      <c r="AT740" t="s">
        <v>5062</v>
      </c>
      <c r="AU740" t="s">
        <v>5081</v>
      </c>
      <c r="AV740" t="s">
        <v>5062</v>
      </c>
      <c r="AW740" t="s">
        <v>5086</v>
      </c>
    </row>
    <row r="741" spans="1:49" hidden="1" x14ac:dyDescent="0.35">
      <c r="A741" t="s">
        <v>2796</v>
      </c>
      <c r="B741" t="s">
        <v>872</v>
      </c>
      <c r="C741" t="s">
        <v>4818</v>
      </c>
      <c r="D741" t="s">
        <v>18</v>
      </c>
      <c r="E741" t="s">
        <v>3149</v>
      </c>
      <c r="F741" t="s">
        <v>3150</v>
      </c>
      <c r="G741" t="s">
        <v>21</v>
      </c>
      <c r="H741" t="s">
        <v>4888</v>
      </c>
      <c r="I741" t="s">
        <v>5003</v>
      </c>
      <c r="J741" s="4" t="s">
        <v>5004</v>
      </c>
      <c r="K741" s="4" t="s">
        <v>5015</v>
      </c>
      <c r="L741" s="4" t="s">
        <v>4918</v>
      </c>
      <c r="M741" s="4" t="s">
        <v>5035</v>
      </c>
      <c r="N741" t="s">
        <v>3151</v>
      </c>
      <c r="O741" t="s">
        <v>3152</v>
      </c>
      <c r="P741" t="s">
        <v>23</v>
      </c>
      <c r="Q741" t="s">
        <v>24</v>
      </c>
      <c r="R741" t="s">
        <v>25</v>
      </c>
      <c r="S741" t="s">
        <v>26</v>
      </c>
      <c r="T741" s="6">
        <v>46307</v>
      </c>
      <c r="U741">
        <v>36</v>
      </c>
      <c r="V741">
        <v>36</v>
      </c>
      <c r="W741">
        <v>24</v>
      </c>
      <c r="X741">
        <v>24</v>
      </c>
      <c r="Y741">
        <f t="shared" si="121"/>
        <v>0</v>
      </c>
      <c r="Z741">
        <f t="shared" si="122"/>
        <v>12</v>
      </c>
      <c r="AA741">
        <f>Z741</f>
        <v>12</v>
      </c>
      <c r="AC741" s="1">
        <v>0</v>
      </c>
      <c r="AF741">
        <f>X741</f>
        <v>24</v>
      </c>
      <c r="AG741" s="41">
        <v>12</v>
      </c>
      <c r="AH741">
        <f t="shared" si="124"/>
        <v>24</v>
      </c>
      <c r="AI741">
        <f t="shared" si="125"/>
        <v>12</v>
      </c>
      <c r="AK741">
        <f t="shared" si="126"/>
        <v>2</v>
      </c>
      <c r="AL741">
        <v>13.01</v>
      </c>
      <c r="AM741" t="s">
        <v>27</v>
      </c>
      <c r="AN741">
        <v>13.01</v>
      </c>
      <c r="AO741" t="b">
        <f t="shared" si="127"/>
        <v>1</v>
      </c>
      <c r="AR741" t="s">
        <v>5061</v>
      </c>
      <c r="AS741" s="21">
        <v>46276</v>
      </c>
      <c r="AT741" t="s">
        <v>5062</v>
      </c>
      <c r="AU741" t="s">
        <v>5078</v>
      </c>
      <c r="AV741" t="s">
        <v>5062</v>
      </c>
      <c r="AW741" t="s">
        <v>5086</v>
      </c>
    </row>
    <row r="742" spans="1:49" hidden="1" x14ac:dyDescent="0.35">
      <c r="A742" t="s">
        <v>2796</v>
      </c>
      <c r="B742" t="s">
        <v>872</v>
      </c>
      <c r="C742" t="s">
        <v>4818</v>
      </c>
      <c r="D742" t="s">
        <v>18</v>
      </c>
      <c r="E742" t="s">
        <v>3153</v>
      </c>
      <c r="F742" t="s">
        <v>3154</v>
      </c>
      <c r="G742" t="s">
        <v>21</v>
      </c>
      <c r="H742" t="s">
        <v>4888</v>
      </c>
      <c r="I742" t="s">
        <v>5003</v>
      </c>
      <c r="J742" s="4" t="s">
        <v>5004</v>
      </c>
      <c r="K742" s="4" t="s">
        <v>4904</v>
      </c>
      <c r="L742" s="4" t="s">
        <v>4932</v>
      </c>
      <c r="M742" s="4" t="s">
        <v>5035</v>
      </c>
      <c r="N742" t="s">
        <v>3155</v>
      </c>
      <c r="O742" t="s">
        <v>3156</v>
      </c>
      <c r="P742" t="s">
        <v>23</v>
      </c>
      <c r="Q742" t="s">
        <v>24</v>
      </c>
      <c r="R742" t="s">
        <v>25</v>
      </c>
      <c r="S742" t="s">
        <v>26</v>
      </c>
      <c r="T742" s="6">
        <v>46307</v>
      </c>
      <c r="U742">
        <v>24</v>
      </c>
      <c r="V742">
        <v>24</v>
      </c>
      <c r="W742">
        <v>24</v>
      </c>
      <c r="X742">
        <v>24</v>
      </c>
      <c r="Y742">
        <f t="shared" si="121"/>
        <v>0</v>
      </c>
      <c r="Z742">
        <f t="shared" si="122"/>
        <v>0</v>
      </c>
      <c r="AC742" s="1">
        <v>0</v>
      </c>
      <c r="AF742">
        <f t="shared" ref="AF742:AF752" si="131">V742</f>
        <v>24</v>
      </c>
      <c r="AG742" s="41">
        <v>12</v>
      </c>
      <c r="AH742">
        <f t="shared" si="124"/>
        <v>24</v>
      </c>
      <c r="AI742">
        <f t="shared" si="125"/>
        <v>0</v>
      </c>
      <c r="AK742">
        <f t="shared" si="126"/>
        <v>2</v>
      </c>
      <c r="AL742">
        <v>12.89</v>
      </c>
      <c r="AM742" t="s">
        <v>27</v>
      </c>
      <c r="AN742">
        <v>12.89</v>
      </c>
      <c r="AO742" t="b">
        <f t="shared" si="127"/>
        <v>1</v>
      </c>
      <c r="AR742" t="s">
        <v>5061</v>
      </c>
      <c r="AS742" s="21">
        <v>46276</v>
      </c>
      <c r="AT742" t="s">
        <v>5062</v>
      </c>
      <c r="AU742" t="s">
        <v>5078</v>
      </c>
      <c r="AV742" t="s">
        <v>5062</v>
      </c>
      <c r="AW742" t="s">
        <v>5086</v>
      </c>
    </row>
    <row r="743" spans="1:49" hidden="1" x14ac:dyDescent="0.35">
      <c r="A743" t="s">
        <v>2796</v>
      </c>
      <c r="B743" t="s">
        <v>872</v>
      </c>
      <c r="C743" t="s">
        <v>4818</v>
      </c>
      <c r="D743" t="s">
        <v>18</v>
      </c>
      <c r="E743" t="s">
        <v>3157</v>
      </c>
      <c r="F743" t="s">
        <v>3158</v>
      </c>
      <c r="G743" t="s">
        <v>21</v>
      </c>
      <c r="H743" t="s">
        <v>4888</v>
      </c>
      <c r="I743" t="s">
        <v>5003</v>
      </c>
      <c r="J743" s="4" t="s">
        <v>5004</v>
      </c>
      <c r="K743" s="4" t="s">
        <v>5016</v>
      </c>
      <c r="L743" s="4" t="s">
        <v>4897</v>
      </c>
      <c r="M743" s="4" t="s">
        <v>5035</v>
      </c>
      <c r="N743" t="s">
        <v>3159</v>
      </c>
      <c r="O743" t="s">
        <v>3160</v>
      </c>
      <c r="P743" t="s">
        <v>23</v>
      </c>
      <c r="Q743" t="s">
        <v>24</v>
      </c>
      <c r="R743" t="s">
        <v>25</v>
      </c>
      <c r="S743" t="s">
        <v>26</v>
      </c>
      <c r="T743" s="6">
        <v>46307</v>
      </c>
      <c r="U743">
        <v>36</v>
      </c>
      <c r="V743">
        <v>36</v>
      </c>
      <c r="W743">
        <v>36</v>
      </c>
      <c r="X743">
        <v>36</v>
      </c>
      <c r="Y743">
        <f t="shared" si="121"/>
        <v>0</v>
      </c>
      <c r="Z743">
        <f t="shared" si="122"/>
        <v>0</v>
      </c>
      <c r="AC743" s="1">
        <v>0</v>
      </c>
      <c r="AF743">
        <f t="shared" si="131"/>
        <v>36</v>
      </c>
      <c r="AG743" s="41">
        <v>12</v>
      </c>
      <c r="AH743">
        <f t="shared" si="124"/>
        <v>36</v>
      </c>
      <c r="AI743">
        <f t="shared" si="125"/>
        <v>0</v>
      </c>
      <c r="AK743">
        <f t="shared" si="126"/>
        <v>3</v>
      </c>
      <c r="AL743">
        <v>13.33</v>
      </c>
      <c r="AM743" t="s">
        <v>27</v>
      </c>
      <c r="AN743">
        <v>13.33</v>
      </c>
      <c r="AO743" t="b">
        <f t="shared" si="127"/>
        <v>1</v>
      </c>
      <c r="AR743" t="s">
        <v>5061</v>
      </c>
      <c r="AS743" s="21">
        <v>46276</v>
      </c>
      <c r="AT743" t="s">
        <v>5062</v>
      </c>
      <c r="AU743" t="s">
        <v>5078</v>
      </c>
      <c r="AV743" t="s">
        <v>5062</v>
      </c>
      <c r="AW743" t="s">
        <v>5086</v>
      </c>
    </row>
    <row r="744" spans="1:49" hidden="1" x14ac:dyDescent="0.35">
      <c r="A744" t="s">
        <v>2796</v>
      </c>
      <c r="B744" t="s">
        <v>872</v>
      </c>
      <c r="C744" t="s">
        <v>4818</v>
      </c>
      <c r="D744" t="s">
        <v>18</v>
      </c>
      <c r="E744" t="s">
        <v>3161</v>
      </c>
      <c r="F744" t="s">
        <v>3162</v>
      </c>
      <c r="G744" t="s">
        <v>21</v>
      </c>
      <c r="H744" t="s">
        <v>4888</v>
      </c>
      <c r="I744" t="s">
        <v>5003</v>
      </c>
      <c r="J744" s="4" t="s">
        <v>5004</v>
      </c>
      <c r="K744" s="4" t="s">
        <v>5016</v>
      </c>
      <c r="L744" s="4" t="s">
        <v>4909</v>
      </c>
      <c r="M744" s="4" t="s">
        <v>5035</v>
      </c>
      <c r="N744" t="s">
        <v>3163</v>
      </c>
      <c r="O744" t="s">
        <v>3164</v>
      </c>
      <c r="P744" t="s">
        <v>23</v>
      </c>
      <c r="Q744" t="s">
        <v>24</v>
      </c>
      <c r="R744" t="s">
        <v>25</v>
      </c>
      <c r="S744" t="s">
        <v>26</v>
      </c>
      <c r="T744" s="6">
        <v>46307</v>
      </c>
      <c r="U744">
        <v>24</v>
      </c>
      <c r="V744">
        <v>24</v>
      </c>
      <c r="W744">
        <v>24</v>
      </c>
      <c r="X744">
        <v>24</v>
      </c>
      <c r="Y744">
        <f t="shared" si="121"/>
        <v>0</v>
      </c>
      <c r="Z744">
        <f t="shared" si="122"/>
        <v>0</v>
      </c>
      <c r="AC744" s="1">
        <v>0</v>
      </c>
      <c r="AF744">
        <f t="shared" si="131"/>
        <v>24</v>
      </c>
      <c r="AG744" s="41">
        <v>12</v>
      </c>
      <c r="AH744">
        <f t="shared" si="124"/>
        <v>24</v>
      </c>
      <c r="AI744">
        <f t="shared" si="125"/>
        <v>0</v>
      </c>
      <c r="AK744">
        <f t="shared" si="126"/>
        <v>2</v>
      </c>
      <c r="AL744">
        <v>13.33</v>
      </c>
      <c r="AM744" t="s">
        <v>27</v>
      </c>
      <c r="AN744">
        <v>13.33</v>
      </c>
      <c r="AO744" t="b">
        <f t="shared" si="127"/>
        <v>1</v>
      </c>
      <c r="AR744" t="s">
        <v>5061</v>
      </c>
      <c r="AS744" s="21">
        <v>46276</v>
      </c>
      <c r="AT744" t="s">
        <v>5062</v>
      </c>
      <c r="AU744" t="s">
        <v>5078</v>
      </c>
      <c r="AV744" t="s">
        <v>5062</v>
      </c>
      <c r="AW744" t="s">
        <v>5086</v>
      </c>
    </row>
    <row r="745" spans="1:49" hidden="1" x14ac:dyDescent="0.35">
      <c r="A745" t="s">
        <v>2796</v>
      </c>
      <c r="B745" t="s">
        <v>872</v>
      </c>
      <c r="C745" t="s">
        <v>4818</v>
      </c>
      <c r="D745" t="s">
        <v>18</v>
      </c>
      <c r="E745" t="s">
        <v>3165</v>
      </c>
      <c r="F745" t="s">
        <v>3166</v>
      </c>
      <c r="G745" t="s">
        <v>21</v>
      </c>
      <c r="H745" t="s">
        <v>4888</v>
      </c>
      <c r="I745" t="s">
        <v>5003</v>
      </c>
      <c r="J745" s="4" t="s">
        <v>5004</v>
      </c>
      <c r="K745" s="4" t="s">
        <v>4904</v>
      </c>
      <c r="L745" s="4" t="s">
        <v>4924</v>
      </c>
      <c r="M745" s="4" t="s">
        <v>5035</v>
      </c>
      <c r="N745" t="s">
        <v>3167</v>
      </c>
      <c r="O745" t="s">
        <v>3168</v>
      </c>
      <c r="P745" t="s">
        <v>23</v>
      </c>
      <c r="Q745" t="s">
        <v>24</v>
      </c>
      <c r="R745" t="s">
        <v>25</v>
      </c>
      <c r="S745" t="s">
        <v>26</v>
      </c>
      <c r="T745" s="6">
        <v>46307</v>
      </c>
      <c r="U745">
        <v>48</v>
      </c>
      <c r="V745">
        <v>48</v>
      </c>
      <c r="W745">
        <v>48</v>
      </c>
      <c r="X745">
        <v>48</v>
      </c>
      <c r="Y745">
        <f t="shared" si="121"/>
        <v>0</v>
      </c>
      <c r="Z745">
        <f t="shared" si="122"/>
        <v>0</v>
      </c>
      <c r="AC745" s="1">
        <v>0</v>
      </c>
      <c r="AF745">
        <f t="shared" si="131"/>
        <v>48</v>
      </c>
      <c r="AG745" s="41">
        <v>12</v>
      </c>
      <c r="AH745">
        <f t="shared" si="124"/>
        <v>48</v>
      </c>
      <c r="AI745">
        <f t="shared" si="125"/>
        <v>0</v>
      </c>
      <c r="AK745">
        <f t="shared" si="126"/>
        <v>4</v>
      </c>
      <c r="AL745">
        <v>12.89</v>
      </c>
      <c r="AM745" t="s">
        <v>27</v>
      </c>
      <c r="AN745">
        <v>12.89</v>
      </c>
      <c r="AO745" t="b">
        <f t="shared" si="127"/>
        <v>1</v>
      </c>
      <c r="AR745" t="s">
        <v>5061</v>
      </c>
      <c r="AS745" s="21">
        <v>46276</v>
      </c>
      <c r="AT745" t="s">
        <v>5062</v>
      </c>
      <c r="AU745" t="s">
        <v>5078</v>
      </c>
      <c r="AV745" t="s">
        <v>5062</v>
      </c>
      <c r="AW745" t="s">
        <v>5086</v>
      </c>
    </row>
    <row r="746" spans="1:49" hidden="1" x14ac:dyDescent="0.35">
      <c r="A746" t="s">
        <v>2796</v>
      </c>
      <c r="B746" t="s">
        <v>872</v>
      </c>
      <c r="C746" t="s">
        <v>4818</v>
      </c>
      <c r="D746" t="s">
        <v>18</v>
      </c>
      <c r="E746" t="s">
        <v>3169</v>
      </c>
      <c r="F746" t="s">
        <v>3170</v>
      </c>
      <c r="G746" t="s">
        <v>21</v>
      </c>
      <c r="H746" t="s">
        <v>4888</v>
      </c>
      <c r="I746" t="s">
        <v>5005</v>
      </c>
      <c r="J746" s="4" t="s">
        <v>5006</v>
      </c>
      <c r="K746" s="4" t="s">
        <v>4899</v>
      </c>
      <c r="L746" s="4">
        <v>32</v>
      </c>
      <c r="M746" s="4" t="s">
        <v>5035</v>
      </c>
      <c r="N746" t="s">
        <v>3171</v>
      </c>
      <c r="O746" t="s">
        <v>3172</v>
      </c>
      <c r="P746" t="s">
        <v>23</v>
      </c>
      <c r="Q746" t="s">
        <v>24</v>
      </c>
      <c r="R746" t="s">
        <v>25</v>
      </c>
      <c r="S746" t="s">
        <v>26</v>
      </c>
      <c r="T746" s="6">
        <v>46307</v>
      </c>
      <c r="U746">
        <v>552</v>
      </c>
      <c r="V746">
        <v>552</v>
      </c>
      <c r="W746">
        <v>600</v>
      </c>
      <c r="X746">
        <v>600</v>
      </c>
      <c r="Y746">
        <f t="shared" si="121"/>
        <v>0</v>
      </c>
      <c r="Z746">
        <f t="shared" si="122"/>
        <v>-48</v>
      </c>
      <c r="AC746" s="1">
        <v>0</v>
      </c>
      <c r="AF746">
        <f t="shared" si="131"/>
        <v>552</v>
      </c>
      <c r="AG746" s="41">
        <v>24</v>
      </c>
      <c r="AH746">
        <f t="shared" si="124"/>
        <v>552</v>
      </c>
      <c r="AI746">
        <f t="shared" si="125"/>
        <v>0</v>
      </c>
      <c r="AK746">
        <f t="shared" si="126"/>
        <v>23</v>
      </c>
      <c r="AL746">
        <v>10.14</v>
      </c>
      <c r="AM746" t="s">
        <v>27</v>
      </c>
      <c r="AN746">
        <v>10.14</v>
      </c>
      <c r="AO746" t="b">
        <f t="shared" si="127"/>
        <v>1</v>
      </c>
      <c r="AR746" t="s">
        <v>5061</v>
      </c>
      <c r="AS746" s="21">
        <v>46276</v>
      </c>
      <c r="AT746" t="s">
        <v>5062</v>
      </c>
      <c r="AU746" t="s">
        <v>5079</v>
      </c>
      <c r="AV746" t="s">
        <v>5062</v>
      </c>
      <c r="AW746" t="s">
        <v>5086</v>
      </c>
    </row>
    <row r="747" spans="1:49" hidden="1" x14ac:dyDescent="0.35">
      <c r="A747" t="s">
        <v>2796</v>
      </c>
      <c r="B747" t="s">
        <v>872</v>
      </c>
      <c r="C747" t="s">
        <v>4818</v>
      </c>
      <c r="D747" t="s">
        <v>18</v>
      </c>
      <c r="E747" t="s">
        <v>3173</v>
      </c>
      <c r="F747" t="s">
        <v>3174</v>
      </c>
      <c r="G747" t="s">
        <v>21</v>
      </c>
      <c r="H747" t="s">
        <v>4888</v>
      </c>
      <c r="I747" t="s">
        <v>5005</v>
      </c>
      <c r="J747" s="4" t="s">
        <v>5006</v>
      </c>
      <c r="K747" s="4" t="s">
        <v>5027</v>
      </c>
      <c r="L747" s="4">
        <v>31</v>
      </c>
      <c r="M747" s="4" t="s">
        <v>5035</v>
      </c>
      <c r="N747" t="s">
        <v>3175</v>
      </c>
      <c r="O747" t="s">
        <v>3176</v>
      </c>
      <c r="P747" t="s">
        <v>23</v>
      </c>
      <c r="Q747" t="s">
        <v>24</v>
      </c>
      <c r="R747" t="s">
        <v>25</v>
      </c>
      <c r="S747" t="s">
        <v>26</v>
      </c>
      <c r="T747" s="6">
        <v>46307</v>
      </c>
      <c r="U747">
        <v>312</v>
      </c>
      <c r="V747">
        <v>312</v>
      </c>
      <c r="W747">
        <v>336</v>
      </c>
      <c r="X747">
        <v>336</v>
      </c>
      <c r="Y747">
        <f t="shared" si="121"/>
        <v>0</v>
      </c>
      <c r="Z747">
        <f t="shared" si="122"/>
        <v>-24</v>
      </c>
      <c r="AC747" s="1"/>
      <c r="AF747">
        <f t="shared" si="131"/>
        <v>312</v>
      </c>
      <c r="AG747" s="41">
        <v>24</v>
      </c>
      <c r="AH747">
        <f t="shared" si="124"/>
        <v>312</v>
      </c>
      <c r="AI747">
        <f t="shared" si="125"/>
        <v>0</v>
      </c>
      <c r="AK747">
        <f t="shared" si="126"/>
        <v>13</v>
      </c>
      <c r="AL747">
        <v>10.24</v>
      </c>
      <c r="AM747" t="s">
        <v>27</v>
      </c>
      <c r="AN747">
        <v>10.24</v>
      </c>
      <c r="AO747" t="b">
        <f t="shared" si="127"/>
        <v>1</v>
      </c>
      <c r="AR747" t="s">
        <v>5061</v>
      </c>
      <c r="AS747" s="21">
        <v>46276</v>
      </c>
      <c r="AT747" t="s">
        <v>5062</v>
      </c>
      <c r="AU747" t="s">
        <v>5079</v>
      </c>
      <c r="AV747" t="s">
        <v>5062</v>
      </c>
      <c r="AW747" t="s">
        <v>5086</v>
      </c>
    </row>
    <row r="748" spans="1:49" hidden="1" x14ac:dyDescent="0.35">
      <c r="A748" t="s">
        <v>2796</v>
      </c>
      <c r="B748" t="s">
        <v>872</v>
      </c>
      <c r="C748" t="s">
        <v>4818</v>
      </c>
      <c r="D748" t="s">
        <v>18</v>
      </c>
      <c r="E748" t="s">
        <v>3177</v>
      </c>
      <c r="F748" t="s">
        <v>3178</v>
      </c>
      <c r="G748" t="s">
        <v>21</v>
      </c>
      <c r="H748" t="s">
        <v>4888</v>
      </c>
      <c r="I748" t="s">
        <v>5003</v>
      </c>
      <c r="J748" s="4" t="s">
        <v>5004</v>
      </c>
      <c r="K748" s="4" t="s">
        <v>5015</v>
      </c>
      <c r="L748" s="4" t="s">
        <v>4932</v>
      </c>
      <c r="M748" s="4" t="s">
        <v>5035</v>
      </c>
      <c r="N748" t="s">
        <v>3179</v>
      </c>
      <c r="O748" t="s">
        <v>3180</v>
      </c>
      <c r="P748" t="s">
        <v>23</v>
      </c>
      <c r="Q748" t="s">
        <v>24</v>
      </c>
      <c r="R748" t="s">
        <v>25</v>
      </c>
      <c r="S748" t="s">
        <v>26</v>
      </c>
      <c r="T748" s="6">
        <v>46307</v>
      </c>
      <c r="U748">
        <v>24</v>
      </c>
      <c r="V748">
        <v>24</v>
      </c>
      <c r="W748">
        <v>24</v>
      </c>
      <c r="X748">
        <v>24</v>
      </c>
      <c r="Y748">
        <f t="shared" si="121"/>
        <v>0</v>
      </c>
      <c r="Z748">
        <f t="shared" si="122"/>
        <v>0</v>
      </c>
      <c r="AC748" s="1">
        <v>0</v>
      </c>
      <c r="AF748">
        <f t="shared" si="131"/>
        <v>24</v>
      </c>
      <c r="AG748" s="41">
        <v>12</v>
      </c>
      <c r="AH748">
        <f t="shared" si="124"/>
        <v>24</v>
      </c>
      <c r="AI748">
        <f t="shared" si="125"/>
        <v>0</v>
      </c>
      <c r="AK748">
        <f t="shared" si="126"/>
        <v>2</v>
      </c>
      <c r="AL748">
        <v>13.01</v>
      </c>
      <c r="AM748" t="s">
        <v>27</v>
      </c>
      <c r="AN748">
        <v>13.01</v>
      </c>
      <c r="AO748" t="b">
        <f t="shared" si="127"/>
        <v>1</v>
      </c>
      <c r="AR748" t="s">
        <v>5061</v>
      </c>
      <c r="AS748" s="21">
        <v>46276</v>
      </c>
      <c r="AT748" t="s">
        <v>5062</v>
      </c>
      <c r="AU748" t="s">
        <v>5078</v>
      </c>
      <c r="AV748" t="s">
        <v>5062</v>
      </c>
      <c r="AW748" t="s">
        <v>5086</v>
      </c>
    </row>
    <row r="749" spans="1:49" hidden="1" x14ac:dyDescent="0.35">
      <c r="A749" t="s">
        <v>2796</v>
      </c>
      <c r="B749" t="s">
        <v>872</v>
      </c>
      <c r="C749" t="s">
        <v>4818</v>
      </c>
      <c r="D749" t="s">
        <v>18</v>
      </c>
      <c r="E749" t="s">
        <v>3181</v>
      </c>
      <c r="F749" t="s">
        <v>3182</v>
      </c>
      <c r="G749" t="s">
        <v>21</v>
      </c>
      <c r="H749" t="s">
        <v>4888</v>
      </c>
      <c r="I749" t="s">
        <v>5003</v>
      </c>
      <c r="J749" s="4" t="s">
        <v>5004</v>
      </c>
      <c r="K749" s="4" t="s">
        <v>5016</v>
      </c>
      <c r="L749" s="4" t="s">
        <v>4932</v>
      </c>
      <c r="M749" s="4" t="s">
        <v>5035</v>
      </c>
      <c r="N749" t="s">
        <v>3183</v>
      </c>
      <c r="O749" t="s">
        <v>3184</v>
      </c>
      <c r="P749" t="s">
        <v>23</v>
      </c>
      <c r="Q749" t="s">
        <v>24</v>
      </c>
      <c r="R749" t="s">
        <v>25</v>
      </c>
      <c r="S749" t="s">
        <v>26</v>
      </c>
      <c r="T749" s="6">
        <v>46307</v>
      </c>
      <c r="U749">
        <v>12</v>
      </c>
      <c r="V749">
        <v>12</v>
      </c>
      <c r="W749">
        <v>12</v>
      </c>
      <c r="X749">
        <v>12</v>
      </c>
      <c r="Y749">
        <f t="shared" si="121"/>
        <v>0</v>
      </c>
      <c r="Z749">
        <f t="shared" si="122"/>
        <v>0</v>
      </c>
      <c r="AC749" s="1">
        <v>0</v>
      </c>
      <c r="AF749">
        <f t="shared" si="131"/>
        <v>12</v>
      </c>
      <c r="AG749" s="41">
        <v>12</v>
      </c>
      <c r="AH749">
        <f t="shared" si="124"/>
        <v>12</v>
      </c>
      <c r="AI749">
        <f t="shared" si="125"/>
        <v>0</v>
      </c>
      <c r="AK749">
        <f t="shared" si="126"/>
        <v>1</v>
      </c>
      <c r="AL749">
        <v>13.33</v>
      </c>
      <c r="AM749" t="s">
        <v>27</v>
      </c>
      <c r="AN749">
        <v>13.33</v>
      </c>
      <c r="AO749" t="b">
        <f t="shared" si="127"/>
        <v>1</v>
      </c>
      <c r="AR749" t="s">
        <v>5061</v>
      </c>
      <c r="AS749" s="21">
        <v>46276</v>
      </c>
      <c r="AT749" t="s">
        <v>5062</v>
      </c>
      <c r="AU749" t="s">
        <v>5078</v>
      </c>
      <c r="AV749" t="s">
        <v>5062</v>
      </c>
      <c r="AW749" t="s">
        <v>5086</v>
      </c>
    </row>
    <row r="750" spans="1:49" hidden="1" x14ac:dyDescent="0.35">
      <c r="A750" t="s">
        <v>2796</v>
      </c>
      <c r="B750" t="s">
        <v>872</v>
      </c>
      <c r="C750" t="s">
        <v>4818</v>
      </c>
      <c r="D750" t="s">
        <v>18</v>
      </c>
      <c r="E750" t="s">
        <v>3185</v>
      </c>
      <c r="F750" t="s">
        <v>3186</v>
      </c>
      <c r="G750" t="s">
        <v>21</v>
      </c>
      <c r="H750" t="s">
        <v>4888</v>
      </c>
      <c r="I750" t="s">
        <v>5008</v>
      </c>
      <c r="J750" s="4" t="s">
        <v>5009</v>
      </c>
      <c r="K750" s="4" t="s">
        <v>4904</v>
      </c>
      <c r="L750" s="4">
        <v>29</v>
      </c>
      <c r="M750" s="4" t="s">
        <v>5035</v>
      </c>
      <c r="N750" t="s">
        <v>3187</v>
      </c>
      <c r="O750" t="s">
        <v>3188</v>
      </c>
      <c r="P750" t="s">
        <v>23</v>
      </c>
      <c r="Q750" t="s">
        <v>24</v>
      </c>
      <c r="R750" t="s">
        <v>25</v>
      </c>
      <c r="S750" t="s">
        <v>26</v>
      </c>
      <c r="T750" s="6">
        <v>46307</v>
      </c>
      <c r="U750">
        <v>120</v>
      </c>
      <c r="V750">
        <v>120</v>
      </c>
      <c r="W750">
        <v>144</v>
      </c>
      <c r="X750">
        <v>144</v>
      </c>
      <c r="Y750">
        <f t="shared" si="121"/>
        <v>0</v>
      </c>
      <c r="Z750">
        <f t="shared" si="122"/>
        <v>-24</v>
      </c>
      <c r="AC750" s="1">
        <v>0</v>
      </c>
      <c r="AF750">
        <f t="shared" si="131"/>
        <v>120</v>
      </c>
      <c r="AG750" s="41">
        <v>24</v>
      </c>
      <c r="AH750">
        <f t="shared" si="124"/>
        <v>120</v>
      </c>
      <c r="AI750">
        <f t="shared" si="125"/>
        <v>0</v>
      </c>
      <c r="AK750">
        <f t="shared" si="126"/>
        <v>5</v>
      </c>
      <c r="AL750">
        <v>10.11</v>
      </c>
      <c r="AM750" t="s">
        <v>27</v>
      </c>
      <c r="AN750">
        <v>10.11</v>
      </c>
      <c r="AO750" t="b">
        <f t="shared" si="127"/>
        <v>1</v>
      </c>
      <c r="AR750" t="s">
        <v>5061</v>
      </c>
      <c r="AS750" s="21">
        <v>46276</v>
      </c>
      <c r="AT750" t="s">
        <v>5062</v>
      </c>
      <c r="AU750" t="s">
        <v>5080</v>
      </c>
      <c r="AV750" t="s">
        <v>5062</v>
      </c>
      <c r="AW750" t="s">
        <v>5086</v>
      </c>
    </row>
    <row r="751" spans="1:49" hidden="1" x14ac:dyDescent="0.35">
      <c r="A751" t="s">
        <v>2796</v>
      </c>
      <c r="B751" t="s">
        <v>872</v>
      </c>
      <c r="C751" t="s">
        <v>4818</v>
      </c>
      <c r="D751" t="s">
        <v>18</v>
      </c>
      <c r="E751" t="s">
        <v>3189</v>
      </c>
      <c r="F751" t="s">
        <v>3190</v>
      </c>
      <c r="G751" t="s">
        <v>21</v>
      </c>
      <c r="H751" t="s">
        <v>4888</v>
      </c>
      <c r="I751" t="s">
        <v>5003</v>
      </c>
      <c r="J751" s="4" t="s">
        <v>5004</v>
      </c>
      <c r="K751" s="4" t="s">
        <v>5016</v>
      </c>
      <c r="L751" s="4" t="s">
        <v>4885</v>
      </c>
      <c r="M751" s="4" t="s">
        <v>5035</v>
      </c>
      <c r="N751" t="s">
        <v>3191</v>
      </c>
      <c r="O751" t="s">
        <v>3192</v>
      </c>
      <c r="P751" t="s">
        <v>23</v>
      </c>
      <c r="Q751" t="s">
        <v>24</v>
      </c>
      <c r="R751" t="s">
        <v>25</v>
      </c>
      <c r="S751" t="s">
        <v>26</v>
      </c>
      <c r="T751" s="6">
        <v>46307</v>
      </c>
      <c r="U751">
        <v>120</v>
      </c>
      <c r="V751">
        <v>120</v>
      </c>
      <c r="W751">
        <v>132</v>
      </c>
      <c r="X751">
        <v>132</v>
      </c>
      <c r="Y751">
        <f t="shared" si="121"/>
        <v>0</v>
      </c>
      <c r="Z751">
        <f t="shared" si="122"/>
        <v>-12</v>
      </c>
      <c r="AC751" s="1">
        <v>0</v>
      </c>
      <c r="AF751">
        <f t="shared" si="131"/>
        <v>120</v>
      </c>
      <c r="AG751" s="41">
        <v>12</v>
      </c>
      <c r="AH751">
        <f t="shared" si="124"/>
        <v>120</v>
      </c>
      <c r="AI751">
        <f t="shared" si="125"/>
        <v>0</v>
      </c>
      <c r="AK751">
        <f t="shared" si="126"/>
        <v>10</v>
      </c>
      <c r="AL751">
        <v>13.33</v>
      </c>
      <c r="AM751" t="s">
        <v>27</v>
      </c>
      <c r="AN751">
        <v>13.33</v>
      </c>
      <c r="AO751" t="b">
        <f t="shared" si="127"/>
        <v>1</v>
      </c>
      <c r="AR751" t="s">
        <v>5061</v>
      </c>
      <c r="AS751" s="21">
        <v>46276</v>
      </c>
      <c r="AT751" t="s">
        <v>5062</v>
      </c>
      <c r="AU751" t="s">
        <v>5078</v>
      </c>
      <c r="AV751" t="s">
        <v>5062</v>
      </c>
      <c r="AW751" t="s">
        <v>5086</v>
      </c>
    </row>
    <row r="752" spans="1:49" hidden="1" x14ac:dyDescent="0.35">
      <c r="A752" t="s">
        <v>2796</v>
      </c>
      <c r="B752" t="s">
        <v>872</v>
      </c>
      <c r="C752" t="s">
        <v>4818</v>
      </c>
      <c r="D752" t="s">
        <v>18</v>
      </c>
      <c r="E752" t="s">
        <v>3193</v>
      </c>
      <c r="F752" t="s">
        <v>3194</v>
      </c>
      <c r="G752" t="s">
        <v>21</v>
      </c>
      <c r="H752" t="s">
        <v>4888</v>
      </c>
      <c r="I752" t="s">
        <v>5010</v>
      </c>
      <c r="J752" s="4" t="s">
        <v>5011</v>
      </c>
      <c r="K752" s="4" t="s">
        <v>4904</v>
      </c>
      <c r="L752" s="4" t="s">
        <v>4999</v>
      </c>
      <c r="M752" s="4" t="s">
        <v>5035</v>
      </c>
      <c r="N752" t="s">
        <v>3195</v>
      </c>
      <c r="O752" t="s">
        <v>3196</v>
      </c>
      <c r="P752" t="s">
        <v>23</v>
      </c>
      <c r="Q752" t="s">
        <v>24</v>
      </c>
      <c r="R752" t="s">
        <v>25</v>
      </c>
      <c r="S752" t="s">
        <v>26</v>
      </c>
      <c r="T752" s="6">
        <v>46307</v>
      </c>
      <c r="U752">
        <v>24</v>
      </c>
      <c r="V752">
        <v>24</v>
      </c>
      <c r="W752">
        <v>24</v>
      </c>
      <c r="X752">
        <v>24</v>
      </c>
      <c r="Y752">
        <f t="shared" si="121"/>
        <v>0</v>
      </c>
      <c r="Z752">
        <f t="shared" si="122"/>
        <v>0</v>
      </c>
      <c r="AC752" s="1">
        <v>0</v>
      </c>
      <c r="AF752">
        <f t="shared" si="131"/>
        <v>24</v>
      </c>
      <c r="AG752" s="41">
        <v>24</v>
      </c>
      <c r="AH752">
        <f t="shared" si="124"/>
        <v>24</v>
      </c>
      <c r="AI752">
        <f t="shared" si="125"/>
        <v>0</v>
      </c>
      <c r="AK752">
        <f t="shared" si="126"/>
        <v>1</v>
      </c>
      <c r="AL752">
        <v>5.03</v>
      </c>
      <c r="AM752" t="s">
        <v>27</v>
      </c>
      <c r="AN752">
        <v>5.03</v>
      </c>
      <c r="AO752" t="b">
        <f t="shared" si="127"/>
        <v>1</v>
      </c>
      <c r="AR752" t="s">
        <v>5061</v>
      </c>
      <c r="AS752" s="21">
        <v>46276</v>
      </c>
      <c r="AT752" t="s">
        <v>5062</v>
      </c>
      <c r="AU752" t="s">
        <v>5081</v>
      </c>
      <c r="AV752" t="s">
        <v>5062</v>
      </c>
      <c r="AW752" t="s">
        <v>5086</v>
      </c>
    </row>
    <row r="753" spans="1:49" hidden="1" x14ac:dyDescent="0.35">
      <c r="A753" t="s">
        <v>2796</v>
      </c>
      <c r="B753" t="s">
        <v>872</v>
      </c>
      <c r="C753" t="s">
        <v>4818</v>
      </c>
      <c r="D753" t="s">
        <v>18</v>
      </c>
      <c r="E753" t="s">
        <v>3197</v>
      </c>
      <c r="F753" t="s">
        <v>3198</v>
      </c>
      <c r="G753" t="s">
        <v>21</v>
      </c>
      <c r="H753" t="s">
        <v>4888</v>
      </c>
      <c r="I753" t="s">
        <v>5008</v>
      </c>
      <c r="J753" s="4" t="s">
        <v>5009</v>
      </c>
      <c r="K753" s="4" t="s">
        <v>5017</v>
      </c>
      <c r="L753" s="4">
        <v>34</v>
      </c>
      <c r="M753" s="4" t="s">
        <v>5035</v>
      </c>
      <c r="N753" t="s">
        <v>3199</v>
      </c>
      <c r="O753" t="s">
        <v>3200</v>
      </c>
      <c r="P753" t="s">
        <v>23</v>
      </c>
      <c r="Q753" t="s">
        <v>24</v>
      </c>
      <c r="R753" t="s">
        <v>25</v>
      </c>
      <c r="S753" t="s">
        <v>26</v>
      </c>
      <c r="T753" s="6">
        <v>46307</v>
      </c>
      <c r="U753">
        <v>936</v>
      </c>
      <c r="V753">
        <v>936</v>
      </c>
      <c r="W753">
        <v>840</v>
      </c>
      <c r="X753">
        <v>840</v>
      </c>
      <c r="Y753">
        <f t="shared" si="121"/>
        <v>0</v>
      </c>
      <c r="Z753">
        <f t="shared" si="122"/>
        <v>96</v>
      </c>
      <c r="AA753">
        <f>Z753</f>
        <v>96</v>
      </c>
      <c r="AC753" s="1">
        <v>0</v>
      </c>
      <c r="AF753">
        <f>X753</f>
        <v>840</v>
      </c>
      <c r="AG753" s="41">
        <v>24</v>
      </c>
      <c r="AH753">
        <f t="shared" si="124"/>
        <v>840</v>
      </c>
      <c r="AI753">
        <f t="shared" si="125"/>
        <v>96</v>
      </c>
      <c r="AK753">
        <f t="shared" si="126"/>
        <v>35</v>
      </c>
      <c r="AL753">
        <v>10.01</v>
      </c>
      <c r="AM753" t="s">
        <v>27</v>
      </c>
      <c r="AN753">
        <v>10.01</v>
      </c>
      <c r="AO753" t="b">
        <f t="shared" si="127"/>
        <v>1</v>
      </c>
      <c r="AR753" t="s">
        <v>5061</v>
      </c>
      <c r="AS753" s="21">
        <v>46276</v>
      </c>
      <c r="AT753" t="s">
        <v>5062</v>
      </c>
      <c r="AU753" t="s">
        <v>5080</v>
      </c>
      <c r="AV753" t="s">
        <v>5062</v>
      </c>
      <c r="AW753" t="s">
        <v>5086</v>
      </c>
    </row>
    <row r="754" spans="1:49" hidden="1" x14ac:dyDescent="0.35">
      <c r="A754" t="s">
        <v>2796</v>
      </c>
      <c r="B754" t="s">
        <v>872</v>
      </c>
      <c r="C754" t="s">
        <v>4818</v>
      </c>
      <c r="D754" t="s">
        <v>18</v>
      </c>
      <c r="E754" t="s">
        <v>3201</v>
      </c>
      <c r="F754" t="s">
        <v>3202</v>
      </c>
      <c r="G754" t="s">
        <v>21</v>
      </c>
      <c r="H754" t="s">
        <v>4888</v>
      </c>
      <c r="I754" t="s">
        <v>5003</v>
      </c>
      <c r="J754" s="4" t="s">
        <v>5004</v>
      </c>
      <c r="K754" s="4" t="s">
        <v>5015</v>
      </c>
      <c r="L754" s="4" t="s">
        <v>4927</v>
      </c>
      <c r="M754" s="4" t="s">
        <v>5035</v>
      </c>
      <c r="N754" t="s">
        <v>3203</v>
      </c>
      <c r="O754" t="s">
        <v>3204</v>
      </c>
      <c r="P754" t="s">
        <v>23</v>
      </c>
      <c r="Q754" t="s">
        <v>24</v>
      </c>
      <c r="R754" t="s">
        <v>25</v>
      </c>
      <c r="S754" t="s">
        <v>26</v>
      </c>
      <c r="T754" s="6">
        <v>46307</v>
      </c>
      <c r="U754">
        <v>48</v>
      </c>
      <c r="V754">
        <v>48</v>
      </c>
      <c r="W754">
        <v>48</v>
      </c>
      <c r="X754">
        <v>48</v>
      </c>
      <c r="Y754">
        <f t="shared" si="121"/>
        <v>0</v>
      </c>
      <c r="Z754">
        <f t="shared" si="122"/>
        <v>0</v>
      </c>
      <c r="AC754" s="1">
        <v>0</v>
      </c>
      <c r="AF754">
        <f>V754</f>
        <v>48</v>
      </c>
      <c r="AG754" s="41">
        <v>12</v>
      </c>
      <c r="AH754">
        <f t="shared" si="124"/>
        <v>48</v>
      </c>
      <c r="AI754">
        <f t="shared" si="125"/>
        <v>0</v>
      </c>
      <c r="AK754">
        <f t="shared" si="126"/>
        <v>4</v>
      </c>
      <c r="AL754">
        <v>13.01</v>
      </c>
      <c r="AM754" t="s">
        <v>27</v>
      </c>
      <c r="AN754">
        <v>13.01</v>
      </c>
      <c r="AO754" t="b">
        <f t="shared" si="127"/>
        <v>1</v>
      </c>
      <c r="AR754" t="s">
        <v>5061</v>
      </c>
      <c r="AS754" s="21">
        <v>46276</v>
      </c>
      <c r="AT754" t="s">
        <v>5062</v>
      </c>
      <c r="AU754" t="s">
        <v>5078</v>
      </c>
      <c r="AV754" t="s">
        <v>5062</v>
      </c>
      <c r="AW754" t="s">
        <v>5086</v>
      </c>
    </row>
    <row r="755" spans="1:49" hidden="1" x14ac:dyDescent="0.35">
      <c r="A755" t="s">
        <v>2796</v>
      </c>
      <c r="B755" t="s">
        <v>872</v>
      </c>
      <c r="C755" t="s">
        <v>4818</v>
      </c>
      <c r="D755" t="s">
        <v>18</v>
      </c>
      <c r="E755" t="s">
        <v>3205</v>
      </c>
      <c r="F755" t="s">
        <v>3206</v>
      </c>
      <c r="G755" t="s">
        <v>21</v>
      </c>
      <c r="H755" t="s">
        <v>4888</v>
      </c>
      <c r="I755" t="s">
        <v>5025</v>
      </c>
      <c r="J755" s="4" t="s">
        <v>5026</v>
      </c>
      <c r="K755" s="4" t="s">
        <v>5020</v>
      </c>
      <c r="L755" s="4" t="s">
        <v>4986</v>
      </c>
      <c r="M755" s="4" t="s">
        <v>5035</v>
      </c>
      <c r="N755" t="s">
        <v>3207</v>
      </c>
      <c r="O755" t="s">
        <v>3208</v>
      </c>
      <c r="P755" t="s">
        <v>23</v>
      </c>
      <c r="Q755" t="s">
        <v>24</v>
      </c>
      <c r="R755" t="s">
        <v>25</v>
      </c>
      <c r="S755" t="s">
        <v>26</v>
      </c>
      <c r="T755" s="6">
        <v>46307</v>
      </c>
      <c r="U755">
        <v>432</v>
      </c>
      <c r="V755">
        <v>432</v>
      </c>
      <c r="W755">
        <v>456</v>
      </c>
      <c r="X755">
        <v>456</v>
      </c>
      <c r="Y755">
        <f t="shared" si="121"/>
        <v>0</v>
      </c>
      <c r="Z755">
        <f t="shared" si="122"/>
        <v>-24</v>
      </c>
      <c r="AC755" s="1">
        <v>0</v>
      </c>
      <c r="AF755">
        <f>V755</f>
        <v>432</v>
      </c>
      <c r="AG755" s="41">
        <v>24</v>
      </c>
      <c r="AH755">
        <f t="shared" si="124"/>
        <v>432</v>
      </c>
      <c r="AI755">
        <f t="shared" si="125"/>
        <v>0</v>
      </c>
      <c r="AK755">
        <f t="shared" si="126"/>
        <v>18</v>
      </c>
      <c r="AL755">
        <v>6.2</v>
      </c>
      <c r="AM755" t="s">
        <v>27</v>
      </c>
      <c r="AN755">
        <v>6.2</v>
      </c>
      <c r="AO755" t="b">
        <f t="shared" si="127"/>
        <v>1</v>
      </c>
      <c r="AR755" t="s">
        <v>5061</v>
      </c>
      <c r="AS755" s="21">
        <v>46276</v>
      </c>
      <c r="AT755" t="s">
        <v>5062</v>
      </c>
      <c r="AU755" t="s">
        <v>5082</v>
      </c>
      <c r="AV755" t="s">
        <v>5062</v>
      </c>
      <c r="AW755" t="s">
        <v>5086</v>
      </c>
    </row>
    <row r="756" spans="1:49" hidden="1" x14ac:dyDescent="0.35">
      <c r="A756" t="s">
        <v>2796</v>
      </c>
      <c r="B756" t="s">
        <v>872</v>
      </c>
      <c r="C756" t="s">
        <v>4818</v>
      </c>
      <c r="D756" t="s">
        <v>18</v>
      </c>
      <c r="E756" t="s">
        <v>3209</v>
      </c>
      <c r="F756" t="s">
        <v>3210</v>
      </c>
      <c r="G756" t="s">
        <v>21</v>
      </c>
      <c r="H756" t="s">
        <v>4888</v>
      </c>
      <c r="I756" t="s">
        <v>5012</v>
      </c>
      <c r="J756" s="4" t="s">
        <v>5013</v>
      </c>
      <c r="K756" s="4" t="s">
        <v>4904</v>
      </c>
      <c r="L756" s="4" t="s">
        <v>4989</v>
      </c>
      <c r="M756" s="4" t="s">
        <v>5035</v>
      </c>
      <c r="N756" t="s">
        <v>3211</v>
      </c>
      <c r="O756" t="s">
        <v>3212</v>
      </c>
      <c r="P756" t="s">
        <v>23</v>
      </c>
      <c r="Q756" t="s">
        <v>24</v>
      </c>
      <c r="R756" t="s">
        <v>25</v>
      </c>
      <c r="S756" t="s">
        <v>26</v>
      </c>
      <c r="T756" s="6">
        <v>46307</v>
      </c>
      <c r="U756">
        <v>456</v>
      </c>
      <c r="V756">
        <v>456</v>
      </c>
      <c r="W756">
        <v>504</v>
      </c>
      <c r="X756">
        <v>504</v>
      </c>
      <c r="Y756">
        <f t="shared" si="121"/>
        <v>0</v>
      </c>
      <c r="Z756">
        <f t="shared" si="122"/>
        <v>-48</v>
      </c>
      <c r="AC756" s="1">
        <v>0</v>
      </c>
      <c r="AF756">
        <f>V756</f>
        <v>456</v>
      </c>
      <c r="AG756" s="41">
        <v>24</v>
      </c>
      <c r="AH756">
        <f t="shared" si="124"/>
        <v>456</v>
      </c>
      <c r="AI756">
        <f t="shared" si="125"/>
        <v>0</v>
      </c>
      <c r="AK756">
        <f t="shared" si="126"/>
        <v>19</v>
      </c>
      <c r="AL756">
        <v>6.15</v>
      </c>
      <c r="AM756" t="s">
        <v>27</v>
      </c>
      <c r="AN756">
        <v>6.15</v>
      </c>
      <c r="AO756" t="b">
        <f t="shared" si="127"/>
        <v>1</v>
      </c>
      <c r="AR756" t="s">
        <v>5061</v>
      </c>
      <c r="AS756" s="21">
        <v>46276</v>
      </c>
      <c r="AT756" t="s">
        <v>5062</v>
      </c>
      <c r="AU756" t="s">
        <v>5081</v>
      </c>
      <c r="AV756" t="s">
        <v>5062</v>
      </c>
      <c r="AW756" t="s">
        <v>5086</v>
      </c>
    </row>
    <row r="757" spans="1:49" hidden="1" x14ac:dyDescent="0.35">
      <c r="A757" t="s">
        <v>2796</v>
      </c>
      <c r="B757" t="s">
        <v>872</v>
      </c>
      <c r="C757" t="s">
        <v>4818</v>
      </c>
      <c r="D757" t="s">
        <v>18</v>
      </c>
      <c r="E757" t="s">
        <v>3213</v>
      </c>
      <c r="F757" t="s">
        <v>3214</v>
      </c>
      <c r="G757" t="s">
        <v>21</v>
      </c>
      <c r="H757" t="s">
        <v>4888</v>
      </c>
      <c r="I757" t="s">
        <v>5003</v>
      </c>
      <c r="J757" s="4" t="s">
        <v>5004</v>
      </c>
      <c r="K757" s="4" t="s">
        <v>5015</v>
      </c>
      <c r="L757" s="4" t="s">
        <v>4897</v>
      </c>
      <c r="M757" s="4" t="s">
        <v>5035</v>
      </c>
      <c r="N757" t="s">
        <v>3215</v>
      </c>
      <c r="O757" t="s">
        <v>3216</v>
      </c>
      <c r="P757" t="s">
        <v>23</v>
      </c>
      <c r="Q757" t="s">
        <v>24</v>
      </c>
      <c r="R757" t="s">
        <v>25</v>
      </c>
      <c r="S757" t="s">
        <v>26</v>
      </c>
      <c r="T757" s="6">
        <v>46307</v>
      </c>
      <c r="U757">
        <v>48</v>
      </c>
      <c r="V757">
        <v>48</v>
      </c>
      <c r="W757">
        <v>36</v>
      </c>
      <c r="X757">
        <v>36</v>
      </c>
      <c r="Y757">
        <f t="shared" si="121"/>
        <v>0</v>
      </c>
      <c r="Z757">
        <f t="shared" si="122"/>
        <v>12</v>
      </c>
      <c r="AA757">
        <f>Z757</f>
        <v>12</v>
      </c>
      <c r="AC757" s="1">
        <v>0</v>
      </c>
      <c r="AF757">
        <f>X757</f>
        <v>36</v>
      </c>
      <c r="AG757" s="41">
        <v>12</v>
      </c>
      <c r="AH757">
        <f t="shared" si="124"/>
        <v>36</v>
      </c>
      <c r="AI757">
        <f t="shared" si="125"/>
        <v>12</v>
      </c>
      <c r="AK757">
        <f t="shared" si="126"/>
        <v>3</v>
      </c>
      <c r="AL757">
        <v>13.01</v>
      </c>
      <c r="AM757" t="s">
        <v>27</v>
      </c>
      <c r="AN757">
        <v>13.01</v>
      </c>
      <c r="AO757" t="b">
        <f t="shared" si="127"/>
        <v>1</v>
      </c>
      <c r="AR757" t="s">
        <v>5061</v>
      </c>
      <c r="AS757" s="21">
        <v>46276</v>
      </c>
      <c r="AT757" t="s">
        <v>5062</v>
      </c>
      <c r="AU757" t="s">
        <v>5078</v>
      </c>
      <c r="AV757" t="s">
        <v>5062</v>
      </c>
      <c r="AW757" t="s">
        <v>5086</v>
      </c>
    </row>
    <row r="758" spans="1:49" hidden="1" x14ac:dyDescent="0.35">
      <c r="A758" t="s">
        <v>2796</v>
      </c>
      <c r="B758" t="s">
        <v>872</v>
      </c>
      <c r="C758" t="s">
        <v>4818</v>
      </c>
      <c r="D758" t="s">
        <v>18</v>
      </c>
      <c r="E758" t="s">
        <v>3217</v>
      </c>
      <c r="F758" t="s">
        <v>3218</v>
      </c>
      <c r="G758" t="s">
        <v>21</v>
      </c>
      <c r="H758" t="s">
        <v>4888</v>
      </c>
      <c r="I758" t="s">
        <v>5003</v>
      </c>
      <c r="J758" s="4" t="s">
        <v>5004</v>
      </c>
      <c r="K758" s="4" t="s">
        <v>5016</v>
      </c>
      <c r="L758" s="4" t="s">
        <v>4879</v>
      </c>
      <c r="M758" s="4" t="s">
        <v>5035</v>
      </c>
      <c r="N758" t="s">
        <v>3219</v>
      </c>
      <c r="O758" t="s">
        <v>3220</v>
      </c>
      <c r="P758" t="s">
        <v>23</v>
      </c>
      <c r="Q758" t="s">
        <v>24</v>
      </c>
      <c r="R758" t="s">
        <v>25</v>
      </c>
      <c r="S758" t="s">
        <v>26</v>
      </c>
      <c r="T758" s="6">
        <v>46307</v>
      </c>
      <c r="U758">
        <v>120</v>
      </c>
      <c r="V758">
        <v>120</v>
      </c>
      <c r="W758">
        <v>132</v>
      </c>
      <c r="X758">
        <v>132</v>
      </c>
      <c r="Y758">
        <f t="shared" si="121"/>
        <v>0</v>
      </c>
      <c r="Z758">
        <f t="shared" si="122"/>
        <v>-12</v>
      </c>
      <c r="AC758" s="1">
        <v>0</v>
      </c>
      <c r="AF758">
        <f>V758</f>
        <v>120</v>
      </c>
      <c r="AG758" s="41">
        <v>12</v>
      </c>
      <c r="AH758">
        <f t="shared" si="124"/>
        <v>120</v>
      </c>
      <c r="AI758">
        <f t="shared" si="125"/>
        <v>0</v>
      </c>
      <c r="AK758">
        <f t="shared" si="126"/>
        <v>10</v>
      </c>
      <c r="AL758">
        <v>13.33</v>
      </c>
      <c r="AM758" t="s">
        <v>27</v>
      </c>
      <c r="AN758">
        <v>13.33</v>
      </c>
      <c r="AO758" t="b">
        <f t="shared" si="127"/>
        <v>1</v>
      </c>
      <c r="AR758" t="s">
        <v>5061</v>
      </c>
      <c r="AS758" s="21">
        <v>46276</v>
      </c>
      <c r="AT758" t="s">
        <v>5062</v>
      </c>
      <c r="AU758" t="s">
        <v>5078</v>
      </c>
      <c r="AV758" t="s">
        <v>5062</v>
      </c>
      <c r="AW758" t="s">
        <v>5086</v>
      </c>
    </row>
    <row r="759" spans="1:49" hidden="1" x14ac:dyDescent="0.35">
      <c r="A759" t="s">
        <v>2796</v>
      </c>
      <c r="B759" t="s">
        <v>872</v>
      </c>
      <c r="C759" t="s">
        <v>4818</v>
      </c>
      <c r="D759" t="s">
        <v>18</v>
      </c>
      <c r="E759" t="s">
        <v>3221</v>
      </c>
      <c r="F759" t="s">
        <v>3222</v>
      </c>
      <c r="G759" t="s">
        <v>21</v>
      </c>
      <c r="H759" t="s">
        <v>4888</v>
      </c>
      <c r="I759" t="s">
        <v>5003</v>
      </c>
      <c r="J759" s="4" t="s">
        <v>5004</v>
      </c>
      <c r="K759" s="4" t="s">
        <v>5016</v>
      </c>
      <c r="L759" s="4" t="s">
        <v>4926</v>
      </c>
      <c r="M759" s="4" t="s">
        <v>5035</v>
      </c>
      <c r="N759" t="s">
        <v>3223</v>
      </c>
      <c r="O759" t="s">
        <v>3224</v>
      </c>
      <c r="P759" t="s">
        <v>23</v>
      </c>
      <c r="Q759" t="s">
        <v>24</v>
      </c>
      <c r="R759" t="s">
        <v>25</v>
      </c>
      <c r="S759" t="s">
        <v>26</v>
      </c>
      <c r="T759" s="6">
        <v>46307</v>
      </c>
      <c r="U759">
        <v>72</v>
      </c>
      <c r="V759">
        <v>72</v>
      </c>
      <c r="W759">
        <v>72</v>
      </c>
      <c r="X759">
        <v>72</v>
      </c>
      <c r="Y759">
        <f t="shared" si="121"/>
        <v>0</v>
      </c>
      <c r="Z759">
        <f t="shared" si="122"/>
        <v>0</v>
      </c>
      <c r="AC759" s="1">
        <v>0</v>
      </c>
      <c r="AF759">
        <f>V759</f>
        <v>72</v>
      </c>
      <c r="AG759" s="41">
        <v>12</v>
      </c>
      <c r="AH759">
        <f t="shared" si="124"/>
        <v>72</v>
      </c>
      <c r="AI759">
        <f t="shared" si="125"/>
        <v>0</v>
      </c>
      <c r="AK759">
        <f t="shared" si="126"/>
        <v>6</v>
      </c>
      <c r="AL759">
        <v>13.33</v>
      </c>
      <c r="AM759" t="s">
        <v>27</v>
      </c>
      <c r="AN759">
        <v>13.33</v>
      </c>
      <c r="AO759" t="b">
        <f t="shared" si="127"/>
        <v>1</v>
      </c>
      <c r="AR759" t="s">
        <v>5061</v>
      </c>
      <c r="AS759" s="21">
        <v>46276</v>
      </c>
      <c r="AT759" t="s">
        <v>5062</v>
      </c>
      <c r="AU759" t="s">
        <v>5078</v>
      </c>
      <c r="AV759" t="s">
        <v>5062</v>
      </c>
      <c r="AW759" t="s">
        <v>5086</v>
      </c>
    </row>
    <row r="760" spans="1:49" hidden="1" x14ac:dyDescent="0.35">
      <c r="A760" t="s">
        <v>2796</v>
      </c>
      <c r="B760" t="s">
        <v>872</v>
      </c>
      <c r="C760" t="s">
        <v>4818</v>
      </c>
      <c r="D760" t="s">
        <v>18</v>
      </c>
      <c r="E760" t="s">
        <v>3225</v>
      </c>
      <c r="F760" t="s">
        <v>3226</v>
      </c>
      <c r="G760" t="s">
        <v>21</v>
      </c>
      <c r="H760" t="s">
        <v>4888</v>
      </c>
      <c r="I760" t="s">
        <v>5003</v>
      </c>
      <c r="J760" s="4" t="s">
        <v>5004</v>
      </c>
      <c r="K760" s="4" t="s">
        <v>4837</v>
      </c>
      <c r="L760" s="4" t="s">
        <v>4926</v>
      </c>
      <c r="M760" s="4" t="s">
        <v>5035</v>
      </c>
      <c r="N760" t="s">
        <v>3227</v>
      </c>
      <c r="O760" t="s">
        <v>3228</v>
      </c>
      <c r="P760" t="s">
        <v>23</v>
      </c>
      <c r="Q760" t="s">
        <v>24</v>
      </c>
      <c r="R760" t="s">
        <v>25</v>
      </c>
      <c r="S760" t="s">
        <v>26</v>
      </c>
      <c r="T760" s="6">
        <v>46307</v>
      </c>
      <c r="U760">
        <v>60</v>
      </c>
      <c r="V760">
        <v>60</v>
      </c>
      <c r="W760">
        <v>60</v>
      </c>
      <c r="X760">
        <v>60</v>
      </c>
      <c r="Y760">
        <f t="shared" si="121"/>
        <v>0</v>
      </c>
      <c r="Z760">
        <f t="shared" si="122"/>
        <v>0</v>
      </c>
      <c r="AC760" s="1">
        <v>0</v>
      </c>
      <c r="AF760">
        <f>V760</f>
        <v>60</v>
      </c>
      <c r="AG760" s="41">
        <v>12</v>
      </c>
      <c r="AH760">
        <f t="shared" si="124"/>
        <v>60</v>
      </c>
      <c r="AI760">
        <f t="shared" si="125"/>
        <v>0</v>
      </c>
      <c r="AK760">
        <f t="shared" si="126"/>
        <v>5</v>
      </c>
      <c r="AL760">
        <v>12.87</v>
      </c>
      <c r="AM760" t="s">
        <v>27</v>
      </c>
      <c r="AN760">
        <v>12.87</v>
      </c>
      <c r="AO760" t="b">
        <f t="shared" si="127"/>
        <v>1</v>
      </c>
      <c r="AR760" t="s">
        <v>5061</v>
      </c>
      <c r="AS760" s="21">
        <v>46276</v>
      </c>
      <c r="AT760" t="s">
        <v>5062</v>
      </c>
      <c r="AU760" t="s">
        <v>5078</v>
      </c>
      <c r="AV760" t="s">
        <v>5062</v>
      </c>
      <c r="AW760" t="s">
        <v>5086</v>
      </c>
    </row>
    <row r="761" spans="1:49" hidden="1" x14ac:dyDescent="0.35">
      <c r="A761" t="s">
        <v>2796</v>
      </c>
      <c r="B761" t="s">
        <v>872</v>
      </c>
      <c r="C761" t="s">
        <v>4818</v>
      </c>
      <c r="D761" t="s">
        <v>18</v>
      </c>
      <c r="E761" t="s">
        <v>3229</v>
      </c>
      <c r="F761" t="s">
        <v>3230</v>
      </c>
      <c r="G761" t="s">
        <v>21</v>
      </c>
      <c r="H761" t="s">
        <v>4888</v>
      </c>
      <c r="I761" t="s">
        <v>5003</v>
      </c>
      <c r="J761" s="4" t="s">
        <v>5004</v>
      </c>
      <c r="K761" s="4" t="s">
        <v>5016</v>
      </c>
      <c r="L761" s="4" t="s">
        <v>4930</v>
      </c>
      <c r="M761" s="4" t="s">
        <v>5035</v>
      </c>
      <c r="N761" t="s">
        <v>3231</v>
      </c>
      <c r="O761" t="s">
        <v>3232</v>
      </c>
      <c r="P761" t="s">
        <v>23</v>
      </c>
      <c r="Q761" t="s">
        <v>24</v>
      </c>
      <c r="R761" t="s">
        <v>25</v>
      </c>
      <c r="S761" t="s">
        <v>26</v>
      </c>
      <c r="T761" s="6">
        <v>46307</v>
      </c>
      <c r="U761">
        <v>24</v>
      </c>
      <c r="V761">
        <v>24</v>
      </c>
      <c r="W761">
        <v>24</v>
      </c>
      <c r="X761">
        <v>24</v>
      </c>
      <c r="Y761">
        <f t="shared" si="121"/>
        <v>0</v>
      </c>
      <c r="Z761">
        <f t="shared" si="122"/>
        <v>0</v>
      </c>
      <c r="AC761" s="1">
        <v>0</v>
      </c>
      <c r="AF761">
        <f>V761</f>
        <v>24</v>
      </c>
      <c r="AG761" s="41">
        <v>12</v>
      </c>
      <c r="AH761">
        <f t="shared" si="124"/>
        <v>24</v>
      </c>
      <c r="AI761">
        <f t="shared" si="125"/>
        <v>0</v>
      </c>
      <c r="AK761">
        <f t="shared" si="126"/>
        <v>2</v>
      </c>
      <c r="AL761">
        <v>13.33</v>
      </c>
      <c r="AM761" t="s">
        <v>27</v>
      </c>
      <c r="AN761">
        <v>13.33</v>
      </c>
      <c r="AO761" t="b">
        <f t="shared" si="127"/>
        <v>1</v>
      </c>
      <c r="AR761" t="s">
        <v>5061</v>
      </c>
      <c r="AS761" s="21">
        <v>46276</v>
      </c>
      <c r="AT761" t="s">
        <v>5062</v>
      </c>
      <c r="AU761" t="s">
        <v>5078</v>
      </c>
      <c r="AV761" t="s">
        <v>5062</v>
      </c>
      <c r="AW761" t="s">
        <v>5086</v>
      </c>
    </row>
    <row r="762" spans="1:49" hidden="1" x14ac:dyDescent="0.35">
      <c r="A762" t="s">
        <v>2796</v>
      </c>
      <c r="B762" t="s">
        <v>872</v>
      </c>
      <c r="C762" t="s">
        <v>4818</v>
      </c>
      <c r="D762" t="s">
        <v>18</v>
      </c>
      <c r="E762" t="s">
        <v>3233</v>
      </c>
      <c r="F762" t="s">
        <v>3234</v>
      </c>
      <c r="G762" t="s">
        <v>21</v>
      </c>
      <c r="H762" t="s">
        <v>4888</v>
      </c>
      <c r="I762" t="s">
        <v>5025</v>
      </c>
      <c r="J762" s="4" t="s">
        <v>5026</v>
      </c>
      <c r="K762" s="4" t="s">
        <v>5020</v>
      </c>
      <c r="L762" s="4" t="s">
        <v>4989</v>
      </c>
      <c r="M762" s="4" t="s">
        <v>5035</v>
      </c>
      <c r="N762" t="s">
        <v>3235</v>
      </c>
      <c r="O762" t="s">
        <v>3236</v>
      </c>
      <c r="P762" t="s">
        <v>23</v>
      </c>
      <c r="Q762" t="s">
        <v>24</v>
      </c>
      <c r="R762" t="s">
        <v>25</v>
      </c>
      <c r="S762" t="s">
        <v>26</v>
      </c>
      <c r="T762" s="6">
        <v>46307</v>
      </c>
      <c r="U762">
        <v>384</v>
      </c>
      <c r="V762">
        <v>384</v>
      </c>
      <c r="W762">
        <v>360</v>
      </c>
      <c r="X762">
        <v>360</v>
      </c>
      <c r="Y762">
        <f t="shared" si="121"/>
        <v>0</v>
      </c>
      <c r="Z762">
        <f t="shared" si="122"/>
        <v>24</v>
      </c>
      <c r="AA762">
        <f>Z762</f>
        <v>24</v>
      </c>
      <c r="AC762" s="1">
        <v>0</v>
      </c>
      <c r="AF762">
        <f>X762</f>
        <v>360</v>
      </c>
      <c r="AG762" s="41">
        <v>24</v>
      </c>
      <c r="AH762">
        <f t="shared" si="124"/>
        <v>360</v>
      </c>
      <c r="AI762">
        <f t="shared" si="125"/>
        <v>24</v>
      </c>
      <c r="AK762">
        <f t="shared" si="126"/>
        <v>15</v>
      </c>
      <c r="AL762">
        <v>6.2</v>
      </c>
      <c r="AM762" t="s">
        <v>27</v>
      </c>
      <c r="AN762">
        <v>6.2</v>
      </c>
      <c r="AO762" t="b">
        <f t="shared" si="127"/>
        <v>1</v>
      </c>
      <c r="AR762" t="s">
        <v>5061</v>
      </c>
      <c r="AS762" s="21">
        <v>46276</v>
      </c>
      <c r="AT762" t="s">
        <v>5062</v>
      </c>
      <c r="AU762" t="s">
        <v>5082</v>
      </c>
      <c r="AV762" t="s">
        <v>5062</v>
      </c>
      <c r="AW762" t="s">
        <v>5086</v>
      </c>
    </row>
    <row r="763" spans="1:49" hidden="1" x14ac:dyDescent="0.35">
      <c r="A763" t="s">
        <v>2796</v>
      </c>
      <c r="B763" t="s">
        <v>872</v>
      </c>
      <c r="C763" t="s">
        <v>4818</v>
      </c>
      <c r="D763" t="s">
        <v>18</v>
      </c>
      <c r="E763" t="s">
        <v>3237</v>
      </c>
      <c r="F763" t="s">
        <v>3238</v>
      </c>
      <c r="G763" t="s">
        <v>21</v>
      </c>
      <c r="H763" t="s">
        <v>4888</v>
      </c>
      <c r="I763" t="s">
        <v>5008</v>
      </c>
      <c r="J763" s="4" t="s">
        <v>5009</v>
      </c>
      <c r="K763" s="4" t="s">
        <v>5021</v>
      </c>
      <c r="L763" s="4">
        <v>42</v>
      </c>
      <c r="M763" s="4" t="s">
        <v>5035</v>
      </c>
      <c r="N763" t="s">
        <v>3239</v>
      </c>
      <c r="O763" t="s">
        <v>3240</v>
      </c>
      <c r="P763" t="s">
        <v>23</v>
      </c>
      <c r="Q763" t="s">
        <v>24</v>
      </c>
      <c r="R763" t="s">
        <v>25</v>
      </c>
      <c r="S763" t="s">
        <v>26</v>
      </c>
      <c r="T763" s="6">
        <v>46307</v>
      </c>
      <c r="U763">
        <v>336</v>
      </c>
      <c r="V763">
        <v>336</v>
      </c>
      <c r="W763">
        <v>360</v>
      </c>
      <c r="X763">
        <v>360</v>
      </c>
      <c r="Y763">
        <f t="shared" si="121"/>
        <v>0</v>
      </c>
      <c r="Z763">
        <f t="shared" si="122"/>
        <v>-24</v>
      </c>
      <c r="AC763" s="1"/>
      <c r="AF763">
        <f t="shared" ref="AF763:AF773" si="132">V763</f>
        <v>336</v>
      </c>
      <c r="AG763" s="41">
        <v>24</v>
      </c>
      <c r="AH763">
        <f t="shared" si="124"/>
        <v>336</v>
      </c>
      <c r="AI763">
        <f t="shared" si="125"/>
        <v>0</v>
      </c>
      <c r="AK763">
        <f t="shared" si="126"/>
        <v>14</v>
      </c>
      <c r="AL763">
        <v>10.11</v>
      </c>
      <c r="AM763" t="s">
        <v>27</v>
      </c>
      <c r="AN763">
        <v>10.11</v>
      </c>
      <c r="AO763" t="b">
        <f t="shared" si="127"/>
        <v>1</v>
      </c>
      <c r="AR763" t="s">
        <v>5061</v>
      </c>
      <c r="AS763" s="21">
        <v>46276</v>
      </c>
      <c r="AT763" t="s">
        <v>5062</v>
      </c>
      <c r="AU763" t="s">
        <v>5080</v>
      </c>
      <c r="AV763" t="s">
        <v>5062</v>
      </c>
      <c r="AW763" t="s">
        <v>5086</v>
      </c>
    </row>
    <row r="764" spans="1:49" hidden="1" x14ac:dyDescent="0.35">
      <c r="A764" t="s">
        <v>2796</v>
      </c>
      <c r="B764" t="s">
        <v>872</v>
      </c>
      <c r="C764" t="s">
        <v>4818</v>
      </c>
      <c r="D764" t="s">
        <v>18</v>
      </c>
      <c r="E764" t="s">
        <v>3241</v>
      </c>
      <c r="F764" t="s">
        <v>3242</v>
      </c>
      <c r="G764" t="s">
        <v>21</v>
      </c>
      <c r="H764" t="s">
        <v>4888</v>
      </c>
      <c r="I764" t="s">
        <v>5022</v>
      </c>
      <c r="J764" s="4" t="s">
        <v>5023</v>
      </c>
      <c r="K764" s="4" t="s">
        <v>5024</v>
      </c>
      <c r="L764" s="4">
        <v>0</v>
      </c>
      <c r="M764" s="4" t="s">
        <v>5035</v>
      </c>
      <c r="N764" t="s">
        <v>3243</v>
      </c>
      <c r="O764" t="s">
        <v>3244</v>
      </c>
      <c r="P764" t="s">
        <v>23</v>
      </c>
      <c r="Q764" t="s">
        <v>24</v>
      </c>
      <c r="R764" t="s">
        <v>25</v>
      </c>
      <c r="S764" t="s">
        <v>26</v>
      </c>
      <c r="T764" s="6">
        <v>46307</v>
      </c>
      <c r="U764">
        <v>384</v>
      </c>
      <c r="V764">
        <v>384</v>
      </c>
      <c r="W764">
        <v>408</v>
      </c>
      <c r="X764">
        <v>408</v>
      </c>
      <c r="Y764">
        <f t="shared" si="121"/>
        <v>0</v>
      </c>
      <c r="Z764">
        <f t="shared" si="122"/>
        <v>-24</v>
      </c>
      <c r="AC764" s="1">
        <v>0</v>
      </c>
      <c r="AF764">
        <f t="shared" si="132"/>
        <v>384</v>
      </c>
      <c r="AG764" s="41">
        <v>24</v>
      </c>
      <c r="AH764">
        <f t="shared" si="124"/>
        <v>384</v>
      </c>
      <c r="AI764">
        <f t="shared" si="125"/>
        <v>0</v>
      </c>
      <c r="AK764">
        <f t="shared" si="126"/>
        <v>16</v>
      </c>
      <c r="AL764">
        <v>6.99</v>
      </c>
      <c r="AM764" t="s">
        <v>27</v>
      </c>
      <c r="AN764">
        <v>8.68</v>
      </c>
      <c r="AO764" t="b">
        <f t="shared" si="127"/>
        <v>0</v>
      </c>
      <c r="AR764" t="s">
        <v>5061</v>
      </c>
      <c r="AS764" s="21">
        <v>46276</v>
      </c>
      <c r="AT764" t="s">
        <v>5062</v>
      </c>
      <c r="AU764" t="s">
        <v>5083</v>
      </c>
      <c r="AV764" t="s">
        <v>5062</v>
      </c>
      <c r="AW764" t="s">
        <v>5086</v>
      </c>
    </row>
    <row r="765" spans="1:49" hidden="1" x14ac:dyDescent="0.35">
      <c r="A765" t="s">
        <v>2796</v>
      </c>
      <c r="B765" t="s">
        <v>872</v>
      </c>
      <c r="C765" t="s">
        <v>4818</v>
      </c>
      <c r="D765" t="s">
        <v>18</v>
      </c>
      <c r="E765" t="s">
        <v>3245</v>
      </c>
      <c r="F765" t="s">
        <v>3246</v>
      </c>
      <c r="G765" t="s">
        <v>21</v>
      </c>
      <c r="H765" t="s">
        <v>4888</v>
      </c>
      <c r="I765" t="s">
        <v>5003</v>
      </c>
      <c r="J765" s="4" t="s">
        <v>5004</v>
      </c>
      <c r="K765" s="4" t="s">
        <v>5016</v>
      </c>
      <c r="L765" s="4" t="s">
        <v>4864</v>
      </c>
      <c r="M765" s="4" t="s">
        <v>5035</v>
      </c>
      <c r="N765" t="s">
        <v>3247</v>
      </c>
      <c r="O765" t="s">
        <v>3248</v>
      </c>
      <c r="P765" t="s">
        <v>23</v>
      </c>
      <c r="Q765" t="s">
        <v>24</v>
      </c>
      <c r="R765" t="s">
        <v>25</v>
      </c>
      <c r="S765" t="s">
        <v>26</v>
      </c>
      <c r="T765" s="6">
        <v>46307</v>
      </c>
      <c r="U765">
        <v>36</v>
      </c>
      <c r="V765">
        <v>36</v>
      </c>
      <c r="W765">
        <v>36</v>
      </c>
      <c r="X765">
        <v>36</v>
      </c>
      <c r="Y765">
        <f t="shared" si="121"/>
        <v>0</v>
      </c>
      <c r="Z765">
        <f t="shared" si="122"/>
        <v>0</v>
      </c>
      <c r="AC765" s="1">
        <v>0</v>
      </c>
      <c r="AF765">
        <f t="shared" si="132"/>
        <v>36</v>
      </c>
      <c r="AG765" s="41">
        <v>12</v>
      </c>
      <c r="AH765">
        <f t="shared" si="124"/>
        <v>36</v>
      </c>
      <c r="AI765">
        <f t="shared" si="125"/>
        <v>0</v>
      </c>
      <c r="AK765">
        <f t="shared" si="126"/>
        <v>3</v>
      </c>
      <c r="AL765">
        <v>13.33</v>
      </c>
      <c r="AM765" t="s">
        <v>27</v>
      </c>
      <c r="AN765">
        <v>13.33</v>
      </c>
      <c r="AO765" t="b">
        <f t="shared" si="127"/>
        <v>1</v>
      </c>
      <c r="AR765" t="s">
        <v>5061</v>
      </c>
      <c r="AS765" s="21">
        <v>46276</v>
      </c>
      <c r="AT765" t="s">
        <v>5062</v>
      </c>
      <c r="AU765" t="s">
        <v>5078</v>
      </c>
      <c r="AV765" t="s">
        <v>5062</v>
      </c>
      <c r="AW765" t="s">
        <v>5086</v>
      </c>
    </row>
    <row r="766" spans="1:49" hidden="1" x14ac:dyDescent="0.35">
      <c r="A766" t="s">
        <v>2796</v>
      </c>
      <c r="B766" t="s">
        <v>872</v>
      </c>
      <c r="C766" t="s">
        <v>4818</v>
      </c>
      <c r="D766" t="s">
        <v>18</v>
      </c>
      <c r="E766" t="s">
        <v>3249</v>
      </c>
      <c r="F766" t="s">
        <v>3250</v>
      </c>
      <c r="G766" t="s">
        <v>21</v>
      </c>
      <c r="H766" t="s">
        <v>4888</v>
      </c>
      <c r="I766" t="s">
        <v>5005</v>
      </c>
      <c r="J766" s="4" t="s">
        <v>5006</v>
      </c>
      <c r="K766" s="4" t="s">
        <v>5027</v>
      </c>
      <c r="L766" s="4">
        <v>28</v>
      </c>
      <c r="M766" s="4" t="s">
        <v>5035</v>
      </c>
      <c r="N766" t="s">
        <v>3251</v>
      </c>
      <c r="O766" t="s">
        <v>3252</v>
      </c>
      <c r="P766" t="s">
        <v>23</v>
      </c>
      <c r="Q766" t="s">
        <v>24</v>
      </c>
      <c r="R766" t="s">
        <v>25</v>
      </c>
      <c r="S766" t="s">
        <v>26</v>
      </c>
      <c r="T766" s="6">
        <v>46307</v>
      </c>
      <c r="U766">
        <v>120</v>
      </c>
      <c r="V766">
        <v>120</v>
      </c>
      <c r="W766">
        <v>120</v>
      </c>
      <c r="X766">
        <v>120</v>
      </c>
      <c r="Y766">
        <f t="shared" si="121"/>
        <v>0</v>
      </c>
      <c r="Z766">
        <f t="shared" si="122"/>
        <v>0</v>
      </c>
      <c r="AC766" s="1">
        <v>0</v>
      </c>
      <c r="AF766">
        <f t="shared" si="132"/>
        <v>120</v>
      </c>
      <c r="AG766" s="41">
        <v>24</v>
      </c>
      <c r="AH766">
        <f t="shared" si="124"/>
        <v>120</v>
      </c>
      <c r="AI766">
        <f t="shared" si="125"/>
        <v>0</v>
      </c>
      <c r="AK766">
        <f t="shared" si="126"/>
        <v>5</v>
      </c>
      <c r="AL766">
        <v>10.24</v>
      </c>
      <c r="AM766" t="s">
        <v>27</v>
      </c>
      <c r="AN766">
        <v>10.24</v>
      </c>
      <c r="AO766" t="b">
        <f t="shared" si="127"/>
        <v>1</v>
      </c>
      <c r="AR766" t="s">
        <v>5061</v>
      </c>
      <c r="AS766" s="21">
        <v>46276</v>
      </c>
      <c r="AT766" t="s">
        <v>5062</v>
      </c>
      <c r="AU766" t="s">
        <v>5079</v>
      </c>
      <c r="AV766" t="s">
        <v>5062</v>
      </c>
      <c r="AW766" t="s">
        <v>5086</v>
      </c>
    </row>
    <row r="767" spans="1:49" hidden="1" x14ac:dyDescent="0.35">
      <c r="A767" t="s">
        <v>2796</v>
      </c>
      <c r="B767" t="s">
        <v>872</v>
      </c>
      <c r="C767" t="s">
        <v>4818</v>
      </c>
      <c r="D767" t="s">
        <v>18</v>
      </c>
      <c r="E767" t="s">
        <v>3253</v>
      </c>
      <c r="F767" t="s">
        <v>3254</v>
      </c>
      <c r="G767" t="s">
        <v>21</v>
      </c>
      <c r="H767" t="s">
        <v>4888</v>
      </c>
      <c r="I767" t="s">
        <v>5018</v>
      </c>
      <c r="J767" s="4" t="s">
        <v>5019</v>
      </c>
      <c r="K767" s="4" t="s">
        <v>5020</v>
      </c>
      <c r="L767" s="4">
        <v>12</v>
      </c>
      <c r="M767" s="4" t="s">
        <v>5035</v>
      </c>
      <c r="N767" t="s">
        <v>3255</v>
      </c>
      <c r="O767" t="s">
        <v>3256</v>
      </c>
      <c r="P767" t="s">
        <v>23</v>
      </c>
      <c r="Q767" t="s">
        <v>24</v>
      </c>
      <c r="R767" t="s">
        <v>25</v>
      </c>
      <c r="S767" t="s">
        <v>26</v>
      </c>
      <c r="T767" s="6">
        <v>46307</v>
      </c>
      <c r="U767">
        <v>840</v>
      </c>
      <c r="V767">
        <v>840</v>
      </c>
      <c r="W767">
        <v>888</v>
      </c>
      <c r="X767">
        <v>888</v>
      </c>
      <c r="Y767">
        <f t="shared" si="121"/>
        <v>0</v>
      </c>
      <c r="Z767">
        <f t="shared" si="122"/>
        <v>-48</v>
      </c>
      <c r="AC767" s="1"/>
      <c r="AF767">
        <f t="shared" si="132"/>
        <v>840</v>
      </c>
      <c r="AG767" s="41">
        <v>24</v>
      </c>
      <c r="AH767">
        <f t="shared" si="124"/>
        <v>840</v>
      </c>
      <c r="AI767">
        <f t="shared" si="125"/>
        <v>0</v>
      </c>
      <c r="AK767">
        <f t="shared" si="126"/>
        <v>35</v>
      </c>
      <c r="AL767">
        <v>10.79</v>
      </c>
      <c r="AM767" t="s">
        <v>27</v>
      </c>
      <c r="AN767">
        <v>10.79</v>
      </c>
      <c r="AO767" t="b">
        <f t="shared" si="127"/>
        <v>1</v>
      </c>
      <c r="AR767" t="s">
        <v>5061</v>
      </c>
      <c r="AS767" s="21">
        <v>46276</v>
      </c>
      <c r="AT767" t="s">
        <v>5062</v>
      </c>
      <c r="AU767" t="s">
        <v>5082</v>
      </c>
      <c r="AV767" t="s">
        <v>5062</v>
      </c>
      <c r="AW767" t="s">
        <v>5086</v>
      </c>
    </row>
    <row r="768" spans="1:49" hidden="1" x14ac:dyDescent="0.35">
      <c r="A768" t="s">
        <v>2796</v>
      </c>
      <c r="B768" t="s">
        <v>872</v>
      </c>
      <c r="C768" t="s">
        <v>4818</v>
      </c>
      <c r="D768" t="s">
        <v>18</v>
      </c>
      <c r="E768" t="s">
        <v>3257</v>
      </c>
      <c r="F768" t="s">
        <v>3258</v>
      </c>
      <c r="G768" t="s">
        <v>21</v>
      </c>
      <c r="H768" t="s">
        <v>4888</v>
      </c>
      <c r="I768" t="s">
        <v>5003</v>
      </c>
      <c r="J768" s="4" t="s">
        <v>5004</v>
      </c>
      <c r="K768" s="4" t="s">
        <v>4837</v>
      </c>
      <c r="L768" s="4" t="s">
        <v>4886</v>
      </c>
      <c r="M768" s="4" t="s">
        <v>5035</v>
      </c>
      <c r="N768" t="s">
        <v>3259</v>
      </c>
      <c r="O768" t="s">
        <v>3260</v>
      </c>
      <c r="P768" t="s">
        <v>23</v>
      </c>
      <c r="Q768" t="s">
        <v>24</v>
      </c>
      <c r="R768" t="s">
        <v>25</v>
      </c>
      <c r="S768" t="s">
        <v>26</v>
      </c>
      <c r="T768" s="6">
        <v>46307</v>
      </c>
      <c r="U768">
        <v>84</v>
      </c>
      <c r="V768">
        <v>84</v>
      </c>
      <c r="W768">
        <v>96</v>
      </c>
      <c r="X768">
        <v>96</v>
      </c>
      <c r="Y768">
        <f t="shared" si="121"/>
        <v>0</v>
      </c>
      <c r="Z768">
        <f t="shared" si="122"/>
        <v>-12</v>
      </c>
      <c r="AC768" s="1">
        <v>0</v>
      </c>
      <c r="AF768">
        <f t="shared" si="132"/>
        <v>84</v>
      </c>
      <c r="AG768" s="41">
        <v>12</v>
      </c>
      <c r="AH768">
        <f t="shared" si="124"/>
        <v>84</v>
      </c>
      <c r="AI768">
        <f t="shared" si="125"/>
        <v>0</v>
      </c>
      <c r="AK768">
        <f t="shared" si="126"/>
        <v>7</v>
      </c>
      <c r="AL768">
        <v>12.87</v>
      </c>
      <c r="AM768" t="s">
        <v>27</v>
      </c>
      <c r="AN768">
        <v>12.87</v>
      </c>
      <c r="AO768" t="b">
        <f t="shared" si="127"/>
        <v>1</v>
      </c>
      <c r="AR768" t="s">
        <v>5061</v>
      </c>
      <c r="AS768" s="21">
        <v>46276</v>
      </c>
      <c r="AT768" t="s">
        <v>5062</v>
      </c>
      <c r="AU768" t="s">
        <v>5078</v>
      </c>
      <c r="AV768" t="s">
        <v>5062</v>
      </c>
      <c r="AW768" t="s">
        <v>5086</v>
      </c>
    </row>
    <row r="769" spans="1:49" hidden="1" x14ac:dyDescent="0.35">
      <c r="A769" t="s">
        <v>2796</v>
      </c>
      <c r="B769" t="s">
        <v>872</v>
      </c>
      <c r="C769" t="s">
        <v>4818</v>
      </c>
      <c r="D769" t="s">
        <v>18</v>
      </c>
      <c r="E769" t="s">
        <v>3261</v>
      </c>
      <c r="F769" t="s">
        <v>3262</v>
      </c>
      <c r="G769" t="s">
        <v>21</v>
      </c>
      <c r="H769" t="s">
        <v>4888</v>
      </c>
      <c r="I769" t="s">
        <v>5003</v>
      </c>
      <c r="J769" s="4" t="s">
        <v>5004</v>
      </c>
      <c r="K769" s="4" t="s">
        <v>4837</v>
      </c>
      <c r="L769" s="4" t="s">
        <v>4895</v>
      </c>
      <c r="M769" s="4" t="s">
        <v>5035</v>
      </c>
      <c r="N769" t="s">
        <v>3263</v>
      </c>
      <c r="O769" t="s">
        <v>3264</v>
      </c>
      <c r="P769" t="s">
        <v>23</v>
      </c>
      <c r="Q769" t="s">
        <v>24</v>
      </c>
      <c r="R769" t="s">
        <v>25</v>
      </c>
      <c r="S769" t="s">
        <v>26</v>
      </c>
      <c r="T769" s="6">
        <v>46307</v>
      </c>
      <c r="U769">
        <v>36</v>
      </c>
      <c r="V769">
        <v>36</v>
      </c>
      <c r="W769">
        <v>36</v>
      </c>
      <c r="X769">
        <v>36</v>
      </c>
      <c r="Y769">
        <f t="shared" si="121"/>
        <v>0</v>
      </c>
      <c r="Z769">
        <f t="shared" si="122"/>
        <v>0</v>
      </c>
      <c r="AC769" s="1">
        <v>0</v>
      </c>
      <c r="AF769">
        <f t="shared" si="132"/>
        <v>36</v>
      </c>
      <c r="AG769" s="41">
        <v>12</v>
      </c>
      <c r="AH769">
        <f t="shared" si="124"/>
        <v>36</v>
      </c>
      <c r="AI769">
        <f t="shared" si="125"/>
        <v>0</v>
      </c>
      <c r="AK769">
        <f t="shared" si="126"/>
        <v>3</v>
      </c>
      <c r="AL769">
        <v>12.87</v>
      </c>
      <c r="AM769" t="s">
        <v>27</v>
      </c>
      <c r="AN769">
        <v>12.87</v>
      </c>
      <c r="AO769" t="b">
        <f t="shared" si="127"/>
        <v>1</v>
      </c>
      <c r="AR769" t="s">
        <v>5061</v>
      </c>
      <c r="AS769" s="21">
        <v>46276</v>
      </c>
      <c r="AT769" t="s">
        <v>5062</v>
      </c>
      <c r="AU769" t="s">
        <v>5078</v>
      </c>
      <c r="AV769" t="s">
        <v>5062</v>
      </c>
      <c r="AW769" t="s">
        <v>5086</v>
      </c>
    </row>
    <row r="770" spans="1:49" hidden="1" x14ac:dyDescent="0.35">
      <c r="A770" t="s">
        <v>2796</v>
      </c>
      <c r="B770" t="s">
        <v>872</v>
      </c>
      <c r="C770" t="s">
        <v>4818</v>
      </c>
      <c r="D770" t="s">
        <v>18</v>
      </c>
      <c r="E770" t="s">
        <v>3265</v>
      </c>
      <c r="F770" t="s">
        <v>3266</v>
      </c>
      <c r="G770" t="s">
        <v>21</v>
      </c>
      <c r="H770" t="s">
        <v>4888</v>
      </c>
      <c r="I770" t="s">
        <v>5003</v>
      </c>
      <c r="J770" s="4" t="s">
        <v>5004</v>
      </c>
      <c r="K770" s="4" t="s">
        <v>4837</v>
      </c>
      <c r="L770" s="4" t="s">
        <v>4922</v>
      </c>
      <c r="M770" s="4" t="s">
        <v>5035</v>
      </c>
      <c r="N770" t="s">
        <v>3267</v>
      </c>
      <c r="O770" t="s">
        <v>3268</v>
      </c>
      <c r="P770" t="s">
        <v>23</v>
      </c>
      <c r="Q770" t="s">
        <v>24</v>
      </c>
      <c r="R770" t="s">
        <v>25</v>
      </c>
      <c r="S770" t="s">
        <v>26</v>
      </c>
      <c r="T770" s="6">
        <v>46307</v>
      </c>
      <c r="U770">
        <v>60</v>
      </c>
      <c r="V770">
        <v>60</v>
      </c>
      <c r="W770">
        <v>60</v>
      </c>
      <c r="X770">
        <v>60</v>
      </c>
      <c r="Y770">
        <f t="shared" si="121"/>
        <v>0</v>
      </c>
      <c r="Z770">
        <f t="shared" si="122"/>
        <v>0</v>
      </c>
      <c r="AC770" s="1">
        <v>0</v>
      </c>
      <c r="AF770">
        <f t="shared" si="132"/>
        <v>60</v>
      </c>
      <c r="AG770" s="41">
        <v>12</v>
      </c>
      <c r="AH770">
        <f t="shared" si="124"/>
        <v>60</v>
      </c>
      <c r="AI770">
        <f t="shared" si="125"/>
        <v>0</v>
      </c>
      <c r="AK770">
        <f t="shared" si="126"/>
        <v>5</v>
      </c>
      <c r="AL770">
        <v>12.87</v>
      </c>
      <c r="AM770" t="s">
        <v>27</v>
      </c>
      <c r="AN770">
        <v>12.87</v>
      </c>
      <c r="AO770" t="b">
        <f t="shared" si="127"/>
        <v>1</v>
      </c>
      <c r="AR770" t="s">
        <v>5061</v>
      </c>
      <c r="AS770" s="21">
        <v>46276</v>
      </c>
      <c r="AT770" t="s">
        <v>5062</v>
      </c>
      <c r="AU770" t="s">
        <v>5078</v>
      </c>
      <c r="AV770" t="s">
        <v>5062</v>
      </c>
      <c r="AW770" t="s">
        <v>5086</v>
      </c>
    </row>
    <row r="771" spans="1:49" hidden="1" x14ac:dyDescent="0.35">
      <c r="A771" t="s">
        <v>2796</v>
      </c>
      <c r="B771" t="s">
        <v>872</v>
      </c>
      <c r="C771" t="s">
        <v>4818</v>
      </c>
      <c r="D771" t="s">
        <v>18</v>
      </c>
      <c r="E771" t="s">
        <v>3269</v>
      </c>
      <c r="F771" t="s">
        <v>3270</v>
      </c>
      <c r="G771" t="s">
        <v>21</v>
      </c>
      <c r="H771" t="s">
        <v>4888</v>
      </c>
      <c r="I771" t="s">
        <v>5003</v>
      </c>
      <c r="J771" s="4" t="s">
        <v>5004</v>
      </c>
      <c r="K771" s="4" t="s">
        <v>5015</v>
      </c>
      <c r="L771" s="4" t="s">
        <v>4914</v>
      </c>
      <c r="M771" s="4" t="s">
        <v>5035</v>
      </c>
      <c r="N771" t="s">
        <v>3271</v>
      </c>
      <c r="O771" t="s">
        <v>3272</v>
      </c>
      <c r="P771" t="s">
        <v>23</v>
      </c>
      <c r="Q771" t="s">
        <v>24</v>
      </c>
      <c r="R771" t="s">
        <v>25</v>
      </c>
      <c r="S771" t="s">
        <v>26</v>
      </c>
      <c r="T771" s="6">
        <v>46307</v>
      </c>
      <c r="U771">
        <v>48</v>
      </c>
      <c r="V771">
        <v>48</v>
      </c>
      <c r="W771">
        <v>48</v>
      </c>
      <c r="X771">
        <v>48</v>
      </c>
      <c r="Y771">
        <f t="shared" ref="Y771:Y834" si="133">W771-X771</f>
        <v>0</v>
      </c>
      <c r="Z771">
        <f t="shared" ref="Z771:Z834" si="134">V771-X771</f>
        <v>0</v>
      </c>
      <c r="AC771" s="1">
        <v>0</v>
      </c>
      <c r="AF771">
        <f t="shared" si="132"/>
        <v>48</v>
      </c>
      <c r="AG771" s="41">
        <v>12</v>
      </c>
      <c r="AH771">
        <f t="shared" ref="AH771:AH834" si="135">ROUNDUP(AF771/AG771,0)*AG771</f>
        <v>48</v>
      </c>
      <c r="AI771">
        <f t="shared" ref="AI771:AI834" si="136">V771-AH771</f>
        <v>0</v>
      </c>
      <c r="AK771">
        <f t="shared" ref="AK771:AK834" si="137">AH771/AG771</f>
        <v>4</v>
      </c>
      <c r="AL771">
        <v>13.01</v>
      </c>
      <c r="AM771" t="s">
        <v>27</v>
      </c>
      <c r="AN771">
        <v>13.01</v>
      </c>
      <c r="AO771" t="b">
        <f t="shared" ref="AO771:AO834" si="138">AL771=AN771</f>
        <v>1</v>
      </c>
      <c r="AR771" t="s">
        <v>5061</v>
      </c>
      <c r="AS771" s="21">
        <v>46276</v>
      </c>
      <c r="AT771" t="s">
        <v>5062</v>
      </c>
      <c r="AU771" t="s">
        <v>5078</v>
      </c>
      <c r="AV771" t="s">
        <v>5062</v>
      </c>
      <c r="AW771" t="s">
        <v>5086</v>
      </c>
    </row>
    <row r="772" spans="1:49" hidden="1" x14ac:dyDescent="0.35">
      <c r="A772" t="s">
        <v>2796</v>
      </c>
      <c r="B772" t="s">
        <v>872</v>
      </c>
      <c r="C772" t="s">
        <v>4818</v>
      </c>
      <c r="D772" t="s">
        <v>18</v>
      </c>
      <c r="E772" t="s">
        <v>3273</v>
      </c>
      <c r="F772" t="s">
        <v>3274</v>
      </c>
      <c r="G772" t="s">
        <v>21</v>
      </c>
      <c r="H772" t="s">
        <v>4888</v>
      </c>
      <c r="I772" t="s">
        <v>5003</v>
      </c>
      <c r="J772" s="4" t="s">
        <v>5004</v>
      </c>
      <c r="K772" s="4" t="s">
        <v>4904</v>
      </c>
      <c r="L772" s="4" t="s">
        <v>4927</v>
      </c>
      <c r="M772" s="4" t="s">
        <v>5035</v>
      </c>
      <c r="N772" t="s">
        <v>3275</v>
      </c>
      <c r="O772" t="s">
        <v>3276</v>
      </c>
      <c r="P772" t="s">
        <v>23</v>
      </c>
      <c r="Q772" t="s">
        <v>24</v>
      </c>
      <c r="R772" t="s">
        <v>25</v>
      </c>
      <c r="S772" t="s">
        <v>26</v>
      </c>
      <c r="T772" s="6">
        <v>46307</v>
      </c>
      <c r="U772">
        <v>12</v>
      </c>
      <c r="V772">
        <v>12</v>
      </c>
      <c r="W772">
        <v>12</v>
      </c>
      <c r="X772">
        <v>12</v>
      </c>
      <c r="Y772">
        <f t="shared" si="133"/>
        <v>0</v>
      </c>
      <c r="Z772">
        <f t="shared" si="134"/>
        <v>0</v>
      </c>
      <c r="AC772" s="1">
        <v>0</v>
      </c>
      <c r="AF772">
        <f t="shared" si="132"/>
        <v>12</v>
      </c>
      <c r="AG772" s="41">
        <v>12</v>
      </c>
      <c r="AH772">
        <f t="shared" si="135"/>
        <v>12</v>
      </c>
      <c r="AI772">
        <f t="shared" si="136"/>
        <v>0</v>
      </c>
      <c r="AK772">
        <f t="shared" si="137"/>
        <v>1</v>
      </c>
      <c r="AL772">
        <v>12.89</v>
      </c>
      <c r="AM772" t="s">
        <v>27</v>
      </c>
      <c r="AN772">
        <v>12.89</v>
      </c>
      <c r="AO772" t="b">
        <f t="shared" si="138"/>
        <v>1</v>
      </c>
      <c r="AR772" t="s">
        <v>5061</v>
      </c>
      <c r="AS772" s="21">
        <v>46276</v>
      </c>
      <c r="AT772" t="s">
        <v>5062</v>
      </c>
      <c r="AU772" t="s">
        <v>5078</v>
      </c>
      <c r="AV772" t="s">
        <v>5062</v>
      </c>
      <c r="AW772" t="s">
        <v>5086</v>
      </c>
    </row>
    <row r="773" spans="1:49" hidden="1" x14ac:dyDescent="0.35">
      <c r="A773" t="s">
        <v>2796</v>
      </c>
      <c r="B773" t="s">
        <v>872</v>
      </c>
      <c r="C773" t="s">
        <v>4818</v>
      </c>
      <c r="D773" t="s">
        <v>18</v>
      </c>
      <c r="E773" t="s">
        <v>3277</v>
      </c>
      <c r="F773" t="s">
        <v>3278</v>
      </c>
      <c r="G773" t="s">
        <v>21</v>
      </c>
      <c r="H773" t="s">
        <v>4888</v>
      </c>
      <c r="I773" t="s">
        <v>5003</v>
      </c>
      <c r="J773" s="4" t="s">
        <v>5004</v>
      </c>
      <c r="K773" s="4" t="s">
        <v>4904</v>
      </c>
      <c r="L773" s="4" t="s">
        <v>4885</v>
      </c>
      <c r="M773" s="4" t="s">
        <v>5035</v>
      </c>
      <c r="N773" t="s">
        <v>3279</v>
      </c>
      <c r="O773" t="s">
        <v>3280</v>
      </c>
      <c r="P773" t="s">
        <v>23</v>
      </c>
      <c r="Q773" t="s">
        <v>24</v>
      </c>
      <c r="R773" t="s">
        <v>25</v>
      </c>
      <c r="S773" t="s">
        <v>26</v>
      </c>
      <c r="T773" s="6">
        <v>46307</v>
      </c>
      <c r="U773">
        <v>84</v>
      </c>
      <c r="V773">
        <v>84</v>
      </c>
      <c r="W773">
        <v>96</v>
      </c>
      <c r="X773">
        <v>96</v>
      </c>
      <c r="Y773">
        <f t="shared" si="133"/>
        <v>0</v>
      </c>
      <c r="Z773">
        <f t="shared" si="134"/>
        <v>-12</v>
      </c>
      <c r="AC773" s="1">
        <v>0</v>
      </c>
      <c r="AF773">
        <f t="shared" si="132"/>
        <v>84</v>
      </c>
      <c r="AG773" s="41">
        <v>12</v>
      </c>
      <c r="AH773">
        <f t="shared" si="135"/>
        <v>84</v>
      </c>
      <c r="AI773">
        <f t="shared" si="136"/>
        <v>0</v>
      </c>
      <c r="AK773">
        <f t="shared" si="137"/>
        <v>7</v>
      </c>
      <c r="AL773">
        <v>12.89</v>
      </c>
      <c r="AM773" t="s">
        <v>27</v>
      </c>
      <c r="AN773">
        <v>12.89</v>
      </c>
      <c r="AO773" t="b">
        <f t="shared" si="138"/>
        <v>1</v>
      </c>
      <c r="AR773" t="s">
        <v>5061</v>
      </c>
      <c r="AS773" s="21">
        <v>46276</v>
      </c>
      <c r="AT773" t="s">
        <v>5062</v>
      </c>
      <c r="AU773" t="s">
        <v>5078</v>
      </c>
      <c r="AV773" t="s">
        <v>5062</v>
      </c>
      <c r="AW773" t="s">
        <v>5086</v>
      </c>
    </row>
    <row r="774" spans="1:49" hidden="1" x14ac:dyDescent="0.35">
      <c r="A774" t="s">
        <v>2796</v>
      </c>
      <c r="B774" t="s">
        <v>872</v>
      </c>
      <c r="C774" t="s">
        <v>4818</v>
      </c>
      <c r="D774" t="s">
        <v>18</v>
      </c>
      <c r="E774" t="s">
        <v>3281</v>
      </c>
      <c r="F774" t="s">
        <v>3282</v>
      </c>
      <c r="G774" t="s">
        <v>21</v>
      </c>
      <c r="H774" t="s">
        <v>4888</v>
      </c>
      <c r="I774" t="s">
        <v>5003</v>
      </c>
      <c r="J774" s="4" t="s">
        <v>5004</v>
      </c>
      <c r="K774" s="4" t="s">
        <v>5015</v>
      </c>
      <c r="L774" s="4" t="s">
        <v>4924</v>
      </c>
      <c r="M774" s="4" t="s">
        <v>5035</v>
      </c>
      <c r="N774" t="s">
        <v>3283</v>
      </c>
      <c r="O774" t="s">
        <v>3284</v>
      </c>
      <c r="P774" t="s">
        <v>23</v>
      </c>
      <c r="Q774" t="s">
        <v>24</v>
      </c>
      <c r="R774" t="s">
        <v>25</v>
      </c>
      <c r="S774" t="s">
        <v>26</v>
      </c>
      <c r="T774" s="6">
        <v>46307</v>
      </c>
      <c r="U774">
        <v>48</v>
      </c>
      <c r="V774">
        <v>48</v>
      </c>
      <c r="W774">
        <v>36</v>
      </c>
      <c r="X774">
        <v>36</v>
      </c>
      <c r="Y774">
        <f t="shared" si="133"/>
        <v>0</v>
      </c>
      <c r="Z774">
        <f t="shared" si="134"/>
        <v>12</v>
      </c>
      <c r="AA774">
        <f>Z774</f>
        <v>12</v>
      </c>
      <c r="AC774" s="1">
        <v>0</v>
      </c>
      <c r="AF774">
        <f>X774</f>
        <v>36</v>
      </c>
      <c r="AG774" s="41">
        <v>12</v>
      </c>
      <c r="AH774">
        <f t="shared" si="135"/>
        <v>36</v>
      </c>
      <c r="AI774">
        <f t="shared" si="136"/>
        <v>12</v>
      </c>
      <c r="AK774">
        <f t="shared" si="137"/>
        <v>3</v>
      </c>
      <c r="AL774">
        <v>13.01</v>
      </c>
      <c r="AM774" t="s">
        <v>27</v>
      </c>
      <c r="AN774">
        <v>13.01</v>
      </c>
      <c r="AO774" t="b">
        <f t="shared" si="138"/>
        <v>1</v>
      </c>
      <c r="AR774" t="s">
        <v>5061</v>
      </c>
      <c r="AS774" s="21">
        <v>46276</v>
      </c>
      <c r="AT774" t="s">
        <v>5062</v>
      </c>
      <c r="AU774" t="s">
        <v>5078</v>
      </c>
      <c r="AV774" t="s">
        <v>5062</v>
      </c>
      <c r="AW774" t="s">
        <v>5086</v>
      </c>
    </row>
    <row r="775" spans="1:49" hidden="1" x14ac:dyDescent="0.35">
      <c r="A775" t="s">
        <v>2796</v>
      </c>
      <c r="B775" t="s">
        <v>872</v>
      </c>
      <c r="C775" t="s">
        <v>4818</v>
      </c>
      <c r="D775" t="s">
        <v>18</v>
      </c>
      <c r="E775" t="s">
        <v>3285</v>
      </c>
      <c r="F775" t="s">
        <v>3286</v>
      </c>
      <c r="G775" t="s">
        <v>21</v>
      </c>
      <c r="H775" t="s">
        <v>4888</v>
      </c>
      <c r="I775" t="s">
        <v>5025</v>
      </c>
      <c r="J775" s="4" t="s">
        <v>5026</v>
      </c>
      <c r="K775" s="4" t="s">
        <v>5020</v>
      </c>
      <c r="L775" s="4" t="s">
        <v>4985</v>
      </c>
      <c r="M775" s="4" t="s">
        <v>5035</v>
      </c>
      <c r="N775" t="s">
        <v>3287</v>
      </c>
      <c r="O775" t="s">
        <v>3288</v>
      </c>
      <c r="P775" t="s">
        <v>23</v>
      </c>
      <c r="Q775" t="s">
        <v>24</v>
      </c>
      <c r="R775" t="s">
        <v>25</v>
      </c>
      <c r="S775" t="s">
        <v>26</v>
      </c>
      <c r="T775" s="6">
        <v>46307</v>
      </c>
      <c r="U775">
        <v>480</v>
      </c>
      <c r="V775">
        <v>480</v>
      </c>
      <c r="W775">
        <v>528</v>
      </c>
      <c r="X775">
        <v>528</v>
      </c>
      <c r="Y775">
        <f t="shared" si="133"/>
        <v>0</v>
      </c>
      <c r="Z775">
        <f t="shared" si="134"/>
        <v>-48</v>
      </c>
      <c r="AC775" s="1">
        <v>0</v>
      </c>
      <c r="AF775">
        <f>V775</f>
        <v>480</v>
      </c>
      <c r="AG775" s="41">
        <v>24</v>
      </c>
      <c r="AH775">
        <f t="shared" si="135"/>
        <v>480</v>
      </c>
      <c r="AI775">
        <f t="shared" si="136"/>
        <v>0</v>
      </c>
      <c r="AK775">
        <f t="shared" si="137"/>
        <v>20</v>
      </c>
      <c r="AL775">
        <v>6.2</v>
      </c>
      <c r="AM775" t="s">
        <v>27</v>
      </c>
      <c r="AN775">
        <v>6.2</v>
      </c>
      <c r="AO775" t="b">
        <f t="shared" si="138"/>
        <v>1</v>
      </c>
      <c r="AR775" t="s">
        <v>5061</v>
      </c>
      <c r="AS775" s="21">
        <v>46276</v>
      </c>
      <c r="AT775" t="s">
        <v>5062</v>
      </c>
      <c r="AU775" t="s">
        <v>5082</v>
      </c>
      <c r="AV775" t="s">
        <v>5062</v>
      </c>
      <c r="AW775" t="s">
        <v>5086</v>
      </c>
    </row>
    <row r="776" spans="1:49" hidden="1" x14ac:dyDescent="0.35">
      <c r="A776" t="s">
        <v>2796</v>
      </c>
      <c r="B776" t="s">
        <v>872</v>
      </c>
      <c r="C776" t="s">
        <v>4818</v>
      </c>
      <c r="D776" t="s">
        <v>18</v>
      </c>
      <c r="E776" t="s">
        <v>3289</v>
      </c>
      <c r="F776" t="s">
        <v>3290</v>
      </c>
      <c r="G776" t="s">
        <v>21</v>
      </c>
      <c r="H776" t="s">
        <v>4888</v>
      </c>
      <c r="I776" t="s">
        <v>5012</v>
      </c>
      <c r="J776" s="4" t="s">
        <v>5013</v>
      </c>
      <c r="K776" s="4" t="s">
        <v>4904</v>
      </c>
      <c r="L776" s="4" t="s">
        <v>4983</v>
      </c>
      <c r="M776" s="4" t="s">
        <v>5035</v>
      </c>
      <c r="N776" t="s">
        <v>3291</v>
      </c>
      <c r="O776" t="s">
        <v>3292</v>
      </c>
      <c r="P776" t="s">
        <v>23</v>
      </c>
      <c r="Q776" t="s">
        <v>24</v>
      </c>
      <c r="R776" t="s">
        <v>25</v>
      </c>
      <c r="S776" t="s">
        <v>26</v>
      </c>
      <c r="T776" s="6">
        <v>46307</v>
      </c>
      <c r="U776">
        <v>648</v>
      </c>
      <c r="V776">
        <v>648</v>
      </c>
      <c r="W776">
        <v>696</v>
      </c>
      <c r="X776">
        <v>696</v>
      </c>
      <c r="Y776">
        <f t="shared" si="133"/>
        <v>0</v>
      </c>
      <c r="Z776">
        <f t="shared" si="134"/>
        <v>-48</v>
      </c>
      <c r="AC776" s="1"/>
      <c r="AF776">
        <f>V776</f>
        <v>648</v>
      </c>
      <c r="AG776" s="41">
        <v>24</v>
      </c>
      <c r="AH776">
        <f t="shared" si="135"/>
        <v>648</v>
      </c>
      <c r="AI776">
        <f t="shared" si="136"/>
        <v>0</v>
      </c>
      <c r="AK776">
        <f t="shared" si="137"/>
        <v>27</v>
      </c>
      <c r="AL776">
        <v>6.15</v>
      </c>
      <c r="AM776" t="s">
        <v>27</v>
      </c>
      <c r="AN776">
        <v>6.15</v>
      </c>
      <c r="AO776" t="b">
        <f t="shared" si="138"/>
        <v>1</v>
      </c>
      <c r="AR776" t="s">
        <v>5061</v>
      </c>
      <c r="AS776" s="21">
        <v>46276</v>
      </c>
      <c r="AT776" t="s">
        <v>5062</v>
      </c>
      <c r="AU776" t="s">
        <v>5081</v>
      </c>
      <c r="AV776" t="s">
        <v>5062</v>
      </c>
      <c r="AW776" t="s">
        <v>5086</v>
      </c>
    </row>
    <row r="777" spans="1:49" hidden="1" x14ac:dyDescent="0.35">
      <c r="A777" t="s">
        <v>2796</v>
      </c>
      <c r="B777" t="s">
        <v>872</v>
      </c>
      <c r="C777" t="s">
        <v>4818</v>
      </c>
      <c r="D777" t="s">
        <v>18</v>
      </c>
      <c r="E777" t="s">
        <v>3293</v>
      </c>
      <c r="F777" t="s">
        <v>3294</v>
      </c>
      <c r="G777" t="s">
        <v>21</v>
      </c>
      <c r="H777" t="s">
        <v>4888</v>
      </c>
      <c r="I777" t="s">
        <v>5012</v>
      </c>
      <c r="J777" s="4" t="s">
        <v>5013</v>
      </c>
      <c r="K777" s="4" t="s">
        <v>4984</v>
      </c>
      <c r="L777" s="4" t="s">
        <v>4989</v>
      </c>
      <c r="M777" s="4" t="s">
        <v>5035</v>
      </c>
      <c r="N777" t="s">
        <v>3295</v>
      </c>
      <c r="O777" t="s">
        <v>3296</v>
      </c>
      <c r="P777" t="s">
        <v>23</v>
      </c>
      <c r="Q777" t="s">
        <v>24</v>
      </c>
      <c r="R777" t="s">
        <v>25</v>
      </c>
      <c r="S777" t="s">
        <v>26</v>
      </c>
      <c r="T777" s="6">
        <v>46307</v>
      </c>
      <c r="U777">
        <v>456</v>
      </c>
      <c r="V777">
        <v>456</v>
      </c>
      <c r="W777">
        <v>504</v>
      </c>
      <c r="X777">
        <v>504</v>
      </c>
      <c r="Y777">
        <f t="shared" si="133"/>
        <v>0</v>
      </c>
      <c r="Z777">
        <f t="shared" si="134"/>
        <v>-48</v>
      </c>
      <c r="AC777" s="1">
        <v>0</v>
      </c>
      <c r="AF777">
        <f>V777</f>
        <v>456</v>
      </c>
      <c r="AG777" s="41">
        <v>24</v>
      </c>
      <c r="AH777">
        <f t="shared" si="135"/>
        <v>456</v>
      </c>
      <c r="AI777">
        <f t="shared" si="136"/>
        <v>0</v>
      </c>
      <c r="AK777">
        <f t="shared" si="137"/>
        <v>19</v>
      </c>
      <c r="AL777">
        <v>6.05</v>
      </c>
      <c r="AM777" t="s">
        <v>27</v>
      </c>
      <c r="AN777">
        <v>6.05</v>
      </c>
      <c r="AO777" t="b">
        <f t="shared" si="138"/>
        <v>1</v>
      </c>
      <c r="AR777" t="s">
        <v>5061</v>
      </c>
      <c r="AS777" s="21">
        <v>46276</v>
      </c>
      <c r="AT777" t="s">
        <v>5062</v>
      </c>
      <c r="AU777" t="s">
        <v>5081</v>
      </c>
      <c r="AV777" t="s">
        <v>5062</v>
      </c>
      <c r="AW777" t="s">
        <v>5086</v>
      </c>
    </row>
    <row r="778" spans="1:49" hidden="1" x14ac:dyDescent="0.35">
      <c r="A778" t="s">
        <v>2796</v>
      </c>
      <c r="B778" t="s">
        <v>872</v>
      </c>
      <c r="C778" t="s">
        <v>4818</v>
      </c>
      <c r="D778" t="s">
        <v>18</v>
      </c>
      <c r="E778" t="s">
        <v>3297</v>
      </c>
      <c r="F778" t="s">
        <v>3298</v>
      </c>
      <c r="G778" t="s">
        <v>21</v>
      </c>
      <c r="H778" t="s">
        <v>4888</v>
      </c>
      <c r="I778" t="s">
        <v>5005</v>
      </c>
      <c r="J778" s="4" t="s">
        <v>5006</v>
      </c>
      <c r="K778" s="4" t="s">
        <v>5007</v>
      </c>
      <c r="L778" s="4">
        <v>34</v>
      </c>
      <c r="M778" s="4" t="s">
        <v>5035</v>
      </c>
      <c r="N778" t="s">
        <v>3299</v>
      </c>
      <c r="O778" t="s">
        <v>3300</v>
      </c>
      <c r="P778" t="s">
        <v>23</v>
      </c>
      <c r="Q778" t="s">
        <v>24</v>
      </c>
      <c r="R778" t="s">
        <v>25</v>
      </c>
      <c r="S778" t="s">
        <v>26</v>
      </c>
      <c r="T778" s="6">
        <v>46307</v>
      </c>
      <c r="U778">
        <v>672</v>
      </c>
      <c r="V778">
        <v>672</v>
      </c>
      <c r="W778">
        <v>720</v>
      </c>
      <c r="X778">
        <v>720</v>
      </c>
      <c r="Y778">
        <f t="shared" si="133"/>
        <v>0</v>
      </c>
      <c r="Z778">
        <f t="shared" si="134"/>
        <v>-48</v>
      </c>
      <c r="AC778" s="1">
        <v>0</v>
      </c>
      <c r="AF778">
        <f>V778</f>
        <v>672</v>
      </c>
      <c r="AG778" s="41">
        <v>24</v>
      </c>
      <c r="AH778">
        <f t="shared" si="135"/>
        <v>672</v>
      </c>
      <c r="AI778">
        <f t="shared" si="136"/>
        <v>0</v>
      </c>
      <c r="AK778">
        <f t="shared" si="137"/>
        <v>28</v>
      </c>
      <c r="AL778">
        <v>10.45</v>
      </c>
      <c r="AM778" t="s">
        <v>27</v>
      </c>
      <c r="AN778">
        <v>10.45</v>
      </c>
      <c r="AO778" t="b">
        <f t="shared" si="138"/>
        <v>1</v>
      </c>
      <c r="AR778" t="s">
        <v>5061</v>
      </c>
      <c r="AS778" s="21">
        <v>46276</v>
      </c>
      <c r="AT778" t="s">
        <v>5062</v>
      </c>
      <c r="AU778" t="s">
        <v>5079</v>
      </c>
      <c r="AV778" t="s">
        <v>5062</v>
      </c>
      <c r="AW778" t="s">
        <v>5086</v>
      </c>
    </row>
    <row r="779" spans="1:49" hidden="1" x14ac:dyDescent="0.35">
      <c r="A779" t="s">
        <v>2796</v>
      </c>
      <c r="B779" t="s">
        <v>872</v>
      </c>
      <c r="C779" t="s">
        <v>4818</v>
      </c>
      <c r="D779" t="s">
        <v>18</v>
      </c>
      <c r="E779" t="s">
        <v>3301</v>
      </c>
      <c r="F779" t="s">
        <v>3302</v>
      </c>
      <c r="G779" t="s">
        <v>21</v>
      </c>
      <c r="H779" t="s">
        <v>4888</v>
      </c>
      <c r="I779" t="s">
        <v>5003</v>
      </c>
      <c r="J779" s="4" t="s">
        <v>5004</v>
      </c>
      <c r="K779" s="4" t="s">
        <v>4837</v>
      </c>
      <c r="L779" s="4" t="s">
        <v>4892</v>
      </c>
      <c r="M779" s="4" t="s">
        <v>5035</v>
      </c>
      <c r="N779" t="s">
        <v>3303</v>
      </c>
      <c r="O779" t="s">
        <v>3304</v>
      </c>
      <c r="P779" t="s">
        <v>23</v>
      </c>
      <c r="Q779" t="s">
        <v>24</v>
      </c>
      <c r="R779" t="s">
        <v>25</v>
      </c>
      <c r="S779" t="s">
        <v>26</v>
      </c>
      <c r="T779" s="6">
        <v>46307</v>
      </c>
      <c r="U779">
        <v>60</v>
      </c>
      <c r="V779">
        <v>60</v>
      </c>
      <c r="W779">
        <v>60</v>
      </c>
      <c r="X779">
        <v>60</v>
      </c>
      <c r="Y779">
        <f t="shared" si="133"/>
        <v>0</v>
      </c>
      <c r="Z779">
        <f t="shared" si="134"/>
        <v>0</v>
      </c>
      <c r="AC779" s="1">
        <v>0</v>
      </c>
      <c r="AF779">
        <f>V779</f>
        <v>60</v>
      </c>
      <c r="AG779" s="41">
        <v>12</v>
      </c>
      <c r="AH779">
        <f t="shared" si="135"/>
        <v>60</v>
      </c>
      <c r="AI779">
        <f t="shared" si="136"/>
        <v>0</v>
      </c>
      <c r="AK779">
        <f t="shared" si="137"/>
        <v>5</v>
      </c>
      <c r="AL779">
        <v>12.87</v>
      </c>
      <c r="AM779" t="s">
        <v>27</v>
      </c>
      <c r="AN779">
        <v>12.87</v>
      </c>
      <c r="AO779" t="b">
        <f t="shared" si="138"/>
        <v>1</v>
      </c>
      <c r="AR779" t="s">
        <v>5061</v>
      </c>
      <c r="AS779" s="21">
        <v>46276</v>
      </c>
      <c r="AT779" t="s">
        <v>5062</v>
      </c>
      <c r="AU779" t="s">
        <v>5078</v>
      </c>
      <c r="AV779" t="s">
        <v>5062</v>
      </c>
      <c r="AW779" t="s">
        <v>5086</v>
      </c>
    </row>
    <row r="780" spans="1:49" hidden="1" x14ac:dyDescent="0.35">
      <c r="A780" t="s">
        <v>2796</v>
      </c>
      <c r="B780" t="s">
        <v>872</v>
      </c>
      <c r="C780" t="s">
        <v>4818</v>
      </c>
      <c r="D780" t="s">
        <v>18</v>
      </c>
      <c r="E780" t="s">
        <v>3305</v>
      </c>
      <c r="F780" t="s">
        <v>3306</v>
      </c>
      <c r="G780" t="s">
        <v>21</v>
      </c>
      <c r="H780" t="s">
        <v>4888</v>
      </c>
      <c r="I780" t="s">
        <v>5005</v>
      </c>
      <c r="J780" s="4" t="s">
        <v>5006</v>
      </c>
      <c r="K780" s="4" t="s">
        <v>5027</v>
      </c>
      <c r="L780" s="4">
        <v>32</v>
      </c>
      <c r="M780" s="4" t="s">
        <v>5035</v>
      </c>
      <c r="N780" t="s">
        <v>3307</v>
      </c>
      <c r="O780" t="s">
        <v>3308</v>
      </c>
      <c r="P780" t="s">
        <v>23</v>
      </c>
      <c r="Q780" t="s">
        <v>24</v>
      </c>
      <c r="R780" t="s">
        <v>25</v>
      </c>
      <c r="S780" t="s">
        <v>26</v>
      </c>
      <c r="T780" s="6">
        <v>46307</v>
      </c>
      <c r="U780">
        <v>600</v>
      </c>
      <c r="V780">
        <v>600</v>
      </c>
      <c r="W780">
        <v>576</v>
      </c>
      <c r="X780">
        <v>576</v>
      </c>
      <c r="Y780">
        <f t="shared" si="133"/>
        <v>0</v>
      </c>
      <c r="Z780">
        <f t="shared" si="134"/>
        <v>24</v>
      </c>
      <c r="AA780">
        <f>Z780</f>
        <v>24</v>
      </c>
      <c r="AC780" s="1">
        <v>0</v>
      </c>
      <c r="AF780">
        <f>X780</f>
        <v>576</v>
      </c>
      <c r="AG780" s="41">
        <v>24</v>
      </c>
      <c r="AH780">
        <f t="shared" si="135"/>
        <v>576</v>
      </c>
      <c r="AI780">
        <f t="shared" si="136"/>
        <v>24</v>
      </c>
      <c r="AK780">
        <f t="shared" si="137"/>
        <v>24</v>
      </c>
      <c r="AL780">
        <v>10.24</v>
      </c>
      <c r="AM780" t="s">
        <v>27</v>
      </c>
      <c r="AN780">
        <v>10.24</v>
      </c>
      <c r="AO780" t="b">
        <f t="shared" si="138"/>
        <v>1</v>
      </c>
      <c r="AR780" t="s">
        <v>5061</v>
      </c>
      <c r="AS780" s="21">
        <v>46276</v>
      </c>
      <c r="AT780" t="s">
        <v>5062</v>
      </c>
      <c r="AU780" t="s">
        <v>5079</v>
      </c>
      <c r="AV780" t="s">
        <v>5062</v>
      </c>
      <c r="AW780" t="s">
        <v>5086</v>
      </c>
    </row>
    <row r="781" spans="1:49" hidden="1" x14ac:dyDescent="0.35">
      <c r="A781" t="s">
        <v>2796</v>
      </c>
      <c r="B781" t="s">
        <v>872</v>
      </c>
      <c r="C781" t="s">
        <v>4818</v>
      </c>
      <c r="D781" t="s">
        <v>18</v>
      </c>
      <c r="E781" t="s">
        <v>3309</v>
      </c>
      <c r="F781" t="s">
        <v>3310</v>
      </c>
      <c r="G781" t="s">
        <v>21</v>
      </c>
      <c r="H781" t="s">
        <v>4888</v>
      </c>
      <c r="I781" t="s">
        <v>5008</v>
      </c>
      <c r="J781" s="4" t="s">
        <v>5009</v>
      </c>
      <c r="K781" s="4" t="s">
        <v>4904</v>
      </c>
      <c r="L781" s="4">
        <v>32</v>
      </c>
      <c r="M781" s="4" t="s">
        <v>5035</v>
      </c>
      <c r="N781" t="s">
        <v>3311</v>
      </c>
      <c r="O781" t="s">
        <v>3312</v>
      </c>
      <c r="P781" t="s">
        <v>23</v>
      </c>
      <c r="Q781" t="s">
        <v>24</v>
      </c>
      <c r="R781" t="s">
        <v>25</v>
      </c>
      <c r="S781" t="s">
        <v>26</v>
      </c>
      <c r="T781" s="6">
        <v>46307</v>
      </c>
      <c r="U781">
        <v>576</v>
      </c>
      <c r="V781">
        <v>576</v>
      </c>
      <c r="W781">
        <v>624</v>
      </c>
      <c r="X781">
        <v>624</v>
      </c>
      <c r="Y781">
        <f t="shared" si="133"/>
        <v>0</v>
      </c>
      <c r="Z781">
        <f t="shared" si="134"/>
        <v>-48</v>
      </c>
      <c r="AC781" s="1"/>
      <c r="AF781">
        <f t="shared" ref="AF781:AF788" si="139">V781</f>
        <v>576</v>
      </c>
      <c r="AG781" s="41">
        <v>24</v>
      </c>
      <c r="AH781">
        <f t="shared" si="135"/>
        <v>576</v>
      </c>
      <c r="AI781">
        <f t="shared" si="136"/>
        <v>0</v>
      </c>
      <c r="AK781">
        <f t="shared" si="137"/>
        <v>24</v>
      </c>
      <c r="AL781">
        <v>10.11</v>
      </c>
      <c r="AM781" t="s">
        <v>27</v>
      </c>
      <c r="AN781">
        <v>10.11</v>
      </c>
      <c r="AO781" t="b">
        <f t="shared" si="138"/>
        <v>1</v>
      </c>
      <c r="AR781" t="s">
        <v>5061</v>
      </c>
      <c r="AS781" s="21">
        <v>46276</v>
      </c>
      <c r="AT781" t="s">
        <v>5062</v>
      </c>
      <c r="AU781" t="s">
        <v>5080</v>
      </c>
      <c r="AV781" t="s">
        <v>5062</v>
      </c>
      <c r="AW781" t="s">
        <v>5086</v>
      </c>
    </row>
    <row r="782" spans="1:49" hidden="1" x14ac:dyDescent="0.35">
      <c r="A782" t="s">
        <v>2796</v>
      </c>
      <c r="B782" t="s">
        <v>872</v>
      </c>
      <c r="C782" t="s">
        <v>4818</v>
      </c>
      <c r="D782" t="s">
        <v>18</v>
      </c>
      <c r="E782" t="s">
        <v>3313</v>
      </c>
      <c r="F782" t="s">
        <v>3314</v>
      </c>
      <c r="G782" t="s">
        <v>21</v>
      </c>
      <c r="H782" t="s">
        <v>4888</v>
      </c>
      <c r="I782" t="s">
        <v>5003</v>
      </c>
      <c r="J782" s="4" t="s">
        <v>5004</v>
      </c>
      <c r="K782" s="4" t="s">
        <v>5016</v>
      </c>
      <c r="L782" s="4" t="s">
        <v>4895</v>
      </c>
      <c r="M782" s="4" t="s">
        <v>5035</v>
      </c>
      <c r="N782" t="s">
        <v>3315</v>
      </c>
      <c r="O782" t="s">
        <v>3316</v>
      </c>
      <c r="P782" t="s">
        <v>23</v>
      </c>
      <c r="Q782" t="s">
        <v>24</v>
      </c>
      <c r="R782" t="s">
        <v>25</v>
      </c>
      <c r="S782" t="s">
        <v>26</v>
      </c>
      <c r="T782" s="6">
        <v>46307</v>
      </c>
      <c r="U782">
        <v>24</v>
      </c>
      <c r="V782">
        <v>24</v>
      </c>
      <c r="W782">
        <v>24</v>
      </c>
      <c r="X782">
        <v>24</v>
      </c>
      <c r="Y782">
        <f t="shared" si="133"/>
        <v>0</v>
      </c>
      <c r="Z782">
        <f t="shared" si="134"/>
        <v>0</v>
      </c>
      <c r="AC782" s="1">
        <v>0</v>
      </c>
      <c r="AF782">
        <f t="shared" si="139"/>
        <v>24</v>
      </c>
      <c r="AG782" s="41">
        <v>12</v>
      </c>
      <c r="AH782">
        <f t="shared" si="135"/>
        <v>24</v>
      </c>
      <c r="AI782">
        <f t="shared" si="136"/>
        <v>0</v>
      </c>
      <c r="AK782">
        <f t="shared" si="137"/>
        <v>2</v>
      </c>
      <c r="AL782">
        <v>13.33</v>
      </c>
      <c r="AM782" t="s">
        <v>27</v>
      </c>
      <c r="AN782">
        <v>13.33</v>
      </c>
      <c r="AO782" t="b">
        <f t="shared" si="138"/>
        <v>1</v>
      </c>
      <c r="AR782" t="s">
        <v>5061</v>
      </c>
      <c r="AS782" s="21">
        <v>46276</v>
      </c>
      <c r="AT782" t="s">
        <v>5062</v>
      </c>
      <c r="AU782" t="s">
        <v>5078</v>
      </c>
      <c r="AV782" t="s">
        <v>5062</v>
      </c>
      <c r="AW782" t="s">
        <v>5086</v>
      </c>
    </row>
    <row r="783" spans="1:49" hidden="1" x14ac:dyDescent="0.35">
      <c r="A783" t="s">
        <v>2796</v>
      </c>
      <c r="B783" t="s">
        <v>872</v>
      </c>
      <c r="C783" t="s">
        <v>4818</v>
      </c>
      <c r="D783" t="s">
        <v>18</v>
      </c>
      <c r="E783" t="s">
        <v>3317</v>
      </c>
      <c r="F783" t="s">
        <v>3318</v>
      </c>
      <c r="G783" t="s">
        <v>21</v>
      </c>
      <c r="H783" t="s">
        <v>4888</v>
      </c>
      <c r="I783" t="s">
        <v>5003</v>
      </c>
      <c r="J783" s="4" t="s">
        <v>5004</v>
      </c>
      <c r="K783" s="4" t="s">
        <v>5015</v>
      </c>
      <c r="L783" s="4" t="s">
        <v>4923</v>
      </c>
      <c r="M783" s="4" t="s">
        <v>5035</v>
      </c>
      <c r="N783" t="s">
        <v>3319</v>
      </c>
      <c r="O783" t="s">
        <v>3320</v>
      </c>
      <c r="P783" t="s">
        <v>23</v>
      </c>
      <c r="Q783" t="s">
        <v>24</v>
      </c>
      <c r="R783" t="s">
        <v>25</v>
      </c>
      <c r="S783" t="s">
        <v>26</v>
      </c>
      <c r="T783" s="6">
        <v>46307</v>
      </c>
      <c r="U783">
        <v>24</v>
      </c>
      <c r="V783">
        <v>24</v>
      </c>
      <c r="W783">
        <v>24</v>
      </c>
      <c r="X783">
        <v>24</v>
      </c>
      <c r="Y783">
        <f t="shared" si="133"/>
        <v>0</v>
      </c>
      <c r="Z783">
        <f t="shared" si="134"/>
        <v>0</v>
      </c>
      <c r="AC783" s="1">
        <v>0</v>
      </c>
      <c r="AF783">
        <f t="shared" si="139"/>
        <v>24</v>
      </c>
      <c r="AG783" s="41">
        <v>12</v>
      </c>
      <c r="AH783">
        <f t="shared" si="135"/>
        <v>24</v>
      </c>
      <c r="AI783">
        <f t="shared" si="136"/>
        <v>0</v>
      </c>
      <c r="AK783">
        <f t="shared" si="137"/>
        <v>2</v>
      </c>
      <c r="AL783">
        <v>13.01</v>
      </c>
      <c r="AM783" t="s">
        <v>27</v>
      </c>
      <c r="AN783">
        <v>13.01</v>
      </c>
      <c r="AO783" t="b">
        <f t="shared" si="138"/>
        <v>1</v>
      </c>
      <c r="AR783" t="s">
        <v>5061</v>
      </c>
      <c r="AS783" s="21">
        <v>46276</v>
      </c>
      <c r="AT783" t="s">
        <v>5062</v>
      </c>
      <c r="AU783" t="s">
        <v>5078</v>
      </c>
      <c r="AV783" t="s">
        <v>5062</v>
      </c>
      <c r="AW783" t="s">
        <v>5086</v>
      </c>
    </row>
    <row r="784" spans="1:49" hidden="1" x14ac:dyDescent="0.35">
      <c r="A784" t="s">
        <v>2796</v>
      </c>
      <c r="B784" t="s">
        <v>872</v>
      </c>
      <c r="C784" t="s">
        <v>4818</v>
      </c>
      <c r="D784" t="s">
        <v>18</v>
      </c>
      <c r="E784" t="s">
        <v>3321</v>
      </c>
      <c r="F784" t="s">
        <v>3322</v>
      </c>
      <c r="G784" t="s">
        <v>21</v>
      </c>
      <c r="H784" t="s">
        <v>4888</v>
      </c>
      <c r="I784" t="s">
        <v>5003</v>
      </c>
      <c r="J784" s="4" t="s">
        <v>5004</v>
      </c>
      <c r="K784" s="4" t="s">
        <v>4904</v>
      </c>
      <c r="L784" s="4" t="s">
        <v>4912</v>
      </c>
      <c r="M784" s="4" t="s">
        <v>5035</v>
      </c>
      <c r="N784" t="s">
        <v>3323</v>
      </c>
      <c r="O784" t="s">
        <v>3324</v>
      </c>
      <c r="P784" t="s">
        <v>23</v>
      </c>
      <c r="Q784" t="s">
        <v>24</v>
      </c>
      <c r="R784" t="s">
        <v>25</v>
      </c>
      <c r="S784" t="s">
        <v>26</v>
      </c>
      <c r="T784" s="6">
        <v>46307</v>
      </c>
      <c r="U784">
        <v>48</v>
      </c>
      <c r="V784">
        <v>48</v>
      </c>
      <c r="W784">
        <v>48</v>
      </c>
      <c r="X784">
        <v>48</v>
      </c>
      <c r="Y784">
        <f t="shared" si="133"/>
        <v>0</v>
      </c>
      <c r="Z784">
        <f t="shared" si="134"/>
        <v>0</v>
      </c>
      <c r="AC784" s="1">
        <v>0</v>
      </c>
      <c r="AF784">
        <f t="shared" si="139"/>
        <v>48</v>
      </c>
      <c r="AG784" s="41">
        <v>12</v>
      </c>
      <c r="AH784">
        <f t="shared" si="135"/>
        <v>48</v>
      </c>
      <c r="AI784">
        <f t="shared" si="136"/>
        <v>0</v>
      </c>
      <c r="AK784">
        <f t="shared" si="137"/>
        <v>4</v>
      </c>
      <c r="AL784">
        <v>12.89</v>
      </c>
      <c r="AM784" t="s">
        <v>27</v>
      </c>
      <c r="AN784">
        <v>12.89</v>
      </c>
      <c r="AO784" t="b">
        <f t="shared" si="138"/>
        <v>1</v>
      </c>
      <c r="AR784" t="s">
        <v>5061</v>
      </c>
      <c r="AS784" s="21">
        <v>46276</v>
      </c>
      <c r="AT784" t="s">
        <v>5062</v>
      </c>
      <c r="AU784" t="s">
        <v>5078</v>
      </c>
      <c r="AV784" t="s">
        <v>5062</v>
      </c>
      <c r="AW784" t="s">
        <v>5086</v>
      </c>
    </row>
    <row r="785" spans="1:49" hidden="1" x14ac:dyDescent="0.35">
      <c r="A785" t="s">
        <v>2796</v>
      </c>
      <c r="B785" t="s">
        <v>872</v>
      </c>
      <c r="C785" t="s">
        <v>4818</v>
      </c>
      <c r="D785" t="s">
        <v>18</v>
      </c>
      <c r="E785" t="s">
        <v>3325</v>
      </c>
      <c r="F785" t="s">
        <v>3326</v>
      </c>
      <c r="G785" t="s">
        <v>21</v>
      </c>
      <c r="H785" t="s">
        <v>4888</v>
      </c>
      <c r="I785" t="s">
        <v>5003</v>
      </c>
      <c r="J785" s="4" t="s">
        <v>5004</v>
      </c>
      <c r="K785" s="4" t="s">
        <v>5016</v>
      </c>
      <c r="L785" s="4" t="s">
        <v>4880</v>
      </c>
      <c r="M785" s="4" t="s">
        <v>5035</v>
      </c>
      <c r="N785" t="s">
        <v>3327</v>
      </c>
      <c r="O785" t="s">
        <v>3328</v>
      </c>
      <c r="P785" t="s">
        <v>23</v>
      </c>
      <c r="Q785" t="s">
        <v>24</v>
      </c>
      <c r="R785" t="s">
        <v>25</v>
      </c>
      <c r="S785" t="s">
        <v>26</v>
      </c>
      <c r="T785" s="6">
        <v>46307</v>
      </c>
      <c r="U785">
        <v>24</v>
      </c>
      <c r="V785">
        <v>24</v>
      </c>
      <c r="W785">
        <v>24</v>
      </c>
      <c r="X785">
        <v>24</v>
      </c>
      <c r="Y785">
        <f t="shared" si="133"/>
        <v>0</v>
      </c>
      <c r="Z785">
        <f t="shared" si="134"/>
        <v>0</v>
      </c>
      <c r="AC785" s="1">
        <v>0</v>
      </c>
      <c r="AF785">
        <f t="shared" si="139"/>
        <v>24</v>
      </c>
      <c r="AG785" s="41">
        <v>12</v>
      </c>
      <c r="AH785">
        <f t="shared" si="135"/>
        <v>24</v>
      </c>
      <c r="AI785">
        <f t="shared" si="136"/>
        <v>0</v>
      </c>
      <c r="AK785">
        <f t="shared" si="137"/>
        <v>2</v>
      </c>
      <c r="AL785">
        <v>13.33</v>
      </c>
      <c r="AM785" t="s">
        <v>27</v>
      </c>
      <c r="AN785">
        <v>13.33</v>
      </c>
      <c r="AO785" t="b">
        <f t="shared" si="138"/>
        <v>1</v>
      </c>
      <c r="AR785" t="s">
        <v>5061</v>
      </c>
      <c r="AS785" s="21">
        <v>46276</v>
      </c>
      <c r="AT785" t="s">
        <v>5062</v>
      </c>
      <c r="AU785" t="s">
        <v>5078</v>
      </c>
      <c r="AV785" t="s">
        <v>5062</v>
      </c>
      <c r="AW785" t="s">
        <v>5086</v>
      </c>
    </row>
    <row r="786" spans="1:49" hidden="1" x14ac:dyDescent="0.35">
      <c r="A786" t="s">
        <v>2796</v>
      </c>
      <c r="B786" t="s">
        <v>872</v>
      </c>
      <c r="C786" t="s">
        <v>4818</v>
      </c>
      <c r="D786" t="s">
        <v>18</v>
      </c>
      <c r="E786" t="s">
        <v>3329</v>
      </c>
      <c r="F786" t="s">
        <v>3330</v>
      </c>
      <c r="G786" t="s">
        <v>21</v>
      </c>
      <c r="H786" t="s">
        <v>4888</v>
      </c>
      <c r="I786" t="s">
        <v>5005</v>
      </c>
      <c r="J786" s="4" t="s">
        <v>5006</v>
      </c>
      <c r="K786" s="4" t="s">
        <v>5027</v>
      </c>
      <c r="L786" s="4">
        <v>38</v>
      </c>
      <c r="M786" s="4" t="s">
        <v>5035</v>
      </c>
      <c r="N786" t="s">
        <v>3331</v>
      </c>
      <c r="O786" t="s">
        <v>3332</v>
      </c>
      <c r="P786" t="s">
        <v>23</v>
      </c>
      <c r="Q786" t="s">
        <v>24</v>
      </c>
      <c r="R786" t="s">
        <v>25</v>
      </c>
      <c r="S786" t="s">
        <v>26</v>
      </c>
      <c r="T786" s="6">
        <v>46307</v>
      </c>
      <c r="U786">
        <v>696</v>
      </c>
      <c r="V786">
        <v>696</v>
      </c>
      <c r="W786">
        <v>744</v>
      </c>
      <c r="X786">
        <v>744</v>
      </c>
      <c r="Y786">
        <f t="shared" si="133"/>
        <v>0</v>
      </c>
      <c r="Z786">
        <f t="shared" si="134"/>
        <v>-48</v>
      </c>
      <c r="AC786" s="1"/>
      <c r="AF786">
        <f t="shared" si="139"/>
        <v>696</v>
      </c>
      <c r="AG786" s="41">
        <v>24</v>
      </c>
      <c r="AH786">
        <f t="shared" si="135"/>
        <v>696</v>
      </c>
      <c r="AI786">
        <f t="shared" si="136"/>
        <v>0</v>
      </c>
      <c r="AK786">
        <f t="shared" si="137"/>
        <v>29</v>
      </c>
      <c r="AL786">
        <v>10.24</v>
      </c>
      <c r="AM786" t="s">
        <v>27</v>
      </c>
      <c r="AN786">
        <v>10.24</v>
      </c>
      <c r="AO786" t="b">
        <f t="shared" si="138"/>
        <v>1</v>
      </c>
      <c r="AR786" t="s">
        <v>5061</v>
      </c>
      <c r="AS786" s="21">
        <v>46276</v>
      </c>
      <c r="AT786" t="s">
        <v>5062</v>
      </c>
      <c r="AU786" t="s">
        <v>5079</v>
      </c>
      <c r="AV786" t="s">
        <v>5062</v>
      </c>
      <c r="AW786" t="s">
        <v>5086</v>
      </c>
    </row>
    <row r="787" spans="1:49" hidden="1" x14ac:dyDescent="0.35">
      <c r="A787" t="s">
        <v>2796</v>
      </c>
      <c r="B787" t="s">
        <v>872</v>
      </c>
      <c r="C787" t="s">
        <v>4818</v>
      </c>
      <c r="D787" t="s">
        <v>18</v>
      </c>
      <c r="E787" t="s">
        <v>3333</v>
      </c>
      <c r="F787" t="s">
        <v>3334</v>
      </c>
      <c r="G787" t="s">
        <v>21</v>
      </c>
      <c r="H787" t="s">
        <v>4888</v>
      </c>
      <c r="I787" t="s">
        <v>5012</v>
      </c>
      <c r="J787" s="4" t="s">
        <v>5013</v>
      </c>
      <c r="K787" s="4" t="s">
        <v>4904</v>
      </c>
      <c r="L787" s="4" t="s">
        <v>4985</v>
      </c>
      <c r="M787" s="4" t="s">
        <v>5035</v>
      </c>
      <c r="N787" t="s">
        <v>3335</v>
      </c>
      <c r="O787" t="s">
        <v>3336</v>
      </c>
      <c r="P787" t="s">
        <v>23</v>
      </c>
      <c r="Q787" t="s">
        <v>24</v>
      </c>
      <c r="R787" t="s">
        <v>25</v>
      </c>
      <c r="S787" t="s">
        <v>26</v>
      </c>
      <c r="T787" s="6">
        <v>46307</v>
      </c>
      <c r="U787">
        <v>408</v>
      </c>
      <c r="V787">
        <v>408</v>
      </c>
      <c r="W787">
        <v>432</v>
      </c>
      <c r="X787">
        <v>432</v>
      </c>
      <c r="Y787">
        <f t="shared" si="133"/>
        <v>0</v>
      </c>
      <c r="Z787">
        <f t="shared" si="134"/>
        <v>-24</v>
      </c>
      <c r="AC787" s="1"/>
      <c r="AF787">
        <f t="shared" si="139"/>
        <v>408</v>
      </c>
      <c r="AG787" s="41">
        <v>24</v>
      </c>
      <c r="AH787">
        <f t="shared" si="135"/>
        <v>408</v>
      </c>
      <c r="AI787">
        <f t="shared" si="136"/>
        <v>0</v>
      </c>
      <c r="AK787">
        <f t="shared" si="137"/>
        <v>17</v>
      </c>
      <c r="AL787">
        <v>6.15</v>
      </c>
      <c r="AM787" t="s">
        <v>27</v>
      </c>
      <c r="AN787">
        <v>6.15</v>
      </c>
      <c r="AO787" t="b">
        <f t="shared" si="138"/>
        <v>1</v>
      </c>
      <c r="AR787" t="s">
        <v>5061</v>
      </c>
      <c r="AS787" s="21">
        <v>46276</v>
      </c>
      <c r="AT787" t="s">
        <v>5062</v>
      </c>
      <c r="AU787" t="s">
        <v>5081</v>
      </c>
      <c r="AV787" t="s">
        <v>5062</v>
      </c>
      <c r="AW787" t="s">
        <v>5086</v>
      </c>
    </row>
    <row r="788" spans="1:49" hidden="1" x14ac:dyDescent="0.35">
      <c r="A788" t="s">
        <v>2796</v>
      </c>
      <c r="B788" t="s">
        <v>872</v>
      </c>
      <c r="C788" t="s">
        <v>4818</v>
      </c>
      <c r="D788" t="s">
        <v>18</v>
      </c>
      <c r="E788" t="s">
        <v>3337</v>
      </c>
      <c r="F788" t="s">
        <v>3338</v>
      </c>
      <c r="G788" t="s">
        <v>21</v>
      </c>
      <c r="H788" t="s">
        <v>4888</v>
      </c>
      <c r="I788" t="s">
        <v>5022</v>
      </c>
      <c r="J788" s="4" t="s">
        <v>5023</v>
      </c>
      <c r="K788" s="4" t="s">
        <v>5024</v>
      </c>
      <c r="L788" s="4">
        <v>18</v>
      </c>
      <c r="M788" s="4" t="s">
        <v>5035</v>
      </c>
      <c r="N788" t="s">
        <v>3339</v>
      </c>
      <c r="O788" t="s">
        <v>3340</v>
      </c>
      <c r="P788" t="s">
        <v>23</v>
      </c>
      <c r="Q788" t="s">
        <v>24</v>
      </c>
      <c r="R788" t="s">
        <v>25</v>
      </c>
      <c r="S788" t="s">
        <v>26</v>
      </c>
      <c r="T788" s="6">
        <v>46307</v>
      </c>
      <c r="U788">
        <v>384</v>
      </c>
      <c r="V788">
        <v>384</v>
      </c>
      <c r="W788">
        <v>384</v>
      </c>
      <c r="X788">
        <v>384</v>
      </c>
      <c r="Y788">
        <f t="shared" si="133"/>
        <v>0</v>
      </c>
      <c r="Z788">
        <f t="shared" si="134"/>
        <v>0</v>
      </c>
      <c r="AC788" s="1">
        <v>0</v>
      </c>
      <c r="AF788">
        <f t="shared" si="139"/>
        <v>384</v>
      </c>
      <c r="AG788" s="41">
        <v>24</v>
      </c>
      <c r="AH788">
        <f t="shared" si="135"/>
        <v>384</v>
      </c>
      <c r="AI788">
        <f t="shared" si="136"/>
        <v>0</v>
      </c>
      <c r="AK788">
        <f t="shared" si="137"/>
        <v>16</v>
      </c>
      <c r="AL788">
        <v>6.99</v>
      </c>
      <c r="AM788" t="s">
        <v>27</v>
      </c>
      <c r="AN788">
        <v>8.68</v>
      </c>
      <c r="AO788" t="b">
        <f t="shared" si="138"/>
        <v>0</v>
      </c>
      <c r="AR788" t="s">
        <v>5061</v>
      </c>
      <c r="AS788" s="21">
        <v>46276</v>
      </c>
      <c r="AT788" t="s">
        <v>5062</v>
      </c>
      <c r="AU788" t="s">
        <v>5083</v>
      </c>
      <c r="AV788" t="s">
        <v>5062</v>
      </c>
      <c r="AW788" t="s">
        <v>5086</v>
      </c>
    </row>
    <row r="789" spans="1:49" hidden="1" x14ac:dyDescent="0.35">
      <c r="A789" t="s">
        <v>2796</v>
      </c>
      <c r="B789" t="s">
        <v>872</v>
      </c>
      <c r="C789" t="s">
        <v>4818</v>
      </c>
      <c r="D789" t="s">
        <v>18</v>
      </c>
      <c r="E789" t="s">
        <v>3341</v>
      </c>
      <c r="F789" t="s">
        <v>3342</v>
      </c>
      <c r="G789" t="s">
        <v>21</v>
      </c>
      <c r="H789" t="s">
        <v>4888</v>
      </c>
      <c r="I789" t="s">
        <v>5003</v>
      </c>
      <c r="J789" s="4" t="s">
        <v>5004</v>
      </c>
      <c r="K789" s="4" t="s">
        <v>5015</v>
      </c>
      <c r="L789" s="4" t="s">
        <v>4909</v>
      </c>
      <c r="M789" s="4" t="s">
        <v>5035</v>
      </c>
      <c r="N789" t="s">
        <v>3343</v>
      </c>
      <c r="O789" t="s">
        <v>3344</v>
      </c>
      <c r="P789" t="s">
        <v>23</v>
      </c>
      <c r="Q789" t="s">
        <v>24</v>
      </c>
      <c r="R789" t="s">
        <v>25</v>
      </c>
      <c r="S789" t="s">
        <v>26</v>
      </c>
      <c r="T789" s="6">
        <v>46307</v>
      </c>
      <c r="U789">
        <v>48</v>
      </c>
      <c r="V789">
        <v>48</v>
      </c>
      <c r="W789">
        <v>36</v>
      </c>
      <c r="X789">
        <v>36</v>
      </c>
      <c r="Y789">
        <f t="shared" si="133"/>
        <v>0</v>
      </c>
      <c r="Z789">
        <f t="shared" si="134"/>
        <v>12</v>
      </c>
      <c r="AA789">
        <f>Z789</f>
        <v>12</v>
      </c>
      <c r="AC789" s="1">
        <v>0</v>
      </c>
      <c r="AF789">
        <f>X789</f>
        <v>36</v>
      </c>
      <c r="AG789" s="41">
        <v>12</v>
      </c>
      <c r="AH789">
        <f t="shared" si="135"/>
        <v>36</v>
      </c>
      <c r="AI789">
        <f t="shared" si="136"/>
        <v>12</v>
      </c>
      <c r="AK789">
        <f t="shared" si="137"/>
        <v>3</v>
      </c>
      <c r="AL789">
        <v>13.01</v>
      </c>
      <c r="AM789" t="s">
        <v>27</v>
      </c>
      <c r="AN789">
        <v>13.01</v>
      </c>
      <c r="AO789" t="b">
        <f t="shared" si="138"/>
        <v>1</v>
      </c>
      <c r="AR789" t="s">
        <v>5061</v>
      </c>
      <c r="AS789" s="21">
        <v>46276</v>
      </c>
      <c r="AT789" t="s">
        <v>5062</v>
      </c>
      <c r="AU789" t="s">
        <v>5078</v>
      </c>
      <c r="AV789" t="s">
        <v>5062</v>
      </c>
      <c r="AW789" t="s">
        <v>5086</v>
      </c>
    </row>
    <row r="790" spans="1:49" hidden="1" x14ac:dyDescent="0.35">
      <c r="A790" t="s">
        <v>2796</v>
      </c>
      <c r="B790" t="s">
        <v>872</v>
      </c>
      <c r="C790" t="s">
        <v>4818</v>
      </c>
      <c r="D790" t="s">
        <v>18</v>
      </c>
      <c r="E790" t="s">
        <v>3345</v>
      </c>
      <c r="F790" t="s">
        <v>3346</v>
      </c>
      <c r="G790" t="s">
        <v>21</v>
      </c>
      <c r="H790" t="s">
        <v>4888</v>
      </c>
      <c r="I790" t="s">
        <v>5003</v>
      </c>
      <c r="J790" s="4" t="s">
        <v>5004</v>
      </c>
      <c r="K790" s="4" t="s">
        <v>4837</v>
      </c>
      <c r="L790" s="4" t="s">
        <v>4932</v>
      </c>
      <c r="M790" s="4" t="s">
        <v>5035</v>
      </c>
      <c r="N790" t="s">
        <v>3347</v>
      </c>
      <c r="O790" t="s">
        <v>3348</v>
      </c>
      <c r="P790" t="s">
        <v>23</v>
      </c>
      <c r="Q790" t="s">
        <v>24</v>
      </c>
      <c r="R790" t="s">
        <v>25</v>
      </c>
      <c r="S790" t="s">
        <v>26</v>
      </c>
      <c r="T790" s="6">
        <v>46307</v>
      </c>
      <c r="U790">
        <v>36</v>
      </c>
      <c r="V790">
        <v>36</v>
      </c>
      <c r="W790">
        <v>36</v>
      </c>
      <c r="X790">
        <v>36</v>
      </c>
      <c r="Y790">
        <f t="shared" si="133"/>
        <v>0</v>
      </c>
      <c r="Z790">
        <f t="shared" si="134"/>
        <v>0</v>
      </c>
      <c r="AC790" s="1">
        <v>0</v>
      </c>
      <c r="AF790">
        <f t="shared" ref="AF790:AF804" si="140">V790</f>
        <v>36</v>
      </c>
      <c r="AG790" s="41">
        <v>12</v>
      </c>
      <c r="AH790">
        <f t="shared" si="135"/>
        <v>36</v>
      </c>
      <c r="AI790">
        <f t="shared" si="136"/>
        <v>0</v>
      </c>
      <c r="AK790">
        <f t="shared" si="137"/>
        <v>3</v>
      </c>
      <c r="AL790">
        <v>12.87</v>
      </c>
      <c r="AM790" t="s">
        <v>27</v>
      </c>
      <c r="AN790">
        <v>12.87</v>
      </c>
      <c r="AO790" t="b">
        <f t="shared" si="138"/>
        <v>1</v>
      </c>
      <c r="AR790" t="s">
        <v>5061</v>
      </c>
      <c r="AS790" s="21">
        <v>46276</v>
      </c>
      <c r="AT790" t="s">
        <v>5062</v>
      </c>
      <c r="AU790" t="s">
        <v>5078</v>
      </c>
      <c r="AV790" t="s">
        <v>5062</v>
      </c>
      <c r="AW790" t="s">
        <v>5086</v>
      </c>
    </row>
    <row r="791" spans="1:49" hidden="1" x14ac:dyDescent="0.35">
      <c r="A791" t="s">
        <v>2796</v>
      </c>
      <c r="B791" t="s">
        <v>872</v>
      </c>
      <c r="C791" t="s">
        <v>4818</v>
      </c>
      <c r="D791" t="s">
        <v>18</v>
      </c>
      <c r="E791" t="s">
        <v>3349</v>
      </c>
      <c r="F791" t="s">
        <v>3350</v>
      </c>
      <c r="G791" t="s">
        <v>21</v>
      </c>
      <c r="H791" t="s">
        <v>4888</v>
      </c>
      <c r="I791" t="s">
        <v>5003</v>
      </c>
      <c r="J791" s="4" t="s">
        <v>5004</v>
      </c>
      <c r="K791" s="4" t="s">
        <v>4904</v>
      </c>
      <c r="L791" s="4" t="s">
        <v>4853</v>
      </c>
      <c r="M791" s="4" t="s">
        <v>5035</v>
      </c>
      <c r="N791" t="s">
        <v>3351</v>
      </c>
      <c r="O791" t="s">
        <v>3352</v>
      </c>
      <c r="P791" t="s">
        <v>23</v>
      </c>
      <c r="Q791" t="s">
        <v>24</v>
      </c>
      <c r="R791" t="s">
        <v>25</v>
      </c>
      <c r="S791" t="s">
        <v>26</v>
      </c>
      <c r="T791" s="6">
        <v>46307</v>
      </c>
      <c r="U791">
        <v>96</v>
      </c>
      <c r="V791">
        <v>96</v>
      </c>
      <c r="W791">
        <v>108</v>
      </c>
      <c r="X791">
        <v>108</v>
      </c>
      <c r="Y791">
        <f t="shared" si="133"/>
        <v>0</v>
      </c>
      <c r="Z791">
        <f t="shared" si="134"/>
        <v>-12</v>
      </c>
      <c r="AC791" s="1">
        <v>0</v>
      </c>
      <c r="AF791">
        <f t="shared" si="140"/>
        <v>96</v>
      </c>
      <c r="AG791" s="41">
        <v>12</v>
      </c>
      <c r="AH791">
        <f t="shared" si="135"/>
        <v>96</v>
      </c>
      <c r="AI791">
        <f t="shared" si="136"/>
        <v>0</v>
      </c>
      <c r="AK791">
        <f t="shared" si="137"/>
        <v>8</v>
      </c>
      <c r="AL791">
        <v>12.89</v>
      </c>
      <c r="AM791" t="s">
        <v>27</v>
      </c>
      <c r="AN791">
        <v>12.89</v>
      </c>
      <c r="AO791" t="b">
        <f t="shared" si="138"/>
        <v>1</v>
      </c>
      <c r="AR791" t="s">
        <v>5061</v>
      </c>
      <c r="AS791" s="21">
        <v>46276</v>
      </c>
      <c r="AT791" t="s">
        <v>5062</v>
      </c>
      <c r="AU791" t="s">
        <v>5078</v>
      </c>
      <c r="AV791" t="s">
        <v>5062</v>
      </c>
      <c r="AW791" t="s">
        <v>5086</v>
      </c>
    </row>
    <row r="792" spans="1:49" hidden="1" x14ac:dyDescent="0.35">
      <c r="A792" t="s">
        <v>2796</v>
      </c>
      <c r="B792" t="s">
        <v>872</v>
      </c>
      <c r="C792" t="s">
        <v>4818</v>
      </c>
      <c r="D792" t="s">
        <v>18</v>
      </c>
      <c r="E792" t="s">
        <v>3353</v>
      </c>
      <c r="F792" t="s">
        <v>3354</v>
      </c>
      <c r="G792" t="s">
        <v>21</v>
      </c>
      <c r="H792" t="s">
        <v>4888</v>
      </c>
      <c r="I792" t="s">
        <v>5003</v>
      </c>
      <c r="J792" s="4" t="s">
        <v>5004</v>
      </c>
      <c r="K792" s="4" t="s">
        <v>5015</v>
      </c>
      <c r="L792" s="4" t="s">
        <v>4867</v>
      </c>
      <c r="M792" s="4" t="s">
        <v>5035</v>
      </c>
      <c r="N792" t="s">
        <v>3355</v>
      </c>
      <c r="O792" t="s">
        <v>3356</v>
      </c>
      <c r="P792" t="s">
        <v>23</v>
      </c>
      <c r="Q792" t="s">
        <v>24</v>
      </c>
      <c r="R792" t="s">
        <v>25</v>
      </c>
      <c r="S792" t="s">
        <v>26</v>
      </c>
      <c r="T792" s="6">
        <v>46307</v>
      </c>
      <c r="U792">
        <v>60</v>
      </c>
      <c r="V792">
        <v>60</v>
      </c>
      <c r="W792">
        <v>60</v>
      </c>
      <c r="X792">
        <v>60</v>
      </c>
      <c r="Y792">
        <f t="shared" si="133"/>
        <v>0</v>
      </c>
      <c r="Z792">
        <f t="shared" si="134"/>
        <v>0</v>
      </c>
      <c r="AC792" s="1">
        <v>0</v>
      </c>
      <c r="AF792">
        <f t="shared" si="140"/>
        <v>60</v>
      </c>
      <c r="AG792" s="41">
        <v>12</v>
      </c>
      <c r="AH792">
        <f t="shared" si="135"/>
        <v>60</v>
      </c>
      <c r="AI792">
        <f t="shared" si="136"/>
        <v>0</v>
      </c>
      <c r="AK792">
        <f t="shared" si="137"/>
        <v>5</v>
      </c>
      <c r="AL792">
        <v>13.01</v>
      </c>
      <c r="AM792" t="s">
        <v>27</v>
      </c>
      <c r="AN792">
        <v>13.01</v>
      </c>
      <c r="AO792" t="b">
        <f t="shared" si="138"/>
        <v>1</v>
      </c>
      <c r="AR792" t="s">
        <v>5061</v>
      </c>
      <c r="AS792" s="21">
        <v>46276</v>
      </c>
      <c r="AT792" t="s">
        <v>5062</v>
      </c>
      <c r="AU792" t="s">
        <v>5078</v>
      </c>
      <c r="AV792" t="s">
        <v>5062</v>
      </c>
      <c r="AW792" t="s">
        <v>5086</v>
      </c>
    </row>
    <row r="793" spans="1:49" hidden="1" x14ac:dyDescent="0.35">
      <c r="A793" t="s">
        <v>2796</v>
      </c>
      <c r="B793" t="s">
        <v>872</v>
      </c>
      <c r="C793" t="s">
        <v>4818</v>
      </c>
      <c r="D793" t="s">
        <v>18</v>
      </c>
      <c r="E793" t="s">
        <v>3357</v>
      </c>
      <c r="F793" t="s">
        <v>3358</v>
      </c>
      <c r="G793" t="s">
        <v>21</v>
      </c>
      <c r="H793" t="s">
        <v>4888</v>
      </c>
      <c r="I793" t="s">
        <v>5003</v>
      </c>
      <c r="J793" s="4" t="s">
        <v>5004</v>
      </c>
      <c r="K793" s="4" t="s">
        <v>5016</v>
      </c>
      <c r="L793" s="4" t="s">
        <v>4884</v>
      </c>
      <c r="M793" s="4" t="s">
        <v>5035</v>
      </c>
      <c r="N793" t="s">
        <v>3359</v>
      </c>
      <c r="O793" t="s">
        <v>3360</v>
      </c>
      <c r="P793" t="s">
        <v>23</v>
      </c>
      <c r="Q793" t="s">
        <v>24</v>
      </c>
      <c r="R793" t="s">
        <v>25</v>
      </c>
      <c r="S793" t="s">
        <v>26</v>
      </c>
      <c r="T793" s="6">
        <v>46307</v>
      </c>
      <c r="U793">
        <v>24</v>
      </c>
      <c r="V793">
        <v>24</v>
      </c>
      <c r="W793">
        <v>24</v>
      </c>
      <c r="X793">
        <v>24</v>
      </c>
      <c r="Y793">
        <f t="shared" si="133"/>
        <v>0</v>
      </c>
      <c r="Z793">
        <f t="shared" si="134"/>
        <v>0</v>
      </c>
      <c r="AC793" s="1">
        <v>0</v>
      </c>
      <c r="AF793">
        <f t="shared" si="140"/>
        <v>24</v>
      </c>
      <c r="AG793" s="41">
        <v>12</v>
      </c>
      <c r="AH793">
        <f t="shared" si="135"/>
        <v>24</v>
      </c>
      <c r="AI793">
        <f t="shared" si="136"/>
        <v>0</v>
      </c>
      <c r="AK793">
        <f t="shared" si="137"/>
        <v>2</v>
      </c>
      <c r="AL793">
        <v>13.33</v>
      </c>
      <c r="AM793" t="s">
        <v>27</v>
      </c>
      <c r="AN793">
        <v>13.33</v>
      </c>
      <c r="AO793" t="b">
        <f t="shared" si="138"/>
        <v>1</v>
      </c>
      <c r="AR793" t="s">
        <v>5061</v>
      </c>
      <c r="AS793" s="21">
        <v>46276</v>
      </c>
      <c r="AT793" t="s">
        <v>5062</v>
      </c>
      <c r="AU793" t="s">
        <v>5078</v>
      </c>
      <c r="AV793" t="s">
        <v>5062</v>
      </c>
      <c r="AW793" t="s">
        <v>5086</v>
      </c>
    </row>
    <row r="794" spans="1:49" hidden="1" x14ac:dyDescent="0.35">
      <c r="A794" t="s">
        <v>2796</v>
      </c>
      <c r="B794" t="s">
        <v>872</v>
      </c>
      <c r="C794" t="s">
        <v>4818</v>
      </c>
      <c r="D794" t="s">
        <v>18</v>
      </c>
      <c r="E794" t="s">
        <v>3361</v>
      </c>
      <c r="F794" t="s">
        <v>3362</v>
      </c>
      <c r="G794" t="s">
        <v>21</v>
      </c>
      <c r="H794" t="s">
        <v>4888</v>
      </c>
      <c r="I794" t="s">
        <v>5003</v>
      </c>
      <c r="J794" s="4" t="s">
        <v>5004</v>
      </c>
      <c r="K794" s="4" t="s">
        <v>4904</v>
      </c>
      <c r="L794" s="4" t="s">
        <v>4917</v>
      </c>
      <c r="M794" s="4" t="s">
        <v>5035</v>
      </c>
      <c r="N794" t="s">
        <v>3363</v>
      </c>
      <c r="O794" t="s">
        <v>3364</v>
      </c>
      <c r="P794" t="s">
        <v>23</v>
      </c>
      <c r="Q794" t="s">
        <v>24</v>
      </c>
      <c r="R794" t="s">
        <v>25</v>
      </c>
      <c r="S794" t="s">
        <v>26</v>
      </c>
      <c r="T794" s="6">
        <v>46307</v>
      </c>
      <c r="U794">
        <v>48</v>
      </c>
      <c r="V794">
        <v>48</v>
      </c>
      <c r="W794">
        <v>48</v>
      </c>
      <c r="X794">
        <v>48</v>
      </c>
      <c r="Y794">
        <f t="shared" si="133"/>
        <v>0</v>
      </c>
      <c r="Z794">
        <f t="shared" si="134"/>
        <v>0</v>
      </c>
      <c r="AC794" s="1">
        <v>0</v>
      </c>
      <c r="AF794">
        <f t="shared" si="140"/>
        <v>48</v>
      </c>
      <c r="AG794" s="41">
        <v>12</v>
      </c>
      <c r="AH794">
        <f t="shared" si="135"/>
        <v>48</v>
      </c>
      <c r="AI794">
        <f t="shared" si="136"/>
        <v>0</v>
      </c>
      <c r="AK794">
        <f t="shared" si="137"/>
        <v>4</v>
      </c>
      <c r="AL794">
        <v>12.89</v>
      </c>
      <c r="AM794" t="s">
        <v>27</v>
      </c>
      <c r="AN794">
        <v>12.89</v>
      </c>
      <c r="AO794" t="b">
        <f t="shared" si="138"/>
        <v>1</v>
      </c>
      <c r="AR794" t="s">
        <v>5061</v>
      </c>
      <c r="AS794" s="21">
        <v>46276</v>
      </c>
      <c r="AT794" t="s">
        <v>5062</v>
      </c>
      <c r="AU794" t="s">
        <v>5078</v>
      </c>
      <c r="AV794" t="s">
        <v>5062</v>
      </c>
      <c r="AW794" t="s">
        <v>5086</v>
      </c>
    </row>
    <row r="795" spans="1:49" hidden="1" x14ac:dyDescent="0.35">
      <c r="A795" t="s">
        <v>2796</v>
      </c>
      <c r="B795" t="s">
        <v>872</v>
      </c>
      <c r="C795" t="s">
        <v>4818</v>
      </c>
      <c r="D795" t="s">
        <v>18</v>
      </c>
      <c r="E795" t="s">
        <v>3365</v>
      </c>
      <c r="F795" t="s">
        <v>3366</v>
      </c>
      <c r="G795" t="s">
        <v>21</v>
      </c>
      <c r="H795" t="s">
        <v>4888</v>
      </c>
      <c r="I795" t="s">
        <v>5005</v>
      </c>
      <c r="J795" s="4" t="s">
        <v>5006</v>
      </c>
      <c r="K795" s="4" t="s">
        <v>4837</v>
      </c>
      <c r="L795" s="4">
        <v>38</v>
      </c>
      <c r="M795" s="4" t="s">
        <v>5035</v>
      </c>
      <c r="N795" t="s">
        <v>3367</v>
      </c>
      <c r="O795" t="s">
        <v>3368</v>
      </c>
      <c r="P795" t="s">
        <v>23</v>
      </c>
      <c r="Q795" t="s">
        <v>24</v>
      </c>
      <c r="R795" t="s">
        <v>25</v>
      </c>
      <c r="S795" t="s">
        <v>26</v>
      </c>
      <c r="T795" s="6">
        <v>46307</v>
      </c>
      <c r="U795">
        <v>816</v>
      </c>
      <c r="V795">
        <v>816</v>
      </c>
      <c r="W795">
        <v>864</v>
      </c>
      <c r="X795">
        <v>864</v>
      </c>
      <c r="Y795">
        <f t="shared" si="133"/>
        <v>0</v>
      </c>
      <c r="Z795">
        <f t="shared" si="134"/>
        <v>-48</v>
      </c>
      <c r="AC795" s="1">
        <v>0</v>
      </c>
      <c r="AF795">
        <f t="shared" si="140"/>
        <v>816</v>
      </c>
      <c r="AG795" s="41">
        <v>24</v>
      </c>
      <c r="AH795">
        <f t="shared" si="135"/>
        <v>816</v>
      </c>
      <c r="AI795">
        <f t="shared" si="136"/>
        <v>0</v>
      </c>
      <c r="AK795">
        <f t="shared" si="137"/>
        <v>34</v>
      </c>
      <c r="AL795">
        <v>9.58</v>
      </c>
      <c r="AM795" t="s">
        <v>27</v>
      </c>
      <c r="AN795">
        <v>9.58</v>
      </c>
      <c r="AO795" t="b">
        <f t="shared" si="138"/>
        <v>1</v>
      </c>
      <c r="AR795" t="s">
        <v>5061</v>
      </c>
      <c r="AS795" s="21">
        <v>46276</v>
      </c>
      <c r="AT795" t="s">
        <v>5062</v>
      </c>
      <c r="AU795" t="s">
        <v>5079</v>
      </c>
      <c r="AV795" t="s">
        <v>5062</v>
      </c>
      <c r="AW795" t="s">
        <v>5086</v>
      </c>
    </row>
    <row r="796" spans="1:49" hidden="1" x14ac:dyDescent="0.35">
      <c r="A796" t="s">
        <v>2796</v>
      </c>
      <c r="B796" t="s">
        <v>872</v>
      </c>
      <c r="C796" t="s">
        <v>4818</v>
      </c>
      <c r="D796" t="s">
        <v>18</v>
      </c>
      <c r="E796" t="s">
        <v>3369</v>
      </c>
      <c r="F796" t="s">
        <v>3370</v>
      </c>
      <c r="G796" t="s">
        <v>21</v>
      </c>
      <c r="H796" t="s">
        <v>4888</v>
      </c>
      <c r="I796" t="s">
        <v>5008</v>
      </c>
      <c r="J796" s="4" t="s">
        <v>5009</v>
      </c>
      <c r="K796" s="4" t="s">
        <v>5021</v>
      </c>
      <c r="L796" s="4">
        <v>38</v>
      </c>
      <c r="M796" s="4" t="s">
        <v>5035</v>
      </c>
      <c r="N796" t="s">
        <v>3371</v>
      </c>
      <c r="O796" t="s">
        <v>3372</v>
      </c>
      <c r="P796" t="s">
        <v>23</v>
      </c>
      <c r="Q796" t="s">
        <v>24</v>
      </c>
      <c r="R796" t="s">
        <v>25</v>
      </c>
      <c r="S796" t="s">
        <v>26</v>
      </c>
      <c r="T796" s="6">
        <v>46307</v>
      </c>
      <c r="U796">
        <v>672</v>
      </c>
      <c r="V796">
        <v>672</v>
      </c>
      <c r="W796">
        <v>720</v>
      </c>
      <c r="X796">
        <v>720</v>
      </c>
      <c r="Y796">
        <f t="shared" si="133"/>
        <v>0</v>
      </c>
      <c r="Z796">
        <f t="shared" si="134"/>
        <v>-48</v>
      </c>
      <c r="AC796" s="1">
        <v>0</v>
      </c>
      <c r="AF796">
        <f t="shared" si="140"/>
        <v>672</v>
      </c>
      <c r="AG796" s="41">
        <v>24</v>
      </c>
      <c r="AH796">
        <f t="shared" si="135"/>
        <v>672</v>
      </c>
      <c r="AI796">
        <f t="shared" si="136"/>
        <v>0</v>
      </c>
      <c r="AK796">
        <f t="shared" si="137"/>
        <v>28</v>
      </c>
      <c r="AL796">
        <v>10.11</v>
      </c>
      <c r="AM796" t="s">
        <v>27</v>
      </c>
      <c r="AN796">
        <v>10.11</v>
      </c>
      <c r="AO796" t="b">
        <f t="shared" si="138"/>
        <v>1</v>
      </c>
      <c r="AR796" t="s">
        <v>5061</v>
      </c>
      <c r="AS796" s="21">
        <v>46276</v>
      </c>
      <c r="AT796" t="s">
        <v>5062</v>
      </c>
      <c r="AU796" t="s">
        <v>5080</v>
      </c>
      <c r="AV796" t="s">
        <v>5062</v>
      </c>
      <c r="AW796" t="s">
        <v>5086</v>
      </c>
    </row>
    <row r="797" spans="1:49" hidden="1" x14ac:dyDescent="0.35">
      <c r="A797" t="s">
        <v>2796</v>
      </c>
      <c r="B797" t="s">
        <v>872</v>
      </c>
      <c r="C797" t="s">
        <v>4818</v>
      </c>
      <c r="D797" t="s">
        <v>18</v>
      </c>
      <c r="E797" t="s">
        <v>3373</v>
      </c>
      <c r="F797" t="s">
        <v>3374</v>
      </c>
      <c r="G797" t="s">
        <v>21</v>
      </c>
      <c r="H797" t="s">
        <v>4888</v>
      </c>
      <c r="I797" t="s">
        <v>5005</v>
      </c>
      <c r="J797" s="4" t="s">
        <v>5006</v>
      </c>
      <c r="K797" s="4" t="s">
        <v>4899</v>
      </c>
      <c r="L797" s="4">
        <v>28</v>
      </c>
      <c r="M797" s="4" t="s">
        <v>5035</v>
      </c>
      <c r="N797" t="s">
        <v>3375</v>
      </c>
      <c r="O797" t="s">
        <v>3376</v>
      </c>
      <c r="P797" t="s">
        <v>23</v>
      </c>
      <c r="Q797" t="s">
        <v>24</v>
      </c>
      <c r="R797" t="s">
        <v>25</v>
      </c>
      <c r="S797" t="s">
        <v>26</v>
      </c>
      <c r="T797" s="6">
        <v>46307</v>
      </c>
      <c r="U797">
        <v>120</v>
      </c>
      <c r="V797">
        <v>120</v>
      </c>
      <c r="W797">
        <v>144</v>
      </c>
      <c r="X797">
        <v>144</v>
      </c>
      <c r="Y797">
        <f t="shared" si="133"/>
        <v>0</v>
      </c>
      <c r="Z797">
        <f t="shared" si="134"/>
        <v>-24</v>
      </c>
      <c r="AC797" s="1">
        <v>0</v>
      </c>
      <c r="AF797">
        <f t="shared" si="140"/>
        <v>120</v>
      </c>
      <c r="AG797" s="41">
        <v>24</v>
      </c>
      <c r="AH797">
        <f t="shared" si="135"/>
        <v>120</v>
      </c>
      <c r="AI797">
        <f t="shared" si="136"/>
        <v>0</v>
      </c>
      <c r="AK797">
        <f t="shared" si="137"/>
        <v>5</v>
      </c>
      <c r="AL797">
        <v>10.14</v>
      </c>
      <c r="AM797" t="s">
        <v>27</v>
      </c>
      <c r="AN797">
        <v>10.14</v>
      </c>
      <c r="AO797" t="b">
        <f t="shared" si="138"/>
        <v>1</v>
      </c>
      <c r="AR797" t="s">
        <v>5061</v>
      </c>
      <c r="AS797" s="21">
        <v>46276</v>
      </c>
      <c r="AT797" t="s">
        <v>5062</v>
      </c>
      <c r="AU797" t="s">
        <v>5079</v>
      </c>
      <c r="AV797" t="s">
        <v>5062</v>
      </c>
      <c r="AW797" t="s">
        <v>5086</v>
      </c>
    </row>
    <row r="798" spans="1:49" hidden="1" x14ac:dyDescent="0.35">
      <c r="A798" t="s">
        <v>2796</v>
      </c>
      <c r="B798" t="s">
        <v>872</v>
      </c>
      <c r="C798" t="s">
        <v>4818</v>
      </c>
      <c r="D798" t="s">
        <v>18</v>
      </c>
      <c r="E798" t="s">
        <v>3377</v>
      </c>
      <c r="F798" t="s">
        <v>3378</v>
      </c>
      <c r="G798" t="s">
        <v>21</v>
      </c>
      <c r="H798" t="s">
        <v>4888</v>
      </c>
      <c r="I798" t="s">
        <v>5003</v>
      </c>
      <c r="J798" s="4" t="s">
        <v>5004</v>
      </c>
      <c r="K798" s="4" t="s">
        <v>4904</v>
      </c>
      <c r="L798" s="4" t="s">
        <v>4871</v>
      </c>
      <c r="M798" s="4" t="s">
        <v>5035</v>
      </c>
      <c r="N798" t="s">
        <v>3379</v>
      </c>
      <c r="O798" t="s">
        <v>3380</v>
      </c>
      <c r="P798" t="s">
        <v>23</v>
      </c>
      <c r="Q798" t="s">
        <v>24</v>
      </c>
      <c r="R798" t="s">
        <v>25</v>
      </c>
      <c r="S798" t="s">
        <v>26</v>
      </c>
      <c r="T798" s="6">
        <v>46307</v>
      </c>
      <c r="U798">
        <v>60</v>
      </c>
      <c r="V798">
        <v>60</v>
      </c>
      <c r="W798">
        <v>72</v>
      </c>
      <c r="X798">
        <v>72</v>
      </c>
      <c r="Y798">
        <f t="shared" si="133"/>
        <v>0</v>
      </c>
      <c r="Z798">
        <f t="shared" si="134"/>
        <v>-12</v>
      </c>
      <c r="AC798" s="1">
        <v>0</v>
      </c>
      <c r="AF798">
        <f t="shared" si="140"/>
        <v>60</v>
      </c>
      <c r="AG798" s="41">
        <v>12</v>
      </c>
      <c r="AH798">
        <f t="shared" si="135"/>
        <v>60</v>
      </c>
      <c r="AI798">
        <f t="shared" si="136"/>
        <v>0</v>
      </c>
      <c r="AK798">
        <f t="shared" si="137"/>
        <v>5</v>
      </c>
      <c r="AL798">
        <v>12.89</v>
      </c>
      <c r="AM798" t="s">
        <v>27</v>
      </c>
      <c r="AN798">
        <v>12.89</v>
      </c>
      <c r="AO798" t="b">
        <f t="shared" si="138"/>
        <v>1</v>
      </c>
      <c r="AR798" t="s">
        <v>5061</v>
      </c>
      <c r="AS798" s="21">
        <v>46276</v>
      </c>
      <c r="AT798" t="s">
        <v>5062</v>
      </c>
      <c r="AU798" t="s">
        <v>5078</v>
      </c>
      <c r="AV798" t="s">
        <v>5062</v>
      </c>
      <c r="AW798" t="s">
        <v>5086</v>
      </c>
    </row>
    <row r="799" spans="1:49" hidden="1" x14ac:dyDescent="0.35">
      <c r="A799" t="s">
        <v>2796</v>
      </c>
      <c r="B799" t="s">
        <v>872</v>
      </c>
      <c r="C799" t="s">
        <v>4818</v>
      </c>
      <c r="D799" t="s">
        <v>18</v>
      </c>
      <c r="E799" t="s">
        <v>3381</v>
      </c>
      <c r="F799" t="s">
        <v>3382</v>
      </c>
      <c r="G799" t="s">
        <v>21</v>
      </c>
      <c r="H799" t="s">
        <v>4888</v>
      </c>
      <c r="I799" t="s">
        <v>5008</v>
      </c>
      <c r="J799" s="4" t="s">
        <v>5009</v>
      </c>
      <c r="K799" s="4" t="s">
        <v>4904</v>
      </c>
      <c r="L799" s="4">
        <v>31</v>
      </c>
      <c r="M799" s="4" t="s">
        <v>5035</v>
      </c>
      <c r="N799" t="s">
        <v>3383</v>
      </c>
      <c r="O799" t="s">
        <v>3384</v>
      </c>
      <c r="P799" t="s">
        <v>23</v>
      </c>
      <c r="Q799" t="s">
        <v>24</v>
      </c>
      <c r="R799" t="s">
        <v>25</v>
      </c>
      <c r="S799" t="s">
        <v>26</v>
      </c>
      <c r="T799" s="6">
        <v>46307</v>
      </c>
      <c r="U799">
        <v>240</v>
      </c>
      <c r="V799">
        <v>240</v>
      </c>
      <c r="W799">
        <v>264</v>
      </c>
      <c r="X799">
        <v>264</v>
      </c>
      <c r="Y799">
        <f t="shared" si="133"/>
        <v>0</v>
      </c>
      <c r="Z799">
        <f t="shared" si="134"/>
        <v>-24</v>
      </c>
      <c r="AC799" s="1">
        <v>0</v>
      </c>
      <c r="AF799">
        <f t="shared" si="140"/>
        <v>240</v>
      </c>
      <c r="AG799" s="41">
        <v>24</v>
      </c>
      <c r="AH799">
        <f t="shared" si="135"/>
        <v>240</v>
      </c>
      <c r="AI799">
        <f t="shared" si="136"/>
        <v>0</v>
      </c>
      <c r="AK799">
        <f t="shared" si="137"/>
        <v>10</v>
      </c>
      <c r="AL799">
        <v>10.11</v>
      </c>
      <c r="AM799" t="s">
        <v>27</v>
      </c>
      <c r="AN799">
        <v>10.11</v>
      </c>
      <c r="AO799" t="b">
        <f t="shared" si="138"/>
        <v>1</v>
      </c>
      <c r="AR799" t="s">
        <v>5061</v>
      </c>
      <c r="AS799" s="21">
        <v>46276</v>
      </c>
      <c r="AT799" t="s">
        <v>5062</v>
      </c>
      <c r="AU799" t="s">
        <v>5080</v>
      </c>
      <c r="AV799" t="s">
        <v>5062</v>
      </c>
      <c r="AW799" t="s">
        <v>5086</v>
      </c>
    </row>
    <row r="800" spans="1:49" hidden="1" x14ac:dyDescent="0.35">
      <c r="A800" t="s">
        <v>2796</v>
      </c>
      <c r="B800" t="s">
        <v>872</v>
      </c>
      <c r="C800" t="s">
        <v>4818</v>
      </c>
      <c r="D800" t="s">
        <v>18</v>
      </c>
      <c r="E800" t="s">
        <v>3385</v>
      </c>
      <c r="F800" t="s">
        <v>3386</v>
      </c>
      <c r="G800" t="s">
        <v>21</v>
      </c>
      <c r="H800" t="s">
        <v>4888</v>
      </c>
      <c r="I800" t="s">
        <v>5005</v>
      </c>
      <c r="J800" s="4" t="s">
        <v>5006</v>
      </c>
      <c r="K800" s="4" t="s">
        <v>5027</v>
      </c>
      <c r="L800" s="4">
        <v>42</v>
      </c>
      <c r="M800" s="4" t="s">
        <v>5035</v>
      </c>
      <c r="N800" t="s">
        <v>3387</v>
      </c>
      <c r="O800" t="s">
        <v>3388</v>
      </c>
      <c r="P800" t="s">
        <v>23</v>
      </c>
      <c r="Q800" t="s">
        <v>24</v>
      </c>
      <c r="R800" t="s">
        <v>25</v>
      </c>
      <c r="S800" t="s">
        <v>26</v>
      </c>
      <c r="T800" s="6">
        <v>46307</v>
      </c>
      <c r="U800">
        <v>336</v>
      </c>
      <c r="V800">
        <v>336</v>
      </c>
      <c r="W800">
        <v>360</v>
      </c>
      <c r="X800">
        <v>360</v>
      </c>
      <c r="Y800">
        <f t="shared" si="133"/>
        <v>0</v>
      </c>
      <c r="Z800">
        <f t="shared" si="134"/>
        <v>-24</v>
      </c>
      <c r="AC800" s="1">
        <v>0</v>
      </c>
      <c r="AF800">
        <f t="shared" si="140"/>
        <v>336</v>
      </c>
      <c r="AG800" s="41">
        <v>24</v>
      </c>
      <c r="AH800">
        <f t="shared" si="135"/>
        <v>336</v>
      </c>
      <c r="AI800">
        <f t="shared" si="136"/>
        <v>0</v>
      </c>
      <c r="AK800">
        <f t="shared" si="137"/>
        <v>14</v>
      </c>
      <c r="AL800">
        <v>10.24</v>
      </c>
      <c r="AM800" t="s">
        <v>27</v>
      </c>
      <c r="AN800">
        <v>10.24</v>
      </c>
      <c r="AO800" t="b">
        <f t="shared" si="138"/>
        <v>1</v>
      </c>
      <c r="AR800" t="s">
        <v>5061</v>
      </c>
      <c r="AS800" s="21">
        <v>46276</v>
      </c>
      <c r="AT800" t="s">
        <v>5062</v>
      </c>
      <c r="AU800" t="s">
        <v>5079</v>
      </c>
      <c r="AV800" t="s">
        <v>5062</v>
      </c>
      <c r="AW800" t="s">
        <v>5086</v>
      </c>
    </row>
    <row r="801" spans="1:49" hidden="1" x14ac:dyDescent="0.35">
      <c r="A801" t="s">
        <v>2796</v>
      </c>
      <c r="B801" t="s">
        <v>872</v>
      </c>
      <c r="C801" t="s">
        <v>4818</v>
      </c>
      <c r="D801" t="s">
        <v>18</v>
      </c>
      <c r="E801" t="s">
        <v>3389</v>
      </c>
      <c r="F801" t="s">
        <v>3390</v>
      </c>
      <c r="G801" t="s">
        <v>21</v>
      </c>
      <c r="H801" t="s">
        <v>4888</v>
      </c>
      <c r="I801" t="s">
        <v>5003</v>
      </c>
      <c r="J801" s="4" t="s">
        <v>5004</v>
      </c>
      <c r="K801" s="4" t="s">
        <v>5015</v>
      </c>
      <c r="L801" s="4" t="s">
        <v>4900</v>
      </c>
      <c r="M801" s="4" t="s">
        <v>5035</v>
      </c>
      <c r="N801" t="s">
        <v>3391</v>
      </c>
      <c r="O801" t="s">
        <v>3392</v>
      </c>
      <c r="P801" t="s">
        <v>23</v>
      </c>
      <c r="Q801" t="s">
        <v>24</v>
      </c>
      <c r="R801" t="s">
        <v>25</v>
      </c>
      <c r="S801" t="s">
        <v>26</v>
      </c>
      <c r="T801" s="6">
        <v>46307</v>
      </c>
      <c r="U801">
        <v>60</v>
      </c>
      <c r="V801">
        <v>60</v>
      </c>
      <c r="W801">
        <v>60</v>
      </c>
      <c r="X801">
        <v>60</v>
      </c>
      <c r="Y801">
        <f t="shared" si="133"/>
        <v>0</v>
      </c>
      <c r="Z801">
        <f t="shared" si="134"/>
        <v>0</v>
      </c>
      <c r="AC801" s="1">
        <v>0</v>
      </c>
      <c r="AF801">
        <f t="shared" si="140"/>
        <v>60</v>
      </c>
      <c r="AG801" s="41">
        <v>12</v>
      </c>
      <c r="AH801">
        <f t="shared" si="135"/>
        <v>60</v>
      </c>
      <c r="AI801">
        <f t="shared" si="136"/>
        <v>0</v>
      </c>
      <c r="AK801">
        <f t="shared" si="137"/>
        <v>5</v>
      </c>
      <c r="AL801">
        <v>13.01</v>
      </c>
      <c r="AM801" t="s">
        <v>27</v>
      </c>
      <c r="AN801">
        <v>13.01</v>
      </c>
      <c r="AO801" t="b">
        <f t="shared" si="138"/>
        <v>1</v>
      </c>
      <c r="AR801" t="s">
        <v>5061</v>
      </c>
      <c r="AS801" s="21">
        <v>46276</v>
      </c>
      <c r="AT801" t="s">
        <v>5062</v>
      </c>
      <c r="AU801" t="s">
        <v>5078</v>
      </c>
      <c r="AV801" t="s">
        <v>5062</v>
      </c>
      <c r="AW801" t="s">
        <v>5086</v>
      </c>
    </row>
    <row r="802" spans="1:49" hidden="1" x14ac:dyDescent="0.35">
      <c r="A802" t="s">
        <v>2796</v>
      </c>
      <c r="B802" t="s">
        <v>872</v>
      </c>
      <c r="C802" t="s">
        <v>4818</v>
      </c>
      <c r="D802" t="s">
        <v>18</v>
      </c>
      <c r="E802" t="s">
        <v>3393</v>
      </c>
      <c r="F802" t="s">
        <v>3394</v>
      </c>
      <c r="G802" t="s">
        <v>21</v>
      </c>
      <c r="H802" t="s">
        <v>4888</v>
      </c>
      <c r="I802" t="s">
        <v>5012</v>
      </c>
      <c r="J802" s="4" t="s">
        <v>5013</v>
      </c>
      <c r="K802" s="4" t="s">
        <v>4984</v>
      </c>
      <c r="L802" s="4" t="s">
        <v>4988</v>
      </c>
      <c r="M802" s="4" t="s">
        <v>5035</v>
      </c>
      <c r="N802" t="s">
        <v>3395</v>
      </c>
      <c r="O802" t="s">
        <v>3396</v>
      </c>
      <c r="P802" t="s">
        <v>23</v>
      </c>
      <c r="Q802" t="s">
        <v>24</v>
      </c>
      <c r="R802" t="s">
        <v>25</v>
      </c>
      <c r="S802" t="s">
        <v>26</v>
      </c>
      <c r="T802" s="6">
        <v>46307</v>
      </c>
      <c r="U802">
        <v>216</v>
      </c>
      <c r="V802">
        <v>216</v>
      </c>
      <c r="W802">
        <v>240</v>
      </c>
      <c r="X802">
        <v>240</v>
      </c>
      <c r="Y802">
        <f t="shared" si="133"/>
        <v>0</v>
      </c>
      <c r="Z802">
        <f t="shared" si="134"/>
        <v>-24</v>
      </c>
      <c r="AC802" s="1">
        <v>0</v>
      </c>
      <c r="AF802">
        <f t="shared" si="140"/>
        <v>216</v>
      </c>
      <c r="AG802" s="41">
        <v>24</v>
      </c>
      <c r="AH802">
        <f t="shared" si="135"/>
        <v>216</v>
      </c>
      <c r="AI802">
        <f t="shared" si="136"/>
        <v>0</v>
      </c>
      <c r="AK802">
        <f t="shared" si="137"/>
        <v>9</v>
      </c>
      <c r="AL802">
        <v>6.05</v>
      </c>
      <c r="AM802" t="s">
        <v>27</v>
      </c>
      <c r="AN802">
        <v>6.05</v>
      </c>
      <c r="AO802" t="b">
        <f t="shared" si="138"/>
        <v>1</v>
      </c>
      <c r="AR802" t="s">
        <v>5061</v>
      </c>
      <c r="AS802" s="21">
        <v>46276</v>
      </c>
      <c r="AT802" t="s">
        <v>5062</v>
      </c>
      <c r="AU802" t="s">
        <v>5081</v>
      </c>
      <c r="AV802" t="s">
        <v>5062</v>
      </c>
      <c r="AW802" t="s">
        <v>5086</v>
      </c>
    </row>
    <row r="803" spans="1:49" hidden="1" x14ac:dyDescent="0.35">
      <c r="A803" t="s">
        <v>2796</v>
      </c>
      <c r="B803" t="s">
        <v>872</v>
      </c>
      <c r="C803" t="s">
        <v>4818</v>
      </c>
      <c r="D803" t="s">
        <v>18</v>
      </c>
      <c r="E803" t="s">
        <v>3397</v>
      </c>
      <c r="F803" t="s">
        <v>3398</v>
      </c>
      <c r="G803" t="s">
        <v>21</v>
      </c>
      <c r="H803" t="s">
        <v>4888</v>
      </c>
      <c r="I803" t="s">
        <v>5003</v>
      </c>
      <c r="J803" s="4" t="s">
        <v>5004</v>
      </c>
      <c r="K803" s="4" t="s">
        <v>4837</v>
      </c>
      <c r="L803" s="4" t="s">
        <v>4873</v>
      </c>
      <c r="M803" s="4" t="s">
        <v>5035</v>
      </c>
      <c r="N803" t="s">
        <v>3399</v>
      </c>
      <c r="O803" t="s">
        <v>3400</v>
      </c>
      <c r="P803" t="s">
        <v>23</v>
      </c>
      <c r="Q803" t="s">
        <v>24</v>
      </c>
      <c r="R803" t="s">
        <v>25</v>
      </c>
      <c r="S803" t="s">
        <v>26</v>
      </c>
      <c r="T803" s="6">
        <v>46307</v>
      </c>
      <c r="U803">
        <v>60</v>
      </c>
      <c r="V803">
        <v>60</v>
      </c>
      <c r="W803">
        <v>60</v>
      </c>
      <c r="X803">
        <v>60</v>
      </c>
      <c r="Y803">
        <f t="shared" si="133"/>
        <v>0</v>
      </c>
      <c r="Z803">
        <f t="shared" si="134"/>
        <v>0</v>
      </c>
      <c r="AC803" s="1">
        <v>0</v>
      </c>
      <c r="AF803">
        <f t="shared" si="140"/>
        <v>60</v>
      </c>
      <c r="AG803" s="41">
        <v>12</v>
      </c>
      <c r="AH803">
        <f t="shared" si="135"/>
        <v>60</v>
      </c>
      <c r="AI803">
        <f t="shared" si="136"/>
        <v>0</v>
      </c>
      <c r="AK803">
        <f t="shared" si="137"/>
        <v>5</v>
      </c>
      <c r="AL803">
        <v>12.87</v>
      </c>
      <c r="AM803" t="s">
        <v>27</v>
      </c>
      <c r="AN803">
        <v>12.87</v>
      </c>
      <c r="AO803" t="b">
        <f t="shared" si="138"/>
        <v>1</v>
      </c>
      <c r="AR803" t="s">
        <v>5061</v>
      </c>
      <c r="AS803" s="21">
        <v>46276</v>
      </c>
      <c r="AT803" t="s">
        <v>5062</v>
      </c>
      <c r="AU803" t="s">
        <v>5078</v>
      </c>
      <c r="AV803" t="s">
        <v>5062</v>
      </c>
      <c r="AW803" t="s">
        <v>5086</v>
      </c>
    </row>
    <row r="804" spans="1:49" hidden="1" x14ac:dyDescent="0.35">
      <c r="A804" t="s">
        <v>2796</v>
      </c>
      <c r="B804" t="s">
        <v>872</v>
      </c>
      <c r="C804" t="s">
        <v>4818</v>
      </c>
      <c r="D804" t="s">
        <v>18</v>
      </c>
      <c r="E804" t="s">
        <v>3401</v>
      </c>
      <c r="F804" t="s">
        <v>3402</v>
      </c>
      <c r="G804" t="s">
        <v>21</v>
      </c>
      <c r="H804" t="s">
        <v>4888</v>
      </c>
      <c r="I804" t="s">
        <v>5003</v>
      </c>
      <c r="J804" s="4" t="s">
        <v>5004</v>
      </c>
      <c r="K804" s="4" t="s">
        <v>4904</v>
      </c>
      <c r="L804" s="4" t="s">
        <v>4929</v>
      </c>
      <c r="M804" s="4" t="s">
        <v>5035</v>
      </c>
      <c r="N804" t="s">
        <v>3403</v>
      </c>
      <c r="O804" t="s">
        <v>3404</v>
      </c>
      <c r="P804" t="s">
        <v>23</v>
      </c>
      <c r="Q804" t="s">
        <v>24</v>
      </c>
      <c r="R804" t="s">
        <v>25</v>
      </c>
      <c r="S804" t="s">
        <v>26</v>
      </c>
      <c r="T804" s="6">
        <v>46307</v>
      </c>
      <c r="U804">
        <v>48</v>
      </c>
      <c r="V804">
        <v>48</v>
      </c>
      <c r="W804">
        <v>48</v>
      </c>
      <c r="X804">
        <v>48</v>
      </c>
      <c r="Y804">
        <f t="shared" si="133"/>
        <v>0</v>
      </c>
      <c r="Z804">
        <f t="shared" si="134"/>
        <v>0</v>
      </c>
      <c r="AC804" s="1">
        <v>0</v>
      </c>
      <c r="AF804">
        <f t="shared" si="140"/>
        <v>48</v>
      </c>
      <c r="AG804" s="41">
        <v>12</v>
      </c>
      <c r="AH804">
        <f t="shared" si="135"/>
        <v>48</v>
      </c>
      <c r="AI804">
        <f t="shared" si="136"/>
        <v>0</v>
      </c>
      <c r="AK804">
        <f t="shared" si="137"/>
        <v>4</v>
      </c>
      <c r="AL804">
        <v>12.89</v>
      </c>
      <c r="AM804" t="s">
        <v>27</v>
      </c>
      <c r="AN804">
        <v>12.89</v>
      </c>
      <c r="AO804" t="b">
        <f t="shared" si="138"/>
        <v>1</v>
      </c>
      <c r="AR804" t="s">
        <v>5061</v>
      </c>
      <c r="AS804" s="21">
        <v>46276</v>
      </c>
      <c r="AT804" t="s">
        <v>5062</v>
      </c>
      <c r="AU804" t="s">
        <v>5078</v>
      </c>
      <c r="AV804" t="s">
        <v>5062</v>
      </c>
      <c r="AW804" t="s">
        <v>5086</v>
      </c>
    </row>
    <row r="805" spans="1:49" hidden="1" x14ac:dyDescent="0.35">
      <c r="A805" t="s">
        <v>2796</v>
      </c>
      <c r="B805" t="s">
        <v>872</v>
      </c>
      <c r="C805" t="s">
        <v>4818</v>
      </c>
      <c r="D805" t="s">
        <v>18</v>
      </c>
      <c r="E805" t="s">
        <v>3405</v>
      </c>
      <c r="F805" t="s">
        <v>3406</v>
      </c>
      <c r="G805" t="s">
        <v>21</v>
      </c>
      <c r="H805" t="s">
        <v>4888</v>
      </c>
      <c r="I805" t="s">
        <v>5003</v>
      </c>
      <c r="J805" s="4" t="s">
        <v>5004</v>
      </c>
      <c r="K805" s="4" t="s">
        <v>5015</v>
      </c>
      <c r="L805" s="4" t="s">
        <v>4880</v>
      </c>
      <c r="M805" s="4" t="s">
        <v>5035</v>
      </c>
      <c r="N805" t="s">
        <v>3407</v>
      </c>
      <c r="O805" t="s">
        <v>3408</v>
      </c>
      <c r="P805" t="s">
        <v>23</v>
      </c>
      <c r="Q805" t="s">
        <v>24</v>
      </c>
      <c r="R805" t="s">
        <v>25</v>
      </c>
      <c r="S805" t="s">
        <v>26</v>
      </c>
      <c r="T805" s="6">
        <v>46307</v>
      </c>
      <c r="U805">
        <v>36</v>
      </c>
      <c r="V805">
        <v>36</v>
      </c>
      <c r="W805">
        <v>24</v>
      </c>
      <c r="X805">
        <v>24</v>
      </c>
      <c r="Y805">
        <f t="shared" si="133"/>
        <v>0</v>
      </c>
      <c r="Z805">
        <f t="shared" si="134"/>
        <v>12</v>
      </c>
      <c r="AA805">
        <f>Z805</f>
        <v>12</v>
      </c>
      <c r="AC805" s="1">
        <v>0</v>
      </c>
      <c r="AF805">
        <f>X805</f>
        <v>24</v>
      </c>
      <c r="AG805" s="41">
        <v>12</v>
      </c>
      <c r="AH805">
        <f t="shared" si="135"/>
        <v>24</v>
      </c>
      <c r="AI805">
        <f t="shared" si="136"/>
        <v>12</v>
      </c>
      <c r="AK805">
        <f t="shared" si="137"/>
        <v>2</v>
      </c>
      <c r="AL805">
        <v>13.01</v>
      </c>
      <c r="AM805" t="s">
        <v>27</v>
      </c>
      <c r="AN805">
        <v>13.01</v>
      </c>
      <c r="AO805" t="b">
        <f t="shared" si="138"/>
        <v>1</v>
      </c>
      <c r="AR805" t="s">
        <v>5061</v>
      </c>
      <c r="AS805" s="21">
        <v>46276</v>
      </c>
      <c r="AT805" t="s">
        <v>5062</v>
      </c>
      <c r="AU805" t="s">
        <v>5078</v>
      </c>
      <c r="AV805" t="s">
        <v>5062</v>
      </c>
      <c r="AW805" t="s">
        <v>5086</v>
      </c>
    </row>
    <row r="806" spans="1:49" hidden="1" x14ac:dyDescent="0.35">
      <c r="A806" t="s">
        <v>2796</v>
      </c>
      <c r="B806" t="s">
        <v>872</v>
      </c>
      <c r="C806" t="s">
        <v>4818</v>
      </c>
      <c r="D806" t="s">
        <v>18</v>
      </c>
      <c r="E806" t="s">
        <v>3409</v>
      </c>
      <c r="F806" t="s">
        <v>3410</v>
      </c>
      <c r="G806" t="s">
        <v>21</v>
      </c>
      <c r="H806" t="s">
        <v>4888</v>
      </c>
      <c r="I806" t="s">
        <v>5003</v>
      </c>
      <c r="J806" s="4" t="s">
        <v>5004</v>
      </c>
      <c r="K806" s="4" t="s">
        <v>4904</v>
      </c>
      <c r="L806" s="4" t="s">
        <v>4925</v>
      </c>
      <c r="M806" s="4" t="s">
        <v>5035</v>
      </c>
      <c r="N806" t="s">
        <v>3411</v>
      </c>
      <c r="O806" t="s">
        <v>3412</v>
      </c>
      <c r="P806" t="s">
        <v>23</v>
      </c>
      <c r="Q806" t="s">
        <v>24</v>
      </c>
      <c r="R806" t="s">
        <v>25</v>
      </c>
      <c r="S806" t="s">
        <v>26</v>
      </c>
      <c r="T806" s="6">
        <v>46307</v>
      </c>
      <c r="U806">
        <v>60</v>
      </c>
      <c r="V806">
        <v>60</v>
      </c>
      <c r="W806">
        <v>72</v>
      </c>
      <c r="X806">
        <v>72</v>
      </c>
      <c r="Y806">
        <f t="shared" si="133"/>
        <v>0</v>
      </c>
      <c r="Z806">
        <f t="shared" si="134"/>
        <v>-12</v>
      </c>
      <c r="AC806" s="1">
        <v>0</v>
      </c>
      <c r="AF806">
        <f t="shared" ref="AF806:AF812" si="141">V806</f>
        <v>60</v>
      </c>
      <c r="AG806" s="41">
        <v>12</v>
      </c>
      <c r="AH806">
        <f t="shared" si="135"/>
        <v>60</v>
      </c>
      <c r="AI806">
        <f t="shared" si="136"/>
        <v>0</v>
      </c>
      <c r="AK806">
        <f t="shared" si="137"/>
        <v>5</v>
      </c>
      <c r="AL806">
        <v>12.89</v>
      </c>
      <c r="AM806" t="s">
        <v>27</v>
      </c>
      <c r="AN806">
        <v>12.89</v>
      </c>
      <c r="AO806" t="b">
        <f t="shared" si="138"/>
        <v>1</v>
      </c>
      <c r="AR806" t="s">
        <v>5061</v>
      </c>
      <c r="AS806" s="21">
        <v>46276</v>
      </c>
      <c r="AT806" t="s">
        <v>5062</v>
      </c>
      <c r="AU806" t="s">
        <v>5078</v>
      </c>
      <c r="AV806" t="s">
        <v>5062</v>
      </c>
      <c r="AW806" t="s">
        <v>5086</v>
      </c>
    </row>
    <row r="807" spans="1:49" hidden="1" x14ac:dyDescent="0.35">
      <c r="A807" t="s">
        <v>2796</v>
      </c>
      <c r="B807" t="s">
        <v>872</v>
      </c>
      <c r="C807" t="s">
        <v>4818</v>
      </c>
      <c r="D807" t="s">
        <v>18</v>
      </c>
      <c r="E807" t="s">
        <v>3413</v>
      </c>
      <c r="F807" t="s">
        <v>3414</v>
      </c>
      <c r="G807" t="s">
        <v>21</v>
      </c>
      <c r="H807" t="s">
        <v>4888</v>
      </c>
      <c r="I807" t="s">
        <v>5003</v>
      </c>
      <c r="J807" s="4" t="s">
        <v>5004</v>
      </c>
      <c r="K807" s="4" t="s">
        <v>4904</v>
      </c>
      <c r="L807" s="4" t="s">
        <v>4873</v>
      </c>
      <c r="M807" s="4" t="s">
        <v>5035</v>
      </c>
      <c r="N807" t="s">
        <v>3415</v>
      </c>
      <c r="O807" t="s">
        <v>3416</v>
      </c>
      <c r="P807" t="s">
        <v>23</v>
      </c>
      <c r="Q807" t="s">
        <v>24</v>
      </c>
      <c r="R807" t="s">
        <v>25</v>
      </c>
      <c r="S807" t="s">
        <v>26</v>
      </c>
      <c r="T807" s="6">
        <v>46307</v>
      </c>
      <c r="U807">
        <v>48</v>
      </c>
      <c r="V807">
        <v>48</v>
      </c>
      <c r="W807">
        <v>48</v>
      </c>
      <c r="X807">
        <v>48</v>
      </c>
      <c r="Y807">
        <f t="shared" si="133"/>
        <v>0</v>
      </c>
      <c r="Z807">
        <f t="shared" si="134"/>
        <v>0</v>
      </c>
      <c r="AC807" s="1">
        <v>0</v>
      </c>
      <c r="AF807">
        <f t="shared" si="141"/>
        <v>48</v>
      </c>
      <c r="AG807" s="41">
        <v>12</v>
      </c>
      <c r="AH807">
        <f t="shared" si="135"/>
        <v>48</v>
      </c>
      <c r="AI807">
        <f t="shared" si="136"/>
        <v>0</v>
      </c>
      <c r="AK807">
        <f t="shared" si="137"/>
        <v>4</v>
      </c>
      <c r="AL807">
        <v>12.89</v>
      </c>
      <c r="AM807" t="s">
        <v>27</v>
      </c>
      <c r="AN807">
        <v>12.89</v>
      </c>
      <c r="AO807" t="b">
        <f t="shared" si="138"/>
        <v>1</v>
      </c>
      <c r="AR807" t="s">
        <v>5061</v>
      </c>
      <c r="AS807" s="21">
        <v>46276</v>
      </c>
      <c r="AT807" t="s">
        <v>5062</v>
      </c>
      <c r="AU807" t="s">
        <v>5078</v>
      </c>
      <c r="AV807" t="s">
        <v>5062</v>
      </c>
      <c r="AW807" t="s">
        <v>5086</v>
      </c>
    </row>
    <row r="808" spans="1:49" hidden="1" x14ac:dyDescent="0.35">
      <c r="A808" t="s">
        <v>2796</v>
      </c>
      <c r="B808" t="s">
        <v>872</v>
      </c>
      <c r="C808" t="s">
        <v>4818</v>
      </c>
      <c r="D808" t="s">
        <v>18</v>
      </c>
      <c r="E808" t="s">
        <v>3417</v>
      </c>
      <c r="F808" t="s">
        <v>3418</v>
      </c>
      <c r="G808" t="s">
        <v>21</v>
      </c>
      <c r="H808" t="s">
        <v>4888</v>
      </c>
      <c r="I808" t="s">
        <v>5003</v>
      </c>
      <c r="J808" s="4" t="s">
        <v>5004</v>
      </c>
      <c r="K808" s="4" t="s">
        <v>4904</v>
      </c>
      <c r="L808" s="4" t="s">
        <v>4918</v>
      </c>
      <c r="M808" s="4" t="s">
        <v>5035</v>
      </c>
      <c r="N808" t="s">
        <v>3419</v>
      </c>
      <c r="O808" t="s">
        <v>3420</v>
      </c>
      <c r="P808" t="s">
        <v>23</v>
      </c>
      <c r="Q808" t="s">
        <v>24</v>
      </c>
      <c r="R808" t="s">
        <v>25</v>
      </c>
      <c r="S808" t="s">
        <v>26</v>
      </c>
      <c r="T808" s="6">
        <v>46307</v>
      </c>
      <c r="U808">
        <v>36</v>
      </c>
      <c r="V808">
        <v>36</v>
      </c>
      <c r="W808">
        <v>36</v>
      </c>
      <c r="X808">
        <v>36</v>
      </c>
      <c r="Y808">
        <f t="shared" si="133"/>
        <v>0</v>
      </c>
      <c r="Z808">
        <f t="shared" si="134"/>
        <v>0</v>
      </c>
      <c r="AC808" s="1">
        <v>0</v>
      </c>
      <c r="AF808">
        <f t="shared" si="141"/>
        <v>36</v>
      </c>
      <c r="AG808" s="41">
        <v>12</v>
      </c>
      <c r="AH808">
        <f t="shared" si="135"/>
        <v>36</v>
      </c>
      <c r="AI808">
        <f t="shared" si="136"/>
        <v>0</v>
      </c>
      <c r="AK808">
        <f t="shared" si="137"/>
        <v>3</v>
      </c>
      <c r="AL808">
        <v>12.89</v>
      </c>
      <c r="AM808" t="s">
        <v>27</v>
      </c>
      <c r="AN808">
        <v>12.89</v>
      </c>
      <c r="AO808" t="b">
        <f t="shared" si="138"/>
        <v>1</v>
      </c>
      <c r="AR808" t="s">
        <v>5061</v>
      </c>
      <c r="AS808" s="21">
        <v>46276</v>
      </c>
      <c r="AT808" t="s">
        <v>5062</v>
      </c>
      <c r="AU808" t="s">
        <v>5078</v>
      </c>
      <c r="AV808" t="s">
        <v>5062</v>
      </c>
      <c r="AW808" t="s">
        <v>5086</v>
      </c>
    </row>
    <row r="809" spans="1:49" hidden="1" x14ac:dyDescent="0.35">
      <c r="A809" t="s">
        <v>2796</v>
      </c>
      <c r="B809" t="s">
        <v>872</v>
      </c>
      <c r="C809" t="s">
        <v>4818</v>
      </c>
      <c r="D809" t="s">
        <v>18</v>
      </c>
      <c r="E809" t="s">
        <v>3421</v>
      </c>
      <c r="F809" t="s">
        <v>3422</v>
      </c>
      <c r="G809" t="s">
        <v>21</v>
      </c>
      <c r="H809" t="s">
        <v>4888</v>
      </c>
      <c r="I809" t="s">
        <v>5008</v>
      </c>
      <c r="J809" s="4" t="s">
        <v>5009</v>
      </c>
      <c r="K809" s="4" t="s">
        <v>5017</v>
      </c>
      <c r="L809" s="4">
        <v>33</v>
      </c>
      <c r="M809" s="4" t="s">
        <v>5035</v>
      </c>
      <c r="N809" t="s">
        <v>3423</v>
      </c>
      <c r="O809" t="s">
        <v>3424</v>
      </c>
      <c r="P809" t="s">
        <v>23</v>
      </c>
      <c r="Q809" t="s">
        <v>24</v>
      </c>
      <c r="R809" t="s">
        <v>25</v>
      </c>
      <c r="S809" t="s">
        <v>26</v>
      </c>
      <c r="T809" s="6">
        <v>46307</v>
      </c>
      <c r="U809">
        <v>456</v>
      </c>
      <c r="V809">
        <v>456</v>
      </c>
      <c r="W809">
        <v>456</v>
      </c>
      <c r="X809">
        <v>456</v>
      </c>
      <c r="Y809">
        <f t="shared" si="133"/>
        <v>0</v>
      </c>
      <c r="Z809">
        <f t="shared" si="134"/>
        <v>0</v>
      </c>
      <c r="AC809" s="1">
        <v>0</v>
      </c>
      <c r="AF809">
        <f t="shared" si="141"/>
        <v>456</v>
      </c>
      <c r="AG809" s="41">
        <v>24</v>
      </c>
      <c r="AH809">
        <f t="shared" si="135"/>
        <v>456</v>
      </c>
      <c r="AI809">
        <f t="shared" si="136"/>
        <v>0</v>
      </c>
      <c r="AK809">
        <f t="shared" si="137"/>
        <v>19</v>
      </c>
      <c r="AL809">
        <v>10.01</v>
      </c>
      <c r="AM809" t="s">
        <v>27</v>
      </c>
      <c r="AN809">
        <v>10.01</v>
      </c>
      <c r="AO809" t="b">
        <f t="shared" si="138"/>
        <v>1</v>
      </c>
      <c r="AR809" t="s">
        <v>5061</v>
      </c>
      <c r="AS809" s="21">
        <v>46276</v>
      </c>
      <c r="AT809" t="s">
        <v>5062</v>
      </c>
      <c r="AU809" t="s">
        <v>5080</v>
      </c>
      <c r="AV809" t="s">
        <v>5062</v>
      </c>
      <c r="AW809" t="s">
        <v>5086</v>
      </c>
    </row>
    <row r="810" spans="1:49" hidden="1" x14ac:dyDescent="0.35">
      <c r="A810" t="s">
        <v>2796</v>
      </c>
      <c r="B810" t="s">
        <v>872</v>
      </c>
      <c r="C810" t="s">
        <v>4818</v>
      </c>
      <c r="D810" t="s">
        <v>18</v>
      </c>
      <c r="E810" t="s">
        <v>3425</v>
      </c>
      <c r="F810" t="s">
        <v>3426</v>
      </c>
      <c r="G810" t="s">
        <v>21</v>
      </c>
      <c r="H810" t="s">
        <v>4888</v>
      </c>
      <c r="I810" t="s">
        <v>5003</v>
      </c>
      <c r="J810" s="4" t="s">
        <v>5004</v>
      </c>
      <c r="K810" s="4" t="s">
        <v>4837</v>
      </c>
      <c r="L810" s="4" t="s">
        <v>4929</v>
      </c>
      <c r="M810" s="4" t="s">
        <v>5035</v>
      </c>
      <c r="N810" t="s">
        <v>3427</v>
      </c>
      <c r="O810" t="s">
        <v>3428</v>
      </c>
      <c r="P810" t="s">
        <v>23</v>
      </c>
      <c r="Q810" t="s">
        <v>24</v>
      </c>
      <c r="R810" t="s">
        <v>25</v>
      </c>
      <c r="S810" t="s">
        <v>26</v>
      </c>
      <c r="T810" s="6">
        <v>46307</v>
      </c>
      <c r="U810">
        <v>48</v>
      </c>
      <c r="V810">
        <v>48</v>
      </c>
      <c r="W810">
        <v>48</v>
      </c>
      <c r="X810">
        <v>48</v>
      </c>
      <c r="Y810">
        <f t="shared" si="133"/>
        <v>0</v>
      </c>
      <c r="Z810">
        <f t="shared" si="134"/>
        <v>0</v>
      </c>
      <c r="AC810" s="1">
        <v>0</v>
      </c>
      <c r="AF810">
        <f t="shared" si="141"/>
        <v>48</v>
      </c>
      <c r="AG810" s="41">
        <v>12</v>
      </c>
      <c r="AH810">
        <f t="shared" si="135"/>
        <v>48</v>
      </c>
      <c r="AI810">
        <f t="shared" si="136"/>
        <v>0</v>
      </c>
      <c r="AK810">
        <f t="shared" si="137"/>
        <v>4</v>
      </c>
      <c r="AL810">
        <v>12.87</v>
      </c>
      <c r="AM810" t="s">
        <v>27</v>
      </c>
      <c r="AN810">
        <v>12.87</v>
      </c>
      <c r="AO810" t="b">
        <f t="shared" si="138"/>
        <v>1</v>
      </c>
      <c r="AR810" t="s">
        <v>5061</v>
      </c>
      <c r="AS810" s="21">
        <v>46276</v>
      </c>
      <c r="AT810" t="s">
        <v>5062</v>
      </c>
      <c r="AU810" t="s">
        <v>5078</v>
      </c>
      <c r="AV810" t="s">
        <v>5062</v>
      </c>
      <c r="AW810" t="s">
        <v>5086</v>
      </c>
    </row>
    <row r="811" spans="1:49" hidden="1" x14ac:dyDescent="0.35">
      <c r="A811" t="s">
        <v>2796</v>
      </c>
      <c r="B811" t="s">
        <v>872</v>
      </c>
      <c r="C811" t="s">
        <v>4818</v>
      </c>
      <c r="D811" t="s">
        <v>18</v>
      </c>
      <c r="E811" t="s">
        <v>3429</v>
      </c>
      <c r="F811" t="s">
        <v>3430</v>
      </c>
      <c r="G811" t="s">
        <v>21</v>
      </c>
      <c r="H811" t="s">
        <v>4888</v>
      </c>
      <c r="I811" t="s">
        <v>5003</v>
      </c>
      <c r="J811" s="4" t="s">
        <v>5004</v>
      </c>
      <c r="K811" s="4" t="s">
        <v>4904</v>
      </c>
      <c r="L811" s="4" t="s">
        <v>4934</v>
      </c>
      <c r="M811" s="4" t="s">
        <v>5035</v>
      </c>
      <c r="N811" t="s">
        <v>3431</v>
      </c>
      <c r="O811" t="s">
        <v>3432</v>
      </c>
      <c r="P811" t="s">
        <v>23</v>
      </c>
      <c r="Q811" t="s">
        <v>24</v>
      </c>
      <c r="R811" t="s">
        <v>25</v>
      </c>
      <c r="S811" t="s">
        <v>26</v>
      </c>
      <c r="T811" s="6">
        <v>46307</v>
      </c>
      <c r="U811">
        <v>36</v>
      </c>
      <c r="V811">
        <v>36</v>
      </c>
      <c r="W811">
        <v>36</v>
      </c>
      <c r="X811">
        <v>36</v>
      </c>
      <c r="Y811">
        <f t="shared" si="133"/>
        <v>0</v>
      </c>
      <c r="Z811">
        <f t="shared" si="134"/>
        <v>0</v>
      </c>
      <c r="AC811" s="1">
        <v>0</v>
      </c>
      <c r="AF811">
        <f t="shared" si="141"/>
        <v>36</v>
      </c>
      <c r="AG811" s="41">
        <v>12</v>
      </c>
      <c r="AH811">
        <f t="shared" si="135"/>
        <v>36</v>
      </c>
      <c r="AI811">
        <f t="shared" si="136"/>
        <v>0</v>
      </c>
      <c r="AK811">
        <f t="shared" si="137"/>
        <v>3</v>
      </c>
      <c r="AL811">
        <v>12.89</v>
      </c>
      <c r="AM811" t="s">
        <v>27</v>
      </c>
      <c r="AN811">
        <v>12.89</v>
      </c>
      <c r="AO811" t="b">
        <f t="shared" si="138"/>
        <v>1</v>
      </c>
      <c r="AR811" t="s">
        <v>5061</v>
      </c>
      <c r="AS811" s="21">
        <v>46276</v>
      </c>
      <c r="AT811" t="s">
        <v>5062</v>
      </c>
      <c r="AU811" t="s">
        <v>5078</v>
      </c>
      <c r="AV811" t="s">
        <v>5062</v>
      </c>
      <c r="AW811" t="s">
        <v>5086</v>
      </c>
    </row>
    <row r="812" spans="1:49" hidden="1" x14ac:dyDescent="0.35">
      <c r="A812" t="s">
        <v>2796</v>
      </c>
      <c r="B812" t="s">
        <v>872</v>
      </c>
      <c r="C812" t="s">
        <v>4818</v>
      </c>
      <c r="D812" t="s">
        <v>18</v>
      </c>
      <c r="E812" t="s">
        <v>3433</v>
      </c>
      <c r="F812" t="s">
        <v>3434</v>
      </c>
      <c r="G812" t="s">
        <v>21</v>
      </c>
      <c r="H812" t="s">
        <v>4888</v>
      </c>
      <c r="I812" t="s">
        <v>5022</v>
      </c>
      <c r="J812" s="4" t="s">
        <v>5023</v>
      </c>
      <c r="K812" s="4" t="s">
        <v>5024</v>
      </c>
      <c r="L812" s="4">
        <v>16</v>
      </c>
      <c r="M812" s="4" t="s">
        <v>5035</v>
      </c>
      <c r="N812" t="s">
        <v>3435</v>
      </c>
      <c r="O812" t="s">
        <v>3436</v>
      </c>
      <c r="P812" t="s">
        <v>23</v>
      </c>
      <c r="Q812" t="s">
        <v>24</v>
      </c>
      <c r="R812" t="s">
        <v>25</v>
      </c>
      <c r="S812" t="s">
        <v>26</v>
      </c>
      <c r="T812" s="6">
        <v>46307</v>
      </c>
      <c r="U812">
        <v>600</v>
      </c>
      <c r="V812">
        <v>600</v>
      </c>
      <c r="W812">
        <v>648</v>
      </c>
      <c r="X812">
        <v>648</v>
      </c>
      <c r="Y812">
        <f t="shared" si="133"/>
        <v>0</v>
      </c>
      <c r="Z812">
        <f t="shared" si="134"/>
        <v>-48</v>
      </c>
      <c r="AC812" s="1"/>
      <c r="AF812">
        <f t="shared" si="141"/>
        <v>600</v>
      </c>
      <c r="AG812" s="41">
        <v>24</v>
      </c>
      <c r="AH812">
        <f t="shared" si="135"/>
        <v>600</v>
      </c>
      <c r="AI812">
        <f t="shared" si="136"/>
        <v>0</v>
      </c>
      <c r="AK812">
        <f t="shared" si="137"/>
        <v>25</v>
      </c>
      <c r="AL812">
        <v>6.99</v>
      </c>
      <c r="AM812" t="s">
        <v>27</v>
      </c>
      <c r="AN812">
        <v>8.68</v>
      </c>
      <c r="AO812" t="b">
        <f t="shared" si="138"/>
        <v>0</v>
      </c>
      <c r="AR812" t="s">
        <v>5061</v>
      </c>
      <c r="AS812" s="21">
        <v>46276</v>
      </c>
      <c r="AT812" t="s">
        <v>5062</v>
      </c>
      <c r="AU812" t="s">
        <v>5083</v>
      </c>
      <c r="AV812" t="s">
        <v>5062</v>
      </c>
      <c r="AW812" t="s">
        <v>5086</v>
      </c>
    </row>
    <row r="813" spans="1:49" hidden="1" x14ac:dyDescent="0.35">
      <c r="A813" t="s">
        <v>2796</v>
      </c>
      <c r="B813" t="s">
        <v>872</v>
      </c>
      <c r="C813" t="s">
        <v>4818</v>
      </c>
      <c r="D813" t="s">
        <v>18</v>
      </c>
      <c r="E813" t="s">
        <v>3437</v>
      </c>
      <c r="F813" t="s">
        <v>3438</v>
      </c>
      <c r="G813" t="s">
        <v>21</v>
      </c>
      <c r="H813" t="s">
        <v>4888</v>
      </c>
      <c r="I813" t="s">
        <v>5003</v>
      </c>
      <c r="J813" s="4" t="s">
        <v>5004</v>
      </c>
      <c r="K813" s="4" t="s">
        <v>5015</v>
      </c>
      <c r="L813" s="4" t="s">
        <v>4857</v>
      </c>
      <c r="M813" s="4" t="s">
        <v>5035</v>
      </c>
      <c r="N813" t="s">
        <v>3439</v>
      </c>
      <c r="O813" t="s">
        <v>3440</v>
      </c>
      <c r="P813" t="s">
        <v>23</v>
      </c>
      <c r="Q813" t="s">
        <v>24</v>
      </c>
      <c r="R813" t="s">
        <v>25</v>
      </c>
      <c r="S813" t="s">
        <v>26</v>
      </c>
      <c r="T813" s="6">
        <v>46307</v>
      </c>
      <c r="U813">
        <v>36</v>
      </c>
      <c r="V813">
        <v>36</v>
      </c>
      <c r="W813">
        <v>24</v>
      </c>
      <c r="X813">
        <v>24</v>
      </c>
      <c r="Y813">
        <f t="shared" si="133"/>
        <v>0</v>
      </c>
      <c r="Z813">
        <f t="shared" si="134"/>
        <v>12</v>
      </c>
      <c r="AA813">
        <f>Z813</f>
        <v>12</v>
      </c>
      <c r="AC813" s="1">
        <v>0</v>
      </c>
      <c r="AF813">
        <f>X813</f>
        <v>24</v>
      </c>
      <c r="AG813" s="41">
        <v>12</v>
      </c>
      <c r="AH813">
        <f t="shared" si="135"/>
        <v>24</v>
      </c>
      <c r="AI813">
        <f t="shared" si="136"/>
        <v>12</v>
      </c>
      <c r="AK813">
        <f t="shared" si="137"/>
        <v>2</v>
      </c>
      <c r="AL813">
        <v>13.01</v>
      </c>
      <c r="AM813" t="s">
        <v>27</v>
      </c>
      <c r="AN813">
        <v>13.01</v>
      </c>
      <c r="AO813" t="b">
        <f t="shared" si="138"/>
        <v>1</v>
      </c>
      <c r="AR813" t="s">
        <v>5061</v>
      </c>
      <c r="AS813" s="21">
        <v>46276</v>
      </c>
      <c r="AT813" t="s">
        <v>5062</v>
      </c>
      <c r="AU813" t="s">
        <v>5078</v>
      </c>
      <c r="AV813" t="s">
        <v>5062</v>
      </c>
      <c r="AW813" t="s">
        <v>5086</v>
      </c>
    </row>
    <row r="814" spans="1:49" hidden="1" x14ac:dyDescent="0.35">
      <c r="A814" t="s">
        <v>2796</v>
      </c>
      <c r="B814" t="s">
        <v>872</v>
      </c>
      <c r="C814" t="s">
        <v>4818</v>
      </c>
      <c r="D814" t="s">
        <v>18</v>
      </c>
      <c r="E814" t="s">
        <v>3441</v>
      </c>
      <c r="F814" t="s">
        <v>3442</v>
      </c>
      <c r="G814" t="s">
        <v>21</v>
      </c>
      <c r="H814" t="s">
        <v>4888</v>
      </c>
      <c r="I814" t="s">
        <v>5003</v>
      </c>
      <c r="J814" s="4" t="s">
        <v>5004</v>
      </c>
      <c r="K814" s="4" t="s">
        <v>5016</v>
      </c>
      <c r="L814" s="4" t="s">
        <v>4905</v>
      </c>
      <c r="M814" s="4" t="s">
        <v>5035</v>
      </c>
      <c r="N814" t="s">
        <v>3443</v>
      </c>
      <c r="O814" t="s">
        <v>3444</v>
      </c>
      <c r="P814" t="s">
        <v>23</v>
      </c>
      <c r="Q814" t="s">
        <v>24</v>
      </c>
      <c r="R814" t="s">
        <v>25</v>
      </c>
      <c r="S814" t="s">
        <v>26</v>
      </c>
      <c r="T814" s="6">
        <v>46307</v>
      </c>
      <c r="U814">
        <v>60</v>
      </c>
      <c r="V814">
        <v>60</v>
      </c>
      <c r="W814">
        <v>72</v>
      </c>
      <c r="X814">
        <v>72</v>
      </c>
      <c r="Y814">
        <f t="shared" si="133"/>
        <v>0</v>
      </c>
      <c r="Z814">
        <f t="shared" si="134"/>
        <v>-12</v>
      </c>
      <c r="AC814" s="1">
        <v>0</v>
      </c>
      <c r="AF814">
        <f>V814</f>
        <v>60</v>
      </c>
      <c r="AG814" s="41">
        <v>12</v>
      </c>
      <c r="AH814">
        <f t="shared" si="135"/>
        <v>60</v>
      </c>
      <c r="AI814">
        <f t="shared" si="136"/>
        <v>0</v>
      </c>
      <c r="AK814">
        <f t="shared" si="137"/>
        <v>5</v>
      </c>
      <c r="AL814">
        <v>13.33</v>
      </c>
      <c r="AM814" t="s">
        <v>27</v>
      </c>
      <c r="AN814">
        <v>13.33</v>
      </c>
      <c r="AO814" t="b">
        <f t="shared" si="138"/>
        <v>1</v>
      </c>
      <c r="AR814" t="s">
        <v>5061</v>
      </c>
      <c r="AS814" s="21">
        <v>46276</v>
      </c>
      <c r="AT814" t="s">
        <v>5062</v>
      </c>
      <c r="AU814" t="s">
        <v>5078</v>
      </c>
      <c r="AV814" t="s">
        <v>5062</v>
      </c>
      <c r="AW814" t="s">
        <v>5086</v>
      </c>
    </row>
    <row r="815" spans="1:49" hidden="1" x14ac:dyDescent="0.35">
      <c r="A815" t="s">
        <v>2796</v>
      </c>
      <c r="B815" t="s">
        <v>872</v>
      </c>
      <c r="C815" t="s">
        <v>4818</v>
      </c>
      <c r="D815" t="s">
        <v>18</v>
      </c>
      <c r="E815" t="s">
        <v>3445</v>
      </c>
      <c r="F815" t="s">
        <v>3446</v>
      </c>
      <c r="G815" t="s">
        <v>21</v>
      </c>
      <c r="H815" t="s">
        <v>4888</v>
      </c>
      <c r="I815" t="s">
        <v>5025</v>
      </c>
      <c r="J815" s="4" t="s">
        <v>5026</v>
      </c>
      <c r="K815" s="4" t="s">
        <v>5020</v>
      </c>
      <c r="L815" s="4" t="s">
        <v>4983</v>
      </c>
      <c r="M815" s="4" t="s">
        <v>5035</v>
      </c>
      <c r="N815" t="s">
        <v>3447</v>
      </c>
      <c r="O815" t="s">
        <v>3448</v>
      </c>
      <c r="P815" t="s">
        <v>23</v>
      </c>
      <c r="Q815" t="s">
        <v>24</v>
      </c>
      <c r="R815" t="s">
        <v>25</v>
      </c>
      <c r="S815" t="s">
        <v>26</v>
      </c>
      <c r="T815" s="6">
        <v>46307</v>
      </c>
      <c r="U815">
        <v>504</v>
      </c>
      <c r="V815">
        <v>504</v>
      </c>
      <c r="W815">
        <v>504</v>
      </c>
      <c r="X815">
        <v>504</v>
      </c>
      <c r="Y815">
        <f t="shared" si="133"/>
        <v>0</v>
      </c>
      <c r="Z815">
        <f t="shared" si="134"/>
        <v>0</v>
      </c>
      <c r="AC815" s="1">
        <v>0</v>
      </c>
      <c r="AF815">
        <f>V815</f>
        <v>504</v>
      </c>
      <c r="AG815" s="41">
        <v>24</v>
      </c>
      <c r="AH815">
        <f t="shared" si="135"/>
        <v>504</v>
      </c>
      <c r="AI815">
        <f t="shared" si="136"/>
        <v>0</v>
      </c>
      <c r="AK815">
        <f t="shared" si="137"/>
        <v>21</v>
      </c>
      <c r="AL815">
        <v>6.2</v>
      </c>
      <c r="AM815" t="s">
        <v>27</v>
      </c>
      <c r="AN815">
        <v>6.2</v>
      </c>
      <c r="AO815" t="b">
        <f t="shared" si="138"/>
        <v>1</v>
      </c>
      <c r="AR815" t="s">
        <v>5061</v>
      </c>
      <c r="AS815" s="21">
        <v>46276</v>
      </c>
      <c r="AT815" t="s">
        <v>5062</v>
      </c>
      <c r="AU815" t="s">
        <v>5082</v>
      </c>
      <c r="AV815" t="s">
        <v>5062</v>
      </c>
      <c r="AW815" t="s">
        <v>5086</v>
      </c>
    </row>
    <row r="816" spans="1:49" hidden="1" x14ac:dyDescent="0.35">
      <c r="A816" t="s">
        <v>2796</v>
      </c>
      <c r="B816" t="s">
        <v>872</v>
      </c>
      <c r="C816" t="s">
        <v>4818</v>
      </c>
      <c r="D816" t="s">
        <v>18</v>
      </c>
      <c r="E816" t="s">
        <v>3449</v>
      </c>
      <c r="F816" t="s">
        <v>3450</v>
      </c>
      <c r="G816" t="s">
        <v>21</v>
      </c>
      <c r="H816" t="s">
        <v>4888</v>
      </c>
      <c r="I816" t="s">
        <v>5005</v>
      </c>
      <c r="J816" s="4" t="s">
        <v>5006</v>
      </c>
      <c r="K816" s="4" t="s">
        <v>4899</v>
      </c>
      <c r="L816" s="4">
        <v>42</v>
      </c>
      <c r="M816" s="4" t="s">
        <v>5035</v>
      </c>
      <c r="N816" t="s">
        <v>3451</v>
      </c>
      <c r="O816" t="s">
        <v>3452</v>
      </c>
      <c r="P816" t="s">
        <v>23</v>
      </c>
      <c r="Q816" t="s">
        <v>24</v>
      </c>
      <c r="R816" t="s">
        <v>25</v>
      </c>
      <c r="S816" t="s">
        <v>26</v>
      </c>
      <c r="T816" s="6">
        <v>46307</v>
      </c>
      <c r="U816">
        <v>264</v>
      </c>
      <c r="V816">
        <v>264</v>
      </c>
      <c r="W816">
        <v>240</v>
      </c>
      <c r="X816">
        <v>240</v>
      </c>
      <c r="Y816">
        <f t="shared" si="133"/>
        <v>0</v>
      </c>
      <c r="Z816">
        <f t="shared" si="134"/>
        <v>24</v>
      </c>
      <c r="AA816">
        <f>Z816</f>
        <v>24</v>
      </c>
      <c r="AC816" s="1">
        <v>0</v>
      </c>
      <c r="AF816">
        <f>X816</f>
        <v>240</v>
      </c>
      <c r="AG816" s="41">
        <v>24</v>
      </c>
      <c r="AH816">
        <f t="shared" si="135"/>
        <v>240</v>
      </c>
      <c r="AI816">
        <f t="shared" si="136"/>
        <v>24</v>
      </c>
      <c r="AK816">
        <f t="shared" si="137"/>
        <v>10</v>
      </c>
      <c r="AL816">
        <v>10.14</v>
      </c>
      <c r="AM816" t="s">
        <v>27</v>
      </c>
      <c r="AN816">
        <v>10.14</v>
      </c>
      <c r="AO816" t="b">
        <f t="shared" si="138"/>
        <v>1</v>
      </c>
      <c r="AR816" t="s">
        <v>5061</v>
      </c>
      <c r="AS816" s="21">
        <v>46276</v>
      </c>
      <c r="AT816" t="s">
        <v>5062</v>
      </c>
      <c r="AU816" t="s">
        <v>5079</v>
      </c>
      <c r="AV816" t="s">
        <v>5062</v>
      </c>
      <c r="AW816" t="s">
        <v>5086</v>
      </c>
    </row>
    <row r="817" spans="1:49" hidden="1" x14ac:dyDescent="0.35">
      <c r="A817" t="s">
        <v>2796</v>
      </c>
      <c r="B817" t="s">
        <v>872</v>
      </c>
      <c r="C817" t="s">
        <v>4818</v>
      </c>
      <c r="D817" t="s">
        <v>18</v>
      </c>
      <c r="E817" t="s">
        <v>3453</v>
      </c>
      <c r="F817" t="s">
        <v>3454</v>
      </c>
      <c r="G817" t="s">
        <v>21</v>
      </c>
      <c r="H817" t="s">
        <v>4888</v>
      </c>
      <c r="I817" t="s">
        <v>5003</v>
      </c>
      <c r="J817" s="4" t="s">
        <v>5004</v>
      </c>
      <c r="K817" s="4" t="s">
        <v>5015</v>
      </c>
      <c r="L817" s="4" t="s">
        <v>4916</v>
      </c>
      <c r="M817" s="4" t="s">
        <v>5035</v>
      </c>
      <c r="N817" t="s">
        <v>3455</v>
      </c>
      <c r="O817" t="s">
        <v>3456</v>
      </c>
      <c r="P817" t="s">
        <v>23</v>
      </c>
      <c r="Q817" t="s">
        <v>24</v>
      </c>
      <c r="R817" t="s">
        <v>25</v>
      </c>
      <c r="S817" t="s">
        <v>26</v>
      </c>
      <c r="T817" s="6">
        <v>46307</v>
      </c>
      <c r="U817">
        <v>48</v>
      </c>
      <c r="V817">
        <v>48</v>
      </c>
      <c r="W817">
        <v>48</v>
      </c>
      <c r="X817">
        <v>48</v>
      </c>
      <c r="Y817">
        <f t="shared" si="133"/>
        <v>0</v>
      </c>
      <c r="Z817">
        <f t="shared" si="134"/>
        <v>0</v>
      </c>
      <c r="AC817" s="1">
        <v>0</v>
      </c>
      <c r="AF817">
        <f>V817</f>
        <v>48</v>
      </c>
      <c r="AG817" s="41">
        <v>12</v>
      </c>
      <c r="AH817">
        <f t="shared" si="135"/>
        <v>48</v>
      </c>
      <c r="AI817">
        <f t="shared" si="136"/>
        <v>0</v>
      </c>
      <c r="AK817">
        <f t="shared" si="137"/>
        <v>4</v>
      </c>
      <c r="AL817">
        <v>13.01</v>
      </c>
      <c r="AM817" t="s">
        <v>27</v>
      </c>
      <c r="AN817">
        <v>13.01</v>
      </c>
      <c r="AO817" t="b">
        <f t="shared" si="138"/>
        <v>1</v>
      </c>
      <c r="AR817" t="s">
        <v>5061</v>
      </c>
      <c r="AS817" s="21">
        <v>46276</v>
      </c>
      <c r="AT817" t="s">
        <v>5062</v>
      </c>
      <c r="AU817" t="s">
        <v>5078</v>
      </c>
      <c r="AV817" t="s">
        <v>5062</v>
      </c>
      <c r="AW817" t="s">
        <v>5086</v>
      </c>
    </row>
    <row r="818" spans="1:49" hidden="1" x14ac:dyDescent="0.35">
      <c r="A818" t="s">
        <v>2796</v>
      </c>
      <c r="B818" t="s">
        <v>872</v>
      </c>
      <c r="C818" t="s">
        <v>4818</v>
      </c>
      <c r="D818" t="s">
        <v>18</v>
      </c>
      <c r="E818" t="s">
        <v>3457</v>
      </c>
      <c r="F818" t="s">
        <v>3458</v>
      </c>
      <c r="G818" t="s">
        <v>21</v>
      </c>
      <c r="H818" t="s">
        <v>4888</v>
      </c>
      <c r="I818" t="s">
        <v>5003</v>
      </c>
      <c r="J818" s="4" t="s">
        <v>5004</v>
      </c>
      <c r="K818" s="4" t="s">
        <v>5015</v>
      </c>
      <c r="L818" s="4" t="s">
        <v>4930</v>
      </c>
      <c r="M818" s="4" t="s">
        <v>5035</v>
      </c>
      <c r="N818" t="s">
        <v>3459</v>
      </c>
      <c r="O818" t="s">
        <v>3460</v>
      </c>
      <c r="P818" t="s">
        <v>23</v>
      </c>
      <c r="Q818" t="s">
        <v>24</v>
      </c>
      <c r="R818" t="s">
        <v>25</v>
      </c>
      <c r="S818" t="s">
        <v>26</v>
      </c>
      <c r="T818" s="6">
        <v>46307</v>
      </c>
      <c r="U818">
        <v>60</v>
      </c>
      <c r="V818">
        <v>60</v>
      </c>
      <c r="W818">
        <v>48</v>
      </c>
      <c r="X818">
        <v>48</v>
      </c>
      <c r="Y818">
        <f t="shared" si="133"/>
        <v>0</v>
      </c>
      <c r="Z818">
        <f t="shared" si="134"/>
        <v>12</v>
      </c>
      <c r="AA818">
        <f>Z818</f>
        <v>12</v>
      </c>
      <c r="AC818" s="1">
        <v>0</v>
      </c>
      <c r="AF818">
        <f>X818</f>
        <v>48</v>
      </c>
      <c r="AG818" s="41">
        <v>12</v>
      </c>
      <c r="AH818">
        <f t="shared" si="135"/>
        <v>48</v>
      </c>
      <c r="AI818">
        <f t="shared" si="136"/>
        <v>12</v>
      </c>
      <c r="AK818">
        <f t="shared" si="137"/>
        <v>4</v>
      </c>
      <c r="AL818">
        <v>13.01</v>
      </c>
      <c r="AM818" t="s">
        <v>27</v>
      </c>
      <c r="AN818">
        <v>13.01</v>
      </c>
      <c r="AO818" t="b">
        <f t="shared" si="138"/>
        <v>1</v>
      </c>
      <c r="AR818" t="s">
        <v>5061</v>
      </c>
      <c r="AS818" s="21">
        <v>46276</v>
      </c>
      <c r="AT818" t="s">
        <v>5062</v>
      </c>
      <c r="AU818" t="s">
        <v>5078</v>
      </c>
      <c r="AV818" t="s">
        <v>5062</v>
      </c>
      <c r="AW818" t="s">
        <v>5086</v>
      </c>
    </row>
    <row r="819" spans="1:49" hidden="1" x14ac:dyDescent="0.35">
      <c r="A819" t="s">
        <v>2796</v>
      </c>
      <c r="B819" t="s">
        <v>872</v>
      </c>
      <c r="C819" t="s">
        <v>4818</v>
      </c>
      <c r="D819" t="s">
        <v>18</v>
      </c>
      <c r="E819" t="s">
        <v>3461</v>
      </c>
      <c r="F819" t="s">
        <v>3462</v>
      </c>
      <c r="G819" t="s">
        <v>21</v>
      </c>
      <c r="H819" t="s">
        <v>4888</v>
      </c>
      <c r="I819" t="s">
        <v>5005</v>
      </c>
      <c r="J819" s="4" t="s">
        <v>5006</v>
      </c>
      <c r="K819" s="4" t="s">
        <v>5027</v>
      </c>
      <c r="L819" s="4">
        <v>33</v>
      </c>
      <c r="M819" s="4" t="s">
        <v>5035</v>
      </c>
      <c r="N819" t="s">
        <v>3463</v>
      </c>
      <c r="O819" t="s">
        <v>3464</v>
      </c>
      <c r="P819" t="s">
        <v>23</v>
      </c>
      <c r="Q819" t="s">
        <v>24</v>
      </c>
      <c r="R819" t="s">
        <v>25</v>
      </c>
      <c r="S819" t="s">
        <v>26</v>
      </c>
      <c r="T819" s="6">
        <v>46307</v>
      </c>
      <c r="U819">
        <v>456</v>
      </c>
      <c r="V819">
        <v>456</v>
      </c>
      <c r="W819">
        <v>480</v>
      </c>
      <c r="X819">
        <v>480</v>
      </c>
      <c r="Y819">
        <f t="shared" si="133"/>
        <v>0</v>
      </c>
      <c r="Z819">
        <f t="shared" si="134"/>
        <v>-24</v>
      </c>
      <c r="AC819" s="1">
        <v>0</v>
      </c>
      <c r="AF819">
        <f t="shared" ref="AF819:AF824" si="142">V819</f>
        <v>456</v>
      </c>
      <c r="AG819" s="41">
        <v>24</v>
      </c>
      <c r="AH819">
        <f t="shared" si="135"/>
        <v>456</v>
      </c>
      <c r="AI819">
        <f t="shared" si="136"/>
        <v>0</v>
      </c>
      <c r="AK819">
        <f t="shared" si="137"/>
        <v>19</v>
      </c>
      <c r="AL819">
        <v>10.24</v>
      </c>
      <c r="AM819" t="s">
        <v>27</v>
      </c>
      <c r="AN819">
        <v>10.24</v>
      </c>
      <c r="AO819" t="b">
        <f t="shared" si="138"/>
        <v>1</v>
      </c>
      <c r="AR819" t="s">
        <v>5061</v>
      </c>
      <c r="AS819" s="21">
        <v>46276</v>
      </c>
      <c r="AT819" t="s">
        <v>5062</v>
      </c>
      <c r="AU819" t="s">
        <v>5079</v>
      </c>
      <c r="AV819" t="s">
        <v>5062</v>
      </c>
      <c r="AW819" t="s">
        <v>5086</v>
      </c>
    </row>
    <row r="820" spans="1:49" hidden="1" x14ac:dyDescent="0.35">
      <c r="A820" t="s">
        <v>2796</v>
      </c>
      <c r="B820" t="s">
        <v>872</v>
      </c>
      <c r="C820" t="s">
        <v>4818</v>
      </c>
      <c r="D820" t="s">
        <v>18</v>
      </c>
      <c r="E820" t="s">
        <v>3465</v>
      </c>
      <c r="F820" t="s">
        <v>3466</v>
      </c>
      <c r="G820" t="s">
        <v>21</v>
      </c>
      <c r="H820" t="s">
        <v>4888</v>
      </c>
      <c r="I820" t="s">
        <v>5005</v>
      </c>
      <c r="J820" s="4" t="s">
        <v>5006</v>
      </c>
      <c r="K820" s="4" t="s">
        <v>5007</v>
      </c>
      <c r="L820" s="4">
        <v>42</v>
      </c>
      <c r="M820" s="4" t="s">
        <v>5035</v>
      </c>
      <c r="N820" t="s">
        <v>3467</v>
      </c>
      <c r="O820" t="s">
        <v>3468</v>
      </c>
      <c r="P820" t="s">
        <v>23</v>
      </c>
      <c r="Q820" t="s">
        <v>24</v>
      </c>
      <c r="R820" t="s">
        <v>25</v>
      </c>
      <c r="S820" t="s">
        <v>26</v>
      </c>
      <c r="T820" s="6">
        <v>46307</v>
      </c>
      <c r="U820">
        <v>312</v>
      </c>
      <c r="V820">
        <v>312</v>
      </c>
      <c r="W820">
        <v>336</v>
      </c>
      <c r="X820">
        <v>336</v>
      </c>
      <c r="Y820">
        <f t="shared" si="133"/>
        <v>0</v>
      </c>
      <c r="Z820">
        <f t="shared" si="134"/>
        <v>-24</v>
      </c>
      <c r="AC820" s="1">
        <v>0</v>
      </c>
      <c r="AF820">
        <f t="shared" si="142"/>
        <v>312</v>
      </c>
      <c r="AG820" s="41">
        <v>24</v>
      </c>
      <c r="AH820">
        <f t="shared" si="135"/>
        <v>312</v>
      </c>
      <c r="AI820">
        <f t="shared" si="136"/>
        <v>0</v>
      </c>
      <c r="AK820">
        <f t="shared" si="137"/>
        <v>13</v>
      </c>
      <c r="AL820">
        <v>10.45</v>
      </c>
      <c r="AM820" t="s">
        <v>27</v>
      </c>
      <c r="AN820">
        <v>10.45</v>
      </c>
      <c r="AO820" t="b">
        <f t="shared" si="138"/>
        <v>1</v>
      </c>
      <c r="AR820" t="s">
        <v>5061</v>
      </c>
      <c r="AS820" s="21">
        <v>46276</v>
      </c>
      <c r="AT820" t="s">
        <v>5062</v>
      </c>
      <c r="AU820" t="s">
        <v>5079</v>
      </c>
      <c r="AV820" t="s">
        <v>5062</v>
      </c>
      <c r="AW820" t="s">
        <v>5086</v>
      </c>
    </row>
    <row r="821" spans="1:49" hidden="1" x14ac:dyDescent="0.35">
      <c r="A821" t="s">
        <v>2796</v>
      </c>
      <c r="B821" t="s">
        <v>872</v>
      </c>
      <c r="C821" t="s">
        <v>4818</v>
      </c>
      <c r="D821" t="s">
        <v>18</v>
      </c>
      <c r="E821" t="s">
        <v>3469</v>
      </c>
      <c r="F821" t="s">
        <v>3470</v>
      </c>
      <c r="G821" t="s">
        <v>21</v>
      </c>
      <c r="H821" t="s">
        <v>4888</v>
      </c>
      <c r="I821" t="s">
        <v>5003</v>
      </c>
      <c r="J821" s="4" t="s">
        <v>5004</v>
      </c>
      <c r="K821" s="4" t="s">
        <v>4904</v>
      </c>
      <c r="L821" s="4" t="s">
        <v>4877</v>
      </c>
      <c r="M821" s="4" t="s">
        <v>5035</v>
      </c>
      <c r="N821" t="s">
        <v>3471</v>
      </c>
      <c r="O821" t="s">
        <v>3472</v>
      </c>
      <c r="P821" t="s">
        <v>23</v>
      </c>
      <c r="Q821" t="s">
        <v>24</v>
      </c>
      <c r="R821" t="s">
        <v>25</v>
      </c>
      <c r="S821" t="s">
        <v>26</v>
      </c>
      <c r="T821" s="6">
        <v>46307</v>
      </c>
      <c r="U821">
        <v>84</v>
      </c>
      <c r="V821">
        <v>84</v>
      </c>
      <c r="W821">
        <v>96</v>
      </c>
      <c r="X821">
        <v>96</v>
      </c>
      <c r="Y821">
        <f t="shared" si="133"/>
        <v>0</v>
      </c>
      <c r="Z821">
        <f t="shared" si="134"/>
        <v>-12</v>
      </c>
      <c r="AC821" s="1">
        <v>0</v>
      </c>
      <c r="AF821">
        <f t="shared" si="142"/>
        <v>84</v>
      </c>
      <c r="AG821" s="41">
        <v>12</v>
      </c>
      <c r="AH821">
        <f t="shared" si="135"/>
        <v>84</v>
      </c>
      <c r="AI821">
        <f t="shared" si="136"/>
        <v>0</v>
      </c>
      <c r="AK821">
        <f t="shared" si="137"/>
        <v>7</v>
      </c>
      <c r="AL821">
        <v>12.89</v>
      </c>
      <c r="AM821" t="s">
        <v>27</v>
      </c>
      <c r="AN821">
        <v>12.89</v>
      </c>
      <c r="AO821" t="b">
        <f t="shared" si="138"/>
        <v>1</v>
      </c>
      <c r="AR821" t="s">
        <v>5061</v>
      </c>
      <c r="AS821" s="21">
        <v>46276</v>
      </c>
      <c r="AT821" t="s">
        <v>5062</v>
      </c>
      <c r="AU821" t="s">
        <v>5078</v>
      </c>
      <c r="AV821" t="s">
        <v>5062</v>
      </c>
      <c r="AW821" t="s">
        <v>5086</v>
      </c>
    </row>
    <row r="822" spans="1:49" hidden="1" x14ac:dyDescent="0.35">
      <c r="A822" t="s">
        <v>2796</v>
      </c>
      <c r="B822" t="s">
        <v>872</v>
      </c>
      <c r="C822" t="s">
        <v>4818</v>
      </c>
      <c r="D822" t="s">
        <v>18</v>
      </c>
      <c r="E822" t="s">
        <v>3473</v>
      </c>
      <c r="F822" t="s">
        <v>3474</v>
      </c>
      <c r="G822" t="s">
        <v>21</v>
      </c>
      <c r="H822" t="s">
        <v>4888</v>
      </c>
      <c r="I822" t="s">
        <v>5003</v>
      </c>
      <c r="J822" s="4" t="s">
        <v>5004</v>
      </c>
      <c r="K822" s="4" t="s">
        <v>4904</v>
      </c>
      <c r="L822" s="4" t="s">
        <v>4931</v>
      </c>
      <c r="M822" s="4" t="s">
        <v>5035</v>
      </c>
      <c r="N822" t="s">
        <v>3475</v>
      </c>
      <c r="O822" t="s">
        <v>3476</v>
      </c>
      <c r="P822" t="s">
        <v>23</v>
      </c>
      <c r="Q822" t="s">
        <v>24</v>
      </c>
      <c r="R822" t="s">
        <v>25</v>
      </c>
      <c r="S822" t="s">
        <v>26</v>
      </c>
      <c r="T822" s="6">
        <v>46307</v>
      </c>
      <c r="U822">
        <v>60</v>
      </c>
      <c r="V822">
        <v>60</v>
      </c>
      <c r="W822">
        <v>60</v>
      </c>
      <c r="X822">
        <v>60</v>
      </c>
      <c r="Y822">
        <f t="shared" si="133"/>
        <v>0</v>
      </c>
      <c r="Z822">
        <f t="shared" si="134"/>
        <v>0</v>
      </c>
      <c r="AC822" s="1">
        <v>0</v>
      </c>
      <c r="AF822">
        <f t="shared" si="142"/>
        <v>60</v>
      </c>
      <c r="AG822" s="41">
        <v>12</v>
      </c>
      <c r="AH822">
        <f t="shared" si="135"/>
        <v>60</v>
      </c>
      <c r="AI822">
        <f t="shared" si="136"/>
        <v>0</v>
      </c>
      <c r="AK822">
        <f t="shared" si="137"/>
        <v>5</v>
      </c>
      <c r="AL822">
        <v>12.89</v>
      </c>
      <c r="AM822" t="s">
        <v>27</v>
      </c>
      <c r="AN822">
        <v>12.89</v>
      </c>
      <c r="AO822" t="b">
        <f t="shared" si="138"/>
        <v>1</v>
      </c>
      <c r="AR822" t="s">
        <v>5061</v>
      </c>
      <c r="AS822" s="21">
        <v>46276</v>
      </c>
      <c r="AT822" t="s">
        <v>5062</v>
      </c>
      <c r="AU822" t="s">
        <v>5078</v>
      </c>
      <c r="AV822" t="s">
        <v>5062</v>
      </c>
      <c r="AW822" t="s">
        <v>5086</v>
      </c>
    </row>
    <row r="823" spans="1:49" hidden="1" x14ac:dyDescent="0.35">
      <c r="A823" t="s">
        <v>2796</v>
      </c>
      <c r="B823" t="s">
        <v>872</v>
      </c>
      <c r="C823" t="s">
        <v>4818</v>
      </c>
      <c r="D823" t="s">
        <v>18</v>
      </c>
      <c r="E823" t="s">
        <v>3477</v>
      </c>
      <c r="F823" t="s">
        <v>3478</v>
      </c>
      <c r="G823" t="s">
        <v>21</v>
      </c>
      <c r="H823" t="s">
        <v>4888</v>
      </c>
      <c r="I823" t="s">
        <v>5003</v>
      </c>
      <c r="J823" s="4" t="s">
        <v>5004</v>
      </c>
      <c r="K823" s="4" t="s">
        <v>5016</v>
      </c>
      <c r="L823" s="4" t="s">
        <v>4871</v>
      </c>
      <c r="M823" s="4" t="s">
        <v>5035</v>
      </c>
      <c r="N823" t="s">
        <v>3479</v>
      </c>
      <c r="O823" t="s">
        <v>3480</v>
      </c>
      <c r="P823" t="s">
        <v>23</v>
      </c>
      <c r="Q823" t="s">
        <v>24</v>
      </c>
      <c r="R823" t="s">
        <v>25</v>
      </c>
      <c r="S823" t="s">
        <v>26</v>
      </c>
      <c r="T823" s="6">
        <v>46307</v>
      </c>
      <c r="U823">
        <v>84</v>
      </c>
      <c r="V823">
        <v>84</v>
      </c>
      <c r="W823">
        <v>96</v>
      </c>
      <c r="X823">
        <v>96</v>
      </c>
      <c r="Y823">
        <f t="shared" si="133"/>
        <v>0</v>
      </c>
      <c r="Z823">
        <f t="shared" si="134"/>
        <v>-12</v>
      </c>
      <c r="AC823" s="1">
        <v>0</v>
      </c>
      <c r="AF823">
        <f t="shared" si="142"/>
        <v>84</v>
      </c>
      <c r="AG823" s="41">
        <v>12</v>
      </c>
      <c r="AH823">
        <f t="shared" si="135"/>
        <v>84</v>
      </c>
      <c r="AI823">
        <f t="shared" si="136"/>
        <v>0</v>
      </c>
      <c r="AK823">
        <f t="shared" si="137"/>
        <v>7</v>
      </c>
      <c r="AL823">
        <v>13.33</v>
      </c>
      <c r="AM823" t="s">
        <v>27</v>
      </c>
      <c r="AN823">
        <v>13.33</v>
      </c>
      <c r="AO823" t="b">
        <f t="shared" si="138"/>
        <v>1</v>
      </c>
      <c r="AR823" t="s">
        <v>5061</v>
      </c>
      <c r="AS823" s="21">
        <v>46276</v>
      </c>
      <c r="AT823" t="s">
        <v>5062</v>
      </c>
      <c r="AU823" t="s">
        <v>5078</v>
      </c>
      <c r="AV823" t="s">
        <v>5062</v>
      </c>
      <c r="AW823" t="s">
        <v>5086</v>
      </c>
    </row>
    <row r="824" spans="1:49" hidden="1" x14ac:dyDescent="0.35">
      <c r="A824" t="s">
        <v>2796</v>
      </c>
      <c r="B824" t="s">
        <v>872</v>
      </c>
      <c r="C824" t="s">
        <v>4818</v>
      </c>
      <c r="D824" t="s">
        <v>18</v>
      </c>
      <c r="E824" t="s">
        <v>3481</v>
      </c>
      <c r="F824" t="s">
        <v>3482</v>
      </c>
      <c r="G824" t="s">
        <v>21</v>
      </c>
      <c r="H824" t="s">
        <v>4888</v>
      </c>
      <c r="I824" t="s">
        <v>5010</v>
      </c>
      <c r="J824" s="4" t="s">
        <v>5011</v>
      </c>
      <c r="K824" s="4" t="s">
        <v>4984</v>
      </c>
      <c r="L824" s="4" t="s">
        <v>4998</v>
      </c>
      <c r="M824" s="4" t="s">
        <v>5035</v>
      </c>
      <c r="N824" t="s">
        <v>3483</v>
      </c>
      <c r="O824" t="s">
        <v>3484</v>
      </c>
      <c r="P824" t="s">
        <v>23</v>
      </c>
      <c r="Q824" t="s">
        <v>24</v>
      </c>
      <c r="R824" t="s">
        <v>25</v>
      </c>
      <c r="S824" t="s">
        <v>26</v>
      </c>
      <c r="T824" s="6">
        <v>46307</v>
      </c>
      <c r="U824">
        <v>96</v>
      </c>
      <c r="V824">
        <v>96</v>
      </c>
      <c r="W824">
        <v>96</v>
      </c>
      <c r="X824">
        <v>96</v>
      </c>
      <c r="Y824">
        <f t="shared" si="133"/>
        <v>0</v>
      </c>
      <c r="Z824">
        <f t="shared" si="134"/>
        <v>0</v>
      </c>
      <c r="AC824" s="1">
        <v>0</v>
      </c>
      <c r="AF824">
        <f t="shared" si="142"/>
        <v>96</v>
      </c>
      <c r="AG824" s="41">
        <v>24</v>
      </c>
      <c r="AH824">
        <f t="shared" si="135"/>
        <v>96</v>
      </c>
      <c r="AI824">
        <f t="shared" si="136"/>
        <v>0</v>
      </c>
      <c r="AK824">
        <f t="shared" si="137"/>
        <v>4</v>
      </c>
      <c r="AL824">
        <v>4.92</v>
      </c>
      <c r="AM824" t="s">
        <v>27</v>
      </c>
      <c r="AN824">
        <v>4.92</v>
      </c>
      <c r="AO824" t="b">
        <f t="shared" si="138"/>
        <v>1</v>
      </c>
      <c r="AR824" t="s">
        <v>5061</v>
      </c>
      <c r="AS824" s="21">
        <v>46276</v>
      </c>
      <c r="AT824" t="s">
        <v>5062</v>
      </c>
      <c r="AU824" t="s">
        <v>5081</v>
      </c>
      <c r="AV824" t="s">
        <v>5062</v>
      </c>
      <c r="AW824" t="s">
        <v>5086</v>
      </c>
    </row>
    <row r="825" spans="1:49" hidden="1" x14ac:dyDescent="0.35">
      <c r="A825" t="s">
        <v>2796</v>
      </c>
      <c r="B825" t="s">
        <v>872</v>
      </c>
      <c r="C825" t="s">
        <v>4818</v>
      </c>
      <c r="D825" t="s">
        <v>18</v>
      </c>
      <c r="E825" t="s">
        <v>3485</v>
      </c>
      <c r="F825" t="s">
        <v>3486</v>
      </c>
      <c r="G825" t="s">
        <v>21</v>
      </c>
      <c r="H825" t="s">
        <v>4888</v>
      </c>
      <c r="I825" t="s">
        <v>5003</v>
      </c>
      <c r="J825" s="4" t="s">
        <v>5004</v>
      </c>
      <c r="K825" s="4" t="s">
        <v>5015</v>
      </c>
      <c r="L825" s="4" t="s">
        <v>4895</v>
      </c>
      <c r="M825" s="4" t="s">
        <v>5035</v>
      </c>
      <c r="N825" t="s">
        <v>3487</v>
      </c>
      <c r="O825" t="s">
        <v>3488</v>
      </c>
      <c r="P825" t="s">
        <v>23</v>
      </c>
      <c r="Q825" t="s">
        <v>24</v>
      </c>
      <c r="R825" t="s">
        <v>25</v>
      </c>
      <c r="S825" t="s">
        <v>26</v>
      </c>
      <c r="T825" s="6">
        <v>46307</v>
      </c>
      <c r="U825">
        <v>48</v>
      </c>
      <c r="V825">
        <v>48</v>
      </c>
      <c r="W825">
        <v>36</v>
      </c>
      <c r="X825">
        <v>36</v>
      </c>
      <c r="Y825">
        <f t="shared" si="133"/>
        <v>0</v>
      </c>
      <c r="Z825">
        <f t="shared" si="134"/>
        <v>12</v>
      </c>
      <c r="AA825">
        <f>Z825</f>
        <v>12</v>
      </c>
      <c r="AC825" s="1">
        <v>0</v>
      </c>
      <c r="AF825">
        <f>X825</f>
        <v>36</v>
      </c>
      <c r="AG825" s="41">
        <v>12</v>
      </c>
      <c r="AH825">
        <f t="shared" si="135"/>
        <v>36</v>
      </c>
      <c r="AI825">
        <f t="shared" si="136"/>
        <v>12</v>
      </c>
      <c r="AK825">
        <f t="shared" si="137"/>
        <v>3</v>
      </c>
      <c r="AL825">
        <v>13.01</v>
      </c>
      <c r="AM825" t="s">
        <v>27</v>
      </c>
      <c r="AN825">
        <v>13.01</v>
      </c>
      <c r="AO825" t="b">
        <f t="shared" si="138"/>
        <v>1</v>
      </c>
      <c r="AR825" t="s">
        <v>5061</v>
      </c>
      <c r="AS825" s="21">
        <v>46276</v>
      </c>
      <c r="AT825" t="s">
        <v>5062</v>
      </c>
      <c r="AU825" t="s">
        <v>5078</v>
      </c>
      <c r="AV825" t="s">
        <v>5062</v>
      </c>
      <c r="AW825" t="s">
        <v>5086</v>
      </c>
    </row>
    <row r="826" spans="1:49" hidden="1" x14ac:dyDescent="0.35">
      <c r="A826" t="s">
        <v>2796</v>
      </c>
      <c r="B826" t="s">
        <v>872</v>
      </c>
      <c r="C826" t="s">
        <v>4818</v>
      </c>
      <c r="D826" t="s">
        <v>18</v>
      </c>
      <c r="E826" t="s">
        <v>3489</v>
      </c>
      <c r="F826" t="s">
        <v>3490</v>
      </c>
      <c r="G826" t="s">
        <v>21</v>
      </c>
      <c r="H826" t="s">
        <v>4888</v>
      </c>
      <c r="I826" t="s">
        <v>5008</v>
      </c>
      <c r="J826" s="4" t="s">
        <v>5009</v>
      </c>
      <c r="K826" s="4" t="s">
        <v>5021</v>
      </c>
      <c r="L826" s="4">
        <v>30</v>
      </c>
      <c r="M826" s="4" t="s">
        <v>5035</v>
      </c>
      <c r="N826" t="s">
        <v>3491</v>
      </c>
      <c r="O826" t="s">
        <v>3492</v>
      </c>
      <c r="P826" t="s">
        <v>23</v>
      </c>
      <c r="Q826" t="s">
        <v>24</v>
      </c>
      <c r="R826" t="s">
        <v>25</v>
      </c>
      <c r="S826" t="s">
        <v>26</v>
      </c>
      <c r="T826" s="6">
        <v>46307</v>
      </c>
      <c r="U826">
        <v>336</v>
      </c>
      <c r="V826">
        <v>336</v>
      </c>
      <c r="W826">
        <v>336</v>
      </c>
      <c r="X826">
        <v>336</v>
      </c>
      <c r="Y826">
        <f t="shared" si="133"/>
        <v>0</v>
      </c>
      <c r="Z826">
        <f t="shared" si="134"/>
        <v>0</v>
      </c>
      <c r="AC826" s="1">
        <v>0</v>
      </c>
      <c r="AF826">
        <f t="shared" ref="AF826:AF837" si="143">V826</f>
        <v>336</v>
      </c>
      <c r="AG826" s="41">
        <v>24</v>
      </c>
      <c r="AH826">
        <f t="shared" si="135"/>
        <v>336</v>
      </c>
      <c r="AI826">
        <f t="shared" si="136"/>
        <v>0</v>
      </c>
      <c r="AK826">
        <f t="shared" si="137"/>
        <v>14</v>
      </c>
      <c r="AL826">
        <v>10.11</v>
      </c>
      <c r="AM826" t="s">
        <v>27</v>
      </c>
      <c r="AN826">
        <v>10.11</v>
      </c>
      <c r="AO826" t="b">
        <f t="shared" si="138"/>
        <v>1</v>
      </c>
      <c r="AR826" t="s">
        <v>5061</v>
      </c>
      <c r="AS826" s="21">
        <v>46276</v>
      </c>
      <c r="AT826" t="s">
        <v>5062</v>
      </c>
      <c r="AU826" t="s">
        <v>5080</v>
      </c>
      <c r="AV826" t="s">
        <v>5062</v>
      </c>
      <c r="AW826" t="s">
        <v>5086</v>
      </c>
    </row>
    <row r="827" spans="1:49" hidden="1" x14ac:dyDescent="0.35">
      <c r="A827" t="s">
        <v>2796</v>
      </c>
      <c r="B827" t="s">
        <v>872</v>
      </c>
      <c r="C827" t="s">
        <v>4818</v>
      </c>
      <c r="D827" t="s">
        <v>18</v>
      </c>
      <c r="E827" t="s">
        <v>3493</v>
      </c>
      <c r="F827" t="s">
        <v>3494</v>
      </c>
      <c r="G827" t="s">
        <v>21</v>
      </c>
      <c r="H827" t="s">
        <v>4888</v>
      </c>
      <c r="I827" t="s">
        <v>5022</v>
      </c>
      <c r="J827" s="4" t="s">
        <v>5023</v>
      </c>
      <c r="K827" s="4" t="s">
        <v>5024</v>
      </c>
      <c r="L827" s="4">
        <v>10</v>
      </c>
      <c r="M827" s="4" t="s">
        <v>5035</v>
      </c>
      <c r="N827" t="s">
        <v>3495</v>
      </c>
      <c r="O827" t="s">
        <v>3496</v>
      </c>
      <c r="P827" t="s">
        <v>23</v>
      </c>
      <c r="Q827" t="s">
        <v>24</v>
      </c>
      <c r="R827" t="s">
        <v>25</v>
      </c>
      <c r="S827" t="s">
        <v>26</v>
      </c>
      <c r="T827" s="6">
        <v>46307</v>
      </c>
      <c r="U827">
        <v>312</v>
      </c>
      <c r="V827">
        <v>312</v>
      </c>
      <c r="W827">
        <v>336</v>
      </c>
      <c r="X827">
        <v>336</v>
      </c>
      <c r="Y827">
        <f t="shared" si="133"/>
        <v>0</v>
      </c>
      <c r="Z827">
        <f t="shared" si="134"/>
        <v>-24</v>
      </c>
      <c r="AC827" s="1"/>
      <c r="AF827">
        <f t="shared" si="143"/>
        <v>312</v>
      </c>
      <c r="AG827" s="41">
        <v>24</v>
      </c>
      <c r="AH827">
        <f t="shared" si="135"/>
        <v>312</v>
      </c>
      <c r="AI827">
        <f t="shared" si="136"/>
        <v>0</v>
      </c>
      <c r="AK827">
        <f t="shared" si="137"/>
        <v>13</v>
      </c>
      <c r="AL827">
        <v>6.99</v>
      </c>
      <c r="AM827" t="s">
        <v>27</v>
      </c>
      <c r="AN827">
        <v>8.68</v>
      </c>
      <c r="AO827" t="b">
        <f t="shared" si="138"/>
        <v>0</v>
      </c>
      <c r="AR827" t="s">
        <v>5061</v>
      </c>
      <c r="AS827" s="21">
        <v>46276</v>
      </c>
      <c r="AT827" t="s">
        <v>5062</v>
      </c>
      <c r="AU827" t="s">
        <v>5083</v>
      </c>
      <c r="AV827" t="s">
        <v>5062</v>
      </c>
      <c r="AW827" t="s">
        <v>5086</v>
      </c>
    </row>
    <row r="828" spans="1:49" hidden="1" x14ac:dyDescent="0.35">
      <c r="A828" t="s">
        <v>2796</v>
      </c>
      <c r="B828" t="s">
        <v>872</v>
      </c>
      <c r="C828" t="s">
        <v>4818</v>
      </c>
      <c r="D828" t="s">
        <v>18</v>
      </c>
      <c r="E828" t="s">
        <v>3497</v>
      </c>
      <c r="F828" t="s">
        <v>3498</v>
      </c>
      <c r="G828" t="s">
        <v>21</v>
      </c>
      <c r="H828" t="s">
        <v>4888</v>
      </c>
      <c r="I828" t="s">
        <v>5003</v>
      </c>
      <c r="J828" s="4" t="s">
        <v>5004</v>
      </c>
      <c r="K828" s="4" t="s">
        <v>4904</v>
      </c>
      <c r="L828" s="4" t="s">
        <v>4923</v>
      </c>
      <c r="M828" s="4" t="s">
        <v>5035</v>
      </c>
      <c r="N828" t="s">
        <v>3499</v>
      </c>
      <c r="O828" t="s">
        <v>3500</v>
      </c>
      <c r="P828" t="s">
        <v>23</v>
      </c>
      <c r="Q828" t="s">
        <v>24</v>
      </c>
      <c r="R828" t="s">
        <v>25</v>
      </c>
      <c r="S828" t="s">
        <v>26</v>
      </c>
      <c r="T828" s="6">
        <v>46307</v>
      </c>
      <c r="U828">
        <v>24</v>
      </c>
      <c r="V828">
        <v>24</v>
      </c>
      <c r="W828">
        <v>24</v>
      </c>
      <c r="X828">
        <v>24</v>
      </c>
      <c r="Y828">
        <f t="shared" si="133"/>
        <v>0</v>
      </c>
      <c r="Z828">
        <f t="shared" si="134"/>
        <v>0</v>
      </c>
      <c r="AC828" s="1">
        <v>0</v>
      </c>
      <c r="AF828">
        <f t="shared" si="143"/>
        <v>24</v>
      </c>
      <c r="AG828" s="41">
        <v>12</v>
      </c>
      <c r="AH828">
        <f t="shared" si="135"/>
        <v>24</v>
      </c>
      <c r="AI828">
        <f t="shared" si="136"/>
        <v>0</v>
      </c>
      <c r="AK828">
        <f t="shared" si="137"/>
        <v>2</v>
      </c>
      <c r="AL828">
        <v>12.89</v>
      </c>
      <c r="AM828" t="s">
        <v>27</v>
      </c>
      <c r="AN828">
        <v>12.89</v>
      </c>
      <c r="AO828" t="b">
        <f t="shared" si="138"/>
        <v>1</v>
      </c>
      <c r="AR828" t="s">
        <v>5061</v>
      </c>
      <c r="AS828" s="21">
        <v>46276</v>
      </c>
      <c r="AT828" t="s">
        <v>5062</v>
      </c>
      <c r="AU828" t="s">
        <v>5078</v>
      </c>
      <c r="AV828" t="s">
        <v>5062</v>
      </c>
      <c r="AW828" t="s">
        <v>5086</v>
      </c>
    </row>
    <row r="829" spans="1:49" hidden="1" x14ac:dyDescent="0.35">
      <c r="A829" t="s">
        <v>2796</v>
      </c>
      <c r="B829" t="s">
        <v>872</v>
      </c>
      <c r="C829" t="s">
        <v>4818</v>
      </c>
      <c r="D829" t="s">
        <v>18</v>
      </c>
      <c r="E829" t="s">
        <v>3501</v>
      </c>
      <c r="F829" t="s">
        <v>3502</v>
      </c>
      <c r="G829" t="s">
        <v>21</v>
      </c>
      <c r="H829" t="s">
        <v>4888</v>
      </c>
      <c r="I829" t="s">
        <v>5003</v>
      </c>
      <c r="J829" s="4" t="s">
        <v>5004</v>
      </c>
      <c r="K829" s="4" t="s">
        <v>4837</v>
      </c>
      <c r="L829" s="4" t="s">
        <v>4857</v>
      </c>
      <c r="M829" s="4" t="s">
        <v>5035</v>
      </c>
      <c r="N829" t="s">
        <v>3503</v>
      </c>
      <c r="O829" t="s">
        <v>3504</v>
      </c>
      <c r="P829" t="s">
        <v>23</v>
      </c>
      <c r="Q829" t="s">
        <v>24</v>
      </c>
      <c r="R829" t="s">
        <v>25</v>
      </c>
      <c r="S829" t="s">
        <v>26</v>
      </c>
      <c r="T829" s="6">
        <v>46307</v>
      </c>
      <c r="U829">
        <v>36</v>
      </c>
      <c r="V829">
        <v>36</v>
      </c>
      <c r="W829">
        <v>36</v>
      </c>
      <c r="X829">
        <v>36</v>
      </c>
      <c r="Y829">
        <f t="shared" si="133"/>
        <v>0</v>
      </c>
      <c r="Z829">
        <f t="shared" si="134"/>
        <v>0</v>
      </c>
      <c r="AC829" s="1">
        <v>0</v>
      </c>
      <c r="AF829">
        <f t="shared" si="143"/>
        <v>36</v>
      </c>
      <c r="AG829" s="41">
        <v>12</v>
      </c>
      <c r="AH829">
        <f t="shared" si="135"/>
        <v>36</v>
      </c>
      <c r="AI829">
        <f t="shared" si="136"/>
        <v>0</v>
      </c>
      <c r="AK829">
        <f t="shared" si="137"/>
        <v>3</v>
      </c>
      <c r="AL829">
        <v>12.87</v>
      </c>
      <c r="AM829" t="s">
        <v>27</v>
      </c>
      <c r="AN829">
        <v>12.87</v>
      </c>
      <c r="AO829" t="b">
        <f t="shared" si="138"/>
        <v>1</v>
      </c>
      <c r="AR829" t="s">
        <v>5061</v>
      </c>
      <c r="AS829" s="21">
        <v>46276</v>
      </c>
      <c r="AT829" t="s">
        <v>5062</v>
      </c>
      <c r="AU829" t="s">
        <v>5078</v>
      </c>
      <c r="AV829" t="s">
        <v>5062</v>
      </c>
      <c r="AW829" t="s">
        <v>5086</v>
      </c>
    </row>
    <row r="830" spans="1:49" hidden="1" x14ac:dyDescent="0.35">
      <c r="A830" t="s">
        <v>2796</v>
      </c>
      <c r="B830" t="s">
        <v>872</v>
      </c>
      <c r="C830" t="s">
        <v>4818</v>
      </c>
      <c r="D830" t="s">
        <v>18</v>
      </c>
      <c r="E830" t="s">
        <v>3505</v>
      </c>
      <c r="F830" t="s">
        <v>3506</v>
      </c>
      <c r="G830" t="s">
        <v>21</v>
      </c>
      <c r="H830" t="s">
        <v>4888</v>
      </c>
      <c r="I830" t="s">
        <v>5003</v>
      </c>
      <c r="J830" s="4" t="s">
        <v>5004</v>
      </c>
      <c r="K830" s="4" t="s">
        <v>5016</v>
      </c>
      <c r="L830" s="4" t="s">
        <v>4863</v>
      </c>
      <c r="M830" s="4" t="s">
        <v>5035</v>
      </c>
      <c r="N830" t="s">
        <v>3507</v>
      </c>
      <c r="O830" t="s">
        <v>3508</v>
      </c>
      <c r="P830" t="s">
        <v>23</v>
      </c>
      <c r="Q830" t="s">
        <v>24</v>
      </c>
      <c r="R830" t="s">
        <v>25</v>
      </c>
      <c r="S830" t="s">
        <v>26</v>
      </c>
      <c r="T830" s="6">
        <v>46307</v>
      </c>
      <c r="U830">
        <v>48</v>
      </c>
      <c r="V830">
        <v>48</v>
      </c>
      <c r="W830">
        <v>48</v>
      </c>
      <c r="X830">
        <v>48</v>
      </c>
      <c r="Y830">
        <f t="shared" si="133"/>
        <v>0</v>
      </c>
      <c r="Z830">
        <f t="shared" si="134"/>
        <v>0</v>
      </c>
      <c r="AC830" s="1">
        <v>0</v>
      </c>
      <c r="AF830">
        <f t="shared" si="143"/>
        <v>48</v>
      </c>
      <c r="AG830" s="41">
        <v>12</v>
      </c>
      <c r="AH830">
        <f t="shared" si="135"/>
        <v>48</v>
      </c>
      <c r="AI830">
        <f t="shared" si="136"/>
        <v>0</v>
      </c>
      <c r="AK830">
        <f t="shared" si="137"/>
        <v>4</v>
      </c>
      <c r="AL830">
        <v>13.33</v>
      </c>
      <c r="AM830" t="s">
        <v>27</v>
      </c>
      <c r="AN830">
        <v>13.33</v>
      </c>
      <c r="AO830" t="b">
        <f t="shared" si="138"/>
        <v>1</v>
      </c>
      <c r="AR830" t="s">
        <v>5061</v>
      </c>
      <c r="AS830" s="21">
        <v>46276</v>
      </c>
      <c r="AT830" t="s">
        <v>5062</v>
      </c>
      <c r="AU830" t="s">
        <v>5078</v>
      </c>
      <c r="AV830" t="s">
        <v>5062</v>
      </c>
      <c r="AW830" t="s">
        <v>5086</v>
      </c>
    </row>
    <row r="831" spans="1:49" hidden="1" x14ac:dyDescent="0.35">
      <c r="A831" t="s">
        <v>2796</v>
      </c>
      <c r="B831" t="s">
        <v>872</v>
      </c>
      <c r="C831" t="s">
        <v>4818</v>
      </c>
      <c r="D831" t="s">
        <v>18</v>
      </c>
      <c r="E831" t="s">
        <v>3509</v>
      </c>
      <c r="F831" t="s">
        <v>3510</v>
      </c>
      <c r="G831" t="s">
        <v>21</v>
      </c>
      <c r="H831" t="s">
        <v>4888</v>
      </c>
      <c r="I831" t="s">
        <v>5012</v>
      </c>
      <c r="J831" s="4" t="s">
        <v>5013</v>
      </c>
      <c r="K831" s="4" t="s">
        <v>4904</v>
      </c>
      <c r="L831" s="4" t="s">
        <v>4990</v>
      </c>
      <c r="M831" s="4" t="s">
        <v>5035</v>
      </c>
      <c r="N831" t="s">
        <v>3511</v>
      </c>
      <c r="O831" t="s">
        <v>3512</v>
      </c>
      <c r="P831" t="s">
        <v>23</v>
      </c>
      <c r="Q831" t="s">
        <v>24</v>
      </c>
      <c r="R831" t="s">
        <v>25</v>
      </c>
      <c r="S831" t="s">
        <v>26</v>
      </c>
      <c r="T831" s="6">
        <v>46307</v>
      </c>
      <c r="U831">
        <v>240</v>
      </c>
      <c r="V831">
        <v>240</v>
      </c>
      <c r="W831">
        <v>264</v>
      </c>
      <c r="X831">
        <v>264</v>
      </c>
      <c r="Y831">
        <f t="shared" si="133"/>
        <v>0</v>
      </c>
      <c r="Z831">
        <f t="shared" si="134"/>
        <v>-24</v>
      </c>
      <c r="AC831" s="1">
        <v>0</v>
      </c>
      <c r="AF831">
        <f t="shared" si="143"/>
        <v>240</v>
      </c>
      <c r="AG831" s="41">
        <v>24</v>
      </c>
      <c r="AH831">
        <f t="shared" si="135"/>
        <v>240</v>
      </c>
      <c r="AI831">
        <f t="shared" si="136"/>
        <v>0</v>
      </c>
      <c r="AK831">
        <f t="shared" si="137"/>
        <v>10</v>
      </c>
      <c r="AL831">
        <v>6.15</v>
      </c>
      <c r="AM831" t="s">
        <v>27</v>
      </c>
      <c r="AN831">
        <v>6.15</v>
      </c>
      <c r="AO831" t="b">
        <f t="shared" si="138"/>
        <v>1</v>
      </c>
      <c r="AR831" t="s">
        <v>5061</v>
      </c>
      <c r="AS831" s="21">
        <v>46276</v>
      </c>
      <c r="AT831" t="s">
        <v>5062</v>
      </c>
      <c r="AU831" t="s">
        <v>5081</v>
      </c>
      <c r="AV831" t="s">
        <v>5062</v>
      </c>
      <c r="AW831" t="s">
        <v>5086</v>
      </c>
    </row>
    <row r="832" spans="1:49" hidden="1" x14ac:dyDescent="0.35">
      <c r="A832" t="s">
        <v>2796</v>
      </c>
      <c r="B832" t="s">
        <v>872</v>
      </c>
      <c r="C832" t="s">
        <v>4818</v>
      </c>
      <c r="D832" t="s">
        <v>18</v>
      </c>
      <c r="E832" t="s">
        <v>3513</v>
      </c>
      <c r="F832" t="s">
        <v>3514</v>
      </c>
      <c r="G832" t="s">
        <v>21</v>
      </c>
      <c r="H832" t="s">
        <v>4888</v>
      </c>
      <c r="I832" t="s">
        <v>5003</v>
      </c>
      <c r="J832" s="4" t="s">
        <v>5004</v>
      </c>
      <c r="K832" s="4" t="s">
        <v>5016</v>
      </c>
      <c r="L832" s="4" t="s">
        <v>4929</v>
      </c>
      <c r="M832" s="4" t="s">
        <v>5035</v>
      </c>
      <c r="N832" t="s">
        <v>3515</v>
      </c>
      <c r="O832" t="s">
        <v>3516</v>
      </c>
      <c r="P832" t="s">
        <v>23</v>
      </c>
      <c r="Q832" t="s">
        <v>24</v>
      </c>
      <c r="R832" t="s">
        <v>25</v>
      </c>
      <c r="S832" t="s">
        <v>26</v>
      </c>
      <c r="T832" s="6">
        <v>46307</v>
      </c>
      <c r="U832">
        <v>48</v>
      </c>
      <c r="V832">
        <v>48</v>
      </c>
      <c r="W832">
        <v>60</v>
      </c>
      <c r="X832">
        <v>60</v>
      </c>
      <c r="Y832">
        <f t="shared" si="133"/>
        <v>0</v>
      </c>
      <c r="Z832">
        <f t="shared" si="134"/>
        <v>-12</v>
      </c>
      <c r="AC832" s="1">
        <v>0</v>
      </c>
      <c r="AF832">
        <f t="shared" si="143"/>
        <v>48</v>
      </c>
      <c r="AG832" s="41">
        <v>12</v>
      </c>
      <c r="AH832">
        <f t="shared" si="135"/>
        <v>48</v>
      </c>
      <c r="AI832">
        <f t="shared" si="136"/>
        <v>0</v>
      </c>
      <c r="AK832">
        <f t="shared" si="137"/>
        <v>4</v>
      </c>
      <c r="AL832">
        <v>13.33</v>
      </c>
      <c r="AM832" t="s">
        <v>27</v>
      </c>
      <c r="AN832">
        <v>13.33</v>
      </c>
      <c r="AO832" t="b">
        <f t="shared" si="138"/>
        <v>1</v>
      </c>
      <c r="AR832" t="s">
        <v>5061</v>
      </c>
      <c r="AS832" s="21">
        <v>46276</v>
      </c>
      <c r="AT832" t="s">
        <v>5062</v>
      </c>
      <c r="AU832" t="s">
        <v>5078</v>
      </c>
      <c r="AV832" t="s">
        <v>5062</v>
      </c>
      <c r="AW832" t="s">
        <v>5086</v>
      </c>
    </row>
    <row r="833" spans="1:49" hidden="1" x14ac:dyDescent="0.35">
      <c r="A833" t="s">
        <v>2796</v>
      </c>
      <c r="B833" t="s">
        <v>872</v>
      </c>
      <c r="C833" t="s">
        <v>4818</v>
      </c>
      <c r="D833" t="s">
        <v>18</v>
      </c>
      <c r="E833" t="s">
        <v>3517</v>
      </c>
      <c r="F833" t="s">
        <v>3518</v>
      </c>
      <c r="G833" t="s">
        <v>21</v>
      </c>
      <c r="H833" t="s">
        <v>4888</v>
      </c>
      <c r="I833" t="s">
        <v>5003</v>
      </c>
      <c r="J833" s="4" t="s">
        <v>5004</v>
      </c>
      <c r="K833" s="4" t="s">
        <v>4837</v>
      </c>
      <c r="L833" s="4" t="s">
        <v>4918</v>
      </c>
      <c r="M833" s="4" t="s">
        <v>5035</v>
      </c>
      <c r="N833" t="s">
        <v>3519</v>
      </c>
      <c r="O833" t="s">
        <v>3520</v>
      </c>
      <c r="P833" t="s">
        <v>23</v>
      </c>
      <c r="Q833" t="s">
        <v>24</v>
      </c>
      <c r="R833" t="s">
        <v>25</v>
      </c>
      <c r="S833" t="s">
        <v>26</v>
      </c>
      <c r="T833" s="6">
        <v>46307</v>
      </c>
      <c r="U833">
        <v>36</v>
      </c>
      <c r="V833">
        <v>36</v>
      </c>
      <c r="W833">
        <v>36</v>
      </c>
      <c r="X833">
        <v>36</v>
      </c>
      <c r="Y833">
        <f t="shared" si="133"/>
        <v>0</v>
      </c>
      <c r="Z833">
        <f t="shared" si="134"/>
        <v>0</v>
      </c>
      <c r="AC833" s="1">
        <v>0</v>
      </c>
      <c r="AF833">
        <f t="shared" si="143"/>
        <v>36</v>
      </c>
      <c r="AG833" s="41">
        <v>12</v>
      </c>
      <c r="AH833">
        <f t="shared" si="135"/>
        <v>36</v>
      </c>
      <c r="AI833">
        <f t="shared" si="136"/>
        <v>0</v>
      </c>
      <c r="AK833">
        <f t="shared" si="137"/>
        <v>3</v>
      </c>
      <c r="AL833">
        <v>12.87</v>
      </c>
      <c r="AM833" t="s">
        <v>27</v>
      </c>
      <c r="AN833">
        <v>12.87</v>
      </c>
      <c r="AO833" t="b">
        <f t="shared" si="138"/>
        <v>1</v>
      </c>
      <c r="AR833" t="s">
        <v>5061</v>
      </c>
      <c r="AS833" s="21">
        <v>46276</v>
      </c>
      <c r="AT833" t="s">
        <v>5062</v>
      </c>
      <c r="AU833" t="s">
        <v>5078</v>
      </c>
      <c r="AV833" t="s">
        <v>5062</v>
      </c>
      <c r="AW833" t="s">
        <v>5086</v>
      </c>
    </row>
    <row r="834" spans="1:49" hidden="1" x14ac:dyDescent="0.35">
      <c r="A834" t="s">
        <v>2796</v>
      </c>
      <c r="B834" t="s">
        <v>872</v>
      </c>
      <c r="C834" t="s">
        <v>4818</v>
      </c>
      <c r="D834" t="s">
        <v>18</v>
      </c>
      <c r="E834" t="s">
        <v>3521</v>
      </c>
      <c r="F834" t="s">
        <v>3522</v>
      </c>
      <c r="G834" t="s">
        <v>21</v>
      </c>
      <c r="H834" t="s">
        <v>4888</v>
      </c>
      <c r="I834" t="s">
        <v>5010</v>
      </c>
      <c r="J834" s="4" t="s">
        <v>5011</v>
      </c>
      <c r="K834" s="4" t="s">
        <v>4984</v>
      </c>
      <c r="L834" s="4" t="s">
        <v>4986</v>
      </c>
      <c r="M834" s="4" t="s">
        <v>5035</v>
      </c>
      <c r="N834" t="s">
        <v>3523</v>
      </c>
      <c r="O834" t="s">
        <v>3524</v>
      </c>
      <c r="P834" t="s">
        <v>23</v>
      </c>
      <c r="Q834" t="s">
        <v>24</v>
      </c>
      <c r="R834" t="s">
        <v>25</v>
      </c>
      <c r="S834" t="s">
        <v>26</v>
      </c>
      <c r="T834" s="6">
        <v>46307</v>
      </c>
      <c r="U834">
        <v>288</v>
      </c>
      <c r="V834">
        <v>288</v>
      </c>
      <c r="W834">
        <v>312</v>
      </c>
      <c r="X834">
        <v>312</v>
      </c>
      <c r="Y834">
        <f t="shared" si="133"/>
        <v>0</v>
      </c>
      <c r="Z834">
        <f t="shared" si="134"/>
        <v>-24</v>
      </c>
      <c r="AC834" s="1">
        <v>0</v>
      </c>
      <c r="AF834">
        <f t="shared" si="143"/>
        <v>288</v>
      </c>
      <c r="AG834" s="41">
        <v>24</v>
      </c>
      <c r="AH834">
        <f t="shared" si="135"/>
        <v>288</v>
      </c>
      <c r="AI834">
        <f t="shared" si="136"/>
        <v>0</v>
      </c>
      <c r="AK834">
        <f t="shared" si="137"/>
        <v>12</v>
      </c>
      <c r="AL834">
        <v>4.92</v>
      </c>
      <c r="AM834" t="s">
        <v>27</v>
      </c>
      <c r="AN834">
        <v>4.92</v>
      </c>
      <c r="AO834" t="b">
        <f t="shared" si="138"/>
        <v>1</v>
      </c>
      <c r="AR834" t="s">
        <v>5061</v>
      </c>
      <c r="AS834" s="21">
        <v>46276</v>
      </c>
      <c r="AT834" t="s">
        <v>5062</v>
      </c>
      <c r="AU834" t="s">
        <v>5081</v>
      </c>
      <c r="AV834" t="s">
        <v>5062</v>
      </c>
      <c r="AW834" t="s">
        <v>5086</v>
      </c>
    </row>
    <row r="835" spans="1:49" hidden="1" x14ac:dyDescent="0.35">
      <c r="A835" t="s">
        <v>2796</v>
      </c>
      <c r="B835" t="s">
        <v>872</v>
      </c>
      <c r="C835" t="s">
        <v>4818</v>
      </c>
      <c r="D835" t="s">
        <v>18</v>
      </c>
      <c r="E835" t="s">
        <v>3525</v>
      </c>
      <c r="F835" t="s">
        <v>3526</v>
      </c>
      <c r="G835" t="s">
        <v>21</v>
      </c>
      <c r="H835" t="s">
        <v>4888</v>
      </c>
      <c r="I835" t="s">
        <v>5003</v>
      </c>
      <c r="J835" s="4" t="s">
        <v>5004</v>
      </c>
      <c r="K835" s="4" t="s">
        <v>4904</v>
      </c>
      <c r="L835" s="4" t="s">
        <v>4857</v>
      </c>
      <c r="M835" s="4" t="s">
        <v>5035</v>
      </c>
      <c r="N835" t="s">
        <v>3527</v>
      </c>
      <c r="O835" t="s">
        <v>3528</v>
      </c>
      <c r="P835" t="s">
        <v>23</v>
      </c>
      <c r="Q835" t="s">
        <v>24</v>
      </c>
      <c r="R835" t="s">
        <v>25</v>
      </c>
      <c r="S835" t="s">
        <v>26</v>
      </c>
      <c r="T835" s="6">
        <v>46307</v>
      </c>
      <c r="U835">
        <v>36</v>
      </c>
      <c r="V835">
        <v>36</v>
      </c>
      <c r="W835">
        <v>36</v>
      </c>
      <c r="X835">
        <v>36</v>
      </c>
      <c r="Y835">
        <f t="shared" ref="Y835:Y898" si="144">W835-X835</f>
        <v>0</v>
      </c>
      <c r="Z835">
        <f t="shared" ref="Z835:Z898" si="145">V835-X835</f>
        <v>0</v>
      </c>
      <c r="AC835" s="1">
        <v>0</v>
      </c>
      <c r="AF835">
        <f t="shared" si="143"/>
        <v>36</v>
      </c>
      <c r="AG835" s="41">
        <v>12</v>
      </c>
      <c r="AH835">
        <f t="shared" ref="AH835:AH898" si="146">ROUNDUP(AF835/AG835,0)*AG835</f>
        <v>36</v>
      </c>
      <c r="AI835">
        <f t="shared" ref="AI835:AI898" si="147">V835-AH835</f>
        <v>0</v>
      </c>
      <c r="AK835">
        <f t="shared" ref="AK835:AK898" si="148">AH835/AG835</f>
        <v>3</v>
      </c>
      <c r="AL835">
        <v>12.89</v>
      </c>
      <c r="AM835" t="s">
        <v>27</v>
      </c>
      <c r="AN835">
        <v>12.89</v>
      </c>
      <c r="AO835" t="b">
        <f t="shared" ref="AO835:AO898" si="149">AL835=AN835</f>
        <v>1</v>
      </c>
      <c r="AR835" t="s">
        <v>5061</v>
      </c>
      <c r="AS835" s="21">
        <v>46276</v>
      </c>
      <c r="AT835" t="s">
        <v>5062</v>
      </c>
      <c r="AU835" t="s">
        <v>5078</v>
      </c>
      <c r="AV835" t="s">
        <v>5062</v>
      </c>
      <c r="AW835" t="s">
        <v>5086</v>
      </c>
    </row>
    <row r="836" spans="1:49" hidden="1" x14ac:dyDescent="0.35">
      <c r="A836" t="s">
        <v>2796</v>
      </c>
      <c r="B836" t="s">
        <v>872</v>
      </c>
      <c r="C836" t="s">
        <v>4818</v>
      </c>
      <c r="D836" t="s">
        <v>18</v>
      </c>
      <c r="E836" t="s">
        <v>3529</v>
      </c>
      <c r="F836" t="s">
        <v>3530</v>
      </c>
      <c r="G836" t="s">
        <v>21</v>
      </c>
      <c r="H836" t="s">
        <v>4888</v>
      </c>
      <c r="I836" t="s">
        <v>5012</v>
      </c>
      <c r="J836" s="4" t="s">
        <v>5013</v>
      </c>
      <c r="K836" s="4" t="s">
        <v>4984</v>
      </c>
      <c r="L836" s="4" t="s">
        <v>4983</v>
      </c>
      <c r="M836" s="4" t="s">
        <v>5035</v>
      </c>
      <c r="N836" t="s">
        <v>3531</v>
      </c>
      <c r="O836" t="s">
        <v>3532</v>
      </c>
      <c r="P836" t="s">
        <v>23</v>
      </c>
      <c r="Q836" t="s">
        <v>24</v>
      </c>
      <c r="R836" t="s">
        <v>25</v>
      </c>
      <c r="S836" t="s">
        <v>26</v>
      </c>
      <c r="T836" s="6">
        <v>46307</v>
      </c>
      <c r="U836">
        <v>840</v>
      </c>
      <c r="V836">
        <v>840</v>
      </c>
      <c r="W836">
        <v>912</v>
      </c>
      <c r="X836">
        <v>912</v>
      </c>
      <c r="Y836">
        <f t="shared" si="144"/>
        <v>0</v>
      </c>
      <c r="Z836">
        <f t="shared" si="145"/>
        <v>-72</v>
      </c>
      <c r="AC836" s="1"/>
      <c r="AF836">
        <f t="shared" si="143"/>
        <v>840</v>
      </c>
      <c r="AG836" s="41">
        <v>24</v>
      </c>
      <c r="AH836">
        <f t="shared" si="146"/>
        <v>840</v>
      </c>
      <c r="AI836">
        <f t="shared" si="147"/>
        <v>0</v>
      </c>
      <c r="AK836">
        <f t="shared" si="148"/>
        <v>35</v>
      </c>
      <c r="AL836">
        <v>6.05</v>
      </c>
      <c r="AM836" t="s">
        <v>27</v>
      </c>
      <c r="AN836">
        <v>6.05</v>
      </c>
      <c r="AO836" t="b">
        <f t="shared" si="149"/>
        <v>1</v>
      </c>
      <c r="AR836" t="s">
        <v>5061</v>
      </c>
      <c r="AS836" s="21">
        <v>46276</v>
      </c>
      <c r="AT836" t="s">
        <v>5062</v>
      </c>
      <c r="AU836" t="s">
        <v>5081</v>
      </c>
      <c r="AV836" t="s">
        <v>5062</v>
      </c>
      <c r="AW836" t="s">
        <v>5086</v>
      </c>
    </row>
    <row r="837" spans="1:49" hidden="1" x14ac:dyDescent="0.35">
      <c r="A837" t="s">
        <v>2796</v>
      </c>
      <c r="B837" t="s">
        <v>872</v>
      </c>
      <c r="C837" t="s">
        <v>4818</v>
      </c>
      <c r="D837" t="s">
        <v>18</v>
      </c>
      <c r="E837" t="s">
        <v>3533</v>
      </c>
      <c r="F837" t="s">
        <v>3534</v>
      </c>
      <c r="G837" t="s">
        <v>21</v>
      </c>
      <c r="H837" t="s">
        <v>4888</v>
      </c>
      <c r="I837" t="s">
        <v>5003</v>
      </c>
      <c r="J837" s="4" t="s">
        <v>5004</v>
      </c>
      <c r="K837" s="4" t="s">
        <v>5016</v>
      </c>
      <c r="L837" s="4" t="s">
        <v>4898</v>
      </c>
      <c r="M837" s="4" t="s">
        <v>5035</v>
      </c>
      <c r="N837" t="s">
        <v>3535</v>
      </c>
      <c r="O837" t="s">
        <v>3536</v>
      </c>
      <c r="P837" t="s">
        <v>23</v>
      </c>
      <c r="Q837" t="s">
        <v>24</v>
      </c>
      <c r="R837" t="s">
        <v>25</v>
      </c>
      <c r="S837" t="s">
        <v>26</v>
      </c>
      <c r="T837" s="6">
        <v>46307</v>
      </c>
      <c r="U837">
        <v>48</v>
      </c>
      <c r="V837">
        <v>48</v>
      </c>
      <c r="W837">
        <v>48</v>
      </c>
      <c r="X837">
        <v>48</v>
      </c>
      <c r="Y837">
        <f t="shared" si="144"/>
        <v>0</v>
      </c>
      <c r="Z837">
        <f t="shared" si="145"/>
        <v>0</v>
      </c>
      <c r="AC837" s="1">
        <v>0</v>
      </c>
      <c r="AF837">
        <f t="shared" si="143"/>
        <v>48</v>
      </c>
      <c r="AG837" s="41">
        <v>12</v>
      </c>
      <c r="AH837">
        <f t="shared" si="146"/>
        <v>48</v>
      </c>
      <c r="AI837">
        <f t="shared" si="147"/>
        <v>0</v>
      </c>
      <c r="AK837">
        <f t="shared" si="148"/>
        <v>4</v>
      </c>
      <c r="AL837">
        <v>13.33</v>
      </c>
      <c r="AM837" t="s">
        <v>27</v>
      </c>
      <c r="AN837">
        <v>13.33</v>
      </c>
      <c r="AO837" t="b">
        <f t="shared" si="149"/>
        <v>1</v>
      </c>
      <c r="AR837" t="s">
        <v>5061</v>
      </c>
      <c r="AS837" s="21">
        <v>46276</v>
      </c>
      <c r="AT837" t="s">
        <v>5062</v>
      </c>
      <c r="AU837" t="s">
        <v>5078</v>
      </c>
      <c r="AV837" t="s">
        <v>5062</v>
      </c>
      <c r="AW837" t="s">
        <v>5086</v>
      </c>
    </row>
    <row r="838" spans="1:49" hidden="1" x14ac:dyDescent="0.35">
      <c r="A838" t="s">
        <v>2796</v>
      </c>
      <c r="B838" t="s">
        <v>872</v>
      </c>
      <c r="C838" t="s">
        <v>4818</v>
      </c>
      <c r="D838" t="s">
        <v>18</v>
      </c>
      <c r="E838" t="s">
        <v>3537</v>
      </c>
      <c r="F838" t="s">
        <v>3538</v>
      </c>
      <c r="G838" t="s">
        <v>21</v>
      </c>
      <c r="H838" t="s">
        <v>4888</v>
      </c>
      <c r="I838" t="s">
        <v>5003</v>
      </c>
      <c r="J838" s="4" t="s">
        <v>5004</v>
      </c>
      <c r="K838" s="4" t="s">
        <v>5015</v>
      </c>
      <c r="L838" s="4" t="s">
        <v>4853</v>
      </c>
      <c r="M838" s="4" t="s">
        <v>5035</v>
      </c>
      <c r="N838" t="s">
        <v>3539</v>
      </c>
      <c r="O838" t="s">
        <v>3540</v>
      </c>
      <c r="P838" t="s">
        <v>23</v>
      </c>
      <c r="Q838" t="s">
        <v>24</v>
      </c>
      <c r="R838" t="s">
        <v>25</v>
      </c>
      <c r="S838" t="s">
        <v>26</v>
      </c>
      <c r="T838" s="6">
        <v>46307</v>
      </c>
      <c r="U838">
        <v>144</v>
      </c>
      <c r="V838">
        <v>144</v>
      </c>
      <c r="W838">
        <v>132</v>
      </c>
      <c r="X838">
        <v>132</v>
      </c>
      <c r="Y838">
        <f t="shared" si="144"/>
        <v>0</v>
      </c>
      <c r="Z838">
        <f t="shared" si="145"/>
        <v>12</v>
      </c>
      <c r="AA838">
        <f>Z838</f>
        <v>12</v>
      </c>
      <c r="AC838" s="1">
        <v>0</v>
      </c>
      <c r="AF838">
        <f>X838</f>
        <v>132</v>
      </c>
      <c r="AG838" s="41">
        <v>12</v>
      </c>
      <c r="AH838">
        <f t="shared" si="146"/>
        <v>132</v>
      </c>
      <c r="AI838">
        <f t="shared" si="147"/>
        <v>12</v>
      </c>
      <c r="AK838">
        <f t="shared" si="148"/>
        <v>11</v>
      </c>
      <c r="AL838">
        <v>13.01</v>
      </c>
      <c r="AM838" t="s">
        <v>27</v>
      </c>
      <c r="AN838">
        <v>13.01</v>
      </c>
      <c r="AO838" t="b">
        <f t="shared" si="149"/>
        <v>1</v>
      </c>
      <c r="AR838" t="s">
        <v>5061</v>
      </c>
      <c r="AS838" s="21">
        <v>46276</v>
      </c>
      <c r="AT838" t="s">
        <v>5062</v>
      </c>
      <c r="AU838" t="s">
        <v>5078</v>
      </c>
      <c r="AV838" t="s">
        <v>5062</v>
      </c>
      <c r="AW838" t="s">
        <v>5086</v>
      </c>
    </row>
    <row r="839" spans="1:49" hidden="1" x14ac:dyDescent="0.35">
      <c r="A839" t="s">
        <v>2796</v>
      </c>
      <c r="B839" t="s">
        <v>872</v>
      </c>
      <c r="C839" t="s">
        <v>4818</v>
      </c>
      <c r="D839" t="s">
        <v>18</v>
      </c>
      <c r="E839" t="s">
        <v>3541</v>
      </c>
      <c r="F839" t="s">
        <v>3542</v>
      </c>
      <c r="G839" t="s">
        <v>21</v>
      </c>
      <c r="H839" t="s">
        <v>4888</v>
      </c>
      <c r="I839" t="s">
        <v>5003</v>
      </c>
      <c r="J839" s="4" t="s">
        <v>5004</v>
      </c>
      <c r="K839" s="4" t="s">
        <v>5016</v>
      </c>
      <c r="L839" s="4" t="s">
        <v>4869</v>
      </c>
      <c r="M839" s="4" t="s">
        <v>5035</v>
      </c>
      <c r="N839" t="s">
        <v>3543</v>
      </c>
      <c r="O839" t="s">
        <v>3544</v>
      </c>
      <c r="P839" t="s">
        <v>23</v>
      </c>
      <c r="Q839" t="s">
        <v>24</v>
      </c>
      <c r="R839" t="s">
        <v>25</v>
      </c>
      <c r="S839" t="s">
        <v>26</v>
      </c>
      <c r="T839" s="6">
        <v>46307</v>
      </c>
      <c r="U839">
        <v>60</v>
      </c>
      <c r="V839">
        <v>60</v>
      </c>
      <c r="W839">
        <v>72</v>
      </c>
      <c r="X839">
        <v>72</v>
      </c>
      <c r="Y839">
        <f t="shared" si="144"/>
        <v>0</v>
      </c>
      <c r="Z839">
        <f t="shared" si="145"/>
        <v>-12</v>
      </c>
      <c r="AC839" s="1">
        <v>0</v>
      </c>
      <c r="AF839">
        <f t="shared" ref="AF839:AF846" si="150">V839</f>
        <v>60</v>
      </c>
      <c r="AG839" s="41">
        <v>12</v>
      </c>
      <c r="AH839">
        <f t="shared" si="146"/>
        <v>60</v>
      </c>
      <c r="AI839">
        <f t="shared" si="147"/>
        <v>0</v>
      </c>
      <c r="AK839">
        <f t="shared" si="148"/>
        <v>5</v>
      </c>
      <c r="AL839">
        <v>13.33</v>
      </c>
      <c r="AM839" t="s">
        <v>27</v>
      </c>
      <c r="AN839">
        <v>13.33</v>
      </c>
      <c r="AO839" t="b">
        <f t="shared" si="149"/>
        <v>1</v>
      </c>
      <c r="AR839" t="s">
        <v>5061</v>
      </c>
      <c r="AS839" s="21">
        <v>46276</v>
      </c>
      <c r="AT839" t="s">
        <v>5062</v>
      </c>
      <c r="AU839" t="s">
        <v>5078</v>
      </c>
      <c r="AV839" t="s">
        <v>5062</v>
      </c>
      <c r="AW839" t="s">
        <v>5086</v>
      </c>
    </row>
    <row r="840" spans="1:49" hidden="1" x14ac:dyDescent="0.35">
      <c r="A840" t="s">
        <v>2796</v>
      </c>
      <c r="B840" t="s">
        <v>872</v>
      </c>
      <c r="C840" t="s">
        <v>4818</v>
      </c>
      <c r="D840" t="s">
        <v>18</v>
      </c>
      <c r="E840" t="s">
        <v>3545</v>
      </c>
      <c r="F840" t="s">
        <v>3546</v>
      </c>
      <c r="G840" t="s">
        <v>21</v>
      </c>
      <c r="H840" t="s">
        <v>4888</v>
      </c>
      <c r="I840" t="s">
        <v>5010</v>
      </c>
      <c r="J840" s="4" t="s">
        <v>5011</v>
      </c>
      <c r="K840" s="4" t="s">
        <v>4984</v>
      </c>
      <c r="L840" s="4" t="s">
        <v>4999</v>
      </c>
      <c r="M840" s="4" t="s">
        <v>5035</v>
      </c>
      <c r="N840" t="s">
        <v>3547</v>
      </c>
      <c r="O840" t="s">
        <v>3548</v>
      </c>
      <c r="P840" t="s">
        <v>23</v>
      </c>
      <c r="Q840" t="s">
        <v>24</v>
      </c>
      <c r="R840" t="s">
        <v>25</v>
      </c>
      <c r="S840" t="s">
        <v>26</v>
      </c>
      <c r="T840" s="6">
        <v>46307</v>
      </c>
      <c r="U840">
        <v>48</v>
      </c>
      <c r="V840">
        <v>48</v>
      </c>
      <c r="W840">
        <v>48</v>
      </c>
      <c r="X840">
        <v>48</v>
      </c>
      <c r="Y840">
        <f t="shared" si="144"/>
        <v>0</v>
      </c>
      <c r="Z840">
        <f t="shared" si="145"/>
        <v>0</v>
      </c>
      <c r="AC840" s="1">
        <v>0</v>
      </c>
      <c r="AF840">
        <f t="shared" si="150"/>
        <v>48</v>
      </c>
      <c r="AG840" s="41">
        <v>24</v>
      </c>
      <c r="AH840">
        <f t="shared" si="146"/>
        <v>48</v>
      </c>
      <c r="AI840">
        <f t="shared" si="147"/>
        <v>0</v>
      </c>
      <c r="AK840">
        <f t="shared" si="148"/>
        <v>2</v>
      </c>
      <c r="AL840">
        <v>4.92</v>
      </c>
      <c r="AM840" t="s">
        <v>27</v>
      </c>
      <c r="AN840">
        <v>4.92</v>
      </c>
      <c r="AO840" t="b">
        <f t="shared" si="149"/>
        <v>1</v>
      </c>
      <c r="AR840" t="s">
        <v>5061</v>
      </c>
      <c r="AS840" s="21">
        <v>46276</v>
      </c>
      <c r="AT840" t="s">
        <v>5062</v>
      </c>
      <c r="AU840" t="s">
        <v>5081</v>
      </c>
      <c r="AV840" t="s">
        <v>5062</v>
      </c>
      <c r="AW840" t="s">
        <v>5086</v>
      </c>
    </row>
    <row r="841" spans="1:49" hidden="1" x14ac:dyDescent="0.35">
      <c r="A841" t="s">
        <v>2796</v>
      </c>
      <c r="B841" t="s">
        <v>872</v>
      </c>
      <c r="C841" t="s">
        <v>4818</v>
      </c>
      <c r="D841" t="s">
        <v>18</v>
      </c>
      <c r="E841" t="s">
        <v>3549</v>
      </c>
      <c r="F841" t="s">
        <v>3550</v>
      </c>
      <c r="G841" t="s">
        <v>21</v>
      </c>
      <c r="H841" t="s">
        <v>4888</v>
      </c>
      <c r="I841" t="s">
        <v>5003</v>
      </c>
      <c r="J841" s="4" t="s">
        <v>5004</v>
      </c>
      <c r="K841" s="4" t="s">
        <v>5016</v>
      </c>
      <c r="L841" s="4" t="s">
        <v>4924</v>
      </c>
      <c r="M841" s="4" t="s">
        <v>5035</v>
      </c>
      <c r="N841" t="s">
        <v>3551</v>
      </c>
      <c r="O841" t="s">
        <v>3552</v>
      </c>
      <c r="P841" t="s">
        <v>23</v>
      </c>
      <c r="Q841" t="s">
        <v>24</v>
      </c>
      <c r="R841" t="s">
        <v>25</v>
      </c>
      <c r="S841" t="s">
        <v>26</v>
      </c>
      <c r="T841" s="6">
        <v>46307</v>
      </c>
      <c r="U841">
        <v>36</v>
      </c>
      <c r="V841">
        <v>36</v>
      </c>
      <c r="W841">
        <v>36</v>
      </c>
      <c r="X841">
        <v>36</v>
      </c>
      <c r="Y841">
        <f t="shared" si="144"/>
        <v>0</v>
      </c>
      <c r="Z841">
        <f t="shared" si="145"/>
        <v>0</v>
      </c>
      <c r="AC841" s="1">
        <v>0</v>
      </c>
      <c r="AF841">
        <f t="shared" si="150"/>
        <v>36</v>
      </c>
      <c r="AG841" s="41">
        <v>12</v>
      </c>
      <c r="AH841">
        <f t="shared" si="146"/>
        <v>36</v>
      </c>
      <c r="AI841">
        <f t="shared" si="147"/>
        <v>0</v>
      </c>
      <c r="AK841">
        <f t="shared" si="148"/>
        <v>3</v>
      </c>
      <c r="AL841">
        <v>13.33</v>
      </c>
      <c r="AM841" t="s">
        <v>27</v>
      </c>
      <c r="AN841">
        <v>13.33</v>
      </c>
      <c r="AO841" t="b">
        <f t="shared" si="149"/>
        <v>1</v>
      </c>
      <c r="AR841" t="s">
        <v>5061</v>
      </c>
      <c r="AS841" s="21">
        <v>46276</v>
      </c>
      <c r="AT841" t="s">
        <v>5062</v>
      </c>
      <c r="AU841" t="s">
        <v>5078</v>
      </c>
      <c r="AV841" t="s">
        <v>5062</v>
      </c>
      <c r="AW841" t="s">
        <v>5086</v>
      </c>
    </row>
    <row r="842" spans="1:49" hidden="1" x14ac:dyDescent="0.35">
      <c r="A842" t="s">
        <v>2796</v>
      </c>
      <c r="B842" t="s">
        <v>872</v>
      </c>
      <c r="C842" t="s">
        <v>4818</v>
      </c>
      <c r="D842" t="s">
        <v>18</v>
      </c>
      <c r="E842" t="s">
        <v>3553</v>
      </c>
      <c r="F842" t="s">
        <v>3554</v>
      </c>
      <c r="G842" t="s">
        <v>21</v>
      </c>
      <c r="H842" t="s">
        <v>4888</v>
      </c>
      <c r="I842" t="s">
        <v>5005</v>
      </c>
      <c r="J842" s="4" t="s">
        <v>5006</v>
      </c>
      <c r="K842" s="4" t="s">
        <v>5007</v>
      </c>
      <c r="L842" s="4">
        <v>32</v>
      </c>
      <c r="M842" s="4" t="s">
        <v>5035</v>
      </c>
      <c r="N842" t="s">
        <v>3555</v>
      </c>
      <c r="O842" t="s">
        <v>3556</v>
      </c>
      <c r="P842" t="s">
        <v>23</v>
      </c>
      <c r="Q842" t="s">
        <v>24</v>
      </c>
      <c r="R842" t="s">
        <v>25</v>
      </c>
      <c r="S842" t="s">
        <v>26</v>
      </c>
      <c r="T842" s="6">
        <v>46307</v>
      </c>
      <c r="U842">
        <v>744</v>
      </c>
      <c r="V842">
        <v>744</v>
      </c>
      <c r="W842">
        <v>744</v>
      </c>
      <c r="X842">
        <v>744</v>
      </c>
      <c r="Y842">
        <f t="shared" si="144"/>
        <v>0</v>
      </c>
      <c r="Z842">
        <f t="shared" si="145"/>
        <v>0</v>
      </c>
      <c r="AC842" s="1">
        <v>0</v>
      </c>
      <c r="AF842">
        <f t="shared" si="150"/>
        <v>744</v>
      </c>
      <c r="AG842" s="41">
        <v>24</v>
      </c>
      <c r="AH842">
        <f t="shared" si="146"/>
        <v>744</v>
      </c>
      <c r="AI842">
        <f t="shared" si="147"/>
        <v>0</v>
      </c>
      <c r="AK842">
        <f t="shared" si="148"/>
        <v>31</v>
      </c>
      <c r="AL842">
        <v>10.45</v>
      </c>
      <c r="AM842" t="s">
        <v>27</v>
      </c>
      <c r="AN842">
        <v>10.45</v>
      </c>
      <c r="AO842" t="b">
        <f t="shared" si="149"/>
        <v>1</v>
      </c>
      <c r="AR842" t="s">
        <v>5061</v>
      </c>
      <c r="AS842" s="21">
        <v>46276</v>
      </c>
      <c r="AT842" t="s">
        <v>5062</v>
      </c>
      <c r="AU842" t="s">
        <v>5079</v>
      </c>
      <c r="AV842" t="s">
        <v>5062</v>
      </c>
      <c r="AW842" t="s">
        <v>5086</v>
      </c>
    </row>
    <row r="843" spans="1:49" hidden="1" x14ac:dyDescent="0.35">
      <c r="A843" t="s">
        <v>2796</v>
      </c>
      <c r="B843" t="s">
        <v>872</v>
      </c>
      <c r="C843" t="s">
        <v>4818</v>
      </c>
      <c r="D843" t="s">
        <v>18</v>
      </c>
      <c r="E843" t="s">
        <v>3557</v>
      </c>
      <c r="F843" t="s">
        <v>3558</v>
      </c>
      <c r="G843" t="s">
        <v>21</v>
      </c>
      <c r="H843" t="s">
        <v>4888</v>
      </c>
      <c r="I843" t="s">
        <v>5008</v>
      </c>
      <c r="J843" s="4" t="s">
        <v>5009</v>
      </c>
      <c r="K843" s="4" t="s">
        <v>5021</v>
      </c>
      <c r="L843" s="4">
        <v>29</v>
      </c>
      <c r="M843" s="4" t="s">
        <v>5035</v>
      </c>
      <c r="N843" t="s">
        <v>3559</v>
      </c>
      <c r="O843" t="s">
        <v>3560</v>
      </c>
      <c r="P843" t="s">
        <v>23</v>
      </c>
      <c r="Q843" t="s">
        <v>24</v>
      </c>
      <c r="R843" t="s">
        <v>25</v>
      </c>
      <c r="S843" t="s">
        <v>26</v>
      </c>
      <c r="T843" s="6">
        <v>46307</v>
      </c>
      <c r="U843">
        <v>168</v>
      </c>
      <c r="V843">
        <v>168</v>
      </c>
      <c r="W843">
        <v>168</v>
      </c>
      <c r="X843">
        <v>168</v>
      </c>
      <c r="Y843">
        <f t="shared" si="144"/>
        <v>0</v>
      </c>
      <c r="Z843">
        <f t="shared" si="145"/>
        <v>0</v>
      </c>
      <c r="AC843" s="1">
        <v>0</v>
      </c>
      <c r="AF843">
        <f t="shared" si="150"/>
        <v>168</v>
      </c>
      <c r="AG843" s="41">
        <v>24</v>
      </c>
      <c r="AH843">
        <f t="shared" si="146"/>
        <v>168</v>
      </c>
      <c r="AI843">
        <f t="shared" si="147"/>
        <v>0</v>
      </c>
      <c r="AK843">
        <f t="shared" si="148"/>
        <v>7</v>
      </c>
      <c r="AL843">
        <v>10.11</v>
      </c>
      <c r="AM843" t="s">
        <v>27</v>
      </c>
      <c r="AN843">
        <v>10.11</v>
      </c>
      <c r="AO843" t="b">
        <f t="shared" si="149"/>
        <v>1</v>
      </c>
      <c r="AR843" t="s">
        <v>5061</v>
      </c>
      <c r="AS843" s="21">
        <v>46276</v>
      </c>
      <c r="AT843" t="s">
        <v>5062</v>
      </c>
      <c r="AU843" t="s">
        <v>5080</v>
      </c>
      <c r="AV843" t="s">
        <v>5062</v>
      </c>
      <c r="AW843" t="s">
        <v>5086</v>
      </c>
    </row>
    <row r="844" spans="1:49" hidden="1" x14ac:dyDescent="0.35">
      <c r="A844" t="s">
        <v>2796</v>
      </c>
      <c r="B844" t="s">
        <v>872</v>
      </c>
      <c r="C844" t="s">
        <v>4818</v>
      </c>
      <c r="D844" t="s">
        <v>18</v>
      </c>
      <c r="E844" t="s">
        <v>3561</v>
      </c>
      <c r="F844" t="s">
        <v>3562</v>
      </c>
      <c r="G844" t="s">
        <v>21</v>
      </c>
      <c r="H844" t="s">
        <v>4888</v>
      </c>
      <c r="I844" t="s">
        <v>5003</v>
      </c>
      <c r="J844" s="4" t="s">
        <v>5004</v>
      </c>
      <c r="K844" s="4" t="s">
        <v>4904</v>
      </c>
      <c r="L844" s="4" t="s">
        <v>4897</v>
      </c>
      <c r="M844" s="4" t="s">
        <v>5035</v>
      </c>
      <c r="N844" t="s">
        <v>3563</v>
      </c>
      <c r="O844" t="s">
        <v>3564</v>
      </c>
      <c r="P844" t="s">
        <v>23</v>
      </c>
      <c r="Q844" t="s">
        <v>24</v>
      </c>
      <c r="R844" t="s">
        <v>25</v>
      </c>
      <c r="S844" t="s">
        <v>26</v>
      </c>
      <c r="T844" s="6">
        <v>46307</v>
      </c>
      <c r="U844">
        <v>36</v>
      </c>
      <c r="V844">
        <v>36</v>
      </c>
      <c r="W844">
        <v>36</v>
      </c>
      <c r="X844">
        <v>36</v>
      </c>
      <c r="Y844">
        <f t="shared" si="144"/>
        <v>0</v>
      </c>
      <c r="Z844">
        <f t="shared" si="145"/>
        <v>0</v>
      </c>
      <c r="AC844" s="1">
        <v>0</v>
      </c>
      <c r="AF844">
        <f t="shared" si="150"/>
        <v>36</v>
      </c>
      <c r="AG844" s="41">
        <v>12</v>
      </c>
      <c r="AH844">
        <f t="shared" si="146"/>
        <v>36</v>
      </c>
      <c r="AI844">
        <f t="shared" si="147"/>
        <v>0</v>
      </c>
      <c r="AK844">
        <f t="shared" si="148"/>
        <v>3</v>
      </c>
      <c r="AL844">
        <v>12.89</v>
      </c>
      <c r="AM844" t="s">
        <v>27</v>
      </c>
      <c r="AN844">
        <v>12.89</v>
      </c>
      <c r="AO844" t="b">
        <f t="shared" si="149"/>
        <v>1</v>
      </c>
      <c r="AR844" t="s">
        <v>5061</v>
      </c>
      <c r="AS844" s="21">
        <v>46276</v>
      </c>
      <c r="AT844" t="s">
        <v>5062</v>
      </c>
      <c r="AU844" t="s">
        <v>5078</v>
      </c>
      <c r="AV844" t="s">
        <v>5062</v>
      </c>
      <c r="AW844" t="s">
        <v>5086</v>
      </c>
    </row>
    <row r="845" spans="1:49" hidden="1" x14ac:dyDescent="0.35">
      <c r="A845" t="s">
        <v>2796</v>
      </c>
      <c r="B845" t="s">
        <v>872</v>
      </c>
      <c r="C845" t="s">
        <v>4818</v>
      </c>
      <c r="D845" t="s">
        <v>18</v>
      </c>
      <c r="E845" t="s">
        <v>3565</v>
      </c>
      <c r="F845" t="s">
        <v>3566</v>
      </c>
      <c r="G845" t="s">
        <v>21</v>
      </c>
      <c r="H845" t="s">
        <v>4888</v>
      </c>
      <c r="I845" t="s">
        <v>5003</v>
      </c>
      <c r="J845" s="4" t="s">
        <v>5004</v>
      </c>
      <c r="K845" s="4" t="s">
        <v>4837</v>
      </c>
      <c r="L845" s="4" t="s">
        <v>4933</v>
      </c>
      <c r="M845" s="4" t="s">
        <v>5035</v>
      </c>
      <c r="N845" t="s">
        <v>3567</v>
      </c>
      <c r="O845" t="s">
        <v>3568</v>
      </c>
      <c r="P845" t="s">
        <v>23</v>
      </c>
      <c r="Q845" t="s">
        <v>24</v>
      </c>
      <c r="R845" t="s">
        <v>25</v>
      </c>
      <c r="S845" t="s">
        <v>26</v>
      </c>
      <c r="T845" s="6">
        <v>46307</v>
      </c>
      <c r="U845">
        <v>48</v>
      </c>
      <c r="V845">
        <v>48</v>
      </c>
      <c r="W845">
        <v>48</v>
      </c>
      <c r="X845">
        <v>48</v>
      </c>
      <c r="Y845">
        <f t="shared" si="144"/>
        <v>0</v>
      </c>
      <c r="Z845">
        <f t="shared" si="145"/>
        <v>0</v>
      </c>
      <c r="AC845" s="1">
        <v>0</v>
      </c>
      <c r="AF845">
        <f t="shared" si="150"/>
        <v>48</v>
      </c>
      <c r="AG845" s="41">
        <v>12</v>
      </c>
      <c r="AH845">
        <f t="shared" si="146"/>
        <v>48</v>
      </c>
      <c r="AI845">
        <f t="shared" si="147"/>
        <v>0</v>
      </c>
      <c r="AK845">
        <f t="shared" si="148"/>
        <v>4</v>
      </c>
      <c r="AL845">
        <v>12.87</v>
      </c>
      <c r="AM845" t="s">
        <v>27</v>
      </c>
      <c r="AN845">
        <v>12.87</v>
      </c>
      <c r="AO845" t="b">
        <f t="shared" si="149"/>
        <v>1</v>
      </c>
      <c r="AR845" t="s">
        <v>5061</v>
      </c>
      <c r="AS845" s="21">
        <v>46276</v>
      </c>
      <c r="AT845" t="s">
        <v>5062</v>
      </c>
      <c r="AU845" t="s">
        <v>5078</v>
      </c>
      <c r="AV845" t="s">
        <v>5062</v>
      </c>
      <c r="AW845" t="s">
        <v>5086</v>
      </c>
    </row>
    <row r="846" spans="1:49" hidden="1" x14ac:dyDescent="0.35">
      <c r="A846" t="s">
        <v>2796</v>
      </c>
      <c r="B846" t="s">
        <v>872</v>
      </c>
      <c r="C846" t="s">
        <v>4818</v>
      </c>
      <c r="D846" t="s">
        <v>18</v>
      </c>
      <c r="E846" t="s">
        <v>3569</v>
      </c>
      <c r="F846" t="s">
        <v>3570</v>
      </c>
      <c r="G846" t="s">
        <v>21</v>
      </c>
      <c r="H846" t="s">
        <v>4888</v>
      </c>
      <c r="I846" t="s">
        <v>5010</v>
      </c>
      <c r="J846" s="4" t="s">
        <v>5011</v>
      </c>
      <c r="K846" s="4" t="s">
        <v>4904</v>
      </c>
      <c r="L846" s="4" t="s">
        <v>4997</v>
      </c>
      <c r="M846" s="4" t="s">
        <v>5035</v>
      </c>
      <c r="N846" t="s">
        <v>3571</v>
      </c>
      <c r="O846" t="s">
        <v>3572</v>
      </c>
      <c r="P846" t="s">
        <v>23</v>
      </c>
      <c r="Q846" t="s">
        <v>24</v>
      </c>
      <c r="R846" t="s">
        <v>25</v>
      </c>
      <c r="S846" t="s">
        <v>26</v>
      </c>
      <c r="T846" s="6">
        <v>46307</v>
      </c>
      <c r="U846">
        <v>168</v>
      </c>
      <c r="V846">
        <v>168</v>
      </c>
      <c r="W846">
        <v>192</v>
      </c>
      <c r="X846">
        <v>192</v>
      </c>
      <c r="Y846">
        <f t="shared" si="144"/>
        <v>0</v>
      </c>
      <c r="Z846">
        <f t="shared" si="145"/>
        <v>-24</v>
      </c>
      <c r="AC846" s="1">
        <v>0</v>
      </c>
      <c r="AF846">
        <f t="shared" si="150"/>
        <v>168</v>
      </c>
      <c r="AG846" s="41">
        <v>24</v>
      </c>
      <c r="AH846">
        <f t="shared" si="146"/>
        <v>168</v>
      </c>
      <c r="AI846">
        <f t="shared" si="147"/>
        <v>0</v>
      </c>
      <c r="AK846">
        <f t="shared" si="148"/>
        <v>7</v>
      </c>
      <c r="AL846">
        <v>5.03</v>
      </c>
      <c r="AM846" t="s">
        <v>27</v>
      </c>
      <c r="AN846">
        <v>5.03</v>
      </c>
      <c r="AO846" t="b">
        <f t="shared" si="149"/>
        <v>1</v>
      </c>
      <c r="AR846" t="s">
        <v>5061</v>
      </c>
      <c r="AS846" s="21">
        <v>46276</v>
      </c>
      <c r="AT846" t="s">
        <v>5062</v>
      </c>
      <c r="AU846" t="s">
        <v>5081</v>
      </c>
      <c r="AV846" t="s">
        <v>5062</v>
      </c>
      <c r="AW846" t="s">
        <v>5086</v>
      </c>
    </row>
    <row r="847" spans="1:49" hidden="1" x14ac:dyDescent="0.35">
      <c r="A847" t="s">
        <v>2796</v>
      </c>
      <c r="B847" t="s">
        <v>872</v>
      </c>
      <c r="C847" t="s">
        <v>4818</v>
      </c>
      <c r="D847" t="s">
        <v>18</v>
      </c>
      <c r="E847" t="s">
        <v>3573</v>
      </c>
      <c r="F847" t="s">
        <v>3574</v>
      </c>
      <c r="G847" t="s">
        <v>21</v>
      </c>
      <c r="H847" t="s">
        <v>4888</v>
      </c>
      <c r="I847" t="s">
        <v>5008</v>
      </c>
      <c r="J847" s="4" t="s">
        <v>5009</v>
      </c>
      <c r="K847" s="4" t="s">
        <v>4904</v>
      </c>
      <c r="L847" s="4">
        <v>30</v>
      </c>
      <c r="M847" s="4" t="s">
        <v>5035</v>
      </c>
      <c r="N847" t="s">
        <v>3575</v>
      </c>
      <c r="O847" t="s">
        <v>3576</v>
      </c>
      <c r="P847" t="s">
        <v>23</v>
      </c>
      <c r="Q847" t="s">
        <v>24</v>
      </c>
      <c r="R847" t="s">
        <v>25</v>
      </c>
      <c r="S847" t="s">
        <v>26</v>
      </c>
      <c r="T847" s="6">
        <v>46307</v>
      </c>
      <c r="U847">
        <v>312</v>
      </c>
      <c r="V847">
        <v>312</v>
      </c>
      <c r="W847">
        <v>288</v>
      </c>
      <c r="X847">
        <v>288</v>
      </c>
      <c r="Y847">
        <f t="shared" si="144"/>
        <v>0</v>
      </c>
      <c r="Z847">
        <f t="shared" si="145"/>
        <v>24</v>
      </c>
      <c r="AA847">
        <f>Z847</f>
        <v>24</v>
      </c>
      <c r="AC847" s="1">
        <v>0</v>
      </c>
      <c r="AF847">
        <f>X847</f>
        <v>288</v>
      </c>
      <c r="AG847" s="41">
        <v>24</v>
      </c>
      <c r="AH847">
        <f t="shared" si="146"/>
        <v>288</v>
      </c>
      <c r="AI847">
        <f t="shared" si="147"/>
        <v>24</v>
      </c>
      <c r="AK847">
        <f t="shared" si="148"/>
        <v>12</v>
      </c>
      <c r="AL847">
        <v>10.11</v>
      </c>
      <c r="AM847" t="s">
        <v>27</v>
      </c>
      <c r="AN847">
        <v>10.11</v>
      </c>
      <c r="AO847" t="b">
        <f t="shared" si="149"/>
        <v>1</v>
      </c>
      <c r="AR847" t="s">
        <v>5061</v>
      </c>
      <c r="AS847" s="21">
        <v>46276</v>
      </c>
      <c r="AT847" t="s">
        <v>5062</v>
      </c>
      <c r="AU847" t="s">
        <v>5080</v>
      </c>
      <c r="AV847" t="s">
        <v>5062</v>
      </c>
      <c r="AW847" t="s">
        <v>5086</v>
      </c>
    </row>
    <row r="848" spans="1:49" hidden="1" x14ac:dyDescent="0.35">
      <c r="A848" t="s">
        <v>2796</v>
      </c>
      <c r="B848" t="s">
        <v>872</v>
      </c>
      <c r="C848" t="s">
        <v>4818</v>
      </c>
      <c r="D848" t="s">
        <v>18</v>
      </c>
      <c r="E848" t="s">
        <v>3577</v>
      </c>
      <c r="F848" t="s">
        <v>3578</v>
      </c>
      <c r="G848" t="s">
        <v>21</v>
      </c>
      <c r="H848" t="s">
        <v>4888</v>
      </c>
      <c r="I848" t="s">
        <v>5003</v>
      </c>
      <c r="J848" s="4" t="s">
        <v>5004</v>
      </c>
      <c r="K848" s="4" t="s">
        <v>4837</v>
      </c>
      <c r="L848" s="4" t="s">
        <v>4928</v>
      </c>
      <c r="M848" s="4" t="s">
        <v>5035</v>
      </c>
      <c r="N848" t="s">
        <v>3579</v>
      </c>
      <c r="O848" t="s">
        <v>3580</v>
      </c>
      <c r="P848" t="s">
        <v>23</v>
      </c>
      <c r="Q848" t="s">
        <v>24</v>
      </c>
      <c r="R848" t="s">
        <v>25</v>
      </c>
      <c r="S848" t="s">
        <v>26</v>
      </c>
      <c r="T848" s="6">
        <v>46307</v>
      </c>
      <c r="U848">
        <v>24</v>
      </c>
      <c r="V848">
        <v>24</v>
      </c>
      <c r="W848">
        <v>24</v>
      </c>
      <c r="X848">
        <v>24</v>
      </c>
      <c r="Y848">
        <f t="shared" si="144"/>
        <v>0</v>
      </c>
      <c r="Z848">
        <f t="shared" si="145"/>
        <v>0</v>
      </c>
      <c r="AC848" s="1">
        <v>0</v>
      </c>
      <c r="AF848">
        <f>V848</f>
        <v>24</v>
      </c>
      <c r="AG848" s="41">
        <v>12</v>
      </c>
      <c r="AH848">
        <f t="shared" si="146"/>
        <v>24</v>
      </c>
      <c r="AI848">
        <f t="shared" si="147"/>
        <v>0</v>
      </c>
      <c r="AK848">
        <f t="shared" si="148"/>
        <v>2</v>
      </c>
      <c r="AL848">
        <v>12.87</v>
      </c>
      <c r="AM848" t="s">
        <v>27</v>
      </c>
      <c r="AN848">
        <v>12.87</v>
      </c>
      <c r="AO848" t="b">
        <f t="shared" si="149"/>
        <v>1</v>
      </c>
      <c r="AR848" t="s">
        <v>5061</v>
      </c>
      <c r="AS848" s="21">
        <v>46276</v>
      </c>
      <c r="AT848" t="s">
        <v>5062</v>
      </c>
      <c r="AU848" t="s">
        <v>5078</v>
      </c>
      <c r="AV848" t="s">
        <v>5062</v>
      </c>
      <c r="AW848" t="s">
        <v>5086</v>
      </c>
    </row>
    <row r="849" spans="1:49" hidden="1" x14ac:dyDescent="0.35">
      <c r="A849" t="s">
        <v>2796</v>
      </c>
      <c r="B849" t="s">
        <v>872</v>
      </c>
      <c r="C849" t="s">
        <v>4818</v>
      </c>
      <c r="D849" t="s">
        <v>18</v>
      </c>
      <c r="E849" t="s">
        <v>3581</v>
      </c>
      <c r="F849" t="s">
        <v>3582</v>
      </c>
      <c r="G849" t="s">
        <v>21</v>
      </c>
      <c r="H849" t="s">
        <v>4888</v>
      </c>
      <c r="I849" t="s">
        <v>5010</v>
      </c>
      <c r="J849" s="4" t="s">
        <v>5011</v>
      </c>
      <c r="K849" s="4" t="s">
        <v>4984</v>
      </c>
      <c r="L849" s="4" t="s">
        <v>4983</v>
      </c>
      <c r="M849" s="4" t="s">
        <v>5035</v>
      </c>
      <c r="N849" t="s">
        <v>3583</v>
      </c>
      <c r="O849" t="s">
        <v>3584</v>
      </c>
      <c r="P849" t="s">
        <v>23</v>
      </c>
      <c r="Q849" t="s">
        <v>24</v>
      </c>
      <c r="R849" t="s">
        <v>25</v>
      </c>
      <c r="S849" t="s">
        <v>26</v>
      </c>
      <c r="T849" s="6">
        <v>46307</v>
      </c>
      <c r="U849">
        <v>360</v>
      </c>
      <c r="V849">
        <v>360</v>
      </c>
      <c r="W849">
        <v>384</v>
      </c>
      <c r="X849">
        <v>384</v>
      </c>
      <c r="Y849">
        <f t="shared" si="144"/>
        <v>0</v>
      </c>
      <c r="Z849">
        <f t="shared" si="145"/>
        <v>-24</v>
      </c>
      <c r="AC849" s="1"/>
      <c r="AF849">
        <f>V849</f>
        <v>360</v>
      </c>
      <c r="AG849" s="41">
        <v>24</v>
      </c>
      <c r="AH849">
        <f t="shared" si="146"/>
        <v>360</v>
      </c>
      <c r="AI849">
        <f t="shared" si="147"/>
        <v>0</v>
      </c>
      <c r="AK849">
        <f t="shared" si="148"/>
        <v>15</v>
      </c>
      <c r="AL849">
        <v>4.92</v>
      </c>
      <c r="AM849" t="s">
        <v>27</v>
      </c>
      <c r="AN849">
        <v>4.92</v>
      </c>
      <c r="AO849" t="b">
        <f t="shared" si="149"/>
        <v>1</v>
      </c>
      <c r="AR849" t="s">
        <v>5061</v>
      </c>
      <c r="AS849" s="21">
        <v>46276</v>
      </c>
      <c r="AT849" t="s">
        <v>5062</v>
      </c>
      <c r="AU849" t="s">
        <v>5081</v>
      </c>
      <c r="AV849" t="s">
        <v>5062</v>
      </c>
      <c r="AW849" t="s">
        <v>5086</v>
      </c>
    </row>
    <row r="850" spans="1:49" hidden="1" x14ac:dyDescent="0.35">
      <c r="A850" t="s">
        <v>2796</v>
      </c>
      <c r="B850" t="s">
        <v>872</v>
      </c>
      <c r="C850" t="s">
        <v>4818</v>
      </c>
      <c r="D850" t="s">
        <v>18</v>
      </c>
      <c r="E850" t="s">
        <v>3585</v>
      </c>
      <c r="F850" t="s">
        <v>3586</v>
      </c>
      <c r="G850" t="s">
        <v>21</v>
      </c>
      <c r="H850" t="s">
        <v>4888</v>
      </c>
      <c r="I850" t="s">
        <v>5003</v>
      </c>
      <c r="J850" s="4" t="s">
        <v>5004</v>
      </c>
      <c r="K850" s="4" t="s">
        <v>5015</v>
      </c>
      <c r="L850" s="4" t="s">
        <v>4922</v>
      </c>
      <c r="M850" s="4" t="s">
        <v>5035</v>
      </c>
      <c r="N850" t="s">
        <v>3587</v>
      </c>
      <c r="O850" t="s">
        <v>3588</v>
      </c>
      <c r="P850" t="s">
        <v>23</v>
      </c>
      <c r="Q850" t="s">
        <v>24</v>
      </c>
      <c r="R850" t="s">
        <v>25</v>
      </c>
      <c r="S850" t="s">
        <v>26</v>
      </c>
      <c r="T850" s="6">
        <v>46307</v>
      </c>
      <c r="U850">
        <v>48</v>
      </c>
      <c r="V850">
        <v>48</v>
      </c>
      <c r="W850">
        <v>36</v>
      </c>
      <c r="X850">
        <v>36</v>
      </c>
      <c r="Y850">
        <f t="shared" si="144"/>
        <v>0</v>
      </c>
      <c r="Z850">
        <f t="shared" si="145"/>
        <v>12</v>
      </c>
      <c r="AA850">
        <f>Z850</f>
        <v>12</v>
      </c>
      <c r="AC850" s="1">
        <v>0</v>
      </c>
      <c r="AF850">
        <f>X850</f>
        <v>36</v>
      </c>
      <c r="AG850" s="41">
        <v>12</v>
      </c>
      <c r="AH850">
        <f t="shared" si="146"/>
        <v>36</v>
      </c>
      <c r="AI850">
        <f t="shared" si="147"/>
        <v>12</v>
      </c>
      <c r="AK850">
        <f t="shared" si="148"/>
        <v>3</v>
      </c>
      <c r="AL850">
        <v>13.01</v>
      </c>
      <c r="AM850" t="s">
        <v>27</v>
      </c>
      <c r="AN850">
        <v>13.01</v>
      </c>
      <c r="AO850" t="b">
        <f t="shared" si="149"/>
        <v>1</v>
      </c>
      <c r="AR850" t="s">
        <v>5061</v>
      </c>
      <c r="AS850" s="21">
        <v>46276</v>
      </c>
      <c r="AT850" t="s">
        <v>5062</v>
      </c>
      <c r="AU850" t="s">
        <v>5078</v>
      </c>
      <c r="AV850" t="s">
        <v>5062</v>
      </c>
      <c r="AW850" t="s">
        <v>5086</v>
      </c>
    </row>
    <row r="851" spans="1:49" hidden="1" x14ac:dyDescent="0.35">
      <c r="A851" t="s">
        <v>2796</v>
      </c>
      <c r="B851" t="s">
        <v>872</v>
      </c>
      <c r="C851" t="s">
        <v>4818</v>
      </c>
      <c r="D851" t="s">
        <v>18</v>
      </c>
      <c r="E851" t="s">
        <v>3589</v>
      </c>
      <c r="F851" t="s">
        <v>3590</v>
      </c>
      <c r="G851" t="s">
        <v>21</v>
      </c>
      <c r="H851" t="s">
        <v>4888</v>
      </c>
      <c r="I851" t="s">
        <v>5005</v>
      </c>
      <c r="J851" s="4" t="s">
        <v>5006</v>
      </c>
      <c r="K851" s="4" t="s">
        <v>4899</v>
      </c>
      <c r="L851" s="4">
        <v>29</v>
      </c>
      <c r="M851" s="4" t="s">
        <v>5035</v>
      </c>
      <c r="N851" t="s">
        <v>3591</v>
      </c>
      <c r="O851" t="s">
        <v>3592</v>
      </c>
      <c r="P851" t="s">
        <v>23</v>
      </c>
      <c r="Q851" t="s">
        <v>24</v>
      </c>
      <c r="R851" t="s">
        <v>25</v>
      </c>
      <c r="S851" t="s">
        <v>26</v>
      </c>
      <c r="T851" s="6">
        <v>46307</v>
      </c>
      <c r="U851">
        <v>216</v>
      </c>
      <c r="V851">
        <v>216</v>
      </c>
      <c r="W851">
        <v>240</v>
      </c>
      <c r="X851">
        <v>240</v>
      </c>
      <c r="Y851">
        <f t="shared" si="144"/>
        <v>0</v>
      </c>
      <c r="Z851">
        <f t="shared" si="145"/>
        <v>-24</v>
      </c>
      <c r="AC851" s="1">
        <v>0</v>
      </c>
      <c r="AF851">
        <f>V851</f>
        <v>216</v>
      </c>
      <c r="AG851" s="41">
        <v>24</v>
      </c>
      <c r="AH851">
        <f t="shared" si="146"/>
        <v>216</v>
      </c>
      <c r="AI851">
        <f t="shared" si="147"/>
        <v>0</v>
      </c>
      <c r="AK851">
        <f t="shared" si="148"/>
        <v>9</v>
      </c>
      <c r="AL851">
        <v>10.14</v>
      </c>
      <c r="AM851" t="s">
        <v>27</v>
      </c>
      <c r="AN851">
        <v>10.14</v>
      </c>
      <c r="AO851" t="b">
        <f t="shared" si="149"/>
        <v>1</v>
      </c>
      <c r="AR851" t="s">
        <v>5061</v>
      </c>
      <c r="AS851" s="21">
        <v>46276</v>
      </c>
      <c r="AT851" t="s">
        <v>5062</v>
      </c>
      <c r="AU851" t="s">
        <v>5079</v>
      </c>
      <c r="AV851" t="s">
        <v>5062</v>
      </c>
      <c r="AW851" t="s">
        <v>5086</v>
      </c>
    </row>
    <row r="852" spans="1:49" hidden="1" x14ac:dyDescent="0.35">
      <c r="A852" t="s">
        <v>2796</v>
      </c>
      <c r="B852" t="s">
        <v>872</v>
      </c>
      <c r="C852" t="s">
        <v>4818</v>
      </c>
      <c r="D852" t="s">
        <v>18</v>
      </c>
      <c r="E852" t="s">
        <v>3593</v>
      </c>
      <c r="F852" t="s">
        <v>3594</v>
      </c>
      <c r="G852" t="s">
        <v>21</v>
      </c>
      <c r="H852" t="s">
        <v>4888</v>
      </c>
      <c r="I852" t="s">
        <v>5003</v>
      </c>
      <c r="J852" s="4" t="s">
        <v>5004</v>
      </c>
      <c r="K852" s="4" t="s">
        <v>4904</v>
      </c>
      <c r="L852" s="4" t="s">
        <v>4928</v>
      </c>
      <c r="M852" s="4" t="s">
        <v>5035</v>
      </c>
      <c r="N852" t="s">
        <v>3595</v>
      </c>
      <c r="O852" t="s">
        <v>3596</v>
      </c>
      <c r="P852" t="s">
        <v>23</v>
      </c>
      <c r="Q852" t="s">
        <v>24</v>
      </c>
      <c r="R852" t="s">
        <v>25</v>
      </c>
      <c r="S852" t="s">
        <v>26</v>
      </c>
      <c r="T852" s="6">
        <v>46307</v>
      </c>
      <c r="U852">
        <v>24</v>
      </c>
      <c r="V852">
        <v>24</v>
      </c>
      <c r="W852">
        <v>24</v>
      </c>
      <c r="X852">
        <v>24</v>
      </c>
      <c r="Y852">
        <f t="shared" si="144"/>
        <v>0</v>
      </c>
      <c r="Z852">
        <f t="shared" si="145"/>
        <v>0</v>
      </c>
      <c r="AC852" s="1">
        <v>0</v>
      </c>
      <c r="AF852">
        <f>V852</f>
        <v>24</v>
      </c>
      <c r="AG852" s="41">
        <v>12</v>
      </c>
      <c r="AH852">
        <f t="shared" si="146"/>
        <v>24</v>
      </c>
      <c r="AI852">
        <f t="shared" si="147"/>
        <v>0</v>
      </c>
      <c r="AK852">
        <f t="shared" si="148"/>
        <v>2</v>
      </c>
      <c r="AL852">
        <v>12.89</v>
      </c>
      <c r="AM852" t="s">
        <v>27</v>
      </c>
      <c r="AN852">
        <v>12.89</v>
      </c>
      <c r="AO852" t="b">
        <f t="shared" si="149"/>
        <v>1</v>
      </c>
      <c r="AR852" t="s">
        <v>5061</v>
      </c>
      <c r="AS852" s="21">
        <v>46276</v>
      </c>
      <c r="AT852" t="s">
        <v>5062</v>
      </c>
      <c r="AU852" t="s">
        <v>5078</v>
      </c>
      <c r="AV852" t="s">
        <v>5062</v>
      </c>
      <c r="AW852" t="s">
        <v>5086</v>
      </c>
    </row>
    <row r="853" spans="1:49" hidden="1" x14ac:dyDescent="0.35">
      <c r="A853" t="s">
        <v>2796</v>
      </c>
      <c r="B853" t="s">
        <v>872</v>
      </c>
      <c r="C853" t="s">
        <v>4818</v>
      </c>
      <c r="D853" t="s">
        <v>18</v>
      </c>
      <c r="E853" t="s">
        <v>3597</v>
      </c>
      <c r="F853" t="s">
        <v>3598</v>
      </c>
      <c r="G853" t="s">
        <v>21</v>
      </c>
      <c r="H853" t="s">
        <v>4888</v>
      </c>
      <c r="I853" t="s">
        <v>5003</v>
      </c>
      <c r="J853" s="4" t="s">
        <v>5004</v>
      </c>
      <c r="K853" s="4" t="s">
        <v>4904</v>
      </c>
      <c r="L853" s="4" t="s">
        <v>4926</v>
      </c>
      <c r="M853" s="4" t="s">
        <v>5035</v>
      </c>
      <c r="N853" t="s">
        <v>3599</v>
      </c>
      <c r="O853" t="s">
        <v>3600</v>
      </c>
      <c r="P853" t="s">
        <v>23</v>
      </c>
      <c r="Q853" t="s">
        <v>24</v>
      </c>
      <c r="R853" t="s">
        <v>25</v>
      </c>
      <c r="S853" t="s">
        <v>26</v>
      </c>
      <c r="T853" s="6">
        <v>46307</v>
      </c>
      <c r="U853">
        <v>24</v>
      </c>
      <c r="V853">
        <v>24</v>
      </c>
      <c r="W853">
        <v>24</v>
      </c>
      <c r="X853">
        <v>24</v>
      </c>
      <c r="Y853">
        <f t="shared" si="144"/>
        <v>0</v>
      </c>
      <c r="Z853">
        <f t="shared" si="145"/>
        <v>0</v>
      </c>
      <c r="AC853" s="1">
        <v>0</v>
      </c>
      <c r="AF853">
        <f>V853</f>
        <v>24</v>
      </c>
      <c r="AG853" s="41">
        <v>12</v>
      </c>
      <c r="AH853">
        <f t="shared" si="146"/>
        <v>24</v>
      </c>
      <c r="AI853">
        <f t="shared" si="147"/>
        <v>0</v>
      </c>
      <c r="AK853">
        <f t="shared" si="148"/>
        <v>2</v>
      </c>
      <c r="AL853">
        <v>12.89</v>
      </c>
      <c r="AM853" t="s">
        <v>27</v>
      </c>
      <c r="AN853">
        <v>12.89</v>
      </c>
      <c r="AO853" t="b">
        <f t="shared" si="149"/>
        <v>1</v>
      </c>
      <c r="AR853" t="s">
        <v>5061</v>
      </c>
      <c r="AS853" s="21">
        <v>46276</v>
      </c>
      <c r="AT853" t="s">
        <v>5062</v>
      </c>
      <c r="AU853" t="s">
        <v>5078</v>
      </c>
      <c r="AV853" t="s">
        <v>5062</v>
      </c>
      <c r="AW853" t="s">
        <v>5086</v>
      </c>
    </row>
    <row r="854" spans="1:49" hidden="1" x14ac:dyDescent="0.35">
      <c r="A854" t="s">
        <v>2796</v>
      </c>
      <c r="B854" t="s">
        <v>872</v>
      </c>
      <c r="C854" t="s">
        <v>4818</v>
      </c>
      <c r="D854" t="s">
        <v>18</v>
      </c>
      <c r="E854" t="s">
        <v>3601</v>
      </c>
      <c r="F854" t="s">
        <v>3602</v>
      </c>
      <c r="G854" t="s">
        <v>21</v>
      </c>
      <c r="H854" t="s">
        <v>4888</v>
      </c>
      <c r="I854" t="s">
        <v>5003</v>
      </c>
      <c r="J854" s="4" t="s">
        <v>5004</v>
      </c>
      <c r="K854" s="4" t="s">
        <v>4837</v>
      </c>
      <c r="L854" s="4" t="s">
        <v>4925</v>
      </c>
      <c r="M854" s="4" t="s">
        <v>5035</v>
      </c>
      <c r="N854" t="s">
        <v>3603</v>
      </c>
      <c r="O854" t="s">
        <v>3604</v>
      </c>
      <c r="P854" t="s">
        <v>23</v>
      </c>
      <c r="Q854" t="s">
        <v>24</v>
      </c>
      <c r="R854" t="s">
        <v>25</v>
      </c>
      <c r="S854" t="s">
        <v>26</v>
      </c>
      <c r="T854" s="6">
        <v>46307</v>
      </c>
      <c r="U854">
        <v>132</v>
      </c>
      <c r="V854">
        <v>132</v>
      </c>
      <c r="W854">
        <v>144</v>
      </c>
      <c r="X854">
        <v>144</v>
      </c>
      <c r="Y854">
        <f t="shared" si="144"/>
        <v>0</v>
      </c>
      <c r="Z854">
        <f t="shared" si="145"/>
        <v>-12</v>
      </c>
      <c r="AC854" s="1">
        <v>0</v>
      </c>
      <c r="AF854">
        <f>V854</f>
        <v>132</v>
      </c>
      <c r="AG854" s="41">
        <v>12</v>
      </c>
      <c r="AH854">
        <f t="shared" si="146"/>
        <v>132</v>
      </c>
      <c r="AI854">
        <f t="shared" si="147"/>
        <v>0</v>
      </c>
      <c r="AK854">
        <f t="shared" si="148"/>
        <v>11</v>
      </c>
      <c r="AL854">
        <v>12.87</v>
      </c>
      <c r="AM854" t="s">
        <v>27</v>
      </c>
      <c r="AN854">
        <v>12.87</v>
      </c>
      <c r="AO854" t="b">
        <f t="shared" si="149"/>
        <v>1</v>
      </c>
      <c r="AR854" t="s">
        <v>5061</v>
      </c>
      <c r="AS854" s="21">
        <v>46276</v>
      </c>
      <c r="AT854" t="s">
        <v>5062</v>
      </c>
      <c r="AU854" t="s">
        <v>5078</v>
      </c>
      <c r="AV854" t="s">
        <v>5062</v>
      </c>
      <c r="AW854" t="s">
        <v>5086</v>
      </c>
    </row>
    <row r="855" spans="1:49" hidden="1" x14ac:dyDescent="0.35">
      <c r="A855" t="s">
        <v>2796</v>
      </c>
      <c r="B855" t="s">
        <v>872</v>
      </c>
      <c r="C855" t="s">
        <v>4818</v>
      </c>
      <c r="D855" t="s">
        <v>18</v>
      </c>
      <c r="E855" t="s">
        <v>3605</v>
      </c>
      <c r="F855" t="s">
        <v>3606</v>
      </c>
      <c r="G855" t="s">
        <v>21</v>
      </c>
      <c r="H855" t="s">
        <v>4888</v>
      </c>
      <c r="I855" t="s">
        <v>5008</v>
      </c>
      <c r="J855" s="4" t="s">
        <v>5009</v>
      </c>
      <c r="K855" s="4" t="s">
        <v>4904</v>
      </c>
      <c r="L855" s="4">
        <v>40</v>
      </c>
      <c r="M855" s="4" t="s">
        <v>5035</v>
      </c>
      <c r="N855" t="s">
        <v>3607</v>
      </c>
      <c r="O855" t="s">
        <v>3608</v>
      </c>
      <c r="P855" t="s">
        <v>23</v>
      </c>
      <c r="Q855" t="s">
        <v>24</v>
      </c>
      <c r="R855" t="s">
        <v>25</v>
      </c>
      <c r="S855" t="s">
        <v>26</v>
      </c>
      <c r="T855" s="6">
        <v>46307</v>
      </c>
      <c r="U855">
        <v>408</v>
      </c>
      <c r="V855">
        <v>408</v>
      </c>
      <c r="W855">
        <v>432</v>
      </c>
      <c r="X855">
        <v>432</v>
      </c>
      <c r="Y855">
        <f t="shared" si="144"/>
        <v>0</v>
      </c>
      <c r="Z855">
        <f t="shared" si="145"/>
        <v>-24</v>
      </c>
      <c r="AC855" s="1"/>
      <c r="AF855">
        <f>V855</f>
        <v>408</v>
      </c>
      <c r="AG855" s="41">
        <v>24</v>
      </c>
      <c r="AH855">
        <f t="shared" si="146"/>
        <v>408</v>
      </c>
      <c r="AI855">
        <f t="shared" si="147"/>
        <v>0</v>
      </c>
      <c r="AK855">
        <f t="shared" si="148"/>
        <v>17</v>
      </c>
      <c r="AL855">
        <v>10.11</v>
      </c>
      <c r="AM855" t="s">
        <v>27</v>
      </c>
      <c r="AN855">
        <v>10.11</v>
      </c>
      <c r="AO855" t="b">
        <f t="shared" si="149"/>
        <v>1</v>
      </c>
      <c r="AR855" t="s">
        <v>5061</v>
      </c>
      <c r="AS855" s="21">
        <v>46276</v>
      </c>
      <c r="AT855" t="s">
        <v>5062</v>
      </c>
      <c r="AU855" t="s">
        <v>5080</v>
      </c>
      <c r="AV855" t="s">
        <v>5062</v>
      </c>
      <c r="AW855" t="s">
        <v>5086</v>
      </c>
    </row>
    <row r="856" spans="1:49" hidden="1" x14ac:dyDescent="0.35">
      <c r="A856" t="s">
        <v>2796</v>
      </c>
      <c r="B856" t="s">
        <v>872</v>
      </c>
      <c r="C856" t="s">
        <v>4818</v>
      </c>
      <c r="D856" t="s">
        <v>18</v>
      </c>
      <c r="E856" t="s">
        <v>3609</v>
      </c>
      <c r="F856" t="s">
        <v>3610</v>
      </c>
      <c r="G856" t="s">
        <v>21</v>
      </c>
      <c r="H856" t="s">
        <v>4888</v>
      </c>
      <c r="I856" t="s">
        <v>5003</v>
      </c>
      <c r="J856" s="4" t="s">
        <v>5004</v>
      </c>
      <c r="K856" s="4" t="s">
        <v>5015</v>
      </c>
      <c r="L856" s="4" t="s">
        <v>4851</v>
      </c>
      <c r="M856" s="4" t="s">
        <v>5035</v>
      </c>
      <c r="N856" t="s">
        <v>3611</v>
      </c>
      <c r="O856" t="s">
        <v>3612</v>
      </c>
      <c r="P856" t="s">
        <v>23</v>
      </c>
      <c r="Q856" t="s">
        <v>24</v>
      </c>
      <c r="R856" t="s">
        <v>25</v>
      </c>
      <c r="S856" t="s">
        <v>26</v>
      </c>
      <c r="T856" s="6">
        <v>46307</v>
      </c>
      <c r="U856">
        <v>96</v>
      </c>
      <c r="V856">
        <v>96</v>
      </c>
      <c r="W856">
        <v>84</v>
      </c>
      <c r="X856">
        <v>84</v>
      </c>
      <c r="Y856">
        <f t="shared" si="144"/>
        <v>0</v>
      </c>
      <c r="Z856">
        <f t="shared" si="145"/>
        <v>12</v>
      </c>
      <c r="AA856">
        <f>Z856</f>
        <v>12</v>
      </c>
      <c r="AC856" s="1">
        <v>0</v>
      </c>
      <c r="AF856">
        <f>X856</f>
        <v>84</v>
      </c>
      <c r="AG856" s="41">
        <v>12</v>
      </c>
      <c r="AH856">
        <f t="shared" si="146"/>
        <v>84</v>
      </c>
      <c r="AI856">
        <f t="shared" si="147"/>
        <v>12</v>
      </c>
      <c r="AK856">
        <f t="shared" si="148"/>
        <v>7</v>
      </c>
      <c r="AL856">
        <v>13.01</v>
      </c>
      <c r="AM856" t="s">
        <v>27</v>
      </c>
      <c r="AN856">
        <v>13.01</v>
      </c>
      <c r="AO856" t="b">
        <f t="shared" si="149"/>
        <v>1</v>
      </c>
      <c r="AR856" t="s">
        <v>5061</v>
      </c>
      <c r="AS856" s="21">
        <v>46276</v>
      </c>
      <c r="AT856" t="s">
        <v>5062</v>
      </c>
      <c r="AU856" t="s">
        <v>5078</v>
      </c>
      <c r="AV856" t="s">
        <v>5062</v>
      </c>
      <c r="AW856" t="s">
        <v>5086</v>
      </c>
    </row>
    <row r="857" spans="1:49" hidden="1" x14ac:dyDescent="0.35">
      <c r="A857" t="s">
        <v>2796</v>
      </c>
      <c r="B857" t="s">
        <v>872</v>
      </c>
      <c r="C857" t="s">
        <v>4818</v>
      </c>
      <c r="D857" t="s">
        <v>18</v>
      </c>
      <c r="E857" t="s">
        <v>3613</v>
      </c>
      <c r="F857" t="s">
        <v>3614</v>
      </c>
      <c r="G857" t="s">
        <v>21</v>
      </c>
      <c r="H857" t="s">
        <v>4888</v>
      </c>
      <c r="I857" t="s">
        <v>5005</v>
      </c>
      <c r="J857" s="4" t="s">
        <v>5006</v>
      </c>
      <c r="K857" s="4" t="s">
        <v>4899</v>
      </c>
      <c r="L857" s="4">
        <v>30</v>
      </c>
      <c r="M857" s="4" t="s">
        <v>5035</v>
      </c>
      <c r="N857" t="s">
        <v>3615</v>
      </c>
      <c r="O857" t="s">
        <v>3616</v>
      </c>
      <c r="P857" t="s">
        <v>23</v>
      </c>
      <c r="Q857" t="s">
        <v>24</v>
      </c>
      <c r="R857" t="s">
        <v>25</v>
      </c>
      <c r="S857" t="s">
        <v>26</v>
      </c>
      <c r="T857" s="6">
        <v>46307</v>
      </c>
      <c r="U857">
        <v>240</v>
      </c>
      <c r="V857">
        <v>240</v>
      </c>
      <c r="W857">
        <v>264</v>
      </c>
      <c r="X857">
        <v>264</v>
      </c>
      <c r="Y857">
        <f t="shared" si="144"/>
        <v>0</v>
      </c>
      <c r="Z857">
        <f t="shared" si="145"/>
        <v>-24</v>
      </c>
      <c r="AC857" s="1">
        <v>0</v>
      </c>
      <c r="AF857">
        <f>V857</f>
        <v>240</v>
      </c>
      <c r="AG857" s="41">
        <v>24</v>
      </c>
      <c r="AH857">
        <f t="shared" si="146"/>
        <v>240</v>
      </c>
      <c r="AI857">
        <f t="shared" si="147"/>
        <v>0</v>
      </c>
      <c r="AK857">
        <f t="shared" si="148"/>
        <v>10</v>
      </c>
      <c r="AL857">
        <v>10.14</v>
      </c>
      <c r="AM857" t="s">
        <v>27</v>
      </c>
      <c r="AN857">
        <v>10.14</v>
      </c>
      <c r="AO857" t="b">
        <f t="shared" si="149"/>
        <v>1</v>
      </c>
      <c r="AR857" t="s">
        <v>5061</v>
      </c>
      <c r="AS857" s="21">
        <v>46276</v>
      </c>
      <c r="AT857" t="s">
        <v>5062</v>
      </c>
      <c r="AU857" t="s">
        <v>5079</v>
      </c>
      <c r="AV857" t="s">
        <v>5062</v>
      </c>
      <c r="AW857" t="s">
        <v>5086</v>
      </c>
    </row>
    <row r="858" spans="1:49" hidden="1" x14ac:dyDescent="0.35">
      <c r="A858" t="s">
        <v>2796</v>
      </c>
      <c r="B858" t="s">
        <v>872</v>
      </c>
      <c r="C858" t="s">
        <v>4818</v>
      </c>
      <c r="D858" t="s">
        <v>18</v>
      </c>
      <c r="E858" t="s">
        <v>3617</v>
      </c>
      <c r="F858" t="s">
        <v>3618</v>
      </c>
      <c r="G858" t="s">
        <v>21</v>
      </c>
      <c r="H858" t="s">
        <v>4888</v>
      </c>
      <c r="I858" t="s">
        <v>5003</v>
      </c>
      <c r="J858" s="4" t="s">
        <v>5004</v>
      </c>
      <c r="K858" s="4" t="s">
        <v>4837</v>
      </c>
      <c r="L858" s="4" t="s">
        <v>4897</v>
      </c>
      <c r="M858" s="4" t="s">
        <v>5035</v>
      </c>
      <c r="N858" t="s">
        <v>3619</v>
      </c>
      <c r="O858" t="s">
        <v>3620</v>
      </c>
      <c r="P858" t="s">
        <v>23</v>
      </c>
      <c r="Q858" t="s">
        <v>24</v>
      </c>
      <c r="R858" t="s">
        <v>25</v>
      </c>
      <c r="S858" t="s">
        <v>26</v>
      </c>
      <c r="T858" s="6">
        <v>46307</v>
      </c>
      <c r="U858">
        <v>12</v>
      </c>
      <c r="V858">
        <v>12</v>
      </c>
      <c r="W858">
        <v>12</v>
      </c>
      <c r="X858">
        <v>12</v>
      </c>
      <c r="Y858">
        <f t="shared" si="144"/>
        <v>0</v>
      </c>
      <c r="Z858">
        <f t="shared" si="145"/>
        <v>0</v>
      </c>
      <c r="AC858" s="1">
        <v>0</v>
      </c>
      <c r="AF858">
        <f>V858</f>
        <v>12</v>
      </c>
      <c r="AG858" s="41">
        <v>12</v>
      </c>
      <c r="AH858">
        <f t="shared" si="146"/>
        <v>12</v>
      </c>
      <c r="AI858">
        <f t="shared" si="147"/>
        <v>0</v>
      </c>
      <c r="AK858">
        <f t="shared" si="148"/>
        <v>1</v>
      </c>
      <c r="AL858">
        <v>12.87</v>
      </c>
      <c r="AM858" t="s">
        <v>27</v>
      </c>
      <c r="AN858">
        <v>12.87</v>
      </c>
      <c r="AO858" t="b">
        <f t="shared" si="149"/>
        <v>1</v>
      </c>
      <c r="AR858" t="s">
        <v>5061</v>
      </c>
      <c r="AS858" s="21">
        <v>46276</v>
      </c>
      <c r="AT858" t="s">
        <v>5062</v>
      </c>
      <c r="AU858" t="s">
        <v>5078</v>
      </c>
      <c r="AV858" t="s">
        <v>5062</v>
      </c>
      <c r="AW858" t="s">
        <v>5086</v>
      </c>
    </row>
    <row r="859" spans="1:49" hidden="1" x14ac:dyDescent="0.35">
      <c r="A859" t="s">
        <v>2796</v>
      </c>
      <c r="B859" t="s">
        <v>872</v>
      </c>
      <c r="C859" t="s">
        <v>4818</v>
      </c>
      <c r="D859" t="s">
        <v>18</v>
      </c>
      <c r="E859" t="s">
        <v>3621</v>
      </c>
      <c r="F859" t="s">
        <v>3622</v>
      </c>
      <c r="G859" t="s">
        <v>21</v>
      </c>
      <c r="H859" t="s">
        <v>4888</v>
      </c>
      <c r="I859" t="s">
        <v>5008</v>
      </c>
      <c r="J859" s="4" t="s">
        <v>5009</v>
      </c>
      <c r="K859" s="4" t="s">
        <v>5017</v>
      </c>
      <c r="L859" s="4">
        <v>28</v>
      </c>
      <c r="M859" s="4" t="s">
        <v>5035</v>
      </c>
      <c r="N859" t="s">
        <v>3623</v>
      </c>
      <c r="O859" t="s">
        <v>3624</v>
      </c>
      <c r="P859" t="s">
        <v>23</v>
      </c>
      <c r="Q859" t="s">
        <v>24</v>
      </c>
      <c r="R859" t="s">
        <v>25</v>
      </c>
      <c r="S859" t="s">
        <v>26</v>
      </c>
      <c r="T859" s="6">
        <v>46307</v>
      </c>
      <c r="U859">
        <v>144</v>
      </c>
      <c r="V859">
        <v>144</v>
      </c>
      <c r="W859">
        <v>120</v>
      </c>
      <c r="X859">
        <v>120</v>
      </c>
      <c r="Y859">
        <f t="shared" si="144"/>
        <v>0</v>
      </c>
      <c r="Z859">
        <f t="shared" si="145"/>
        <v>24</v>
      </c>
      <c r="AA859">
        <f>Z859</f>
        <v>24</v>
      </c>
      <c r="AC859" s="1">
        <v>0</v>
      </c>
      <c r="AF859">
        <f>X859</f>
        <v>120</v>
      </c>
      <c r="AG859" s="41">
        <v>24</v>
      </c>
      <c r="AH859">
        <f t="shared" si="146"/>
        <v>120</v>
      </c>
      <c r="AI859">
        <f t="shared" si="147"/>
        <v>24</v>
      </c>
      <c r="AK859">
        <f t="shared" si="148"/>
        <v>5</v>
      </c>
      <c r="AL859">
        <v>10.01</v>
      </c>
      <c r="AM859" t="s">
        <v>27</v>
      </c>
      <c r="AN859">
        <v>10.01</v>
      </c>
      <c r="AO859" t="b">
        <f t="shared" si="149"/>
        <v>1</v>
      </c>
      <c r="AR859" t="s">
        <v>5061</v>
      </c>
      <c r="AS859" s="21">
        <v>46276</v>
      </c>
      <c r="AT859" t="s">
        <v>5062</v>
      </c>
      <c r="AU859" t="s">
        <v>5080</v>
      </c>
      <c r="AV859" t="s">
        <v>5062</v>
      </c>
      <c r="AW859" t="s">
        <v>5086</v>
      </c>
    </row>
    <row r="860" spans="1:49" hidden="1" x14ac:dyDescent="0.35">
      <c r="A860" t="s">
        <v>2796</v>
      </c>
      <c r="B860" t="s">
        <v>872</v>
      </c>
      <c r="C860" t="s">
        <v>4818</v>
      </c>
      <c r="D860" t="s">
        <v>18</v>
      </c>
      <c r="E860" t="s">
        <v>3625</v>
      </c>
      <c r="F860" t="s">
        <v>3626</v>
      </c>
      <c r="G860" t="s">
        <v>21</v>
      </c>
      <c r="H860" t="s">
        <v>4888</v>
      </c>
      <c r="I860" t="s">
        <v>5022</v>
      </c>
      <c r="J860" s="4" t="s">
        <v>5023</v>
      </c>
      <c r="K860" s="4" t="s">
        <v>5024</v>
      </c>
      <c r="L860" s="4">
        <v>2</v>
      </c>
      <c r="M860" s="4" t="s">
        <v>5035</v>
      </c>
      <c r="N860" t="s">
        <v>3627</v>
      </c>
      <c r="O860" t="s">
        <v>3628</v>
      </c>
      <c r="P860" t="s">
        <v>23</v>
      </c>
      <c r="Q860" t="s">
        <v>24</v>
      </c>
      <c r="R860" t="s">
        <v>25</v>
      </c>
      <c r="S860" t="s">
        <v>26</v>
      </c>
      <c r="T860" s="6">
        <v>46307</v>
      </c>
      <c r="U860">
        <v>480</v>
      </c>
      <c r="V860">
        <v>480</v>
      </c>
      <c r="W860">
        <v>504</v>
      </c>
      <c r="X860">
        <v>504</v>
      </c>
      <c r="Y860">
        <f t="shared" si="144"/>
        <v>0</v>
      </c>
      <c r="Z860">
        <f t="shared" si="145"/>
        <v>-24</v>
      </c>
      <c r="AC860" s="1">
        <v>0</v>
      </c>
      <c r="AF860">
        <f>V860</f>
        <v>480</v>
      </c>
      <c r="AG860" s="41">
        <v>24</v>
      </c>
      <c r="AH860">
        <f t="shared" si="146"/>
        <v>480</v>
      </c>
      <c r="AI860">
        <f t="shared" si="147"/>
        <v>0</v>
      </c>
      <c r="AK860">
        <f t="shared" si="148"/>
        <v>20</v>
      </c>
      <c r="AL860">
        <v>6.99</v>
      </c>
      <c r="AM860" t="s">
        <v>27</v>
      </c>
      <c r="AN860">
        <v>8.68</v>
      </c>
      <c r="AO860" t="b">
        <f t="shared" si="149"/>
        <v>0</v>
      </c>
      <c r="AR860" t="s">
        <v>5061</v>
      </c>
      <c r="AS860" s="21">
        <v>46276</v>
      </c>
      <c r="AT860" t="s">
        <v>5062</v>
      </c>
      <c r="AU860" t="s">
        <v>5083</v>
      </c>
      <c r="AV860" t="s">
        <v>5062</v>
      </c>
      <c r="AW860" t="s">
        <v>5086</v>
      </c>
    </row>
    <row r="861" spans="1:49" hidden="1" x14ac:dyDescent="0.35">
      <c r="A861" t="s">
        <v>2796</v>
      </c>
      <c r="B861" t="s">
        <v>872</v>
      </c>
      <c r="C861" t="s">
        <v>4818</v>
      </c>
      <c r="D861" t="s">
        <v>18</v>
      </c>
      <c r="E861" t="s">
        <v>3629</v>
      </c>
      <c r="F861" t="s">
        <v>3630</v>
      </c>
      <c r="G861" t="s">
        <v>21</v>
      </c>
      <c r="H861" t="s">
        <v>4888</v>
      </c>
      <c r="I861" t="s">
        <v>5003</v>
      </c>
      <c r="J861" s="4" t="s">
        <v>5004</v>
      </c>
      <c r="K861" s="4" t="s">
        <v>4837</v>
      </c>
      <c r="L861" s="4" t="s">
        <v>4879</v>
      </c>
      <c r="M861" s="4" t="s">
        <v>5035</v>
      </c>
      <c r="N861" t="s">
        <v>3631</v>
      </c>
      <c r="O861" t="s">
        <v>3632</v>
      </c>
      <c r="P861" t="s">
        <v>23</v>
      </c>
      <c r="Q861" t="s">
        <v>24</v>
      </c>
      <c r="R861" t="s">
        <v>25</v>
      </c>
      <c r="S861" t="s">
        <v>26</v>
      </c>
      <c r="T861" s="6">
        <v>46307</v>
      </c>
      <c r="U861">
        <v>156</v>
      </c>
      <c r="V861">
        <v>156</v>
      </c>
      <c r="W861">
        <v>168</v>
      </c>
      <c r="X861">
        <v>168</v>
      </c>
      <c r="Y861">
        <f t="shared" si="144"/>
        <v>0</v>
      </c>
      <c r="Z861">
        <f t="shared" si="145"/>
        <v>-12</v>
      </c>
      <c r="AC861" s="1">
        <v>0</v>
      </c>
      <c r="AF861">
        <f>V861</f>
        <v>156</v>
      </c>
      <c r="AG861" s="41">
        <v>12</v>
      </c>
      <c r="AH861">
        <f t="shared" si="146"/>
        <v>156</v>
      </c>
      <c r="AI861">
        <f t="shared" si="147"/>
        <v>0</v>
      </c>
      <c r="AK861">
        <f t="shared" si="148"/>
        <v>13</v>
      </c>
      <c r="AL861">
        <v>12.87</v>
      </c>
      <c r="AM861" t="s">
        <v>27</v>
      </c>
      <c r="AN861">
        <v>12.87</v>
      </c>
      <c r="AO861" t="b">
        <f t="shared" si="149"/>
        <v>1</v>
      </c>
      <c r="AR861" t="s">
        <v>5061</v>
      </c>
      <c r="AS861" s="21">
        <v>46276</v>
      </c>
      <c r="AT861" t="s">
        <v>5062</v>
      </c>
      <c r="AU861" t="s">
        <v>5078</v>
      </c>
      <c r="AV861" t="s">
        <v>5062</v>
      </c>
      <c r="AW861" t="s">
        <v>5086</v>
      </c>
    </row>
    <row r="862" spans="1:49" hidden="1" x14ac:dyDescent="0.35">
      <c r="A862" t="s">
        <v>2796</v>
      </c>
      <c r="B862" t="s">
        <v>872</v>
      </c>
      <c r="C862" t="s">
        <v>4818</v>
      </c>
      <c r="D862" t="s">
        <v>18</v>
      </c>
      <c r="E862" t="s">
        <v>3633</v>
      </c>
      <c r="F862" t="s">
        <v>3634</v>
      </c>
      <c r="G862" t="s">
        <v>21</v>
      </c>
      <c r="H862" t="s">
        <v>4888</v>
      </c>
      <c r="I862" t="s">
        <v>5005</v>
      </c>
      <c r="J862" s="4" t="s">
        <v>5006</v>
      </c>
      <c r="K862" s="4" t="s">
        <v>4837</v>
      </c>
      <c r="L862" s="4">
        <v>29</v>
      </c>
      <c r="M862" s="4" t="s">
        <v>5035</v>
      </c>
      <c r="N862" t="s">
        <v>3635</v>
      </c>
      <c r="O862" t="s">
        <v>3636</v>
      </c>
      <c r="P862" t="s">
        <v>23</v>
      </c>
      <c r="Q862" t="s">
        <v>24</v>
      </c>
      <c r="R862" t="s">
        <v>25</v>
      </c>
      <c r="S862" t="s">
        <v>26</v>
      </c>
      <c r="T862" s="6">
        <v>46307</v>
      </c>
      <c r="U862">
        <v>216</v>
      </c>
      <c r="V862">
        <v>216</v>
      </c>
      <c r="W862">
        <v>216</v>
      </c>
      <c r="X862">
        <v>216</v>
      </c>
      <c r="Y862">
        <f t="shared" si="144"/>
        <v>0</v>
      </c>
      <c r="Z862">
        <f t="shared" si="145"/>
        <v>0</v>
      </c>
      <c r="AC862" s="1">
        <v>0</v>
      </c>
      <c r="AF862">
        <f>V862</f>
        <v>216</v>
      </c>
      <c r="AG862" s="41">
        <v>24</v>
      </c>
      <c r="AH862">
        <f t="shared" si="146"/>
        <v>216</v>
      </c>
      <c r="AI862">
        <f t="shared" si="147"/>
        <v>0</v>
      </c>
      <c r="AK862">
        <f t="shared" si="148"/>
        <v>9</v>
      </c>
      <c r="AL862">
        <v>9.58</v>
      </c>
      <c r="AM862" t="s">
        <v>27</v>
      </c>
      <c r="AN862">
        <v>9.58</v>
      </c>
      <c r="AO862" t="b">
        <f t="shared" si="149"/>
        <v>1</v>
      </c>
      <c r="AR862" t="s">
        <v>5061</v>
      </c>
      <c r="AS862" s="21">
        <v>46276</v>
      </c>
      <c r="AT862" t="s">
        <v>5062</v>
      </c>
      <c r="AU862" t="s">
        <v>5079</v>
      </c>
      <c r="AV862" t="s">
        <v>5062</v>
      </c>
      <c r="AW862" t="s">
        <v>5086</v>
      </c>
    </row>
    <row r="863" spans="1:49" hidden="1" x14ac:dyDescent="0.35">
      <c r="A863" t="s">
        <v>2796</v>
      </c>
      <c r="B863" t="s">
        <v>872</v>
      </c>
      <c r="C863" t="s">
        <v>4818</v>
      </c>
      <c r="D863" t="s">
        <v>18</v>
      </c>
      <c r="E863" t="s">
        <v>3637</v>
      </c>
      <c r="F863" t="s">
        <v>3638</v>
      </c>
      <c r="G863" t="s">
        <v>21</v>
      </c>
      <c r="H863" t="s">
        <v>4888</v>
      </c>
      <c r="I863" t="s">
        <v>5003</v>
      </c>
      <c r="J863" s="4" t="s">
        <v>5004</v>
      </c>
      <c r="K863" s="4" t="s">
        <v>5016</v>
      </c>
      <c r="L863" s="4" t="s">
        <v>4933</v>
      </c>
      <c r="M863" s="4" t="s">
        <v>5035</v>
      </c>
      <c r="N863" t="s">
        <v>3639</v>
      </c>
      <c r="O863" t="s">
        <v>3640</v>
      </c>
      <c r="P863" t="s">
        <v>23</v>
      </c>
      <c r="Q863" t="s">
        <v>24</v>
      </c>
      <c r="R863" t="s">
        <v>25</v>
      </c>
      <c r="S863" t="s">
        <v>26</v>
      </c>
      <c r="T863" s="6">
        <v>46307</v>
      </c>
      <c r="U863">
        <v>60</v>
      </c>
      <c r="V863">
        <v>60</v>
      </c>
      <c r="W863">
        <v>72</v>
      </c>
      <c r="X863">
        <v>72</v>
      </c>
      <c r="Y863">
        <f t="shared" si="144"/>
        <v>0</v>
      </c>
      <c r="Z863">
        <f t="shared" si="145"/>
        <v>-12</v>
      </c>
      <c r="AC863" s="1">
        <v>0</v>
      </c>
      <c r="AF863">
        <f>V863</f>
        <v>60</v>
      </c>
      <c r="AG863" s="41">
        <v>12</v>
      </c>
      <c r="AH863">
        <f t="shared" si="146"/>
        <v>60</v>
      </c>
      <c r="AI863">
        <f t="shared" si="147"/>
        <v>0</v>
      </c>
      <c r="AK863">
        <f t="shared" si="148"/>
        <v>5</v>
      </c>
      <c r="AL863">
        <v>13.33</v>
      </c>
      <c r="AM863" t="s">
        <v>27</v>
      </c>
      <c r="AN863">
        <v>13.33</v>
      </c>
      <c r="AO863" t="b">
        <f t="shared" si="149"/>
        <v>1</v>
      </c>
      <c r="AR863" t="s">
        <v>5061</v>
      </c>
      <c r="AS863" s="21">
        <v>46276</v>
      </c>
      <c r="AT863" t="s">
        <v>5062</v>
      </c>
      <c r="AU863" t="s">
        <v>5078</v>
      </c>
      <c r="AV863" t="s">
        <v>5062</v>
      </c>
      <c r="AW863" t="s">
        <v>5086</v>
      </c>
    </row>
    <row r="864" spans="1:49" hidden="1" x14ac:dyDescent="0.35">
      <c r="A864" t="s">
        <v>2796</v>
      </c>
      <c r="B864" t="s">
        <v>872</v>
      </c>
      <c r="C864" t="s">
        <v>4818</v>
      </c>
      <c r="D864" t="s">
        <v>18</v>
      </c>
      <c r="E864" t="s">
        <v>3641</v>
      </c>
      <c r="F864" t="s">
        <v>3642</v>
      </c>
      <c r="G864" t="s">
        <v>21</v>
      </c>
      <c r="H864" t="s">
        <v>4888</v>
      </c>
      <c r="I864" t="s">
        <v>5022</v>
      </c>
      <c r="J864" s="4" t="s">
        <v>5023</v>
      </c>
      <c r="K864" s="4" t="s">
        <v>5024</v>
      </c>
      <c r="L864" s="4">
        <v>20</v>
      </c>
      <c r="M864" s="4" t="s">
        <v>5035</v>
      </c>
      <c r="N864" t="s">
        <v>3643</v>
      </c>
      <c r="O864" t="s">
        <v>3644</v>
      </c>
      <c r="P864" t="s">
        <v>23</v>
      </c>
      <c r="Q864" t="s">
        <v>24</v>
      </c>
      <c r="R864" t="s">
        <v>25</v>
      </c>
      <c r="S864" t="s">
        <v>26</v>
      </c>
      <c r="T864" s="6">
        <v>46307</v>
      </c>
      <c r="U864">
        <v>216</v>
      </c>
      <c r="V864">
        <v>216</v>
      </c>
      <c r="W864">
        <v>192</v>
      </c>
      <c r="X864">
        <v>192</v>
      </c>
      <c r="Y864">
        <f t="shared" si="144"/>
        <v>0</v>
      </c>
      <c r="Z864">
        <f t="shared" si="145"/>
        <v>24</v>
      </c>
      <c r="AA864">
        <f t="shared" ref="AA864:AA865" si="151">Z864</f>
        <v>24</v>
      </c>
      <c r="AC864" s="1">
        <v>0</v>
      </c>
      <c r="AF864">
        <f>X864</f>
        <v>192</v>
      </c>
      <c r="AG864" s="41">
        <v>24</v>
      </c>
      <c r="AH864">
        <f t="shared" si="146"/>
        <v>192</v>
      </c>
      <c r="AI864">
        <f t="shared" si="147"/>
        <v>24</v>
      </c>
      <c r="AK864">
        <f t="shared" si="148"/>
        <v>8</v>
      </c>
      <c r="AL864">
        <v>6.99</v>
      </c>
      <c r="AM864" t="s">
        <v>27</v>
      </c>
      <c r="AN864">
        <v>8.68</v>
      </c>
      <c r="AO864" t="b">
        <f t="shared" si="149"/>
        <v>0</v>
      </c>
      <c r="AR864" t="s">
        <v>5061</v>
      </c>
      <c r="AS864" s="21">
        <v>46276</v>
      </c>
      <c r="AT864" t="s">
        <v>5062</v>
      </c>
      <c r="AU864" t="s">
        <v>5083</v>
      </c>
      <c r="AV864" t="s">
        <v>5062</v>
      </c>
      <c r="AW864" t="s">
        <v>5086</v>
      </c>
    </row>
    <row r="865" spans="1:49" hidden="1" x14ac:dyDescent="0.35">
      <c r="A865" t="s">
        <v>2796</v>
      </c>
      <c r="B865" t="s">
        <v>872</v>
      </c>
      <c r="C865" t="s">
        <v>4818</v>
      </c>
      <c r="D865" t="s">
        <v>18</v>
      </c>
      <c r="E865" t="s">
        <v>3645</v>
      </c>
      <c r="F865" t="s">
        <v>3646</v>
      </c>
      <c r="G865" t="s">
        <v>21</v>
      </c>
      <c r="H865" t="s">
        <v>4888</v>
      </c>
      <c r="I865" t="s">
        <v>5003</v>
      </c>
      <c r="J865" s="4" t="s">
        <v>5004</v>
      </c>
      <c r="K865" s="4" t="s">
        <v>5015</v>
      </c>
      <c r="L865" s="4" t="s">
        <v>4905</v>
      </c>
      <c r="M865" s="4" t="s">
        <v>5035</v>
      </c>
      <c r="N865" t="s">
        <v>3647</v>
      </c>
      <c r="O865" t="s">
        <v>3648</v>
      </c>
      <c r="P865" t="s">
        <v>23</v>
      </c>
      <c r="Q865" t="s">
        <v>24</v>
      </c>
      <c r="R865" t="s">
        <v>25</v>
      </c>
      <c r="S865" t="s">
        <v>26</v>
      </c>
      <c r="T865" s="6">
        <v>46307</v>
      </c>
      <c r="U865">
        <v>84</v>
      </c>
      <c r="V865">
        <v>84</v>
      </c>
      <c r="W865">
        <v>72</v>
      </c>
      <c r="X865">
        <v>72</v>
      </c>
      <c r="Y865">
        <f t="shared" si="144"/>
        <v>0</v>
      </c>
      <c r="Z865">
        <f t="shared" si="145"/>
        <v>12</v>
      </c>
      <c r="AA865">
        <f t="shared" si="151"/>
        <v>12</v>
      </c>
      <c r="AC865" s="1">
        <v>0</v>
      </c>
      <c r="AF865">
        <f>X865</f>
        <v>72</v>
      </c>
      <c r="AG865" s="41">
        <v>12</v>
      </c>
      <c r="AH865">
        <f t="shared" si="146"/>
        <v>72</v>
      </c>
      <c r="AI865">
        <f t="shared" si="147"/>
        <v>12</v>
      </c>
      <c r="AK865">
        <f t="shared" si="148"/>
        <v>6</v>
      </c>
      <c r="AL865">
        <v>13.01</v>
      </c>
      <c r="AM865" t="s">
        <v>27</v>
      </c>
      <c r="AN865">
        <v>13.01</v>
      </c>
      <c r="AO865" t="b">
        <f t="shared" si="149"/>
        <v>1</v>
      </c>
      <c r="AR865" t="s">
        <v>5061</v>
      </c>
      <c r="AS865" s="21">
        <v>46276</v>
      </c>
      <c r="AT865" t="s">
        <v>5062</v>
      </c>
      <c r="AU865" t="s">
        <v>5078</v>
      </c>
      <c r="AV865" t="s">
        <v>5062</v>
      </c>
      <c r="AW865" t="s">
        <v>5086</v>
      </c>
    </row>
    <row r="866" spans="1:49" hidden="1" x14ac:dyDescent="0.35">
      <c r="A866" t="s">
        <v>2796</v>
      </c>
      <c r="B866" t="s">
        <v>872</v>
      </c>
      <c r="C866" t="s">
        <v>4818</v>
      </c>
      <c r="D866" t="s">
        <v>18</v>
      </c>
      <c r="E866" t="s">
        <v>3649</v>
      </c>
      <c r="F866" t="s">
        <v>3650</v>
      </c>
      <c r="G866" t="s">
        <v>21</v>
      </c>
      <c r="H866" t="s">
        <v>4888</v>
      </c>
      <c r="I866" t="s">
        <v>5003</v>
      </c>
      <c r="J866" s="4" t="s">
        <v>5004</v>
      </c>
      <c r="K866" s="4" t="s">
        <v>5015</v>
      </c>
      <c r="L866" s="4" t="s">
        <v>4898</v>
      </c>
      <c r="M866" s="4" t="s">
        <v>5035</v>
      </c>
      <c r="N866" t="s">
        <v>3651</v>
      </c>
      <c r="O866" t="s">
        <v>3652</v>
      </c>
      <c r="P866" t="s">
        <v>23</v>
      </c>
      <c r="Q866" t="s">
        <v>24</v>
      </c>
      <c r="R866" t="s">
        <v>25</v>
      </c>
      <c r="S866" t="s">
        <v>26</v>
      </c>
      <c r="T866" s="6">
        <v>46307</v>
      </c>
      <c r="U866">
        <v>60</v>
      </c>
      <c r="V866">
        <v>60</v>
      </c>
      <c r="W866">
        <v>60</v>
      </c>
      <c r="X866">
        <v>60</v>
      </c>
      <c r="Y866">
        <f t="shared" si="144"/>
        <v>0</v>
      </c>
      <c r="Z866">
        <f t="shared" si="145"/>
        <v>0</v>
      </c>
      <c r="AC866" s="1">
        <v>0</v>
      </c>
      <c r="AF866">
        <f>V866</f>
        <v>60</v>
      </c>
      <c r="AG866" s="41">
        <v>12</v>
      </c>
      <c r="AH866">
        <f t="shared" si="146"/>
        <v>60</v>
      </c>
      <c r="AI866">
        <f t="shared" si="147"/>
        <v>0</v>
      </c>
      <c r="AK866">
        <f t="shared" si="148"/>
        <v>5</v>
      </c>
      <c r="AL866">
        <v>13.01</v>
      </c>
      <c r="AM866" t="s">
        <v>27</v>
      </c>
      <c r="AN866">
        <v>13.01</v>
      </c>
      <c r="AO866" t="b">
        <f t="shared" si="149"/>
        <v>1</v>
      </c>
      <c r="AR866" t="s">
        <v>5061</v>
      </c>
      <c r="AS866" s="21">
        <v>46276</v>
      </c>
      <c r="AT866" t="s">
        <v>5062</v>
      </c>
      <c r="AU866" t="s">
        <v>5078</v>
      </c>
      <c r="AV866" t="s">
        <v>5062</v>
      </c>
      <c r="AW866" t="s">
        <v>5086</v>
      </c>
    </row>
    <row r="867" spans="1:49" hidden="1" x14ac:dyDescent="0.35">
      <c r="A867" t="s">
        <v>2796</v>
      </c>
      <c r="B867" t="s">
        <v>872</v>
      </c>
      <c r="C867" t="s">
        <v>4818</v>
      </c>
      <c r="D867" t="s">
        <v>18</v>
      </c>
      <c r="E867" t="s">
        <v>3653</v>
      </c>
      <c r="F867" t="s">
        <v>3654</v>
      </c>
      <c r="G867" t="s">
        <v>21</v>
      </c>
      <c r="H867" t="s">
        <v>4888</v>
      </c>
      <c r="I867" t="s">
        <v>5008</v>
      </c>
      <c r="J867" s="4" t="s">
        <v>5009</v>
      </c>
      <c r="K867" s="4" t="s">
        <v>5017</v>
      </c>
      <c r="L867" s="4">
        <v>38</v>
      </c>
      <c r="M867" s="4" t="s">
        <v>5035</v>
      </c>
      <c r="N867" t="s">
        <v>3655</v>
      </c>
      <c r="O867" t="s">
        <v>3656</v>
      </c>
      <c r="P867" t="s">
        <v>23</v>
      </c>
      <c r="Q867" t="s">
        <v>24</v>
      </c>
      <c r="R867" t="s">
        <v>25</v>
      </c>
      <c r="S867" t="s">
        <v>26</v>
      </c>
      <c r="T867" s="6">
        <v>46307</v>
      </c>
      <c r="U867">
        <v>888</v>
      </c>
      <c r="V867">
        <v>888</v>
      </c>
      <c r="W867">
        <v>864</v>
      </c>
      <c r="X867">
        <v>864</v>
      </c>
      <c r="Y867">
        <f t="shared" si="144"/>
        <v>0</v>
      </c>
      <c r="Z867">
        <f t="shared" si="145"/>
        <v>24</v>
      </c>
      <c r="AA867">
        <f>Z867</f>
        <v>24</v>
      </c>
      <c r="AC867" s="1">
        <v>0</v>
      </c>
      <c r="AF867">
        <f>X867</f>
        <v>864</v>
      </c>
      <c r="AG867" s="41">
        <v>24</v>
      </c>
      <c r="AH867">
        <f t="shared" si="146"/>
        <v>864</v>
      </c>
      <c r="AI867">
        <f t="shared" si="147"/>
        <v>24</v>
      </c>
      <c r="AK867">
        <f t="shared" si="148"/>
        <v>36</v>
      </c>
      <c r="AL867">
        <v>10.01</v>
      </c>
      <c r="AM867" t="s">
        <v>27</v>
      </c>
      <c r="AN867">
        <v>10.01</v>
      </c>
      <c r="AO867" t="b">
        <f t="shared" si="149"/>
        <v>1</v>
      </c>
      <c r="AR867" t="s">
        <v>5061</v>
      </c>
      <c r="AS867" s="21">
        <v>46276</v>
      </c>
      <c r="AT867" t="s">
        <v>5062</v>
      </c>
      <c r="AU867" t="s">
        <v>5080</v>
      </c>
      <c r="AV867" t="s">
        <v>5062</v>
      </c>
      <c r="AW867" t="s">
        <v>5086</v>
      </c>
    </row>
    <row r="868" spans="1:49" hidden="1" x14ac:dyDescent="0.35">
      <c r="A868" t="s">
        <v>2796</v>
      </c>
      <c r="B868" t="s">
        <v>872</v>
      </c>
      <c r="C868" t="s">
        <v>4818</v>
      </c>
      <c r="D868" t="s">
        <v>18</v>
      </c>
      <c r="E868" t="s">
        <v>3657</v>
      </c>
      <c r="F868" t="s">
        <v>3658</v>
      </c>
      <c r="G868" t="s">
        <v>21</v>
      </c>
      <c r="H868" t="s">
        <v>4888</v>
      </c>
      <c r="I868" t="s">
        <v>5010</v>
      </c>
      <c r="J868" s="4" t="s">
        <v>5011</v>
      </c>
      <c r="K868" s="4" t="s">
        <v>4904</v>
      </c>
      <c r="L868" s="4" t="s">
        <v>4985</v>
      </c>
      <c r="M868" s="4" t="s">
        <v>5035</v>
      </c>
      <c r="N868" t="s">
        <v>3659</v>
      </c>
      <c r="O868" t="s">
        <v>3660</v>
      </c>
      <c r="P868" t="s">
        <v>23</v>
      </c>
      <c r="Q868" t="s">
        <v>24</v>
      </c>
      <c r="R868" t="s">
        <v>25</v>
      </c>
      <c r="S868" t="s">
        <v>26</v>
      </c>
      <c r="T868" s="6">
        <v>46307</v>
      </c>
      <c r="U868">
        <v>192</v>
      </c>
      <c r="V868">
        <v>192</v>
      </c>
      <c r="W868">
        <v>216</v>
      </c>
      <c r="X868">
        <v>216</v>
      </c>
      <c r="Y868">
        <f t="shared" si="144"/>
        <v>0</v>
      </c>
      <c r="Z868">
        <f t="shared" si="145"/>
        <v>-24</v>
      </c>
      <c r="AC868" s="1">
        <v>0</v>
      </c>
      <c r="AF868">
        <f>V868</f>
        <v>192</v>
      </c>
      <c r="AG868" s="41">
        <v>24</v>
      </c>
      <c r="AH868">
        <f t="shared" si="146"/>
        <v>192</v>
      </c>
      <c r="AI868">
        <f t="shared" si="147"/>
        <v>0</v>
      </c>
      <c r="AK868">
        <f t="shared" si="148"/>
        <v>8</v>
      </c>
      <c r="AL868">
        <v>5.03</v>
      </c>
      <c r="AM868" t="s">
        <v>27</v>
      </c>
      <c r="AN868">
        <v>5.03</v>
      </c>
      <c r="AO868" t="b">
        <f t="shared" si="149"/>
        <v>1</v>
      </c>
      <c r="AR868" t="s">
        <v>5061</v>
      </c>
      <c r="AS868" s="21">
        <v>46276</v>
      </c>
      <c r="AT868" t="s">
        <v>5062</v>
      </c>
      <c r="AU868" t="s">
        <v>5081</v>
      </c>
      <c r="AV868" t="s">
        <v>5062</v>
      </c>
      <c r="AW868" t="s">
        <v>5086</v>
      </c>
    </row>
    <row r="869" spans="1:49" hidden="1" x14ac:dyDescent="0.35">
      <c r="A869" t="s">
        <v>2796</v>
      </c>
      <c r="B869" t="s">
        <v>872</v>
      </c>
      <c r="C869" t="s">
        <v>4818</v>
      </c>
      <c r="D869" t="s">
        <v>18</v>
      </c>
      <c r="E869" t="s">
        <v>3661</v>
      </c>
      <c r="F869" t="s">
        <v>3662</v>
      </c>
      <c r="G869" t="s">
        <v>21</v>
      </c>
      <c r="H869" t="s">
        <v>4888</v>
      </c>
      <c r="I869" t="s">
        <v>5010</v>
      </c>
      <c r="J869" s="4" t="s">
        <v>5011</v>
      </c>
      <c r="K869" s="4" t="s">
        <v>4984</v>
      </c>
      <c r="L869" s="4" t="s">
        <v>4985</v>
      </c>
      <c r="M869" s="4" t="s">
        <v>5035</v>
      </c>
      <c r="N869" t="s">
        <v>3663</v>
      </c>
      <c r="O869" t="s">
        <v>3664</v>
      </c>
      <c r="P869" t="s">
        <v>23</v>
      </c>
      <c r="Q869" t="s">
        <v>24</v>
      </c>
      <c r="R869" t="s">
        <v>25</v>
      </c>
      <c r="S869" t="s">
        <v>26</v>
      </c>
      <c r="T869" s="6">
        <v>46307</v>
      </c>
      <c r="U869">
        <v>192</v>
      </c>
      <c r="V869">
        <v>192</v>
      </c>
      <c r="W869">
        <v>192</v>
      </c>
      <c r="X869">
        <v>192</v>
      </c>
      <c r="Y869">
        <f t="shared" si="144"/>
        <v>0</v>
      </c>
      <c r="Z869">
        <f t="shared" si="145"/>
        <v>0</v>
      </c>
      <c r="AC869" s="1">
        <v>0</v>
      </c>
      <c r="AF869">
        <f>V869</f>
        <v>192</v>
      </c>
      <c r="AG869" s="41">
        <v>24</v>
      </c>
      <c r="AH869">
        <f t="shared" si="146"/>
        <v>192</v>
      </c>
      <c r="AI869">
        <f t="shared" si="147"/>
        <v>0</v>
      </c>
      <c r="AK869">
        <f t="shared" si="148"/>
        <v>8</v>
      </c>
      <c r="AL869">
        <v>4.92</v>
      </c>
      <c r="AM869" t="s">
        <v>27</v>
      </c>
      <c r="AN869">
        <v>4.92</v>
      </c>
      <c r="AO869" t="b">
        <f t="shared" si="149"/>
        <v>1</v>
      </c>
      <c r="AR869" t="s">
        <v>5061</v>
      </c>
      <c r="AS869" s="21">
        <v>46276</v>
      </c>
      <c r="AT869" t="s">
        <v>5062</v>
      </c>
      <c r="AU869" t="s">
        <v>5081</v>
      </c>
      <c r="AV869" t="s">
        <v>5062</v>
      </c>
      <c r="AW869" t="s">
        <v>5086</v>
      </c>
    </row>
    <row r="870" spans="1:49" hidden="1" x14ac:dyDescent="0.35">
      <c r="A870" t="s">
        <v>2796</v>
      </c>
      <c r="B870" t="s">
        <v>872</v>
      </c>
      <c r="C870" t="s">
        <v>4818</v>
      </c>
      <c r="D870" t="s">
        <v>18</v>
      </c>
      <c r="E870" t="s">
        <v>3665</v>
      </c>
      <c r="F870" t="s">
        <v>3666</v>
      </c>
      <c r="G870" t="s">
        <v>21</v>
      </c>
      <c r="H870" t="s">
        <v>4888</v>
      </c>
      <c r="I870" t="s">
        <v>5008</v>
      </c>
      <c r="J870" s="4" t="s">
        <v>5009</v>
      </c>
      <c r="K870" s="4" t="s">
        <v>5021</v>
      </c>
      <c r="L870" s="4">
        <v>28</v>
      </c>
      <c r="M870" s="4" t="s">
        <v>5035</v>
      </c>
      <c r="N870" t="s">
        <v>3667</v>
      </c>
      <c r="O870" t="s">
        <v>3668</v>
      </c>
      <c r="P870" t="s">
        <v>23</v>
      </c>
      <c r="Q870" t="s">
        <v>24</v>
      </c>
      <c r="R870" t="s">
        <v>25</v>
      </c>
      <c r="S870" t="s">
        <v>26</v>
      </c>
      <c r="T870" s="6">
        <v>46307</v>
      </c>
      <c r="U870">
        <v>216</v>
      </c>
      <c r="V870">
        <v>216</v>
      </c>
      <c r="W870">
        <v>192</v>
      </c>
      <c r="X870">
        <v>192</v>
      </c>
      <c r="Y870">
        <f t="shared" si="144"/>
        <v>0</v>
      </c>
      <c r="Z870">
        <f t="shared" si="145"/>
        <v>24</v>
      </c>
      <c r="AA870">
        <f>Z870</f>
        <v>24</v>
      </c>
      <c r="AC870" s="1">
        <v>0</v>
      </c>
      <c r="AF870">
        <f>X870</f>
        <v>192</v>
      </c>
      <c r="AG870" s="41">
        <v>24</v>
      </c>
      <c r="AH870">
        <f t="shared" si="146"/>
        <v>192</v>
      </c>
      <c r="AI870">
        <f t="shared" si="147"/>
        <v>24</v>
      </c>
      <c r="AK870">
        <f t="shared" si="148"/>
        <v>8</v>
      </c>
      <c r="AL870">
        <v>10.11</v>
      </c>
      <c r="AM870" t="s">
        <v>27</v>
      </c>
      <c r="AN870">
        <v>10.11</v>
      </c>
      <c r="AO870" t="b">
        <f t="shared" si="149"/>
        <v>1</v>
      </c>
      <c r="AR870" t="s">
        <v>5061</v>
      </c>
      <c r="AS870" s="21">
        <v>46276</v>
      </c>
      <c r="AT870" t="s">
        <v>5062</v>
      </c>
      <c r="AU870" t="s">
        <v>5080</v>
      </c>
      <c r="AV870" t="s">
        <v>5062</v>
      </c>
      <c r="AW870" t="s">
        <v>5086</v>
      </c>
    </row>
    <row r="871" spans="1:49" hidden="1" x14ac:dyDescent="0.35">
      <c r="A871" t="s">
        <v>2796</v>
      </c>
      <c r="B871" t="s">
        <v>872</v>
      </c>
      <c r="C871" t="s">
        <v>4818</v>
      </c>
      <c r="D871" t="s">
        <v>18</v>
      </c>
      <c r="E871" t="s">
        <v>3669</v>
      </c>
      <c r="F871" t="s">
        <v>3670</v>
      </c>
      <c r="G871" t="s">
        <v>21</v>
      </c>
      <c r="H871" t="s">
        <v>4888</v>
      </c>
      <c r="I871" t="s">
        <v>5003</v>
      </c>
      <c r="J871" s="4" t="s">
        <v>5004</v>
      </c>
      <c r="K871" s="4" t="s">
        <v>4837</v>
      </c>
      <c r="L871" s="4" t="s">
        <v>4853</v>
      </c>
      <c r="M871" s="4" t="s">
        <v>5035</v>
      </c>
      <c r="N871" t="s">
        <v>3671</v>
      </c>
      <c r="O871" t="s">
        <v>3672</v>
      </c>
      <c r="P871" t="s">
        <v>23</v>
      </c>
      <c r="Q871" t="s">
        <v>24</v>
      </c>
      <c r="R871" t="s">
        <v>25</v>
      </c>
      <c r="S871" t="s">
        <v>26</v>
      </c>
      <c r="T871" s="6">
        <v>46307</v>
      </c>
      <c r="U871">
        <v>60</v>
      </c>
      <c r="V871">
        <v>60</v>
      </c>
      <c r="W871">
        <v>72</v>
      </c>
      <c r="X871">
        <v>72</v>
      </c>
      <c r="Y871">
        <f t="shared" si="144"/>
        <v>0</v>
      </c>
      <c r="Z871">
        <f t="shared" si="145"/>
        <v>-12</v>
      </c>
      <c r="AC871" s="1">
        <v>0</v>
      </c>
      <c r="AF871">
        <f>V871</f>
        <v>60</v>
      </c>
      <c r="AG871" s="41">
        <v>12</v>
      </c>
      <c r="AH871">
        <f t="shared" si="146"/>
        <v>60</v>
      </c>
      <c r="AI871">
        <f t="shared" si="147"/>
        <v>0</v>
      </c>
      <c r="AK871">
        <f t="shared" si="148"/>
        <v>5</v>
      </c>
      <c r="AL871">
        <v>12.87</v>
      </c>
      <c r="AM871" t="s">
        <v>27</v>
      </c>
      <c r="AN871">
        <v>12.87</v>
      </c>
      <c r="AO871" t="b">
        <f t="shared" si="149"/>
        <v>1</v>
      </c>
      <c r="AR871" t="s">
        <v>5061</v>
      </c>
      <c r="AS871" s="21">
        <v>46276</v>
      </c>
      <c r="AT871" t="s">
        <v>5062</v>
      </c>
      <c r="AU871" t="s">
        <v>5078</v>
      </c>
      <c r="AV871" t="s">
        <v>5062</v>
      </c>
      <c r="AW871" t="s">
        <v>5086</v>
      </c>
    </row>
    <row r="872" spans="1:49" hidden="1" x14ac:dyDescent="0.35">
      <c r="A872" t="s">
        <v>2796</v>
      </c>
      <c r="B872" t="s">
        <v>872</v>
      </c>
      <c r="C872" t="s">
        <v>4818</v>
      </c>
      <c r="D872" t="s">
        <v>18</v>
      </c>
      <c r="E872" t="s">
        <v>3673</v>
      </c>
      <c r="F872" t="s">
        <v>3674</v>
      </c>
      <c r="G872" t="s">
        <v>21</v>
      </c>
      <c r="H872" t="s">
        <v>4888</v>
      </c>
      <c r="I872" t="s">
        <v>5018</v>
      </c>
      <c r="J872" s="4" t="s">
        <v>5019</v>
      </c>
      <c r="K872" s="4" t="s">
        <v>5020</v>
      </c>
      <c r="L872" s="4">
        <v>6</v>
      </c>
      <c r="M872" s="4" t="s">
        <v>5035</v>
      </c>
      <c r="N872" t="s">
        <v>3675</v>
      </c>
      <c r="O872" t="s">
        <v>3676</v>
      </c>
      <c r="P872" t="s">
        <v>23</v>
      </c>
      <c r="Q872" t="s">
        <v>24</v>
      </c>
      <c r="R872" t="s">
        <v>25</v>
      </c>
      <c r="S872" t="s">
        <v>26</v>
      </c>
      <c r="T872" s="6">
        <v>46307</v>
      </c>
      <c r="U872">
        <v>72</v>
      </c>
      <c r="V872">
        <v>72</v>
      </c>
      <c r="W872">
        <v>72</v>
      </c>
      <c r="X872">
        <v>72</v>
      </c>
      <c r="Y872">
        <f t="shared" si="144"/>
        <v>0</v>
      </c>
      <c r="Z872">
        <f t="shared" si="145"/>
        <v>0</v>
      </c>
      <c r="AC872" s="1">
        <v>0</v>
      </c>
      <c r="AF872">
        <f>V872</f>
        <v>72</v>
      </c>
      <c r="AG872" s="41">
        <v>24</v>
      </c>
      <c r="AH872">
        <f t="shared" si="146"/>
        <v>72</v>
      </c>
      <c r="AI872">
        <f t="shared" si="147"/>
        <v>0</v>
      </c>
      <c r="AK872">
        <f t="shared" si="148"/>
        <v>3</v>
      </c>
      <c r="AL872">
        <v>10.79</v>
      </c>
      <c r="AM872" t="s">
        <v>27</v>
      </c>
      <c r="AN872">
        <v>10.79</v>
      </c>
      <c r="AO872" t="b">
        <f t="shared" si="149"/>
        <v>1</v>
      </c>
      <c r="AR872" t="s">
        <v>5061</v>
      </c>
      <c r="AS872" s="21">
        <v>46276</v>
      </c>
      <c r="AT872" t="s">
        <v>5062</v>
      </c>
      <c r="AU872" t="s">
        <v>5082</v>
      </c>
      <c r="AV872" t="s">
        <v>5062</v>
      </c>
      <c r="AW872" t="s">
        <v>5086</v>
      </c>
    </row>
    <row r="873" spans="1:49" hidden="1" x14ac:dyDescent="0.35">
      <c r="A873" t="s">
        <v>2796</v>
      </c>
      <c r="B873" t="s">
        <v>872</v>
      </c>
      <c r="C873" t="s">
        <v>4818</v>
      </c>
      <c r="D873" t="s">
        <v>18</v>
      </c>
      <c r="E873" t="s">
        <v>3677</v>
      </c>
      <c r="F873" t="s">
        <v>3678</v>
      </c>
      <c r="G873" t="s">
        <v>21</v>
      </c>
      <c r="H873" t="s">
        <v>4888</v>
      </c>
      <c r="I873" t="s">
        <v>5003</v>
      </c>
      <c r="J873" s="4" t="s">
        <v>5004</v>
      </c>
      <c r="K873" s="4" t="s">
        <v>5015</v>
      </c>
      <c r="L873" s="4" t="s">
        <v>4901</v>
      </c>
      <c r="M873" s="4" t="s">
        <v>5035</v>
      </c>
      <c r="N873" t="s">
        <v>3679</v>
      </c>
      <c r="O873" t="s">
        <v>3680</v>
      </c>
      <c r="P873" t="s">
        <v>23</v>
      </c>
      <c r="Q873" t="s">
        <v>24</v>
      </c>
      <c r="R873" t="s">
        <v>25</v>
      </c>
      <c r="S873" t="s">
        <v>26</v>
      </c>
      <c r="T873" s="6">
        <v>46307</v>
      </c>
      <c r="U873">
        <v>48</v>
      </c>
      <c r="V873">
        <v>48</v>
      </c>
      <c r="W873">
        <v>48</v>
      </c>
      <c r="X873">
        <v>48</v>
      </c>
      <c r="Y873">
        <f t="shared" si="144"/>
        <v>0</v>
      </c>
      <c r="Z873">
        <f t="shared" si="145"/>
        <v>0</v>
      </c>
      <c r="AC873" s="1">
        <v>0</v>
      </c>
      <c r="AF873">
        <f>V873</f>
        <v>48</v>
      </c>
      <c r="AG873" s="41">
        <v>12</v>
      </c>
      <c r="AH873">
        <f t="shared" si="146"/>
        <v>48</v>
      </c>
      <c r="AI873">
        <f t="shared" si="147"/>
        <v>0</v>
      </c>
      <c r="AK873">
        <f t="shared" si="148"/>
        <v>4</v>
      </c>
      <c r="AL873">
        <v>13.01</v>
      </c>
      <c r="AM873" t="s">
        <v>27</v>
      </c>
      <c r="AN873">
        <v>13.01</v>
      </c>
      <c r="AO873" t="b">
        <f t="shared" si="149"/>
        <v>1</v>
      </c>
      <c r="AR873" t="s">
        <v>5061</v>
      </c>
      <c r="AS873" s="21">
        <v>46276</v>
      </c>
      <c r="AT873" t="s">
        <v>5062</v>
      </c>
      <c r="AU873" t="s">
        <v>5078</v>
      </c>
      <c r="AV873" t="s">
        <v>5062</v>
      </c>
      <c r="AW873" t="s">
        <v>5086</v>
      </c>
    </row>
    <row r="874" spans="1:49" hidden="1" x14ac:dyDescent="0.35">
      <c r="A874" t="s">
        <v>2796</v>
      </c>
      <c r="B874" t="s">
        <v>872</v>
      </c>
      <c r="C874" t="s">
        <v>4818</v>
      </c>
      <c r="D874" t="s">
        <v>18</v>
      </c>
      <c r="E874" t="s">
        <v>3681</v>
      </c>
      <c r="F874" t="s">
        <v>3682</v>
      </c>
      <c r="G874" t="s">
        <v>21</v>
      </c>
      <c r="H874" t="s">
        <v>4888</v>
      </c>
      <c r="I874" t="s">
        <v>5003</v>
      </c>
      <c r="J874" s="4" t="s">
        <v>5004</v>
      </c>
      <c r="K874" s="4" t="s">
        <v>5015</v>
      </c>
      <c r="L874" s="4" t="s">
        <v>4871</v>
      </c>
      <c r="M874" s="4" t="s">
        <v>5035</v>
      </c>
      <c r="N874" t="s">
        <v>3683</v>
      </c>
      <c r="O874" t="s">
        <v>3684</v>
      </c>
      <c r="P874" t="s">
        <v>23</v>
      </c>
      <c r="Q874" t="s">
        <v>24</v>
      </c>
      <c r="R874" t="s">
        <v>25</v>
      </c>
      <c r="S874" t="s">
        <v>26</v>
      </c>
      <c r="T874" s="6">
        <v>46307</v>
      </c>
      <c r="U874">
        <v>48</v>
      </c>
      <c r="V874">
        <v>48</v>
      </c>
      <c r="W874">
        <v>48</v>
      </c>
      <c r="X874">
        <v>48</v>
      </c>
      <c r="Y874">
        <f t="shared" si="144"/>
        <v>0</v>
      </c>
      <c r="Z874">
        <f t="shared" si="145"/>
        <v>0</v>
      </c>
      <c r="AC874" s="1">
        <v>0</v>
      </c>
      <c r="AF874">
        <f>V874</f>
        <v>48</v>
      </c>
      <c r="AG874" s="41">
        <v>12</v>
      </c>
      <c r="AH874">
        <f t="shared" si="146"/>
        <v>48</v>
      </c>
      <c r="AI874">
        <f t="shared" si="147"/>
        <v>0</v>
      </c>
      <c r="AK874">
        <f t="shared" si="148"/>
        <v>4</v>
      </c>
      <c r="AL874">
        <v>13.01</v>
      </c>
      <c r="AM874" t="s">
        <v>27</v>
      </c>
      <c r="AN874">
        <v>13.01</v>
      </c>
      <c r="AO874" t="b">
        <f t="shared" si="149"/>
        <v>1</v>
      </c>
      <c r="AR874" t="s">
        <v>5061</v>
      </c>
      <c r="AS874" s="21">
        <v>46276</v>
      </c>
      <c r="AT874" t="s">
        <v>5062</v>
      </c>
      <c r="AU874" t="s">
        <v>5078</v>
      </c>
      <c r="AV874" t="s">
        <v>5062</v>
      </c>
      <c r="AW874" t="s">
        <v>5086</v>
      </c>
    </row>
    <row r="875" spans="1:49" hidden="1" x14ac:dyDescent="0.35">
      <c r="A875" t="s">
        <v>2796</v>
      </c>
      <c r="B875" t="s">
        <v>872</v>
      </c>
      <c r="C875" t="s">
        <v>4818</v>
      </c>
      <c r="D875" t="s">
        <v>18</v>
      </c>
      <c r="E875" t="s">
        <v>3685</v>
      </c>
      <c r="F875" t="s">
        <v>3686</v>
      </c>
      <c r="G875" t="s">
        <v>21</v>
      </c>
      <c r="H875" t="s">
        <v>4888</v>
      </c>
      <c r="I875" t="s">
        <v>5022</v>
      </c>
      <c r="J875" s="4" t="s">
        <v>5023</v>
      </c>
      <c r="K875" s="4" t="s">
        <v>5024</v>
      </c>
      <c r="L875" s="4">
        <v>14</v>
      </c>
      <c r="M875" s="4" t="s">
        <v>5035</v>
      </c>
      <c r="N875" t="s">
        <v>3687</v>
      </c>
      <c r="O875" t="s">
        <v>3688</v>
      </c>
      <c r="P875" t="s">
        <v>23</v>
      </c>
      <c r="Q875" t="s">
        <v>24</v>
      </c>
      <c r="R875" t="s">
        <v>25</v>
      </c>
      <c r="S875" t="s">
        <v>26</v>
      </c>
      <c r="T875" s="6">
        <v>46307</v>
      </c>
      <c r="U875">
        <v>360</v>
      </c>
      <c r="V875">
        <v>360</v>
      </c>
      <c r="W875">
        <v>384</v>
      </c>
      <c r="X875">
        <v>384</v>
      </c>
      <c r="Y875">
        <f t="shared" si="144"/>
        <v>0</v>
      </c>
      <c r="Z875">
        <f t="shared" si="145"/>
        <v>-24</v>
      </c>
      <c r="AC875" s="1">
        <v>0</v>
      </c>
      <c r="AF875">
        <f>V875</f>
        <v>360</v>
      </c>
      <c r="AG875" s="41">
        <v>24</v>
      </c>
      <c r="AH875">
        <f t="shared" si="146"/>
        <v>360</v>
      </c>
      <c r="AI875">
        <f t="shared" si="147"/>
        <v>0</v>
      </c>
      <c r="AK875">
        <f t="shared" si="148"/>
        <v>15</v>
      </c>
      <c r="AL875">
        <v>6.99</v>
      </c>
      <c r="AM875" t="s">
        <v>27</v>
      </c>
      <c r="AN875">
        <v>8.68</v>
      </c>
      <c r="AO875" t="b">
        <f t="shared" si="149"/>
        <v>0</v>
      </c>
      <c r="AR875" t="s">
        <v>5061</v>
      </c>
      <c r="AS875" s="21">
        <v>46276</v>
      </c>
      <c r="AT875" t="s">
        <v>5062</v>
      </c>
      <c r="AU875" t="s">
        <v>5083</v>
      </c>
      <c r="AV875" t="s">
        <v>5062</v>
      </c>
      <c r="AW875" t="s">
        <v>5086</v>
      </c>
    </row>
    <row r="876" spans="1:49" hidden="1" x14ac:dyDescent="0.35">
      <c r="A876" t="s">
        <v>2796</v>
      </c>
      <c r="B876" t="s">
        <v>872</v>
      </c>
      <c r="C876" t="s">
        <v>4818</v>
      </c>
      <c r="D876" t="s">
        <v>18</v>
      </c>
      <c r="E876" t="s">
        <v>3689</v>
      </c>
      <c r="F876" t="s">
        <v>3690</v>
      </c>
      <c r="G876" t="s">
        <v>21</v>
      </c>
      <c r="H876" t="s">
        <v>4888</v>
      </c>
      <c r="I876" t="s">
        <v>5003</v>
      </c>
      <c r="J876" s="4" t="s">
        <v>5004</v>
      </c>
      <c r="K876" s="4" t="s">
        <v>5015</v>
      </c>
      <c r="L876" s="4" t="s">
        <v>4885</v>
      </c>
      <c r="M876" s="4" t="s">
        <v>5035</v>
      </c>
      <c r="N876" t="s">
        <v>3691</v>
      </c>
      <c r="O876" t="s">
        <v>3692</v>
      </c>
      <c r="P876" t="s">
        <v>23</v>
      </c>
      <c r="Q876" t="s">
        <v>24</v>
      </c>
      <c r="R876" t="s">
        <v>25</v>
      </c>
      <c r="S876" t="s">
        <v>26</v>
      </c>
      <c r="T876" s="6">
        <v>46307</v>
      </c>
      <c r="U876">
        <v>120</v>
      </c>
      <c r="V876">
        <v>120</v>
      </c>
      <c r="W876">
        <v>108</v>
      </c>
      <c r="X876">
        <v>108</v>
      </c>
      <c r="Y876">
        <f t="shared" si="144"/>
        <v>0</v>
      </c>
      <c r="Z876">
        <f t="shared" si="145"/>
        <v>12</v>
      </c>
      <c r="AA876">
        <f>Z876</f>
        <v>12</v>
      </c>
      <c r="AC876" s="1">
        <v>0</v>
      </c>
      <c r="AF876">
        <f>X876</f>
        <v>108</v>
      </c>
      <c r="AG876" s="41">
        <v>12</v>
      </c>
      <c r="AH876">
        <f t="shared" si="146"/>
        <v>108</v>
      </c>
      <c r="AI876">
        <f t="shared" si="147"/>
        <v>12</v>
      </c>
      <c r="AK876">
        <f t="shared" si="148"/>
        <v>9</v>
      </c>
      <c r="AL876">
        <v>13.01</v>
      </c>
      <c r="AM876" t="s">
        <v>27</v>
      </c>
      <c r="AN876">
        <v>13.01</v>
      </c>
      <c r="AO876" t="b">
        <f t="shared" si="149"/>
        <v>1</v>
      </c>
      <c r="AR876" t="s">
        <v>5061</v>
      </c>
      <c r="AS876" s="21">
        <v>46276</v>
      </c>
      <c r="AT876" t="s">
        <v>5062</v>
      </c>
      <c r="AU876" t="s">
        <v>5078</v>
      </c>
      <c r="AV876" t="s">
        <v>5062</v>
      </c>
      <c r="AW876" t="s">
        <v>5086</v>
      </c>
    </row>
    <row r="877" spans="1:49" hidden="1" x14ac:dyDescent="0.35">
      <c r="A877" t="s">
        <v>2796</v>
      </c>
      <c r="B877" t="s">
        <v>872</v>
      </c>
      <c r="C877" t="s">
        <v>4818</v>
      </c>
      <c r="D877" t="s">
        <v>18</v>
      </c>
      <c r="E877" t="s">
        <v>3693</v>
      </c>
      <c r="F877" t="s">
        <v>3694</v>
      </c>
      <c r="G877" t="s">
        <v>21</v>
      </c>
      <c r="H877" t="s">
        <v>4888</v>
      </c>
      <c r="I877" t="s">
        <v>5003</v>
      </c>
      <c r="J877" s="4" t="s">
        <v>5004</v>
      </c>
      <c r="K877" s="4" t="s">
        <v>4837</v>
      </c>
      <c r="L877" s="4" t="s">
        <v>4880</v>
      </c>
      <c r="M877" s="4" t="s">
        <v>5035</v>
      </c>
      <c r="N877" t="s">
        <v>3695</v>
      </c>
      <c r="O877" t="s">
        <v>3696</v>
      </c>
      <c r="P877" t="s">
        <v>23</v>
      </c>
      <c r="Q877" t="s">
        <v>24</v>
      </c>
      <c r="R877" t="s">
        <v>25</v>
      </c>
      <c r="S877" t="s">
        <v>26</v>
      </c>
      <c r="T877" s="6">
        <v>46307</v>
      </c>
      <c r="U877">
        <v>24</v>
      </c>
      <c r="V877">
        <v>24</v>
      </c>
      <c r="W877">
        <v>24</v>
      </c>
      <c r="X877">
        <v>24</v>
      </c>
      <c r="Y877">
        <f t="shared" si="144"/>
        <v>0</v>
      </c>
      <c r="Z877">
        <f t="shared" si="145"/>
        <v>0</v>
      </c>
      <c r="AC877" s="1">
        <v>0</v>
      </c>
      <c r="AF877">
        <f t="shared" ref="AF877:AF884" si="152">V877</f>
        <v>24</v>
      </c>
      <c r="AG877" s="41">
        <v>12</v>
      </c>
      <c r="AH877">
        <f t="shared" si="146"/>
        <v>24</v>
      </c>
      <c r="AI877">
        <f t="shared" si="147"/>
        <v>0</v>
      </c>
      <c r="AK877">
        <f t="shared" si="148"/>
        <v>2</v>
      </c>
      <c r="AL877">
        <v>12.87</v>
      </c>
      <c r="AM877" t="s">
        <v>27</v>
      </c>
      <c r="AN877">
        <v>12.87</v>
      </c>
      <c r="AO877" t="b">
        <f t="shared" si="149"/>
        <v>1</v>
      </c>
      <c r="AR877" t="s">
        <v>5061</v>
      </c>
      <c r="AS877" s="21">
        <v>46276</v>
      </c>
      <c r="AT877" t="s">
        <v>5062</v>
      </c>
      <c r="AU877" t="s">
        <v>5078</v>
      </c>
      <c r="AV877" t="s">
        <v>5062</v>
      </c>
      <c r="AW877" t="s">
        <v>5086</v>
      </c>
    </row>
    <row r="878" spans="1:49" hidden="1" x14ac:dyDescent="0.35">
      <c r="A878" t="s">
        <v>2796</v>
      </c>
      <c r="B878" t="s">
        <v>872</v>
      </c>
      <c r="C878" t="s">
        <v>4818</v>
      </c>
      <c r="D878" t="s">
        <v>18</v>
      </c>
      <c r="E878" t="s">
        <v>3697</v>
      </c>
      <c r="F878" t="s">
        <v>3698</v>
      </c>
      <c r="G878" t="s">
        <v>21</v>
      </c>
      <c r="H878" t="s">
        <v>4888</v>
      </c>
      <c r="I878" t="s">
        <v>5003</v>
      </c>
      <c r="J878" s="4" t="s">
        <v>5004</v>
      </c>
      <c r="K878" s="4" t="s">
        <v>5015</v>
      </c>
      <c r="L878" s="4" t="s">
        <v>4910</v>
      </c>
      <c r="M878" s="4" t="s">
        <v>5035</v>
      </c>
      <c r="N878" t="s">
        <v>3699</v>
      </c>
      <c r="O878" t="s">
        <v>3700</v>
      </c>
      <c r="P878" t="s">
        <v>23</v>
      </c>
      <c r="Q878" t="s">
        <v>24</v>
      </c>
      <c r="R878" t="s">
        <v>25</v>
      </c>
      <c r="S878" t="s">
        <v>26</v>
      </c>
      <c r="T878" s="6">
        <v>46307</v>
      </c>
      <c r="U878">
        <v>60</v>
      </c>
      <c r="V878">
        <v>60</v>
      </c>
      <c r="W878">
        <v>60</v>
      </c>
      <c r="X878">
        <v>60</v>
      </c>
      <c r="Y878">
        <f t="shared" si="144"/>
        <v>0</v>
      </c>
      <c r="Z878">
        <f t="shared" si="145"/>
        <v>0</v>
      </c>
      <c r="AC878" s="1">
        <v>0</v>
      </c>
      <c r="AF878">
        <f t="shared" si="152"/>
        <v>60</v>
      </c>
      <c r="AG878" s="41">
        <v>12</v>
      </c>
      <c r="AH878">
        <f t="shared" si="146"/>
        <v>60</v>
      </c>
      <c r="AI878">
        <f t="shared" si="147"/>
        <v>0</v>
      </c>
      <c r="AK878">
        <f t="shared" si="148"/>
        <v>5</v>
      </c>
      <c r="AL878">
        <v>13.01</v>
      </c>
      <c r="AM878" t="s">
        <v>27</v>
      </c>
      <c r="AN878">
        <v>13.01</v>
      </c>
      <c r="AO878" t="b">
        <f t="shared" si="149"/>
        <v>1</v>
      </c>
      <c r="AR878" t="s">
        <v>5061</v>
      </c>
      <c r="AS878" s="21">
        <v>46276</v>
      </c>
      <c r="AT878" t="s">
        <v>5062</v>
      </c>
      <c r="AU878" t="s">
        <v>5078</v>
      </c>
      <c r="AV878" t="s">
        <v>5062</v>
      </c>
      <c r="AW878" t="s">
        <v>5086</v>
      </c>
    </row>
    <row r="879" spans="1:49" hidden="1" x14ac:dyDescent="0.35">
      <c r="A879" t="s">
        <v>2796</v>
      </c>
      <c r="B879" t="s">
        <v>872</v>
      </c>
      <c r="C879" t="s">
        <v>4818</v>
      </c>
      <c r="D879" t="s">
        <v>18</v>
      </c>
      <c r="E879" t="s">
        <v>3701</v>
      </c>
      <c r="F879" t="s">
        <v>3702</v>
      </c>
      <c r="G879" t="s">
        <v>21</v>
      </c>
      <c r="H879" t="s">
        <v>4888</v>
      </c>
      <c r="I879" t="s">
        <v>5005</v>
      </c>
      <c r="J879" s="4" t="s">
        <v>5006</v>
      </c>
      <c r="K879" s="4" t="s">
        <v>4837</v>
      </c>
      <c r="L879" s="4">
        <v>34</v>
      </c>
      <c r="M879" s="4" t="s">
        <v>5035</v>
      </c>
      <c r="N879" t="s">
        <v>3703</v>
      </c>
      <c r="O879" t="s">
        <v>3704</v>
      </c>
      <c r="P879" t="s">
        <v>23</v>
      </c>
      <c r="Q879" t="s">
        <v>24</v>
      </c>
      <c r="R879" t="s">
        <v>25</v>
      </c>
      <c r="S879" t="s">
        <v>26</v>
      </c>
      <c r="T879" s="6">
        <v>46307</v>
      </c>
      <c r="U879">
        <v>576</v>
      </c>
      <c r="V879">
        <v>576</v>
      </c>
      <c r="W879">
        <v>600</v>
      </c>
      <c r="X879">
        <v>600</v>
      </c>
      <c r="Y879">
        <f t="shared" si="144"/>
        <v>0</v>
      </c>
      <c r="Z879">
        <f t="shared" si="145"/>
        <v>-24</v>
      </c>
      <c r="AC879" s="1">
        <v>0</v>
      </c>
      <c r="AF879">
        <f t="shared" si="152"/>
        <v>576</v>
      </c>
      <c r="AG879" s="41">
        <v>24</v>
      </c>
      <c r="AH879">
        <f t="shared" si="146"/>
        <v>576</v>
      </c>
      <c r="AI879">
        <f t="shared" si="147"/>
        <v>0</v>
      </c>
      <c r="AK879">
        <f t="shared" si="148"/>
        <v>24</v>
      </c>
      <c r="AL879">
        <v>9.58</v>
      </c>
      <c r="AM879" t="s">
        <v>27</v>
      </c>
      <c r="AN879">
        <v>9.58</v>
      </c>
      <c r="AO879" t="b">
        <f t="shared" si="149"/>
        <v>1</v>
      </c>
      <c r="AR879" t="s">
        <v>5061</v>
      </c>
      <c r="AS879" s="21">
        <v>46276</v>
      </c>
      <c r="AT879" t="s">
        <v>5062</v>
      </c>
      <c r="AU879" t="s">
        <v>5079</v>
      </c>
      <c r="AV879" t="s">
        <v>5062</v>
      </c>
      <c r="AW879" t="s">
        <v>5086</v>
      </c>
    </row>
    <row r="880" spans="1:49" hidden="1" x14ac:dyDescent="0.35">
      <c r="A880" t="s">
        <v>2796</v>
      </c>
      <c r="B880" t="s">
        <v>872</v>
      </c>
      <c r="C880" t="s">
        <v>4818</v>
      </c>
      <c r="D880" t="s">
        <v>18</v>
      </c>
      <c r="E880" t="s">
        <v>3705</v>
      </c>
      <c r="F880" t="s">
        <v>3706</v>
      </c>
      <c r="G880" t="s">
        <v>21</v>
      </c>
      <c r="H880" t="s">
        <v>4888</v>
      </c>
      <c r="I880" t="s">
        <v>5010</v>
      </c>
      <c r="J880" s="4" t="s">
        <v>5011</v>
      </c>
      <c r="K880" s="4" t="s">
        <v>4984</v>
      </c>
      <c r="L880" s="4" t="s">
        <v>4995</v>
      </c>
      <c r="M880" s="4" t="s">
        <v>5035</v>
      </c>
      <c r="N880" t="s">
        <v>3707</v>
      </c>
      <c r="O880" t="s">
        <v>3708</v>
      </c>
      <c r="P880" t="s">
        <v>23</v>
      </c>
      <c r="Q880" t="s">
        <v>24</v>
      </c>
      <c r="R880" t="s">
        <v>25</v>
      </c>
      <c r="S880" t="s">
        <v>26</v>
      </c>
      <c r="T880" s="6">
        <v>46307</v>
      </c>
      <c r="U880">
        <v>144</v>
      </c>
      <c r="V880">
        <v>144</v>
      </c>
      <c r="W880">
        <v>144</v>
      </c>
      <c r="X880">
        <v>144</v>
      </c>
      <c r="Y880">
        <f t="shared" si="144"/>
        <v>0</v>
      </c>
      <c r="Z880">
        <f t="shared" si="145"/>
        <v>0</v>
      </c>
      <c r="AC880" s="1">
        <v>0</v>
      </c>
      <c r="AF880">
        <f t="shared" si="152"/>
        <v>144</v>
      </c>
      <c r="AG880" s="41">
        <v>24</v>
      </c>
      <c r="AH880">
        <f t="shared" si="146"/>
        <v>144</v>
      </c>
      <c r="AI880">
        <f t="shared" si="147"/>
        <v>0</v>
      </c>
      <c r="AK880">
        <f t="shared" si="148"/>
        <v>6</v>
      </c>
      <c r="AL880">
        <v>4.92</v>
      </c>
      <c r="AM880" t="s">
        <v>27</v>
      </c>
      <c r="AN880">
        <v>4.92</v>
      </c>
      <c r="AO880" t="b">
        <f t="shared" si="149"/>
        <v>1</v>
      </c>
      <c r="AR880" t="s">
        <v>5061</v>
      </c>
      <c r="AS880" s="21">
        <v>46276</v>
      </c>
      <c r="AT880" t="s">
        <v>5062</v>
      </c>
      <c r="AU880" t="s">
        <v>5081</v>
      </c>
      <c r="AV880" t="s">
        <v>5062</v>
      </c>
      <c r="AW880" t="s">
        <v>5086</v>
      </c>
    </row>
    <row r="881" spans="1:49" hidden="1" x14ac:dyDescent="0.35">
      <c r="A881" t="s">
        <v>2796</v>
      </c>
      <c r="B881" t="s">
        <v>872</v>
      </c>
      <c r="C881" t="s">
        <v>4818</v>
      </c>
      <c r="D881" t="s">
        <v>18</v>
      </c>
      <c r="E881" t="s">
        <v>3709</v>
      </c>
      <c r="F881" t="s">
        <v>3710</v>
      </c>
      <c r="G881" t="s">
        <v>21</v>
      </c>
      <c r="H881" t="s">
        <v>4888</v>
      </c>
      <c r="I881" t="s">
        <v>5005</v>
      </c>
      <c r="J881" s="4" t="s">
        <v>5006</v>
      </c>
      <c r="K881" s="4" t="s">
        <v>4837</v>
      </c>
      <c r="L881" s="4">
        <v>42</v>
      </c>
      <c r="M881" s="4" t="s">
        <v>5035</v>
      </c>
      <c r="N881" t="s">
        <v>3711</v>
      </c>
      <c r="O881" t="s">
        <v>3712</v>
      </c>
      <c r="P881" t="s">
        <v>23</v>
      </c>
      <c r="Q881" t="s">
        <v>24</v>
      </c>
      <c r="R881" t="s">
        <v>25</v>
      </c>
      <c r="S881" t="s">
        <v>26</v>
      </c>
      <c r="T881" s="6">
        <v>46307</v>
      </c>
      <c r="U881">
        <v>576</v>
      </c>
      <c r="V881">
        <v>576</v>
      </c>
      <c r="W881">
        <v>624</v>
      </c>
      <c r="X881">
        <v>624</v>
      </c>
      <c r="Y881">
        <f t="shared" si="144"/>
        <v>0</v>
      </c>
      <c r="Z881">
        <f t="shared" si="145"/>
        <v>-48</v>
      </c>
      <c r="AC881" s="1"/>
      <c r="AF881">
        <f t="shared" si="152"/>
        <v>576</v>
      </c>
      <c r="AG881" s="41">
        <v>24</v>
      </c>
      <c r="AH881">
        <f t="shared" si="146"/>
        <v>576</v>
      </c>
      <c r="AI881">
        <f t="shared" si="147"/>
        <v>0</v>
      </c>
      <c r="AK881">
        <f t="shared" si="148"/>
        <v>24</v>
      </c>
      <c r="AL881">
        <v>9.58</v>
      </c>
      <c r="AM881" t="s">
        <v>27</v>
      </c>
      <c r="AN881">
        <v>9.58</v>
      </c>
      <c r="AO881" t="b">
        <f t="shared" si="149"/>
        <v>1</v>
      </c>
      <c r="AR881" t="s">
        <v>5061</v>
      </c>
      <c r="AS881" s="21">
        <v>46276</v>
      </c>
      <c r="AT881" t="s">
        <v>5062</v>
      </c>
      <c r="AU881" t="s">
        <v>5079</v>
      </c>
      <c r="AV881" t="s">
        <v>5062</v>
      </c>
      <c r="AW881" t="s">
        <v>5086</v>
      </c>
    </row>
    <row r="882" spans="1:49" hidden="1" x14ac:dyDescent="0.35">
      <c r="A882" t="s">
        <v>2796</v>
      </c>
      <c r="B882" t="s">
        <v>872</v>
      </c>
      <c r="C882" t="s">
        <v>4818</v>
      </c>
      <c r="D882" t="s">
        <v>18</v>
      </c>
      <c r="E882" t="s">
        <v>3713</v>
      </c>
      <c r="F882" t="s">
        <v>3714</v>
      </c>
      <c r="G882" t="s">
        <v>21</v>
      </c>
      <c r="H882" t="s">
        <v>4888</v>
      </c>
      <c r="I882" t="s">
        <v>5003</v>
      </c>
      <c r="J882" s="4" t="s">
        <v>5004</v>
      </c>
      <c r="K882" s="4" t="s">
        <v>4904</v>
      </c>
      <c r="L882" s="4" t="s">
        <v>4864</v>
      </c>
      <c r="M882" s="4" t="s">
        <v>5035</v>
      </c>
      <c r="N882" t="s">
        <v>3715</v>
      </c>
      <c r="O882" t="s">
        <v>3716</v>
      </c>
      <c r="P882" t="s">
        <v>23</v>
      </c>
      <c r="Q882" t="s">
        <v>24</v>
      </c>
      <c r="R882" t="s">
        <v>25</v>
      </c>
      <c r="S882" t="s">
        <v>26</v>
      </c>
      <c r="T882" s="6">
        <v>46307</v>
      </c>
      <c r="U882">
        <v>60</v>
      </c>
      <c r="V882">
        <v>60</v>
      </c>
      <c r="W882">
        <v>60</v>
      </c>
      <c r="X882">
        <v>60</v>
      </c>
      <c r="Y882">
        <f t="shared" si="144"/>
        <v>0</v>
      </c>
      <c r="Z882">
        <f t="shared" si="145"/>
        <v>0</v>
      </c>
      <c r="AC882" s="1">
        <v>0</v>
      </c>
      <c r="AF882">
        <f t="shared" si="152"/>
        <v>60</v>
      </c>
      <c r="AG882" s="41">
        <v>12</v>
      </c>
      <c r="AH882">
        <f t="shared" si="146"/>
        <v>60</v>
      </c>
      <c r="AI882">
        <f t="shared" si="147"/>
        <v>0</v>
      </c>
      <c r="AK882">
        <f t="shared" si="148"/>
        <v>5</v>
      </c>
      <c r="AL882">
        <v>12.89</v>
      </c>
      <c r="AM882" t="s">
        <v>27</v>
      </c>
      <c r="AN882">
        <v>12.89</v>
      </c>
      <c r="AO882" t="b">
        <f t="shared" si="149"/>
        <v>1</v>
      </c>
      <c r="AR882" t="s">
        <v>5061</v>
      </c>
      <c r="AS882" s="21">
        <v>46276</v>
      </c>
      <c r="AT882" t="s">
        <v>5062</v>
      </c>
      <c r="AU882" t="s">
        <v>5078</v>
      </c>
      <c r="AV882" t="s">
        <v>5062</v>
      </c>
      <c r="AW882" t="s">
        <v>5086</v>
      </c>
    </row>
    <row r="883" spans="1:49" hidden="1" x14ac:dyDescent="0.35">
      <c r="A883" t="s">
        <v>2796</v>
      </c>
      <c r="B883" t="s">
        <v>872</v>
      </c>
      <c r="C883" t="s">
        <v>4818</v>
      </c>
      <c r="D883" t="s">
        <v>18</v>
      </c>
      <c r="E883" t="s">
        <v>3717</v>
      </c>
      <c r="F883" t="s">
        <v>3718</v>
      </c>
      <c r="G883" t="s">
        <v>21</v>
      </c>
      <c r="H883" t="s">
        <v>4888</v>
      </c>
      <c r="I883" t="s">
        <v>5003</v>
      </c>
      <c r="J883" s="4" t="s">
        <v>5004</v>
      </c>
      <c r="K883" s="4" t="s">
        <v>5016</v>
      </c>
      <c r="L883" s="4" t="s">
        <v>4901</v>
      </c>
      <c r="M883" s="4" t="s">
        <v>5035</v>
      </c>
      <c r="N883" t="s">
        <v>3719</v>
      </c>
      <c r="O883" t="s">
        <v>3720</v>
      </c>
      <c r="P883" t="s">
        <v>23</v>
      </c>
      <c r="Q883" t="s">
        <v>24</v>
      </c>
      <c r="R883" t="s">
        <v>25</v>
      </c>
      <c r="S883" t="s">
        <v>26</v>
      </c>
      <c r="T883" s="6">
        <v>46307</v>
      </c>
      <c r="U883">
        <v>48</v>
      </c>
      <c r="V883">
        <v>48</v>
      </c>
      <c r="W883">
        <v>48</v>
      </c>
      <c r="X883">
        <v>48</v>
      </c>
      <c r="Y883">
        <f t="shared" si="144"/>
        <v>0</v>
      </c>
      <c r="Z883">
        <f t="shared" si="145"/>
        <v>0</v>
      </c>
      <c r="AC883" s="1">
        <v>0</v>
      </c>
      <c r="AF883">
        <f t="shared" si="152"/>
        <v>48</v>
      </c>
      <c r="AG883" s="41">
        <v>12</v>
      </c>
      <c r="AH883">
        <f t="shared" si="146"/>
        <v>48</v>
      </c>
      <c r="AI883">
        <f t="shared" si="147"/>
        <v>0</v>
      </c>
      <c r="AK883">
        <f t="shared" si="148"/>
        <v>4</v>
      </c>
      <c r="AL883">
        <v>13.33</v>
      </c>
      <c r="AM883" t="s">
        <v>27</v>
      </c>
      <c r="AN883">
        <v>13.33</v>
      </c>
      <c r="AO883" t="b">
        <f t="shared" si="149"/>
        <v>1</v>
      </c>
      <c r="AR883" t="s">
        <v>5061</v>
      </c>
      <c r="AS883" s="21">
        <v>46276</v>
      </c>
      <c r="AT883" t="s">
        <v>5062</v>
      </c>
      <c r="AU883" t="s">
        <v>5078</v>
      </c>
      <c r="AV883" t="s">
        <v>5062</v>
      </c>
      <c r="AW883" t="s">
        <v>5086</v>
      </c>
    </row>
    <row r="884" spans="1:49" hidden="1" x14ac:dyDescent="0.35">
      <c r="A884" t="s">
        <v>2796</v>
      </c>
      <c r="B884" t="s">
        <v>872</v>
      </c>
      <c r="C884" t="s">
        <v>4818</v>
      </c>
      <c r="D884" t="s">
        <v>18</v>
      </c>
      <c r="E884" t="s">
        <v>3721</v>
      </c>
      <c r="F884" t="s">
        <v>3722</v>
      </c>
      <c r="G884" t="s">
        <v>21</v>
      </c>
      <c r="H884" t="s">
        <v>4888</v>
      </c>
      <c r="I884" t="s">
        <v>5008</v>
      </c>
      <c r="J884" s="4" t="s">
        <v>5009</v>
      </c>
      <c r="K884" s="4" t="s">
        <v>4904</v>
      </c>
      <c r="L884" s="4">
        <v>34</v>
      </c>
      <c r="M884" s="4" t="s">
        <v>5035</v>
      </c>
      <c r="N884" t="s">
        <v>3723</v>
      </c>
      <c r="O884" t="s">
        <v>3724</v>
      </c>
      <c r="P884" t="s">
        <v>23</v>
      </c>
      <c r="Q884" t="s">
        <v>24</v>
      </c>
      <c r="R884" t="s">
        <v>25</v>
      </c>
      <c r="S884" t="s">
        <v>26</v>
      </c>
      <c r="T884" s="6">
        <v>46307</v>
      </c>
      <c r="U884">
        <v>864</v>
      </c>
      <c r="V884">
        <v>864</v>
      </c>
      <c r="W884">
        <v>912</v>
      </c>
      <c r="X884">
        <v>912</v>
      </c>
      <c r="Y884">
        <f t="shared" si="144"/>
        <v>0</v>
      </c>
      <c r="Z884">
        <f t="shared" si="145"/>
        <v>-48</v>
      </c>
      <c r="AC884" s="1"/>
      <c r="AF884">
        <f t="shared" si="152"/>
        <v>864</v>
      </c>
      <c r="AG884" s="41">
        <v>24</v>
      </c>
      <c r="AH884">
        <f t="shared" si="146"/>
        <v>864</v>
      </c>
      <c r="AI884">
        <f t="shared" si="147"/>
        <v>0</v>
      </c>
      <c r="AK884">
        <f t="shared" si="148"/>
        <v>36</v>
      </c>
      <c r="AL884">
        <v>10.11</v>
      </c>
      <c r="AM884" t="s">
        <v>27</v>
      </c>
      <c r="AN884">
        <v>10.11</v>
      </c>
      <c r="AO884" t="b">
        <f t="shared" si="149"/>
        <v>1</v>
      </c>
      <c r="AR884" t="s">
        <v>5061</v>
      </c>
      <c r="AS884" s="21">
        <v>46276</v>
      </c>
      <c r="AT884" t="s">
        <v>5062</v>
      </c>
      <c r="AU884" t="s">
        <v>5080</v>
      </c>
      <c r="AV884" t="s">
        <v>5062</v>
      </c>
      <c r="AW884" t="s">
        <v>5086</v>
      </c>
    </row>
    <row r="885" spans="1:49" hidden="1" x14ac:dyDescent="0.35">
      <c r="A885" t="s">
        <v>2796</v>
      </c>
      <c r="B885" t="s">
        <v>872</v>
      </c>
      <c r="C885" t="s">
        <v>4818</v>
      </c>
      <c r="D885" t="s">
        <v>18</v>
      </c>
      <c r="E885" t="s">
        <v>3725</v>
      </c>
      <c r="F885" t="s">
        <v>3726</v>
      </c>
      <c r="G885" t="s">
        <v>21</v>
      </c>
      <c r="H885" t="s">
        <v>4888</v>
      </c>
      <c r="I885" t="s">
        <v>5003</v>
      </c>
      <c r="J885" s="4" t="s">
        <v>5004</v>
      </c>
      <c r="K885" s="4" t="s">
        <v>5015</v>
      </c>
      <c r="L885" s="4" t="s">
        <v>4879</v>
      </c>
      <c r="M885" s="4" t="s">
        <v>5035</v>
      </c>
      <c r="N885" t="s">
        <v>3727</v>
      </c>
      <c r="O885" t="s">
        <v>3728</v>
      </c>
      <c r="P885" t="s">
        <v>23</v>
      </c>
      <c r="Q885" t="s">
        <v>24</v>
      </c>
      <c r="R885" t="s">
        <v>25</v>
      </c>
      <c r="S885" t="s">
        <v>26</v>
      </c>
      <c r="T885" s="6">
        <v>46307</v>
      </c>
      <c r="U885">
        <v>96</v>
      </c>
      <c r="V885">
        <v>96</v>
      </c>
      <c r="W885">
        <v>84</v>
      </c>
      <c r="X885">
        <v>84</v>
      </c>
      <c r="Y885">
        <f t="shared" si="144"/>
        <v>0</v>
      </c>
      <c r="Z885">
        <f t="shared" si="145"/>
        <v>12</v>
      </c>
      <c r="AA885">
        <f>Z885</f>
        <v>12</v>
      </c>
      <c r="AC885" s="1">
        <v>0</v>
      </c>
      <c r="AF885">
        <f>X885</f>
        <v>84</v>
      </c>
      <c r="AG885" s="41">
        <v>12</v>
      </c>
      <c r="AH885">
        <f t="shared" si="146"/>
        <v>84</v>
      </c>
      <c r="AI885">
        <f t="shared" si="147"/>
        <v>12</v>
      </c>
      <c r="AK885">
        <f t="shared" si="148"/>
        <v>7</v>
      </c>
      <c r="AL885">
        <v>13.01</v>
      </c>
      <c r="AM885" t="s">
        <v>27</v>
      </c>
      <c r="AN885">
        <v>13.01</v>
      </c>
      <c r="AO885" t="b">
        <f t="shared" si="149"/>
        <v>1</v>
      </c>
      <c r="AR885" t="s">
        <v>5061</v>
      </c>
      <c r="AS885" s="21">
        <v>46276</v>
      </c>
      <c r="AT885" t="s">
        <v>5062</v>
      </c>
      <c r="AU885" t="s">
        <v>5078</v>
      </c>
      <c r="AV885" t="s">
        <v>5062</v>
      </c>
      <c r="AW885" t="s">
        <v>5086</v>
      </c>
    </row>
    <row r="886" spans="1:49" hidden="1" x14ac:dyDescent="0.35">
      <c r="A886" t="s">
        <v>2796</v>
      </c>
      <c r="B886" t="s">
        <v>872</v>
      </c>
      <c r="C886" t="s">
        <v>4818</v>
      </c>
      <c r="D886" t="s">
        <v>18</v>
      </c>
      <c r="E886" t="s">
        <v>3729</v>
      </c>
      <c r="F886" t="s">
        <v>3730</v>
      </c>
      <c r="G886" t="s">
        <v>21</v>
      </c>
      <c r="H886" t="s">
        <v>4888</v>
      </c>
      <c r="I886" t="s">
        <v>5003</v>
      </c>
      <c r="J886" s="4" t="s">
        <v>5004</v>
      </c>
      <c r="K886" s="4" t="s">
        <v>4837</v>
      </c>
      <c r="L886" s="4" t="s">
        <v>4901</v>
      </c>
      <c r="M886" s="4" t="s">
        <v>5035</v>
      </c>
      <c r="N886" t="s">
        <v>3731</v>
      </c>
      <c r="O886" t="s">
        <v>3732</v>
      </c>
      <c r="P886" t="s">
        <v>23</v>
      </c>
      <c r="Q886" t="s">
        <v>24</v>
      </c>
      <c r="R886" t="s">
        <v>25</v>
      </c>
      <c r="S886" t="s">
        <v>26</v>
      </c>
      <c r="T886" s="6">
        <v>46307</v>
      </c>
      <c r="U886">
        <v>48</v>
      </c>
      <c r="V886">
        <v>48</v>
      </c>
      <c r="W886">
        <v>60</v>
      </c>
      <c r="X886">
        <v>60</v>
      </c>
      <c r="Y886">
        <f t="shared" si="144"/>
        <v>0</v>
      </c>
      <c r="Z886">
        <f t="shared" si="145"/>
        <v>-12</v>
      </c>
      <c r="AC886" s="1">
        <v>0</v>
      </c>
      <c r="AF886">
        <f t="shared" ref="AF886:AF893" si="153">V886</f>
        <v>48</v>
      </c>
      <c r="AG886" s="41">
        <v>12</v>
      </c>
      <c r="AH886">
        <f t="shared" si="146"/>
        <v>48</v>
      </c>
      <c r="AI886">
        <f t="shared" si="147"/>
        <v>0</v>
      </c>
      <c r="AK886">
        <f t="shared" si="148"/>
        <v>4</v>
      </c>
      <c r="AL886">
        <v>12.87</v>
      </c>
      <c r="AM886" t="s">
        <v>27</v>
      </c>
      <c r="AN886">
        <v>12.87</v>
      </c>
      <c r="AO886" t="b">
        <f t="shared" si="149"/>
        <v>1</v>
      </c>
      <c r="AR886" t="s">
        <v>5061</v>
      </c>
      <c r="AS886" s="21">
        <v>46276</v>
      </c>
      <c r="AT886" t="s">
        <v>5062</v>
      </c>
      <c r="AU886" t="s">
        <v>5078</v>
      </c>
      <c r="AV886" t="s">
        <v>5062</v>
      </c>
      <c r="AW886" t="s">
        <v>5086</v>
      </c>
    </row>
    <row r="887" spans="1:49" hidden="1" x14ac:dyDescent="0.35">
      <c r="A887" t="s">
        <v>2796</v>
      </c>
      <c r="B887" t="s">
        <v>872</v>
      </c>
      <c r="C887" t="s">
        <v>4818</v>
      </c>
      <c r="D887" t="s">
        <v>18</v>
      </c>
      <c r="E887" t="s">
        <v>3733</v>
      </c>
      <c r="F887" t="s">
        <v>3734</v>
      </c>
      <c r="G887" t="s">
        <v>21</v>
      </c>
      <c r="H887" t="s">
        <v>4888</v>
      </c>
      <c r="I887" t="s">
        <v>5005</v>
      </c>
      <c r="J887" s="4" t="s">
        <v>5006</v>
      </c>
      <c r="K887" s="4" t="s">
        <v>5027</v>
      </c>
      <c r="L887" s="4">
        <v>30</v>
      </c>
      <c r="M887" s="4" t="s">
        <v>5035</v>
      </c>
      <c r="N887" t="s">
        <v>3735</v>
      </c>
      <c r="O887" t="s">
        <v>3736</v>
      </c>
      <c r="P887" t="s">
        <v>23</v>
      </c>
      <c r="Q887" t="s">
        <v>24</v>
      </c>
      <c r="R887" t="s">
        <v>25</v>
      </c>
      <c r="S887" t="s">
        <v>26</v>
      </c>
      <c r="T887" s="6">
        <v>46307</v>
      </c>
      <c r="U887">
        <v>216</v>
      </c>
      <c r="V887">
        <v>216</v>
      </c>
      <c r="W887">
        <v>216</v>
      </c>
      <c r="X887">
        <v>216</v>
      </c>
      <c r="Y887">
        <f t="shared" si="144"/>
        <v>0</v>
      </c>
      <c r="Z887">
        <f t="shared" si="145"/>
        <v>0</v>
      </c>
      <c r="AC887" s="1">
        <v>0</v>
      </c>
      <c r="AF887">
        <f t="shared" si="153"/>
        <v>216</v>
      </c>
      <c r="AG887" s="41">
        <v>24</v>
      </c>
      <c r="AH887">
        <f t="shared" si="146"/>
        <v>216</v>
      </c>
      <c r="AI887">
        <f t="shared" si="147"/>
        <v>0</v>
      </c>
      <c r="AK887">
        <f t="shared" si="148"/>
        <v>9</v>
      </c>
      <c r="AL887">
        <v>10.24</v>
      </c>
      <c r="AM887" t="s">
        <v>27</v>
      </c>
      <c r="AN887">
        <v>10.24</v>
      </c>
      <c r="AO887" t="b">
        <f t="shared" si="149"/>
        <v>1</v>
      </c>
      <c r="AR887" t="s">
        <v>5061</v>
      </c>
      <c r="AS887" s="21">
        <v>46276</v>
      </c>
      <c r="AT887" t="s">
        <v>5062</v>
      </c>
      <c r="AU887" t="s">
        <v>5079</v>
      </c>
      <c r="AV887" t="s">
        <v>5062</v>
      </c>
      <c r="AW887" t="s">
        <v>5086</v>
      </c>
    </row>
    <row r="888" spans="1:49" hidden="1" x14ac:dyDescent="0.35">
      <c r="A888" t="s">
        <v>2796</v>
      </c>
      <c r="B888" t="s">
        <v>872</v>
      </c>
      <c r="C888" t="s">
        <v>4818</v>
      </c>
      <c r="D888" t="s">
        <v>18</v>
      </c>
      <c r="E888" t="s">
        <v>3737</v>
      </c>
      <c r="F888" t="s">
        <v>3738</v>
      </c>
      <c r="G888" t="s">
        <v>21</v>
      </c>
      <c r="H888" t="s">
        <v>4888</v>
      </c>
      <c r="I888" t="s">
        <v>5012</v>
      </c>
      <c r="J888" s="4" t="s">
        <v>5013</v>
      </c>
      <c r="K888" s="4" t="s">
        <v>4984</v>
      </c>
      <c r="L888" s="4" t="s">
        <v>4986</v>
      </c>
      <c r="M888" s="4" t="s">
        <v>5035</v>
      </c>
      <c r="N888" t="s">
        <v>3739</v>
      </c>
      <c r="O888" t="s">
        <v>3740</v>
      </c>
      <c r="P888" t="s">
        <v>23</v>
      </c>
      <c r="Q888" t="s">
        <v>24</v>
      </c>
      <c r="R888" t="s">
        <v>25</v>
      </c>
      <c r="S888" t="s">
        <v>26</v>
      </c>
      <c r="T888" s="6">
        <v>46307</v>
      </c>
      <c r="U888">
        <v>888</v>
      </c>
      <c r="V888">
        <v>888</v>
      </c>
      <c r="W888">
        <v>960</v>
      </c>
      <c r="X888">
        <v>960</v>
      </c>
      <c r="Y888">
        <f t="shared" si="144"/>
        <v>0</v>
      </c>
      <c r="Z888">
        <f t="shared" si="145"/>
        <v>-72</v>
      </c>
      <c r="AC888" s="1"/>
      <c r="AF888">
        <f t="shared" si="153"/>
        <v>888</v>
      </c>
      <c r="AG888" s="41">
        <v>24</v>
      </c>
      <c r="AH888">
        <f t="shared" si="146"/>
        <v>888</v>
      </c>
      <c r="AI888">
        <f t="shared" si="147"/>
        <v>0</v>
      </c>
      <c r="AK888">
        <f t="shared" si="148"/>
        <v>37</v>
      </c>
      <c r="AL888">
        <v>6.05</v>
      </c>
      <c r="AM888" t="s">
        <v>27</v>
      </c>
      <c r="AN888">
        <v>6.05</v>
      </c>
      <c r="AO888" t="b">
        <f t="shared" si="149"/>
        <v>1</v>
      </c>
      <c r="AR888" t="s">
        <v>5061</v>
      </c>
      <c r="AS888" s="21">
        <v>46276</v>
      </c>
      <c r="AT888" t="s">
        <v>5062</v>
      </c>
      <c r="AU888" t="s">
        <v>5081</v>
      </c>
      <c r="AV888" t="s">
        <v>5062</v>
      </c>
      <c r="AW888" t="s">
        <v>5086</v>
      </c>
    </row>
    <row r="889" spans="1:49" hidden="1" x14ac:dyDescent="0.35">
      <c r="A889" t="s">
        <v>2796</v>
      </c>
      <c r="B889" t="s">
        <v>872</v>
      </c>
      <c r="C889" t="s">
        <v>4818</v>
      </c>
      <c r="D889" t="s">
        <v>18</v>
      </c>
      <c r="E889" t="s">
        <v>3741</v>
      </c>
      <c r="F889" t="s">
        <v>3742</v>
      </c>
      <c r="G889" t="s">
        <v>21</v>
      </c>
      <c r="H889" t="s">
        <v>4888</v>
      </c>
      <c r="I889" t="s">
        <v>5003</v>
      </c>
      <c r="J889" s="4" t="s">
        <v>5004</v>
      </c>
      <c r="K889" s="4" t="s">
        <v>4904</v>
      </c>
      <c r="L889" s="4" t="s">
        <v>4870</v>
      </c>
      <c r="M889" s="4" t="s">
        <v>5035</v>
      </c>
      <c r="N889" t="s">
        <v>3743</v>
      </c>
      <c r="O889" t="s">
        <v>3744</v>
      </c>
      <c r="P889" t="s">
        <v>23</v>
      </c>
      <c r="Q889" t="s">
        <v>24</v>
      </c>
      <c r="R889" t="s">
        <v>25</v>
      </c>
      <c r="S889" t="s">
        <v>26</v>
      </c>
      <c r="T889" s="6">
        <v>46307</v>
      </c>
      <c r="U889">
        <v>60</v>
      </c>
      <c r="V889">
        <v>60</v>
      </c>
      <c r="W889">
        <v>72</v>
      </c>
      <c r="X889">
        <v>72</v>
      </c>
      <c r="Y889">
        <f t="shared" si="144"/>
        <v>0</v>
      </c>
      <c r="Z889">
        <f t="shared" si="145"/>
        <v>-12</v>
      </c>
      <c r="AC889" s="1">
        <v>0</v>
      </c>
      <c r="AF889">
        <f t="shared" si="153"/>
        <v>60</v>
      </c>
      <c r="AG889" s="41">
        <v>12</v>
      </c>
      <c r="AH889">
        <f t="shared" si="146"/>
        <v>60</v>
      </c>
      <c r="AI889">
        <f t="shared" si="147"/>
        <v>0</v>
      </c>
      <c r="AK889">
        <f t="shared" si="148"/>
        <v>5</v>
      </c>
      <c r="AL889">
        <v>12.89</v>
      </c>
      <c r="AM889" t="s">
        <v>27</v>
      </c>
      <c r="AN889">
        <v>12.89</v>
      </c>
      <c r="AO889" t="b">
        <f t="shared" si="149"/>
        <v>1</v>
      </c>
      <c r="AR889" t="s">
        <v>5061</v>
      </c>
      <c r="AS889" s="21">
        <v>46276</v>
      </c>
      <c r="AT889" t="s">
        <v>5062</v>
      </c>
      <c r="AU889" t="s">
        <v>5078</v>
      </c>
      <c r="AV889" t="s">
        <v>5062</v>
      </c>
      <c r="AW889" t="s">
        <v>5086</v>
      </c>
    </row>
    <row r="890" spans="1:49" hidden="1" x14ac:dyDescent="0.35">
      <c r="A890" t="s">
        <v>2796</v>
      </c>
      <c r="B890" t="s">
        <v>872</v>
      </c>
      <c r="C890" t="s">
        <v>4818</v>
      </c>
      <c r="D890" t="s">
        <v>18</v>
      </c>
      <c r="E890" t="s">
        <v>3745</v>
      </c>
      <c r="F890" t="s">
        <v>3746</v>
      </c>
      <c r="G890" t="s">
        <v>21</v>
      </c>
      <c r="H890" t="s">
        <v>4888</v>
      </c>
      <c r="I890" t="s">
        <v>5010</v>
      </c>
      <c r="J890" s="4" t="s">
        <v>5011</v>
      </c>
      <c r="K890" s="4" t="s">
        <v>4904</v>
      </c>
      <c r="L890" s="4" t="s">
        <v>4986</v>
      </c>
      <c r="M890" s="4" t="s">
        <v>5035</v>
      </c>
      <c r="N890" t="s">
        <v>3747</v>
      </c>
      <c r="O890" t="s">
        <v>3748</v>
      </c>
      <c r="P890" t="s">
        <v>23</v>
      </c>
      <c r="Q890" t="s">
        <v>24</v>
      </c>
      <c r="R890" t="s">
        <v>25</v>
      </c>
      <c r="S890" t="s">
        <v>26</v>
      </c>
      <c r="T890" s="6">
        <v>46307</v>
      </c>
      <c r="U890">
        <v>288</v>
      </c>
      <c r="V890">
        <v>288</v>
      </c>
      <c r="W890">
        <v>312</v>
      </c>
      <c r="X890">
        <v>312</v>
      </c>
      <c r="Y890">
        <f t="shared" si="144"/>
        <v>0</v>
      </c>
      <c r="Z890">
        <f t="shared" si="145"/>
        <v>-24</v>
      </c>
      <c r="AC890" s="1">
        <v>0</v>
      </c>
      <c r="AF890">
        <f t="shared" si="153"/>
        <v>288</v>
      </c>
      <c r="AG890" s="41">
        <v>24</v>
      </c>
      <c r="AH890">
        <f t="shared" si="146"/>
        <v>288</v>
      </c>
      <c r="AI890">
        <f t="shared" si="147"/>
        <v>0</v>
      </c>
      <c r="AK890">
        <f t="shared" si="148"/>
        <v>12</v>
      </c>
      <c r="AL890">
        <v>5.03</v>
      </c>
      <c r="AM890" t="s">
        <v>27</v>
      </c>
      <c r="AN890">
        <v>5.03</v>
      </c>
      <c r="AO890" t="b">
        <f t="shared" si="149"/>
        <v>1</v>
      </c>
      <c r="AR890" t="s">
        <v>5061</v>
      </c>
      <c r="AS890" s="21">
        <v>46276</v>
      </c>
      <c r="AT890" t="s">
        <v>5062</v>
      </c>
      <c r="AU890" t="s">
        <v>5081</v>
      </c>
      <c r="AV890" t="s">
        <v>5062</v>
      </c>
      <c r="AW890" t="s">
        <v>5086</v>
      </c>
    </row>
    <row r="891" spans="1:49" hidden="1" x14ac:dyDescent="0.35">
      <c r="A891" t="s">
        <v>2796</v>
      </c>
      <c r="B891" t="s">
        <v>872</v>
      </c>
      <c r="C891" t="s">
        <v>4818</v>
      </c>
      <c r="D891" t="s">
        <v>18</v>
      </c>
      <c r="E891" t="s">
        <v>3749</v>
      </c>
      <c r="F891" t="s">
        <v>3750</v>
      </c>
      <c r="G891" t="s">
        <v>21</v>
      </c>
      <c r="H891" t="s">
        <v>4888</v>
      </c>
      <c r="I891" t="s">
        <v>5003</v>
      </c>
      <c r="J891" s="4" t="s">
        <v>5004</v>
      </c>
      <c r="K891" s="4" t="s">
        <v>4904</v>
      </c>
      <c r="L891" s="4" t="s">
        <v>4863</v>
      </c>
      <c r="M891" s="4" t="s">
        <v>5035</v>
      </c>
      <c r="N891" t="s">
        <v>3751</v>
      </c>
      <c r="O891" t="s">
        <v>3752</v>
      </c>
      <c r="P891" t="s">
        <v>23</v>
      </c>
      <c r="Q891" t="s">
        <v>24</v>
      </c>
      <c r="R891" t="s">
        <v>25</v>
      </c>
      <c r="S891" t="s">
        <v>26</v>
      </c>
      <c r="T891" s="6">
        <v>46307</v>
      </c>
      <c r="U891">
        <v>60</v>
      </c>
      <c r="V891">
        <v>60</v>
      </c>
      <c r="W891">
        <v>72</v>
      </c>
      <c r="X891">
        <v>72</v>
      </c>
      <c r="Y891">
        <f t="shared" si="144"/>
        <v>0</v>
      </c>
      <c r="Z891">
        <f t="shared" si="145"/>
        <v>-12</v>
      </c>
      <c r="AC891" s="1">
        <v>0</v>
      </c>
      <c r="AF891">
        <f t="shared" si="153"/>
        <v>60</v>
      </c>
      <c r="AG891" s="41">
        <v>12</v>
      </c>
      <c r="AH891">
        <f t="shared" si="146"/>
        <v>60</v>
      </c>
      <c r="AI891">
        <f t="shared" si="147"/>
        <v>0</v>
      </c>
      <c r="AK891">
        <f t="shared" si="148"/>
        <v>5</v>
      </c>
      <c r="AL891">
        <v>12.89</v>
      </c>
      <c r="AM891" t="s">
        <v>27</v>
      </c>
      <c r="AN891">
        <v>12.89</v>
      </c>
      <c r="AO891" t="b">
        <f t="shared" si="149"/>
        <v>1</v>
      </c>
      <c r="AR891" t="s">
        <v>5061</v>
      </c>
      <c r="AS891" s="21">
        <v>46276</v>
      </c>
      <c r="AT891" t="s">
        <v>5062</v>
      </c>
      <c r="AU891" t="s">
        <v>5078</v>
      </c>
      <c r="AV891" t="s">
        <v>5062</v>
      </c>
      <c r="AW891" t="s">
        <v>5086</v>
      </c>
    </row>
    <row r="892" spans="1:49" hidden="1" x14ac:dyDescent="0.35">
      <c r="A892" t="s">
        <v>2796</v>
      </c>
      <c r="B892" t="s">
        <v>872</v>
      </c>
      <c r="C892" t="s">
        <v>4818</v>
      </c>
      <c r="D892" t="s">
        <v>18</v>
      </c>
      <c r="E892" t="s">
        <v>3753</v>
      </c>
      <c r="F892" t="s">
        <v>3754</v>
      </c>
      <c r="G892" t="s">
        <v>21</v>
      </c>
      <c r="H892" t="s">
        <v>4888</v>
      </c>
      <c r="I892" t="s">
        <v>5003</v>
      </c>
      <c r="J892" s="4" t="s">
        <v>5004</v>
      </c>
      <c r="K892" s="4" t="s">
        <v>4837</v>
      </c>
      <c r="L892" s="4" t="s">
        <v>4920</v>
      </c>
      <c r="M892" s="4" t="s">
        <v>5035</v>
      </c>
      <c r="N892" t="s">
        <v>3755</v>
      </c>
      <c r="O892" t="s">
        <v>3756</v>
      </c>
      <c r="P892" t="s">
        <v>23</v>
      </c>
      <c r="Q892" t="s">
        <v>24</v>
      </c>
      <c r="R892" t="s">
        <v>25</v>
      </c>
      <c r="S892" t="s">
        <v>26</v>
      </c>
      <c r="T892" s="6">
        <v>46307</v>
      </c>
      <c r="U892">
        <v>72</v>
      </c>
      <c r="V892">
        <v>72</v>
      </c>
      <c r="W892">
        <v>84</v>
      </c>
      <c r="X892">
        <v>84</v>
      </c>
      <c r="Y892">
        <f t="shared" si="144"/>
        <v>0</v>
      </c>
      <c r="Z892">
        <f t="shared" si="145"/>
        <v>-12</v>
      </c>
      <c r="AC892" s="1">
        <v>0</v>
      </c>
      <c r="AF892">
        <f t="shared" si="153"/>
        <v>72</v>
      </c>
      <c r="AG892" s="41">
        <v>12</v>
      </c>
      <c r="AH892">
        <f t="shared" si="146"/>
        <v>72</v>
      </c>
      <c r="AI892">
        <f t="shared" si="147"/>
        <v>0</v>
      </c>
      <c r="AK892">
        <f t="shared" si="148"/>
        <v>6</v>
      </c>
      <c r="AL892">
        <v>12.87</v>
      </c>
      <c r="AM892" t="s">
        <v>27</v>
      </c>
      <c r="AN892">
        <v>12.87</v>
      </c>
      <c r="AO892" t="b">
        <f t="shared" si="149"/>
        <v>1</v>
      </c>
      <c r="AR892" t="s">
        <v>5061</v>
      </c>
      <c r="AS892" s="21">
        <v>46276</v>
      </c>
      <c r="AT892" t="s">
        <v>5062</v>
      </c>
      <c r="AU892" t="s">
        <v>5078</v>
      </c>
      <c r="AV892" t="s">
        <v>5062</v>
      </c>
      <c r="AW892" t="s">
        <v>5086</v>
      </c>
    </row>
    <row r="893" spans="1:49" hidden="1" x14ac:dyDescent="0.35">
      <c r="A893" t="s">
        <v>2796</v>
      </c>
      <c r="B893" t="s">
        <v>872</v>
      </c>
      <c r="C893" t="s">
        <v>4818</v>
      </c>
      <c r="D893" t="s">
        <v>18</v>
      </c>
      <c r="E893" t="s">
        <v>3757</v>
      </c>
      <c r="F893" t="s">
        <v>3758</v>
      </c>
      <c r="G893" t="s">
        <v>21</v>
      </c>
      <c r="H893" t="s">
        <v>4888</v>
      </c>
      <c r="I893" t="s">
        <v>5005</v>
      </c>
      <c r="J893" s="4" t="s">
        <v>5006</v>
      </c>
      <c r="K893" s="4" t="s">
        <v>4837</v>
      </c>
      <c r="L893" s="4">
        <v>28</v>
      </c>
      <c r="M893" s="4" t="s">
        <v>5035</v>
      </c>
      <c r="N893" t="s">
        <v>3759</v>
      </c>
      <c r="O893" t="s">
        <v>3760</v>
      </c>
      <c r="P893" t="s">
        <v>23</v>
      </c>
      <c r="Q893" t="s">
        <v>24</v>
      </c>
      <c r="R893" t="s">
        <v>25</v>
      </c>
      <c r="S893" t="s">
        <v>26</v>
      </c>
      <c r="T893" s="6">
        <v>46307</v>
      </c>
      <c r="U893">
        <v>120</v>
      </c>
      <c r="V893">
        <v>120</v>
      </c>
      <c r="W893">
        <v>120</v>
      </c>
      <c r="X893">
        <v>120</v>
      </c>
      <c r="Y893">
        <f t="shared" si="144"/>
        <v>0</v>
      </c>
      <c r="Z893">
        <f t="shared" si="145"/>
        <v>0</v>
      </c>
      <c r="AC893" s="1">
        <v>0</v>
      </c>
      <c r="AF893">
        <f t="shared" si="153"/>
        <v>120</v>
      </c>
      <c r="AG893" s="41">
        <v>24</v>
      </c>
      <c r="AH893">
        <f t="shared" si="146"/>
        <v>120</v>
      </c>
      <c r="AI893">
        <f t="shared" si="147"/>
        <v>0</v>
      </c>
      <c r="AK893">
        <f t="shared" si="148"/>
        <v>5</v>
      </c>
      <c r="AL893">
        <v>9.58</v>
      </c>
      <c r="AM893" t="s">
        <v>27</v>
      </c>
      <c r="AN893">
        <v>9.58</v>
      </c>
      <c r="AO893" t="b">
        <f t="shared" si="149"/>
        <v>1</v>
      </c>
      <c r="AR893" t="s">
        <v>5061</v>
      </c>
      <c r="AS893" s="21">
        <v>46276</v>
      </c>
      <c r="AT893" t="s">
        <v>5062</v>
      </c>
      <c r="AU893" t="s">
        <v>5079</v>
      </c>
      <c r="AV893" t="s">
        <v>5062</v>
      </c>
      <c r="AW893" t="s">
        <v>5086</v>
      </c>
    </row>
    <row r="894" spans="1:49" hidden="1" x14ac:dyDescent="0.35">
      <c r="A894" t="s">
        <v>2796</v>
      </c>
      <c r="B894" t="s">
        <v>872</v>
      </c>
      <c r="C894" t="s">
        <v>4818</v>
      </c>
      <c r="D894" t="s">
        <v>18</v>
      </c>
      <c r="E894" t="s">
        <v>3761</v>
      </c>
      <c r="F894" t="s">
        <v>3762</v>
      </c>
      <c r="G894" t="s">
        <v>21</v>
      </c>
      <c r="H894" t="s">
        <v>4888</v>
      </c>
      <c r="I894" t="s">
        <v>5005</v>
      </c>
      <c r="J894" s="4" t="s">
        <v>5006</v>
      </c>
      <c r="K894" s="4" t="s">
        <v>5027</v>
      </c>
      <c r="L894" s="4">
        <v>36</v>
      </c>
      <c r="M894" s="4" t="s">
        <v>5035</v>
      </c>
      <c r="N894" t="s">
        <v>3763</v>
      </c>
      <c r="O894" t="s">
        <v>3764</v>
      </c>
      <c r="P894" t="s">
        <v>23</v>
      </c>
      <c r="Q894" t="s">
        <v>24</v>
      </c>
      <c r="R894" t="s">
        <v>25</v>
      </c>
      <c r="S894" t="s">
        <v>26</v>
      </c>
      <c r="T894" s="6">
        <v>46307</v>
      </c>
      <c r="U894">
        <v>816</v>
      </c>
      <c r="V894">
        <v>816</v>
      </c>
      <c r="W894">
        <v>720</v>
      </c>
      <c r="X894">
        <v>720</v>
      </c>
      <c r="Y894">
        <f t="shared" si="144"/>
        <v>0</v>
      </c>
      <c r="Z894">
        <f t="shared" si="145"/>
        <v>96</v>
      </c>
      <c r="AA894">
        <f>Z894</f>
        <v>96</v>
      </c>
      <c r="AC894" s="1">
        <v>0</v>
      </c>
      <c r="AF894">
        <f>X894</f>
        <v>720</v>
      </c>
      <c r="AG894" s="41">
        <v>24</v>
      </c>
      <c r="AH894">
        <f t="shared" si="146"/>
        <v>720</v>
      </c>
      <c r="AI894">
        <f t="shared" si="147"/>
        <v>96</v>
      </c>
      <c r="AK894">
        <f t="shared" si="148"/>
        <v>30</v>
      </c>
      <c r="AL894">
        <v>10.24</v>
      </c>
      <c r="AM894" t="s">
        <v>27</v>
      </c>
      <c r="AN894">
        <v>10.24</v>
      </c>
      <c r="AO894" t="b">
        <f t="shared" si="149"/>
        <v>1</v>
      </c>
      <c r="AR894" t="s">
        <v>5061</v>
      </c>
      <c r="AS894" s="21">
        <v>46276</v>
      </c>
      <c r="AT894" t="s">
        <v>5062</v>
      </c>
      <c r="AU894" t="s">
        <v>5079</v>
      </c>
      <c r="AV894" t="s">
        <v>5062</v>
      </c>
      <c r="AW894" t="s">
        <v>5086</v>
      </c>
    </row>
    <row r="895" spans="1:49" hidden="1" x14ac:dyDescent="0.35">
      <c r="A895" t="s">
        <v>2796</v>
      </c>
      <c r="B895" t="s">
        <v>872</v>
      </c>
      <c r="C895" t="s">
        <v>4818</v>
      </c>
      <c r="D895" t="s">
        <v>18</v>
      </c>
      <c r="E895" t="s">
        <v>3765</v>
      </c>
      <c r="F895" t="s">
        <v>3766</v>
      </c>
      <c r="G895" t="s">
        <v>21</v>
      </c>
      <c r="H895" t="s">
        <v>4888</v>
      </c>
      <c r="I895" t="s">
        <v>5005</v>
      </c>
      <c r="J895" s="4" t="s">
        <v>5006</v>
      </c>
      <c r="K895" s="4" t="s">
        <v>4837</v>
      </c>
      <c r="L895" s="4">
        <v>30</v>
      </c>
      <c r="M895" s="4" t="s">
        <v>5035</v>
      </c>
      <c r="N895" t="s">
        <v>3767</v>
      </c>
      <c r="O895" t="s">
        <v>3768</v>
      </c>
      <c r="P895" t="s">
        <v>23</v>
      </c>
      <c r="Q895" t="s">
        <v>24</v>
      </c>
      <c r="R895" t="s">
        <v>25</v>
      </c>
      <c r="S895" t="s">
        <v>26</v>
      </c>
      <c r="T895" s="6">
        <v>46307</v>
      </c>
      <c r="U895">
        <v>72</v>
      </c>
      <c r="V895">
        <v>72</v>
      </c>
      <c r="W895">
        <v>72</v>
      </c>
      <c r="X895">
        <v>72</v>
      </c>
      <c r="Y895">
        <f t="shared" si="144"/>
        <v>0</v>
      </c>
      <c r="Z895">
        <f t="shared" si="145"/>
        <v>0</v>
      </c>
      <c r="AC895" s="1">
        <v>0</v>
      </c>
      <c r="AF895">
        <f t="shared" ref="AF895:AF902" si="154">V895</f>
        <v>72</v>
      </c>
      <c r="AG895" s="41">
        <v>24</v>
      </c>
      <c r="AH895">
        <f t="shared" si="146"/>
        <v>72</v>
      </c>
      <c r="AI895">
        <f t="shared" si="147"/>
        <v>0</v>
      </c>
      <c r="AK895">
        <f t="shared" si="148"/>
        <v>3</v>
      </c>
      <c r="AL895">
        <v>9.58</v>
      </c>
      <c r="AM895" t="s">
        <v>27</v>
      </c>
      <c r="AN895">
        <v>9.58</v>
      </c>
      <c r="AO895" t="b">
        <f t="shared" si="149"/>
        <v>1</v>
      </c>
      <c r="AR895" t="s">
        <v>5061</v>
      </c>
      <c r="AS895" s="21">
        <v>46276</v>
      </c>
      <c r="AT895" t="s">
        <v>5062</v>
      </c>
      <c r="AU895" t="s">
        <v>5079</v>
      </c>
      <c r="AV895" t="s">
        <v>5062</v>
      </c>
      <c r="AW895" t="s">
        <v>5086</v>
      </c>
    </row>
    <row r="896" spans="1:49" hidden="1" x14ac:dyDescent="0.35">
      <c r="A896" t="s">
        <v>2796</v>
      </c>
      <c r="B896" t="s">
        <v>872</v>
      </c>
      <c r="C896" t="s">
        <v>4818</v>
      </c>
      <c r="D896" t="s">
        <v>18</v>
      </c>
      <c r="E896" t="s">
        <v>3769</v>
      </c>
      <c r="F896" t="s">
        <v>3770</v>
      </c>
      <c r="G896" t="s">
        <v>21</v>
      </c>
      <c r="H896" t="s">
        <v>4888</v>
      </c>
      <c r="I896" t="s">
        <v>5010</v>
      </c>
      <c r="J896" s="4" t="s">
        <v>5011</v>
      </c>
      <c r="K896" s="4" t="s">
        <v>4984</v>
      </c>
      <c r="L896" s="4" t="s">
        <v>4997</v>
      </c>
      <c r="M896" s="4" t="s">
        <v>5035</v>
      </c>
      <c r="N896" t="s">
        <v>3771</v>
      </c>
      <c r="O896" t="s">
        <v>3772</v>
      </c>
      <c r="P896" t="s">
        <v>23</v>
      </c>
      <c r="Q896" t="s">
        <v>24</v>
      </c>
      <c r="R896" t="s">
        <v>25</v>
      </c>
      <c r="S896" t="s">
        <v>26</v>
      </c>
      <c r="T896" s="6">
        <v>46307</v>
      </c>
      <c r="U896">
        <v>96</v>
      </c>
      <c r="V896">
        <v>96</v>
      </c>
      <c r="W896">
        <v>96</v>
      </c>
      <c r="X896">
        <v>96</v>
      </c>
      <c r="Y896">
        <f t="shared" si="144"/>
        <v>0</v>
      </c>
      <c r="Z896">
        <f t="shared" si="145"/>
        <v>0</v>
      </c>
      <c r="AC896" s="1">
        <v>0</v>
      </c>
      <c r="AF896">
        <f t="shared" si="154"/>
        <v>96</v>
      </c>
      <c r="AG896" s="41">
        <v>24</v>
      </c>
      <c r="AH896">
        <f t="shared" si="146"/>
        <v>96</v>
      </c>
      <c r="AI896">
        <f t="shared" si="147"/>
        <v>0</v>
      </c>
      <c r="AK896">
        <f t="shared" si="148"/>
        <v>4</v>
      </c>
      <c r="AL896">
        <v>4.92</v>
      </c>
      <c r="AM896" t="s">
        <v>27</v>
      </c>
      <c r="AN896">
        <v>4.92</v>
      </c>
      <c r="AO896" t="b">
        <f t="shared" si="149"/>
        <v>1</v>
      </c>
      <c r="AR896" t="s">
        <v>5061</v>
      </c>
      <c r="AS896" s="21">
        <v>46276</v>
      </c>
      <c r="AT896" t="s">
        <v>5062</v>
      </c>
      <c r="AU896" t="s">
        <v>5081</v>
      </c>
      <c r="AV896" t="s">
        <v>5062</v>
      </c>
      <c r="AW896" t="s">
        <v>5086</v>
      </c>
    </row>
    <row r="897" spans="1:49" hidden="1" x14ac:dyDescent="0.35">
      <c r="A897" t="s">
        <v>2796</v>
      </c>
      <c r="B897" t="s">
        <v>872</v>
      </c>
      <c r="C897" t="s">
        <v>4818</v>
      </c>
      <c r="D897" t="s">
        <v>18</v>
      </c>
      <c r="E897" t="s">
        <v>3773</v>
      </c>
      <c r="F897" t="s">
        <v>3774</v>
      </c>
      <c r="G897" t="s">
        <v>21</v>
      </c>
      <c r="H897" t="s">
        <v>4888</v>
      </c>
      <c r="I897" t="s">
        <v>5003</v>
      </c>
      <c r="J897" s="4" t="s">
        <v>5004</v>
      </c>
      <c r="K897" s="4" t="s">
        <v>4837</v>
      </c>
      <c r="L897" s="4" t="s">
        <v>4910</v>
      </c>
      <c r="M897" s="4" t="s">
        <v>5035</v>
      </c>
      <c r="N897" t="s">
        <v>3775</v>
      </c>
      <c r="O897" t="s">
        <v>3776</v>
      </c>
      <c r="P897" t="s">
        <v>23</v>
      </c>
      <c r="Q897" t="s">
        <v>24</v>
      </c>
      <c r="R897" t="s">
        <v>25</v>
      </c>
      <c r="S897" t="s">
        <v>26</v>
      </c>
      <c r="T897" s="6">
        <v>46307</v>
      </c>
      <c r="U897">
        <v>24</v>
      </c>
      <c r="V897">
        <v>24</v>
      </c>
      <c r="W897">
        <v>24</v>
      </c>
      <c r="X897">
        <v>24</v>
      </c>
      <c r="Y897">
        <f t="shared" si="144"/>
        <v>0</v>
      </c>
      <c r="Z897">
        <f t="shared" si="145"/>
        <v>0</v>
      </c>
      <c r="AC897" s="1">
        <v>0</v>
      </c>
      <c r="AF897">
        <f t="shared" si="154"/>
        <v>24</v>
      </c>
      <c r="AG897" s="41">
        <v>12</v>
      </c>
      <c r="AH897">
        <f t="shared" si="146"/>
        <v>24</v>
      </c>
      <c r="AI897">
        <f t="shared" si="147"/>
        <v>0</v>
      </c>
      <c r="AK897">
        <f t="shared" si="148"/>
        <v>2</v>
      </c>
      <c r="AL897">
        <v>12.87</v>
      </c>
      <c r="AM897" t="s">
        <v>27</v>
      </c>
      <c r="AN897">
        <v>12.87</v>
      </c>
      <c r="AO897" t="b">
        <f t="shared" si="149"/>
        <v>1</v>
      </c>
      <c r="AR897" t="s">
        <v>5061</v>
      </c>
      <c r="AS897" s="21">
        <v>46276</v>
      </c>
      <c r="AT897" t="s">
        <v>5062</v>
      </c>
      <c r="AU897" t="s">
        <v>5078</v>
      </c>
      <c r="AV897" t="s">
        <v>5062</v>
      </c>
      <c r="AW897" t="s">
        <v>5086</v>
      </c>
    </row>
    <row r="898" spans="1:49" hidden="1" x14ac:dyDescent="0.35">
      <c r="A898" t="s">
        <v>2796</v>
      </c>
      <c r="B898" t="s">
        <v>872</v>
      </c>
      <c r="C898" t="s">
        <v>4818</v>
      </c>
      <c r="D898" t="s">
        <v>18</v>
      </c>
      <c r="E898" t="s">
        <v>3777</v>
      </c>
      <c r="F898" t="s">
        <v>3778</v>
      </c>
      <c r="G898" t="s">
        <v>21</v>
      </c>
      <c r="H898" t="s">
        <v>4888</v>
      </c>
      <c r="I898" t="s">
        <v>5003</v>
      </c>
      <c r="J898" s="4" t="s">
        <v>5004</v>
      </c>
      <c r="K898" s="4" t="s">
        <v>4904</v>
      </c>
      <c r="L898" s="4" t="s">
        <v>4900</v>
      </c>
      <c r="M898" s="4" t="s">
        <v>5035</v>
      </c>
      <c r="N898" t="s">
        <v>3779</v>
      </c>
      <c r="O898" t="s">
        <v>3780</v>
      </c>
      <c r="P898" t="s">
        <v>23</v>
      </c>
      <c r="Q898" t="s">
        <v>24</v>
      </c>
      <c r="R898" t="s">
        <v>25</v>
      </c>
      <c r="S898" t="s">
        <v>26</v>
      </c>
      <c r="T898" s="6">
        <v>46307</v>
      </c>
      <c r="U898">
        <v>60</v>
      </c>
      <c r="V898">
        <v>60</v>
      </c>
      <c r="W898">
        <v>72</v>
      </c>
      <c r="X898">
        <v>72</v>
      </c>
      <c r="Y898">
        <f t="shared" si="144"/>
        <v>0</v>
      </c>
      <c r="Z898">
        <f t="shared" si="145"/>
        <v>-12</v>
      </c>
      <c r="AC898" s="1">
        <v>0</v>
      </c>
      <c r="AF898">
        <f t="shared" si="154"/>
        <v>60</v>
      </c>
      <c r="AG898" s="41">
        <v>12</v>
      </c>
      <c r="AH898">
        <f t="shared" si="146"/>
        <v>60</v>
      </c>
      <c r="AI898">
        <f t="shared" si="147"/>
        <v>0</v>
      </c>
      <c r="AK898">
        <f t="shared" si="148"/>
        <v>5</v>
      </c>
      <c r="AL898">
        <v>12.89</v>
      </c>
      <c r="AM898" t="s">
        <v>27</v>
      </c>
      <c r="AN898">
        <v>12.89</v>
      </c>
      <c r="AO898" t="b">
        <f t="shared" si="149"/>
        <v>1</v>
      </c>
      <c r="AR898" t="s">
        <v>5061</v>
      </c>
      <c r="AS898" s="21">
        <v>46276</v>
      </c>
      <c r="AT898" t="s">
        <v>5062</v>
      </c>
      <c r="AU898" t="s">
        <v>5078</v>
      </c>
      <c r="AV898" t="s">
        <v>5062</v>
      </c>
      <c r="AW898" t="s">
        <v>5086</v>
      </c>
    </row>
    <row r="899" spans="1:49" hidden="1" x14ac:dyDescent="0.35">
      <c r="A899" t="s">
        <v>2796</v>
      </c>
      <c r="B899" t="s">
        <v>872</v>
      </c>
      <c r="C899" t="s">
        <v>4818</v>
      </c>
      <c r="D899" t="s">
        <v>18</v>
      </c>
      <c r="E899" t="s">
        <v>3781</v>
      </c>
      <c r="F899" t="s">
        <v>3782</v>
      </c>
      <c r="G899" t="s">
        <v>21</v>
      </c>
      <c r="H899" t="s">
        <v>4888</v>
      </c>
      <c r="I899" t="s">
        <v>5003</v>
      </c>
      <c r="J899" s="4" t="s">
        <v>5004</v>
      </c>
      <c r="K899" s="4" t="s">
        <v>4904</v>
      </c>
      <c r="L899" s="4" t="s">
        <v>4922</v>
      </c>
      <c r="M899" s="4" t="s">
        <v>5035</v>
      </c>
      <c r="N899" t="s">
        <v>3783</v>
      </c>
      <c r="O899" t="s">
        <v>3784</v>
      </c>
      <c r="P899" t="s">
        <v>23</v>
      </c>
      <c r="Q899" t="s">
        <v>24</v>
      </c>
      <c r="R899" t="s">
        <v>25</v>
      </c>
      <c r="S899" t="s">
        <v>26</v>
      </c>
      <c r="T899" s="6">
        <v>46307</v>
      </c>
      <c r="U899">
        <v>24</v>
      </c>
      <c r="V899">
        <v>24</v>
      </c>
      <c r="W899">
        <v>24</v>
      </c>
      <c r="X899">
        <v>24</v>
      </c>
      <c r="Y899">
        <f t="shared" ref="Y899:Y962" si="155">W899-X899</f>
        <v>0</v>
      </c>
      <c r="Z899">
        <f t="shared" ref="Z899:Z962" si="156">V899-X899</f>
        <v>0</v>
      </c>
      <c r="AC899" s="1">
        <v>0</v>
      </c>
      <c r="AF899">
        <f t="shared" si="154"/>
        <v>24</v>
      </c>
      <c r="AG899" s="41">
        <v>12</v>
      </c>
      <c r="AH899">
        <f t="shared" ref="AH899:AH962" si="157">ROUNDUP(AF899/AG899,0)*AG899</f>
        <v>24</v>
      </c>
      <c r="AI899">
        <f t="shared" ref="AI899:AI962" si="158">V899-AH899</f>
        <v>0</v>
      </c>
      <c r="AK899">
        <f t="shared" ref="AK899:AK962" si="159">AH899/AG899</f>
        <v>2</v>
      </c>
      <c r="AL899">
        <v>12.89</v>
      </c>
      <c r="AM899" t="s">
        <v>27</v>
      </c>
      <c r="AN899">
        <v>12.89</v>
      </c>
      <c r="AO899" t="b">
        <f t="shared" ref="AO899:AO962" si="160">AL899=AN899</f>
        <v>1</v>
      </c>
      <c r="AR899" t="s">
        <v>5061</v>
      </c>
      <c r="AS899" s="21">
        <v>46276</v>
      </c>
      <c r="AT899" t="s">
        <v>5062</v>
      </c>
      <c r="AU899" t="s">
        <v>5078</v>
      </c>
      <c r="AV899" t="s">
        <v>5062</v>
      </c>
      <c r="AW899" t="s">
        <v>5086</v>
      </c>
    </row>
    <row r="900" spans="1:49" hidden="1" x14ac:dyDescent="0.35">
      <c r="A900" t="s">
        <v>2796</v>
      </c>
      <c r="B900" t="s">
        <v>872</v>
      </c>
      <c r="C900" t="s">
        <v>4818</v>
      </c>
      <c r="D900" t="s">
        <v>18</v>
      </c>
      <c r="E900" t="s">
        <v>3785</v>
      </c>
      <c r="F900" t="s">
        <v>3786</v>
      </c>
      <c r="G900" t="s">
        <v>21</v>
      </c>
      <c r="H900" t="s">
        <v>4888</v>
      </c>
      <c r="I900" t="s">
        <v>5010</v>
      </c>
      <c r="J900" s="4" t="s">
        <v>5011</v>
      </c>
      <c r="K900" s="4" t="s">
        <v>4904</v>
      </c>
      <c r="L900" s="4" t="s">
        <v>4995</v>
      </c>
      <c r="M900" s="4" t="s">
        <v>5035</v>
      </c>
      <c r="N900" t="s">
        <v>3787</v>
      </c>
      <c r="O900" t="s">
        <v>3788</v>
      </c>
      <c r="P900" t="s">
        <v>23</v>
      </c>
      <c r="Q900" t="s">
        <v>24</v>
      </c>
      <c r="R900" t="s">
        <v>25</v>
      </c>
      <c r="S900" t="s">
        <v>26</v>
      </c>
      <c r="T900" s="6">
        <v>46307</v>
      </c>
      <c r="U900">
        <v>360</v>
      </c>
      <c r="V900">
        <v>360</v>
      </c>
      <c r="W900">
        <v>384</v>
      </c>
      <c r="X900">
        <v>384</v>
      </c>
      <c r="Y900">
        <f t="shared" si="155"/>
        <v>0</v>
      </c>
      <c r="Z900">
        <f t="shared" si="156"/>
        <v>-24</v>
      </c>
      <c r="AC900" s="1"/>
      <c r="AF900">
        <f t="shared" si="154"/>
        <v>360</v>
      </c>
      <c r="AG900" s="41">
        <v>24</v>
      </c>
      <c r="AH900">
        <f t="shared" si="157"/>
        <v>360</v>
      </c>
      <c r="AI900">
        <f t="shared" si="158"/>
        <v>0</v>
      </c>
      <c r="AK900">
        <f t="shared" si="159"/>
        <v>15</v>
      </c>
      <c r="AL900">
        <v>5.03</v>
      </c>
      <c r="AM900" t="s">
        <v>27</v>
      </c>
      <c r="AN900">
        <v>5.03</v>
      </c>
      <c r="AO900" t="b">
        <f t="shared" si="160"/>
        <v>1</v>
      </c>
      <c r="AR900" t="s">
        <v>5061</v>
      </c>
      <c r="AS900" s="21">
        <v>46276</v>
      </c>
      <c r="AT900" t="s">
        <v>5062</v>
      </c>
      <c r="AU900" t="s">
        <v>5081</v>
      </c>
      <c r="AV900" t="s">
        <v>5062</v>
      </c>
      <c r="AW900" t="s">
        <v>5086</v>
      </c>
    </row>
    <row r="901" spans="1:49" hidden="1" x14ac:dyDescent="0.35">
      <c r="A901" t="s">
        <v>2796</v>
      </c>
      <c r="B901" t="s">
        <v>872</v>
      </c>
      <c r="C901" t="s">
        <v>4818</v>
      </c>
      <c r="D901" t="s">
        <v>18</v>
      </c>
      <c r="E901" t="s">
        <v>3789</v>
      </c>
      <c r="F901" t="s">
        <v>3790</v>
      </c>
      <c r="G901" t="s">
        <v>21</v>
      </c>
      <c r="H901" t="s">
        <v>4888</v>
      </c>
      <c r="I901" t="s">
        <v>5008</v>
      </c>
      <c r="J901" s="4" t="s">
        <v>5009</v>
      </c>
      <c r="K901" s="4" t="s">
        <v>4904</v>
      </c>
      <c r="L901" s="4">
        <v>42</v>
      </c>
      <c r="M901" s="4" t="s">
        <v>5035</v>
      </c>
      <c r="N901" t="s">
        <v>3791</v>
      </c>
      <c r="O901" t="s">
        <v>3792</v>
      </c>
      <c r="P901" t="s">
        <v>23</v>
      </c>
      <c r="Q901" t="s">
        <v>24</v>
      </c>
      <c r="R901" t="s">
        <v>25</v>
      </c>
      <c r="S901" t="s">
        <v>26</v>
      </c>
      <c r="T901" s="6">
        <v>46307</v>
      </c>
      <c r="U901">
        <v>360</v>
      </c>
      <c r="V901">
        <v>360</v>
      </c>
      <c r="W901">
        <v>384</v>
      </c>
      <c r="X901">
        <v>384</v>
      </c>
      <c r="Y901">
        <f t="shared" si="155"/>
        <v>0</v>
      </c>
      <c r="Z901">
        <f t="shared" si="156"/>
        <v>-24</v>
      </c>
      <c r="AC901" s="1"/>
      <c r="AF901">
        <f t="shared" si="154"/>
        <v>360</v>
      </c>
      <c r="AG901" s="41">
        <v>24</v>
      </c>
      <c r="AH901">
        <f t="shared" si="157"/>
        <v>360</v>
      </c>
      <c r="AI901">
        <f t="shared" si="158"/>
        <v>0</v>
      </c>
      <c r="AK901">
        <f t="shared" si="159"/>
        <v>15</v>
      </c>
      <c r="AL901">
        <v>10.11</v>
      </c>
      <c r="AM901" t="s">
        <v>27</v>
      </c>
      <c r="AN901">
        <v>10.11</v>
      </c>
      <c r="AO901" t="b">
        <f t="shared" si="160"/>
        <v>1</v>
      </c>
      <c r="AR901" t="s">
        <v>5061</v>
      </c>
      <c r="AS901" s="21">
        <v>46276</v>
      </c>
      <c r="AT901" t="s">
        <v>5062</v>
      </c>
      <c r="AU901" t="s">
        <v>5080</v>
      </c>
      <c r="AV901" t="s">
        <v>5062</v>
      </c>
      <c r="AW901" t="s">
        <v>5086</v>
      </c>
    </row>
    <row r="902" spans="1:49" hidden="1" x14ac:dyDescent="0.35">
      <c r="A902" t="s">
        <v>2796</v>
      </c>
      <c r="B902" t="s">
        <v>872</v>
      </c>
      <c r="C902" t="s">
        <v>4818</v>
      </c>
      <c r="D902" t="s">
        <v>18</v>
      </c>
      <c r="E902" t="s">
        <v>3793</v>
      </c>
      <c r="F902" t="s">
        <v>3794</v>
      </c>
      <c r="G902" t="s">
        <v>21</v>
      </c>
      <c r="H902" t="s">
        <v>4888</v>
      </c>
      <c r="I902" t="s">
        <v>5003</v>
      </c>
      <c r="J902" s="4" t="s">
        <v>5004</v>
      </c>
      <c r="K902" s="4" t="s">
        <v>4837</v>
      </c>
      <c r="L902" s="4" t="s">
        <v>4912</v>
      </c>
      <c r="M902" s="4" t="s">
        <v>5035</v>
      </c>
      <c r="N902" t="s">
        <v>3795</v>
      </c>
      <c r="O902" t="s">
        <v>3796</v>
      </c>
      <c r="P902" t="s">
        <v>23</v>
      </c>
      <c r="Q902" t="s">
        <v>24</v>
      </c>
      <c r="R902" t="s">
        <v>25</v>
      </c>
      <c r="S902" t="s">
        <v>26</v>
      </c>
      <c r="T902" s="6">
        <v>46307</v>
      </c>
      <c r="U902">
        <v>84</v>
      </c>
      <c r="V902">
        <v>84</v>
      </c>
      <c r="W902">
        <v>96</v>
      </c>
      <c r="X902">
        <v>96</v>
      </c>
      <c r="Y902">
        <f t="shared" si="155"/>
        <v>0</v>
      </c>
      <c r="Z902">
        <f t="shared" si="156"/>
        <v>-12</v>
      </c>
      <c r="AC902" s="1">
        <v>0</v>
      </c>
      <c r="AF902">
        <f t="shared" si="154"/>
        <v>84</v>
      </c>
      <c r="AG902" s="41">
        <v>12</v>
      </c>
      <c r="AH902">
        <f t="shared" si="157"/>
        <v>84</v>
      </c>
      <c r="AI902">
        <f t="shared" si="158"/>
        <v>0</v>
      </c>
      <c r="AK902">
        <f t="shared" si="159"/>
        <v>7</v>
      </c>
      <c r="AL902">
        <v>12.87</v>
      </c>
      <c r="AM902" t="s">
        <v>27</v>
      </c>
      <c r="AN902">
        <v>12.87</v>
      </c>
      <c r="AO902" t="b">
        <f t="shared" si="160"/>
        <v>1</v>
      </c>
      <c r="AR902" t="s">
        <v>5061</v>
      </c>
      <c r="AS902" s="21">
        <v>46276</v>
      </c>
      <c r="AT902" t="s">
        <v>5062</v>
      </c>
      <c r="AU902" t="s">
        <v>5078</v>
      </c>
      <c r="AV902" t="s">
        <v>5062</v>
      </c>
      <c r="AW902" t="s">
        <v>5086</v>
      </c>
    </row>
    <row r="903" spans="1:49" hidden="1" x14ac:dyDescent="0.35">
      <c r="A903" t="s">
        <v>2796</v>
      </c>
      <c r="B903" t="s">
        <v>872</v>
      </c>
      <c r="C903" t="s">
        <v>4818</v>
      </c>
      <c r="D903" t="s">
        <v>18</v>
      </c>
      <c r="E903" t="s">
        <v>3797</v>
      </c>
      <c r="F903" t="s">
        <v>3798</v>
      </c>
      <c r="G903" t="s">
        <v>21</v>
      </c>
      <c r="H903" t="s">
        <v>4888</v>
      </c>
      <c r="I903" t="s">
        <v>5008</v>
      </c>
      <c r="J903" s="4" t="s">
        <v>5009</v>
      </c>
      <c r="K903" s="4" t="s">
        <v>5021</v>
      </c>
      <c r="L903" s="4">
        <v>36</v>
      </c>
      <c r="M903" s="4" t="s">
        <v>5035</v>
      </c>
      <c r="N903" t="s">
        <v>3799</v>
      </c>
      <c r="O903" t="s">
        <v>3800</v>
      </c>
      <c r="P903" t="s">
        <v>23</v>
      </c>
      <c r="Q903" t="s">
        <v>24</v>
      </c>
      <c r="R903" t="s">
        <v>25</v>
      </c>
      <c r="S903" t="s">
        <v>26</v>
      </c>
      <c r="T903" s="6">
        <v>46307</v>
      </c>
      <c r="U903">
        <v>1008</v>
      </c>
      <c r="V903">
        <v>1008</v>
      </c>
      <c r="W903">
        <v>936</v>
      </c>
      <c r="X903">
        <v>936</v>
      </c>
      <c r="Y903">
        <f t="shared" si="155"/>
        <v>0</v>
      </c>
      <c r="Z903">
        <f t="shared" si="156"/>
        <v>72</v>
      </c>
      <c r="AA903">
        <f t="shared" ref="AA903:AA904" si="161">Z903</f>
        <v>72</v>
      </c>
      <c r="AC903" s="1">
        <v>0</v>
      </c>
      <c r="AF903">
        <f>X903</f>
        <v>936</v>
      </c>
      <c r="AG903" s="41">
        <v>24</v>
      </c>
      <c r="AH903">
        <f t="shared" si="157"/>
        <v>936</v>
      </c>
      <c r="AI903">
        <f t="shared" si="158"/>
        <v>72</v>
      </c>
      <c r="AK903">
        <f t="shared" si="159"/>
        <v>39</v>
      </c>
      <c r="AL903">
        <v>10.11</v>
      </c>
      <c r="AM903" t="s">
        <v>27</v>
      </c>
      <c r="AN903">
        <v>10.11</v>
      </c>
      <c r="AO903" t="b">
        <f t="shared" si="160"/>
        <v>1</v>
      </c>
      <c r="AR903" t="s">
        <v>5061</v>
      </c>
      <c r="AS903" s="21">
        <v>46276</v>
      </c>
      <c r="AT903" t="s">
        <v>5062</v>
      </c>
      <c r="AU903" t="s">
        <v>5080</v>
      </c>
      <c r="AV903" t="s">
        <v>5062</v>
      </c>
      <c r="AW903" t="s">
        <v>5086</v>
      </c>
    </row>
    <row r="904" spans="1:49" hidden="1" x14ac:dyDescent="0.35">
      <c r="A904" t="s">
        <v>2796</v>
      </c>
      <c r="B904" t="s">
        <v>872</v>
      </c>
      <c r="C904" t="s">
        <v>4818</v>
      </c>
      <c r="D904" t="s">
        <v>18</v>
      </c>
      <c r="E904" t="s">
        <v>3801</v>
      </c>
      <c r="F904" t="s">
        <v>3802</v>
      </c>
      <c r="G904" t="s">
        <v>21</v>
      </c>
      <c r="H904" t="s">
        <v>4888</v>
      </c>
      <c r="I904" t="s">
        <v>5008</v>
      </c>
      <c r="J904" s="4" t="s">
        <v>5009</v>
      </c>
      <c r="K904" s="4" t="s">
        <v>5021</v>
      </c>
      <c r="L904" s="4">
        <v>33</v>
      </c>
      <c r="M904" s="4" t="s">
        <v>5035</v>
      </c>
      <c r="N904" t="s">
        <v>3803</v>
      </c>
      <c r="O904" t="s">
        <v>3804</v>
      </c>
      <c r="P904" t="s">
        <v>23</v>
      </c>
      <c r="Q904" t="s">
        <v>24</v>
      </c>
      <c r="R904" t="s">
        <v>25</v>
      </c>
      <c r="S904" t="s">
        <v>26</v>
      </c>
      <c r="T904" s="6">
        <v>46307</v>
      </c>
      <c r="U904">
        <v>432</v>
      </c>
      <c r="V904">
        <v>432</v>
      </c>
      <c r="W904">
        <v>408</v>
      </c>
      <c r="X904">
        <v>408</v>
      </c>
      <c r="Y904">
        <f t="shared" si="155"/>
        <v>0</v>
      </c>
      <c r="Z904">
        <f t="shared" si="156"/>
        <v>24</v>
      </c>
      <c r="AA904">
        <f t="shared" si="161"/>
        <v>24</v>
      </c>
      <c r="AC904" s="1">
        <v>0</v>
      </c>
      <c r="AF904">
        <f>X904</f>
        <v>408</v>
      </c>
      <c r="AG904" s="41">
        <v>24</v>
      </c>
      <c r="AH904">
        <f t="shared" si="157"/>
        <v>408</v>
      </c>
      <c r="AI904">
        <f t="shared" si="158"/>
        <v>24</v>
      </c>
      <c r="AK904">
        <f t="shared" si="159"/>
        <v>17</v>
      </c>
      <c r="AL904">
        <v>10.11</v>
      </c>
      <c r="AM904" t="s">
        <v>27</v>
      </c>
      <c r="AN904">
        <v>10.11</v>
      </c>
      <c r="AO904" t="b">
        <f t="shared" si="160"/>
        <v>1</v>
      </c>
      <c r="AR904" t="s">
        <v>5061</v>
      </c>
      <c r="AS904" s="21">
        <v>46276</v>
      </c>
      <c r="AT904" t="s">
        <v>5062</v>
      </c>
      <c r="AU904" t="s">
        <v>5080</v>
      </c>
      <c r="AV904" t="s">
        <v>5062</v>
      </c>
      <c r="AW904" t="s">
        <v>5086</v>
      </c>
    </row>
    <row r="905" spans="1:49" hidden="1" x14ac:dyDescent="0.35">
      <c r="A905" t="s">
        <v>2796</v>
      </c>
      <c r="B905" t="s">
        <v>872</v>
      </c>
      <c r="C905" t="s">
        <v>4818</v>
      </c>
      <c r="D905" t="s">
        <v>18</v>
      </c>
      <c r="E905" t="s">
        <v>3805</v>
      </c>
      <c r="F905" t="s">
        <v>3806</v>
      </c>
      <c r="G905" t="s">
        <v>21</v>
      </c>
      <c r="H905" t="s">
        <v>4888</v>
      </c>
      <c r="I905" t="s">
        <v>5003</v>
      </c>
      <c r="J905" s="4" t="s">
        <v>5004</v>
      </c>
      <c r="K905" s="4" t="s">
        <v>5016</v>
      </c>
      <c r="L905" s="4" t="s">
        <v>4870</v>
      </c>
      <c r="M905" s="4" t="s">
        <v>5035</v>
      </c>
      <c r="N905" t="s">
        <v>3807</v>
      </c>
      <c r="O905" t="s">
        <v>3808</v>
      </c>
      <c r="P905" t="s">
        <v>23</v>
      </c>
      <c r="Q905" t="s">
        <v>24</v>
      </c>
      <c r="R905" t="s">
        <v>25</v>
      </c>
      <c r="S905" t="s">
        <v>26</v>
      </c>
      <c r="T905" s="6">
        <v>46307</v>
      </c>
      <c r="U905">
        <v>48</v>
      </c>
      <c r="V905">
        <v>48</v>
      </c>
      <c r="W905">
        <v>48</v>
      </c>
      <c r="X905">
        <v>48</v>
      </c>
      <c r="Y905">
        <f t="shared" si="155"/>
        <v>0</v>
      </c>
      <c r="Z905">
        <f t="shared" si="156"/>
        <v>0</v>
      </c>
      <c r="AC905" s="1">
        <v>0</v>
      </c>
      <c r="AF905">
        <f t="shared" ref="AF905:AF914" si="162">V905</f>
        <v>48</v>
      </c>
      <c r="AG905" s="41">
        <v>12</v>
      </c>
      <c r="AH905">
        <f t="shared" si="157"/>
        <v>48</v>
      </c>
      <c r="AI905">
        <f t="shared" si="158"/>
        <v>0</v>
      </c>
      <c r="AK905">
        <f t="shared" si="159"/>
        <v>4</v>
      </c>
      <c r="AL905">
        <v>13.33</v>
      </c>
      <c r="AM905" t="s">
        <v>27</v>
      </c>
      <c r="AN905">
        <v>13.33</v>
      </c>
      <c r="AO905" t="b">
        <f t="shared" si="160"/>
        <v>1</v>
      </c>
      <c r="AR905" t="s">
        <v>5061</v>
      </c>
      <c r="AS905" s="21">
        <v>46276</v>
      </c>
      <c r="AT905" t="s">
        <v>5062</v>
      </c>
      <c r="AU905" t="s">
        <v>5078</v>
      </c>
      <c r="AV905" t="s">
        <v>5062</v>
      </c>
      <c r="AW905" t="s">
        <v>5086</v>
      </c>
    </row>
    <row r="906" spans="1:49" hidden="1" x14ac:dyDescent="0.35">
      <c r="A906" t="s">
        <v>2796</v>
      </c>
      <c r="B906" t="s">
        <v>872</v>
      </c>
      <c r="C906" t="s">
        <v>4818</v>
      </c>
      <c r="D906" t="s">
        <v>18</v>
      </c>
      <c r="E906" t="s">
        <v>3809</v>
      </c>
      <c r="F906" t="s">
        <v>3810</v>
      </c>
      <c r="G906" t="s">
        <v>21</v>
      </c>
      <c r="H906" t="s">
        <v>4888</v>
      </c>
      <c r="I906" t="s">
        <v>5003</v>
      </c>
      <c r="J906" s="4" t="s">
        <v>5004</v>
      </c>
      <c r="K906" s="4" t="s">
        <v>4837</v>
      </c>
      <c r="L906" s="4" t="s">
        <v>4867</v>
      </c>
      <c r="M906" s="4" t="s">
        <v>5035</v>
      </c>
      <c r="N906" t="s">
        <v>3811</v>
      </c>
      <c r="O906" t="s">
        <v>3812</v>
      </c>
      <c r="P906" t="s">
        <v>23</v>
      </c>
      <c r="Q906" t="s">
        <v>24</v>
      </c>
      <c r="R906" t="s">
        <v>25</v>
      </c>
      <c r="S906" t="s">
        <v>26</v>
      </c>
      <c r="T906" s="6">
        <v>46307</v>
      </c>
      <c r="U906">
        <v>72</v>
      </c>
      <c r="V906">
        <v>72</v>
      </c>
      <c r="W906">
        <v>84</v>
      </c>
      <c r="X906">
        <v>84</v>
      </c>
      <c r="Y906">
        <f t="shared" si="155"/>
        <v>0</v>
      </c>
      <c r="Z906">
        <f t="shared" si="156"/>
        <v>-12</v>
      </c>
      <c r="AC906" s="1">
        <v>0</v>
      </c>
      <c r="AF906">
        <f t="shared" si="162"/>
        <v>72</v>
      </c>
      <c r="AG906" s="41">
        <v>12</v>
      </c>
      <c r="AH906">
        <f t="shared" si="157"/>
        <v>72</v>
      </c>
      <c r="AI906">
        <f t="shared" si="158"/>
        <v>0</v>
      </c>
      <c r="AK906">
        <f t="shared" si="159"/>
        <v>6</v>
      </c>
      <c r="AL906">
        <v>12.87</v>
      </c>
      <c r="AM906" t="s">
        <v>27</v>
      </c>
      <c r="AN906">
        <v>12.87</v>
      </c>
      <c r="AO906" t="b">
        <f t="shared" si="160"/>
        <v>1</v>
      </c>
      <c r="AR906" t="s">
        <v>5061</v>
      </c>
      <c r="AS906" s="21">
        <v>46276</v>
      </c>
      <c r="AT906" t="s">
        <v>5062</v>
      </c>
      <c r="AU906" t="s">
        <v>5078</v>
      </c>
      <c r="AV906" t="s">
        <v>5062</v>
      </c>
      <c r="AW906" t="s">
        <v>5086</v>
      </c>
    </row>
    <row r="907" spans="1:49" hidden="1" x14ac:dyDescent="0.35">
      <c r="A907" t="s">
        <v>2796</v>
      </c>
      <c r="B907" t="s">
        <v>872</v>
      </c>
      <c r="C907" t="s">
        <v>4818</v>
      </c>
      <c r="D907" t="s">
        <v>18</v>
      </c>
      <c r="E907" t="s">
        <v>3813</v>
      </c>
      <c r="F907" t="s">
        <v>3814</v>
      </c>
      <c r="G907" t="s">
        <v>21</v>
      </c>
      <c r="H907" t="s">
        <v>4888</v>
      </c>
      <c r="I907" t="s">
        <v>5025</v>
      </c>
      <c r="J907" s="4" t="s">
        <v>5026</v>
      </c>
      <c r="K907" s="4" t="s">
        <v>5020</v>
      </c>
      <c r="L907" s="4" t="s">
        <v>4987</v>
      </c>
      <c r="M907" s="4" t="s">
        <v>5035</v>
      </c>
      <c r="N907" t="s">
        <v>3815</v>
      </c>
      <c r="O907" t="s">
        <v>3816</v>
      </c>
      <c r="P907" t="s">
        <v>23</v>
      </c>
      <c r="Q907" t="s">
        <v>24</v>
      </c>
      <c r="R907" t="s">
        <v>25</v>
      </c>
      <c r="S907" t="s">
        <v>26</v>
      </c>
      <c r="T907" s="6">
        <v>46307</v>
      </c>
      <c r="U907">
        <v>288</v>
      </c>
      <c r="V907">
        <v>288</v>
      </c>
      <c r="W907">
        <v>312</v>
      </c>
      <c r="X907">
        <v>312</v>
      </c>
      <c r="Y907">
        <f t="shared" si="155"/>
        <v>0</v>
      </c>
      <c r="Z907">
        <f t="shared" si="156"/>
        <v>-24</v>
      </c>
      <c r="AC907" s="1">
        <v>0</v>
      </c>
      <c r="AF907">
        <f t="shared" si="162"/>
        <v>288</v>
      </c>
      <c r="AG907" s="41">
        <v>24</v>
      </c>
      <c r="AH907">
        <f t="shared" si="157"/>
        <v>288</v>
      </c>
      <c r="AI907">
        <f t="shared" si="158"/>
        <v>0</v>
      </c>
      <c r="AK907">
        <f t="shared" si="159"/>
        <v>12</v>
      </c>
      <c r="AL907">
        <v>6.2</v>
      </c>
      <c r="AM907" t="s">
        <v>27</v>
      </c>
      <c r="AN907">
        <v>6.2</v>
      </c>
      <c r="AO907" t="b">
        <f t="shared" si="160"/>
        <v>1</v>
      </c>
      <c r="AR907" t="s">
        <v>5061</v>
      </c>
      <c r="AS907" s="21">
        <v>46276</v>
      </c>
      <c r="AT907" t="s">
        <v>5062</v>
      </c>
      <c r="AU907" t="s">
        <v>5082</v>
      </c>
      <c r="AV907" t="s">
        <v>5062</v>
      </c>
      <c r="AW907" t="s">
        <v>5086</v>
      </c>
    </row>
    <row r="908" spans="1:49" hidden="1" x14ac:dyDescent="0.35">
      <c r="A908" t="s">
        <v>2796</v>
      </c>
      <c r="B908" t="s">
        <v>872</v>
      </c>
      <c r="C908" t="s">
        <v>4818</v>
      </c>
      <c r="D908" t="s">
        <v>18</v>
      </c>
      <c r="E908" t="s">
        <v>3817</v>
      </c>
      <c r="F908" t="s">
        <v>3818</v>
      </c>
      <c r="G908" t="s">
        <v>21</v>
      </c>
      <c r="H908" t="s">
        <v>4888</v>
      </c>
      <c r="I908" t="s">
        <v>5008</v>
      </c>
      <c r="J908" s="4" t="s">
        <v>5009</v>
      </c>
      <c r="K908" s="4" t="s">
        <v>5017</v>
      </c>
      <c r="L908" s="4">
        <v>31</v>
      </c>
      <c r="M908" s="4" t="s">
        <v>5035</v>
      </c>
      <c r="N908" t="s">
        <v>3819</v>
      </c>
      <c r="O908" t="s">
        <v>3820</v>
      </c>
      <c r="P908" t="s">
        <v>23</v>
      </c>
      <c r="Q908" t="s">
        <v>24</v>
      </c>
      <c r="R908" t="s">
        <v>25</v>
      </c>
      <c r="S908" t="s">
        <v>26</v>
      </c>
      <c r="T908" s="6">
        <v>46307</v>
      </c>
      <c r="U908">
        <v>288</v>
      </c>
      <c r="V908">
        <v>288</v>
      </c>
      <c r="W908">
        <v>312</v>
      </c>
      <c r="X908">
        <v>312</v>
      </c>
      <c r="Y908">
        <f t="shared" si="155"/>
        <v>0</v>
      </c>
      <c r="Z908">
        <f t="shared" si="156"/>
        <v>-24</v>
      </c>
      <c r="AC908" s="1">
        <v>0</v>
      </c>
      <c r="AF908">
        <f t="shared" si="162"/>
        <v>288</v>
      </c>
      <c r="AG908" s="41">
        <v>24</v>
      </c>
      <c r="AH908">
        <f t="shared" si="157"/>
        <v>288</v>
      </c>
      <c r="AI908">
        <f t="shared" si="158"/>
        <v>0</v>
      </c>
      <c r="AK908">
        <f t="shared" si="159"/>
        <v>12</v>
      </c>
      <c r="AL908">
        <v>10.01</v>
      </c>
      <c r="AM908" t="s">
        <v>27</v>
      </c>
      <c r="AN908">
        <v>10.01</v>
      </c>
      <c r="AO908" t="b">
        <f t="shared" si="160"/>
        <v>1</v>
      </c>
      <c r="AR908" t="s">
        <v>5061</v>
      </c>
      <c r="AS908" s="21">
        <v>46276</v>
      </c>
      <c r="AT908" t="s">
        <v>5062</v>
      </c>
      <c r="AU908" t="s">
        <v>5080</v>
      </c>
      <c r="AV908" t="s">
        <v>5062</v>
      </c>
      <c r="AW908" t="s">
        <v>5086</v>
      </c>
    </row>
    <row r="909" spans="1:49" hidden="1" x14ac:dyDescent="0.35">
      <c r="A909" t="s">
        <v>2796</v>
      </c>
      <c r="B909" t="s">
        <v>872</v>
      </c>
      <c r="C909" t="s">
        <v>4818</v>
      </c>
      <c r="D909" t="s">
        <v>18</v>
      </c>
      <c r="E909" t="s">
        <v>3821</v>
      </c>
      <c r="F909" t="s">
        <v>3822</v>
      </c>
      <c r="G909" t="s">
        <v>21</v>
      </c>
      <c r="H909" t="s">
        <v>4888</v>
      </c>
      <c r="I909" t="s">
        <v>5008</v>
      </c>
      <c r="J909" s="4" t="s">
        <v>5009</v>
      </c>
      <c r="K909" s="4" t="s">
        <v>5017</v>
      </c>
      <c r="L909" s="4">
        <v>40</v>
      </c>
      <c r="M909" s="4" t="s">
        <v>5035</v>
      </c>
      <c r="N909" t="s">
        <v>3823</v>
      </c>
      <c r="O909" t="s">
        <v>3824</v>
      </c>
      <c r="P909" t="s">
        <v>23</v>
      </c>
      <c r="Q909" t="s">
        <v>24</v>
      </c>
      <c r="R909" t="s">
        <v>25</v>
      </c>
      <c r="S909" t="s">
        <v>26</v>
      </c>
      <c r="T909" s="6">
        <v>46307</v>
      </c>
      <c r="U909">
        <v>600</v>
      </c>
      <c r="V909">
        <v>600</v>
      </c>
      <c r="W909">
        <v>648</v>
      </c>
      <c r="X909">
        <v>648</v>
      </c>
      <c r="Y909">
        <f t="shared" si="155"/>
        <v>0</v>
      </c>
      <c r="Z909">
        <f t="shared" si="156"/>
        <v>-48</v>
      </c>
      <c r="AC909" s="1">
        <v>0</v>
      </c>
      <c r="AF909">
        <f t="shared" si="162"/>
        <v>600</v>
      </c>
      <c r="AG909" s="41">
        <v>24</v>
      </c>
      <c r="AH909">
        <f t="shared" si="157"/>
        <v>600</v>
      </c>
      <c r="AI909">
        <f t="shared" si="158"/>
        <v>0</v>
      </c>
      <c r="AK909">
        <f t="shared" si="159"/>
        <v>25</v>
      </c>
      <c r="AL909">
        <v>10.01</v>
      </c>
      <c r="AM909" t="s">
        <v>27</v>
      </c>
      <c r="AN909">
        <v>10.01</v>
      </c>
      <c r="AO909" t="b">
        <f t="shared" si="160"/>
        <v>1</v>
      </c>
      <c r="AR909" t="s">
        <v>5061</v>
      </c>
      <c r="AS909" s="21">
        <v>46276</v>
      </c>
      <c r="AT909" t="s">
        <v>5062</v>
      </c>
      <c r="AU909" t="s">
        <v>5080</v>
      </c>
      <c r="AV909" t="s">
        <v>5062</v>
      </c>
      <c r="AW909" t="s">
        <v>5086</v>
      </c>
    </row>
    <row r="910" spans="1:49" hidden="1" x14ac:dyDescent="0.35">
      <c r="A910" t="s">
        <v>2796</v>
      </c>
      <c r="B910" t="s">
        <v>872</v>
      </c>
      <c r="C910" t="s">
        <v>4818</v>
      </c>
      <c r="D910" t="s">
        <v>18</v>
      </c>
      <c r="E910" t="s">
        <v>3825</v>
      </c>
      <c r="F910" t="s">
        <v>3826</v>
      </c>
      <c r="G910" t="s">
        <v>21</v>
      </c>
      <c r="H910" t="s">
        <v>4888</v>
      </c>
      <c r="I910" t="s">
        <v>5003</v>
      </c>
      <c r="J910" s="4" t="s">
        <v>5004</v>
      </c>
      <c r="K910" s="4" t="s">
        <v>4837</v>
      </c>
      <c r="L910" s="4" t="s">
        <v>4898</v>
      </c>
      <c r="M910" s="4" t="s">
        <v>5035</v>
      </c>
      <c r="N910" t="s">
        <v>3827</v>
      </c>
      <c r="O910" t="s">
        <v>3828</v>
      </c>
      <c r="P910" t="s">
        <v>23</v>
      </c>
      <c r="Q910" t="s">
        <v>24</v>
      </c>
      <c r="R910" t="s">
        <v>25</v>
      </c>
      <c r="S910" t="s">
        <v>26</v>
      </c>
      <c r="T910" s="6">
        <v>46307</v>
      </c>
      <c r="U910">
        <v>60</v>
      </c>
      <c r="V910">
        <v>60</v>
      </c>
      <c r="W910">
        <v>60</v>
      </c>
      <c r="X910">
        <v>60</v>
      </c>
      <c r="Y910">
        <f t="shared" si="155"/>
        <v>0</v>
      </c>
      <c r="Z910">
        <f t="shared" si="156"/>
        <v>0</v>
      </c>
      <c r="AC910" s="1">
        <v>0</v>
      </c>
      <c r="AF910">
        <f t="shared" si="162"/>
        <v>60</v>
      </c>
      <c r="AG910" s="41">
        <v>12</v>
      </c>
      <c r="AH910">
        <f t="shared" si="157"/>
        <v>60</v>
      </c>
      <c r="AI910">
        <f t="shared" si="158"/>
        <v>0</v>
      </c>
      <c r="AK910">
        <f t="shared" si="159"/>
        <v>5</v>
      </c>
      <c r="AL910">
        <v>12.87</v>
      </c>
      <c r="AM910" t="s">
        <v>27</v>
      </c>
      <c r="AN910">
        <v>12.87</v>
      </c>
      <c r="AO910" t="b">
        <f t="shared" si="160"/>
        <v>1</v>
      </c>
      <c r="AR910" t="s">
        <v>5061</v>
      </c>
      <c r="AS910" s="21">
        <v>46276</v>
      </c>
      <c r="AT910" t="s">
        <v>5062</v>
      </c>
      <c r="AU910" t="s">
        <v>5078</v>
      </c>
      <c r="AV910" t="s">
        <v>5062</v>
      </c>
      <c r="AW910" t="s">
        <v>5086</v>
      </c>
    </row>
    <row r="911" spans="1:49" hidden="1" x14ac:dyDescent="0.35">
      <c r="A911" t="s">
        <v>2796</v>
      </c>
      <c r="B911" t="s">
        <v>872</v>
      </c>
      <c r="C911" t="s">
        <v>4818</v>
      </c>
      <c r="D911" t="s">
        <v>18</v>
      </c>
      <c r="E911" t="s">
        <v>3829</v>
      </c>
      <c r="F911" t="s">
        <v>3830</v>
      </c>
      <c r="G911" t="s">
        <v>21</v>
      </c>
      <c r="H911" t="s">
        <v>4888</v>
      </c>
      <c r="I911" t="s">
        <v>5003</v>
      </c>
      <c r="J911" s="4" t="s">
        <v>5004</v>
      </c>
      <c r="K911" s="4" t="s">
        <v>5016</v>
      </c>
      <c r="L911" s="4" t="s">
        <v>4857</v>
      </c>
      <c r="M911" s="4" t="s">
        <v>5035</v>
      </c>
      <c r="N911" t="s">
        <v>3831</v>
      </c>
      <c r="O911" t="s">
        <v>3832</v>
      </c>
      <c r="P911" t="s">
        <v>23</v>
      </c>
      <c r="Q911" t="s">
        <v>24</v>
      </c>
      <c r="R911" t="s">
        <v>25</v>
      </c>
      <c r="S911" t="s">
        <v>26</v>
      </c>
      <c r="T911" s="6">
        <v>46307</v>
      </c>
      <c r="U911">
        <v>12</v>
      </c>
      <c r="V911">
        <v>12</v>
      </c>
      <c r="W911">
        <v>12</v>
      </c>
      <c r="X911">
        <v>12</v>
      </c>
      <c r="Y911">
        <f t="shared" si="155"/>
        <v>0</v>
      </c>
      <c r="Z911">
        <f t="shared" si="156"/>
        <v>0</v>
      </c>
      <c r="AC911" s="1">
        <v>0</v>
      </c>
      <c r="AF911">
        <f t="shared" si="162"/>
        <v>12</v>
      </c>
      <c r="AG911" s="41">
        <v>12</v>
      </c>
      <c r="AH911">
        <f t="shared" si="157"/>
        <v>12</v>
      </c>
      <c r="AI911">
        <f t="shared" si="158"/>
        <v>0</v>
      </c>
      <c r="AK911">
        <f t="shared" si="159"/>
        <v>1</v>
      </c>
      <c r="AL911">
        <v>13.33</v>
      </c>
      <c r="AM911" t="s">
        <v>27</v>
      </c>
      <c r="AN911">
        <v>13.33</v>
      </c>
      <c r="AO911" t="b">
        <f t="shared" si="160"/>
        <v>1</v>
      </c>
      <c r="AR911" t="s">
        <v>5061</v>
      </c>
      <c r="AS911" s="21">
        <v>46276</v>
      </c>
      <c r="AT911" t="s">
        <v>5062</v>
      </c>
      <c r="AU911" t="s">
        <v>5078</v>
      </c>
      <c r="AV911" t="s">
        <v>5062</v>
      </c>
      <c r="AW911" t="s">
        <v>5086</v>
      </c>
    </row>
    <row r="912" spans="1:49" hidden="1" x14ac:dyDescent="0.35">
      <c r="A912" t="s">
        <v>2796</v>
      </c>
      <c r="B912" t="s">
        <v>872</v>
      </c>
      <c r="C912" t="s">
        <v>4818</v>
      </c>
      <c r="D912" t="s">
        <v>18</v>
      </c>
      <c r="E912" t="s">
        <v>3833</v>
      </c>
      <c r="F912" t="s">
        <v>3834</v>
      </c>
      <c r="G912" t="s">
        <v>21</v>
      </c>
      <c r="H912" t="s">
        <v>4888</v>
      </c>
      <c r="I912" t="s">
        <v>5003</v>
      </c>
      <c r="J912" s="4" t="s">
        <v>5004</v>
      </c>
      <c r="K912" s="4" t="s">
        <v>4904</v>
      </c>
      <c r="L912" s="4" t="s">
        <v>4920</v>
      </c>
      <c r="M912" s="4" t="s">
        <v>5035</v>
      </c>
      <c r="N912" t="s">
        <v>3835</v>
      </c>
      <c r="O912" t="s">
        <v>3836</v>
      </c>
      <c r="P912" t="s">
        <v>23</v>
      </c>
      <c r="Q912" t="s">
        <v>24</v>
      </c>
      <c r="R912" t="s">
        <v>25</v>
      </c>
      <c r="S912" t="s">
        <v>26</v>
      </c>
      <c r="T912" s="6">
        <v>46307</v>
      </c>
      <c r="U912">
        <v>48</v>
      </c>
      <c r="V912">
        <v>48</v>
      </c>
      <c r="W912">
        <v>48</v>
      </c>
      <c r="X912">
        <v>48</v>
      </c>
      <c r="Y912">
        <f t="shared" si="155"/>
        <v>0</v>
      </c>
      <c r="Z912">
        <f t="shared" si="156"/>
        <v>0</v>
      </c>
      <c r="AC912" s="1">
        <v>0</v>
      </c>
      <c r="AF912">
        <f t="shared" si="162"/>
        <v>48</v>
      </c>
      <c r="AG912" s="41">
        <v>12</v>
      </c>
      <c r="AH912">
        <f t="shared" si="157"/>
        <v>48</v>
      </c>
      <c r="AI912">
        <f t="shared" si="158"/>
        <v>0</v>
      </c>
      <c r="AK912">
        <f t="shared" si="159"/>
        <v>4</v>
      </c>
      <c r="AL912">
        <v>12.89</v>
      </c>
      <c r="AM912" t="s">
        <v>27</v>
      </c>
      <c r="AN912">
        <v>12.89</v>
      </c>
      <c r="AO912" t="b">
        <f t="shared" si="160"/>
        <v>1</v>
      </c>
      <c r="AR912" t="s">
        <v>5061</v>
      </c>
      <c r="AS912" s="21">
        <v>46276</v>
      </c>
      <c r="AT912" t="s">
        <v>5062</v>
      </c>
      <c r="AU912" t="s">
        <v>5078</v>
      </c>
      <c r="AV912" t="s">
        <v>5062</v>
      </c>
      <c r="AW912" t="s">
        <v>5086</v>
      </c>
    </row>
    <row r="913" spans="1:49" hidden="1" x14ac:dyDescent="0.35">
      <c r="A913" t="s">
        <v>2796</v>
      </c>
      <c r="B913" t="s">
        <v>872</v>
      </c>
      <c r="C913" t="s">
        <v>4818</v>
      </c>
      <c r="D913" t="s">
        <v>18</v>
      </c>
      <c r="E913" t="s">
        <v>3837</v>
      </c>
      <c r="F913" t="s">
        <v>3838</v>
      </c>
      <c r="G913" t="s">
        <v>21</v>
      </c>
      <c r="H913" t="s">
        <v>4888</v>
      </c>
      <c r="I913" t="s">
        <v>5003</v>
      </c>
      <c r="J913" s="4" t="s">
        <v>5004</v>
      </c>
      <c r="K913" s="4" t="s">
        <v>5016</v>
      </c>
      <c r="L913" s="4" t="s">
        <v>4853</v>
      </c>
      <c r="M913" s="4" t="s">
        <v>5035</v>
      </c>
      <c r="N913" t="s">
        <v>3839</v>
      </c>
      <c r="O913" t="s">
        <v>3840</v>
      </c>
      <c r="P913" t="s">
        <v>23</v>
      </c>
      <c r="Q913" t="s">
        <v>24</v>
      </c>
      <c r="R913" t="s">
        <v>25</v>
      </c>
      <c r="S913" t="s">
        <v>26</v>
      </c>
      <c r="T913" s="6">
        <v>46307</v>
      </c>
      <c r="U913">
        <v>84</v>
      </c>
      <c r="V913">
        <v>84</v>
      </c>
      <c r="W913">
        <v>96</v>
      </c>
      <c r="X913">
        <v>96</v>
      </c>
      <c r="Y913">
        <f t="shared" si="155"/>
        <v>0</v>
      </c>
      <c r="Z913">
        <f t="shared" si="156"/>
        <v>-12</v>
      </c>
      <c r="AC913" s="1">
        <v>0</v>
      </c>
      <c r="AF913">
        <f t="shared" si="162"/>
        <v>84</v>
      </c>
      <c r="AG913" s="41">
        <v>12</v>
      </c>
      <c r="AH913">
        <f t="shared" si="157"/>
        <v>84</v>
      </c>
      <c r="AI913">
        <f t="shared" si="158"/>
        <v>0</v>
      </c>
      <c r="AK913">
        <f t="shared" si="159"/>
        <v>7</v>
      </c>
      <c r="AL913">
        <v>13.33</v>
      </c>
      <c r="AM913" t="s">
        <v>27</v>
      </c>
      <c r="AN913">
        <v>13.33</v>
      </c>
      <c r="AO913" t="b">
        <f t="shared" si="160"/>
        <v>1</v>
      </c>
      <c r="AR913" t="s">
        <v>5061</v>
      </c>
      <c r="AS913" s="21">
        <v>46276</v>
      </c>
      <c r="AT913" t="s">
        <v>5062</v>
      </c>
      <c r="AU913" t="s">
        <v>5078</v>
      </c>
      <c r="AV913" t="s">
        <v>5062</v>
      </c>
      <c r="AW913" t="s">
        <v>5086</v>
      </c>
    </row>
    <row r="914" spans="1:49" hidden="1" x14ac:dyDescent="0.35">
      <c r="A914" t="s">
        <v>2796</v>
      </c>
      <c r="B914" t="s">
        <v>872</v>
      </c>
      <c r="C914" t="s">
        <v>4818</v>
      </c>
      <c r="D914" t="s">
        <v>18</v>
      </c>
      <c r="E914" t="s">
        <v>3841</v>
      </c>
      <c r="F914" t="s">
        <v>3842</v>
      </c>
      <c r="G914" t="s">
        <v>21</v>
      </c>
      <c r="H914" t="s">
        <v>4888</v>
      </c>
      <c r="I914" t="s">
        <v>5010</v>
      </c>
      <c r="J914" s="4" t="s">
        <v>5011</v>
      </c>
      <c r="K914" s="4" t="s">
        <v>4904</v>
      </c>
      <c r="L914" s="4" t="s">
        <v>4998</v>
      </c>
      <c r="M914" s="4" t="s">
        <v>5035</v>
      </c>
      <c r="N914" t="s">
        <v>3843</v>
      </c>
      <c r="O914" t="s">
        <v>3844</v>
      </c>
      <c r="P914" t="s">
        <v>23</v>
      </c>
      <c r="Q914" t="s">
        <v>24</v>
      </c>
      <c r="R914" t="s">
        <v>25</v>
      </c>
      <c r="S914" t="s">
        <v>26</v>
      </c>
      <c r="T914" s="6">
        <v>46307</v>
      </c>
      <c r="U914">
        <v>360</v>
      </c>
      <c r="V914">
        <v>360</v>
      </c>
      <c r="W914">
        <v>384</v>
      </c>
      <c r="X914">
        <v>384</v>
      </c>
      <c r="Y914">
        <f t="shared" si="155"/>
        <v>0</v>
      </c>
      <c r="Z914">
        <f t="shared" si="156"/>
        <v>-24</v>
      </c>
      <c r="AC914" s="1"/>
      <c r="AF914">
        <f t="shared" si="162"/>
        <v>360</v>
      </c>
      <c r="AG914" s="41">
        <v>24</v>
      </c>
      <c r="AH914">
        <f t="shared" si="157"/>
        <v>360</v>
      </c>
      <c r="AI914">
        <f t="shared" si="158"/>
        <v>0</v>
      </c>
      <c r="AK914">
        <f t="shared" si="159"/>
        <v>15</v>
      </c>
      <c r="AL914">
        <v>5.03</v>
      </c>
      <c r="AM914" t="s">
        <v>27</v>
      </c>
      <c r="AN914">
        <v>5.03</v>
      </c>
      <c r="AO914" t="b">
        <f t="shared" si="160"/>
        <v>1</v>
      </c>
      <c r="AR914" t="s">
        <v>5061</v>
      </c>
      <c r="AS914" s="21">
        <v>46276</v>
      </c>
      <c r="AT914" t="s">
        <v>5062</v>
      </c>
      <c r="AU914" t="s">
        <v>5081</v>
      </c>
      <c r="AV914" t="s">
        <v>5062</v>
      </c>
      <c r="AW914" t="s">
        <v>5086</v>
      </c>
    </row>
    <row r="915" spans="1:49" hidden="1" x14ac:dyDescent="0.35">
      <c r="A915" t="s">
        <v>2796</v>
      </c>
      <c r="B915" t="s">
        <v>872</v>
      </c>
      <c r="C915" t="s">
        <v>4818</v>
      </c>
      <c r="D915" t="s">
        <v>18</v>
      </c>
      <c r="E915" t="s">
        <v>3845</v>
      </c>
      <c r="F915" t="s">
        <v>3846</v>
      </c>
      <c r="G915" t="s">
        <v>21</v>
      </c>
      <c r="H915" t="s">
        <v>4888</v>
      </c>
      <c r="I915" t="s">
        <v>5005</v>
      </c>
      <c r="J915" s="4" t="s">
        <v>5006</v>
      </c>
      <c r="K915" s="4" t="s">
        <v>5027</v>
      </c>
      <c r="L915" s="4">
        <v>34</v>
      </c>
      <c r="M915" s="4" t="s">
        <v>5035</v>
      </c>
      <c r="N915" t="s">
        <v>3847</v>
      </c>
      <c r="O915" t="s">
        <v>3848</v>
      </c>
      <c r="P915" t="s">
        <v>23</v>
      </c>
      <c r="Q915" t="s">
        <v>24</v>
      </c>
      <c r="R915" t="s">
        <v>25</v>
      </c>
      <c r="S915" t="s">
        <v>26</v>
      </c>
      <c r="T915" s="6">
        <v>46307</v>
      </c>
      <c r="U915">
        <v>648</v>
      </c>
      <c r="V915">
        <v>648</v>
      </c>
      <c r="W915">
        <v>600</v>
      </c>
      <c r="X915">
        <v>600</v>
      </c>
      <c r="Y915">
        <f t="shared" si="155"/>
        <v>0</v>
      </c>
      <c r="Z915">
        <f t="shared" si="156"/>
        <v>48</v>
      </c>
      <c r="AA915">
        <f>Z915</f>
        <v>48</v>
      </c>
      <c r="AC915" s="1">
        <v>0</v>
      </c>
      <c r="AF915">
        <f>X915</f>
        <v>600</v>
      </c>
      <c r="AG915" s="41">
        <v>24</v>
      </c>
      <c r="AH915">
        <f t="shared" si="157"/>
        <v>600</v>
      </c>
      <c r="AI915">
        <f t="shared" si="158"/>
        <v>48</v>
      </c>
      <c r="AK915">
        <f t="shared" si="159"/>
        <v>25</v>
      </c>
      <c r="AL915">
        <v>10.24</v>
      </c>
      <c r="AM915" t="s">
        <v>27</v>
      </c>
      <c r="AN915">
        <v>10.24</v>
      </c>
      <c r="AO915" t="b">
        <f t="shared" si="160"/>
        <v>1</v>
      </c>
      <c r="AR915" t="s">
        <v>5061</v>
      </c>
      <c r="AS915" s="21">
        <v>46276</v>
      </c>
      <c r="AT915" t="s">
        <v>5062</v>
      </c>
      <c r="AU915" t="s">
        <v>5079</v>
      </c>
      <c r="AV915" t="s">
        <v>5062</v>
      </c>
      <c r="AW915" t="s">
        <v>5086</v>
      </c>
    </row>
    <row r="916" spans="1:49" hidden="1" x14ac:dyDescent="0.35">
      <c r="A916" t="s">
        <v>2796</v>
      </c>
      <c r="B916" t="s">
        <v>872</v>
      </c>
      <c r="C916" t="s">
        <v>4818</v>
      </c>
      <c r="D916" t="s">
        <v>18</v>
      </c>
      <c r="E916" t="s">
        <v>3849</v>
      </c>
      <c r="F916" t="s">
        <v>3850</v>
      </c>
      <c r="G916" t="s">
        <v>21</v>
      </c>
      <c r="H916" t="s">
        <v>4888</v>
      </c>
      <c r="I916" t="s">
        <v>5008</v>
      </c>
      <c r="J916" s="4" t="s">
        <v>5009</v>
      </c>
      <c r="K916" s="4" t="s">
        <v>4904</v>
      </c>
      <c r="L916" s="4">
        <v>33</v>
      </c>
      <c r="M916" s="4" t="s">
        <v>5035</v>
      </c>
      <c r="N916" t="s">
        <v>3851</v>
      </c>
      <c r="O916" t="s">
        <v>3852</v>
      </c>
      <c r="P916" t="s">
        <v>23</v>
      </c>
      <c r="Q916" t="s">
        <v>24</v>
      </c>
      <c r="R916" t="s">
        <v>25</v>
      </c>
      <c r="S916" t="s">
        <v>26</v>
      </c>
      <c r="T916" s="6">
        <v>46307</v>
      </c>
      <c r="U916">
        <v>360</v>
      </c>
      <c r="V916">
        <v>360</v>
      </c>
      <c r="W916">
        <v>384</v>
      </c>
      <c r="X916">
        <v>384</v>
      </c>
      <c r="Y916">
        <f t="shared" si="155"/>
        <v>0</v>
      </c>
      <c r="Z916">
        <f t="shared" si="156"/>
        <v>-24</v>
      </c>
      <c r="AC916" s="1">
        <v>0</v>
      </c>
      <c r="AF916">
        <f>V916</f>
        <v>360</v>
      </c>
      <c r="AG916" s="41">
        <v>24</v>
      </c>
      <c r="AH916">
        <f t="shared" si="157"/>
        <v>360</v>
      </c>
      <c r="AI916">
        <f t="shared" si="158"/>
        <v>0</v>
      </c>
      <c r="AK916">
        <f t="shared" si="159"/>
        <v>15</v>
      </c>
      <c r="AL916">
        <v>10.11</v>
      </c>
      <c r="AM916" t="s">
        <v>27</v>
      </c>
      <c r="AN916">
        <v>10.11</v>
      </c>
      <c r="AO916" t="b">
        <f t="shared" si="160"/>
        <v>1</v>
      </c>
      <c r="AR916" t="s">
        <v>5061</v>
      </c>
      <c r="AS916" s="21">
        <v>46276</v>
      </c>
      <c r="AT916" t="s">
        <v>5062</v>
      </c>
      <c r="AU916" t="s">
        <v>5080</v>
      </c>
      <c r="AV916" t="s">
        <v>5062</v>
      </c>
      <c r="AW916" t="s">
        <v>5086</v>
      </c>
    </row>
    <row r="917" spans="1:49" hidden="1" x14ac:dyDescent="0.35">
      <c r="A917" t="s">
        <v>2796</v>
      </c>
      <c r="B917" t="s">
        <v>872</v>
      </c>
      <c r="C917" t="s">
        <v>4818</v>
      </c>
      <c r="D917" t="s">
        <v>18</v>
      </c>
      <c r="E917" t="s">
        <v>3853</v>
      </c>
      <c r="F917" t="s">
        <v>3854</v>
      </c>
      <c r="G917" t="s">
        <v>21</v>
      </c>
      <c r="H917" t="s">
        <v>4888</v>
      </c>
      <c r="I917" t="s">
        <v>5003</v>
      </c>
      <c r="J917" s="4" t="s">
        <v>5004</v>
      </c>
      <c r="K917" s="4" t="s">
        <v>5015</v>
      </c>
      <c r="L917" s="4" t="s">
        <v>4873</v>
      </c>
      <c r="M917" s="4" t="s">
        <v>5035</v>
      </c>
      <c r="N917" t="s">
        <v>3855</v>
      </c>
      <c r="O917" t="s">
        <v>3856</v>
      </c>
      <c r="P917" t="s">
        <v>23</v>
      </c>
      <c r="Q917" t="s">
        <v>24</v>
      </c>
      <c r="R917" t="s">
        <v>25</v>
      </c>
      <c r="S917" t="s">
        <v>26</v>
      </c>
      <c r="T917" s="6">
        <v>46307</v>
      </c>
      <c r="U917">
        <v>60</v>
      </c>
      <c r="V917">
        <v>60</v>
      </c>
      <c r="W917">
        <v>48</v>
      </c>
      <c r="X917">
        <v>48</v>
      </c>
      <c r="Y917">
        <f t="shared" si="155"/>
        <v>0</v>
      </c>
      <c r="Z917">
        <f t="shared" si="156"/>
        <v>12</v>
      </c>
      <c r="AA917">
        <f>Z917</f>
        <v>12</v>
      </c>
      <c r="AC917" s="1">
        <v>0</v>
      </c>
      <c r="AF917">
        <f>X917</f>
        <v>48</v>
      </c>
      <c r="AG917" s="41">
        <v>12</v>
      </c>
      <c r="AH917">
        <f t="shared" si="157"/>
        <v>48</v>
      </c>
      <c r="AI917">
        <f t="shared" si="158"/>
        <v>12</v>
      </c>
      <c r="AK917">
        <f t="shared" si="159"/>
        <v>4</v>
      </c>
      <c r="AL917">
        <v>13.01</v>
      </c>
      <c r="AM917" t="s">
        <v>27</v>
      </c>
      <c r="AN917">
        <v>13.01</v>
      </c>
      <c r="AO917" t="b">
        <f t="shared" si="160"/>
        <v>1</v>
      </c>
      <c r="AR917" t="s">
        <v>5061</v>
      </c>
      <c r="AS917" s="21">
        <v>46276</v>
      </c>
      <c r="AT917" t="s">
        <v>5062</v>
      </c>
      <c r="AU917" t="s">
        <v>5078</v>
      </c>
      <c r="AV917" t="s">
        <v>5062</v>
      </c>
      <c r="AW917" t="s">
        <v>5086</v>
      </c>
    </row>
    <row r="918" spans="1:49" hidden="1" x14ac:dyDescent="0.35">
      <c r="A918" t="s">
        <v>2796</v>
      </c>
      <c r="B918" t="s">
        <v>872</v>
      </c>
      <c r="C918" t="s">
        <v>4818</v>
      </c>
      <c r="D918" t="s">
        <v>18</v>
      </c>
      <c r="E918" t="s">
        <v>3857</v>
      </c>
      <c r="F918" t="s">
        <v>3858</v>
      </c>
      <c r="G918" t="s">
        <v>21</v>
      </c>
      <c r="H918" t="s">
        <v>4888</v>
      </c>
      <c r="I918" t="s">
        <v>5003</v>
      </c>
      <c r="J918" s="4" t="s">
        <v>5004</v>
      </c>
      <c r="K918" s="4" t="s">
        <v>4837</v>
      </c>
      <c r="L918" s="4" t="s">
        <v>4930</v>
      </c>
      <c r="M918" s="4" t="s">
        <v>5035</v>
      </c>
      <c r="N918" t="s">
        <v>3859</v>
      </c>
      <c r="O918" t="s">
        <v>3860</v>
      </c>
      <c r="P918" t="s">
        <v>23</v>
      </c>
      <c r="Q918" t="s">
        <v>24</v>
      </c>
      <c r="R918" t="s">
        <v>25</v>
      </c>
      <c r="S918" t="s">
        <v>26</v>
      </c>
      <c r="T918" s="6">
        <v>46307</v>
      </c>
      <c r="U918">
        <v>12</v>
      </c>
      <c r="V918">
        <v>12</v>
      </c>
      <c r="W918">
        <v>12</v>
      </c>
      <c r="X918">
        <v>12</v>
      </c>
      <c r="Y918">
        <f t="shared" si="155"/>
        <v>0</v>
      </c>
      <c r="Z918">
        <f t="shared" si="156"/>
        <v>0</v>
      </c>
      <c r="AC918" s="1">
        <v>0</v>
      </c>
      <c r="AF918">
        <f>V918</f>
        <v>12</v>
      </c>
      <c r="AG918" s="41">
        <v>12</v>
      </c>
      <c r="AH918">
        <f t="shared" si="157"/>
        <v>12</v>
      </c>
      <c r="AI918">
        <f t="shared" si="158"/>
        <v>0</v>
      </c>
      <c r="AK918">
        <f t="shared" si="159"/>
        <v>1</v>
      </c>
      <c r="AL918">
        <v>12.87</v>
      </c>
      <c r="AM918" t="s">
        <v>27</v>
      </c>
      <c r="AN918">
        <v>12.87</v>
      </c>
      <c r="AO918" t="b">
        <f t="shared" si="160"/>
        <v>1</v>
      </c>
      <c r="AR918" t="s">
        <v>5061</v>
      </c>
      <c r="AS918" s="21">
        <v>46276</v>
      </c>
      <c r="AT918" t="s">
        <v>5062</v>
      </c>
      <c r="AU918" t="s">
        <v>5078</v>
      </c>
      <c r="AV918" t="s">
        <v>5062</v>
      </c>
      <c r="AW918" t="s">
        <v>5086</v>
      </c>
    </row>
    <row r="919" spans="1:49" hidden="1" x14ac:dyDescent="0.35">
      <c r="A919" t="s">
        <v>2796</v>
      </c>
      <c r="B919" t="s">
        <v>872</v>
      </c>
      <c r="C919" t="s">
        <v>4818</v>
      </c>
      <c r="D919" t="s">
        <v>18</v>
      </c>
      <c r="E919" t="s">
        <v>3861</v>
      </c>
      <c r="F919" t="s">
        <v>3862</v>
      </c>
      <c r="G919" t="s">
        <v>21</v>
      </c>
      <c r="H919" t="s">
        <v>4888</v>
      </c>
      <c r="I919" t="s">
        <v>5012</v>
      </c>
      <c r="J919" s="4" t="s">
        <v>5013</v>
      </c>
      <c r="K919" s="4" t="s">
        <v>4904</v>
      </c>
      <c r="L919" s="4" t="s">
        <v>4988</v>
      </c>
      <c r="M919" s="4" t="s">
        <v>5035</v>
      </c>
      <c r="N919" t="s">
        <v>3863</v>
      </c>
      <c r="O919" t="s">
        <v>3864</v>
      </c>
      <c r="P919" t="s">
        <v>23</v>
      </c>
      <c r="Q919" t="s">
        <v>24</v>
      </c>
      <c r="R919" t="s">
        <v>25</v>
      </c>
      <c r="S919" t="s">
        <v>26</v>
      </c>
      <c r="T919" s="6">
        <v>46307</v>
      </c>
      <c r="U919">
        <v>48</v>
      </c>
      <c r="V919">
        <v>48</v>
      </c>
      <c r="W919">
        <v>48</v>
      </c>
      <c r="X919">
        <v>48</v>
      </c>
      <c r="Y919">
        <f t="shared" si="155"/>
        <v>0</v>
      </c>
      <c r="Z919">
        <f t="shared" si="156"/>
        <v>0</v>
      </c>
      <c r="AC919" s="1">
        <v>0</v>
      </c>
      <c r="AF919">
        <f>V919</f>
        <v>48</v>
      </c>
      <c r="AG919" s="41">
        <v>24</v>
      </c>
      <c r="AH919">
        <f t="shared" si="157"/>
        <v>48</v>
      </c>
      <c r="AI919">
        <f t="shared" si="158"/>
        <v>0</v>
      </c>
      <c r="AK919">
        <f t="shared" si="159"/>
        <v>2</v>
      </c>
      <c r="AL919">
        <v>6.15</v>
      </c>
      <c r="AM919" t="s">
        <v>27</v>
      </c>
      <c r="AN919">
        <v>6.15</v>
      </c>
      <c r="AO919" t="b">
        <f t="shared" si="160"/>
        <v>1</v>
      </c>
      <c r="AR919" t="s">
        <v>5061</v>
      </c>
      <c r="AS919" s="21">
        <v>46276</v>
      </c>
      <c r="AT919" t="s">
        <v>5062</v>
      </c>
      <c r="AU919" t="s">
        <v>5081</v>
      </c>
      <c r="AV919" t="s">
        <v>5062</v>
      </c>
      <c r="AW919" t="s">
        <v>5086</v>
      </c>
    </row>
    <row r="920" spans="1:49" hidden="1" x14ac:dyDescent="0.35">
      <c r="A920" t="s">
        <v>2796</v>
      </c>
      <c r="B920" t="s">
        <v>872</v>
      </c>
      <c r="C920" t="s">
        <v>4818</v>
      </c>
      <c r="D920" t="s">
        <v>18</v>
      </c>
      <c r="E920" t="s">
        <v>3865</v>
      </c>
      <c r="F920" t="s">
        <v>3866</v>
      </c>
      <c r="G920" t="s">
        <v>21</v>
      </c>
      <c r="H920" t="s">
        <v>4888</v>
      </c>
      <c r="I920" t="s">
        <v>5003</v>
      </c>
      <c r="J920" s="4" t="s">
        <v>5004</v>
      </c>
      <c r="K920" s="4" t="s">
        <v>4837</v>
      </c>
      <c r="L920" s="4" t="s">
        <v>4885</v>
      </c>
      <c r="M920" s="4" t="s">
        <v>5035</v>
      </c>
      <c r="N920" t="s">
        <v>3867</v>
      </c>
      <c r="O920" t="s">
        <v>3868</v>
      </c>
      <c r="P920" t="s">
        <v>23</v>
      </c>
      <c r="Q920" t="s">
        <v>24</v>
      </c>
      <c r="R920" t="s">
        <v>25</v>
      </c>
      <c r="S920" t="s">
        <v>26</v>
      </c>
      <c r="T920" s="6">
        <v>46307</v>
      </c>
      <c r="U920">
        <v>108</v>
      </c>
      <c r="V920">
        <v>108</v>
      </c>
      <c r="W920">
        <v>120</v>
      </c>
      <c r="X920">
        <v>120</v>
      </c>
      <c r="Y920">
        <f t="shared" si="155"/>
        <v>0</v>
      </c>
      <c r="Z920">
        <f t="shared" si="156"/>
        <v>-12</v>
      </c>
      <c r="AC920" s="1">
        <v>0</v>
      </c>
      <c r="AF920">
        <f>V920</f>
        <v>108</v>
      </c>
      <c r="AG920" s="41">
        <v>12</v>
      </c>
      <c r="AH920">
        <f t="shared" si="157"/>
        <v>108</v>
      </c>
      <c r="AI920">
        <f t="shared" si="158"/>
        <v>0</v>
      </c>
      <c r="AK920">
        <f t="shared" si="159"/>
        <v>9</v>
      </c>
      <c r="AL920">
        <v>12.87</v>
      </c>
      <c r="AM920" t="s">
        <v>27</v>
      </c>
      <c r="AN920">
        <v>12.87</v>
      </c>
      <c r="AO920" t="b">
        <f t="shared" si="160"/>
        <v>1</v>
      </c>
      <c r="AR920" t="s">
        <v>5061</v>
      </c>
      <c r="AS920" s="21">
        <v>46276</v>
      </c>
      <c r="AT920" t="s">
        <v>5062</v>
      </c>
      <c r="AU920" t="s">
        <v>5078</v>
      </c>
      <c r="AV920" t="s">
        <v>5062</v>
      </c>
      <c r="AW920" t="s">
        <v>5086</v>
      </c>
    </row>
    <row r="921" spans="1:49" hidden="1" x14ac:dyDescent="0.35">
      <c r="A921" t="s">
        <v>2796</v>
      </c>
      <c r="B921" t="s">
        <v>872</v>
      </c>
      <c r="C921" t="s">
        <v>4818</v>
      </c>
      <c r="D921" t="s">
        <v>18</v>
      </c>
      <c r="E921" t="s">
        <v>3869</v>
      </c>
      <c r="F921" t="s">
        <v>3870</v>
      </c>
      <c r="G921" t="s">
        <v>21</v>
      </c>
      <c r="H921" t="s">
        <v>4888</v>
      </c>
      <c r="I921" t="s">
        <v>5005</v>
      </c>
      <c r="J921" s="4" t="s">
        <v>5006</v>
      </c>
      <c r="K921" s="4" t="s">
        <v>5007</v>
      </c>
      <c r="L921" s="4">
        <v>40</v>
      </c>
      <c r="M921" s="4" t="s">
        <v>5035</v>
      </c>
      <c r="N921" t="s">
        <v>3871</v>
      </c>
      <c r="O921" t="s">
        <v>3872</v>
      </c>
      <c r="P921" t="s">
        <v>23</v>
      </c>
      <c r="Q921" t="s">
        <v>24</v>
      </c>
      <c r="R921" t="s">
        <v>25</v>
      </c>
      <c r="S921" t="s">
        <v>26</v>
      </c>
      <c r="T921" s="6">
        <v>46307</v>
      </c>
      <c r="U921">
        <v>336</v>
      </c>
      <c r="V921">
        <v>336</v>
      </c>
      <c r="W921">
        <v>360</v>
      </c>
      <c r="X921">
        <v>360</v>
      </c>
      <c r="Y921">
        <f t="shared" si="155"/>
        <v>0</v>
      </c>
      <c r="Z921">
        <f t="shared" si="156"/>
        <v>-24</v>
      </c>
      <c r="AC921" s="1">
        <v>0</v>
      </c>
      <c r="AF921">
        <f>V921</f>
        <v>336</v>
      </c>
      <c r="AG921" s="41">
        <v>24</v>
      </c>
      <c r="AH921">
        <f t="shared" si="157"/>
        <v>336</v>
      </c>
      <c r="AI921">
        <f t="shared" si="158"/>
        <v>0</v>
      </c>
      <c r="AK921">
        <f t="shared" si="159"/>
        <v>14</v>
      </c>
      <c r="AL921">
        <v>10.45</v>
      </c>
      <c r="AM921" t="s">
        <v>27</v>
      </c>
      <c r="AN921">
        <v>10.45</v>
      </c>
      <c r="AO921" t="b">
        <f t="shared" si="160"/>
        <v>1</v>
      </c>
      <c r="AR921" t="s">
        <v>5061</v>
      </c>
      <c r="AS921" s="21">
        <v>46276</v>
      </c>
      <c r="AT921" t="s">
        <v>5062</v>
      </c>
      <c r="AU921" t="s">
        <v>5079</v>
      </c>
      <c r="AV921" t="s">
        <v>5062</v>
      </c>
      <c r="AW921" t="s">
        <v>5086</v>
      </c>
    </row>
    <row r="922" spans="1:49" hidden="1" x14ac:dyDescent="0.35">
      <c r="A922" t="s">
        <v>2796</v>
      </c>
      <c r="B922" t="s">
        <v>872</v>
      </c>
      <c r="C922" t="s">
        <v>4818</v>
      </c>
      <c r="D922" t="s">
        <v>18</v>
      </c>
      <c r="E922" t="s">
        <v>3873</v>
      </c>
      <c r="F922" t="s">
        <v>3874</v>
      </c>
      <c r="G922" t="s">
        <v>21</v>
      </c>
      <c r="H922" t="s">
        <v>4888</v>
      </c>
      <c r="I922" t="s">
        <v>5005</v>
      </c>
      <c r="J922" s="4" t="s">
        <v>5006</v>
      </c>
      <c r="K922" s="4" t="s">
        <v>5027</v>
      </c>
      <c r="L922" s="4">
        <v>29</v>
      </c>
      <c r="M922" s="4" t="s">
        <v>5035</v>
      </c>
      <c r="N922" t="s">
        <v>3875</v>
      </c>
      <c r="O922" t="s">
        <v>3876</v>
      </c>
      <c r="P922" t="s">
        <v>23</v>
      </c>
      <c r="Q922" t="s">
        <v>24</v>
      </c>
      <c r="R922" t="s">
        <v>25</v>
      </c>
      <c r="S922" t="s">
        <v>26</v>
      </c>
      <c r="T922" s="6">
        <v>46307</v>
      </c>
      <c r="U922">
        <v>120</v>
      </c>
      <c r="V922">
        <v>120</v>
      </c>
      <c r="W922">
        <v>96</v>
      </c>
      <c r="X922">
        <v>96</v>
      </c>
      <c r="Y922">
        <f t="shared" si="155"/>
        <v>0</v>
      </c>
      <c r="Z922">
        <f t="shared" si="156"/>
        <v>24</v>
      </c>
      <c r="AA922">
        <f>Z922</f>
        <v>24</v>
      </c>
      <c r="AC922" s="1">
        <v>0</v>
      </c>
      <c r="AF922">
        <f>X922</f>
        <v>96</v>
      </c>
      <c r="AG922" s="41">
        <v>24</v>
      </c>
      <c r="AH922">
        <f t="shared" si="157"/>
        <v>96</v>
      </c>
      <c r="AI922">
        <f t="shared" si="158"/>
        <v>24</v>
      </c>
      <c r="AK922">
        <f t="shared" si="159"/>
        <v>4</v>
      </c>
      <c r="AL922">
        <v>10.24</v>
      </c>
      <c r="AM922" t="s">
        <v>27</v>
      </c>
      <c r="AN922">
        <v>10.24</v>
      </c>
      <c r="AO922" t="b">
        <f t="shared" si="160"/>
        <v>1</v>
      </c>
      <c r="AR922" t="s">
        <v>5061</v>
      </c>
      <c r="AS922" s="21">
        <v>46276</v>
      </c>
      <c r="AT922" t="s">
        <v>5062</v>
      </c>
      <c r="AU922" t="s">
        <v>5079</v>
      </c>
      <c r="AV922" t="s">
        <v>5062</v>
      </c>
      <c r="AW922" t="s">
        <v>5086</v>
      </c>
    </row>
    <row r="923" spans="1:49" hidden="1" x14ac:dyDescent="0.35">
      <c r="A923" t="s">
        <v>2796</v>
      </c>
      <c r="B923" t="s">
        <v>872</v>
      </c>
      <c r="C923" t="s">
        <v>4818</v>
      </c>
      <c r="D923" t="s">
        <v>18</v>
      </c>
      <c r="E923" t="s">
        <v>3877</v>
      </c>
      <c r="F923" t="s">
        <v>3878</v>
      </c>
      <c r="G923" t="s">
        <v>21</v>
      </c>
      <c r="H923" t="s">
        <v>4888</v>
      </c>
      <c r="I923" t="s">
        <v>5010</v>
      </c>
      <c r="J923" s="4" t="s">
        <v>5011</v>
      </c>
      <c r="K923" s="4" t="s">
        <v>4984</v>
      </c>
      <c r="L923" s="4" t="s">
        <v>4996</v>
      </c>
      <c r="M923" s="4" t="s">
        <v>5035</v>
      </c>
      <c r="N923" t="s">
        <v>3879</v>
      </c>
      <c r="O923" t="s">
        <v>3880</v>
      </c>
      <c r="P923" t="s">
        <v>23</v>
      </c>
      <c r="Q923" t="s">
        <v>24</v>
      </c>
      <c r="R923" t="s">
        <v>25</v>
      </c>
      <c r="S923" t="s">
        <v>26</v>
      </c>
      <c r="T923" s="6">
        <v>46307</v>
      </c>
      <c r="U923">
        <v>96</v>
      </c>
      <c r="V923">
        <v>96</v>
      </c>
      <c r="W923">
        <v>120</v>
      </c>
      <c r="X923">
        <v>120</v>
      </c>
      <c r="Y923">
        <f t="shared" si="155"/>
        <v>0</v>
      </c>
      <c r="Z923">
        <f t="shared" si="156"/>
        <v>-24</v>
      </c>
      <c r="AC923" s="1">
        <v>0</v>
      </c>
      <c r="AF923">
        <f>V923</f>
        <v>96</v>
      </c>
      <c r="AG923" s="41">
        <v>24</v>
      </c>
      <c r="AH923">
        <f t="shared" si="157"/>
        <v>96</v>
      </c>
      <c r="AI923">
        <f t="shared" si="158"/>
        <v>0</v>
      </c>
      <c r="AK923">
        <f t="shared" si="159"/>
        <v>4</v>
      </c>
      <c r="AL923">
        <v>4.92</v>
      </c>
      <c r="AM923" t="s">
        <v>27</v>
      </c>
      <c r="AN923">
        <v>4.92</v>
      </c>
      <c r="AO923" t="b">
        <f t="shared" si="160"/>
        <v>1</v>
      </c>
      <c r="AR923" t="s">
        <v>5061</v>
      </c>
      <c r="AS923" s="21">
        <v>46276</v>
      </c>
      <c r="AT923" t="s">
        <v>5062</v>
      </c>
      <c r="AU923" t="s">
        <v>5081</v>
      </c>
      <c r="AV923" t="s">
        <v>5062</v>
      </c>
      <c r="AW923" t="s">
        <v>5086</v>
      </c>
    </row>
    <row r="924" spans="1:49" hidden="1" x14ac:dyDescent="0.35">
      <c r="A924" t="s">
        <v>2796</v>
      </c>
      <c r="B924" t="s">
        <v>872</v>
      </c>
      <c r="C924" t="s">
        <v>4818</v>
      </c>
      <c r="D924" t="s">
        <v>18</v>
      </c>
      <c r="E924" t="s">
        <v>3881</v>
      </c>
      <c r="F924" t="s">
        <v>3882</v>
      </c>
      <c r="G924" t="s">
        <v>21</v>
      </c>
      <c r="H924" t="s">
        <v>4888</v>
      </c>
      <c r="I924" t="s">
        <v>5008</v>
      </c>
      <c r="J924" s="4" t="s">
        <v>5009</v>
      </c>
      <c r="K924" s="4" t="s">
        <v>4904</v>
      </c>
      <c r="L924" s="4">
        <v>38</v>
      </c>
      <c r="M924" s="4" t="s">
        <v>5035</v>
      </c>
      <c r="N924" t="s">
        <v>3883</v>
      </c>
      <c r="O924" t="s">
        <v>3884</v>
      </c>
      <c r="P924" t="s">
        <v>23</v>
      </c>
      <c r="Q924" t="s">
        <v>24</v>
      </c>
      <c r="R924" t="s">
        <v>25</v>
      </c>
      <c r="S924" t="s">
        <v>26</v>
      </c>
      <c r="T924" s="6">
        <v>46307</v>
      </c>
      <c r="U924">
        <v>624</v>
      </c>
      <c r="V924">
        <v>624</v>
      </c>
      <c r="W924">
        <v>672</v>
      </c>
      <c r="X924">
        <v>672</v>
      </c>
      <c r="Y924">
        <f t="shared" si="155"/>
        <v>0</v>
      </c>
      <c r="Z924">
        <f t="shared" si="156"/>
        <v>-48</v>
      </c>
      <c r="AC924" s="1"/>
      <c r="AF924">
        <f>V924</f>
        <v>624</v>
      </c>
      <c r="AG924" s="41">
        <v>24</v>
      </c>
      <c r="AH924">
        <f t="shared" si="157"/>
        <v>624</v>
      </c>
      <c r="AI924">
        <f t="shared" si="158"/>
        <v>0</v>
      </c>
      <c r="AK924">
        <f t="shared" si="159"/>
        <v>26</v>
      </c>
      <c r="AL924">
        <v>10.11</v>
      </c>
      <c r="AM924" t="s">
        <v>27</v>
      </c>
      <c r="AN924">
        <v>10.11</v>
      </c>
      <c r="AO924" t="b">
        <f t="shared" si="160"/>
        <v>1</v>
      </c>
      <c r="AR924" t="s">
        <v>5061</v>
      </c>
      <c r="AS924" s="21">
        <v>46276</v>
      </c>
      <c r="AT924" t="s">
        <v>5062</v>
      </c>
      <c r="AU924" t="s">
        <v>5080</v>
      </c>
      <c r="AV924" t="s">
        <v>5062</v>
      </c>
      <c r="AW924" t="s">
        <v>5086</v>
      </c>
    </row>
    <row r="925" spans="1:49" hidden="1" x14ac:dyDescent="0.35">
      <c r="A925" t="s">
        <v>2796</v>
      </c>
      <c r="B925" t="s">
        <v>872</v>
      </c>
      <c r="C925" t="s">
        <v>4818</v>
      </c>
      <c r="D925" t="s">
        <v>18</v>
      </c>
      <c r="E925" t="s">
        <v>3885</v>
      </c>
      <c r="F925" t="s">
        <v>3886</v>
      </c>
      <c r="G925" t="s">
        <v>21</v>
      </c>
      <c r="H925" t="s">
        <v>4888</v>
      </c>
      <c r="I925" t="s">
        <v>5003</v>
      </c>
      <c r="J925" s="4" t="s">
        <v>5004</v>
      </c>
      <c r="K925" s="4" t="s">
        <v>5015</v>
      </c>
      <c r="L925" s="4" t="s">
        <v>4875</v>
      </c>
      <c r="M925" s="4" t="s">
        <v>5035</v>
      </c>
      <c r="N925" t="s">
        <v>3887</v>
      </c>
      <c r="O925" t="s">
        <v>3888</v>
      </c>
      <c r="P925" t="s">
        <v>23</v>
      </c>
      <c r="Q925" t="s">
        <v>24</v>
      </c>
      <c r="R925" t="s">
        <v>25</v>
      </c>
      <c r="S925" t="s">
        <v>26</v>
      </c>
      <c r="T925" s="6">
        <v>46307</v>
      </c>
      <c r="U925">
        <v>48</v>
      </c>
      <c r="V925">
        <v>48</v>
      </c>
      <c r="W925">
        <v>36</v>
      </c>
      <c r="X925">
        <v>36</v>
      </c>
      <c r="Y925">
        <f t="shared" si="155"/>
        <v>0</v>
      </c>
      <c r="Z925">
        <f t="shared" si="156"/>
        <v>12</v>
      </c>
      <c r="AA925">
        <f>Z925</f>
        <v>12</v>
      </c>
      <c r="AC925" s="1">
        <v>0</v>
      </c>
      <c r="AF925">
        <f>X925</f>
        <v>36</v>
      </c>
      <c r="AG925" s="41">
        <v>12</v>
      </c>
      <c r="AH925">
        <f t="shared" si="157"/>
        <v>36</v>
      </c>
      <c r="AI925">
        <f t="shared" si="158"/>
        <v>12</v>
      </c>
      <c r="AK925">
        <f t="shared" si="159"/>
        <v>3</v>
      </c>
      <c r="AL925">
        <v>13.01</v>
      </c>
      <c r="AM925" t="s">
        <v>27</v>
      </c>
      <c r="AN925">
        <v>13.01</v>
      </c>
      <c r="AO925" t="b">
        <f t="shared" si="160"/>
        <v>1</v>
      </c>
      <c r="AR925" t="s">
        <v>5061</v>
      </c>
      <c r="AS925" s="21">
        <v>46276</v>
      </c>
      <c r="AT925" t="s">
        <v>5062</v>
      </c>
      <c r="AU925" t="s">
        <v>5078</v>
      </c>
      <c r="AV925" t="s">
        <v>5062</v>
      </c>
      <c r="AW925" t="s">
        <v>5086</v>
      </c>
    </row>
    <row r="926" spans="1:49" hidden="1" x14ac:dyDescent="0.35">
      <c r="A926" t="s">
        <v>2796</v>
      </c>
      <c r="B926" t="s">
        <v>872</v>
      </c>
      <c r="C926" t="s">
        <v>4818</v>
      </c>
      <c r="D926" t="s">
        <v>18</v>
      </c>
      <c r="E926" t="s">
        <v>3889</v>
      </c>
      <c r="F926" t="s">
        <v>3890</v>
      </c>
      <c r="G926" t="s">
        <v>21</v>
      </c>
      <c r="H926" t="s">
        <v>4888</v>
      </c>
      <c r="I926" t="s">
        <v>5012</v>
      </c>
      <c r="J926" s="4" t="s">
        <v>5013</v>
      </c>
      <c r="K926" s="4" t="s">
        <v>4984</v>
      </c>
      <c r="L926" s="4" t="s">
        <v>4990</v>
      </c>
      <c r="M926" s="4" t="s">
        <v>5035</v>
      </c>
      <c r="N926" t="s">
        <v>3891</v>
      </c>
      <c r="O926" t="s">
        <v>3892</v>
      </c>
      <c r="P926" t="s">
        <v>23</v>
      </c>
      <c r="Q926" t="s">
        <v>24</v>
      </c>
      <c r="R926" t="s">
        <v>25</v>
      </c>
      <c r="S926" t="s">
        <v>26</v>
      </c>
      <c r="T926" s="6">
        <v>46307</v>
      </c>
      <c r="U926">
        <v>216</v>
      </c>
      <c r="V926">
        <v>216</v>
      </c>
      <c r="W926">
        <v>240</v>
      </c>
      <c r="X926">
        <v>240</v>
      </c>
      <c r="Y926">
        <f t="shared" si="155"/>
        <v>0</v>
      </c>
      <c r="Z926">
        <f t="shared" si="156"/>
        <v>-24</v>
      </c>
      <c r="AC926" s="1">
        <v>0</v>
      </c>
      <c r="AF926">
        <f>V926</f>
        <v>216</v>
      </c>
      <c r="AG926" s="41">
        <v>24</v>
      </c>
      <c r="AH926">
        <f t="shared" si="157"/>
        <v>216</v>
      </c>
      <c r="AI926">
        <f t="shared" si="158"/>
        <v>0</v>
      </c>
      <c r="AK926">
        <f t="shared" si="159"/>
        <v>9</v>
      </c>
      <c r="AL926">
        <v>6.05</v>
      </c>
      <c r="AM926" t="s">
        <v>27</v>
      </c>
      <c r="AN926">
        <v>6.05</v>
      </c>
      <c r="AO926" t="b">
        <f t="shared" si="160"/>
        <v>1</v>
      </c>
      <c r="AR926" t="s">
        <v>5061</v>
      </c>
      <c r="AS926" s="21">
        <v>46276</v>
      </c>
      <c r="AT926" t="s">
        <v>5062</v>
      </c>
      <c r="AU926" t="s">
        <v>5081</v>
      </c>
      <c r="AV926" t="s">
        <v>5062</v>
      </c>
      <c r="AW926" t="s">
        <v>5086</v>
      </c>
    </row>
    <row r="927" spans="1:49" hidden="1" x14ac:dyDescent="0.35">
      <c r="A927" t="s">
        <v>2796</v>
      </c>
      <c r="B927" t="s">
        <v>872</v>
      </c>
      <c r="C927" t="s">
        <v>4818</v>
      </c>
      <c r="D927" t="s">
        <v>18</v>
      </c>
      <c r="E927" t="s">
        <v>3893</v>
      </c>
      <c r="F927" t="s">
        <v>3894</v>
      </c>
      <c r="G927" t="s">
        <v>21</v>
      </c>
      <c r="H927" t="s">
        <v>4888</v>
      </c>
      <c r="I927" t="s">
        <v>5003</v>
      </c>
      <c r="J927" s="4" t="s">
        <v>5004</v>
      </c>
      <c r="K927" s="4" t="s">
        <v>5016</v>
      </c>
      <c r="L927" s="4" t="s">
        <v>4931</v>
      </c>
      <c r="M927" s="4" t="s">
        <v>5035</v>
      </c>
      <c r="N927" t="s">
        <v>3895</v>
      </c>
      <c r="O927" t="s">
        <v>3896</v>
      </c>
      <c r="P927" t="s">
        <v>23</v>
      </c>
      <c r="Q927" t="s">
        <v>24</v>
      </c>
      <c r="R927" t="s">
        <v>25</v>
      </c>
      <c r="S927" t="s">
        <v>26</v>
      </c>
      <c r="T927" s="6">
        <v>46307</v>
      </c>
      <c r="U927">
        <v>12</v>
      </c>
      <c r="V927">
        <v>12</v>
      </c>
      <c r="W927">
        <v>12</v>
      </c>
      <c r="X927">
        <v>12</v>
      </c>
      <c r="Y927">
        <f t="shared" si="155"/>
        <v>0</v>
      </c>
      <c r="Z927">
        <f t="shared" si="156"/>
        <v>0</v>
      </c>
      <c r="AC927" s="1">
        <v>0</v>
      </c>
      <c r="AF927">
        <f>V927</f>
        <v>12</v>
      </c>
      <c r="AG927" s="41">
        <v>12</v>
      </c>
      <c r="AH927">
        <f t="shared" si="157"/>
        <v>12</v>
      </c>
      <c r="AI927">
        <f t="shared" si="158"/>
        <v>0</v>
      </c>
      <c r="AK927">
        <f t="shared" si="159"/>
        <v>1</v>
      </c>
      <c r="AL927">
        <v>13.33</v>
      </c>
      <c r="AM927" t="s">
        <v>27</v>
      </c>
      <c r="AN927">
        <v>13.33</v>
      </c>
      <c r="AO927" t="b">
        <f t="shared" si="160"/>
        <v>1</v>
      </c>
      <c r="AR927" t="s">
        <v>5061</v>
      </c>
      <c r="AS927" s="21">
        <v>46276</v>
      </c>
      <c r="AT927" t="s">
        <v>5062</v>
      </c>
      <c r="AU927" t="s">
        <v>5078</v>
      </c>
      <c r="AV927" t="s">
        <v>5062</v>
      </c>
      <c r="AW927" t="s">
        <v>5086</v>
      </c>
    </row>
    <row r="928" spans="1:49" hidden="1" x14ac:dyDescent="0.35">
      <c r="A928" t="s">
        <v>2796</v>
      </c>
      <c r="B928" t="s">
        <v>872</v>
      </c>
      <c r="C928" t="s">
        <v>4818</v>
      </c>
      <c r="D928" t="s">
        <v>18</v>
      </c>
      <c r="E928" t="s">
        <v>3897</v>
      </c>
      <c r="F928" t="s">
        <v>3898</v>
      </c>
      <c r="G928" t="s">
        <v>21</v>
      </c>
      <c r="H928" t="s">
        <v>4888</v>
      </c>
      <c r="I928" t="s">
        <v>5003</v>
      </c>
      <c r="J928" s="4" t="s">
        <v>5004</v>
      </c>
      <c r="K928" s="4" t="s">
        <v>5015</v>
      </c>
      <c r="L928" s="4" t="s">
        <v>4884</v>
      </c>
      <c r="M928" s="4" t="s">
        <v>5035</v>
      </c>
      <c r="N928" t="s">
        <v>3899</v>
      </c>
      <c r="O928" t="s">
        <v>3900</v>
      </c>
      <c r="P928" t="s">
        <v>23</v>
      </c>
      <c r="Q928" t="s">
        <v>24</v>
      </c>
      <c r="R928" t="s">
        <v>25</v>
      </c>
      <c r="S928" t="s">
        <v>26</v>
      </c>
      <c r="T928" s="6">
        <v>46307</v>
      </c>
      <c r="U928">
        <v>36</v>
      </c>
      <c r="V928">
        <v>36</v>
      </c>
      <c r="W928">
        <v>36</v>
      </c>
      <c r="X928">
        <v>36</v>
      </c>
      <c r="Y928">
        <f t="shared" si="155"/>
        <v>0</v>
      </c>
      <c r="Z928">
        <f t="shared" si="156"/>
        <v>0</v>
      </c>
      <c r="AC928" s="1">
        <v>0</v>
      </c>
      <c r="AF928">
        <f>V928</f>
        <v>36</v>
      </c>
      <c r="AG928" s="41">
        <v>12</v>
      </c>
      <c r="AH928">
        <f t="shared" si="157"/>
        <v>36</v>
      </c>
      <c r="AI928">
        <f t="shared" si="158"/>
        <v>0</v>
      </c>
      <c r="AK928">
        <f t="shared" si="159"/>
        <v>3</v>
      </c>
      <c r="AL928">
        <v>13.01</v>
      </c>
      <c r="AM928" t="s">
        <v>27</v>
      </c>
      <c r="AN928">
        <v>13.01</v>
      </c>
      <c r="AO928" t="b">
        <f t="shared" si="160"/>
        <v>1</v>
      </c>
      <c r="AR928" t="s">
        <v>5061</v>
      </c>
      <c r="AS928" s="21">
        <v>46276</v>
      </c>
      <c r="AT928" t="s">
        <v>5062</v>
      </c>
      <c r="AU928" t="s">
        <v>5078</v>
      </c>
      <c r="AV928" t="s">
        <v>5062</v>
      </c>
      <c r="AW928" t="s">
        <v>5086</v>
      </c>
    </row>
    <row r="929" spans="1:49" hidden="1" x14ac:dyDescent="0.35">
      <c r="A929" t="s">
        <v>2796</v>
      </c>
      <c r="B929" t="s">
        <v>872</v>
      </c>
      <c r="C929" t="s">
        <v>4818</v>
      </c>
      <c r="D929" t="s">
        <v>18</v>
      </c>
      <c r="E929" t="s">
        <v>3901</v>
      </c>
      <c r="F929" t="s">
        <v>3902</v>
      </c>
      <c r="G929" t="s">
        <v>21</v>
      </c>
      <c r="H929" t="s">
        <v>4888</v>
      </c>
      <c r="I929" t="s">
        <v>5003</v>
      </c>
      <c r="J929" s="4" t="s">
        <v>5004</v>
      </c>
      <c r="K929" s="4" t="s">
        <v>5016</v>
      </c>
      <c r="L929" s="4" t="s">
        <v>4917</v>
      </c>
      <c r="M929" s="4" t="s">
        <v>5035</v>
      </c>
      <c r="N929" t="s">
        <v>3903</v>
      </c>
      <c r="O929" t="s">
        <v>3904</v>
      </c>
      <c r="P929" t="s">
        <v>23</v>
      </c>
      <c r="Q929" t="s">
        <v>24</v>
      </c>
      <c r="R929" t="s">
        <v>25</v>
      </c>
      <c r="S929" t="s">
        <v>26</v>
      </c>
      <c r="T929" s="6">
        <v>46307</v>
      </c>
      <c r="U929">
        <v>48</v>
      </c>
      <c r="V929">
        <v>48</v>
      </c>
      <c r="W929">
        <v>48</v>
      </c>
      <c r="X929">
        <v>48</v>
      </c>
      <c r="Y929">
        <f t="shared" si="155"/>
        <v>0</v>
      </c>
      <c r="Z929">
        <f t="shared" si="156"/>
        <v>0</v>
      </c>
      <c r="AC929" s="1">
        <v>0</v>
      </c>
      <c r="AF929">
        <f>V929</f>
        <v>48</v>
      </c>
      <c r="AG929" s="41">
        <v>12</v>
      </c>
      <c r="AH929">
        <f t="shared" si="157"/>
        <v>48</v>
      </c>
      <c r="AI929">
        <f t="shared" si="158"/>
        <v>0</v>
      </c>
      <c r="AK929">
        <f t="shared" si="159"/>
        <v>4</v>
      </c>
      <c r="AL929">
        <v>13.33</v>
      </c>
      <c r="AM929" t="s">
        <v>27</v>
      </c>
      <c r="AN929">
        <v>13.33</v>
      </c>
      <c r="AO929" t="b">
        <f t="shared" si="160"/>
        <v>1</v>
      </c>
      <c r="AR929" t="s">
        <v>5061</v>
      </c>
      <c r="AS929" s="21">
        <v>46276</v>
      </c>
      <c r="AT929" t="s">
        <v>5062</v>
      </c>
      <c r="AU929" t="s">
        <v>5078</v>
      </c>
      <c r="AV929" t="s">
        <v>5062</v>
      </c>
      <c r="AW929" t="s">
        <v>5086</v>
      </c>
    </row>
    <row r="930" spans="1:49" hidden="1" x14ac:dyDescent="0.35">
      <c r="A930" t="s">
        <v>2796</v>
      </c>
      <c r="B930" t="s">
        <v>872</v>
      </c>
      <c r="C930" t="s">
        <v>4818</v>
      </c>
      <c r="D930" t="s">
        <v>18</v>
      </c>
      <c r="E930" t="s">
        <v>3905</v>
      </c>
      <c r="F930" t="s">
        <v>3906</v>
      </c>
      <c r="G930" t="s">
        <v>21</v>
      </c>
      <c r="H930" t="s">
        <v>4888</v>
      </c>
      <c r="I930" t="s">
        <v>5003</v>
      </c>
      <c r="J930" s="4" t="s">
        <v>5004</v>
      </c>
      <c r="K930" s="4" t="s">
        <v>5015</v>
      </c>
      <c r="L930" s="4" t="s">
        <v>4917</v>
      </c>
      <c r="M930" s="4" t="s">
        <v>5035</v>
      </c>
      <c r="N930" t="s">
        <v>3907</v>
      </c>
      <c r="O930" t="s">
        <v>3908</v>
      </c>
      <c r="P930" t="s">
        <v>23</v>
      </c>
      <c r="Q930" t="s">
        <v>24</v>
      </c>
      <c r="R930" t="s">
        <v>25</v>
      </c>
      <c r="S930" t="s">
        <v>26</v>
      </c>
      <c r="T930" s="6">
        <v>46307</v>
      </c>
      <c r="U930">
        <v>36</v>
      </c>
      <c r="V930">
        <v>36</v>
      </c>
      <c r="W930">
        <v>36</v>
      </c>
      <c r="X930">
        <v>36</v>
      </c>
      <c r="Y930">
        <f t="shared" si="155"/>
        <v>0</v>
      </c>
      <c r="Z930">
        <f t="shared" si="156"/>
        <v>0</v>
      </c>
      <c r="AC930" s="1">
        <v>0</v>
      </c>
      <c r="AF930">
        <f>V930</f>
        <v>36</v>
      </c>
      <c r="AG930" s="41">
        <v>12</v>
      </c>
      <c r="AH930">
        <f t="shared" si="157"/>
        <v>36</v>
      </c>
      <c r="AI930">
        <f t="shared" si="158"/>
        <v>0</v>
      </c>
      <c r="AK930">
        <f t="shared" si="159"/>
        <v>3</v>
      </c>
      <c r="AL930">
        <v>13.01</v>
      </c>
      <c r="AM930" t="s">
        <v>27</v>
      </c>
      <c r="AN930">
        <v>13.01</v>
      </c>
      <c r="AO930" t="b">
        <f t="shared" si="160"/>
        <v>1</v>
      </c>
      <c r="AR930" t="s">
        <v>5061</v>
      </c>
      <c r="AS930" s="21">
        <v>46276</v>
      </c>
      <c r="AT930" t="s">
        <v>5062</v>
      </c>
      <c r="AU930" t="s">
        <v>5078</v>
      </c>
      <c r="AV930" t="s">
        <v>5062</v>
      </c>
      <c r="AW930" t="s">
        <v>5086</v>
      </c>
    </row>
    <row r="931" spans="1:49" hidden="1" x14ac:dyDescent="0.35">
      <c r="A931" t="s">
        <v>2796</v>
      </c>
      <c r="B931" t="s">
        <v>872</v>
      </c>
      <c r="C931" t="s">
        <v>4818</v>
      </c>
      <c r="D931" t="s">
        <v>18</v>
      </c>
      <c r="E931" t="s">
        <v>3909</v>
      </c>
      <c r="F931" t="s">
        <v>3910</v>
      </c>
      <c r="G931" t="s">
        <v>21</v>
      </c>
      <c r="H931" t="s">
        <v>4888</v>
      </c>
      <c r="I931" t="s">
        <v>5003</v>
      </c>
      <c r="J931" s="4" t="s">
        <v>5004</v>
      </c>
      <c r="K931" s="4" t="s">
        <v>5015</v>
      </c>
      <c r="L931" s="4" t="s">
        <v>4912</v>
      </c>
      <c r="M931" s="4" t="s">
        <v>5035</v>
      </c>
      <c r="N931" t="s">
        <v>3911</v>
      </c>
      <c r="O931" t="s">
        <v>3912</v>
      </c>
      <c r="P931" t="s">
        <v>23</v>
      </c>
      <c r="Q931" t="s">
        <v>24</v>
      </c>
      <c r="R931" t="s">
        <v>25</v>
      </c>
      <c r="S931" t="s">
        <v>26</v>
      </c>
      <c r="T931" s="6">
        <v>46307</v>
      </c>
      <c r="U931">
        <v>48</v>
      </c>
      <c r="V931">
        <v>48</v>
      </c>
      <c r="W931">
        <v>36</v>
      </c>
      <c r="X931">
        <v>36</v>
      </c>
      <c r="Y931">
        <f t="shared" si="155"/>
        <v>0</v>
      </c>
      <c r="Z931">
        <f t="shared" si="156"/>
        <v>12</v>
      </c>
      <c r="AA931">
        <f>Z931</f>
        <v>12</v>
      </c>
      <c r="AC931" s="1">
        <v>0</v>
      </c>
      <c r="AF931">
        <f>X931</f>
        <v>36</v>
      </c>
      <c r="AG931" s="41">
        <v>12</v>
      </c>
      <c r="AH931">
        <f t="shared" si="157"/>
        <v>36</v>
      </c>
      <c r="AI931">
        <f t="shared" si="158"/>
        <v>12</v>
      </c>
      <c r="AK931">
        <f t="shared" si="159"/>
        <v>3</v>
      </c>
      <c r="AL931">
        <v>13.01</v>
      </c>
      <c r="AM931" t="s">
        <v>27</v>
      </c>
      <c r="AN931">
        <v>13.01</v>
      </c>
      <c r="AO931" t="b">
        <f t="shared" si="160"/>
        <v>1</v>
      </c>
      <c r="AR931" t="s">
        <v>5061</v>
      </c>
      <c r="AS931" s="21">
        <v>46276</v>
      </c>
      <c r="AT931" t="s">
        <v>5062</v>
      </c>
      <c r="AU931" t="s">
        <v>5078</v>
      </c>
      <c r="AV931" t="s">
        <v>5062</v>
      </c>
      <c r="AW931" t="s">
        <v>5086</v>
      </c>
    </row>
    <row r="932" spans="1:49" hidden="1" x14ac:dyDescent="0.35">
      <c r="A932" t="s">
        <v>2796</v>
      </c>
      <c r="B932" t="s">
        <v>872</v>
      </c>
      <c r="C932" t="s">
        <v>4818</v>
      </c>
      <c r="D932" t="s">
        <v>18</v>
      </c>
      <c r="E932" t="s">
        <v>3913</v>
      </c>
      <c r="F932" t="s">
        <v>3914</v>
      </c>
      <c r="G932" t="s">
        <v>21</v>
      </c>
      <c r="H932" t="s">
        <v>4888</v>
      </c>
      <c r="I932" t="s">
        <v>5003</v>
      </c>
      <c r="J932" s="4" t="s">
        <v>5004</v>
      </c>
      <c r="K932" s="4" t="s">
        <v>5016</v>
      </c>
      <c r="L932" s="4" t="s">
        <v>4877</v>
      </c>
      <c r="M932" s="4" t="s">
        <v>5035</v>
      </c>
      <c r="N932" t="s">
        <v>3915</v>
      </c>
      <c r="O932" t="s">
        <v>3916</v>
      </c>
      <c r="P932" t="s">
        <v>23</v>
      </c>
      <c r="Q932" t="s">
        <v>24</v>
      </c>
      <c r="R932" t="s">
        <v>25</v>
      </c>
      <c r="S932" t="s">
        <v>26</v>
      </c>
      <c r="T932" s="6">
        <v>46307</v>
      </c>
      <c r="U932">
        <v>60</v>
      </c>
      <c r="V932">
        <v>60</v>
      </c>
      <c r="W932">
        <v>60</v>
      </c>
      <c r="X932">
        <v>60</v>
      </c>
      <c r="Y932">
        <f t="shared" si="155"/>
        <v>0</v>
      </c>
      <c r="Z932">
        <f t="shared" si="156"/>
        <v>0</v>
      </c>
      <c r="AC932" s="1">
        <v>0</v>
      </c>
      <c r="AF932">
        <f>V932</f>
        <v>60</v>
      </c>
      <c r="AG932" s="41">
        <v>12</v>
      </c>
      <c r="AH932">
        <f t="shared" si="157"/>
        <v>60</v>
      </c>
      <c r="AI932">
        <f t="shared" si="158"/>
        <v>0</v>
      </c>
      <c r="AK932">
        <f t="shared" si="159"/>
        <v>5</v>
      </c>
      <c r="AL932">
        <v>13.33</v>
      </c>
      <c r="AM932" t="s">
        <v>27</v>
      </c>
      <c r="AN932">
        <v>13.33</v>
      </c>
      <c r="AO932" t="b">
        <f t="shared" si="160"/>
        <v>1</v>
      </c>
      <c r="AR932" t="s">
        <v>5061</v>
      </c>
      <c r="AS932" s="21">
        <v>46276</v>
      </c>
      <c r="AT932" t="s">
        <v>5062</v>
      </c>
      <c r="AU932" t="s">
        <v>5078</v>
      </c>
      <c r="AV932" t="s">
        <v>5062</v>
      </c>
      <c r="AW932" t="s">
        <v>5086</v>
      </c>
    </row>
    <row r="933" spans="1:49" hidden="1" x14ac:dyDescent="0.35">
      <c r="A933" t="s">
        <v>2796</v>
      </c>
      <c r="B933" t="s">
        <v>872</v>
      </c>
      <c r="C933" t="s">
        <v>4818</v>
      </c>
      <c r="D933" t="s">
        <v>18</v>
      </c>
      <c r="E933" t="s">
        <v>3917</v>
      </c>
      <c r="F933" t="s">
        <v>3918</v>
      </c>
      <c r="G933" t="s">
        <v>21</v>
      </c>
      <c r="H933" t="s">
        <v>4888</v>
      </c>
      <c r="I933" t="s">
        <v>5003</v>
      </c>
      <c r="J933" s="4" t="s">
        <v>5004</v>
      </c>
      <c r="K933" s="4" t="s">
        <v>5016</v>
      </c>
      <c r="L933" s="4" t="s">
        <v>4925</v>
      </c>
      <c r="M933" s="4" t="s">
        <v>5035</v>
      </c>
      <c r="N933" t="s">
        <v>3919</v>
      </c>
      <c r="O933" t="s">
        <v>3920</v>
      </c>
      <c r="P933" t="s">
        <v>23</v>
      </c>
      <c r="Q933" t="s">
        <v>24</v>
      </c>
      <c r="R933" t="s">
        <v>25</v>
      </c>
      <c r="S933" t="s">
        <v>26</v>
      </c>
      <c r="T933" s="6">
        <v>46307</v>
      </c>
      <c r="U933">
        <v>84</v>
      </c>
      <c r="V933">
        <v>84</v>
      </c>
      <c r="W933">
        <v>96</v>
      </c>
      <c r="X933">
        <v>96</v>
      </c>
      <c r="Y933">
        <f t="shared" si="155"/>
        <v>0</v>
      </c>
      <c r="Z933">
        <f t="shared" si="156"/>
        <v>-12</v>
      </c>
      <c r="AC933" s="1">
        <v>0</v>
      </c>
      <c r="AF933">
        <f>V933</f>
        <v>84</v>
      </c>
      <c r="AG933" s="41">
        <v>12</v>
      </c>
      <c r="AH933">
        <f t="shared" si="157"/>
        <v>84</v>
      </c>
      <c r="AI933">
        <f t="shared" si="158"/>
        <v>0</v>
      </c>
      <c r="AK933">
        <f t="shared" si="159"/>
        <v>7</v>
      </c>
      <c r="AL933">
        <v>13.33</v>
      </c>
      <c r="AM933" t="s">
        <v>27</v>
      </c>
      <c r="AN933">
        <v>13.33</v>
      </c>
      <c r="AO933" t="b">
        <f t="shared" si="160"/>
        <v>1</v>
      </c>
      <c r="AR933" t="s">
        <v>5061</v>
      </c>
      <c r="AS933" s="21">
        <v>46276</v>
      </c>
      <c r="AT933" t="s">
        <v>5062</v>
      </c>
      <c r="AU933" t="s">
        <v>5078</v>
      </c>
      <c r="AV933" t="s">
        <v>5062</v>
      </c>
      <c r="AW933" t="s">
        <v>5086</v>
      </c>
    </row>
    <row r="934" spans="1:49" hidden="1" x14ac:dyDescent="0.35">
      <c r="A934" t="s">
        <v>2796</v>
      </c>
      <c r="B934" t="s">
        <v>872</v>
      </c>
      <c r="C934" t="s">
        <v>4818</v>
      </c>
      <c r="D934" t="s">
        <v>18</v>
      </c>
      <c r="E934" t="s">
        <v>3921</v>
      </c>
      <c r="F934" t="s">
        <v>3922</v>
      </c>
      <c r="G934" t="s">
        <v>21</v>
      </c>
      <c r="H934" t="s">
        <v>4888</v>
      </c>
      <c r="I934" t="s">
        <v>5003</v>
      </c>
      <c r="J934" s="4" t="s">
        <v>5004</v>
      </c>
      <c r="K934" s="4" t="s">
        <v>4904</v>
      </c>
      <c r="L934" s="4" t="s">
        <v>4875</v>
      </c>
      <c r="M934" s="4" t="s">
        <v>5035</v>
      </c>
      <c r="N934" t="s">
        <v>3923</v>
      </c>
      <c r="O934" t="s">
        <v>3924</v>
      </c>
      <c r="P934" t="s">
        <v>23</v>
      </c>
      <c r="Q934" t="s">
        <v>24</v>
      </c>
      <c r="R934" t="s">
        <v>25</v>
      </c>
      <c r="S934" t="s">
        <v>26</v>
      </c>
      <c r="T934" s="6">
        <v>46307</v>
      </c>
      <c r="U934">
        <v>24</v>
      </c>
      <c r="V934">
        <v>24</v>
      </c>
      <c r="W934">
        <v>24</v>
      </c>
      <c r="X934">
        <v>24</v>
      </c>
      <c r="Y934">
        <f t="shared" si="155"/>
        <v>0</v>
      </c>
      <c r="Z934">
        <f t="shared" si="156"/>
        <v>0</v>
      </c>
      <c r="AC934" s="1">
        <v>0</v>
      </c>
      <c r="AF934">
        <f>V934</f>
        <v>24</v>
      </c>
      <c r="AG934" s="41">
        <v>12</v>
      </c>
      <c r="AH934">
        <f t="shared" si="157"/>
        <v>24</v>
      </c>
      <c r="AI934">
        <f t="shared" si="158"/>
        <v>0</v>
      </c>
      <c r="AK934">
        <f t="shared" si="159"/>
        <v>2</v>
      </c>
      <c r="AL934">
        <v>12.89</v>
      </c>
      <c r="AM934" t="s">
        <v>27</v>
      </c>
      <c r="AN934">
        <v>12.89</v>
      </c>
      <c r="AO934" t="b">
        <f t="shared" si="160"/>
        <v>1</v>
      </c>
      <c r="AR934" t="s">
        <v>5061</v>
      </c>
      <c r="AS934" s="21">
        <v>46276</v>
      </c>
      <c r="AT934" t="s">
        <v>5062</v>
      </c>
      <c r="AU934" t="s">
        <v>5078</v>
      </c>
      <c r="AV934" t="s">
        <v>5062</v>
      </c>
      <c r="AW934" t="s">
        <v>5086</v>
      </c>
    </row>
    <row r="935" spans="1:49" hidden="1" x14ac:dyDescent="0.35">
      <c r="A935" t="s">
        <v>2796</v>
      </c>
      <c r="B935" t="s">
        <v>872</v>
      </c>
      <c r="C935" t="s">
        <v>4818</v>
      </c>
      <c r="D935" t="s">
        <v>18</v>
      </c>
      <c r="E935" t="s">
        <v>3925</v>
      </c>
      <c r="F935" t="s">
        <v>3926</v>
      </c>
      <c r="G935" t="s">
        <v>21</v>
      </c>
      <c r="H935" t="s">
        <v>4888</v>
      </c>
      <c r="I935" t="s">
        <v>5003</v>
      </c>
      <c r="J935" s="4" t="s">
        <v>5004</v>
      </c>
      <c r="K935" s="4" t="s">
        <v>4837</v>
      </c>
      <c r="L935" s="4" t="s">
        <v>4914</v>
      </c>
      <c r="M935" s="4" t="s">
        <v>5035</v>
      </c>
      <c r="N935" t="s">
        <v>3927</v>
      </c>
      <c r="O935" t="s">
        <v>3928</v>
      </c>
      <c r="P935" t="s">
        <v>23</v>
      </c>
      <c r="Q935" t="s">
        <v>24</v>
      </c>
      <c r="R935" t="s">
        <v>25</v>
      </c>
      <c r="S935" t="s">
        <v>26</v>
      </c>
      <c r="T935" s="6">
        <v>46307</v>
      </c>
      <c r="U935">
        <v>24</v>
      </c>
      <c r="V935">
        <v>24</v>
      </c>
      <c r="W935">
        <v>24</v>
      </c>
      <c r="X935">
        <v>24</v>
      </c>
      <c r="Y935">
        <f t="shared" si="155"/>
        <v>0</v>
      </c>
      <c r="Z935">
        <f t="shared" si="156"/>
        <v>0</v>
      </c>
      <c r="AC935" s="1">
        <v>0</v>
      </c>
      <c r="AF935">
        <f>V935</f>
        <v>24</v>
      </c>
      <c r="AG935" s="41">
        <v>12</v>
      </c>
      <c r="AH935">
        <f t="shared" si="157"/>
        <v>24</v>
      </c>
      <c r="AI935">
        <f t="shared" si="158"/>
        <v>0</v>
      </c>
      <c r="AK935">
        <f t="shared" si="159"/>
        <v>2</v>
      </c>
      <c r="AL935">
        <v>12.87</v>
      </c>
      <c r="AM935" t="s">
        <v>27</v>
      </c>
      <c r="AN935">
        <v>12.87</v>
      </c>
      <c r="AO935" t="b">
        <f t="shared" si="160"/>
        <v>1</v>
      </c>
      <c r="AR935" t="s">
        <v>5061</v>
      </c>
      <c r="AS935" s="21">
        <v>46276</v>
      </c>
      <c r="AT935" t="s">
        <v>5062</v>
      </c>
      <c r="AU935" t="s">
        <v>5078</v>
      </c>
      <c r="AV935" t="s">
        <v>5062</v>
      </c>
      <c r="AW935" t="s">
        <v>5086</v>
      </c>
    </row>
    <row r="936" spans="1:49" hidden="1" x14ac:dyDescent="0.35">
      <c r="A936" t="s">
        <v>2796</v>
      </c>
      <c r="B936" t="s">
        <v>872</v>
      </c>
      <c r="C936" t="s">
        <v>4818</v>
      </c>
      <c r="D936" t="s">
        <v>18</v>
      </c>
      <c r="E936" t="s">
        <v>3929</v>
      </c>
      <c r="F936" t="s">
        <v>3930</v>
      </c>
      <c r="G936" t="s">
        <v>21</v>
      </c>
      <c r="H936" t="s">
        <v>4888</v>
      </c>
      <c r="I936" t="s">
        <v>5003</v>
      </c>
      <c r="J936" s="4" t="s">
        <v>5004</v>
      </c>
      <c r="K936" s="4" t="s">
        <v>5015</v>
      </c>
      <c r="L936" s="4" t="s">
        <v>4931</v>
      </c>
      <c r="M936" s="4" t="s">
        <v>5035</v>
      </c>
      <c r="N936" t="s">
        <v>3931</v>
      </c>
      <c r="O936" t="s">
        <v>3932</v>
      </c>
      <c r="P936" t="s">
        <v>23</v>
      </c>
      <c r="Q936" t="s">
        <v>24</v>
      </c>
      <c r="R936" t="s">
        <v>25</v>
      </c>
      <c r="S936" t="s">
        <v>26</v>
      </c>
      <c r="T936" s="6">
        <v>46307</v>
      </c>
      <c r="U936">
        <v>84</v>
      </c>
      <c r="V936">
        <v>84</v>
      </c>
      <c r="W936">
        <v>72</v>
      </c>
      <c r="X936">
        <v>72</v>
      </c>
      <c r="Y936">
        <f t="shared" si="155"/>
        <v>0</v>
      </c>
      <c r="Z936">
        <f t="shared" si="156"/>
        <v>12</v>
      </c>
      <c r="AA936">
        <f>Z936</f>
        <v>12</v>
      </c>
      <c r="AC936" s="1">
        <v>0</v>
      </c>
      <c r="AF936">
        <f>X936</f>
        <v>72</v>
      </c>
      <c r="AG936" s="41">
        <v>12</v>
      </c>
      <c r="AH936">
        <f t="shared" si="157"/>
        <v>72</v>
      </c>
      <c r="AI936">
        <f t="shared" si="158"/>
        <v>12</v>
      </c>
      <c r="AK936">
        <f t="shared" si="159"/>
        <v>6</v>
      </c>
      <c r="AL936">
        <v>13.01</v>
      </c>
      <c r="AM936" t="s">
        <v>27</v>
      </c>
      <c r="AN936">
        <v>13.01</v>
      </c>
      <c r="AO936" t="b">
        <f t="shared" si="160"/>
        <v>1</v>
      </c>
      <c r="AR936" t="s">
        <v>5061</v>
      </c>
      <c r="AS936" s="21">
        <v>46276</v>
      </c>
      <c r="AT936" t="s">
        <v>5062</v>
      </c>
      <c r="AU936" t="s">
        <v>5078</v>
      </c>
      <c r="AV936" t="s">
        <v>5062</v>
      </c>
      <c r="AW936" t="s">
        <v>5086</v>
      </c>
    </row>
    <row r="937" spans="1:49" hidden="1" x14ac:dyDescent="0.35">
      <c r="A937" t="s">
        <v>2796</v>
      </c>
      <c r="B937" t="s">
        <v>872</v>
      </c>
      <c r="C937" t="s">
        <v>4818</v>
      </c>
      <c r="D937" t="s">
        <v>18</v>
      </c>
      <c r="E937" t="s">
        <v>3933</v>
      </c>
      <c r="F937" t="s">
        <v>3934</v>
      </c>
      <c r="G937" t="s">
        <v>21</v>
      </c>
      <c r="H937" t="s">
        <v>4888</v>
      </c>
      <c r="I937" t="s">
        <v>5003</v>
      </c>
      <c r="J937" s="4" t="s">
        <v>5004</v>
      </c>
      <c r="K937" s="4" t="s">
        <v>4904</v>
      </c>
      <c r="L937" s="4" t="s">
        <v>4886</v>
      </c>
      <c r="M937" s="4" t="s">
        <v>5035</v>
      </c>
      <c r="N937" t="s">
        <v>3935</v>
      </c>
      <c r="O937" t="s">
        <v>3936</v>
      </c>
      <c r="P937" t="s">
        <v>23</v>
      </c>
      <c r="Q937" t="s">
        <v>24</v>
      </c>
      <c r="R937" t="s">
        <v>25</v>
      </c>
      <c r="S937" t="s">
        <v>26</v>
      </c>
      <c r="T937" s="6">
        <v>46307</v>
      </c>
      <c r="U937">
        <v>72</v>
      </c>
      <c r="V937">
        <v>72</v>
      </c>
      <c r="W937">
        <v>84</v>
      </c>
      <c r="X937">
        <v>84</v>
      </c>
      <c r="Y937">
        <f t="shared" si="155"/>
        <v>0</v>
      </c>
      <c r="Z937">
        <f t="shared" si="156"/>
        <v>-12</v>
      </c>
      <c r="AC937" s="1">
        <v>0</v>
      </c>
      <c r="AF937">
        <f t="shared" ref="AF937:AF943" si="163">V937</f>
        <v>72</v>
      </c>
      <c r="AG937" s="41">
        <v>12</v>
      </c>
      <c r="AH937">
        <f t="shared" si="157"/>
        <v>72</v>
      </c>
      <c r="AI937">
        <f t="shared" si="158"/>
        <v>0</v>
      </c>
      <c r="AK937">
        <f t="shared" si="159"/>
        <v>6</v>
      </c>
      <c r="AL937">
        <v>12.89</v>
      </c>
      <c r="AM937" t="s">
        <v>27</v>
      </c>
      <c r="AN937">
        <v>12.89</v>
      </c>
      <c r="AO937" t="b">
        <f t="shared" si="160"/>
        <v>1</v>
      </c>
      <c r="AR937" t="s">
        <v>5061</v>
      </c>
      <c r="AS937" s="21">
        <v>46276</v>
      </c>
      <c r="AT937" t="s">
        <v>5062</v>
      </c>
      <c r="AU937" t="s">
        <v>5078</v>
      </c>
      <c r="AV937" t="s">
        <v>5062</v>
      </c>
      <c r="AW937" t="s">
        <v>5086</v>
      </c>
    </row>
    <row r="938" spans="1:49" hidden="1" x14ac:dyDescent="0.35">
      <c r="A938" t="s">
        <v>2796</v>
      </c>
      <c r="B938" t="s">
        <v>872</v>
      </c>
      <c r="C938" t="s">
        <v>4818</v>
      </c>
      <c r="D938" t="s">
        <v>18</v>
      </c>
      <c r="E938" t="s">
        <v>3937</v>
      </c>
      <c r="F938" t="s">
        <v>3938</v>
      </c>
      <c r="G938" t="s">
        <v>21</v>
      </c>
      <c r="H938" t="s">
        <v>4888</v>
      </c>
      <c r="I938" t="s">
        <v>5003</v>
      </c>
      <c r="J938" s="4" t="s">
        <v>5004</v>
      </c>
      <c r="K938" s="4" t="s">
        <v>4837</v>
      </c>
      <c r="L938" s="4" t="s">
        <v>4923</v>
      </c>
      <c r="M938" s="4" t="s">
        <v>5035</v>
      </c>
      <c r="N938" t="s">
        <v>3939</v>
      </c>
      <c r="O938" t="s">
        <v>3940</v>
      </c>
      <c r="P938" t="s">
        <v>23</v>
      </c>
      <c r="Q938" t="s">
        <v>24</v>
      </c>
      <c r="R938" t="s">
        <v>25</v>
      </c>
      <c r="S938" t="s">
        <v>26</v>
      </c>
      <c r="T938" s="6">
        <v>46307</v>
      </c>
      <c r="U938">
        <v>24</v>
      </c>
      <c r="V938">
        <v>24</v>
      </c>
      <c r="W938">
        <v>24</v>
      </c>
      <c r="X938">
        <v>24</v>
      </c>
      <c r="Y938">
        <f t="shared" si="155"/>
        <v>0</v>
      </c>
      <c r="Z938">
        <f t="shared" si="156"/>
        <v>0</v>
      </c>
      <c r="AC938" s="1">
        <v>0</v>
      </c>
      <c r="AF938">
        <f t="shared" si="163"/>
        <v>24</v>
      </c>
      <c r="AG938" s="41">
        <v>12</v>
      </c>
      <c r="AH938">
        <f t="shared" si="157"/>
        <v>24</v>
      </c>
      <c r="AI938">
        <f t="shared" si="158"/>
        <v>0</v>
      </c>
      <c r="AK938">
        <f t="shared" si="159"/>
        <v>2</v>
      </c>
      <c r="AL938">
        <v>12.87</v>
      </c>
      <c r="AM938" t="s">
        <v>27</v>
      </c>
      <c r="AN938">
        <v>12.87</v>
      </c>
      <c r="AO938" t="b">
        <f t="shared" si="160"/>
        <v>1</v>
      </c>
      <c r="AR938" t="s">
        <v>5061</v>
      </c>
      <c r="AS938" s="21">
        <v>46276</v>
      </c>
      <c r="AT938" t="s">
        <v>5062</v>
      </c>
      <c r="AU938" t="s">
        <v>5078</v>
      </c>
      <c r="AV938" t="s">
        <v>5062</v>
      </c>
      <c r="AW938" t="s">
        <v>5086</v>
      </c>
    </row>
    <row r="939" spans="1:49" hidden="1" x14ac:dyDescent="0.35">
      <c r="A939" t="s">
        <v>2796</v>
      </c>
      <c r="B939" t="s">
        <v>872</v>
      </c>
      <c r="C939" t="s">
        <v>4818</v>
      </c>
      <c r="D939" t="s">
        <v>18</v>
      </c>
      <c r="E939" t="s">
        <v>3941</v>
      </c>
      <c r="F939" t="s">
        <v>3942</v>
      </c>
      <c r="G939" t="s">
        <v>21</v>
      </c>
      <c r="H939" t="s">
        <v>4888</v>
      </c>
      <c r="I939" t="s">
        <v>5012</v>
      </c>
      <c r="J939" s="4" t="s">
        <v>5013</v>
      </c>
      <c r="K939" s="4" t="s">
        <v>4904</v>
      </c>
      <c r="L939" s="4" t="s">
        <v>4987</v>
      </c>
      <c r="M939" s="4" t="s">
        <v>5035</v>
      </c>
      <c r="N939" t="s">
        <v>3943</v>
      </c>
      <c r="O939" t="s">
        <v>3944</v>
      </c>
      <c r="P939" t="s">
        <v>23</v>
      </c>
      <c r="Q939" t="s">
        <v>24</v>
      </c>
      <c r="R939" t="s">
        <v>25</v>
      </c>
      <c r="S939" t="s">
        <v>26</v>
      </c>
      <c r="T939" s="6">
        <v>46307</v>
      </c>
      <c r="U939">
        <v>288</v>
      </c>
      <c r="V939">
        <v>288</v>
      </c>
      <c r="W939">
        <v>312</v>
      </c>
      <c r="X939">
        <v>312</v>
      </c>
      <c r="Y939">
        <f t="shared" si="155"/>
        <v>0</v>
      </c>
      <c r="Z939">
        <f t="shared" si="156"/>
        <v>-24</v>
      </c>
      <c r="AC939" s="1">
        <v>0</v>
      </c>
      <c r="AF939">
        <f t="shared" si="163"/>
        <v>288</v>
      </c>
      <c r="AG939" s="41">
        <v>24</v>
      </c>
      <c r="AH939">
        <f t="shared" si="157"/>
        <v>288</v>
      </c>
      <c r="AI939">
        <f t="shared" si="158"/>
        <v>0</v>
      </c>
      <c r="AK939">
        <f t="shared" si="159"/>
        <v>12</v>
      </c>
      <c r="AL939">
        <v>6.15</v>
      </c>
      <c r="AM939" t="s">
        <v>27</v>
      </c>
      <c r="AN939">
        <v>6.15</v>
      </c>
      <c r="AO939" t="b">
        <f t="shared" si="160"/>
        <v>1</v>
      </c>
      <c r="AR939" t="s">
        <v>5061</v>
      </c>
      <c r="AS939" s="21">
        <v>46276</v>
      </c>
      <c r="AT939" t="s">
        <v>5062</v>
      </c>
      <c r="AU939" t="s">
        <v>5081</v>
      </c>
      <c r="AV939" t="s">
        <v>5062</v>
      </c>
      <c r="AW939" t="s">
        <v>5086</v>
      </c>
    </row>
    <row r="940" spans="1:49" hidden="1" x14ac:dyDescent="0.35">
      <c r="A940" t="s">
        <v>2796</v>
      </c>
      <c r="B940" t="s">
        <v>872</v>
      </c>
      <c r="C940" t="s">
        <v>4818</v>
      </c>
      <c r="D940" t="s">
        <v>18</v>
      </c>
      <c r="E940" t="s">
        <v>3945</v>
      </c>
      <c r="F940" t="s">
        <v>3946</v>
      </c>
      <c r="G940" t="s">
        <v>21</v>
      </c>
      <c r="H940" t="s">
        <v>4888</v>
      </c>
      <c r="I940" t="s">
        <v>5003</v>
      </c>
      <c r="J940" s="4" t="s">
        <v>5004</v>
      </c>
      <c r="K940" s="4" t="s">
        <v>4837</v>
      </c>
      <c r="L940" s="4" t="s">
        <v>4864</v>
      </c>
      <c r="M940" s="4" t="s">
        <v>5035</v>
      </c>
      <c r="N940" t="s">
        <v>3947</v>
      </c>
      <c r="O940" t="s">
        <v>3948</v>
      </c>
      <c r="P940" t="s">
        <v>23</v>
      </c>
      <c r="Q940" t="s">
        <v>24</v>
      </c>
      <c r="R940" t="s">
        <v>25</v>
      </c>
      <c r="S940" t="s">
        <v>26</v>
      </c>
      <c r="T940" s="6">
        <v>46307</v>
      </c>
      <c r="U940">
        <v>48</v>
      </c>
      <c r="V940">
        <v>48</v>
      </c>
      <c r="W940">
        <v>48</v>
      </c>
      <c r="X940">
        <v>48</v>
      </c>
      <c r="Y940">
        <f t="shared" si="155"/>
        <v>0</v>
      </c>
      <c r="Z940">
        <f t="shared" si="156"/>
        <v>0</v>
      </c>
      <c r="AC940" s="1">
        <v>0</v>
      </c>
      <c r="AF940">
        <f t="shared" si="163"/>
        <v>48</v>
      </c>
      <c r="AG940" s="41">
        <v>12</v>
      </c>
      <c r="AH940">
        <f t="shared" si="157"/>
        <v>48</v>
      </c>
      <c r="AI940">
        <f t="shared" si="158"/>
        <v>0</v>
      </c>
      <c r="AK940">
        <f t="shared" si="159"/>
        <v>4</v>
      </c>
      <c r="AL940">
        <v>12.87</v>
      </c>
      <c r="AM940" t="s">
        <v>27</v>
      </c>
      <c r="AN940">
        <v>12.87</v>
      </c>
      <c r="AO940" t="b">
        <f t="shared" si="160"/>
        <v>1</v>
      </c>
      <c r="AR940" t="s">
        <v>5061</v>
      </c>
      <c r="AS940" s="21">
        <v>46276</v>
      </c>
      <c r="AT940" t="s">
        <v>5062</v>
      </c>
      <c r="AU940" t="s">
        <v>5078</v>
      </c>
      <c r="AV940" t="s">
        <v>5062</v>
      </c>
      <c r="AW940" t="s">
        <v>5086</v>
      </c>
    </row>
    <row r="941" spans="1:49" hidden="1" x14ac:dyDescent="0.35">
      <c r="A941" t="s">
        <v>2796</v>
      </c>
      <c r="B941" t="s">
        <v>872</v>
      </c>
      <c r="C941" t="s">
        <v>4818</v>
      </c>
      <c r="D941" t="s">
        <v>18</v>
      </c>
      <c r="E941" t="s">
        <v>3949</v>
      </c>
      <c r="F941" t="s">
        <v>3950</v>
      </c>
      <c r="G941" t="s">
        <v>21</v>
      </c>
      <c r="H941" t="s">
        <v>4888</v>
      </c>
      <c r="I941" t="s">
        <v>5003</v>
      </c>
      <c r="J941" s="4" t="s">
        <v>5004</v>
      </c>
      <c r="K941" s="4" t="s">
        <v>5015</v>
      </c>
      <c r="L941" s="4" t="s">
        <v>4855</v>
      </c>
      <c r="M941" s="4" t="s">
        <v>5035</v>
      </c>
      <c r="N941" t="s">
        <v>3951</v>
      </c>
      <c r="O941" t="s">
        <v>3952</v>
      </c>
      <c r="P941" t="s">
        <v>23</v>
      </c>
      <c r="Q941" t="s">
        <v>24</v>
      </c>
      <c r="R941" t="s">
        <v>25</v>
      </c>
      <c r="S941" t="s">
        <v>26</v>
      </c>
      <c r="T941" s="6">
        <v>46307</v>
      </c>
      <c r="U941">
        <v>60</v>
      </c>
      <c r="V941">
        <v>60</v>
      </c>
      <c r="W941">
        <v>60</v>
      </c>
      <c r="X941">
        <v>60</v>
      </c>
      <c r="Y941">
        <f t="shared" si="155"/>
        <v>0</v>
      </c>
      <c r="Z941">
        <f t="shared" si="156"/>
        <v>0</v>
      </c>
      <c r="AC941" s="1">
        <v>0</v>
      </c>
      <c r="AF941">
        <f t="shared" si="163"/>
        <v>60</v>
      </c>
      <c r="AG941" s="41">
        <v>12</v>
      </c>
      <c r="AH941">
        <f t="shared" si="157"/>
        <v>60</v>
      </c>
      <c r="AI941">
        <f t="shared" si="158"/>
        <v>0</v>
      </c>
      <c r="AK941">
        <f t="shared" si="159"/>
        <v>5</v>
      </c>
      <c r="AL941">
        <v>13.01</v>
      </c>
      <c r="AM941" t="s">
        <v>27</v>
      </c>
      <c r="AN941">
        <v>13.01</v>
      </c>
      <c r="AO941" t="b">
        <f t="shared" si="160"/>
        <v>1</v>
      </c>
      <c r="AR941" t="s">
        <v>5061</v>
      </c>
      <c r="AS941" s="21">
        <v>46276</v>
      </c>
      <c r="AT941" t="s">
        <v>5062</v>
      </c>
      <c r="AU941" t="s">
        <v>5078</v>
      </c>
      <c r="AV941" t="s">
        <v>5062</v>
      </c>
      <c r="AW941" t="s">
        <v>5086</v>
      </c>
    </row>
    <row r="942" spans="1:49" hidden="1" x14ac:dyDescent="0.35">
      <c r="A942" t="s">
        <v>2796</v>
      </c>
      <c r="B942" t="s">
        <v>872</v>
      </c>
      <c r="C942" t="s">
        <v>4818</v>
      </c>
      <c r="D942" t="s">
        <v>18</v>
      </c>
      <c r="E942" t="s">
        <v>3953</v>
      </c>
      <c r="F942" t="s">
        <v>3954</v>
      </c>
      <c r="G942" t="s">
        <v>21</v>
      </c>
      <c r="H942" t="s">
        <v>4888</v>
      </c>
      <c r="I942" t="s">
        <v>5003</v>
      </c>
      <c r="J942" s="4" t="s">
        <v>5004</v>
      </c>
      <c r="K942" s="4" t="s">
        <v>5015</v>
      </c>
      <c r="L942" s="4" t="s">
        <v>4869</v>
      </c>
      <c r="M942" s="4" t="s">
        <v>5035</v>
      </c>
      <c r="N942" t="s">
        <v>3955</v>
      </c>
      <c r="O942" t="s">
        <v>3956</v>
      </c>
      <c r="P942" t="s">
        <v>23</v>
      </c>
      <c r="Q942" t="s">
        <v>24</v>
      </c>
      <c r="R942" t="s">
        <v>25</v>
      </c>
      <c r="S942" t="s">
        <v>26</v>
      </c>
      <c r="T942" s="6">
        <v>46307</v>
      </c>
      <c r="U942">
        <v>60</v>
      </c>
      <c r="V942">
        <v>60</v>
      </c>
      <c r="W942">
        <v>60</v>
      </c>
      <c r="X942">
        <v>60</v>
      </c>
      <c r="Y942">
        <f t="shared" si="155"/>
        <v>0</v>
      </c>
      <c r="Z942">
        <f t="shared" si="156"/>
        <v>0</v>
      </c>
      <c r="AC942" s="1">
        <v>0</v>
      </c>
      <c r="AF942">
        <f t="shared" si="163"/>
        <v>60</v>
      </c>
      <c r="AG942" s="41">
        <v>12</v>
      </c>
      <c r="AH942">
        <f t="shared" si="157"/>
        <v>60</v>
      </c>
      <c r="AI942">
        <f t="shared" si="158"/>
        <v>0</v>
      </c>
      <c r="AK942">
        <f t="shared" si="159"/>
        <v>5</v>
      </c>
      <c r="AL942">
        <v>13.01</v>
      </c>
      <c r="AM942" t="s">
        <v>27</v>
      </c>
      <c r="AN942">
        <v>13.01</v>
      </c>
      <c r="AO942" t="b">
        <f t="shared" si="160"/>
        <v>1</v>
      </c>
      <c r="AR942" t="s">
        <v>5061</v>
      </c>
      <c r="AS942" s="21">
        <v>46276</v>
      </c>
      <c r="AT942" t="s">
        <v>5062</v>
      </c>
      <c r="AU942" t="s">
        <v>5078</v>
      </c>
      <c r="AV942" t="s">
        <v>5062</v>
      </c>
      <c r="AW942" t="s">
        <v>5086</v>
      </c>
    </row>
    <row r="943" spans="1:49" hidden="1" x14ac:dyDescent="0.35">
      <c r="A943" t="s">
        <v>2796</v>
      </c>
      <c r="B943" t="s">
        <v>872</v>
      </c>
      <c r="C943" t="s">
        <v>4818</v>
      </c>
      <c r="D943" t="s">
        <v>18</v>
      </c>
      <c r="E943" t="s">
        <v>3957</v>
      </c>
      <c r="F943" t="s">
        <v>3958</v>
      </c>
      <c r="G943" t="s">
        <v>21</v>
      </c>
      <c r="H943" t="s">
        <v>4888</v>
      </c>
      <c r="I943" t="s">
        <v>5003</v>
      </c>
      <c r="J943" s="4" t="s">
        <v>5004</v>
      </c>
      <c r="K943" s="4" t="s">
        <v>4837</v>
      </c>
      <c r="L943" s="4" t="s">
        <v>4924</v>
      </c>
      <c r="M943" s="4" t="s">
        <v>5035</v>
      </c>
      <c r="N943" t="s">
        <v>3959</v>
      </c>
      <c r="O943" t="s">
        <v>3960</v>
      </c>
      <c r="P943" t="s">
        <v>23</v>
      </c>
      <c r="Q943" t="s">
        <v>24</v>
      </c>
      <c r="R943" t="s">
        <v>25</v>
      </c>
      <c r="S943" t="s">
        <v>26</v>
      </c>
      <c r="T943" s="6">
        <v>46307</v>
      </c>
      <c r="U943">
        <v>60</v>
      </c>
      <c r="V943">
        <v>60</v>
      </c>
      <c r="W943">
        <v>72</v>
      </c>
      <c r="X943">
        <v>72</v>
      </c>
      <c r="Y943">
        <f t="shared" si="155"/>
        <v>0</v>
      </c>
      <c r="Z943">
        <f t="shared" si="156"/>
        <v>-12</v>
      </c>
      <c r="AC943" s="1">
        <v>0</v>
      </c>
      <c r="AF943">
        <f t="shared" si="163"/>
        <v>60</v>
      </c>
      <c r="AG943" s="41">
        <v>12</v>
      </c>
      <c r="AH943">
        <f t="shared" si="157"/>
        <v>60</v>
      </c>
      <c r="AI943">
        <f t="shared" si="158"/>
        <v>0</v>
      </c>
      <c r="AK943">
        <f t="shared" si="159"/>
        <v>5</v>
      </c>
      <c r="AL943">
        <v>12.87</v>
      </c>
      <c r="AM943" t="s">
        <v>27</v>
      </c>
      <c r="AN943">
        <v>12.87</v>
      </c>
      <c r="AO943" t="b">
        <f t="shared" si="160"/>
        <v>1</v>
      </c>
      <c r="AR943" t="s">
        <v>5061</v>
      </c>
      <c r="AS943" s="21">
        <v>46276</v>
      </c>
      <c r="AT943" t="s">
        <v>5062</v>
      </c>
      <c r="AU943" t="s">
        <v>5078</v>
      </c>
      <c r="AV943" t="s">
        <v>5062</v>
      </c>
      <c r="AW943" t="s">
        <v>5086</v>
      </c>
    </row>
    <row r="944" spans="1:49" hidden="1" x14ac:dyDescent="0.35">
      <c r="A944" t="s">
        <v>2796</v>
      </c>
      <c r="B944" t="s">
        <v>872</v>
      </c>
      <c r="C944" t="s">
        <v>4818</v>
      </c>
      <c r="D944" t="s">
        <v>18</v>
      </c>
      <c r="E944" t="s">
        <v>3961</v>
      </c>
      <c r="F944" t="s">
        <v>3962</v>
      </c>
      <c r="G944" t="s">
        <v>21</v>
      </c>
      <c r="H944" t="s">
        <v>4888</v>
      </c>
      <c r="I944" t="s">
        <v>5010</v>
      </c>
      <c r="J944" s="4" t="s">
        <v>5011</v>
      </c>
      <c r="K944" s="4" t="s">
        <v>4984</v>
      </c>
      <c r="L944" s="4" t="s">
        <v>4994</v>
      </c>
      <c r="M944" s="4" t="s">
        <v>5035</v>
      </c>
      <c r="N944" t="s">
        <v>3963</v>
      </c>
      <c r="O944" t="s">
        <v>3964</v>
      </c>
      <c r="P944" t="s">
        <v>23</v>
      </c>
      <c r="Q944" t="s">
        <v>24</v>
      </c>
      <c r="R944" t="s">
        <v>25</v>
      </c>
      <c r="S944" t="s">
        <v>26</v>
      </c>
      <c r="T944" s="6">
        <v>46307</v>
      </c>
      <c r="U944">
        <v>72</v>
      </c>
      <c r="V944">
        <v>72</v>
      </c>
      <c r="W944">
        <v>48</v>
      </c>
      <c r="X944">
        <v>48</v>
      </c>
      <c r="Y944">
        <f t="shared" si="155"/>
        <v>0</v>
      </c>
      <c r="Z944">
        <f t="shared" si="156"/>
        <v>24</v>
      </c>
      <c r="AA944">
        <f>Z944</f>
        <v>24</v>
      </c>
      <c r="AC944" s="1">
        <v>0</v>
      </c>
      <c r="AF944">
        <f>X944</f>
        <v>48</v>
      </c>
      <c r="AG944" s="41">
        <v>24</v>
      </c>
      <c r="AH944">
        <f t="shared" si="157"/>
        <v>48</v>
      </c>
      <c r="AI944">
        <f t="shared" si="158"/>
        <v>24</v>
      </c>
      <c r="AK944">
        <f t="shared" si="159"/>
        <v>2</v>
      </c>
      <c r="AL944">
        <v>4.92</v>
      </c>
      <c r="AM944" t="s">
        <v>27</v>
      </c>
      <c r="AN944">
        <v>4.92</v>
      </c>
      <c r="AO944" t="b">
        <f t="shared" si="160"/>
        <v>1</v>
      </c>
      <c r="AR944" t="s">
        <v>5061</v>
      </c>
      <c r="AS944" s="21">
        <v>46276</v>
      </c>
      <c r="AT944" t="s">
        <v>5062</v>
      </c>
      <c r="AU944" t="s">
        <v>5081</v>
      </c>
      <c r="AV944" t="s">
        <v>5062</v>
      </c>
      <c r="AW944" t="s">
        <v>5086</v>
      </c>
    </row>
    <row r="945" spans="1:49" hidden="1" x14ac:dyDescent="0.35">
      <c r="A945" t="s">
        <v>2796</v>
      </c>
      <c r="B945" t="s">
        <v>872</v>
      </c>
      <c r="C945" t="s">
        <v>4818</v>
      </c>
      <c r="D945" t="s">
        <v>18</v>
      </c>
      <c r="E945" t="s">
        <v>3965</v>
      </c>
      <c r="F945" t="s">
        <v>3966</v>
      </c>
      <c r="G945" t="s">
        <v>21</v>
      </c>
      <c r="H945" t="s">
        <v>4888</v>
      </c>
      <c r="I945" t="s">
        <v>5005</v>
      </c>
      <c r="J945" s="4" t="s">
        <v>5006</v>
      </c>
      <c r="K945" s="4" t="s">
        <v>5027</v>
      </c>
      <c r="L945" s="4">
        <v>40</v>
      </c>
      <c r="M945" s="4" t="s">
        <v>5035</v>
      </c>
      <c r="N945" t="s">
        <v>3967</v>
      </c>
      <c r="O945" t="s">
        <v>3968</v>
      </c>
      <c r="P945" t="s">
        <v>23</v>
      </c>
      <c r="Q945" t="s">
        <v>24</v>
      </c>
      <c r="R945" t="s">
        <v>25</v>
      </c>
      <c r="S945" t="s">
        <v>26</v>
      </c>
      <c r="T945" s="6">
        <v>46307</v>
      </c>
      <c r="U945">
        <v>528</v>
      </c>
      <c r="V945">
        <v>528</v>
      </c>
      <c r="W945">
        <v>552</v>
      </c>
      <c r="X945">
        <v>552</v>
      </c>
      <c r="Y945">
        <f t="shared" si="155"/>
        <v>0</v>
      </c>
      <c r="Z945">
        <f t="shared" si="156"/>
        <v>-24</v>
      </c>
      <c r="AC945" s="1">
        <v>0</v>
      </c>
      <c r="AF945">
        <f>V945</f>
        <v>528</v>
      </c>
      <c r="AG945" s="41">
        <v>24</v>
      </c>
      <c r="AH945">
        <f t="shared" si="157"/>
        <v>528</v>
      </c>
      <c r="AI945">
        <f t="shared" si="158"/>
        <v>0</v>
      </c>
      <c r="AK945">
        <f t="shared" si="159"/>
        <v>22</v>
      </c>
      <c r="AL945">
        <v>10.24</v>
      </c>
      <c r="AM945" t="s">
        <v>27</v>
      </c>
      <c r="AN945">
        <v>10.24</v>
      </c>
      <c r="AO945" t="b">
        <f t="shared" si="160"/>
        <v>1</v>
      </c>
      <c r="AR945" t="s">
        <v>5061</v>
      </c>
      <c r="AS945" s="21">
        <v>46276</v>
      </c>
      <c r="AT945" t="s">
        <v>5062</v>
      </c>
      <c r="AU945" t="s">
        <v>5079</v>
      </c>
      <c r="AV945" t="s">
        <v>5062</v>
      </c>
      <c r="AW945" t="s">
        <v>5086</v>
      </c>
    </row>
    <row r="946" spans="1:49" hidden="1" x14ac:dyDescent="0.35">
      <c r="A946" t="s">
        <v>2796</v>
      </c>
      <c r="B946" t="s">
        <v>872</v>
      </c>
      <c r="C946" t="s">
        <v>4818</v>
      </c>
      <c r="D946" t="s">
        <v>18</v>
      </c>
      <c r="E946" t="s">
        <v>3969</v>
      </c>
      <c r="F946" t="s">
        <v>3970</v>
      </c>
      <c r="G946" t="s">
        <v>21</v>
      </c>
      <c r="H946" t="s">
        <v>4888</v>
      </c>
      <c r="I946" t="s">
        <v>5003</v>
      </c>
      <c r="J946" s="4" t="s">
        <v>5004</v>
      </c>
      <c r="K946" s="4" t="s">
        <v>5016</v>
      </c>
      <c r="L946" s="4" t="s">
        <v>4916</v>
      </c>
      <c r="M946" s="4" t="s">
        <v>5035</v>
      </c>
      <c r="N946" t="s">
        <v>3971</v>
      </c>
      <c r="O946" t="s">
        <v>3972</v>
      </c>
      <c r="P946" t="s">
        <v>23</v>
      </c>
      <c r="Q946" t="s">
        <v>24</v>
      </c>
      <c r="R946" t="s">
        <v>25</v>
      </c>
      <c r="S946" t="s">
        <v>26</v>
      </c>
      <c r="T946" s="6">
        <v>46307</v>
      </c>
      <c r="U946">
        <v>48</v>
      </c>
      <c r="V946">
        <v>48</v>
      </c>
      <c r="W946">
        <v>48</v>
      </c>
      <c r="X946">
        <v>48</v>
      </c>
      <c r="Y946">
        <f t="shared" si="155"/>
        <v>0</v>
      </c>
      <c r="Z946">
        <f t="shared" si="156"/>
        <v>0</v>
      </c>
      <c r="AC946" s="1">
        <v>0</v>
      </c>
      <c r="AF946">
        <f>V946</f>
        <v>48</v>
      </c>
      <c r="AG946" s="41">
        <v>12</v>
      </c>
      <c r="AH946">
        <f t="shared" si="157"/>
        <v>48</v>
      </c>
      <c r="AI946">
        <f t="shared" si="158"/>
        <v>0</v>
      </c>
      <c r="AK946">
        <f t="shared" si="159"/>
        <v>4</v>
      </c>
      <c r="AL946">
        <v>13.33</v>
      </c>
      <c r="AM946" t="s">
        <v>27</v>
      </c>
      <c r="AN946">
        <v>13.33</v>
      </c>
      <c r="AO946" t="b">
        <f t="shared" si="160"/>
        <v>1</v>
      </c>
      <c r="AR946" t="s">
        <v>5061</v>
      </c>
      <c r="AS946" s="21">
        <v>46276</v>
      </c>
      <c r="AT946" t="s">
        <v>5062</v>
      </c>
      <c r="AU946" t="s">
        <v>5078</v>
      </c>
      <c r="AV946" t="s">
        <v>5062</v>
      </c>
      <c r="AW946" t="s">
        <v>5086</v>
      </c>
    </row>
    <row r="947" spans="1:49" hidden="1" x14ac:dyDescent="0.35">
      <c r="A947" t="s">
        <v>2796</v>
      </c>
      <c r="B947" t="s">
        <v>872</v>
      </c>
      <c r="C947" t="s">
        <v>4818</v>
      </c>
      <c r="D947" t="s">
        <v>18</v>
      </c>
      <c r="E947" t="s">
        <v>3973</v>
      </c>
      <c r="F947" t="s">
        <v>3974</v>
      </c>
      <c r="G947" t="s">
        <v>21</v>
      </c>
      <c r="H947" t="s">
        <v>4888</v>
      </c>
      <c r="I947" t="s">
        <v>5003</v>
      </c>
      <c r="J947" s="4" t="s">
        <v>5004</v>
      </c>
      <c r="K947" s="4" t="s">
        <v>5016</v>
      </c>
      <c r="L947" s="4" t="s">
        <v>4914</v>
      </c>
      <c r="M947" s="4" t="s">
        <v>5035</v>
      </c>
      <c r="N947" t="s">
        <v>3975</v>
      </c>
      <c r="O947" t="s">
        <v>3976</v>
      </c>
      <c r="P947" t="s">
        <v>23</v>
      </c>
      <c r="Q947" t="s">
        <v>24</v>
      </c>
      <c r="R947" t="s">
        <v>25</v>
      </c>
      <c r="S947" t="s">
        <v>26</v>
      </c>
      <c r="T947" s="6">
        <v>46307</v>
      </c>
      <c r="U947">
        <v>84</v>
      </c>
      <c r="V947">
        <v>84</v>
      </c>
      <c r="W947">
        <v>72</v>
      </c>
      <c r="X947">
        <v>72</v>
      </c>
      <c r="Y947">
        <f t="shared" si="155"/>
        <v>0</v>
      </c>
      <c r="Z947">
        <f t="shared" si="156"/>
        <v>12</v>
      </c>
      <c r="AA947">
        <f>Z947</f>
        <v>12</v>
      </c>
      <c r="AC947" s="1">
        <v>0</v>
      </c>
      <c r="AF947">
        <f>X947</f>
        <v>72</v>
      </c>
      <c r="AG947" s="41">
        <v>12</v>
      </c>
      <c r="AH947">
        <f t="shared" si="157"/>
        <v>72</v>
      </c>
      <c r="AI947">
        <f t="shared" si="158"/>
        <v>12</v>
      </c>
      <c r="AK947">
        <f t="shared" si="159"/>
        <v>6</v>
      </c>
      <c r="AL947">
        <v>13.33</v>
      </c>
      <c r="AM947" t="s">
        <v>27</v>
      </c>
      <c r="AN947">
        <v>13.33</v>
      </c>
      <c r="AO947" t="b">
        <f t="shared" si="160"/>
        <v>1</v>
      </c>
      <c r="AR947" t="s">
        <v>5061</v>
      </c>
      <c r="AS947" s="21">
        <v>46276</v>
      </c>
      <c r="AT947" t="s">
        <v>5062</v>
      </c>
      <c r="AU947" t="s">
        <v>5078</v>
      </c>
      <c r="AV947" t="s">
        <v>5062</v>
      </c>
      <c r="AW947" t="s">
        <v>5086</v>
      </c>
    </row>
    <row r="948" spans="1:49" hidden="1" x14ac:dyDescent="0.35">
      <c r="A948" t="s">
        <v>2796</v>
      </c>
      <c r="B948" t="s">
        <v>872</v>
      </c>
      <c r="C948" t="s">
        <v>4818</v>
      </c>
      <c r="D948" t="s">
        <v>18</v>
      </c>
      <c r="E948" t="s">
        <v>3977</v>
      </c>
      <c r="F948" t="s">
        <v>3978</v>
      </c>
      <c r="G948" t="s">
        <v>21</v>
      </c>
      <c r="H948" t="s">
        <v>4888</v>
      </c>
      <c r="I948" t="s">
        <v>5003</v>
      </c>
      <c r="J948" s="4" t="s">
        <v>5004</v>
      </c>
      <c r="K948" s="4" t="s">
        <v>5015</v>
      </c>
      <c r="L948" s="4" t="s">
        <v>4925</v>
      </c>
      <c r="M948" s="4" t="s">
        <v>5035</v>
      </c>
      <c r="N948" t="s">
        <v>3979</v>
      </c>
      <c r="O948" t="s">
        <v>3980</v>
      </c>
      <c r="P948" t="s">
        <v>23</v>
      </c>
      <c r="Q948" t="s">
        <v>24</v>
      </c>
      <c r="R948" t="s">
        <v>25</v>
      </c>
      <c r="S948" t="s">
        <v>26</v>
      </c>
      <c r="T948" s="6">
        <v>46307</v>
      </c>
      <c r="U948">
        <v>60</v>
      </c>
      <c r="V948">
        <v>60</v>
      </c>
      <c r="W948">
        <v>60</v>
      </c>
      <c r="X948">
        <v>60</v>
      </c>
      <c r="Y948">
        <f t="shared" si="155"/>
        <v>0</v>
      </c>
      <c r="Z948">
        <f t="shared" si="156"/>
        <v>0</v>
      </c>
      <c r="AC948" s="1">
        <v>0</v>
      </c>
      <c r="AF948">
        <f t="shared" ref="AF948:AF955" si="164">V948</f>
        <v>60</v>
      </c>
      <c r="AG948" s="41">
        <v>12</v>
      </c>
      <c r="AH948">
        <f t="shared" si="157"/>
        <v>60</v>
      </c>
      <c r="AI948">
        <f t="shared" si="158"/>
        <v>0</v>
      </c>
      <c r="AK948">
        <f t="shared" si="159"/>
        <v>5</v>
      </c>
      <c r="AL948">
        <v>13.01</v>
      </c>
      <c r="AM948" t="s">
        <v>27</v>
      </c>
      <c r="AN948">
        <v>13.01</v>
      </c>
      <c r="AO948" t="b">
        <f t="shared" si="160"/>
        <v>1</v>
      </c>
      <c r="AR948" t="s">
        <v>5061</v>
      </c>
      <c r="AS948" s="21">
        <v>46276</v>
      </c>
      <c r="AT948" t="s">
        <v>5062</v>
      </c>
      <c r="AU948" t="s">
        <v>5078</v>
      </c>
      <c r="AV948" t="s">
        <v>5062</v>
      </c>
      <c r="AW948" t="s">
        <v>5086</v>
      </c>
    </row>
    <row r="949" spans="1:49" hidden="1" x14ac:dyDescent="0.35">
      <c r="A949" t="s">
        <v>2796</v>
      </c>
      <c r="B949" t="s">
        <v>872</v>
      </c>
      <c r="C949" t="s">
        <v>4818</v>
      </c>
      <c r="D949" t="s">
        <v>18</v>
      </c>
      <c r="E949" t="s">
        <v>3981</v>
      </c>
      <c r="F949" t="s">
        <v>3982</v>
      </c>
      <c r="G949" t="s">
        <v>21</v>
      </c>
      <c r="H949" t="s">
        <v>4888</v>
      </c>
      <c r="I949" t="s">
        <v>5018</v>
      </c>
      <c r="J949" s="4" t="s">
        <v>5019</v>
      </c>
      <c r="K949" s="4" t="s">
        <v>5020</v>
      </c>
      <c r="L949" s="4">
        <v>14</v>
      </c>
      <c r="M949" s="4" t="s">
        <v>5035</v>
      </c>
      <c r="N949" t="s">
        <v>3983</v>
      </c>
      <c r="O949" t="s">
        <v>3984</v>
      </c>
      <c r="P949" t="s">
        <v>23</v>
      </c>
      <c r="Q949" t="s">
        <v>24</v>
      </c>
      <c r="R949" t="s">
        <v>25</v>
      </c>
      <c r="S949" t="s">
        <v>26</v>
      </c>
      <c r="T949" s="6">
        <v>46307</v>
      </c>
      <c r="U949">
        <v>840</v>
      </c>
      <c r="V949">
        <v>840</v>
      </c>
      <c r="W949">
        <v>888</v>
      </c>
      <c r="X949">
        <v>888</v>
      </c>
      <c r="Y949">
        <f t="shared" si="155"/>
        <v>0</v>
      </c>
      <c r="Z949">
        <f t="shared" si="156"/>
        <v>-48</v>
      </c>
      <c r="AC949" s="1"/>
      <c r="AF949">
        <f t="shared" si="164"/>
        <v>840</v>
      </c>
      <c r="AG949" s="41">
        <v>24</v>
      </c>
      <c r="AH949">
        <f t="shared" si="157"/>
        <v>840</v>
      </c>
      <c r="AI949">
        <f t="shared" si="158"/>
        <v>0</v>
      </c>
      <c r="AK949">
        <f t="shared" si="159"/>
        <v>35</v>
      </c>
      <c r="AL949">
        <v>10.79</v>
      </c>
      <c r="AM949" t="s">
        <v>27</v>
      </c>
      <c r="AN949">
        <v>10.79</v>
      </c>
      <c r="AO949" t="b">
        <f t="shared" si="160"/>
        <v>1</v>
      </c>
      <c r="AR949" t="s">
        <v>5061</v>
      </c>
      <c r="AS949" s="21">
        <v>46276</v>
      </c>
      <c r="AT949" t="s">
        <v>5062</v>
      </c>
      <c r="AU949" t="s">
        <v>5082</v>
      </c>
      <c r="AV949" t="s">
        <v>5062</v>
      </c>
      <c r="AW949" t="s">
        <v>5086</v>
      </c>
    </row>
    <row r="950" spans="1:49" hidden="1" x14ac:dyDescent="0.35">
      <c r="A950" t="s">
        <v>2796</v>
      </c>
      <c r="B950" t="s">
        <v>872</v>
      </c>
      <c r="C950" t="s">
        <v>4818</v>
      </c>
      <c r="D950" t="s">
        <v>18</v>
      </c>
      <c r="E950" t="s">
        <v>3985</v>
      </c>
      <c r="F950" t="s">
        <v>3986</v>
      </c>
      <c r="G950" t="s">
        <v>21</v>
      </c>
      <c r="H950" t="s">
        <v>4888</v>
      </c>
      <c r="I950" t="s">
        <v>5003</v>
      </c>
      <c r="J950" s="4" t="s">
        <v>5004</v>
      </c>
      <c r="K950" s="4" t="s">
        <v>4837</v>
      </c>
      <c r="L950" s="4" t="s">
        <v>4870</v>
      </c>
      <c r="M950" s="4" t="s">
        <v>5035</v>
      </c>
      <c r="N950" t="s">
        <v>3987</v>
      </c>
      <c r="O950" t="s">
        <v>3988</v>
      </c>
      <c r="P950" t="s">
        <v>23</v>
      </c>
      <c r="Q950" t="s">
        <v>24</v>
      </c>
      <c r="R950" t="s">
        <v>25</v>
      </c>
      <c r="S950" t="s">
        <v>26</v>
      </c>
      <c r="T950" s="6">
        <v>46307</v>
      </c>
      <c r="U950">
        <v>144</v>
      </c>
      <c r="V950">
        <v>144</v>
      </c>
      <c r="W950">
        <v>156</v>
      </c>
      <c r="X950">
        <v>156</v>
      </c>
      <c r="Y950">
        <f t="shared" si="155"/>
        <v>0</v>
      </c>
      <c r="Z950">
        <f t="shared" si="156"/>
        <v>-12</v>
      </c>
      <c r="AC950" s="1">
        <v>0</v>
      </c>
      <c r="AF950">
        <f t="shared" si="164"/>
        <v>144</v>
      </c>
      <c r="AG950" s="41">
        <v>12</v>
      </c>
      <c r="AH950">
        <f t="shared" si="157"/>
        <v>144</v>
      </c>
      <c r="AI950">
        <f t="shared" si="158"/>
        <v>0</v>
      </c>
      <c r="AK950">
        <f t="shared" si="159"/>
        <v>12</v>
      </c>
      <c r="AL950">
        <v>12.87</v>
      </c>
      <c r="AM950" t="s">
        <v>27</v>
      </c>
      <c r="AN950">
        <v>12.87</v>
      </c>
      <c r="AO950" t="b">
        <f t="shared" si="160"/>
        <v>1</v>
      </c>
      <c r="AR950" t="s">
        <v>5061</v>
      </c>
      <c r="AS950" s="21">
        <v>46276</v>
      </c>
      <c r="AT950" t="s">
        <v>5062</v>
      </c>
      <c r="AU950" t="s">
        <v>5078</v>
      </c>
      <c r="AV950" t="s">
        <v>5062</v>
      </c>
      <c r="AW950" t="s">
        <v>5086</v>
      </c>
    </row>
    <row r="951" spans="1:49" hidden="1" x14ac:dyDescent="0.35">
      <c r="A951" t="s">
        <v>2796</v>
      </c>
      <c r="B951" t="s">
        <v>872</v>
      </c>
      <c r="C951" t="s">
        <v>4818</v>
      </c>
      <c r="D951" t="s">
        <v>18</v>
      </c>
      <c r="E951" t="s">
        <v>3989</v>
      </c>
      <c r="F951" t="s">
        <v>3990</v>
      </c>
      <c r="G951" t="s">
        <v>21</v>
      </c>
      <c r="H951" t="s">
        <v>4888</v>
      </c>
      <c r="I951" t="s">
        <v>5003</v>
      </c>
      <c r="J951" s="4" t="s">
        <v>5004</v>
      </c>
      <c r="K951" s="4" t="s">
        <v>5016</v>
      </c>
      <c r="L951" s="4" t="s">
        <v>4923</v>
      </c>
      <c r="M951" s="4" t="s">
        <v>5035</v>
      </c>
      <c r="N951" t="s">
        <v>3991</v>
      </c>
      <c r="O951" t="s">
        <v>3992</v>
      </c>
      <c r="P951" t="s">
        <v>23</v>
      </c>
      <c r="Q951" t="s">
        <v>24</v>
      </c>
      <c r="R951" t="s">
        <v>25</v>
      </c>
      <c r="S951" t="s">
        <v>26</v>
      </c>
      <c r="T951" s="6">
        <v>46307</v>
      </c>
      <c r="U951">
        <v>12</v>
      </c>
      <c r="V951">
        <v>12</v>
      </c>
      <c r="W951">
        <v>12</v>
      </c>
      <c r="X951">
        <v>12</v>
      </c>
      <c r="Y951">
        <f t="shared" si="155"/>
        <v>0</v>
      </c>
      <c r="Z951">
        <f t="shared" si="156"/>
        <v>0</v>
      </c>
      <c r="AC951" s="1">
        <v>0</v>
      </c>
      <c r="AF951">
        <f t="shared" si="164"/>
        <v>12</v>
      </c>
      <c r="AG951" s="41">
        <v>12</v>
      </c>
      <c r="AH951">
        <f t="shared" si="157"/>
        <v>12</v>
      </c>
      <c r="AI951">
        <f t="shared" si="158"/>
        <v>0</v>
      </c>
      <c r="AK951">
        <f t="shared" si="159"/>
        <v>1</v>
      </c>
      <c r="AL951">
        <v>13.33</v>
      </c>
      <c r="AM951" t="s">
        <v>27</v>
      </c>
      <c r="AN951">
        <v>13.33</v>
      </c>
      <c r="AO951" t="b">
        <f t="shared" si="160"/>
        <v>1</v>
      </c>
      <c r="AR951" t="s">
        <v>5061</v>
      </c>
      <c r="AS951" s="21">
        <v>46276</v>
      </c>
      <c r="AT951" t="s">
        <v>5062</v>
      </c>
      <c r="AU951" t="s">
        <v>5078</v>
      </c>
      <c r="AV951" t="s">
        <v>5062</v>
      </c>
      <c r="AW951" t="s">
        <v>5086</v>
      </c>
    </row>
    <row r="952" spans="1:49" hidden="1" x14ac:dyDescent="0.35">
      <c r="A952" t="s">
        <v>2796</v>
      </c>
      <c r="B952" t="s">
        <v>872</v>
      </c>
      <c r="C952" t="s">
        <v>4818</v>
      </c>
      <c r="D952" t="s">
        <v>18</v>
      </c>
      <c r="E952" t="s">
        <v>3993</v>
      </c>
      <c r="F952" t="s">
        <v>3994</v>
      </c>
      <c r="G952" t="s">
        <v>21</v>
      </c>
      <c r="H952" t="s">
        <v>4888</v>
      </c>
      <c r="I952" t="s">
        <v>5003</v>
      </c>
      <c r="J952" s="4" t="s">
        <v>5004</v>
      </c>
      <c r="K952" s="4" t="s">
        <v>4837</v>
      </c>
      <c r="L952" s="4" t="s">
        <v>4919</v>
      </c>
      <c r="M952" s="4" t="s">
        <v>5035</v>
      </c>
      <c r="N952" t="s">
        <v>3995</v>
      </c>
      <c r="O952" t="s">
        <v>3996</v>
      </c>
      <c r="P952" t="s">
        <v>23</v>
      </c>
      <c r="Q952" t="s">
        <v>24</v>
      </c>
      <c r="R952" t="s">
        <v>25</v>
      </c>
      <c r="S952" t="s">
        <v>26</v>
      </c>
      <c r="T952" s="6">
        <v>46307</v>
      </c>
      <c r="U952">
        <v>60</v>
      </c>
      <c r="V952">
        <v>60</v>
      </c>
      <c r="W952">
        <v>72</v>
      </c>
      <c r="X952">
        <v>72</v>
      </c>
      <c r="Y952">
        <f t="shared" si="155"/>
        <v>0</v>
      </c>
      <c r="Z952">
        <f t="shared" si="156"/>
        <v>-12</v>
      </c>
      <c r="AC952" s="1">
        <v>0</v>
      </c>
      <c r="AF952">
        <f t="shared" si="164"/>
        <v>60</v>
      </c>
      <c r="AG952" s="41">
        <v>12</v>
      </c>
      <c r="AH952">
        <f t="shared" si="157"/>
        <v>60</v>
      </c>
      <c r="AI952">
        <f t="shared" si="158"/>
        <v>0</v>
      </c>
      <c r="AK952">
        <f t="shared" si="159"/>
        <v>5</v>
      </c>
      <c r="AL952">
        <v>12.87</v>
      </c>
      <c r="AM952" t="s">
        <v>27</v>
      </c>
      <c r="AN952">
        <v>12.87</v>
      </c>
      <c r="AO952" t="b">
        <f t="shared" si="160"/>
        <v>1</v>
      </c>
      <c r="AR952" t="s">
        <v>5061</v>
      </c>
      <c r="AS952" s="21">
        <v>46276</v>
      </c>
      <c r="AT952" t="s">
        <v>5062</v>
      </c>
      <c r="AU952" t="s">
        <v>5078</v>
      </c>
      <c r="AV952" t="s">
        <v>5062</v>
      </c>
      <c r="AW952" t="s">
        <v>5086</v>
      </c>
    </row>
    <row r="953" spans="1:49" hidden="1" x14ac:dyDescent="0.35">
      <c r="A953" t="s">
        <v>2796</v>
      </c>
      <c r="B953" t="s">
        <v>872</v>
      </c>
      <c r="C953" t="s">
        <v>4818</v>
      </c>
      <c r="D953" t="s">
        <v>18</v>
      </c>
      <c r="E953" t="s">
        <v>3997</v>
      </c>
      <c r="F953" t="s">
        <v>3998</v>
      </c>
      <c r="G953" t="s">
        <v>21</v>
      </c>
      <c r="H953" t="s">
        <v>4888</v>
      </c>
      <c r="I953" t="s">
        <v>5008</v>
      </c>
      <c r="J953" s="4" t="s">
        <v>5009</v>
      </c>
      <c r="K953" s="4" t="s">
        <v>5021</v>
      </c>
      <c r="L953" s="4">
        <v>31</v>
      </c>
      <c r="M953" s="4" t="s">
        <v>5035</v>
      </c>
      <c r="N953" t="s">
        <v>3999</v>
      </c>
      <c r="O953" t="s">
        <v>4000</v>
      </c>
      <c r="P953" t="s">
        <v>23</v>
      </c>
      <c r="Q953" t="s">
        <v>24</v>
      </c>
      <c r="R953" t="s">
        <v>25</v>
      </c>
      <c r="S953" t="s">
        <v>26</v>
      </c>
      <c r="T953" s="6">
        <v>46307</v>
      </c>
      <c r="U953">
        <v>240</v>
      </c>
      <c r="V953">
        <v>240</v>
      </c>
      <c r="W953">
        <v>240</v>
      </c>
      <c r="X953">
        <v>240</v>
      </c>
      <c r="Y953">
        <f t="shared" si="155"/>
        <v>0</v>
      </c>
      <c r="Z953">
        <f t="shared" si="156"/>
        <v>0</v>
      </c>
      <c r="AC953" s="1">
        <v>0</v>
      </c>
      <c r="AF953">
        <f t="shared" si="164"/>
        <v>240</v>
      </c>
      <c r="AG953" s="41">
        <v>24</v>
      </c>
      <c r="AH953">
        <f t="shared" si="157"/>
        <v>240</v>
      </c>
      <c r="AI953">
        <f t="shared" si="158"/>
        <v>0</v>
      </c>
      <c r="AK953">
        <f t="shared" si="159"/>
        <v>10</v>
      </c>
      <c r="AL953">
        <v>10.11</v>
      </c>
      <c r="AM953" t="s">
        <v>27</v>
      </c>
      <c r="AN953">
        <v>10.11</v>
      </c>
      <c r="AO953" t="b">
        <f t="shared" si="160"/>
        <v>1</v>
      </c>
      <c r="AR953" t="s">
        <v>5061</v>
      </c>
      <c r="AS953" s="21">
        <v>46276</v>
      </c>
      <c r="AT953" t="s">
        <v>5062</v>
      </c>
      <c r="AU953" t="s">
        <v>5080</v>
      </c>
      <c r="AV953" t="s">
        <v>5062</v>
      </c>
      <c r="AW953" t="s">
        <v>5086</v>
      </c>
    </row>
    <row r="954" spans="1:49" hidden="1" x14ac:dyDescent="0.35">
      <c r="A954" t="s">
        <v>2796</v>
      </c>
      <c r="B954" t="s">
        <v>872</v>
      </c>
      <c r="C954" t="s">
        <v>4818</v>
      </c>
      <c r="D954" t="s">
        <v>18</v>
      </c>
      <c r="E954" t="s">
        <v>4001</v>
      </c>
      <c r="F954" t="s">
        <v>4002</v>
      </c>
      <c r="G954" t="s">
        <v>21</v>
      </c>
      <c r="H954" t="s">
        <v>4888</v>
      </c>
      <c r="I954" t="s">
        <v>5003</v>
      </c>
      <c r="J954" s="4" t="s">
        <v>5004</v>
      </c>
      <c r="K954" s="4" t="s">
        <v>4904</v>
      </c>
      <c r="L954" s="4" t="s">
        <v>4855</v>
      </c>
      <c r="M954" s="4" t="s">
        <v>5035</v>
      </c>
      <c r="N954" t="s">
        <v>4003</v>
      </c>
      <c r="O954" t="s">
        <v>4004</v>
      </c>
      <c r="P954" t="s">
        <v>23</v>
      </c>
      <c r="Q954" t="s">
        <v>24</v>
      </c>
      <c r="R954" t="s">
        <v>25</v>
      </c>
      <c r="S954" t="s">
        <v>26</v>
      </c>
      <c r="T954" s="6">
        <v>46307</v>
      </c>
      <c r="U954">
        <v>48</v>
      </c>
      <c r="V954">
        <v>48</v>
      </c>
      <c r="W954">
        <v>48</v>
      </c>
      <c r="X954">
        <v>48</v>
      </c>
      <c r="Y954">
        <f t="shared" si="155"/>
        <v>0</v>
      </c>
      <c r="Z954">
        <f t="shared" si="156"/>
        <v>0</v>
      </c>
      <c r="AC954" s="1">
        <v>0</v>
      </c>
      <c r="AF954">
        <f t="shared" si="164"/>
        <v>48</v>
      </c>
      <c r="AG954" s="41">
        <v>12</v>
      </c>
      <c r="AH954">
        <f t="shared" si="157"/>
        <v>48</v>
      </c>
      <c r="AI954">
        <f t="shared" si="158"/>
        <v>0</v>
      </c>
      <c r="AK954">
        <f t="shared" si="159"/>
        <v>4</v>
      </c>
      <c r="AL954">
        <v>12.89</v>
      </c>
      <c r="AM954" t="s">
        <v>27</v>
      </c>
      <c r="AN954">
        <v>12.89</v>
      </c>
      <c r="AO954" t="b">
        <f t="shared" si="160"/>
        <v>1</v>
      </c>
      <c r="AR954" t="s">
        <v>5061</v>
      </c>
      <c r="AS954" s="21">
        <v>46276</v>
      </c>
      <c r="AT954" t="s">
        <v>5062</v>
      </c>
      <c r="AU954" t="s">
        <v>5078</v>
      </c>
      <c r="AV954" t="s">
        <v>5062</v>
      </c>
      <c r="AW954" t="s">
        <v>5086</v>
      </c>
    </row>
    <row r="955" spans="1:49" hidden="1" x14ac:dyDescent="0.35">
      <c r="A955" t="s">
        <v>2796</v>
      </c>
      <c r="B955" t="s">
        <v>872</v>
      </c>
      <c r="C955" t="s">
        <v>4818</v>
      </c>
      <c r="D955" t="s">
        <v>18</v>
      </c>
      <c r="E955" t="s">
        <v>4005</v>
      </c>
      <c r="F955" t="s">
        <v>4006</v>
      </c>
      <c r="G955" t="s">
        <v>21</v>
      </c>
      <c r="H955" t="s">
        <v>4888</v>
      </c>
      <c r="I955" t="s">
        <v>5003</v>
      </c>
      <c r="J955" s="4" t="s">
        <v>5004</v>
      </c>
      <c r="K955" s="4" t="s">
        <v>4837</v>
      </c>
      <c r="L955" s="4" t="s">
        <v>4863</v>
      </c>
      <c r="M955" s="4" t="s">
        <v>5035</v>
      </c>
      <c r="N955" t="s">
        <v>4007</v>
      </c>
      <c r="O955" t="s">
        <v>4008</v>
      </c>
      <c r="P955" t="s">
        <v>23</v>
      </c>
      <c r="Q955" t="s">
        <v>24</v>
      </c>
      <c r="R955" t="s">
        <v>25</v>
      </c>
      <c r="S955" t="s">
        <v>26</v>
      </c>
      <c r="T955" s="6">
        <v>46307</v>
      </c>
      <c r="U955">
        <v>60</v>
      </c>
      <c r="V955">
        <v>60</v>
      </c>
      <c r="W955">
        <v>72</v>
      </c>
      <c r="X955">
        <v>72</v>
      </c>
      <c r="Y955">
        <f t="shared" si="155"/>
        <v>0</v>
      </c>
      <c r="Z955">
        <f t="shared" si="156"/>
        <v>-12</v>
      </c>
      <c r="AC955" s="1">
        <v>0</v>
      </c>
      <c r="AF955">
        <f t="shared" si="164"/>
        <v>60</v>
      </c>
      <c r="AG955" s="41">
        <v>12</v>
      </c>
      <c r="AH955">
        <f t="shared" si="157"/>
        <v>60</v>
      </c>
      <c r="AI955">
        <f t="shared" si="158"/>
        <v>0</v>
      </c>
      <c r="AK955">
        <f t="shared" si="159"/>
        <v>5</v>
      </c>
      <c r="AL955">
        <v>12.87</v>
      </c>
      <c r="AM955" t="s">
        <v>27</v>
      </c>
      <c r="AN955">
        <v>12.87</v>
      </c>
      <c r="AO955" t="b">
        <f t="shared" si="160"/>
        <v>1</v>
      </c>
      <c r="AR955" t="s">
        <v>5061</v>
      </c>
      <c r="AS955" s="21">
        <v>46276</v>
      </c>
      <c r="AT955" t="s">
        <v>5062</v>
      </c>
      <c r="AU955" t="s">
        <v>5078</v>
      </c>
      <c r="AV955" t="s">
        <v>5062</v>
      </c>
      <c r="AW955" t="s">
        <v>5086</v>
      </c>
    </row>
    <row r="956" spans="1:49" hidden="1" x14ac:dyDescent="0.35">
      <c r="A956" t="s">
        <v>2796</v>
      </c>
      <c r="B956" t="s">
        <v>872</v>
      </c>
      <c r="C956" t="s">
        <v>4818</v>
      </c>
      <c r="D956" t="s">
        <v>18</v>
      </c>
      <c r="E956" t="s">
        <v>4009</v>
      </c>
      <c r="F956" t="s">
        <v>4010</v>
      </c>
      <c r="G956" t="s">
        <v>21</v>
      </c>
      <c r="H956" t="s">
        <v>4888</v>
      </c>
      <c r="I956" t="s">
        <v>5025</v>
      </c>
      <c r="J956" s="4" t="s">
        <v>5026</v>
      </c>
      <c r="K956" s="4" t="s">
        <v>5020</v>
      </c>
      <c r="L956" s="4" t="s">
        <v>4990</v>
      </c>
      <c r="M956" s="4" t="s">
        <v>5035</v>
      </c>
      <c r="N956" t="s">
        <v>4011</v>
      </c>
      <c r="O956" t="s">
        <v>4012</v>
      </c>
      <c r="P956" t="s">
        <v>23</v>
      </c>
      <c r="Q956" t="s">
        <v>24</v>
      </c>
      <c r="R956" t="s">
        <v>25</v>
      </c>
      <c r="S956" t="s">
        <v>26</v>
      </c>
      <c r="T956" s="6">
        <v>46307</v>
      </c>
      <c r="U956">
        <v>240</v>
      </c>
      <c r="V956">
        <v>240</v>
      </c>
      <c r="W956">
        <v>216</v>
      </c>
      <c r="X956">
        <v>216</v>
      </c>
      <c r="Y956">
        <f t="shared" si="155"/>
        <v>0</v>
      </c>
      <c r="Z956">
        <f t="shared" si="156"/>
        <v>24</v>
      </c>
      <c r="AA956">
        <f>Z956</f>
        <v>24</v>
      </c>
      <c r="AC956" s="1">
        <v>0</v>
      </c>
      <c r="AF956">
        <f>X956</f>
        <v>216</v>
      </c>
      <c r="AG956" s="41">
        <v>24</v>
      </c>
      <c r="AH956">
        <f t="shared" si="157"/>
        <v>216</v>
      </c>
      <c r="AI956">
        <f t="shared" si="158"/>
        <v>24</v>
      </c>
      <c r="AK956">
        <f t="shared" si="159"/>
        <v>9</v>
      </c>
      <c r="AL956">
        <v>6.2</v>
      </c>
      <c r="AM956" t="s">
        <v>27</v>
      </c>
      <c r="AN956">
        <v>6.2</v>
      </c>
      <c r="AO956" t="b">
        <f t="shared" si="160"/>
        <v>1</v>
      </c>
      <c r="AR956" t="s">
        <v>5061</v>
      </c>
      <c r="AS956" s="21">
        <v>46276</v>
      </c>
      <c r="AT956" t="s">
        <v>5062</v>
      </c>
      <c r="AU956" t="s">
        <v>5082</v>
      </c>
      <c r="AV956" t="s">
        <v>5062</v>
      </c>
      <c r="AW956" t="s">
        <v>5086</v>
      </c>
    </row>
    <row r="957" spans="1:49" hidden="1" x14ac:dyDescent="0.35">
      <c r="A957" t="s">
        <v>2796</v>
      </c>
      <c r="B957" t="s">
        <v>872</v>
      </c>
      <c r="C957" t="s">
        <v>4818</v>
      </c>
      <c r="D957" t="s">
        <v>18</v>
      </c>
      <c r="E957" t="s">
        <v>4013</v>
      </c>
      <c r="F957" t="s">
        <v>4014</v>
      </c>
      <c r="G957" t="s">
        <v>21</v>
      </c>
      <c r="H957" t="s">
        <v>4888</v>
      </c>
      <c r="I957" t="s">
        <v>5022</v>
      </c>
      <c r="J957" s="4" t="s">
        <v>5023</v>
      </c>
      <c r="K957" s="4" t="s">
        <v>5024</v>
      </c>
      <c r="L957" s="4">
        <v>4</v>
      </c>
      <c r="M957" s="4" t="s">
        <v>5035</v>
      </c>
      <c r="N957" t="s">
        <v>4015</v>
      </c>
      <c r="O957" t="s">
        <v>4016</v>
      </c>
      <c r="P957" t="s">
        <v>23</v>
      </c>
      <c r="Q957" t="s">
        <v>24</v>
      </c>
      <c r="R957" t="s">
        <v>25</v>
      </c>
      <c r="S957" t="s">
        <v>26</v>
      </c>
      <c r="T957" s="6">
        <v>46307</v>
      </c>
      <c r="U957">
        <v>792</v>
      </c>
      <c r="V957">
        <v>792</v>
      </c>
      <c r="W957">
        <v>840</v>
      </c>
      <c r="X957">
        <v>840</v>
      </c>
      <c r="Y957">
        <f t="shared" si="155"/>
        <v>0</v>
      </c>
      <c r="Z957">
        <f t="shared" si="156"/>
        <v>-48</v>
      </c>
      <c r="AC957" s="1"/>
      <c r="AF957">
        <f>V957</f>
        <v>792</v>
      </c>
      <c r="AG957" s="41">
        <v>24</v>
      </c>
      <c r="AH957">
        <f t="shared" si="157"/>
        <v>792</v>
      </c>
      <c r="AI957">
        <f t="shared" si="158"/>
        <v>0</v>
      </c>
      <c r="AK957">
        <f t="shared" si="159"/>
        <v>33</v>
      </c>
      <c r="AL957">
        <v>6.99</v>
      </c>
      <c r="AM957" t="s">
        <v>27</v>
      </c>
      <c r="AN957">
        <v>8.68</v>
      </c>
      <c r="AO957" t="b">
        <f t="shared" si="160"/>
        <v>0</v>
      </c>
      <c r="AR957" t="s">
        <v>5061</v>
      </c>
      <c r="AS957" s="21">
        <v>46276</v>
      </c>
      <c r="AT957" t="s">
        <v>5062</v>
      </c>
      <c r="AU957" t="s">
        <v>5083</v>
      </c>
      <c r="AV957" t="s">
        <v>5062</v>
      </c>
      <c r="AW957" t="s">
        <v>5086</v>
      </c>
    </row>
    <row r="958" spans="1:49" hidden="1" x14ac:dyDescent="0.35">
      <c r="A958" t="s">
        <v>2796</v>
      </c>
      <c r="B958" t="s">
        <v>872</v>
      </c>
      <c r="C958" t="s">
        <v>4818</v>
      </c>
      <c r="D958" t="s">
        <v>18</v>
      </c>
      <c r="E958" t="s">
        <v>4017</v>
      </c>
      <c r="F958" t="s">
        <v>4018</v>
      </c>
      <c r="G958" t="s">
        <v>21</v>
      </c>
      <c r="H958" t="s">
        <v>4888</v>
      </c>
      <c r="I958" t="s">
        <v>5003</v>
      </c>
      <c r="J958" s="4" t="s">
        <v>5004</v>
      </c>
      <c r="K958" s="4" t="s">
        <v>5015</v>
      </c>
      <c r="L958" s="4" t="s">
        <v>4877</v>
      </c>
      <c r="M958" s="4" t="s">
        <v>5035</v>
      </c>
      <c r="N958" t="s">
        <v>4019</v>
      </c>
      <c r="O958" t="s">
        <v>4020</v>
      </c>
      <c r="P958" t="s">
        <v>23</v>
      </c>
      <c r="Q958" t="s">
        <v>24</v>
      </c>
      <c r="R958" t="s">
        <v>25</v>
      </c>
      <c r="S958" t="s">
        <v>26</v>
      </c>
      <c r="T958" s="6">
        <v>46307</v>
      </c>
      <c r="U958">
        <v>84</v>
      </c>
      <c r="V958">
        <v>84</v>
      </c>
      <c r="W958">
        <v>72</v>
      </c>
      <c r="X958">
        <v>72</v>
      </c>
      <c r="Y958">
        <f t="shared" si="155"/>
        <v>0</v>
      </c>
      <c r="Z958">
        <f t="shared" si="156"/>
        <v>12</v>
      </c>
      <c r="AA958">
        <f>Z958</f>
        <v>12</v>
      </c>
      <c r="AC958" s="1">
        <v>0</v>
      </c>
      <c r="AF958">
        <f>X958</f>
        <v>72</v>
      </c>
      <c r="AG958" s="41">
        <v>12</v>
      </c>
      <c r="AH958">
        <f t="shared" si="157"/>
        <v>72</v>
      </c>
      <c r="AI958">
        <f t="shared" si="158"/>
        <v>12</v>
      </c>
      <c r="AK958">
        <f t="shared" si="159"/>
        <v>6</v>
      </c>
      <c r="AL958">
        <v>13.01</v>
      </c>
      <c r="AM958" t="s">
        <v>27</v>
      </c>
      <c r="AN958">
        <v>13.01</v>
      </c>
      <c r="AO958" t="b">
        <f t="shared" si="160"/>
        <v>1</v>
      </c>
      <c r="AR958" t="s">
        <v>5061</v>
      </c>
      <c r="AS958" s="21">
        <v>46276</v>
      </c>
      <c r="AT958" t="s">
        <v>5062</v>
      </c>
      <c r="AU958" t="s">
        <v>5078</v>
      </c>
      <c r="AV958" t="s">
        <v>5062</v>
      </c>
      <c r="AW958" t="s">
        <v>5086</v>
      </c>
    </row>
    <row r="959" spans="1:49" hidden="1" x14ac:dyDescent="0.35">
      <c r="A959" t="s">
        <v>2796</v>
      </c>
      <c r="B959" t="s">
        <v>872</v>
      </c>
      <c r="C959" t="s">
        <v>4818</v>
      </c>
      <c r="D959" t="s">
        <v>18</v>
      </c>
      <c r="E959" t="s">
        <v>4021</v>
      </c>
      <c r="F959" t="s">
        <v>4022</v>
      </c>
      <c r="G959" t="s">
        <v>21</v>
      </c>
      <c r="H959" t="s">
        <v>4888</v>
      </c>
      <c r="I959" t="s">
        <v>5003</v>
      </c>
      <c r="J959" s="4" t="s">
        <v>5004</v>
      </c>
      <c r="K959" s="4" t="s">
        <v>4904</v>
      </c>
      <c r="L959" s="4" t="s">
        <v>4880</v>
      </c>
      <c r="M959" s="4" t="s">
        <v>5035</v>
      </c>
      <c r="N959" t="s">
        <v>4023</v>
      </c>
      <c r="O959" t="s">
        <v>4024</v>
      </c>
      <c r="P959" t="s">
        <v>23</v>
      </c>
      <c r="Q959" t="s">
        <v>24</v>
      </c>
      <c r="R959" t="s">
        <v>25</v>
      </c>
      <c r="S959" t="s">
        <v>26</v>
      </c>
      <c r="T959" s="6">
        <v>46307</v>
      </c>
      <c r="U959">
        <v>36</v>
      </c>
      <c r="V959">
        <v>36</v>
      </c>
      <c r="W959">
        <v>36</v>
      </c>
      <c r="X959">
        <v>36</v>
      </c>
      <c r="Y959">
        <f t="shared" si="155"/>
        <v>0</v>
      </c>
      <c r="Z959">
        <f t="shared" si="156"/>
        <v>0</v>
      </c>
      <c r="AC959" s="1">
        <v>0</v>
      </c>
      <c r="AF959">
        <f t="shared" ref="AF959:AF966" si="165">V959</f>
        <v>36</v>
      </c>
      <c r="AG959" s="41">
        <v>12</v>
      </c>
      <c r="AH959">
        <f t="shared" si="157"/>
        <v>36</v>
      </c>
      <c r="AI959">
        <f t="shared" si="158"/>
        <v>0</v>
      </c>
      <c r="AK959">
        <f t="shared" si="159"/>
        <v>3</v>
      </c>
      <c r="AL959">
        <v>12.89</v>
      </c>
      <c r="AM959" t="s">
        <v>27</v>
      </c>
      <c r="AN959">
        <v>12.89</v>
      </c>
      <c r="AO959" t="b">
        <f t="shared" si="160"/>
        <v>1</v>
      </c>
      <c r="AR959" t="s">
        <v>5061</v>
      </c>
      <c r="AS959" s="21">
        <v>46276</v>
      </c>
      <c r="AT959" t="s">
        <v>5062</v>
      </c>
      <c r="AU959" t="s">
        <v>5078</v>
      </c>
      <c r="AV959" t="s">
        <v>5062</v>
      </c>
      <c r="AW959" t="s">
        <v>5086</v>
      </c>
    </row>
    <row r="960" spans="1:49" hidden="1" x14ac:dyDescent="0.35">
      <c r="A960" t="s">
        <v>2796</v>
      </c>
      <c r="B960" t="s">
        <v>872</v>
      </c>
      <c r="C960" t="s">
        <v>4818</v>
      </c>
      <c r="D960" t="s">
        <v>18</v>
      </c>
      <c r="E960" t="s">
        <v>4025</v>
      </c>
      <c r="F960" t="s">
        <v>4026</v>
      </c>
      <c r="G960" t="s">
        <v>21</v>
      </c>
      <c r="H960" t="s">
        <v>4888</v>
      </c>
      <c r="I960" t="s">
        <v>5018</v>
      </c>
      <c r="J960" s="4" t="s">
        <v>5019</v>
      </c>
      <c r="K960" s="4" t="s">
        <v>5020</v>
      </c>
      <c r="L960" s="4">
        <v>8</v>
      </c>
      <c r="M960" s="4" t="s">
        <v>5035</v>
      </c>
      <c r="N960" t="s">
        <v>4027</v>
      </c>
      <c r="O960" t="s">
        <v>4028</v>
      </c>
      <c r="P960" t="s">
        <v>23</v>
      </c>
      <c r="Q960" t="s">
        <v>24</v>
      </c>
      <c r="R960" t="s">
        <v>25</v>
      </c>
      <c r="S960" t="s">
        <v>26</v>
      </c>
      <c r="T960" s="6">
        <v>46307</v>
      </c>
      <c r="U960">
        <v>624</v>
      </c>
      <c r="V960">
        <v>624</v>
      </c>
      <c r="W960">
        <v>672</v>
      </c>
      <c r="X960">
        <v>672</v>
      </c>
      <c r="Y960">
        <f t="shared" si="155"/>
        <v>0</v>
      </c>
      <c r="Z960">
        <f t="shared" si="156"/>
        <v>-48</v>
      </c>
      <c r="AC960" s="1"/>
      <c r="AF960">
        <f t="shared" si="165"/>
        <v>624</v>
      </c>
      <c r="AG960" s="41">
        <v>24</v>
      </c>
      <c r="AH960">
        <f t="shared" si="157"/>
        <v>624</v>
      </c>
      <c r="AI960">
        <f t="shared" si="158"/>
        <v>0</v>
      </c>
      <c r="AK960">
        <f t="shared" si="159"/>
        <v>26</v>
      </c>
      <c r="AL960">
        <v>10.79</v>
      </c>
      <c r="AM960" t="s">
        <v>27</v>
      </c>
      <c r="AN960">
        <v>10.79</v>
      </c>
      <c r="AO960" t="b">
        <f t="shared" si="160"/>
        <v>1</v>
      </c>
      <c r="AR960" t="s">
        <v>5061</v>
      </c>
      <c r="AS960" s="21">
        <v>46276</v>
      </c>
      <c r="AT960" t="s">
        <v>5062</v>
      </c>
      <c r="AU960" t="s">
        <v>5082</v>
      </c>
      <c r="AV960" t="s">
        <v>5062</v>
      </c>
      <c r="AW960" t="s">
        <v>5086</v>
      </c>
    </row>
    <row r="961" spans="1:49" hidden="1" x14ac:dyDescent="0.35">
      <c r="A961" t="s">
        <v>2796</v>
      </c>
      <c r="B961" t="s">
        <v>872</v>
      </c>
      <c r="C961" t="s">
        <v>4818</v>
      </c>
      <c r="D961" t="s">
        <v>18</v>
      </c>
      <c r="E961" t="s">
        <v>4029</v>
      </c>
      <c r="F961" t="s">
        <v>4030</v>
      </c>
      <c r="G961" t="s">
        <v>21</v>
      </c>
      <c r="H961" t="s">
        <v>4888</v>
      </c>
      <c r="I961" t="s">
        <v>5005</v>
      </c>
      <c r="J961" s="4" t="s">
        <v>5006</v>
      </c>
      <c r="K961" s="4" t="s">
        <v>5007</v>
      </c>
      <c r="L961" s="4">
        <v>29</v>
      </c>
      <c r="M961" s="4" t="s">
        <v>5035</v>
      </c>
      <c r="N961" t="s">
        <v>4031</v>
      </c>
      <c r="O961" t="s">
        <v>4032</v>
      </c>
      <c r="P961" t="s">
        <v>23</v>
      </c>
      <c r="Q961" t="s">
        <v>24</v>
      </c>
      <c r="R961" t="s">
        <v>25</v>
      </c>
      <c r="S961" t="s">
        <v>26</v>
      </c>
      <c r="T961" s="6">
        <v>46307</v>
      </c>
      <c r="U961">
        <v>144</v>
      </c>
      <c r="V961">
        <v>144</v>
      </c>
      <c r="W961">
        <v>144</v>
      </c>
      <c r="X961">
        <v>144</v>
      </c>
      <c r="Y961">
        <f t="shared" si="155"/>
        <v>0</v>
      </c>
      <c r="Z961">
        <f t="shared" si="156"/>
        <v>0</v>
      </c>
      <c r="AC961" s="1">
        <v>0</v>
      </c>
      <c r="AF961">
        <f t="shared" si="165"/>
        <v>144</v>
      </c>
      <c r="AG961" s="41">
        <v>24</v>
      </c>
      <c r="AH961">
        <f t="shared" si="157"/>
        <v>144</v>
      </c>
      <c r="AI961">
        <f t="shared" si="158"/>
        <v>0</v>
      </c>
      <c r="AK961">
        <f t="shared" si="159"/>
        <v>6</v>
      </c>
      <c r="AL961">
        <v>10.45</v>
      </c>
      <c r="AM961" t="s">
        <v>27</v>
      </c>
      <c r="AN961">
        <v>10.45</v>
      </c>
      <c r="AO961" t="b">
        <f t="shared" si="160"/>
        <v>1</v>
      </c>
      <c r="AR961" t="s">
        <v>5061</v>
      </c>
      <c r="AS961" s="21">
        <v>46276</v>
      </c>
      <c r="AT961" t="s">
        <v>5062</v>
      </c>
      <c r="AU961" t="s">
        <v>5079</v>
      </c>
      <c r="AV961" t="s">
        <v>5062</v>
      </c>
      <c r="AW961" t="s">
        <v>5086</v>
      </c>
    </row>
    <row r="962" spans="1:49" hidden="1" x14ac:dyDescent="0.35">
      <c r="A962" t="s">
        <v>2796</v>
      </c>
      <c r="B962" t="s">
        <v>872</v>
      </c>
      <c r="C962" t="s">
        <v>4818</v>
      </c>
      <c r="D962" t="s">
        <v>18</v>
      </c>
      <c r="E962" t="s">
        <v>4033</v>
      </c>
      <c r="F962" t="s">
        <v>4034</v>
      </c>
      <c r="G962" t="s">
        <v>21</v>
      </c>
      <c r="H962" t="s">
        <v>4888</v>
      </c>
      <c r="I962" t="s">
        <v>5005</v>
      </c>
      <c r="J962" s="4" t="s">
        <v>5006</v>
      </c>
      <c r="K962" s="4" t="s">
        <v>4899</v>
      </c>
      <c r="L962" s="4">
        <v>38</v>
      </c>
      <c r="M962" s="4" t="s">
        <v>5035</v>
      </c>
      <c r="N962" t="s">
        <v>4035</v>
      </c>
      <c r="O962" t="s">
        <v>4036</v>
      </c>
      <c r="P962" t="s">
        <v>23</v>
      </c>
      <c r="Q962" t="s">
        <v>24</v>
      </c>
      <c r="R962" t="s">
        <v>25</v>
      </c>
      <c r="S962" t="s">
        <v>26</v>
      </c>
      <c r="T962" s="6">
        <v>46307</v>
      </c>
      <c r="U962">
        <v>600</v>
      </c>
      <c r="V962">
        <v>600</v>
      </c>
      <c r="W962">
        <v>648</v>
      </c>
      <c r="X962">
        <v>648</v>
      </c>
      <c r="Y962">
        <f t="shared" si="155"/>
        <v>0</v>
      </c>
      <c r="Z962">
        <f t="shared" si="156"/>
        <v>-48</v>
      </c>
      <c r="AC962" s="1">
        <v>0</v>
      </c>
      <c r="AF962">
        <f t="shared" si="165"/>
        <v>600</v>
      </c>
      <c r="AG962" s="41">
        <v>24</v>
      </c>
      <c r="AH962">
        <f t="shared" si="157"/>
        <v>600</v>
      </c>
      <c r="AI962">
        <f t="shared" si="158"/>
        <v>0</v>
      </c>
      <c r="AK962">
        <f t="shared" si="159"/>
        <v>25</v>
      </c>
      <c r="AL962">
        <v>10.14</v>
      </c>
      <c r="AM962" t="s">
        <v>27</v>
      </c>
      <c r="AN962">
        <v>10.14</v>
      </c>
      <c r="AO962" t="b">
        <f t="shared" si="160"/>
        <v>1</v>
      </c>
      <c r="AR962" t="s">
        <v>5061</v>
      </c>
      <c r="AS962" s="21">
        <v>46276</v>
      </c>
      <c r="AT962" t="s">
        <v>5062</v>
      </c>
      <c r="AU962" t="s">
        <v>5079</v>
      </c>
      <c r="AV962" t="s">
        <v>5062</v>
      </c>
      <c r="AW962" t="s">
        <v>5086</v>
      </c>
    </row>
    <row r="963" spans="1:49" hidden="1" x14ac:dyDescent="0.35">
      <c r="A963" t="s">
        <v>2796</v>
      </c>
      <c r="B963" t="s">
        <v>872</v>
      </c>
      <c r="C963" t="s">
        <v>4818</v>
      </c>
      <c r="D963" t="s">
        <v>18</v>
      </c>
      <c r="E963" t="s">
        <v>4037</v>
      </c>
      <c r="F963" t="s">
        <v>4038</v>
      </c>
      <c r="G963" t="s">
        <v>21</v>
      </c>
      <c r="H963" t="s">
        <v>4888</v>
      </c>
      <c r="I963" t="s">
        <v>5003</v>
      </c>
      <c r="J963" s="4" t="s">
        <v>5004</v>
      </c>
      <c r="K963" s="4" t="s">
        <v>4904</v>
      </c>
      <c r="L963" s="4" t="s">
        <v>4901</v>
      </c>
      <c r="M963" s="4" t="s">
        <v>5035</v>
      </c>
      <c r="N963" t="s">
        <v>4039</v>
      </c>
      <c r="O963" t="s">
        <v>4040</v>
      </c>
      <c r="P963" t="s">
        <v>23</v>
      </c>
      <c r="Q963" t="s">
        <v>24</v>
      </c>
      <c r="R963" t="s">
        <v>25</v>
      </c>
      <c r="S963" t="s">
        <v>26</v>
      </c>
      <c r="T963" s="6">
        <v>46307</v>
      </c>
      <c r="U963">
        <v>72</v>
      </c>
      <c r="V963">
        <v>72</v>
      </c>
      <c r="W963">
        <v>72</v>
      </c>
      <c r="X963">
        <v>72</v>
      </c>
      <c r="Y963">
        <f t="shared" ref="Y963:Y1026" si="166">W963-X963</f>
        <v>0</v>
      </c>
      <c r="Z963">
        <f t="shared" ref="Z963:Z979" si="167">V963-X963</f>
        <v>0</v>
      </c>
      <c r="AC963" s="1">
        <v>0</v>
      </c>
      <c r="AF963">
        <f t="shared" si="165"/>
        <v>72</v>
      </c>
      <c r="AG963" s="41">
        <v>12</v>
      </c>
      <c r="AH963">
        <f t="shared" ref="AH963:AH1026" si="168">ROUNDUP(AF963/AG963,0)*AG963</f>
        <v>72</v>
      </c>
      <c r="AI963">
        <f t="shared" ref="AI963:AI1026" si="169">V963-AH963</f>
        <v>0</v>
      </c>
      <c r="AK963">
        <f t="shared" ref="AK963:AK1026" si="170">AH963/AG963</f>
        <v>6</v>
      </c>
      <c r="AL963">
        <v>12.89</v>
      </c>
      <c r="AM963" t="s">
        <v>27</v>
      </c>
      <c r="AN963">
        <v>12.89</v>
      </c>
      <c r="AO963" t="b">
        <f t="shared" ref="AO963:AO1026" si="171">AL963=AN963</f>
        <v>1</v>
      </c>
      <c r="AR963" t="s">
        <v>5061</v>
      </c>
      <c r="AS963" s="21">
        <v>46276</v>
      </c>
      <c r="AT963" t="s">
        <v>5062</v>
      </c>
      <c r="AU963" t="s">
        <v>5078</v>
      </c>
      <c r="AV963" t="s">
        <v>5062</v>
      </c>
      <c r="AW963" t="s">
        <v>5086</v>
      </c>
    </row>
    <row r="964" spans="1:49" hidden="1" x14ac:dyDescent="0.35">
      <c r="A964" t="s">
        <v>2796</v>
      </c>
      <c r="B964" t="s">
        <v>872</v>
      </c>
      <c r="C964" t="s">
        <v>4818</v>
      </c>
      <c r="D964" t="s">
        <v>18</v>
      </c>
      <c r="E964" t="s">
        <v>4041</v>
      </c>
      <c r="F964" t="s">
        <v>4042</v>
      </c>
      <c r="G964" t="s">
        <v>21</v>
      </c>
      <c r="H964" t="s">
        <v>4888</v>
      </c>
      <c r="I964" t="s">
        <v>5003</v>
      </c>
      <c r="J964" s="4" t="s">
        <v>5004</v>
      </c>
      <c r="K964" s="4" t="s">
        <v>4904</v>
      </c>
      <c r="L964" s="4" t="s">
        <v>4892</v>
      </c>
      <c r="M964" s="4" t="s">
        <v>5035</v>
      </c>
      <c r="N964" t="s">
        <v>4043</v>
      </c>
      <c r="O964" t="s">
        <v>4044</v>
      </c>
      <c r="P964" t="s">
        <v>23</v>
      </c>
      <c r="Q964" t="s">
        <v>24</v>
      </c>
      <c r="R964" t="s">
        <v>25</v>
      </c>
      <c r="S964" t="s">
        <v>26</v>
      </c>
      <c r="T964" s="6">
        <v>46307</v>
      </c>
      <c r="U964">
        <v>48</v>
      </c>
      <c r="V964">
        <v>48</v>
      </c>
      <c r="W964">
        <v>48</v>
      </c>
      <c r="X964">
        <v>48</v>
      </c>
      <c r="Y964">
        <f t="shared" si="166"/>
        <v>0</v>
      </c>
      <c r="Z964">
        <f t="shared" si="167"/>
        <v>0</v>
      </c>
      <c r="AC964" s="1">
        <v>0</v>
      </c>
      <c r="AF964">
        <f t="shared" si="165"/>
        <v>48</v>
      </c>
      <c r="AG964" s="41">
        <v>12</v>
      </c>
      <c r="AH964">
        <f t="shared" si="168"/>
        <v>48</v>
      </c>
      <c r="AI964">
        <f t="shared" si="169"/>
        <v>0</v>
      </c>
      <c r="AK964">
        <f t="shared" si="170"/>
        <v>4</v>
      </c>
      <c r="AL964">
        <v>12.89</v>
      </c>
      <c r="AM964" t="s">
        <v>27</v>
      </c>
      <c r="AN964">
        <v>12.89</v>
      </c>
      <c r="AO964" t="b">
        <f t="shared" si="171"/>
        <v>1</v>
      </c>
      <c r="AR964" t="s">
        <v>5061</v>
      </c>
      <c r="AS964" s="21">
        <v>46276</v>
      </c>
      <c r="AT964" t="s">
        <v>5062</v>
      </c>
      <c r="AU964" t="s">
        <v>5078</v>
      </c>
      <c r="AV964" t="s">
        <v>5062</v>
      </c>
      <c r="AW964" t="s">
        <v>5086</v>
      </c>
    </row>
    <row r="965" spans="1:49" hidden="1" x14ac:dyDescent="0.35">
      <c r="A965" t="s">
        <v>2796</v>
      </c>
      <c r="B965" t="s">
        <v>872</v>
      </c>
      <c r="C965" t="s">
        <v>4818</v>
      </c>
      <c r="D965" t="s">
        <v>18</v>
      </c>
      <c r="E965" t="s">
        <v>4045</v>
      </c>
      <c r="F965" t="s">
        <v>4046</v>
      </c>
      <c r="G965" t="s">
        <v>21</v>
      </c>
      <c r="H965" t="s">
        <v>4888</v>
      </c>
      <c r="I965" t="s">
        <v>5003</v>
      </c>
      <c r="J965" s="4" t="s">
        <v>5004</v>
      </c>
      <c r="K965" s="4" t="s">
        <v>4904</v>
      </c>
      <c r="L965" s="4" t="s">
        <v>4919</v>
      </c>
      <c r="M965" s="4" t="s">
        <v>5035</v>
      </c>
      <c r="N965" t="s">
        <v>4047</v>
      </c>
      <c r="O965" t="s">
        <v>4048</v>
      </c>
      <c r="P965" t="s">
        <v>23</v>
      </c>
      <c r="Q965" t="s">
        <v>24</v>
      </c>
      <c r="R965" t="s">
        <v>25</v>
      </c>
      <c r="S965" t="s">
        <v>26</v>
      </c>
      <c r="T965" s="6">
        <v>46307</v>
      </c>
      <c r="U965">
        <v>48</v>
      </c>
      <c r="V965">
        <v>48</v>
      </c>
      <c r="W965">
        <v>48</v>
      </c>
      <c r="X965">
        <v>48</v>
      </c>
      <c r="Y965">
        <f t="shared" si="166"/>
        <v>0</v>
      </c>
      <c r="Z965">
        <f t="shared" si="167"/>
        <v>0</v>
      </c>
      <c r="AC965" s="1">
        <v>0</v>
      </c>
      <c r="AF965">
        <f t="shared" si="165"/>
        <v>48</v>
      </c>
      <c r="AG965" s="41">
        <v>12</v>
      </c>
      <c r="AH965">
        <f t="shared" si="168"/>
        <v>48</v>
      </c>
      <c r="AI965">
        <f t="shared" si="169"/>
        <v>0</v>
      </c>
      <c r="AK965">
        <f t="shared" si="170"/>
        <v>4</v>
      </c>
      <c r="AL965">
        <v>12.89</v>
      </c>
      <c r="AM965" t="s">
        <v>27</v>
      </c>
      <c r="AN965">
        <v>12.89</v>
      </c>
      <c r="AO965" t="b">
        <f t="shared" si="171"/>
        <v>1</v>
      </c>
      <c r="AR965" t="s">
        <v>5061</v>
      </c>
      <c r="AS965" s="21">
        <v>46276</v>
      </c>
      <c r="AT965" t="s">
        <v>5062</v>
      </c>
      <c r="AU965" t="s">
        <v>5078</v>
      </c>
      <c r="AV965" t="s">
        <v>5062</v>
      </c>
      <c r="AW965" t="s">
        <v>5086</v>
      </c>
    </row>
    <row r="966" spans="1:49" hidden="1" x14ac:dyDescent="0.35">
      <c r="A966" t="s">
        <v>2796</v>
      </c>
      <c r="B966" t="s">
        <v>872</v>
      </c>
      <c r="C966" t="s">
        <v>4818</v>
      </c>
      <c r="D966" t="s">
        <v>18</v>
      </c>
      <c r="E966" t="s">
        <v>4049</v>
      </c>
      <c r="F966" t="s">
        <v>4050</v>
      </c>
      <c r="G966" t="s">
        <v>21</v>
      </c>
      <c r="H966" t="s">
        <v>4888</v>
      </c>
      <c r="I966" t="s">
        <v>5010</v>
      </c>
      <c r="J966" s="4" t="s">
        <v>5011</v>
      </c>
      <c r="K966" s="4" t="s">
        <v>4904</v>
      </c>
      <c r="L966" s="4" t="s">
        <v>4996</v>
      </c>
      <c r="M966" s="4" t="s">
        <v>5035</v>
      </c>
      <c r="N966" t="s">
        <v>4051</v>
      </c>
      <c r="O966" t="s">
        <v>4052</v>
      </c>
      <c r="P966" t="s">
        <v>23</v>
      </c>
      <c r="Q966" t="s">
        <v>24</v>
      </c>
      <c r="R966" t="s">
        <v>25</v>
      </c>
      <c r="S966" t="s">
        <v>26</v>
      </c>
      <c r="T966" s="6">
        <v>46307</v>
      </c>
      <c r="U966">
        <v>120</v>
      </c>
      <c r="V966">
        <v>120</v>
      </c>
      <c r="W966">
        <v>144</v>
      </c>
      <c r="X966">
        <v>144</v>
      </c>
      <c r="Y966">
        <f t="shared" si="166"/>
        <v>0</v>
      </c>
      <c r="Z966">
        <f t="shared" si="167"/>
        <v>-24</v>
      </c>
      <c r="AC966" s="1">
        <v>0</v>
      </c>
      <c r="AF966">
        <f t="shared" si="165"/>
        <v>120</v>
      </c>
      <c r="AG966" s="41">
        <v>24</v>
      </c>
      <c r="AH966">
        <f t="shared" si="168"/>
        <v>120</v>
      </c>
      <c r="AI966">
        <f t="shared" si="169"/>
        <v>0</v>
      </c>
      <c r="AK966">
        <f t="shared" si="170"/>
        <v>5</v>
      </c>
      <c r="AL966">
        <v>5.03</v>
      </c>
      <c r="AM966" t="s">
        <v>27</v>
      </c>
      <c r="AN966">
        <v>5.03</v>
      </c>
      <c r="AO966" t="b">
        <f t="shared" si="171"/>
        <v>1</v>
      </c>
      <c r="AR966" t="s">
        <v>5061</v>
      </c>
      <c r="AS966" s="21">
        <v>46276</v>
      </c>
      <c r="AT966" t="s">
        <v>5062</v>
      </c>
      <c r="AU966" t="s">
        <v>5081</v>
      </c>
      <c r="AV966" t="s">
        <v>5062</v>
      </c>
      <c r="AW966" t="s">
        <v>5086</v>
      </c>
    </row>
    <row r="967" spans="1:49" hidden="1" x14ac:dyDescent="0.35">
      <c r="A967" t="s">
        <v>2796</v>
      </c>
      <c r="B967" t="s">
        <v>872</v>
      </c>
      <c r="C967" t="s">
        <v>4818</v>
      </c>
      <c r="D967" t="s">
        <v>18</v>
      </c>
      <c r="E967" t="s">
        <v>4053</v>
      </c>
      <c r="F967" t="s">
        <v>4054</v>
      </c>
      <c r="G967" t="s">
        <v>21</v>
      </c>
      <c r="H967" t="s">
        <v>4888</v>
      </c>
      <c r="I967" t="s">
        <v>5005</v>
      </c>
      <c r="J967" s="4" t="s">
        <v>5006</v>
      </c>
      <c r="K967" s="4" t="s">
        <v>5007</v>
      </c>
      <c r="L967" s="4">
        <v>33</v>
      </c>
      <c r="M967" s="4" t="s">
        <v>5035</v>
      </c>
      <c r="N967" t="s">
        <v>4055</v>
      </c>
      <c r="O967" t="s">
        <v>4056</v>
      </c>
      <c r="P967" t="s">
        <v>23</v>
      </c>
      <c r="Q967" t="s">
        <v>24</v>
      </c>
      <c r="R967" t="s">
        <v>25</v>
      </c>
      <c r="S967" t="s">
        <v>26</v>
      </c>
      <c r="T967" s="6">
        <v>46307</v>
      </c>
      <c r="U967">
        <v>408</v>
      </c>
      <c r="V967">
        <v>408</v>
      </c>
      <c r="W967">
        <v>360</v>
      </c>
      <c r="X967">
        <v>360</v>
      </c>
      <c r="Y967">
        <f t="shared" si="166"/>
        <v>0</v>
      </c>
      <c r="Z967">
        <f t="shared" si="167"/>
        <v>48</v>
      </c>
      <c r="AA967">
        <f>Z967</f>
        <v>48</v>
      </c>
      <c r="AC967" s="1">
        <v>0</v>
      </c>
      <c r="AF967">
        <f>X967</f>
        <v>360</v>
      </c>
      <c r="AG967" s="41">
        <v>24</v>
      </c>
      <c r="AH967">
        <f t="shared" si="168"/>
        <v>360</v>
      </c>
      <c r="AI967">
        <f t="shared" si="169"/>
        <v>48</v>
      </c>
      <c r="AK967">
        <f t="shared" si="170"/>
        <v>15</v>
      </c>
      <c r="AL967">
        <v>10.45</v>
      </c>
      <c r="AM967" t="s">
        <v>27</v>
      </c>
      <c r="AN967">
        <v>10.45</v>
      </c>
      <c r="AO967" t="b">
        <f t="shared" si="171"/>
        <v>1</v>
      </c>
      <c r="AR967" t="s">
        <v>5061</v>
      </c>
      <c r="AS967" s="21">
        <v>46276</v>
      </c>
      <c r="AT967" t="s">
        <v>5062</v>
      </c>
      <c r="AU967" t="s">
        <v>5079</v>
      </c>
      <c r="AV967" t="s">
        <v>5062</v>
      </c>
      <c r="AW967" t="s">
        <v>5086</v>
      </c>
    </row>
    <row r="968" spans="1:49" hidden="1" x14ac:dyDescent="0.35">
      <c r="A968" t="s">
        <v>2796</v>
      </c>
      <c r="B968" t="s">
        <v>872</v>
      </c>
      <c r="C968" t="s">
        <v>4818</v>
      </c>
      <c r="D968" t="s">
        <v>18</v>
      </c>
      <c r="E968" t="s">
        <v>4057</v>
      </c>
      <c r="F968" t="s">
        <v>4058</v>
      </c>
      <c r="G968" t="s">
        <v>21</v>
      </c>
      <c r="H968" t="s">
        <v>4888</v>
      </c>
      <c r="I968" t="s">
        <v>5012</v>
      </c>
      <c r="J968" s="4" t="s">
        <v>5013</v>
      </c>
      <c r="K968" s="4" t="s">
        <v>4984</v>
      </c>
      <c r="L968" s="4" t="s">
        <v>5014</v>
      </c>
      <c r="M968" s="4" t="s">
        <v>5035</v>
      </c>
      <c r="N968" t="s">
        <v>4059</v>
      </c>
      <c r="O968" t="s">
        <v>4060</v>
      </c>
      <c r="P968" t="s">
        <v>23</v>
      </c>
      <c r="Q968" t="s">
        <v>24</v>
      </c>
      <c r="R968" t="s">
        <v>25</v>
      </c>
      <c r="S968" t="s">
        <v>26</v>
      </c>
      <c r="T968" s="6">
        <v>46307</v>
      </c>
      <c r="U968">
        <v>96</v>
      </c>
      <c r="V968">
        <v>96</v>
      </c>
      <c r="W968">
        <v>120</v>
      </c>
      <c r="X968">
        <v>120</v>
      </c>
      <c r="Y968">
        <f t="shared" si="166"/>
        <v>0</v>
      </c>
      <c r="Z968">
        <f t="shared" si="167"/>
        <v>-24</v>
      </c>
      <c r="AC968" s="1">
        <v>0</v>
      </c>
      <c r="AF968">
        <f>V968</f>
        <v>96</v>
      </c>
      <c r="AG968" s="41">
        <v>24</v>
      </c>
      <c r="AH968">
        <f t="shared" si="168"/>
        <v>96</v>
      </c>
      <c r="AI968">
        <f t="shared" si="169"/>
        <v>0</v>
      </c>
      <c r="AK968">
        <f t="shared" si="170"/>
        <v>4</v>
      </c>
      <c r="AL968">
        <v>6.05</v>
      </c>
      <c r="AM968" t="s">
        <v>27</v>
      </c>
      <c r="AN968">
        <v>6.05</v>
      </c>
      <c r="AO968" t="b">
        <f t="shared" si="171"/>
        <v>1</v>
      </c>
      <c r="AR968" t="s">
        <v>5061</v>
      </c>
      <c r="AS968" s="21">
        <v>46276</v>
      </c>
      <c r="AT968" t="s">
        <v>5062</v>
      </c>
      <c r="AU968" t="s">
        <v>5081</v>
      </c>
      <c r="AV968" t="s">
        <v>5062</v>
      </c>
      <c r="AW968" t="s">
        <v>5086</v>
      </c>
    </row>
    <row r="969" spans="1:49" hidden="1" x14ac:dyDescent="0.35">
      <c r="A969" t="s">
        <v>2796</v>
      </c>
      <c r="B969" t="s">
        <v>872</v>
      </c>
      <c r="C969" t="s">
        <v>4818</v>
      </c>
      <c r="D969" t="s">
        <v>18</v>
      </c>
      <c r="E969" t="s">
        <v>4061</v>
      </c>
      <c r="F969" t="s">
        <v>4062</v>
      </c>
      <c r="G969" t="s">
        <v>21</v>
      </c>
      <c r="H969" t="s">
        <v>4888</v>
      </c>
      <c r="I969" t="s">
        <v>5003</v>
      </c>
      <c r="J969" s="4" t="s">
        <v>5004</v>
      </c>
      <c r="K969" s="4" t="s">
        <v>5016</v>
      </c>
      <c r="L969" s="4" t="s">
        <v>4920</v>
      </c>
      <c r="M969" s="4" t="s">
        <v>5035</v>
      </c>
      <c r="N969" t="s">
        <v>4063</v>
      </c>
      <c r="O969" t="s">
        <v>4064</v>
      </c>
      <c r="P969" t="s">
        <v>23</v>
      </c>
      <c r="Q969" t="s">
        <v>24</v>
      </c>
      <c r="R969" t="s">
        <v>25</v>
      </c>
      <c r="S969" t="s">
        <v>26</v>
      </c>
      <c r="T969" s="6">
        <v>46307</v>
      </c>
      <c r="U969">
        <v>24</v>
      </c>
      <c r="V969">
        <v>24</v>
      </c>
      <c r="W969">
        <v>24</v>
      </c>
      <c r="X969">
        <v>24</v>
      </c>
      <c r="Y969">
        <f t="shared" si="166"/>
        <v>0</v>
      </c>
      <c r="Z969">
        <f t="shared" si="167"/>
        <v>0</v>
      </c>
      <c r="AC969" s="1">
        <v>0</v>
      </c>
      <c r="AF969">
        <f>V969</f>
        <v>24</v>
      </c>
      <c r="AG969" s="41">
        <v>12</v>
      </c>
      <c r="AH969">
        <f t="shared" si="168"/>
        <v>24</v>
      </c>
      <c r="AI969">
        <f t="shared" si="169"/>
        <v>0</v>
      </c>
      <c r="AK969">
        <f t="shared" si="170"/>
        <v>2</v>
      </c>
      <c r="AL969">
        <v>13.33</v>
      </c>
      <c r="AM969" t="s">
        <v>27</v>
      </c>
      <c r="AN969">
        <v>13.33</v>
      </c>
      <c r="AO969" t="b">
        <f t="shared" si="171"/>
        <v>1</v>
      </c>
      <c r="AR969" t="s">
        <v>5061</v>
      </c>
      <c r="AS969" s="21">
        <v>46276</v>
      </c>
      <c r="AT969" t="s">
        <v>5062</v>
      </c>
      <c r="AU969" t="s">
        <v>5078</v>
      </c>
      <c r="AV969" t="s">
        <v>5062</v>
      </c>
      <c r="AW969" t="s">
        <v>5086</v>
      </c>
    </row>
    <row r="970" spans="1:49" hidden="1" x14ac:dyDescent="0.35">
      <c r="A970" t="s">
        <v>2796</v>
      </c>
      <c r="B970" t="s">
        <v>872</v>
      </c>
      <c r="C970" t="s">
        <v>4818</v>
      </c>
      <c r="D970" t="s">
        <v>18</v>
      </c>
      <c r="E970" t="s">
        <v>4065</v>
      </c>
      <c r="F970" t="s">
        <v>4066</v>
      </c>
      <c r="G970" t="s">
        <v>21</v>
      </c>
      <c r="H970" t="s">
        <v>4888</v>
      </c>
      <c r="I970" t="s">
        <v>5008</v>
      </c>
      <c r="J970" s="4" t="s">
        <v>5009</v>
      </c>
      <c r="K970" s="4" t="s">
        <v>5017</v>
      </c>
      <c r="L970" s="4">
        <v>30</v>
      </c>
      <c r="M970" s="4" t="s">
        <v>5035</v>
      </c>
      <c r="N970" t="s">
        <v>4067</v>
      </c>
      <c r="O970" t="s">
        <v>4068</v>
      </c>
      <c r="P970" t="s">
        <v>23</v>
      </c>
      <c r="Q970" t="s">
        <v>24</v>
      </c>
      <c r="R970" t="s">
        <v>25</v>
      </c>
      <c r="S970" t="s">
        <v>26</v>
      </c>
      <c r="T970" s="6">
        <v>46307</v>
      </c>
      <c r="U970">
        <v>24</v>
      </c>
      <c r="V970">
        <v>24</v>
      </c>
      <c r="W970">
        <v>24</v>
      </c>
      <c r="X970">
        <v>24</v>
      </c>
      <c r="Y970">
        <f t="shared" si="166"/>
        <v>0</v>
      </c>
      <c r="Z970">
        <f t="shared" si="167"/>
        <v>0</v>
      </c>
      <c r="AC970" s="1">
        <v>0</v>
      </c>
      <c r="AF970">
        <f>V970</f>
        <v>24</v>
      </c>
      <c r="AG970" s="41">
        <v>24</v>
      </c>
      <c r="AH970">
        <f t="shared" si="168"/>
        <v>24</v>
      </c>
      <c r="AI970">
        <f t="shared" si="169"/>
        <v>0</v>
      </c>
      <c r="AK970">
        <f t="shared" si="170"/>
        <v>1</v>
      </c>
      <c r="AL970">
        <v>10.01</v>
      </c>
      <c r="AM970" t="s">
        <v>27</v>
      </c>
      <c r="AN970">
        <v>10.01</v>
      </c>
      <c r="AO970" t="b">
        <f t="shared" si="171"/>
        <v>1</v>
      </c>
      <c r="AR970" t="s">
        <v>5061</v>
      </c>
      <c r="AS970" s="21">
        <v>46276</v>
      </c>
      <c r="AT970" t="s">
        <v>5062</v>
      </c>
      <c r="AU970" t="s">
        <v>5080</v>
      </c>
      <c r="AV970" t="s">
        <v>5062</v>
      </c>
      <c r="AW970" t="s">
        <v>5086</v>
      </c>
    </row>
    <row r="971" spans="1:49" hidden="1" x14ac:dyDescent="0.35">
      <c r="A971" t="s">
        <v>2796</v>
      </c>
      <c r="B971" t="s">
        <v>872</v>
      </c>
      <c r="C971" t="s">
        <v>4818</v>
      </c>
      <c r="D971" t="s">
        <v>18</v>
      </c>
      <c r="E971" t="s">
        <v>4069</v>
      </c>
      <c r="F971" t="s">
        <v>4070</v>
      </c>
      <c r="G971" t="s">
        <v>21</v>
      </c>
      <c r="H971" t="s">
        <v>4888</v>
      </c>
      <c r="I971" t="s">
        <v>5003</v>
      </c>
      <c r="J971" s="4" t="s">
        <v>5004</v>
      </c>
      <c r="K971" s="4" t="s">
        <v>4904</v>
      </c>
      <c r="L971" s="4" t="s">
        <v>4895</v>
      </c>
      <c r="M971" s="4" t="s">
        <v>5035</v>
      </c>
      <c r="N971" t="s">
        <v>4071</v>
      </c>
      <c r="O971" t="s">
        <v>4072</v>
      </c>
      <c r="P971" t="s">
        <v>23</v>
      </c>
      <c r="Q971" t="s">
        <v>24</v>
      </c>
      <c r="R971" t="s">
        <v>25</v>
      </c>
      <c r="S971" t="s">
        <v>26</v>
      </c>
      <c r="T971" s="6">
        <v>46307</v>
      </c>
      <c r="U971">
        <v>36</v>
      </c>
      <c r="V971">
        <v>36</v>
      </c>
      <c r="W971">
        <v>36</v>
      </c>
      <c r="X971">
        <v>36</v>
      </c>
      <c r="Y971">
        <f t="shared" si="166"/>
        <v>0</v>
      </c>
      <c r="Z971">
        <f t="shared" si="167"/>
        <v>0</v>
      </c>
      <c r="AC971" s="1">
        <v>0</v>
      </c>
      <c r="AF971">
        <f>V971</f>
        <v>36</v>
      </c>
      <c r="AG971" s="41">
        <v>12</v>
      </c>
      <c r="AH971">
        <f t="shared" si="168"/>
        <v>36</v>
      </c>
      <c r="AI971">
        <f t="shared" si="169"/>
        <v>0</v>
      </c>
      <c r="AK971">
        <f t="shared" si="170"/>
        <v>3</v>
      </c>
      <c r="AL971">
        <v>12.89</v>
      </c>
      <c r="AM971" t="s">
        <v>27</v>
      </c>
      <c r="AN971">
        <v>12.89</v>
      </c>
      <c r="AO971" t="b">
        <f t="shared" si="171"/>
        <v>1</v>
      </c>
      <c r="AR971" t="s">
        <v>5061</v>
      </c>
      <c r="AS971" s="21">
        <v>46276</v>
      </c>
      <c r="AT971" t="s">
        <v>5062</v>
      </c>
      <c r="AU971" t="s">
        <v>5078</v>
      </c>
      <c r="AV971" t="s">
        <v>5062</v>
      </c>
      <c r="AW971" t="s">
        <v>5086</v>
      </c>
    </row>
    <row r="972" spans="1:49" hidden="1" x14ac:dyDescent="0.35">
      <c r="A972" t="s">
        <v>2796</v>
      </c>
      <c r="B972" t="s">
        <v>872</v>
      </c>
      <c r="C972" t="s">
        <v>4818</v>
      </c>
      <c r="D972" t="s">
        <v>18</v>
      </c>
      <c r="E972" t="s">
        <v>4073</v>
      </c>
      <c r="F972" t="s">
        <v>4074</v>
      </c>
      <c r="G972" t="s">
        <v>21</v>
      </c>
      <c r="H972" t="s">
        <v>4888</v>
      </c>
      <c r="I972" t="s">
        <v>5003</v>
      </c>
      <c r="J972" s="4" t="s">
        <v>5004</v>
      </c>
      <c r="K972" s="4" t="s">
        <v>5015</v>
      </c>
      <c r="L972" s="4" t="s">
        <v>4933</v>
      </c>
      <c r="M972" s="4" t="s">
        <v>5035</v>
      </c>
      <c r="N972" t="s">
        <v>4075</v>
      </c>
      <c r="O972" t="s">
        <v>4076</v>
      </c>
      <c r="P972" t="s">
        <v>23</v>
      </c>
      <c r="Q972" t="s">
        <v>24</v>
      </c>
      <c r="R972" t="s">
        <v>25</v>
      </c>
      <c r="S972" t="s">
        <v>26</v>
      </c>
      <c r="T972" s="6">
        <v>46307</v>
      </c>
      <c r="U972">
        <v>48</v>
      </c>
      <c r="V972">
        <v>48</v>
      </c>
      <c r="W972">
        <v>36</v>
      </c>
      <c r="X972">
        <v>36</v>
      </c>
      <c r="Y972">
        <f t="shared" si="166"/>
        <v>0</v>
      </c>
      <c r="Z972">
        <f t="shared" si="167"/>
        <v>12</v>
      </c>
      <c r="AA972">
        <f>Z972</f>
        <v>12</v>
      </c>
      <c r="AC972" s="1">
        <v>0</v>
      </c>
      <c r="AF972">
        <f>X972</f>
        <v>36</v>
      </c>
      <c r="AG972" s="41">
        <v>12</v>
      </c>
      <c r="AH972">
        <f t="shared" si="168"/>
        <v>36</v>
      </c>
      <c r="AI972">
        <f t="shared" si="169"/>
        <v>12</v>
      </c>
      <c r="AK972">
        <f t="shared" si="170"/>
        <v>3</v>
      </c>
      <c r="AL972">
        <v>13.01</v>
      </c>
      <c r="AM972" t="s">
        <v>27</v>
      </c>
      <c r="AN972">
        <v>13.01</v>
      </c>
      <c r="AO972" t="b">
        <f t="shared" si="171"/>
        <v>1</v>
      </c>
      <c r="AR972" t="s">
        <v>5061</v>
      </c>
      <c r="AS972" s="21">
        <v>46276</v>
      </c>
      <c r="AT972" t="s">
        <v>5062</v>
      </c>
      <c r="AU972" t="s">
        <v>5078</v>
      </c>
      <c r="AV972" t="s">
        <v>5062</v>
      </c>
      <c r="AW972" t="s">
        <v>5086</v>
      </c>
    </row>
    <row r="973" spans="1:49" hidden="1" x14ac:dyDescent="0.35">
      <c r="A973" t="s">
        <v>2796</v>
      </c>
      <c r="B973" t="s">
        <v>872</v>
      </c>
      <c r="C973" t="s">
        <v>4818</v>
      </c>
      <c r="D973" t="s">
        <v>18</v>
      </c>
      <c r="E973" t="s">
        <v>4077</v>
      </c>
      <c r="F973" t="s">
        <v>4078</v>
      </c>
      <c r="G973" t="s">
        <v>21</v>
      </c>
      <c r="H973" t="s">
        <v>4888</v>
      </c>
      <c r="I973" t="s">
        <v>5005</v>
      </c>
      <c r="J973" s="4" t="s">
        <v>5006</v>
      </c>
      <c r="K973" s="4" t="s">
        <v>5007</v>
      </c>
      <c r="L973" s="4">
        <v>31</v>
      </c>
      <c r="M973" s="4" t="s">
        <v>5035</v>
      </c>
      <c r="N973" t="s">
        <v>4079</v>
      </c>
      <c r="O973" t="s">
        <v>4080</v>
      </c>
      <c r="P973" t="s">
        <v>23</v>
      </c>
      <c r="Q973" t="s">
        <v>24</v>
      </c>
      <c r="R973" t="s">
        <v>25</v>
      </c>
      <c r="S973" t="s">
        <v>26</v>
      </c>
      <c r="T973" s="6">
        <v>46307</v>
      </c>
      <c r="U973">
        <v>216</v>
      </c>
      <c r="V973">
        <v>216</v>
      </c>
      <c r="W973">
        <v>216</v>
      </c>
      <c r="X973">
        <v>216</v>
      </c>
      <c r="Y973">
        <f t="shared" si="166"/>
        <v>0</v>
      </c>
      <c r="Z973">
        <f t="shared" si="167"/>
        <v>0</v>
      </c>
      <c r="AC973" s="1">
        <v>0</v>
      </c>
      <c r="AF973">
        <f t="shared" ref="AF973:AF978" si="172">V973</f>
        <v>216</v>
      </c>
      <c r="AG973" s="41">
        <v>24</v>
      </c>
      <c r="AH973">
        <f t="shared" si="168"/>
        <v>216</v>
      </c>
      <c r="AI973">
        <f t="shared" si="169"/>
        <v>0</v>
      </c>
      <c r="AK973">
        <f t="shared" si="170"/>
        <v>9</v>
      </c>
      <c r="AL973">
        <v>10.45</v>
      </c>
      <c r="AM973" t="s">
        <v>27</v>
      </c>
      <c r="AN973">
        <v>10.45</v>
      </c>
      <c r="AO973" t="b">
        <f t="shared" si="171"/>
        <v>1</v>
      </c>
      <c r="AR973" t="s">
        <v>5061</v>
      </c>
      <c r="AS973" s="21">
        <v>46276</v>
      </c>
      <c r="AT973" t="s">
        <v>5062</v>
      </c>
      <c r="AU973" t="s">
        <v>5079</v>
      </c>
      <c r="AV973" t="s">
        <v>5062</v>
      </c>
      <c r="AW973" t="s">
        <v>5086</v>
      </c>
    </row>
    <row r="974" spans="1:49" hidden="1" x14ac:dyDescent="0.35">
      <c r="A974" t="s">
        <v>2796</v>
      </c>
      <c r="B974" t="s">
        <v>872</v>
      </c>
      <c r="C974" t="s">
        <v>4818</v>
      </c>
      <c r="D974" t="s">
        <v>18</v>
      </c>
      <c r="E974" t="s">
        <v>4081</v>
      </c>
      <c r="F974" t="s">
        <v>4082</v>
      </c>
      <c r="G974" t="s">
        <v>21</v>
      </c>
      <c r="H974" t="s">
        <v>4888</v>
      </c>
      <c r="I974" t="s">
        <v>5022</v>
      </c>
      <c r="J974" s="4" t="s">
        <v>5023</v>
      </c>
      <c r="K974" s="4" t="s">
        <v>5024</v>
      </c>
      <c r="L974" s="4">
        <v>8</v>
      </c>
      <c r="M974" s="4" t="s">
        <v>5035</v>
      </c>
      <c r="N974" t="s">
        <v>4083</v>
      </c>
      <c r="O974" t="s">
        <v>4084</v>
      </c>
      <c r="P974" t="s">
        <v>23</v>
      </c>
      <c r="Q974" t="s">
        <v>24</v>
      </c>
      <c r="R974" t="s">
        <v>25</v>
      </c>
      <c r="S974" t="s">
        <v>26</v>
      </c>
      <c r="T974" s="6">
        <v>46307</v>
      </c>
      <c r="U974">
        <v>360</v>
      </c>
      <c r="V974">
        <v>360</v>
      </c>
      <c r="W974">
        <v>384</v>
      </c>
      <c r="X974">
        <v>384</v>
      </c>
      <c r="Y974">
        <f t="shared" si="166"/>
        <v>0</v>
      </c>
      <c r="Z974">
        <f t="shared" si="167"/>
        <v>-24</v>
      </c>
      <c r="AC974" s="1"/>
      <c r="AF974">
        <f t="shared" si="172"/>
        <v>360</v>
      </c>
      <c r="AG974" s="41">
        <v>24</v>
      </c>
      <c r="AH974">
        <f t="shared" si="168"/>
        <v>360</v>
      </c>
      <c r="AI974">
        <f t="shared" si="169"/>
        <v>0</v>
      </c>
      <c r="AK974">
        <f t="shared" si="170"/>
        <v>15</v>
      </c>
      <c r="AL974">
        <v>6.99</v>
      </c>
      <c r="AM974" t="s">
        <v>27</v>
      </c>
      <c r="AN974">
        <v>8.68</v>
      </c>
      <c r="AO974" t="b">
        <f t="shared" si="171"/>
        <v>0</v>
      </c>
      <c r="AR974" t="s">
        <v>5061</v>
      </c>
      <c r="AS974" s="21">
        <v>46276</v>
      </c>
      <c r="AT974" t="s">
        <v>5062</v>
      </c>
      <c r="AU974" t="s">
        <v>5083</v>
      </c>
      <c r="AV974" t="s">
        <v>5062</v>
      </c>
      <c r="AW974" t="s">
        <v>5086</v>
      </c>
    </row>
    <row r="975" spans="1:49" hidden="1" x14ac:dyDescent="0.35">
      <c r="A975" t="s">
        <v>2796</v>
      </c>
      <c r="B975" t="s">
        <v>872</v>
      </c>
      <c r="C975" t="s">
        <v>4818</v>
      </c>
      <c r="D975" t="s">
        <v>18</v>
      </c>
      <c r="E975" t="s">
        <v>4085</v>
      </c>
      <c r="F975" t="s">
        <v>4086</v>
      </c>
      <c r="G975" t="s">
        <v>21</v>
      </c>
      <c r="H975" t="s">
        <v>4888</v>
      </c>
      <c r="I975" t="s">
        <v>5008</v>
      </c>
      <c r="J975" s="4" t="s">
        <v>5009</v>
      </c>
      <c r="K975" s="4" t="s">
        <v>5021</v>
      </c>
      <c r="L975" s="4">
        <v>32</v>
      </c>
      <c r="M975" s="4" t="s">
        <v>5035</v>
      </c>
      <c r="N975" t="s">
        <v>4087</v>
      </c>
      <c r="O975" t="s">
        <v>4088</v>
      </c>
      <c r="P975" t="s">
        <v>23</v>
      </c>
      <c r="Q975" t="s">
        <v>24</v>
      </c>
      <c r="R975" t="s">
        <v>25</v>
      </c>
      <c r="S975" t="s">
        <v>26</v>
      </c>
      <c r="T975" s="6">
        <v>46307</v>
      </c>
      <c r="U975">
        <v>624</v>
      </c>
      <c r="V975">
        <v>624</v>
      </c>
      <c r="W975">
        <v>672</v>
      </c>
      <c r="X975">
        <v>672</v>
      </c>
      <c r="Y975">
        <f t="shared" si="166"/>
        <v>0</v>
      </c>
      <c r="Z975">
        <f t="shared" si="167"/>
        <v>-48</v>
      </c>
      <c r="AC975" s="1"/>
      <c r="AF975">
        <f t="shared" si="172"/>
        <v>624</v>
      </c>
      <c r="AG975" s="41">
        <v>24</v>
      </c>
      <c r="AH975">
        <f t="shared" si="168"/>
        <v>624</v>
      </c>
      <c r="AI975">
        <f t="shared" si="169"/>
        <v>0</v>
      </c>
      <c r="AK975">
        <f t="shared" si="170"/>
        <v>26</v>
      </c>
      <c r="AL975">
        <v>10.11</v>
      </c>
      <c r="AM975" t="s">
        <v>27</v>
      </c>
      <c r="AN975">
        <v>10.11</v>
      </c>
      <c r="AO975" t="b">
        <f t="shared" si="171"/>
        <v>1</v>
      </c>
      <c r="AR975" t="s">
        <v>5061</v>
      </c>
      <c r="AS975" s="21">
        <v>46276</v>
      </c>
      <c r="AT975" t="s">
        <v>5062</v>
      </c>
      <c r="AU975" t="s">
        <v>5080</v>
      </c>
      <c r="AV975" t="s">
        <v>5062</v>
      </c>
      <c r="AW975" t="s">
        <v>5086</v>
      </c>
    </row>
    <row r="976" spans="1:49" hidden="1" x14ac:dyDescent="0.35">
      <c r="A976" t="s">
        <v>2796</v>
      </c>
      <c r="B976" t="s">
        <v>872</v>
      </c>
      <c r="C976" t="s">
        <v>4818</v>
      </c>
      <c r="D976" t="s">
        <v>18</v>
      </c>
      <c r="E976" t="s">
        <v>4089</v>
      </c>
      <c r="F976" t="s">
        <v>4090</v>
      </c>
      <c r="G976" t="s">
        <v>21</v>
      </c>
      <c r="H976" t="s">
        <v>4888</v>
      </c>
      <c r="I976" t="s">
        <v>5003</v>
      </c>
      <c r="J976" s="4" t="s">
        <v>5004</v>
      </c>
      <c r="K976" s="4" t="s">
        <v>5016</v>
      </c>
      <c r="L976" s="4" t="s">
        <v>4922</v>
      </c>
      <c r="M976" s="4" t="s">
        <v>5035</v>
      </c>
      <c r="N976" t="s">
        <v>4091</v>
      </c>
      <c r="O976" t="s">
        <v>4092</v>
      </c>
      <c r="P976" t="s">
        <v>23</v>
      </c>
      <c r="Q976" t="s">
        <v>24</v>
      </c>
      <c r="R976" t="s">
        <v>25</v>
      </c>
      <c r="S976" t="s">
        <v>26</v>
      </c>
      <c r="T976" s="6">
        <v>46307</v>
      </c>
      <c r="U976">
        <v>48</v>
      </c>
      <c r="V976">
        <v>48</v>
      </c>
      <c r="W976">
        <v>48</v>
      </c>
      <c r="X976">
        <v>48</v>
      </c>
      <c r="Y976">
        <f t="shared" si="166"/>
        <v>0</v>
      </c>
      <c r="Z976">
        <f t="shared" si="167"/>
        <v>0</v>
      </c>
      <c r="AC976" s="1">
        <v>0</v>
      </c>
      <c r="AF976">
        <f t="shared" si="172"/>
        <v>48</v>
      </c>
      <c r="AG976" s="41">
        <v>12</v>
      </c>
      <c r="AH976">
        <f t="shared" si="168"/>
        <v>48</v>
      </c>
      <c r="AI976">
        <f t="shared" si="169"/>
        <v>0</v>
      </c>
      <c r="AK976">
        <f t="shared" si="170"/>
        <v>4</v>
      </c>
      <c r="AL976">
        <v>13.33</v>
      </c>
      <c r="AM976" t="s">
        <v>27</v>
      </c>
      <c r="AN976">
        <v>13.33</v>
      </c>
      <c r="AO976" t="b">
        <f t="shared" si="171"/>
        <v>1</v>
      </c>
      <c r="AR976" t="s">
        <v>5061</v>
      </c>
      <c r="AS976" s="21">
        <v>46276</v>
      </c>
      <c r="AT976" t="s">
        <v>5062</v>
      </c>
      <c r="AU976" t="s">
        <v>5078</v>
      </c>
      <c r="AV976" t="s">
        <v>5062</v>
      </c>
      <c r="AW976" t="s">
        <v>5086</v>
      </c>
    </row>
    <row r="977" spans="1:49" hidden="1" x14ac:dyDescent="0.35">
      <c r="A977" t="s">
        <v>2796</v>
      </c>
      <c r="B977" t="s">
        <v>872</v>
      </c>
      <c r="C977" t="s">
        <v>4818</v>
      </c>
      <c r="D977" t="s">
        <v>18</v>
      </c>
      <c r="E977" t="s">
        <v>4093</v>
      </c>
      <c r="F977" t="s">
        <v>4094</v>
      </c>
      <c r="G977" t="s">
        <v>21</v>
      </c>
      <c r="H977" t="s">
        <v>4888</v>
      </c>
      <c r="I977" t="s">
        <v>5003</v>
      </c>
      <c r="J977" s="4" t="s">
        <v>5004</v>
      </c>
      <c r="K977" s="4" t="s">
        <v>5016</v>
      </c>
      <c r="L977" s="4" t="s">
        <v>4855</v>
      </c>
      <c r="M977" s="4" t="s">
        <v>5035</v>
      </c>
      <c r="N977" t="s">
        <v>4095</v>
      </c>
      <c r="O977" t="s">
        <v>4096</v>
      </c>
      <c r="P977" t="s">
        <v>23</v>
      </c>
      <c r="Q977" t="s">
        <v>24</v>
      </c>
      <c r="R977" t="s">
        <v>25</v>
      </c>
      <c r="S977" t="s">
        <v>26</v>
      </c>
      <c r="T977" s="6">
        <v>46307</v>
      </c>
      <c r="U977">
        <v>60</v>
      </c>
      <c r="V977">
        <v>60</v>
      </c>
      <c r="W977">
        <v>60</v>
      </c>
      <c r="X977">
        <v>60</v>
      </c>
      <c r="Y977">
        <f t="shared" si="166"/>
        <v>0</v>
      </c>
      <c r="Z977">
        <f t="shared" si="167"/>
        <v>0</v>
      </c>
      <c r="AC977" s="1">
        <v>0</v>
      </c>
      <c r="AF977">
        <f t="shared" si="172"/>
        <v>60</v>
      </c>
      <c r="AG977" s="41">
        <v>12</v>
      </c>
      <c r="AH977">
        <f t="shared" si="168"/>
        <v>60</v>
      </c>
      <c r="AI977">
        <f t="shared" si="169"/>
        <v>0</v>
      </c>
      <c r="AK977">
        <f t="shared" si="170"/>
        <v>5</v>
      </c>
      <c r="AL977">
        <v>13.33</v>
      </c>
      <c r="AM977" t="s">
        <v>27</v>
      </c>
      <c r="AN977">
        <v>13.33</v>
      </c>
      <c r="AO977" t="b">
        <f t="shared" si="171"/>
        <v>1</v>
      </c>
      <c r="AR977" t="s">
        <v>5061</v>
      </c>
      <c r="AS977" s="21">
        <v>46276</v>
      </c>
      <c r="AT977" t="s">
        <v>5062</v>
      </c>
      <c r="AU977" t="s">
        <v>5078</v>
      </c>
      <c r="AV977" t="s">
        <v>5062</v>
      </c>
      <c r="AW977" t="s">
        <v>5086</v>
      </c>
    </row>
    <row r="978" spans="1:49" hidden="1" x14ac:dyDescent="0.35">
      <c r="A978" t="s">
        <v>2796</v>
      </c>
      <c r="B978" t="s">
        <v>872</v>
      </c>
      <c r="C978" t="s">
        <v>4818</v>
      </c>
      <c r="D978" t="s">
        <v>18</v>
      </c>
      <c r="E978" t="s">
        <v>4097</v>
      </c>
      <c r="F978" t="s">
        <v>4098</v>
      </c>
      <c r="G978" t="s">
        <v>21</v>
      </c>
      <c r="H978" t="s">
        <v>4888</v>
      </c>
      <c r="I978" t="s">
        <v>5003</v>
      </c>
      <c r="J978" s="4" t="s">
        <v>5004</v>
      </c>
      <c r="K978" s="4" t="s">
        <v>5016</v>
      </c>
      <c r="L978" s="4" t="s">
        <v>4900</v>
      </c>
      <c r="M978" s="4" t="s">
        <v>5035</v>
      </c>
      <c r="N978" t="s">
        <v>4099</v>
      </c>
      <c r="O978" t="s">
        <v>4100</v>
      </c>
      <c r="P978" t="s">
        <v>23</v>
      </c>
      <c r="Q978" t="s">
        <v>24</v>
      </c>
      <c r="R978" t="s">
        <v>25</v>
      </c>
      <c r="S978" t="s">
        <v>26</v>
      </c>
      <c r="T978" s="6">
        <v>46307</v>
      </c>
      <c r="U978">
        <v>72</v>
      </c>
      <c r="V978">
        <v>72</v>
      </c>
      <c r="W978">
        <v>84</v>
      </c>
      <c r="X978">
        <v>84</v>
      </c>
      <c r="Y978">
        <f t="shared" si="166"/>
        <v>0</v>
      </c>
      <c r="Z978">
        <f t="shared" si="167"/>
        <v>-12</v>
      </c>
      <c r="AC978" s="1">
        <v>0</v>
      </c>
      <c r="AF978">
        <f t="shared" si="172"/>
        <v>72</v>
      </c>
      <c r="AG978" s="41">
        <v>12</v>
      </c>
      <c r="AH978">
        <f t="shared" si="168"/>
        <v>72</v>
      </c>
      <c r="AI978">
        <f t="shared" si="169"/>
        <v>0</v>
      </c>
      <c r="AK978">
        <f t="shared" si="170"/>
        <v>6</v>
      </c>
      <c r="AL978">
        <v>13.33</v>
      </c>
      <c r="AM978" t="s">
        <v>27</v>
      </c>
      <c r="AN978">
        <v>13.33</v>
      </c>
      <c r="AO978" t="b">
        <f t="shared" si="171"/>
        <v>1</v>
      </c>
      <c r="AR978" t="s">
        <v>5061</v>
      </c>
      <c r="AS978" s="21">
        <v>46276</v>
      </c>
      <c r="AT978" t="s">
        <v>5062</v>
      </c>
      <c r="AU978" t="s">
        <v>5078</v>
      </c>
      <c r="AV978" t="s">
        <v>5062</v>
      </c>
      <c r="AW978" t="s">
        <v>5086</v>
      </c>
    </row>
    <row r="979" spans="1:49" hidden="1" x14ac:dyDescent="0.35">
      <c r="A979" t="s">
        <v>2796</v>
      </c>
      <c r="B979" t="s">
        <v>872</v>
      </c>
      <c r="C979" t="s">
        <v>4818</v>
      </c>
      <c r="D979" t="s">
        <v>18</v>
      </c>
      <c r="E979" t="s">
        <v>4101</v>
      </c>
      <c r="F979" t="s">
        <v>4102</v>
      </c>
      <c r="G979" t="s">
        <v>21</v>
      </c>
      <c r="H979" t="s">
        <v>4888</v>
      </c>
      <c r="I979" t="s">
        <v>5005</v>
      </c>
      <c r="J979" s="4" t="s">
        <v>5006</v>
      </c>
      <c r="K979" s="4" t="s">
        <v>4899</v>
      </c>
      <c r="L979" s="4">
        <v>40</v>
      </c>
      <c r="M979" s="4" t="s">
        <v>5035</v>
      </c>
      <c r="N979" t="s">
        <v>4103</v>
      </c>
      <c r="O979" t="s">
        <v>4104</v>
      </c>
      <c r="P979" t="s">
        <v>23</v>
      </c>
      <c r="Q979" t="s">
        <v>24</v>
      </c>
      <c r="R979" t="s">
        <v>25</v>
      </c>
      <c r="S979" t="s">
        <v>26</v>
      </c>
      <c r="T979" s="6">
        <v>46307</v>
      </c>
      <c r="U979">
        <v>528</v>
      </c>
      <c r="V979">
        <v>528</v>
      </c>
      <c r="W979">
        <v>504</v>
      </c>
      <c r="X979">
        <v>504</v>
      </c>
      <c r="Y979">
        <f t="shared" si="166"/>
        <v>0</v>
      </c>
      <c r="Z979">
        <f t="shared" si="167"/>
        <v>24</v>
      </c>
      <c r="AA979">
        <f>Z979</f>
        <v>24</v>
      </c>
      <c r="AC979" s="1">
        <v>0</v>
      </c>
      <c r="AF979">
        <f>X979</f>
        <v>504</v>
      </c>
      <c r="AG979" s="41">
        <v>24</v>
      </c>
      <c r="AH979">
        <f t="shared" si="168"/>
        <v>504</v>
      </c>
      <c r="AI979">
        <f t="shared" si="169"/>
        <v>24</v>
      </c>
      <c r="AK979">
        <f t="shared" si="170"/>
        <v>21</v>
      </c>
      <c r="AL979">
        <v>10.14</v>
      </c>
      <c r="AM979" t="s">
        <v>27</v>
      </c>
      <c r="AN979">
        <v>10.14</v>
      </c>
      <c r="AO979" t="b">
        <f t="shared" si="171"/>
        <v>1</v>
      </c>
      <c r="AR979" t="s">
        <v>5061</v>
      </c>
      <c r="AS979" s="21">
        <v>46276</v>
      </c>
      <c r="AT979" t="s">
        <v>5062</v>
      </c>
      <c r="AU979" t="s">
        <v>5079</v>
      </c>
      <c r="AV979" t="s">
        <v>5062</v>
      </c>
      <c r="AW979" t="s">
        <v>5086</v>
      </c>
    </row>
    <row r="980" spans="1:49" x14ac:dyDescent="0.35">
      <c r="A980" t="s">
        <v>5101</v>
      </c>
      <c r="B980" t="s">
        <v>17</v>
      </c>
      <c r="C980" t="s">
        <v>4818</v>
      </c>
      <c r="D980" t="s">
        <v>18</v>
      </c>
      <c r="E980" t="s">
        <v>19</v>
      </c>
      <c r="F980" t="s">
        <v>20</v>
      </c>
      <c r="G980" t="s">
        <v>21</v>
      </c>
      <c r="H980" t="s">
        <v>4826</v>
      </c>
      <c r="I980" t="s">
        <v>4827</v>
      </c>
      <c r="J980" t="s">
        <v>4828</v>
      </c>
      <c r="K980" t="s">
        <v>4829</v>
      </c>
      <c r="L980">
        <v>32</v>
      </c>
      <c r="M980" t="s">
        <v>5035</v>
      </c>
      <c r="N980" t="s">
        <v>15</v>
      </c>
      <c r="O980" t="s">
        <v>22</v>
      </c>
      <c r="P980" t="s">
        <v>23</v>
      </c>
      <c r="Q980" t="s">
        <v>24</v>
      </c>
      <c r="R980" t="s">
        <v>5216</v>
      </c>
      <c r="S980" t="s">
        <v>5217</v>
      </c>
      <c r="T980" s="6">
        <v>46307</v>
      </c>
      <c r="U980">
        <v>12</v>
      </c>
      <c r="V980">
        <v>12</v>
      </c>
      <c r="W980">
        <v>360</v>
      </c>
      <c r="X980">
        <v>360</v>
      </c>
      <c r="Y980">
        <f t="shared" si="166"/>
        <v>0</v>
      </c>
      <c r="AC980">
        <v>12</v>
      </c>
      <c r="AF980">
        <v>12</v>
      </c>
      <c r="AG980" s="41">
        <v>12</v>
      </c>
      <c r="AH980">
        <f>ROUNDUP(AF980/AG980,0)*AG980</f>
        <v>12</v>
      </c>
      <c r="AI980">
        <f t="shared" ref="AI980:AI1043" si="173">V980-AH980</f>
        <v>0</v>
      </c>
      <c r="AK980">
        <f t="shared" si="170"/>
        <v>1</v>
      </c>
      <c r="AL980">
        <v>8.2100000000000009</v>
      </c>
      <c r="AM980" t="s">
        <v>27</v>
      </c>
      <c r="AN980">
        <v>8.2100000000000009</v>
      </c>
      <c r="AO980" t="b">
        <f t="shared" si="171"/>
        <v>1</v>
      </c>
      <c r="AR980" t="s">
        <v>5061</v>
      </c>
      <c r="AS980" s="21">
        <v>46285</v>
      </c>
      <c r="AT980" t="s">
        <v>5062</v>
      </c>
      <c r="AU980" t="s">
        <v>5063</v>
      </c>
      <c r="AV980" t="s">
        <v>5087</v>
      </c>
      <c r="AW980" t="s">
        <v>5316</v>
      </c>
    </row>
    <row r="981" spans="1:49" x14ac:dyDescent="0.35">
      <c r="A981" t="s">
        <v>5101</v>
      </c>
      <c r="B981" t="s">
        <v>17</v>
      </c>
      <c r="C981" t="s">
        <v>4818</v>
      </c>
      <c r="D981" t="s">
        <v>18</v>
      </c>
      <c r="E981" t="s">
        <v>34</v>
      </c>
      <c r="F981" t="s">
        <v>35</v>
      </c>
      <c r="G981" t="s">
        <v>21</v>
      </c>
      <c r="H981" t="s">
        <v>4826</v>
      </c>
      <c r="I981" t="s">
        <v>4827</v>
      </c>
      <c r="J981" t="s">
        <v>4828</v>
      </c>
      <c r="K981" t="s">
        <v>4830</v>
      </c>
      <c r="L981">
        <v>34</v>
      </c>
      <c r="M981" t="s">
        <v>5035</v>
      </c>
      <c r="N981" t="s">
        <v>15</v>
      </c>
      <c r="O981" t="s">
        <v>36</v>
      </c>
      <c r="P981" t="s">
        <v>23</v>
      </c>
      <c r="Q981" t="s">
        <v>24</v>
      </c>
      <c r="R981" t="s">
        <v>5216</v>
      </c>
      <c r="S981" t="s">
        <v>5217</v>
      </c>
      <c r="T981" s="6">
        <v>46307</v>
      </c>
      <c r="U981">
        <v>48</v>
      </c>
      <c r="V981">
        <v>48</v>
      </c>
      <c r="W981">
        <v>900</v>
      </c>
      <c r="X981">
        <v>900</v>
      </c>
      <c r="Y981">
        <f t="shared" si="166"/>
        <v>0</v>
      </c>
      <c r="AC981">
        <v>48</v>
      </c>
      <c r="AF981">
        <v>48</v>
      </c>
      <c r="AG981" s="41">
        <v>12</v>
      </c>
      <c r="AH981">
        <f t="shared" si="168"/>
        <v>48</v>
      </c>
      <c r="AI981">
        <f t="shared" si="173"/>
        <v>0</v>
      </c>
      <c r="AK981">
        <f t="shared" si="170"/>
        <v>4</v>
      </c>
      <c r="AL981">
        <v>8.2100000000000009</v>
      </c>
      <c r="AM981" t="s">
        <v>27</v>
      </c>
      <c r="AN981">
        <v>8.2100000000000009</v>
      </c>
      <c r="AO981" t="b">
        <f t="shared" si="171"/>
        <v>1</v>
      </c>
      <c r="AR981" t="s">
        <v>5061</v>
      </c>
      <c r="AS981" s="21">
        <v>46285</v>
      </c>
      <c r="AT981" t="s">
        <v>5062</v>
      </c>
      <c r="AU981" t="s">
        <v>5063</v>
      </c>
      <c r="AV981" t="s">
        <v>5087</v>
      </c>
      <c r="AW981" t="s">
        <v>5316</v>
      </c>
    </row>
    <row r="982" spans="1:49" x14ac:dyDescent="0.35">
      <c r="A982" t="s">
        <v>5101</v>
      </c>
      <c r="B982" t="s">
        <v>17</v>
      </c>
      <c r="C982" t="s">
        <v>4818</v>
      </c>
      <c r="D982" t="s">
        <v>18</v>
      </c>
      <c r="E982" t="s">
        <v>37</v>
      </c>
      <c r="F982" t="s">
        <v>38</v>
      </c>
      <c r="G982" t="s">
        <v>21</v>
      </c>
      <c r="H982" t="s">
        <v>4826</v>
      </c>
      <c r="I982" t="s">
        <v>4827</v>
      </c>
      <c r="J982" t="s">
        <v>4828</v>
      </c>
      <c r="K982" t="s">
        <v>4830</v>
      </c>
      <c r="L982">
        <v>33</v>
      </c>
      <c r="M982" t="s">
        <v>5035</v>
      </c>
      <c r="N982" t="s">
        <v>15</v>
      </c>
      <c r="O982" t="s">
        <v>39</v>
      </c>
      <c r="P982" t="s">
        <v>23</v>
      </c>
      <c r="Q982" t="s">
        <v>24</v>
      </c>
      <c r="R982" t="s">
        <v>5216</v>
      </c>
      <c r="S982" t="s">
        <v>5217</v>
      </c>
      <c r="T982" s="6">
        <v>46307</v>
      </c>
      <c r="U982">
        <v>12</v>
      </c>
      <c r="V982">
        <v>12</v>
      </c>
      <c r="W982">
        <v>384</v>
      </c>
      <c r="X982">
        <v>384</v>
      </c>
      <c r="Y982">
        <f t="shared" si="166"/>
        <v>0</v>
      </c>
      <c r="AC982">
        <v>12</v>
      </c>
      <c r="AF982">
        <v>12</v>
      </c>
      <c r="AG982" s="41">
        <v>12</v>
      </c>
      <c r="AH982">
        <f t="shared" si="168"/>
        <v>12</v>
      </c>
      <c r="AI982">
        <f t="shared" si="173"/>
        <v>0</v>
      </c>
      <c r="AK982">
        <f t="shared" si="170"/>
        <v>1</v>
      </c>
      <c r="AL982">
        <v>8.2100000000000009</v>
      </c>
      <c r="AM982" t="s">
        <v>27</v>
      </c>
      <c r="AN982">
        <v>8.2100000000000009</v>
      </c>
      <c r="AO982" t="b">
        <f t="shared" si="171"/>
        <v>1</v>
      </c>
      <c r="AR982" t="s">
        <v>5061</v>
      </c>
      <c r="AS982" s="21">
        <v>46285</v>
      </c>
      <c r="AT982" t="s">
        <v>5062</v>
      </c>
      <c r="AU982" t="s">
        <v>5063</v>
      </c>
      <c r="AV982" t="s">
        <v>5087</v>
      </c>
      <c r="AW982" t="s">
        <v>5316</v>
      </c>
    </row>
    <row r="983" spans="1:49" x14ac:dyDescent="0.35">
      <c r="A983" t="s">
        <v>5101</v>
      </c>
      <c r="B983" t="s">
        <v>17</v>
      </c>
      <c r="C983" t="s">
        <v>4818</v>
      </c>
      <c r="D983" t="s">
        <v>18</v>
      </c>
      <c r="E983" t="s">
        <v>40</v>
      </c>
      <c r="F983" t="s">
        <v>41</v>
      </c>
      <c r="G983" t="s">
        <v>21</v>
      </c>
      <c r="H983" t="s">
        <v>4826</v>
      </c>
      <c r="I983" t="s">
        <v>4827</v>
      </c>
      <c r="J983" t="s">
        <v>4828</v>
      </c>
      <c r="K983" t="s">
        <v>4829</v>
      </c>
      <c r="L983">
        <v>30</v>
      </c>
      <c r="M983" t="s">
        <v>5035</v>
      </c>
      <c r="N983" t="s">
        <v>15</v>
      </c>
      <c r="O983" t="s">
        <v>42</v>
      </c>
      <c r="P983" t="s">
        <v>23</v>
      </c>
      <c r="Q983" t="s">
        <v>24</v>
      </c>
      <c r="R983" t="s">
        <v>5216</v>
      </c>
      <c r="S983" t="s">
        <v>5217</v>
      </c>
      <c r="T983" s="6">
        <v>46307</v>
      </c>
      <c r="U983">
        <v>12</v>
      </c>
      <c r="V983">
        <v>12</v>
      </c>
      <c r="W983">
        <v>384</v>
      </c>
      <c r="X983">
        <v>384</v>
      </c>
      <c r="Y983">
        <f t="shared" si="166"/>
        <v>0</v>
      </c>
      <c r="AC983">
        <v>12</v>
      </c>
      <c r="AF983">
        <v>12</v>
      </c>
      <c r="AG983" s="41">
        <v>12</v>
      </c>
      <c r="AH983">
        <f t="shared" si="168"/>
        <v>12</v>
      </c>
      <c r="AI983">
        <f t="shared" si="173"/>
        <v>0</v>
      </c>
      <c r="AK983">
        <f t="shared" si="170"/>
        <v>1</v>
      </c>
      <c r="AL983">
        <v>8.2100000000000009</v>
      </c>
      <c r="AM983" t="s">
        <v>27</v>
      </c>
      <c r="AN983">
        <v>8.2100000000000009</v>
      </c>
      <c r="AO983" t="b">
        <f t="shared" si="171"/>
        <v>1</v>
      </c>
      <c r="AR983" t="s">
        <v>5061</v>
      </c>
      <c r="AS983" s="21">
        <v>46285</v>
      </c>
      <c r="AT983" t="s">
        <v>5062</v>
      </c>
      <c r="AU983" t="s">
        <v>5063</v>
      </c>
      <c r="AV983" t="s">
        <v>5087</v>
      </c>
      <c r="AW983" t="s">
        <v>5316</v>
      </c>
    </row>
    <row r="984" spans="1:49" x14ac:dyDescent="0.35">
      <c r="A984" t="s">
        <v>5101</v>
      </c>
      <c r="B984" t="s">
        <v>17</v>
      </c>
      <c r="C984" t="s">
        <v>4818</v>
      </c>
      <c r="D984" t="s">
        <v>18</v>
      </c>
      <c r="E984" t="s">
        <v>52</v>
      </c>
      <c r="F984" t="s">
        <v>53</v>
      </c>
      <c r="G984" t="s">
        <v>21</v>
      </c>
      <c r="H984" t="s">
        <v>4826</v>
      </c>
      <c r="I984" t="s">
        <v>4827</v>
      </c>
      <c r="J984" t="s">
        <v>4828</v>
      </c>
      <c r="K984" t="s">
        <v>4832</v>
      </c>
      <c r="L984">
        <v>34</v>
      </c>
      <c r="M984" t="s">
        <v>5035</v>
      </c>
      <c r="N984" t="s">
        <v>15</v>
      </c>
      <c r="O984" t="s">
        <v>54</v>
      </c>
      <c r="P984" t="s">
        <v>23</v>
      </c>
      <c r="Q984" t="s">
        <v>24</v>
      </c>
      <c r="R984" t="s">
        <v>5216</v>
      </c>
      <c r="S984" t="s">
        <v>5217</v>
      </c>
      <c r="T984" s="6">
        <v>46307</v>
      </c>
      <c r="U984">
        <v>12</v>
      </c>
      <c r="V984">
        <v>12</v>
      </c>
      <c r="W984">
        <v>540</v>
      </c>
      <c r="X984">
        <v>540</v>
      </c>
      <c r="Y984">
        <f t="shared" si="166"/>
        <v>0</v>
      </c>
      <c r="AC984">
        <v>12</v>
      </c>
      <c r="AF984">
        <v>12</v>
      </c>
      <c r="AG984" s="41">
        <v>12</v>
      </c>
      <c r="AH984">
        <f t="shared" si="168"/>
        <v>12</v>
      </c>
      <c r="AI984">
        <f t="shared" si="173"/>
        <v>0</v>
      </c>
      <c r="AK984">
        <f t="shared" si="170"/>
        <v>1</v>
      </c>
      <c r="AL984">
        <v>8.2100000000000009</v>
      </c>
      <c r="AM984" t="s">
        <v>27</v>
      </c>
      <c r="AN984">
        <v>8.2100000000000009</v>
      </c>
      <c r="AO984" t="b">
        <f t="shared" si="171"/>
        <v>1</v>
      </c>
      <c r="AR984" t="s">
        <v>5061</v>
      </c>
      <c r="AS984" s="21">
        <v>46285</v>
      </c>
      <c r="AT984" t="s">
        <v>5062</v>
      </c>
      <c r="AU984" t="s">
        <v>5063</v>
      </c>
      <c r="AV984" t="s">
        <v>5087</v>
      </c>
      <c r="AW984" t="s">
        <v>5316</v>
      </c>
    </row>
    <row r="985" spans="1:49" x14ac:dyDescent="0.35">
      <c r="A985" t="s">
        <v>5101</v>
      </c>
      <c r="B985" t="s">
        <v>17</v>
      </c>
      <c r="C985" t="s">
        <v>4818</v>
      </c>
      <c r="D985" t="s">
        <v>18</v>
      </c>
      <c r="E985" t="s">
        <v>58</v>
      </c>
      <c r="F985" t="s">
        <v>59</v>
      </c>
      <c r="G985" t="s">
        <v>21</v>
      </c>
      <c r="H985" t="s">
        <v>4826</v>
      </c>
      <c r="I985" t="s">
        <v>4827</v>
      </c>
      <c r="J985" t="s">
        <v>4828</v>
      </c>
      <c r="K985" t="s">
        <v>4830</v>
      </c>
      <c r="L985">
        <v>32</v>
      </c>
      <c r="M985" t="s">
        <v>5035</v>
      </c>
      <c r="N985" t="s">
        <v>15</v>
      </c>
      <c r="O985" t="s">
        <v>60</v>
      </c>
      <c r="P985" t="s">
        <v>23</v>
      </c>
      <c r="Q985" t="s">
        <v>24</v>
      </c>
      <c r="R985" t="s">
        <v>5216</v>
      </c>
      <c r="S985" t="s">
        <v>5217</v>
      </c>
      <c r="T985" s="6">
        <v>46307</v>
      </c>
      <c r="U985">
        <v>12</v>
      </c>
      <c r="V985">
        <v>12</v>
      </c>
      <c r="W985">
        <v>420</v>
      </c>
      <c r="X985">
        <v>420</v>
      </c>
      <c r="Y985">
        <f t="shared" si="166"/>
        <v>0</v>
      </c>
      <c r="AC985">
        <v>12</v>
      </c>
      <c r="AF985">
        <v>12</v>
      </c>
      <c r="AG985" s="41">
        <v>12</v>
      </c>
      <c r="AH985">
        <f t="shared" si="168"/>
        <v>12</v>
      </c>
      <c r="AI985">
        <f t="shared" si="173"/>
        <v>0</v>
      </c>
      <c r="AK985">
        <f t="shared" si="170"/>
        <v>1</v>
      </c>
      <c r="AL985">
        <v>8.2100000000000009</v>
      </c>
      <c r="AM985" t="s">
        <v>27</v>
      </c>
      <c r="AN985">
        <v>8.2100000000000009</v>
      </c>
      <c r="AO985" t="b">
        <f t="shared" si="171"/>
        <v>1</v>
      </c>
      <c r="AR985" t="s">
        <v>5061</v>
      </c>
      <c r="AS985" s="21">
        <v>46285</v>
      </c>
      <c r="AT985" t="s">
        <v>5062</v>
      </c>
      <c r="AU985" t="s">
        <v>5063</v>
      </c>
      <c r="AV985" t="s">
        <v>5087</v>
      </c>
      <c r="AW985" t="s">
        <v>5316</v>
      </c>
    </row>
    <row r="986" spans="1:49" x14ac:dyDescent="0.35">
      <c r="A986" t="s">
        <v>5101</v>
      </c>
      <c r="B986" t="s">
        <v>17</v>
      </c>
      <c r="C986" t="s">
        <v>4818</v>
      </c>
      <c r="D986" t="s">
        <v>18</v>
      </c>
      <c r="E986" t="s">
        <v>67</v>
      </c>
      <c r="F986" t="s">
        <v>68</v>
      </c>
      <c r="G986" t="s">
        <v>21</v>
      </c>
      <c r="H986" t="s">
        <v>4826</v>
      </c>
      <c r="I986" t="s">
        <v>4827</v>
      </c>
      <c r="J986" t="s">
        <v>4828</v>
      </c>
      <c r="K986" t="s">
        <v>4833</v>
      </c>
      <c r="L986">
        <v>34</v>
      </c>
      <c r="M986" t="s">
        <v>5035</v>
      </c>
      <c r="N986" t="s">
        <v>15</v>
      </c>
      <c r="O986" t="s">
        <v>69</v>
      </c>
      <c r="P986" t="s">
        <v>23</v>
      </c>
      <c r="Q986" t="s">
        <v>24</v>
      </c>
      <c r="R986" t="s">
        <v>5216</v>
      </c>
      <c r="S986" t="s">
        <v>5217</v>
      </c>
      <c r="T986" s="6">
        <v>46307</v>
      </c>
      <c r="U986">
        <v>36</v>
      </c>
      <c r="V986">
        <v>36</v>
      </c>
      <c r="W986">
        <v>804</v>
      </c>
      <c r="X986">
        <v>804</v>
      </c>
      <c r="Y986">
        <f t="shared" si="166"/>
        <v>0</v>
      </c>
      <c r="AC986">
        <v>36</v>
      </c>
      <c r="AF986">
        <v>36</v>
      </c>
      <c r="AG986" s="41">
        <v>12</v>
      </c>
      <c r="AH986">
        <f t="shared" si="168"/>
        <v>36</v>
      </c>
      <c r="AI986">
        <f t="shared" si="173"/>
        <v>0</v>
      </c>
      <c r="AK986">
        <f t="shared" si="170"/>
        <v>3</v>
      </c>
      <c r="AL986">
        <v>8.2100000000000009</v>
      </c>
      <c r="AM986" t="s">
        <v>27</v>
      </c>
      <c r="AN986">
        <v>8.2100000000000009</v>
      </c>
      <c r="AO986" t="b">
        <f t="shared" si="171"/>
        <v>1</v>
      </c>
      <c r="AR986" t="s">
        <v>5061</v>
      </c>
      <c r="AS986" s="21">
        <v>46285</v>
      </c>
      <c r="AT986" t="s">
        <v>5062</v>
      </c>
      <c r="AU986" t="s">
        <v>5063</v>
      </c>
      <c r="AV986" t="s">
        <v>5087</v>
      </c>
      <c r="AW986" t="s">
        <v>5316</v>
      </c>
    </row>
    <row r="987" spans="1:49" x14ac:dyDescent="0.35">
      <c r="A987" t="s">
        <v>5101</v>
      </c>
      <c r="B987" t="s">
        <v>17</v>
      </c>
      <c r="C987" t="s">
        <v>4818</v>
      </c>
      <c r="D987" t="s">
        <v>18</v>
      </c>
      <c r="E987" t="s">
        <v>70</v>
      </c>
      <c r="F987" t="s">
        <v>71</v>
      </c>
      <c r="G987" t="s">
        <v>21</v>
      </c>
      <c r="H987" t="s">
        <v>4826</v>
      </c>
      <c r="I987" t="s">
        <v>4827</v>
      </c>
      <c r="J987" t="s">
        <v>4828</v>
      </c>
      <c r="K987" t="s">
        <v>4830</v>
      </c>
      <c r="L987">
        <v>36</v>
      </c>
      <c r="M987" t="s">
        <v>5035</v>
      </c>
      <c r="N987" t="s">
        <v>15</v>
      </c>
      <c r="O987" t="s">
        <v>72</v>
      </c>
      <c r="P987" t="s">
        <v>23</v>
      </c>
      <c r="Q987" t="s">
        <v>24</v>
      </c>
      <c r="R987" t="s">
        <v>5216</v>
      </c>
      <c r="S987" t="s">
        <v>5217</v>
      </c>
      <c r="T987" s="6">
        <v>46307</v>
      </c>
      <c r="U987">
        <v>24</v>
      </c>
      <c r="V987">
        <v>24</v>
      </c>
      <c r="W987">
        <v>636</v>
      </c>
      <c r="X987">
        <v>636</v>
      </c>
      <c r="Y987">
        <f t="shared" si="166"/>
        <v>0</v>
      </c>
      <c r="AC987">
        <v>24</v>
      </c>
      <c r="AF987">
        <v>24</v>
      </c>
      <c r="AG987" s="41">
        <v>12</v>
      </c>
      <c r="AH987">
        <f t="shared" si="168"/>
        <v>24</v>
      </c>
      <c r="AI987">
        <f t="shared" si="173"/>
        <v>0</v>
      </c>
      <c r="AK987">
        <f t="shared" si="170"/>
        <v>2</v>
      </c>
      <c r="AL987">
        <v>8.2100000000000009</v>
      </c>
      <c r="AM987" t="s">
        <v>27</v>
      </c>
      <c r="AN987">
        <v>8.2100000000000009</v>
      </c>
      <c r="AO987" t="b">
        <f t="shared" si="171"/>
        <v>1</v>
      </c>
      <c r="AR987" t="s">
        <v>5061</v>
      </c>
      <c r="AS987" s="21">
        <v>46285</v>
      </c>
      <c r="AT987" t="s">
        <v>5062</v>
      </c>
      <c r="AU987" t="s">
        <v>5063</v>
      </c>
      <c r="AV987" t="s">
        <v>5087</v>
      </c>
      <c r="AW987" t="s">
        <v>5316</v>
      </c>
    </row>
    <row r="988" spans="1:49" x14ac:dyDescent="0.35">
      <c r="A988" t="s">
        <v>5102</v>
      </c>
      <c r="B988" t="s">
        <v>4106</v>
      </c>
      <c r="C988" t="s">
        <v>4818</v>
      </c>
      <c r="D988" t="s">
        <v>18</v>
      </c>
      <c r="E988" t="s">
        <v>4152</v>
      </c>
      <c r="F988" t="s">
        <v>4153</v>
      </c>
      <c r="G988" t="s">
        <v>21</v>
      </c>
      <c r="H988" t="s">
        <v>4826</v>
      </c>
      <c r="I988" t="s">
        <v>5028</v>
      </c>
      <c r="J988" t="s">
        <v>5029</v>
      </c>
      <c r="K988" t="s">
        <v>4837</v>
      </c>
      <c r="L988" t="s">
        <v>4944</v>
      </c>
      <c r="M988" t="s">
        <v>5035</v>
      </c>
      <c r="N988" t="s">
        <v>15</v>
      </c>
      <c r="O988" t="s">
        <v>4154</v>
      </c>
      <c r="P988" t="s">
        <v>23</v>
      </c>
      <c r="Q988" t="s">
        <v>24</v>
      </c>
      <c r="R988" t="s">
        <v>5216</v>
      </c>
      <c r="S988" t="s">
        <v>5217</v>
      </c>
      <c r="T988" s="6">
        <v>46307</v>
      </c>
      <c r="U988">
        <v>12</v>
      </c>
      <c r="V988">
        <v>12</v>
      </c>
      <c r="W988">
        <v>144</v>
      </c>
      <c r="X988">
        <v>144</v>
      </c>
      <c r="Y988">
        <f t="shared" si="166"/>
        <v>0</v>
      </c>
      <c r="AC988">
        <v>12</v>
      </c>
      <c r="AF988">
        <v>12</v>
      </c>
      <c r="AG988" s="41">
        <v>12</v>
      </c>
      <c r="AH988">
        <f t="shared" si="168"/>
        <v>12</v>
      </c>
      <c r="AI988">
        <f t="shared" si="173"/>
        <v>0</v>
      </c>
      <c r="AK988">
        <f t="shared" si="170"/>
        <v>1</v>
      </c>
      <c r="AL988">
        <v>12.09</v>
      </c>
      <c r="AM988" t="s">
        <v>27</v>
      </c>
      <c r="AN988">
        <v>12.09</v>
      </c>
      <c r="AO988" t="b">
        <f t="shared" si="171"/>
        <v>1</v>
      </c>
      <c r="AR988" t="s">
        <v>5061</v>
      </c>
      <c r="AS988" s="21">
        <v>46285</v>
      </c>
      <c r="AT988" t="s">
        <v>5062</v>
      </c>
      <c r="AU988" t="s">
        <v>5084</v>
      </c>
      <c r="AV988" t="s">
        <v>5089</v>
      </c>
      <c r="AW988" t="s">
        <v>5316</v>
      </c>
    </row>
    <row r="989" spans="1:49" x14ac:dyDescent="0.35">
      <c r="A989" t="s">
        <v>5102</v>
      </c>
      <c r="B989" t="s">
        <v>4106</v>
      </c>
      <c r="C989" t="s">
        <v>4818</v>
      </c>
      <c r="D989" t="s">
        <v>18</v>
      </c>
      <c r="E989" t="s">
        <v>4164</v>
      </c>
      <c r="F989" t="s">
        <v>4165</v>
      </c>
      <c r="G989" t="s">
        <v>21</v>
      </c>
      <c r="H989" t="s">
        <v>4826</v>
      </c>
      <c r="I989" t="s">
        <v>5030</v>
      </c>
      <c r="J989" t="s">
        <v>5031</v>
      </c>
      <c r="K989" t="s">
        <v>4845</v>
      </c>
      <c r="L989" t="s">
        <v>4941</v>
      </c>
      <c r="M989" t="s">
        <v>5035</v>
      </c>
      <c r="N989" t="s">
        <v>15</v>
      </c>
      <c r="O989" t="s">
        <v>4166</v>
      </c>
      <c r="P989" t="s">
        <v>23</v>
      </c>
      <c r="Q989" t="s">
        <v>24</v>
      </c>
      <c r="R989" t="s">
        <v>5216</v>
      </c>
      <c r="S989" t="s">
        <v>5217</v>
      </c>
      <c r="T989" s="6">
        <v>46307</v>
      </c>
      <c r="U989">
        <v>12</v>
      </c>
      <c r="V989">
        <v>12</v>
      </c>
      <c r="W989">
        <v>36</v>
      </c>
      <c r="X989">
        <v>36</v>
      </c>
      <c r="Y989">
        <f t="shared" si="166"/>
        <v>0</v>
      </c>
      <c r="AC989">
        <v>12</v>
      </c>
      <c r="AF989">
        <v>12</v>
      </c>
      <c r="AG989" s="41">
        <v>12</v>
      </c>
      <c r="AH989">
        <f t="shared" si="168"/>
        <v>12</v>
      </c>
      <c r="AI989">
        <f t="shared" si="173"/>
        <v>0</v>
      </c>
      <c r="AK989">
        <f t="shared" si="170"/>
        <v>1</v>
      </c>
      <c r="AL989">
        <v>12.02</v>
      </c>
      <c r="AM989" t="s">
        <v>27</v>
      </c>
      <c r="AN989">
        <v>12.02</v>
      </c>
      <c r="AO989" t="b">
        <f t="shared" si="171"/>
        <v>1</v>
      </c>
      <c r="AR989" t="s">
        <v>5061</v>
      </c>
      <c r="AS989" s="21">
        <v>46285</v>
      </c>
      <c r="AT989" t="s">
        <v>5062</v>
      </c>
      <c r="AU989" t="s">
        <v>5085</v>
      </c>
      <c r="AV989" t="s">
        <v>5089</v>
      </c>
      <c r="AW989" t="s">
        <v>5316</v>
      </c>
    </row>
    <row r="990" spans="1:49" x14ac:dyDescent="0.35">
      <c r="A990" t="s">
        <v>5102</v>
      </c>
      <c r="B990" t="s">
        <v>4106</v>
      </c>
      <c r="C990" t="s">
        <v>4818</v>
      </c>
      <c r="D990" t="s">
        <v>18</v>
      </c>
      <c r="E990" t="s">
        <v>4224</v>
      </c>
      <c r="F990" t="s">
        <v>4225</v>
      </c>
      <c r="G990" t="s">
        <v>21</v>
      </c>
      <c r="H990" t="s">
        <v>4826</v>
      </c>
      <c r="I990" t="s">
        <v>5030</v>
      </c>
      <c r="J990" t="s">
        <v>5031</v>
      </c>
      <c r="K990" t="s">
        <v>5033</v>
      </c>
      <c r="L990" t="s">
        <v>4938</v>
      </c>
      <c r="M990" t="s">
        <v>5035</v>
      </c>
      <c r="N990" t="s">
        <v>15</v>
      </c>
      <c r="O990" t="s">
        <v>4226</v>
      </c>
      <c r="P990" t="s">
        <v>23</v>
      </c>
      <c r="Q990" t="s">
        <v>24</v>
      </c>
      <c r="R990" t="s">
        <v>5216</v>
      </c>
      <c r="S990" t="s">
        <v>5217</v>
      </c>
      <c r="T990" s="6">
        <v>46307</v>
      </c>
      <c r="U990">
        <v>12</v>
      </c>
      <c r="V990">
        <v>12</v>
      </c>
      <c r="W990">
        <v>228</v>
      </c>
      <c r="X990">
        <v>228</v>
      </c>
      <c r="Y990">
        <f t="shared" si="166"/>
        <v>0</v>
      </c>
      <c r="AC990">
        <v>12</v>
      </c>
      <c r="AF990">
        <v>12</v>
      </c>
      <c r="AG990" s="41">
        <v>12</v>
      </c>
      <c r="AH990">
        <f t="shared" si="168"/>
        <v>12</v>
      </c>
      <c r="AI990">
        <f t="shared" si="173"/>
        <v>0</v>
      </c>
      <c r="AK990">
        <f t="shared" si="170"/>
        <v>1</v>
      </c>
      <c r="AL990">
        <v>12.02</v>
      </c>
      <c r="AM990" t="s">
        <v>27</v>
      </c>
      <c r="AN990">
        <v>12.02</v>
      </c>
      <c r="AO990" t="b">
        <f t="shared" si="171"/>
        <v>1</v>
      </c>
      <c r="AR990" t="s">
        <v>5061</v>
      </c>
      <c r="AS990" s="21">
        <v>46285</v>
      </c>
      <c r="AT990" t="s">
        <v>5062</v>
      </c>
      <c r="AU990" t="s">
        <v>5085</v>
      </c>
      <c r="AV990" t="s">
        <v>5089</v>
      </c>
      <c r="AW990" t="s">
        <v>5316</v>
      </c>
    </row>
    <row r="991" spans="1:49" x14ac:dyDescent="0.35">
      <c r="A991" t="s">
        <v>5102</v>
      </c>
      <c r="B991" t="s">
        <v>4106</v>
      </c>
      <c r="C991" t="s">
        <v>4818</v>
      </c>
      <c r="D991" t="s">
        <v>18</v>
      </c>
      <c r="E991" t="s">
        <v>4227</v>
      </c>
      <c r="F991" t="s">
        <v>4228</v>
      </c>
      <c r="G991" t="s">
        <v>21</v>
      </c>
      <c r="H991" t="s">
        <v>4826</v>
      </c>
      <c r="I991" t="s">
        <v>5030</v>
      </c>
      <c r="J991" t="s">
        <v>5031</v>
      </c>
      <c r="K991" t="s">
        <v>4837</v>
      </c>
      <c r="L991" t="s">
        <v>4953</v>
      </c>
      <c r="M991" t="s">
        <v>5035</v>
      </c>
      <c r="N991" t="s">
        <v>15</v>
      </c>
      <c r="O991" t="s">
        <v>4229</v>
      </c>
      <c r="P991" t="s">
        <v>23</v>
      </c>
      <c r="Q991" t="s">
        <v>24</v>
      </c>
      <c r="R991" t="s">
        <v>5216</v>
      </c>
      <c r="S991" t="s">
        <v>5217</v>
      </c>
      <c r="T991" s="6">
        <v>46307</v>
      </c>
      <c r="U991">
        <v>12</v>
      </c>
      <c r="V991">
        <v>12</v>
      </c>
      <c r="W991">
        <v>168</v>
      </c>
      <c r="X991">
        <v>168</v>
      </c>
      <c r="Y991">
        <f t="shared" si="166"/>
        <v>0</v>
      </c>
      <c r="AC991">
        <v>12</v>
      </c>
      <c r="AF991">
        <v>12</v>
      </c>
      <c r="AG991" s="41">
        <v>12</v>
      </c>
      <c r="AH991">
        <f t="shared" si="168"/>
        <v>12</v>
      </c>
      <c r="AI991">
        <f t="shared" si="173"/>
        <v>0</v>
      </c>
      <c r="AK991">
        <f t="shared" si="170"/>
        <v>1</v>
      </c>
      <c r="AL991">
        <v>12.02</v>
      </c>
      <c r="AM991" t="s">
        <v>27</v>
      </c>
      <c r="AN991">
        <v>12.02</v>
      </c>
      <c r="AO991" t="b">
        <f t="shared" si="171"/>
        <v>1</v>
      </c>
      <c r="AR991" t="s">
        <v>5061</v>
      </c>
      <c r="AS991" s="21">
        <v>46285</v>
      </c>
      <c r="AT991" t="s">
        <v>5062</v>
      </c>
      <c r="AU991" t="s">
        <v>5085</v>
      </c>
      <c r="AV991" t="s">
        <v>5089</v>
      </c>
      <c r="AW991" t="s">
        <v>5316</v>
      </c>
    </row>
    <row r="992" spans="1:49" x14ac:dyDescent="0.35">
      <c r="A992" t="s">
        <v>5102</v>
      </c>
      <c r="B992" t="s">
        <v>4106</v>
      </c>
      <c r="C992" t="s">
        <v>4818</v>
      </c>
      <c r="D992" t="s">
        <v>18</v>
      </c>
      <c r="E992" t="s">
        <v>4260</v>
      </c>
      <c r="F992" t="s">
        <v>4261</v>
      </c>
      <c r="G992" t="s">
        <v>21</v>
      </c>
      <c r="H992" t="s">
        <v>4826</v>
      </c>
      <c r="I992" t="s">
        <v>5028</v>
      </c>
      <c r="J992" t="s">
        <v>5029</v>
      </c>
      <c r="K992" t="s">
        <v>4845</v>
      </c>
      <c r="L992" t="s">
        <v>4971</v>
      </c>
      <c r="M992" t="s">
        <v>5035</v>
      </c>
      <c r="N992" t="s">
        <v>15</v>
      </c>
      <c r="O992" t="s">
        <v>4262</v>
      </c>
      <c r="P992" t="s">
        <v>23</v>
      </c>
      <c r="Q992" t="s">
        <v>24</v>
      </c>
      <c r="R992" t="s">
        <v>5216</v>
      </c>
      <c r="S992" t="s">
        <v>5217</v>
      </c>
      <c r="T992" s="6">
        <v>46307</v>
      </c>
      <c r="U992">
        <v>12</v>
      </c>
      <c r="V992">
        <v>12</v>
      </c>
      <c r="W992">
        <v>192</v>
      </c>
      <c r="X992">
        <v>192</v>
      </c>
      <c r="Y992">
        <f t="shared" si="166"/>
        <v>0</v>
      </c>
      <c r="AC992">
        <v>12</v>
      </c>
      <c r="AF992">
        <v>12</v>
      </c>
      <c r="AG992" s="41">
        <v>12</v>
      </c>
      <c r="AH992">
        <f t="shared" si="168"/>
        <v>12</v>
      </c>
      <c r="AI992">
        <f t="shared" si="173"/>
        <v>0</v>
      </c>
      <c r="AK992">
        <f t="shared" si="170"/>
        <v>1</v>
      </c>
      <c r="AL992">
        <v>12.09</v>
      </c>
      <c r="AM992" t="s">
        <v>27</v>
      </c>
      <c r="AN992">
        <v>12.09</v>
      </c>
      <c r="AO992" t="b">
        <f t="shared" si="171"/>
        <v>1</v>
      </c>
      <c r="AR992" t="s">
        <v>5061</v>
      </c>
      <c r="AS992" s="21">
        <v>46285</v>
      </c>
      <c r="AT992" t="s">
        <v>5062</v>
      </c>
      <c r="AU992" t="s">
        <v>5084</v>
      </c>
      <c r="AV992" t="s">
        <v>5089</v>
      </c>
      <c r="AW992" t="s">
        <v>5316</v>
      </c>
    </row>
    <row r="993" spans="1:49" x14ac:dyDescent="0.35">
      <c r="A993" t="s">
        <v>5102</v>
      </c>
      <c r="B993" t="s">
        <v>4106</v>
      </c>
      <c r="C993" t="s">
        <v>4818</v>
      </c>
      <c r="D993" t="s">
        <v>18</v>
      </c>
      <c r="E993" t="s">
        <v>4500</v>
      </c>
      <c r="F993" t="s">
        <v>4501</v>
      </c>
      <c r="G993" t="s">
        <v>21</v>
      </c>
      <c r="H993" t="s">
        <v>4826</v>
      </c>
      <c r="I993" t="s">
        <v>5030</v>
      </c>
      <c r="J993" t="s">
        <v>5031</v>
      </c>
      <c r="K993" t="s">
        <v>4837</v>
      </c>
      <c r="L993" t="s">
        <v>4958</v>
      </c>
      <c r="M993" t="s">
        <v>5035</v>
      </c>
      <c r="N993" t="s">
        <v>15</v>
      </c>
      <c r="O993" t="s">
        <v>4502</v>
      </c>
      <c r="P993" t="s">
        <v>23</v>
      </c>
      <c r="Q993" t="s">
        <v>24</v>
      </c>
      <c r="R993" t="s">
        <v>5216</v>
      </c>
      <c r="S993" t="s">
        <v>5217</v>
      </c>
      <c r="T993" s="6">
        <v>46307</v>
      </c>
      <c r="U993">
        <v>12</v>
      </c>
      <c r="V993">
        <v>12</v>
      </c>
      <c r="W993">
        <v>312</v>
      </c>
      <c r="X993">
        <v>312</v>
      </c>
      <c r="Y993">
        <f t="shared" si="166"/>
        <v>0</v>
      </c>
      <c r="AC993">
        <v>12</v>
      </c>
      <c r="AF993">
        <v>12</v>
      </c>
      <c r="AG993" s="41">
        <v>12</v>
      </c>
      <c r="AH993">
        <f t="shared" si="168"/>
        <v>12</v>
      </c>
      <c r="AI993">
        <f t="shared" si="173"/>
        <v>0</v>
      </c>
      <c r="AK993">
        <f t="shared" si="170"/>
        <v>1</v>
      </c>
      <c r="AL993">
        <v>12.02</v>
      </c>
      <c r="AM993" t="s">
        <v>27</v>
      </c>
      <c r="AN993">
        <v>12.02</v>
      </c>
      <c r="AO993" t="b">
        <f t="shared" si="171"/>
        <v>1</v>
      </c>
      <c r="AR993" t="s">
        <v>5061</v>
      </c>
      <c r="AS993" s="21">
        <v>46285</v>
      </c>
      <c r="AT993" t="s">
        <v>5062</v>
      </c>
      <c r="AU993" t="s">
        <v>5085</v>
      </c>
      <c r="AV993" t="s">
        <v>5089</v>
      </c>
      <c r="AW993" t="s">
        <v>5316</v>
      </c>
    </row>
    <row r="994" spans="1:49" x14ac:dyDescent="0.35">
      <c r="A994" t="s">
        <v>5102</v>
      </c>
      <c r="B994" t="s">
        <v>4106</v>
      </c>
      <c r="C994" t="s">
        <v>4818</v>
      </c>
      <c r="D994" t="s">
        <v>18</v>
      </c>
      <c r="E994" t="s">
        <v>4647</v>
      </c>
      <c r="F994" t="s">
        <v>4648</v>
      </c>
      <c r="G994" t="s">
        <v>21</v>
      </c>
      <c r="H994" t="s">
        <v>4826</v>
      </c>
      <c r="I994" t="s">
        <v>5030</v>
      </c>
      <c r="J994" t="s">
        <v>5031</v>
      </c>
      <c r="K994" t="s">
        <v>5033</v>
      </c>
      <c r="L994" t="s">
        <v>4958</v>
      </c>
      <c r="M994" t="s">
        <v>5035</v>
      </c>
      <c r="N994" t="s">
        <v>15</v>
      </c>
      <c r="O994" t="s">
        <v>4649</v>
      </c>
      <c r="P994" t="s">
        <v>23</v>
      </c>
      <c r="Q994" t="s">
        <v>24</v>
      </c>
      <c r="R994" t="s">
        <v>5216</v>
      </c>
      <c r="S994" t="s">
        <v>5217</v>
      </c>
      <c r="T994" s="6">
        <v>46307</v>
      </c>
      <c r="U994">
        <v>12</v>
      </c>
      <c r="V994">
        <v>12</v>
      </c>
      <c r="W994">
        <v>216</v>
      </c>
      <c r="X994">
        <v>216</v>
      </c>
      <c r="Y994">
        <f t="shared" si="166"/>
        <v>0</v>
      </c>
      <c r="AC994">
        <v>12</v>
      </c>
      <c r="AF994">
        <v>12</v>
      </c>
      <c r="AG994" s="41">
        <v>12</v>
      </c>
      <c r="AH994">
        <f t="shared" si="168"/>
        <v>12</v>
      </c>
      <c r="AI994">
        <f t="shared" si="173"/>
        <v>0</v>
      </c>
      <c r="AK994">
        <f t="shared" si="170"/>
        <v>1</v>
      </c>
      <c r="AL994">
        <v>12.02</v>
      </c>
      <c r="AM994" t="s">
        <v>27</v>
      </c>
      <c r="AN994">
        <v>12.02</v>
      </c>
      <c r="AO994" t="b">
        <f t="shared" si="171"/>
        <v>1</v>
      </c>
      <c r="AR994" t="s">
        <v>5061</v>
      </c>
      <c r="AS994" s="21">
        <v>46285</v>
      </c>
      <c r="AT994" t="s">
        <v>5062</v>
      </c>
      <c r="AU994" t="s">
        <v>5085</v>
      </c>
      <c r="AV994" t="s">
        <v>5089</v>
      </c>
      <c r="AW994" t="s">
        <v>5316</v>
      </c>
    </row>
    <row r="995" spans="1:49" x14ac:dyDescent="0.35">
      <c r="A995" t="s">
        <v>5102</v>
      </c>
      <c r="B995" t="s">
        <v>4106</v>
      </c>
      <c r="C995" t="s">
        <v>4818</v>
      </c>
      <c r="D995" t="s">
        <v>18</v>
      </c>
      <c r="E995" t="s">
        <v>4692</v>
      </c>
      <c r="F995" t="s">
        <v>4693</v>
      </c>
      <c r="G995" t="s">
        <v>21</v>
      </c>
      <c r="H995" t="s">
        <v>4826</v>
      </c>
      <c r="I995" t="s">
        <v>5030</v>
      </c>
      <c r="J995" t="s">
        <v>5031</v>
      </c>
      <c r="K995" t="s">
        <v>4837</v>
      </c>
      <c r="L995" t="s">
        <v>4967</v>
      </c>
      <c r="M995" t="s">
        <v>5035</v>
      </c>
      <c r="N995" t="s">
        <v>15</v>
      </c>
      <c r="O995" t="s">
        <v>4694</v>
      </c>
      <c r="P995" t="s">
        <v>23</v>
      </c>
      <c r="Q995" t="s">
        <v>24</v>
      </c>
      <c r="R995" t="s">
        <v>5216</v>
      </c>
      <c r="S995" t="s">
        <v>5217</v>
      </c>
      <c r="T995" s="6">
        <v>46307</v>
      </c>
      <c r="U995">
        <v>12</v>
      </c>
      <c r="V995">
        <v>12</v>
      </c>
      <c r="W995">
        <v>48</v>
      </c>
      <c r="X995">
        <v>48</v>
      </c>
      <c r="Y995">
        <f t="shared" si="166"/>
        <v>0</v>
      </c>
      <c r="AC995">
        <v>12</v>
      </c>
      <c r="AF995">
        <v>12</v>
      </c>
      <c r="AG995" s="41">
        <v>12</v>
      </c>
      <c r="AH995">
        <f t="shared" si="168"/>
        <v>12</v>
      </c>
      <c r="AI995">
        <f t="shared" si="173"/>
        <v>0</v>
      </c>
      <c r="AK995">
        <f t="shared" si="170"/>
        <v>1</v>
      </c>
      <c r="AL995">
        <v>12.02</v>
      </c>
      <c r="AM995" t="s">
        <v>27</v>
      </c>
      <c r="AN995">
        <v>12.02</v>
      </c>
      <c r="AO995" t="b">
        <f t="shared" si="171"/>
        <v>1</v>
      </c>
      <c r="AR995" t="s">
        <v>5061</v>
      </c>
      <c r="AS995" s="21">
        <v>46285</v>
      </c>
      <c r="AT995" t="s">
        <v>5062</v>
      </c>
      <c r="AU995" t="s">
        <v>5085</v>
      </c>
      <c r="AV995" t="s">
        <v>5089</v>
      </c>
      <c r="AW995" t="s">
        <v>5316</v>
      </c>
    </row>
    <row r="996" spans="1:49" x14ac:dyDescent="0.35">
      <c r="A996" t="s">
        <v>5102</v>
      </c>
      <c r="B996" t="s">
        <v>4106</v>
      </c>
      <c r="C996" t="s">
        <v>4818</v>
      </c>
      <c r="D996" t="s">
        <v>18</v>
      </c>
      <c r="E996" t="s">
        <v>4746</v>
      </c>
      <c r="F996" t="s">
        <v>4747</v>
      </c>
      <c r="G996" t="s">
        <v>21</v>
      </c>
      <c r="H996" t="s">
        <v>4826</v>
      </c>
      <c r="I996" t="s">
        <v>5030</v>
      </c>
      <c r="J996" t="s">
        <v>5031</v>
      </c>
      <c r="K996" t="s">
        <v>4837</v>
      </c>
      <c r="L996" t="s">
        <v>4949</v>
      </c>
      <c r="M996" t="s">
        <v>5035</v>
      </c>
      <c r="N996" t="s">
        <v>15</v>
      </c>
      <c r="O996" t="s">
        <v>4748</v>
      </c>
      <c r="P996" t="s">
        <v>23</v>
      </c>
      <c r="Q996" t="s">
        <v>24</v>
      </c>
      <c r="R996" t="s">
        <v>5216</v>
      </c>
      <c r="S996" t="s">
        <v>5217</v>
      </c>
      <c r="T996" s="6">
        <v>46307</v>
      </c>
      <c r="U996">
        <v>12</v>
      </c>
      <c r="V996">
        <v>12</v>
      </c>
      <c r="W996">
        <v>192</v>
      </c>
      <c r="X996">
        <v>192</v>
      </c>
      <c r="Y996">
        <f t="shared" si="166"/>
        <v>0</v>
      </c>
      <c r="AC996">
        <v>12</v>
      </c>
      <c r="AF996">
        <v>12</v>
      </c>
      <c r="AG996" s="41">
        <v>12</v>
      </c>
      <c r="AH996">
        <f t="shared" si="168"/>
        <v>12</v>
      </c>
      <c r="AI996">
        <f t="shared" si="173"/>
        <v>0</v>
      </c>
      <c r="AK996">
        <f t="shared" si="170"/>
        <v>1</v>
      </c>
      <c r="AL996">
        <v>12.02</v>
      </c>
      <c r="AM996" t="s">
        <v>27</v>
      </c>
      <c r="AN996">
        <v>12.02</v>
      </c>
      <c r="AO996" t="b">
        <f t="shared" si="171"/>
        <v>1</v>
      </c>
      <c r="AR996" t="s">
        <v>5061</v>
      </c>
      <c r="AS996" s="21">
        <v>46285</v>
      </c>
      <c r="AT996" t="s">
        <v>5062</v>
      </c>
      <c r="AU996" t="s">
        <v>5085</v>
      </c>
      <c r="AV996" t="s">
        <v>5089</v>
      </c>
      <c r="AW996" t="s">
        <v>5316</v>
      </c>
    </row>
    <row r="997" spans="1:49" x14ac:dyDescent="0.35">
      <c r="A997" t="s">
        <v>5102</v>
      </c>
      <c r="B997" t="s">
        <v>4106</v>
      </c>
      <c r="C997" t="s">
        <v>4818</v>
      </c>
      <c r="D997" t="s">
        <v>18</v>
      </c>
      <c r="E997" t="s">
        <v>4779</v>
      </c>
      <c r="F997" t="s">
        <v>4780</v>
      </c>
      <c r="G997" t="s">
        <v>21</v>
      </c>
      <c r="H997" t="s">
        <v>4826</v>
      </c>
      <c r="I997" t="s">
        <v>5030</v>
      </c>
      <c r="J997" t="s">
        <v>5031</v>
      </c>
      <c r="K997" t="s">
        <v>4837</v>
      </c>
      <c r="L997" t="s">
        <v>4944</v>
      </c>
      <c r="M997" t="s">
        <v>5035</v>
      </c>
      <c r="N997" t="s">
        <v>15</v>
      </c>
      <c r="O997" t="s">
        <v>4781</v>
      </c>
      <c r="P997" t="s">
        <v>23</v>
      </c>
      <c r="Q997" t="s">
        <v>24</v>
      </c>
      <c r="R997" t="s">
        <v>5216</v>
      </c>
      <c r="S997" t="s">
        <v>5217</v>
      </c>
      <c r="T997" s="6">
        <v>46307</v>
      </c>
      <c r="U997">
        <v>12</v>
      </c>
      <c r="V997">
        <v>12</v>
      </c>
      <c r="W997">
        <v>288</v>
      </c>
      <c r="X997">
        <v>288</v>
      </c>
      <c r="Y997">
        <f t="shared" si="166"/>
        <v>0</v>
      </c>
      <c r="AC997">
        <v>12</v>
      </c>
      <c r="AF997">
        <v>12</v>
      </c>
      <c r="AG997" s="41">
        <v>12</v>
      </c>
      <c r="AH997">
        <f t="shared" si="168"/>
        <v>12</v>
      </c>
      <c r="AI997">
        <f t="shared" si="173"/>
        <v>0</v>
      </c>
      <c r="AK997">
        <f t="shared" si="170"/>
        <v>1</v>
      </c>
      <c r="AL997">
        <v>12.02</v>
      </c>
      <c r="AM997" t="s">
        <v>27</v>
      </c>
      <c r="AN997">
        <v>12.02</v>
      </c>
      <c r="AO997" t="b">
        <f t="shared" si="171"/>
        <v>1</v>
      </c>
      <c r="AR997" t="s">
        <v>5061</v>
      </c>
      <c r="AS997" s="21">
        <v>46285</v>
      </c>
      <c r="AT997" t="s">
        <v>5062</v>
      </c>
      <c r="AU997" t="s">
        <v>5085</v>
      </c>
      <c r="AV997" t="s">
        <v>5089</v>
      </c>
      <c r="AW997" t="s">
        <v>5316</v>
      </c>
    </row>
    <row r="998" spans="1:49" x14ac:dyDescent="0.35">
      <c r="A998" t="s">
        <v>5102</v>
      </c>
      <c r="B998" t="s">
        <v>4106</v>
      </c>
      <c r="C998" t="s">
        <v>4818</v>
      </c>
      <c r="D998" t="s">
        <v>18</v>
      </c>
      <c r="E998" t="s">
        <v>4806</v>
      </c>
      <c r="F998" t="s">
        <v>4807</v>
      </c>
      <c r="G998" t="s">
        <v>21</v>
      </c>
      <c r="H998" t="s">
        <v>4826</v>
      </c>
      <c r="I998" t="s">
        <v>5028</v>
      </c>
      <c r="J998" t="s">
        <v>5029</v>
      </c>
      <c r="K998" t="s">
        <v>4845</v>
      </c>
      <c r="L998" t="s">
        <v>4946</v>
      </c>
      <c r="M998" t="s">
        <v>5035</v>
      </c>
      <c r="N998" t="s">
        <v>15</v>
      </c>
      <c r="O998" t="s">
        <v>4808</v>
      </c>
      <c r="P998" t="s">
        <v>23</v>
      </c>
      <c r="Q998" t="s">
        <v>24</v>
      </c>
      <c r="R998" t="s">
        <v>5216</v>
      </c>
      <c r="S998" t="s">
        <v>5217</v>
      </c>
      <c r="T998" s="6">
        <v>46307</v>
      </c>
      <c r="U998">
        <v>12</v>
      </c>
      <c r="V998">
        <v>12</v>
      </c>
      <c r="W998">
        <v>216</v>
      </c>
      <c r="X998">
        <v>216</v>
      </c>
      <c r="Y998">
        <f t="shared" si="166"/>
        <v>0</v>
      </c>
      <c r="AC998">
        <v>12</v>
      </c>
      <c r="AF998">
        <v>12</v>
      </c>
      <c r="AG998" s="41">
        <v>12</v>
      </c>
      <c r="AH998">
        <f t="shared" si="168"/>
        <v>12</v>
      </c>
      <c r="AI998">
        <f t="shared" si="173"/>
        <v>0</v>
      </c>
      <c r="AK998">
        <f t="shared" si="170"/>
        <v>1</v>
      </c>
      <c r="AL998">
        <v>12.09</v>
      </c>
      <c r="AM998" t="s">
        <v>27</v>
      </c>
      <c r="AN998">
        <v>12.09</v>
      </c>
      <c r="AO998" t="b">
        <f t="shared" si="171"/>
        <v>1</v>
      </c>
      <c r="AR998" t="s">
        <v>5061</v>
      </c>
      <c r="AS998" s="21">
        <v>46285</v>
      </c>
      <c r="AT998" t="s">
        <v>5062</v>
      </c>
      <c r="AU998" t="s">
        <v>5084</v>
      </c>
      <c r="AV998" t="s">
        <v>5089</v>
      </c>
      <c r="AW998" t="s">
        <v>5316</v>
      </c>
    </row>
    <row r="999" spans="1:49" x14ac:dyDescent="0.35">
      <c r="A999" t="s">
        <v>5103</v>
      </c>
      <c r="B999" t="s">
        <v>2719</v>
      </c>
      <c r="C999" t="s">
        <v>4818</v>
      </c>
      <c r="D999" t="s">
        <v>18</v>
      </c>
      <c r="E999" t="s">
        <v>2720</v>
      </c>
      <c r="F999" t="s">
        <v>2721</v>
      </c>
      <c r="G999" t="s">
        <v>21</v>
      </c>
      <c r="H999" t="s">
        <v>4888</v>
      </c>
      <c r="I999" t="s">
        <v>4981</v>
      </c>
      <c r="J999" t="s">
        <v>4982</v>
      </c>
      <c r="K999" t="s">
        <v>4904</v>
      </c>
      <c r="L999" t="s">
        <v>4983</v>
      </c>
      <c r="M999" t="s">
        <v>5035</v>
      </c>
      <c r="N999" t="s">
        <v>2722</v>
      </c>
      <c r="O999" t="s">
        <v>2723</v>
      </c>
      <c r="P999" t="s">
        <v>23</v>
      </c>
      <c r="Q999" t="s">
        <v>24</v>
      </c>
      <c r="R999" t="s">
        <v>5216</v>
      </c>
      <c r="S999" t="s">
        <v>5217</v>
      </c>
      <c r="T999" s="6">
        <v>46307</v>
      </c>
      <c r="U999">
        <v>12</v>
      </c>
      <c r="V999">
        <v>12</v>
      </c>
      <c r="W999">
        <v>12</v>
      </c>
      <c r="X999">
        <v>12</v>
      </c>
      <c r="Y999">
        <f t="shared" si="166"/>
        <v>0</v>
      </c>
      <c r="AC999">
        <v>12</v>
      </c>
      <c r="AF999">
        <v>12</v>
      </c>
      <c r="AG999" s="41">
        <v>12</v>
      </c>
      <c r="AH999">
        <f t="shared" si="168"/>
        <v>12</v>
      </c>
      <c r="AI999">
        <f t="shared" si="173"/>
        <v>0</v>
      </c>
      <c r="AK999">
        <f t="shared" si="170"/>
        <v>1</v>
      </c>
      <c r="AL999">
        <v>14.2</v>
      </c>
      <c r="AM999" t="s">
        <v>27</v>
      </c>
      <c r="AN999">
        <v>14.2</v>
      </c>
      <c r="AO999" t="b">
        <f t="shared" si="171"/>
        <v>1</v>
      </c>
      <c r="AR999" t="s">
        <v>5061</v>
      </c>
      <c r="AS999" s="21">
        <v>46284</v>
      </c>
      <c r="AT999" t="s">
        <v>5074</v>
      </c>
      <c r="AU999" t="s">
        <v>5075</v>
      </c>
      <c r="AV999" t="s">
        <v>5074</v>
      </c>
      <c r="AW999" t="s">
        <v>5311</v>
      </c>
    </row>
    <row r="1000" spans="1:49" x14ac:dyDescent="0.35">
      <c r="A1000" t="s">
        <v>5103</v>
      </c>
      <c r="B1000" t="s">
        <v>2719</v>
      </c>
      <c r="C1000" t="s">
        <v>4818</v>
      </c>
      <c r="D1000" t="s">
        <v>18</v>
      </c>
      <c r="E1000" t="s">
        <v>2724</v>
      </c>
      <c r="F1000" t="s">
        <v>2725</v>
      </c>
      <c r="G1000" t="s">
        <v>21</v>
      </c>
      <c r="H1000" t="s">
        <v>4888</v>
      </c>
      <c r="I1000" t="s">
        <v>4981</v>
      </c>
      <c r="J1000" t="s">
        <v>4982</v>
      </c>
      <c r="K1000" t="s">
        <v>4984</v>
      </c>
      <c r="L1000" t="s">
        <v>4985</v>
      </c>
      <c r="M1000" t="s">
        <v>5035</v>
      </c>
      <c r="N1000" t="s">
        <v>2726</v>
      </c>
      <c r="O1000" t="s">
        <v>2727</v>
      </c>
      <c r="P1000" t="s">
        <v>23</v>
      </c>
      <c r="Q1000" t="s">
        <v>24</v>
      </c>
      <c r="R1000" t="s">
        <v>5216</v>
      </c>
      <c r="S1000" t="s">
        <v>5217</v>
      </c>
      <c r="T1000" s="6">
        <v>46307</v>
      </c>
      <c r="U1000">
        <v>12</v>
      </c>
      <c r="V1000">
        <v>12</v>
      </c>
      <c r="W1000">
        <v>12</v>
      </c>
      <c r="X1000">
        <v>12</v>
      </c>
      <c r="Y1000">
        <f t="shared" si="166"/>
        <v>0</v>
      </c>
      <c r="AC1000">
        <v>12</v>
      </c>
      <c r="AF1000">
        <v>12</v>
      </c>
      <c r="AG1000" s="41">
        <v>12</v>
      </c>
      <c r="AH1000">
        <f t="shared" si="168"/>
        <v>12</v>
      </c>
      <c r="AI1000">
        <f t="shared" si="173"/>
        <v>0</v>
      </c>
      <c r="AK1000">
        <f t="shared" si="170"/>
        <v>1</v>
      </c>
      <c r="AL1000">
        <v>13.96</v>
      </c>
      <c r="AM1000" t="s">
        <v>27</v>
      </c>
      <c r="AN1000">
        <v>13.96</v>
      </c>
      <c r="AO1000" t="b">
        <f t="shared" si="171"/>
        <v>1</v>
      </c>
      <c r="AR1000" t="s">
        <v>5061</v>
      </c>
      <c r="AS1000" s="21">
        <v>46284</v>
      </c>
      <c r="AT1000" t="s">
        <v>5074</v>
      </c>
      <c r="AU1000" t="s">
        <v>5075</v>
      </c>
      <c r="AV1000" t="s">
        <v>5074</v>
      </c>
      <c r="AW1000" t="s">
        <v>5311</v>
      </c>
    </row>
    <row r="1001" spans="1:49" x14ac:dyDescent="0.35">
      <c r="A1001" t="s">
        <v>5103</v>
      </c>
      <c r="B1001" t="s">
        <v>2719</v>
      </c>
      <c r="C1001" t="s">
        <v>4818</v>
      </c>
      <c r="D1001" t="s">
        <v>18</v>
      </c>
      <c r="E1001" t="s">
        <v>2760</v>
      </c>
      <c r="F1001" t="s">
        <v>2761</v>
      </c>
      <c r="G1001" t="s">
        <v>21</v>
      </c>
      <c r="H1001" t="s">
        <v>4888</v>
      </c>
      <c r="I1001" t="s">
        <v>4981</v>
      </c>
      <c r="J1001" t="s">
        <v>4982</v>
      </c>
      <c r="K1001" t="s">
        <v>4984</v>
      </c>
      <c r="L1001" t="s">
        <v>4989</v>
      </c>
      <c r="M1001" t="s">
        <v>5035</v>
      </c>
      <c r="N1001" t="s">
        <v>2762</v>
      </c>
      <c r="O1001" t="s">
        <v>2763</v>
      </c>
      <c r="P1001" t="s">
        <v>23</v>
      </c>
      <c r="Q1001" t="s">
        <v>24</v>
      </c>
      <c r="R1001" t="s">
        <v>5216</v>
      </c>
      <c r="S1001" t="s">
        <v>5217</v>
      </c>
      <c r="T1001" s="6">
        <v>46307</v>
      </c>
      <c r="U1001">
        <v>12</v>
      </c>
      <c r="V1001">
        <v>12</v>
      </c>
      <c r="W1001">
        <v>12</v>
      </c>
      <c r="X1001">
        <v>12</v>
      </c>
      <c r="Y1001">
        <f t="shared" si="166"/>
        <v>0</v>
      </c>
      <c r="AC1001">
        <v>12</v>
      </c>
      <c r="AF1001">
        <v>12</v>
      </c>
      <c r="AG1001" s="41">
        <v>12</v>
      </c>
      <c r="AH1001">
        <f t="shared" si="168"/>
        <v>12</v>
      </c>
      <c r="AI1001">
        <f t="shared" si="173"/>
        <v>0</v>
      </c>
      <c r="AK1001">
        <f t="shared" si="170"/>
        <v>1</v>
      </c>
      <c r="AL1001">
        <v>13.96</v>
      </c>
      <c r="AM1001" t="s">
        <v>27</v>
      </c>
      <c r="AN1001">
        <v>13.96</v>
      </c>
      <c r="AO1001" t="b">
        <f t="shared" si="171"/>
        <v>1</v>
      </c>
      <c r="AR1001" t="s">
        <v>5061</v>
      </c>
      <c r="AS1001" s="21">
        <v>46284</v>
      </c>
      <c r="AT1001" t="s">
        <v>5074</v>
      </c>
      <c r="AU1001" t="s">
        <v>5075</v>
      </c>
      <c r="AV1001" t="s">
        <v>5074</v>
      </c>
      <c r="AW1001" t="s">
        <v>5311</v>
      </c>
    </row>
    <row r="1002" spans="1:49" x14ac:dyDescent="0.35">
      <c r="A1002" t="s">
        <v>5103</v>
      </c>
      <c r="B1002" t="s">
        <v>2719</v>
      </c>
      <c r="C1002" t="s">
        <v>4818</v>
      </c>
      <c r="D1002" t="s">
        <v>18</v>
      </c>
      <c r="E1002" t="s">
        <v>2768</v>
      </c>
      <c r="F1002" t="s">
        <v>2769</v>
      </c>
      <c r="G1002" t="s">
        <v>21</v>
      </c>
      <c r="H1002" t="s">
        <v>4888</v>
      </c>
      <c r="I1002" t="s">
        <v>4981</v>
      </c>
      <c r="J1002" t="s">
        <v>4982</v>
      </c>
      <c r="K1002" t="s">
        <v>4984</v>
      </c>
      <c r="L1002" t="s">
        <v>4990</v>
      </c>
      <c r="M1002" t="s">
        <v>5035</v>
      </c>
      <c r="N1002" t="s">
        <v>2770</v>
      </c>
      <c r="O1002" t="s">
        <v>2771</v>
      </c>
      <c r="P1002" t="s">
        <v>23</v>
      </c>
      <c r="Q1002" t="s">
        <v>24</v>
      </c>
      <c r="R1002" t="s">
        <v>5216</v>
      </c>
      <c r="S1002" t="s">
        <v>5217</v>
      </c>
      <c r="T1002" s="6">
        <v>46307</v>
      </c>
      <c r="U1002">
        <v>12</v>
      </c>
      <c r="V1002">
        <v>12</v>
      </c>
      <c r="W1002">
        <v>12</v>
      </c>
      <c r="X1002">
        <v>12</v>
      </c>
      <c r="Y1002">
        <f t="shared" si="166"/>
        <v>0</v>
      </c>
      <c r="AC1002">
        <v>12</v>
      </c>
      <c r="AF1002">
        <v>12</v>
      </c>
      <c r="AG1002" s="41">
        <v>12</v>
      </c>
      <c r="AH1002">
        <f t="shared" si="168"/>
        <v>12</v>
      </c>
      <c r="AI1002">
        <f t="shared" si="173"/>
        <v>0</v>
      </c>
      <c r="AK1002">
        <f t="shared" si="170"/>
        <v>1</v>
      </c>
      <c r="AL1002">
        <v>13.96</v>
      </c>
      <c r="AM1002" t="s">
        <v>27</v>
      </c>
      <c r="AN1002">
        <v>13.96</v>
      </c>
      <c r="AO1002" t="b">
        <f t="shared" si="171"/>
        <v>1</v>
      </c>
      <c r="AR1002" t="s">
        <v>5061</v>
      </c>
      <c r="AS1002" s="21">
        <v>46284</v>
      </c>
      <c r="AT1002" t="s">
        <v>5074</v>
      </c>
      <c r="AU1002" t="s">
        <v>5075</v>
      </c>
      <c r="AV1002" t="s">
        <v>5074</v>
      </c>
      <c r="AW1002" t="s">
        <v>5311</v>
      </c>
    </row>
    <row r="1003" spans="1:49" x14ac:dyDescent="0.35">
      <c r="A1003" t="s">
        <v>5104</v>
      </c>
      <c r="B1003" t="s">
        <v>74</v>
      </c>
      <c r="C1003" t="s">
        <v>4818</v>
      </c>
      <c r="D1003" t="s">
        <v>18</v>
      </c>
      <c r="E1003" t="s">
        <v>787</v>
      </c>
      <c r="F1003" t="s">
        <v>788</v>
      </c>
      <c r="G1003" t="s">
        <v>21</v>
      </c>
      <c r="H1003" t="s">
        <v>4834</v>
      </c>
      <c r="I1003" t="s">
        <v>4849</v>
      </c>
      <c r="J1003" t="s">
        <v>4850</v>
      </c>
      <c r="K1003" t="s">
        <v>4837</v>
      </c>
      <c r="L1003" t="s">
        <v>4885</v>
      </c>
      <c r="M1003" t="s">
        <v>5035</v>
      </c>
      <c r="N1003" t="s">
        <v>789</v>
      </c>
      <c r="O1003" t="s">
        <v>790</v>
      </c>
      <c r="P1003" t="s">
        <v>23</v>
      </c>
      <c r="Q1003" t="s">
        <v>24</v>
      </c>
      <c r="R1003" t="s">
        <v>5216</v>
      </c>
      <c r="S1003" t="s">
        <v>5217</v>
      </c>
      <c r="T1003" s="6">
        <v>46307</v>
      </c>
      <c r="U1003">
        <v>24</v>
      </c>
      <c r="V1003">
        <v>24</v>
      </c>
      <c r="W1003">
        <v>24</v>
      </c>
      <c r="X1003">
        <v>24</v>
      </c>
      <c r="Y1003">
        <f t="shared" si="166"/>
        <v>0</v>
      </c>
      <c r="AC1003">
        <v>24</v>
      </c>
      <c r="AF1003">
        <v>24</v>
      </c>
      <c r="AG1003" s="41">
        <v>6</v>
      </c>
      <c r="AH1003">
        <f t="shared" si="168"/>
        <v>24</v>
      </c>
      <c r="AI1003">
        <f t="shared" si="173"/>
        <v>0</v>
      </c>
      <c r="AK1003">
        <f t="shared" si="170"/>
        <v>4</v>
      </c>
      <c r="AL1003">
        <v>14.78</v>
      </c>
      <c r="AM1003" t="s">
        <v>27</v>
      </c>
      <c r="AN1003">
        <v>14.78</v>
      </c>
      <c r="AO1003" t="b">
        <f t="shared" si="171"/>
        <v>1</v>
      </c>
      <c r="AR1003" t="s">
        <v>5061</v>
      </c>
      <c r="AS1003" s="21">
        <v>46284</v>
      </c>
      <c r="AT1003" t="s">
        <v>5064</v>
      </c>
      <c r="AU1003" t="s">
        <v>5066</v>
      </c>
      <c r="AV1003" t="s">
        <v>5088</v>
      </c>
      <c r="AW1003" t="s">
        <v>5311</v>
      </c>
    </row>
    <row r="1004" spans="1:49" x14ac:dyDescent="0.35">
      <c r="A1004" t="s">
        <v>5105</v>
      </c>
      <c r="B1004" t="s">
        <v>872</v>
      </c>
      <c r="C1004" t="s">
        <v>4818</v>
      </c>
      <c r="D1004" t="s">
        <v>18</v>
      </c>
      <c r="E1004" t="s">
        <v>5106</v>
      </c>
      <c r="F1004" t="s">
        <v>5107</v>
      </c>
      <c r="G1004" t="s">
        <v>21</v>
      </c>
      <c r="H1004" t="s">
        <v>5000</v>
      </c>
      <c r="I1004" t="s">
        <v>5312</v>
      </c>
      <c r="J1004" t="s">
        <v>5313</v>
      </c>
      <c r="K1004" t="s">
        <v>4899</v>
      </c>
      <c r="L1004">
        <v>12</v>
      </c>
      <c r="M1004" t="s">
        <v>5035</v>
      </c>
      <c r="N1004" t="s">
        <v>5218</v>
      </c>
      <c r="O1004" t="s">
        <v>5219</v>
      </c>
      <c r="P1004" t="s">
        <v>23</v>
      </c>
      <c r="Q1004" t="s">
        <v>24</v>
      </c>
      <c r="R1004" t="s">
        <v>5216</v>
      </c>
      <c r="S1004" t="s">
        <v>5217</v>
      </c>
      <c r="T1004" s="6">
        <v>46307</v>
      </c>
      <c r="U1004">
        <v>130</v>
      </c>
      <c r="V1004">
        <v>130</v>
      </c>
      <c r="W1004">
        <v>140</v>
      </c>
      <c r="X1004">
        <v>140</v>
      </c>
      <c r="Y1004">
        <f t="shared" si="166"/>
        <v>0</v>
      </c>
      <c r="AC1004">
        <v>130</v>
      </c>
      <c r="AF1004">
        <v>130</v>
      </c>
      <c r="AG1004" s="41">
        <v>10</v>
      </c>
      <c r="AH1004">
        <f t="shared" si="168"/>
        <v>130</v>
      </c>
      <c r="AI1004">
        <f t="shared" si="173"/>
        <v>0</v>
      </c>
      <c r="AK1004">
        <f t="shared" si="170"/>
        <v>13</v>
      </c>
      <c r="AL1004">
        <v>14.48</v>
      </c>
      <c r="AM1004" t="s">
        <v>27</v>
      </c>
      <c r="AN1004">
        <v>14.48</v>
      </c>
      <c r="AO1004" t="b">
        <f t="shared" si="171"/>
        <v>1</v>
      </c>
      <c r="AR1004" t="s">
        <v>5061</v>
      </c>
      <c r="AS1004" s="21">
        <v>46284</v>
      </c>
      <c r="AT1004" t="s">
        <v>5062</v>
      </c>
      <c r="AU1004" t="s">
        <v>5315</v>
      </c>
      <c r="AV1004" t="s">
        <v>5062</v>
      </c>
      <c r="AW1004" t="s">
        <v>5311</v>
      </c>
    </row>
    <row r="1005" spans="1:49" x14ac:dyDescent="0.35">
      <c r="A1005" t="s">
        <v>5105</v>
      </c>
      <c r="B1005" t="s">
        <v>872</v>
      </c>
      <c r="C1005" t="s">
        <v>4818</v>
      </c>
      <c r="D1005" t="s">
        <v>18</v>
      </c>
      <c r="E1005" t="s">
        <v>5108</v>
      </c>
      <c r="F1005" t="s">
        <v>5109</v>
      </c>
      <c r="G1005" t="s">
        <v>21</v>
      </c>
      <c r="H1005" t="s">
        <v>5000</v>
      </c>
      <c r="I1005" t="s">
        <v>5312</v>
      </c>
      <c r="J1005" t="s">
        <v>5313</v>
      </c>
      <c r="K1005" t="s">
        <v>4843</v>
      </c>
      <c r="L1005">
        <v>6</v>
      </c>
      <c r="M1005" t="s">
        <v>5035</v>
      </c>
      <c r="N1005" t="s">
        <v>5220</v>
      </c>
      <c r="O1005" t="s">
        <v>5221</v>
      </c>
      <c r="P1005" t="s">
        <v>23</v>
      </c>
      <c r="Q1005" t="s">
        <v>24</v>
      </c>
      <c r="R1005" t="s">
        <v>5216</v>
      </c>
      <c r="S1005" t="s">
        <v>5217</v>
      </c>
      <c r="T1005" s="6">
        <v>46307</v>
      </c>
      <c r="U1005">
        <v>300</v>
      </c>
      <c r="V1005">
        <v>300</v>
      </c>
      <c r="W1005">
        <v>320</v>
      </c>
      <c r="X1005">
        <v>320</v>
      </c>
      <c r="Y1005">
        <f t="shared" si="166"/>
        <v>0</v>
      </c>
      <c r="AC1005">
        <v>300</v>
      </c>
      <c r="AF1005">
        <v>300</v>
      </c>
      <c r="AG1005" s="41">
        <v>10</v>
      </c>
      <c r="AH1005">
        <f t="shared" si="168"/>
        <v>300</v>
      </c>
      <c r="AI1005">
        <f t="shared" si="173"/>
        <v>0</v>
      </c>
      <c r="AK1005">
        <f t="shared" si="170"/>
        <v>30</v>
      </c>
      <c r="AL1005">
        <v>15.37</v>
      </c>
      <c r="AM1005" t="s">
        <v>27</v>
      </c>
      <c r="AN1005">
        <v>15.37</v>
      </c>
      <c r="AO1005" t="b">
        <f t="shared" si="171"/>
        <v>1</v>
      </c>
      <c r="AR1005" t="s">
        <v>5061</v>
      </c>
      <c r="AS1005" s="21">
        <v>46284</v>
      </c>
      <c r="AT1005" t="s">
        <v>5062</v>
      </c>
      <c r="AU1005" t="s">
        <v>5315</v>
      </c>
      <c r="AV1005" t="s">
        <v>5062</v>
      </c>
      <c r="AW1005" t="s">
        <v>5311</v>
      </c>
    </row>
    <row r="1006" spans="1:49" x14ac:dyDescent="0.35">
      <c r="A1006" t="s">
        <v>5105</v>
      </c>
      <c r="B1006" t="s">
        <v>872</v>
      </c>
      <c r="C1006" t="s">
        <v>4818</v>
      </c>
      <c r="D1006" t="s">
        <v>18</v>
      </c>
      <c r="E1006" t="s">
        <v>5110</v>
      </c>
      <c r="F1006" t="s">
        <v>5111</v>
      </c>
      <c r="G1006" t="s">
        <v>21</v>
      </c>
      <c r="H1006" t="s">
        <v>5000</v>
      </c>
      <c r="I1006" t="s">
        <v>5312</v>
      </c>
      <c r="J1006" t="s">
        <v>5313</v>
      </c>
      <c r="K1006" t="s">
        <v>4843</v>
      </c>
      <c r="L1006">
        <v>12</v>
      </c>
      <c r="M1006" t="s">
        <v>5035</v>
      </c>
      <c r="N1006" t="s">
        <v>5222</v>
      </c>
      <c r="O1006" t="s">
        <v>5223</v>
      </c>
      <c r="P1006" t="s">
        <v>23</v>
      </c>
      <c r="Q1006" t="s">
        <v>24</v>
      </c>
      <c r="R1006" t="s">
        <v>5216</v>
      </c>
      <c r="S1006" t="s">
        <v>5217</v>
      </c>
      <c r="T1006" s="6">
        <v>46307</v>
      </c>
      <c r="U1006">
        <v>230</v>
      </c>
      <c r="V1006">
        <v>230</v>
      </c>
      <c r="W1006">
        <v>250</v>
      </c>
      <c r="X1006">
        <v>250</v>
      </c>
      <c r="Y1006">
        <f t="shared" si="166"/>
        <v>0</v>
      </c>
      <c r="AC1006">
        <v>230</v>
      </c>
      <c r="AF1006">
        <v>230</v>
      </c>
      <c r="AG1006" s="41">
        <v>10</v>
      </c>
      <c r="AH1006">
        <f t="shared" si="168"/>
        <v>230</v>
      </c>
      <c r="AI1006">
        <f t="shared" si="173"/>
        <v>0</v>
      </c>
      <c r="AK1006">
        <f t="shared" si="170"/>
        <v>23</v>
      </c>
      <c r="AL1006">
        <v>15.37</v>
      </c>
      <c r="AM1006" t="s">
        <v>27</v>
      </c>
      <c r="AN1006">
        <v>15.37</v>
      </c>
      <c r="AO1006" t="b">
        <f t="shared" si="171"/>
        <v>1</v>
      </c>
      <c r="AR1006" t="s">
        <v>5061</v>
      </c>
      <c r="AS1006" s="21">
        <v>46284</v>
      </c>
      <c r="AT1006" t="s">
        <v>5062</v>
      </c>
      <c r="AU1006" t="s">
        <v>5315</v>
      </c>
      <c r="AV1006" t="s">
        <v>5062</v>
      </c>
      <c r="AW1006" t="s">
        <v>5311</v>
      </c>
    </row>
    <row r="1007" spans="1:49" x14ac:dyDescent="0.35">
      <c r="A1007" t="s">
        <v>5105</v>
      </c>
      <c r="B1007" t="s">
        <v>872</v>
      </c>
      <c r="C1007" t="s">
        <v>4818</v>
      </c>
      <c r="D1007" t="s">
        <v>18</v>
      </c>
      <c r="E1007" t="s">
        <v>5112</v>
      </c>
      <c r="F1007" t="s">
        <v>5113</v>
      </c>
      <c r="G1007" t="s">
        <v>21</v>
      </c>
      <c r="H1007" t="s">
        <v>5000</v>
      </c>
      <c r="I1007" t="s">
        <v>5312</v>
      </c>
      <c r="J1007" t="s">
        <v>5313</v>
      </c>
      <c r="K1007" t="s">
        <v>4843</v>
      </c>
      <c r="L1007">
        <v>4</v>
      </c>
      <c r="M1007" t="s">
        <v>5035</v>
      </c>
      <c r="N1007" t="s">
        <v>5224</v>
      </c>
      <c r="O1007" t="s">
        <v>5225</v>
      </c>
      <c r="P1007" t="s">
        <v>23</v>
      </c>
      <c r="Q1007" t="s">
        <v>24</v>
      </c>
      <c r="R1007" t="s">
        <v>5216</v>
      </c>
      <c r="S1007" t="s">
        <v>5217</v>
      </c>
      <c r="T1007" s="6">
        <v>46307</v>
      </c>
      <c r="U1007">
        <v>280</v>
      </c>
      <c r="V1007">
        <v>280</v>
      </c>
      <c r="W1007">
        <v>300</v>
      </c>
      <c r="X1007">
        <v>300</v>
      </c>
      <c r="Y1007">
        <f t="shared" si="166"/>
        <v>0</v>
      </c>
      <c r="AC1007">
        <v>280</v>
      </c>
      <c r="AF1007">
        <v>280</v>
      </c>
      <c r="AG1007" s="41">
        <v>10</v>
      </c>
      <c r="AH1007">
        <f t="shared" si="168"/>
        <v>280</v>
      </c>
      <c r="AI1007">
        <f t="shared" si="173"/>
        <v>0</v>
      </c>
      <c r="AK1007">
        <f t="shared" si="170"/>
        <v>28</v>
      </c>
      <c r="AL1007">
        <v>15.37</v>
      </c>
      <c r="AM1007" t="s">
        <v>27</v>
      </c>
      <c r="AN1007">
        <v>15.37</v>
      </c>
      <c r="AO1007" t="b">
        <f t="shared" si="171"/>
        <v>1</v>
      </c>
      <c r="AR1007" t="s">
        <v>5061</v>
      </c>
      <c r="AS1007" s="21">
        <v>46284</v>
      </c>
      <c r="AT1007" t="s">
        <v>5062</v>
      </c>
      <c r="AU1007" t="s">
        <v>5315</v>
      </c>
      <c r="AV1007" t="s">
        <v>5062</v>
      </c>
      <c r="AW1007" t="s">
        <v>5311</v>
      </c>
    </row>
    <row r="1008" spans="1:49" x14ac:dyDescent="0.35">
      <c r="A1008" t="s">
        <v>5105</v>
      </c>
      <c r="B1008" t="s">
        <v>872</v>
      </c>
      <c r="C1008" t="s">
        <v>4818</v>
      </c>
      <c r="D1008" t="s">
        <v>18</v>
      </c>
      <c r="E1008" t="s">
        <v>5114</v>
      </c>
      <c r="F1008" t="s">
        <v>5115</v>
      </c>
      <c r="G1008" t="s">
        <v>21</v>
      </c>
      <c r="H1008" t="s">
        <v>5000</v>
      </c>
      <c r="I1008" t="s">
        <v>5312</v>
      </c>
      <c r="J1008" t="s">
        <v>5313</v>
      </c>
      <c r="K1008" t="s">
        <v>4843</v>
      </c>
      <c r="L1008">
        <v>16</v>
      </c>
      <c r="M1008" t="s">
        <v>5035</v>
      </c>
      <c r="N1008" t="s">
        <v>5226</v>
      </c>
      <c r="O1008" t="s">
        <v>5227</v>
      </c>
      <c r="P1008" t="s">
        <v>23</v>
      </c>
      <c r="Q1008" t="s">
        <v>24</v>
      </c>
      <c r="R1008" t="s">
        <v>5216</v>
      </c>
      <c r="S1008" t="s">
        <v>5217</v>
      </c>
      <c r="T1008" s="6">
        <v>46307</v>
      </c>
      <c r="U1008">
        <v>190</v>
      </c>
      <c r="V1008">
        <v>190</v>
      </c>
      <c r="W1008">
        <v>210</v>
      </c>
      <c r="X1008">
        <v>210</v>
      </c>
      <c r="Y1008">
        <f t="shared" si="166"/>
        <v>0</v>
      </c>
      <c r="AC1008">
        <v>190</v>
      </c>
      <c r="AF1008">
        <v>190</v>
      </c>
      <c r="AG1008" s="41">
        <v>10</v>
      </c>
      <c r="AH1008">
        <f t="shared" si="168"/>
        <v>190</v>
      </c>
      <c r="AI1008">
        <f t="shared" si="173"/>
        <v>0</v>
      </c>
      <c r="AK1008">
        <f t="shared" si="170"/>
        <v>19</v>
      </c>
      <c r="AL1008">
        <v>15.37</v>
      </c>
      <c r="AM1008" t="s">
        <v>27</v>
      </c>
      <c r="AN1008">
        <v>15.37</v>
      </c>
      <c r="AO1008" t="b">
        <f t="shared" si="171"/>
        <v>1</v>
      </c>
      <c r="AR1008" t="s">
        <v>5061</v>
      </c>
      <c r="AS1008" s="21">
        <v>46284</v>
      </c>
      <c r="AT1008" t="s">
        <v>5062</v>
      </c>
      <c r="AU1008" t="s">
        <v>5315</v>
      </c>
      <c r="AV1008" t="s">
        <v>5062</v>
      </c>
      <c r="AW1008" t="s">
        <v>5311</v>
      </c>
    </row>
    <row r="1009" spans="1:49" x14ac:dyDescent="0.35">
      <c r="A1009" t="s">
        <v>5105</v>
      </c>
      <c r="B1009" t="s">
        <v>872</v>
      </c>
      <c r="C1009" t="s">
        <v>4818</v>
      </c>
      <c r="D1009" t="s">
        <v>18</v>
      </c>
      <c r="E1009" t="s">
        <v>5116</v>
      </c>
      <c r="F1009" t="s">
        <v>5117</v>
      </c>
      <c r="G1009" t="s">
        <v>21</v>
      </c>
      <c r="H1009" t="s">
        <v>5000</v>
      </c>
      <c r="I1009" t="s">
        <v>5312</v>
      </c>
      <c r="J1009" t="s">
        <v>5313</v>
      </c>
      <c r="K1009" t="s">
        <v>4899</v>
      </c>
      <c r="L1009">
        <v>8</v>
      </c>
      <c r="M1009" t="s">
        <v>5035</v>
      </c>
      <c r="N1009" t="s">
        <v>5228</v>
      </c>
      <c r="O1009" t="s">
        <v>5229</v>
      </c>
      <c r="P1009" t="s">
        <v>23</v>
      </c>
      <c r="Q1009" t="s">
        <v>24</v>
      </c>
      <c r="R1009" t="s">
        <v>5216</v>
      </c>
      <c r="S1009" t="s">
        <v>5217</v>
      </c>
      <c r="T1009" s="6">
        <v>46307</v>
      </c>
      <c r="U1009">
        <v>20</v>
      </c>
      <c r="V1009">
        <v>20</v>
      </c>
      <c r="W1009">
        <v>20</v>
      </c>
      <c r="X1009">
        <v>20</v>
      </c>
      <c r="Y1009">
        <f t="shared" si="166"/>
        <v>0</v>
      </c>
      <c r="AC1009">
        <v>20</v>
      </c>
      <c r="AF1009">
        <v>20</v>
      </c>
      <c r="AG1009" s="41">
        <v>10</v>
      </c>
      <c r="AH1009">
        <f t="shared" si="168"/>
        <v>20</v>
      </c>
      <c r="AI1009">
        <f t="shared" si="173"/>
        <v>0</v>
      </c>
      <c r="AK1009">
        <f t="shared" si="170"/>
        <v>2</v>
      </c>
      <c r="AL1009">
        <v>14.48</v>
      </c>
      <c r="AM1009" t="s">
        <v>27</v>
      </c>
      <c r="AN1009">
        <v>14.48</v>
      </c>
      <c r="AO1009" t="b">
        <f t="shared" si="171"/>
        <v>1</v>
      </c>
      <c r="AR1009" t="s">
        <v>5061</v>
      </c>
      <c r="AS1009" s="21">
        <v>46284</v>
      </c>
      <c r="AT1009" t="s">
        <v>5062</v>
      </c>
      <c r="AU1009" t="s">
        <v>5315</v>
      </c>
      <c r="AV1009" t="s">
        <v>5062</v>
      </c>
      <c r="AW1009" t="s">
        <v>5311</v>
      </c>
    </row>
    <row r="1010" spans="1:49" x14ac:dyDescent="0.35">
      <c r="A1010" t="s">
        <v>5105</v>
      </c>
      <c r="B1010" t="s">
        <v>872</v>
      </c>
      <c r="C1010" t="s">
        <v>4818</v>
      </c>
      <c r="D1010" t="s">
        <v>18</v>
      </c>
      <c r="E1010" t="s">
        <v>5118</v>
      </c>
      <c r="F1010" t="s">
        <v>5119</v>
      </c>
      <c r="G1010" t="s">
        <v>21</v>
      </c>
      <c r="H1010" t="s">
        <v>5000</v>
      </c>
      <c r="I1010" t="s">
        <v>5312</v>
      </c>
      <c r="J1010" t="s">
        <v>5313</v>
      </c>
      <c r="K1010" t="s">
        <v>5314</v>
      </c>
      <c r="L1010">
        <v>14</v>
      </c>
      <c r="M1010" t="s">
        <v>5035</v>
      </c>
      <c r="N1010" t="s">
        <v>5230</v>
      </c>
      <c r="O1010" t="s">
        <v>5231</v>
      </c>
      <c r="P1010" t="s">
        <v>23</v>
      </c>
      <c r="Q1010" t="s">
        <v>24</v>
      </c>
      <c r="R1010" t="s">
        <v>5216</v>
      </c>
      <c r="S1010" t="s">
        <v>5217</v>
      </c>
      <c r="T1010" s="6">
        <v>46307</v>
      </c>
      <c r="U1010">
        <v>270</v>
      </c>
      <c r="V1010">
        <v>270</v>
      </c>
      <c r="W1010">
        <v>290</v>
      </c>
      <c r="X1010">
        <v>290</v>
      </c>
      <c r="Y1010">
        <f t="shared" si="166"/>
        <v>0</v>
      </c>
      <c r="AC1010">
        <v>270</v>
      </c>
      <c r="AF1010">
        <v>270</v>
      </c>
      <c r="AG1010" s="41">
        <v>10</v>
      </c>
      <c r="AH1010">
        <f t="shared" si="168"/>
        <v>270</v>
      </c>
      <c r="AI1010">
        <f t="shared" si="173"/>
        <v>0</v>
      </c>
      <c r="AK1010">
        <f t="shared" si="170"/>
        <v>27</v>
      </c>
      <c r="AL1010">
        <v>14.48</v>
      </c>
      <c r="AM1010" t="s">
        <v>27</v>
      </c>
      <c r="AN1010">
        <v>14.48</v>
      </c>
      <c r="AO1010" t="b">
        <f t="shared" si="171"/>
        <v>1</v>
      </c>
      <c r="AR1010" t="s">
        <v>5061</v>
      </c>
      <c r="AS1010" s="21">
        <v>46284</v>
      </c>
      <c r="AT1010" t="s">
        <v>5062</v>
      </c>
      <c r="AU1010" t="s">
        <v>5315</v>
      </c>
      <c r="AV1010" t="s">
        <v>5062</v>
      </c>
      <c r="AW1010" t="s">
        <v>5311</v>
      </c>
    </row>
    <row r="1011" spans="1:49" x14ac:dyDescent="0.35">
      <c r="A1011" t="s">
        <v>5105</v>
      </c>
      <c r="B1011" t="s">
        <v>872</v>
      </c>
      <c r="C1011" t="s">
        <v>4818</v>
      </c>
      <c r="D1011" t="s">
        <v>18</v>
      </c>
      <c r="E1011" t="s">
        <v>5120</v>
      </c>
      <c r="F1011" t="s">
        <v>5121</v>
      </c>
      <c r="G1011" t="s">
        <v>21</v>
      </c>
      <c r="H1011" t="s">
        <v>5000</v>
      </c>
      <c r="I1011" t="s">
        <v>5312</v>
      </c>
      <c r="J1011" t="s">
        <v>5313</v>
      </c>
      <c r="K1011" t="s">
        <v>4899</v>
      </c>
      <c r="L1011">
        <v>20</v>
      </c>
      <c r="M1011" t="s">
        <v>5035</v>
      </c>
      <c r="N1011" t="s">
        <v>5232</v>
      </c>
      <c r="O1011" t="s">
        <v>5233</v>
      </c>
      <c r="P1011" t="s">
        <v>23</v>
      </c>
      <c r="Q1011" t="s">
        <v>24</v>
      </c>
      <c r="R1011" t="s">
        <v>5216</v>
      </c>
      <c r="S1011" t="s">
        <v>5217</v>
      </c>
      <c r="T1011" s="6">
        <v>46307</v>
      </c>
      <c r="U1011">
        <v>220</v>
      </c>
      <c r="V1011">
        <v>220</v>
      </c>
      <c r="W1011">
        <v>240</v>
      </c>
      <c r="X1011">
        <v>240</v>
      </c>
      <c r="Y1011">
        <f t="shared" si="166"/>
        <v>0</v>
      </c>
      <c r="AC1011">
        <v>220</v>
      </c>
      <c r="AF1011">
        <v>220</v>
      </c>
      <c r="AG1011" s="41">
        <v>10</v>
      </c>
      <c r="AH1011">
        <f t="shared" si="168"/>
        <v>220</v>
      </c>
      <c r="AI1011">
        <f t="shared" si="173"/>
        <v>0</v>
      </c>
      <c r="AK1011">
        <f t="shared" si="170"/>
        <v>22</v>
      </c>
      <c r="AL1011">
        <v>14.48</v>
      </c>
      <c r="AM1011" t="s">
        <v>27</v>
      </c>
      <c r="AN1011">
        <v>14.48</v>
      </c>
      <c r="AO1011" t="b">
        <f t="shared" si="171"/>
        <v>1</v>
      </c>
      <c r="AR1011" t="s">
        <v>5061</v>
      </c>
      <c r="AS1011" s="21">
        <v>46284</v>
      </c>
      <c r="AT1011" t="s">
        <v>5062</v>
      </c>
      <c r="AU1011" t="s">
        <v>5315</v>
      </c>
      <c r="AV1011" t="s">
        <v>5062</v>
      </c>
      <c r="AW1011" t="s">
        <v>5311</v>
      </c>
    </row>
    <row r="1012" spans="1:49" x14ac:dyDescent="0.35">
      <c r="A1012" t="s">
        <v>5105</v>
      </c>
      <c r="B1012" t="s">
        <v>872</v>
      </c>
      <c r="C1012" t="s">
        <v>4818</v>
      </c>
      <c r="D1012" t="s">
        <v>18</v>
      </c>
      <c r="E1012" t="s">
        <v>5122</v>
      </c>
      <c r="F1012" t="s">
        <v>5123</v>
      </c>
      <c r="G1012" t="s">
        <v>21</v>
      </c>
      <c r="H1012" t="s">
        <v>5000</v>
      </c>
      <c r="I1012" t="s">
        <v>5312</v>
      </c>
      <c r="J1012" t="s">
        <v>5313</v>
      </c>
      <c r="K1012" t="s">
        <v>4843</v>
      </c>
      <c r="L1012">
        <v>14</v>
      </c>
      <c r="M1012" t="s">
        <v>5035</v>
      </c>
      <c r="N1012" t="s">
        <v>5234</v>
      </c>
      <c r="O1012" t="s">
        <v>5235</v>
      </c>
      <c r="P1012" t="s">
        <v>23</v>
      </c>
      <c r="Q1012" t="s">
        <v>24</v>
      </c>
      <c r="R1012" t="s">
        <v>5216</v>
      </c>
      <c r="S1012" t="s">
        <v>5217</v>
      </c>
      <c r="T1012" s="6">
        <v>46307</v>
      </c>
      <c r="U1012">
        <v>180</v>
      </c>
      <c r="V1012">
        <v>180</v>
      </c>
      <c r="W1012">
        <v>190</v>
      </c>
      <c r="X1012">
        <v>190</v>
      </c>
      <c r="Y1012">
        <f t="shared" si="166"/>
        <v>0</v>
      </c>
      <c r="AC1012">
        <v>180</v>
      </c>
      <c r="AF1012">
        <v>180</v>
      </c>
      <c r="AG1012" s="41">
        <v>10</v>
      </c>
      <c r="AH1012">
        <f t="shared" si="168"/>
        <v>180</v>
      </c>
      <c r="AI1012">
        <f t="shared" si="173"/>
        <v>0</v>
      </c>
      <c r="AK1012">
        <f t="shared" si="170"/>
        <v>18</v>
      </c>
      <c r="AL1012">
        <v>15.37</v>
      </c>
      <c r="AM1012" t="s">
        <v>27</v>
      </c>
      <c r="AN1012">
        <v>15.37</v>
      </c>
      <c r="AO1012" t="b">
        <f t="shared" si="171"/>
        <v>1</v>
      </c>
      <c r="AR1012" t="s">
        <v>5061</v>
      </c>
      <c r="AS1012" s="21">
        <v>46284</v>
      </c>
      <c r="AT1012" t="s">
        <v>5062</v>
      </c>
      <c r="AU1012" t="s">
        <v>5315</v>
      </c>
      <c r="AV1012" t="s">
        <v>5062</v>
      </c>
      <c r="AW1012" t="s">
        <v>5311</v>
      </c>
    </row>
    <row r="1013" spans="1:49" x14ac:dyDescent="0.35">
      <c r="A1013" t="s">
        <v>5105</v>
      </c>
      <c r="B1013" t="s">
        <v>872</v>
      </c>
      <c r="C1013" t="s">
        <v>4818</v>
      </c>
      <c r="D1013" t="s">
        <v>18</v>
      </c>
      <c r="E1013" t="s">
        <v>5124</v>
      </c>
      <c r="F1013" t="s">
        <v>5125</v>
      </c>
      <c r="G1013" t="s">
        <v>21</v>
      </c>
      <c r="H1013" t="s">
        <v>5000</v>
      </c>
      <c r="I1013" t="s">
        <v>5312</v>
      </c>
      <c r="J1013" t="s">
        <v>5313</v>
      </c>
      <c r="K1013" t="s">
        <v>5314</v>
      </c>
      <c r="L1013">
        <v>2</v>
      </c>
      <c r="M1013" t="s">
        <v>5035</v>
      </c>
      <c r="N1013" t="s">
        <v>5236</v>
      </c>
      <c r="O1013" t="s">
        <v>5237</v>
      </c>
      <c r="P1013" t="s">
        <v>23</v>
      </c>
      <c r="Q1013" t="s">
        <v>24</v>
      </c>
      <c r="R1013" t="s">
        <v>5216</v>
      </c>
      <c r="S1013" t="s">
        <v>5217</v>
      </c>
      <c r="T1013" s="6">
        <v>46307</v>
      </c>
      <c r="U1013">
        <v>150</v>
      </c>
      <c r="V1013">
        <v>150</v>
      </c>
      <c r="W1013">
        <v>160</v>
      </c>
      <c r="X1013">
        <v>160</v>
      </c>
      <c r="Y1013">
        <f t="shared" si="166"/>
        <v>0</v>
      </c>
      <c r="AC1013">
        <v>150</v>
      </c>
      <c r="AF1013">
        <v>150</v>
      </c>
      <c r="AG1013" s="41">
        <v>10</v>
      </c>
      <c r="AH1013">
        <f t="shared" si="168"/>
        <v>150</v>
      </c>
      <c r="AI1013">
        <f t="shared" si="173"/>
        <v>0</v>
      </c>
      <c r="AK1013">
        <f t="shared" si="170"/>
        <v>15</v>
      </c>
      <c r="AL1013">
        <v>14.48</v>
      </c>
      <c r="AM1013" t="s">
        <v>27</v>
      </c>
      <c r="AN1013">
        <v>14.48</v>
      </c>
      <c r="AO1013" t="b">
        <f t="shared" si="171"/>
        <v>1</v>
      </c>
      <c r="AR1013" t="s">
        <v>5061</v>
      </c>
      <c r="AS1013" s="21">
        <v>46284</v>
      </c>
      <c r="AT1013" t="s">
        <v>5062</v>
      </c>
      <c r="AU1013" t="s">
        <v>5315</v>
      </c>
      <c r="AV1013" t="s">
        <v>5062</v>
      </c>
      <c r="AW1013" t="s">
        <v>5311</v>
      </c>
    </row>
    <row r="1014" spans="1:49" x14ac:dyDescent="0.35">
      <c r="A1014" t="s">
        <v>5105</v>
      </c>
      <c r="B1014" t="s">
        <v>872</v>
      </c>
      <c r="C1014" t="s">
        <v>4818</v>
      </c>
      <c r="D1014" t="s">
        <v>18</v>
      </c>
      <c r="E1014" t="s">
        <v>5126</v>
      </c>
      <c r="F1014" t="s">
        <v>5127</v>
      </c>
      <c r="G1014" t="s">
        <v>21</v>
      </c>
      <c r="H1014" t="s">
        <v>5000</v>
      </c>
      <c r="I1014" t="s">
        <v>5312</v>
      </c>
      <c r="J1014" t="s">
        <v>5313</v>
      </c>
      <c r="K1014" t="s">
        <v>4843</v>
      </c>
      <c r="L1014">
        <v>10</v>
      </c>
      <c r="M1014" t="s">
        <v>5035</v>
      </c>
      <c r="N1014" t="s">
        <v>5238</v>
      </c>
      <c r="O1014" t="s">
        <v>5239</v>
      </c>
      <c r="P1014" t="s">
        <v>23</v>
      </c>
      <c r="Q1014" t="s">
        <v>24</v>
      </c>
      <c r="R1014" t="s">
        <v>5216</v>
      </c>
      <c r="S1014" t="s">
        <v>5217</v>
      </c>
      <c r="T1014" s="6">
        <v>46307</v>
      </c>
      <c r="U1014">
        <v>220</v>
      </c>
      <c r="V1014">
        <v>220</v>
      </c>
      <c r="W1014">
        <v>240</v>
      </c>
      <c r="X1014">
        <v>240</v>
      </c>
      <c r="Y1014">
        <f t="shared" si="166"/>
        <v>0</v>
      </c>
      <c r="AC1014">
        <v>220</v>
      </c>
      <c r="AF1014">
        <v>220</v>
      </c>
      <c r="AG1014" s="41">
        <v>10</v>
      </c>
      <c r="AH1014">
        <f t="shared" si="168"/>
        <v>220</v>
      </c>
      <c r="AI1014">
        <f t="shared" si="173"/>
        <v>0</v>
      </c>
      <c r="AK1014">
        <f t="shared" si="170"/>
        <v>22</v>
      </c>
      <c r="AL1014">
        <v>15.37</v>
      </c>
      <c r="AM1014" t="s">
        <v>27</v>
      </c>
      <c r="AN1014">
        <v>15.37</v>
      </c>
      <c r="AO1014" t="b">
        <f t="shared" si="171"/>
        <v>1</v>
      </c>
      <c r="AR1014" t="s">
        <v>5061</v>
      </c>
      <c r="AS1014" s="21">
        <v>46284</v>
      </c>
      <c r="AT1014" t="s">
        <v>5062</v>
      </c>
      <c r="AU1014" t="s">
        <v>5315</v>
      </c>
      <c r="AV1014" t="s">
        <v>5062</v>
      </c>
      <c r="AW1014" t="s">
        <v>5311</v>
      </c>
    </row>
    <row r="1015" spans="1:49" x14ac:dyDescent="0.35">
      <c r="A1015" t="s">
        <v>5105</v>
      </c>
      <c r="B1015" t="s">
        <v>872</v>
      </c>
      <c r="C1015" t="s">
        <v>4818</v>
      </c>
      <c r="D1015" t="s">
        <v>18</v>
      </c>
      <c r="E1015" t="s">
        <v>5128</v>
      </c>
      <c r="F1015" t="s">
        <v>5129</v>
      </c>
      <c r="G1015" t="s">
        <v>21</v>
      </c>
      <c r="H1015" t="s">
        <v>5000</v>
      </c>
      <c r="I1015" t="s">
        <v>5312</v>
      </c>
      <c r="J1015" t="s">
        <v>5313</v>
      </c>
      <c r="K1015" t="s">
        <v>4843</v>
      </c>
      <c r="L1015">
        <v>2</v>
      </c>
      <c r="M1015" t="s">
        <v>5035</v>
      </c>
      <c r="N1015" t="s">
        <v>5240</v>
      </c>
      <c r="O1015" t="s">
        <v>5241</v>
      </c>
      <c r="P1015" t="s">
        <v>23</v>
      </c>
      <c r="Q1015" t="s">
        <v>24</v>
      </c>
      <c r="R1015" t="s">
        <v>5216</v>
      </c>
      <c r="S1015" t="s">
        <v>5217</v>
      </c>
      <c r="T1015" s="6">
        <v>46307</v>
      </c>
      <c r="U1015">
        <v>210</v>
      </c>
      <c r="V1015">
        <v>210</v>
      </c>
      <c r="W1015">
        <v>230</v>
      </c>
      <c r="X1015">
        <v>230</v>
      </c>
      <c r="Y1015">
        <f t="shared" si="166"/>
        <v>0</v>
      </c>
      <c r="AC1015">
        <v>210</v>
      </c>
      <c r="AF1015">
        <v>210</v>
      </c>
      <c r="AG1015" s="41">
        <v>10</v>
      </c>
      <c r="AH1015">
        <f t="shared" si="168"/>
        <v>210</v>
      </c>
      <c r="AI1015">
        <f t="shared" si="173"/>
        <v>0</v>
      </c>
      <c r="AK1015">
        <f t="shared" si="170"/>
        <v>21</v>
      </c>
      <c r="AL1015">
        <v>15.37</v>
      </c>
      <c r="AM1015" t="s">
        <v>27</v>
      </c>
      <c r="AN1015">
        <v>15.37</v>
      </c>
      <c r="AO1015" t="b">
        <f t="shared" si="171"/>
        <v>1</v>
      </c>
      <c r="AR1015" t="s">
        <v>5061</v>
      </c>
      <c r="AS1015" s="21">
        <v>46284</v>
      </c>
      <c r="AT1015" t="s">
        <v>5062</v>
      </c>
      <c r="AU1015" t="s">
        <v>5315</v>
      </c>
      <c r="AV1015" t="s">
        <v>5062</v>
      </c>
      <c r="AW1015" t="s">
        <v>5311</v>
      </c>
    </row>
    <row r="1016" spans="1:49" x14ac:dyDescent="0.35">
      <c r="A1016" t="s">
        <v>5105</v>
      </c>
      <c r="B1016" t="s">
        <v>872</v>
      </c>
      <c r="C1016" t="s">
        <v>4818</v>
      </c>
      <c r="D1016" t="s">
        <v>18</v>
      </c>
      <c r="E1016" t="s">
        <v>2813</v>
      </c>
      <c r="F1016" t="s">
        <v>2814</v>
      </c>
      <c r="G1016" t="s">
        <v>21</v>
      </c>
      <c r="H1016" t="s">
        <v>5000</v>
      </c>
      <c r="I1016" t="s">
        <v>5001</v>
      </c>
      <c r="J1016" t="s">
        <v>5002</v>
      </c>
      <c r="K1016" t="s">
        <v>4837</v>
      </c>
      <c r="L1016">
        <v>4</v>
      </c>
      <c r="M1016" t="s">
        <v>5035</v>
      </c>
      <c r="N1016" t="s">
        <v>2815</v>
      </c>
      <c r="O1016" t="s">
        <v>2816</v>
      </c>
      <c r="P1016" t="s">
        <v>23</v>
      </c>
      <c r="Q1016" t="s">
        <v>24</v>
      </c>
      <c r="R1016" t="s">
        <v>5216</v>
      </c>
      <c r="S1016" t="s">
        <v>5217</v>
      </c>
      <c r="T1016" s="6">
        <v>46307</v>
      </c>
      <c r="U1016">
        <v>20</v>
      </c>
      <c r="V1016">
        <v>20</v>
      </c>
      <c r="W1016">
        <v>20</v>
      </c>
      <c r="X1016">
        <v>20</v>
      </c>
      <c r="Y1016">
        <f t="shared" si="166"/>
        <v>0</v>
      </c>
      <c r="AC1016">
        <v>20</v>
      </c>
      <c r="AF1016">
        <v>20</v>
      </c>
      <c r="AG1016" s="41">
        <v>20</v>
      </c>
      <c r="AH1016">
        <f t="shared" si="168"/>
        <v>20</v>
      </c>
      <c r="AI1016">
        <f t="shared" si="173"/>
        <v>0</v>
      </c>
      <c r="AK1016">
        <f t="shared" si="170"/>
        <v>1</v>
      </c>
      <c r="AL1016">
        <v>10.06</v>
      </c>
      <c r="AM1016" t="s">
        <v>27</v>
      </c>
      <c r="AN1016">
        <v>10.06</v>
      </c>
      <c r="AO1016" t="b">
        <f t="shared" si="171"/>
        <v>1</v>
      </c>
      <c r="AR1016" t="s">
        <v>5061</v>
      </c>
      <c r="AS1016" s="21">
        <v>46284</v>
      </c>
      <c r="AT1016" t="s">
        <v>5062</v>
      </c>
      <c r="AU1016" t="s">
        <v>5077</v>
      </c>
      <c r="AV1016" t="s">
        <v>5062</v>
      </c>
      <c r="AW1016" t="s">
        <v>5311</v>
      </c>
    </row>
    <row r="1017" spans="1:49" x14ac:dyDescent="0.35">
      <c r="A1017" t="s">
        <v>5105</v>
      </c>
      <c r="B1017" t="s">
        <v>872</v>
      </c>
      <c r="C1017" t="s">
        <v>4818</v>
      </c>
      <c r="D1017" t="s">
        <v>18</v>
      </c>
      <c r="E1017" t="s">
        <v>5130</v>
      </c>
      <c r="F1017" t="s">
        <v>5131</v>
      </c>
      <c r="G1017" t="s">
        <v>21</v>
      </c>
      <c r="H1017" t="s">
        <v>5000</v>
      </c>
      <c r="I1017" t="s">
        <v>5312</v>
      </c>
      <c r="J1017" t="s">
        <v>5313</v>
      </c>
      <c r="K1017" t="s">
        <v>4843</v>
      </c>
      <c r="L1017">
        <v>0</v>
      </c>
      <c r="M1017" t="s">
        <v>5035</v>
      </c>
      <c r="N1017" t="s">
        <v>5242</v>
      </c>
      <c r="O1017" t="s">
        <v>5243</v>
      </c>
      <c r="P1017" t="s">
        <v>23</v>
      </c>
      <c r="Q1017" t="s">
        <v>24</v>
      </c>
      <c r="R1017" t="s">
        <v>5216</v>
      </c>
      <c r="S1017" t="s">
        <v>5217</v>
      </c>
      <c r="T1017" s="6">
        <v>46307</v>
      </c>
      <c r="U1017">
        <v>200</v>
      </c>
      <c r="V1017">
        <v>200</v>
      </c>
      <c r="W1017">
        <v>220</v>
      </c>
      <c r="X1017">
        <v>220</v>
      </c>
      <c r="Y1017">
        <f t="shared" si="166"/>
        <v>0</v>
      </c>
      <c r="AC1017">
        <v>200</v>
      </c>
      <c r="AF1017">
        <v>200</v>
      </c>
      <c r="AG1017" s="41">
        <v>10</v>
      </c>
      <c r="AH1017">
        <f t="shared" si="168"/>
        <v>200</v>
      </c>
      <c r="AI1017">
        <f t="shared" si="173"/>
        <v>0</v>
      </c>
      <c r="AK1017">
        <f t="shared" si="170"/>
        <v>20</v>
      </c>
      <c r="AL1017">
        <v>15.37</v>
      </c>
      <c r="AM1017" t="s">
        <v>27</v>
      </c>
      <c r="AN1017">
        <v>15.37</v>
      </c>
      <c r="AO1017" t="b">
        <f t="shared" si="171"/>
        <v>1</v>
      </c>
      <c r="AR1017" t="s">
        <v>5061</v>
      </c>
      <c r="AS1017" s="21">
        <v>46284</v>
      </c>
      <c r="AT1017" t="s">
        <v>5062</v>
      </c>
      <c r="AU1017" t="s">
        <v>5315</v>
      </c>
      <c r="AV1017" t="s">
        <v>5062</v>
      </c>
      <c r="AW1017" t="s">
        <v>5311</v>
      </c>
    </row>
    <row r="1018" spans="1:49" x14ac:dyDescent="0.35">
      <c r="A1018" t="s">
        <v>5105</v>
      </c>
      <c r="B1018" t="s">
        <v>872</v>
      </c>
      <c r="C1018" t="s">
        <v>4818</v>
      </c>
      <c r="D1018" t="s">
        <v>18</v>
      </c>
      <c r="E1018" t="s">
        <v>5132</v>
      </c>
      <c r="F1018" t="s">
        <v>5133</v>
      </c>
      <c r="G1018" t="s">
        <v>21</v>
      </c>
      <c r="H1018" t="s">
        <v>5000</v>
      </c>
      <c r="I1018" t="s">
        <v>5312</v>
      </c>
      <c r="J1018" t="s">
        <v>5313</v>
      </c>
      <c r="K1018" t="s">
        <v>5314</v>
      </c>
      <c r="L1018">
        <v>8</v>
      </c>
      <c r="M1018" t="s">
        <v>5035</v>
      </c>
      <c r="N1018" t="s">
        <v>5244</v>
      </c>
      <c r="O1018" t="s">
        <v>5245</v>
      </c>
      <c r="P1018" t="s">
        <v>23</v>
      </c>
      <c r="Q1018" t="s">
        <v>24</v>
      </c>
      <c r="R1018" t="s">
        <v>5216</v>
      </c>
      <c r="S1018" t="s">
        <v>5217</v>
      </c>
      <c r="T1018" s="6">
        <v>46307</v>
      </c>
      <c r="U1018">
        <v>110</v>
      </c>
      <c r="V1018">
        <v>110</v>
      </c>
      <c r="W1018">
        <v>120</v>
      </c>
      <c r="X1018">
        <v>120</v>
      </c>
      <c r="Y1018">
        <f t="shared" si="166"/>
        <v>0</v>
      </c>
      <c r="AC1018">
        <v>110</v>
      </c>
      <c r="AF1018">
        <v>110</v>
      </c>
      <c r="AG1018" s="41">
        <v>10</v>
      </c>
      <c r="AH1018">
        <f t="shared" si="168"/>
        <v>110</v>
      </c>
      <c r="AI1018">
        <f t="shared" si="173"/>
        <v>0</v>
      </c>
      <c r="AK1018">
        <f t="shared" si="170"/>
        <v>11</v>
      </c>
      <c r="AL1018">
        <v>14.48</v>
      </c>
      <c r="AM1018" t="s">
        <v>27</v>
      </c>
      <c r="AN1018">
        <v>14.48</v>
      </c>
      <c r="AO1018" t="b">
        <f t="shared" si="171"/>
        <v>1</v>
      </c>
      <c r="AR1018" t="s">
        <v>5061</v>
      </c>
      <c r="AS1018" s="21">
        <v>46284</v>
      </c>
      <c r="AT1018" t="s">
        <v>5062</v>
      </c>
      <c r="AU1018" t="s">
        <v>5315</v>
      </c>
      <c r="AV1018" t="s">
        <v>5062</v>
      </c>
      <c r="AW1018" t="s">
        <v>5311</v>
      </c>
    </row>
    <row r="1019" spans="1:49" x14ac:dyDescent="0.35">
      <c r="A1019" t="s">
        <v>5105</v>
      </c>
      <c r="B1019" t="s">
        <v>872</v>
      </c>
      <c r="C1019" t="s">
        <v>4818</v>
      </c>
      <c r="D1019" t="s">
        <v>18</v>
      </c>
      <c r="E1019" t="s">
        <v>5134</v>
      </c>
      <c r="F1019" t="s">
        <v>5135</v>
      </c>
      <c r="G1019" t="s">
        <v>21</v>
      </c>
      <c r="H1019" t="s">
        <v>5000</v>
      </c>
      <c r="I1019" t="s">
        <v>5312</v>
      </c>
      <c r="J1019" t="s">
        <v>5313</v>
      </c>
      <c r="K1019" t="s">
        <v>5314</v>
      </c>
      <c r="L1019">
        <v>0</v>
      </c>
      <c r="M1019" t="s">
        <v>5035</v>
      </c>
      <c r="N1019" t="s">
        <v>5246</v>
      </c>
      <c r="O1019" t="s">
        <v>5247</v>
      </c>
      <c r="P1019" t="s">
        <v>23</v>
      </c>
      <c r="Q1019" t="s">
        <v>24</v>
      </c>
      <c r="R1019" t="s">
        <v>5216</v>
      </c>
      <c r="S1019" t="s">
        <v>5217</v>
      </c>
      <c r="T1019" s="6">
        <v>46307</v>
      </c>
      <c r="U1019">
        <v>190</v>
      </c>
      <c r="V1019">
        <v>190</v>
      </c>
      <c r="W1019">
        <v>210</v>
      </c>
      <c r="X1019">
        <v>210</v>
      </c>
      <c r="Y1019">
        <f t="shared" si="166"/>
        <v>0</v>
      </c>
      <c r="AC1019">
        <v>190</v>
      </c>
      <c r="AF1019">
        <v>190</v>
      </c>
      <c r="AG1019" s="41">
        <v>10</v>
      </c>
      <c r="AH1019">
        <f t="shared" si="168"/>
        <v>190</v>
      </c>
      <c r="AI1019">
        <f t="shared" si="173"/>
        <v>0</v>
      </c>
      <c r="AK1019">
        <f t="shared" si="170"/>
        <v>19</v>
      </c>
      <c r="AL1019">
        <v>14.48</v>
      </c>
      <c r="AM1019" t="s">
        <v>27</v>
      </c>
      <c r="AN1019">
        <v>14.48</v>
      </c>
      <c r="AO1019" t="b">
        <f t="shared" si="171"/>
        <v>1</v>
      </c>
      <c r="AR1019" t="s">
        <v>5061</v>
      </c>
      <c r="AS1019" s="21">
        <v>46284</v>
      </c>
      <c r="AT1019" t="s">
        <v>5062</v>
      </c>
      <c r="AU1019" t="s">
        <v>5315</v>
      </c>
      <c r="AV1019" t="s">
        <v>5062</v>
      </c>
      <c r="AW1019" t="s">
        <v>5311</v>
      </c>
    </row>
    <row r="1020" spans="1:49" x14ac:dyDescent="0.35">
      <c r="A1020" t="s">
        <v>5105</v>
      </c>
      <c r="B1020" t="s">
        <v>872</v>
      </c>
      <c r="C1020" t="s">
        <v>4818</v>
      </c>
      <c r="D1020" t="s">
        <v>18</v>
      </c>
      <c r="E1020" t="s">
        <v>5136</v>
      </c>
      <c r="F1020" t="s">
        <v>5137</v>
      </c>
      <c r="G1020" t="s">
        <v>21</v>
      </c>
      <c r="H1020" t="s">
        <v>5000</v>
      </c>
      <c r="I1020" t="s">
        <v>5312</v>
      </c>
      <c r="J1020" t="s">
        <v>5313</v>
      </c>
      <c r="K1020" t="s">
        <v>4899</v>
      </c>
      <c r="L1020">
        <v>18</v>
      </c>
      <c r="M1020" t="s">
        <v>5035</v>
      </c>
      <c r="N1020" t="s">
        <v>5248</v>
      </c>
      <c r="O1020" t="s">
        <v>5249</v>
      </c>
      <c r="P1020" t="s">
        <v>23</v>
      </c>
      <c r="Q1020" t="s">
        <v>24</v>
      </c>
      <c r="R1020" t="s">
        <v>5216</v>
      </c>
      <c r="S1020" t="s">
        <v>5217</v>
      </c>
      <c r="T1020" s="6">
        <v>46307</v>
      </c>
      <c r="U1020">
        <v>30</v>
      </c>
      <c r="V1020">
        <v>30</v>
      </c>
      <c r="W1020">
        <v>30</v>
      </c>
      <c r="X1020">
        <v>30</v>
      </c>
      <c r="Y1020">
        <f t="shared" si="166"/>
        <v>0</v>
      </c>
      <c r="AC1020">
        <v>30</v>
      </c>
      <c r="AF1020">
        <v>30</v>
      </c>
      <c r="AG1020" s="41">
        <v>10</v>
      </c>
      <c r="AH1020">
        <f t="shared" si="168"/>
        <v>30</v>
      </c>
      <c r="AI1020">
        <f t="shared" si="173"/>
        <v>0</v>
      </c>
      <c r="AK1020">
        <f t="shared" si="170"/>
        <v>3</v>
      </c>
      <c r="AL1020">
        <v>14.48</v>
      </c>
      <c r="AM1020" t="s">
        <v>27</v>
      </c>
      <c r="AN1020">
        <v>14.48</v>
      </c>
      <c r="AO1020" t="b">
        <f t="shared" si="171"/>
        <v>1</v>
      </c>
      <c r="AR1020" t="s">
        <v>5061</v>
      </c>
      <c r="AS1020" s="21">
        <v>46284</v>
      </c>
      <c r="AT1020" t="s">
        <v>5062</v>
      </c>
      <c r="AU1020" t="s">
        <v>5315</v>
      </c>
      <c r="AV1020" t="s">
        <v>5062</v>
      </c>
      <c r="AW1020" t="s">
        <v>5311</v>
      </c>
    </row>
    <row r="1021" spans="1:49" x14ac:dyDescent="0.35">
      <c r="A1021" t="s">
        <v>5105</v>
      </c>
      <c r="B1021" t="s">
        <v>872</v>
      </c>
      <c r="C1021" t="s">
        <v>4818</v>
      </c>
      <c r="D1021" t="s">
        <v>18</v>
      </c>
      <c r="E1021" t="s">
        <v>5138</v>
      </c>
      <c r="F1021" t="s">
        <v>5139</v>
      </c>
      <c r="G1021" t="s">
        <v>21</v>
      </c>
      <c r="H1021" t="s">
        <v>5000</v>
      </c>
      <c r="I1021" t="s">
        <v>5312</v>
      </c>
      <c r="J1021" t="s">
        <v>5313</v>
      </c>
      <c r="K1021" t="s">
        <v>4899</v>
      </c>
      <c r="L1021">
        <v>16</v>
      </c>
      <c r="M1021" t="s">
        <v>5035</v>
      </c>
      <c r="N1021" t="s">
        <v>5250</v>
      </c>
      <c r="O1021" t="s">
        <v>5251</v>
      </c>
      <c r="P1021" t="s">
        <v>23</v>
      </c>
      <c r="Q1021" t="s">
        <v>24</v>
      </c>
      <c r="R1021" t="s">
        <v>5216</v>
      </c>
      <c r="S1021" t="s">
        <v>5217</v>
      </c>
      <c r="T1021" s="6">
        <v>46307</v>
      </c>
      <c r="U1021">
        <v>20</v>
      </c>
      <c r="V1021">
        <v>20</v>
      </c>
      <c r="W1021">
        <v>20</v>
      </c>
      <c r="X1021">
        <v>20</v>
      </c>
      <c r="Y1021">
        <f t="shared" si="166"/>
        <v>0</v>
      </c>
      <c r="AC1021">
        <v>20</v>
      </c>
      <c r="AF1021">
        <v>20</v>
      </c>
      <c r="AG1021" s="41">
        <v>10</v>
      </c>
      <c r="AH1021">
        <f t="shared" si="168"/>
        <v>20</v>
      </c>
      <c r="AI1021">
        <f t="shared" si="173"/>
        <v>0</v>
      </c>
      <c r="AK1021">
        <f t="shared" si="170"/>
        <v>2</v>
      </c>
      <c r="AL1021">
        <v>14.48</v>
      </c>
      <c r="AM1021" t="s">
        <v>27</v>
      </c>
      <c r="AN1021">
        <v>14.48</v>
      </c>
      <c r="AO1021" t="b">
        <f t="shared" si="171"/>
        <v>1</v>
      </c>
      <c r="AR1021" t="s">
        <v>5061</v>
      </c>
      <c r="AS1021" s="21">
        <v>46284</v>
      </c>
      <c r="AT1021" t="s">
        <v>5062</v>
      </c>
      <c r="AU1021" t="s">
        <v>5315</v>
      </c>
      <c r="AV1021" t="s">
        <v>5062</v>
      </c>
      <c r="AW1021" t="s">
        <v>5311</v>
      </c>
    </row>
    <row r="1022" spans="1:49" x14ac:dyDescent="0.35">
      <c r="A1022" t="s">
        <v>5105</v>
      </c>
      <c r="B1022" t="s">
        <v>872</v>
      </c>
      <c r="C1022" t="s">
        <v>4818</v>
      </c>
      <c r="D1022" t="s">
        <v>18</v>
      </c>
      <c r="E1022" t="s">
        <v>5140</v>
      </c>
      <c r="F1022" t="s">
        <v>5141</v>
      </c>
      <c r="G1022" t="s">
        <v>21</v>
      </c>
      <c r="H1022" t="s">
        <v>5000</v>
      </c>
      <c r="I1022" t="s">
        <v>5312</v>
      </c>
      <c r="J1022" t="s">
        <v>5313</v>
      </c>
      <c r="K1022" t="s">
        <v>4843</v>
      </c>
      <c r="L1022">
        <v>18</v>
      </c>
      <c r="M1022" t="s">
        <v>5035</v>
      </c>
      <c r="N1022" t="s">
        <v>5252</v>
      </c>
      <c r="O1022" t="s">
        <v>5253</v>
      </c>
      <c r="P1022" t="s">
        <v>23</v>
      </c>
      <c r="Q1022" t="s">
        <v>24</v>
      </c>
      <c r="R1022" t="s">
        <v>5216</v>
      </c>
      <c r="S1022" t="s">
        <v>5217</v>
      </c>
      <c r="T1022" s="6">
        <v>46307</v>
      </c>
      <c r="U1022">
        <v>200</v>
      </c>
      <c r="V1022">
        <v>200</v>
      </c>
      <c r="W1022">
        <v>220</v>
      </c>
      <c r="X1022">
        <v>220</v>
      </c>
      <c r="Y1022">
        <f t="shared" si="166"/>
        <v>0</v>
      </c>
      <c r="AC1022">
        <v>200</v>
      </c>
      <c r="AF1022">
        <v>200</v>
      </c>
      <c r="AG1022" s="41">
        <v>10</v>
      </c>
      <c r="AH1022">
        <f t="shared" si="168"/>
        <v>200</v>
      </c>
      <c r="AI1022">
        <f t="shared" si="173"/>
        <v>0</v>
      </c>
      <c r="AK1022">
        <f t="shared" si="170"/>
        <v>20</v>
      </c>
      <c r="AL1022">
        <v>15.37</v>
      </c>
      <c r="AM1022" t="s">
        <v>27</v>
      </c>
      <c r="AN1022">
        <v>15.37</v>
      </c>
      <c r="AO1022" t="b">
        <f t="shared" si="171"/>
        <v>1</v>
      </c>
      <c r="AR1022" t="s">
        <v>5061</v>
      </c>
      <c r="AS1022" s="21">
        <v>46284</v>
      </c>
      <c r="AT1022" t="s">
        <v>5062</v>
      </c>
      <c r="AU1022" t="s">
        <v>5315</v>
      </c>
      <c r="AV1022" t="s">
        <v>5062</v>
      </c>
      <c r="AW1022" t="s">
        <v>5311</v>
      </c>
    </row>
    <row r="1023" spans="1:49" x14ac:dyDescent="0.35">
      <c r="A1023" t="s">
        <v>5105</v>
      </c>
      <c r="B1023" t="s">
        <v>872</v>
      </c>
      <c r="C1023" t="s">
        <v>4818</v>
      </c>
      <c r="D1023" t="s">
        <v>18</v>
      </c>
      <c r="E1023" t="s">
        <v>5142</v>
      </c>
      <c r="F1023" t="s">
        <v>5143</v>
      </c>
      <c r="G1023" t="s">
        <v>21</v>
      </c>
      <c r="H1023" t="s">
        <v>5000</v>
      </c>
      <c r="I1023" t="s">
        <v>5312</v>
      </c>
      <c r="J1023" t="s">
        <v>5313</v>
      </c>
      <c r="K1023" t="s">
        <v>4899</v>
      </c>
      <c r="L1023">
        <v>14</v>
      </c>
      <c r="M1023" t="s">
        <v>5035</v>
      </c>
      <c r="N1023" t="s">
        <v>5254</v>
      </c>
      <c r="O1023" t="s">
        <v>5255</v>
      </c>
      <c r="P1023" t="s">
        <v>23</v>
      </c>
      <c r="Q1023" t="s">
        <v>24</v>
      </c>
      <c r="R1023" t="s">
        <v>5216</v>
      </c>
      <c r="S1023" t="s">
        <v>5217</v>
      </c>
      <c r="T1023" s="6">
        <v>46307</v>
      </c>
      <c r="U1023">
        <v>110</v>
      </c>
      <c r="V1023">
        <v>110</v>
      </c>
      <c r="W1023">
        <v>120</v>
      </c>
      <c r="X1023">
        <v>120</v>
      </c>
      <c r="Y1023">
        <f t="shared" si="166"/>
        <v>0</v>
      </c>
      <c r="AC1023">
        <v>110</v>
      </c>
      <c r="AF1023">
        <v>110</v>
      </c>
      <c r="AG1023" s="41">
        <v>10</v>
      </c>
      <c r="AH1023">
        <f t="shared" si="168"/>
        <v>110</v>
      </c>
      <c r="AI1023">
        <f t="shared" si="173"/>
        <v>0</v>
      </c>
      <c r="AK1023">
        <f t="shared" si="170"/>
        <v>11</v>
      </c>
      <c r="AL1023">
        <v>14.48</v>
      </c>
      <c r="AM1023" t="s">
        <v>27</v>
      </c>
      <c r="AN1023">
        <v>14.48</v>
      </c>
      <c r="AO1023" t="b">
        <f t="shared" si="171"/>
        <v>1</v>
      </c>
      <c r="AR1023" t="s">
        <v>5061</v>
      </c>
      <c r="AS1023" s="21">
        <v>46284</v>
      </c>
      <c r="AT1023" t="s">
        <v>5062</v>
      </c>
      <c r="AU1023" t="s">
        <v>5315</v>
      </c>
      <c r="AV1023" t="s">
        <v>5062</v>
      </c>
      <c r="AW1023" t="s">
        <v>5311</v>
      </c>
    </row>
    <row r="1024" spans="1:49" x14ac:dyDescent="0.35">
      <c r="A1024" t="s">
        <v>5105</v>
      </c>
      <c r="B1024" t="s">
        <v>872</v>
      </c>
      <c r="C1024" t="s">
        <v>4818</v>
      </c>
      <c r="D1024" t="s">
        <v>18</v>
      </c>
      <c r="E1024" t="s">
        <v>5144</v>
      </c>
      <c r="F1024" t="s">
        <v>5145</v>
      </c>
      <c r="G1024" t="s">
        <v>21</v>
      </c>
      <c r="H1024" t="s">
        <v>5000</v>
      </c>
      <c r="I1024" t="s">
        <v>5312</v>
      </c>
      <c r="J1024" t="s">
        <v>5313</v>
      </c>
      <c r="K1024" t="s">
        <v>5314</v>
      </c>
      <c r="L1024">
        <v>12</v>
      </c>
      <c r="M1024" t="s">
        <v>5035</v>
      </c>
      <c r="N1024" t="s">
        <v>5256</v>
      </c>
      <c r="O1024" t="s">
        <v>5257</v>
      </c>
      <c r="P1024" t="s">
        <v>23</v>
      </c>
      <c r="Q1024" t="s">
        <v>24</v>
      </c>
      <c r="R1024" t="s">
        <v>5216</v>
      </c>
      <c r="S1024" t="s">
        <v>5217</v>
      </c>
      <c r="T1024" s="6">
        <v>46307</v>
      </c>
      <c r="U1024">
        <v>250</v>
      </c>
      <c r="V1024">
        <v>250</v>
      </c>
      <c r="W1024">
        <v>270</v>
      </c>
      <c r="X1024">
        <v>270</v>
      </c>
      <c r="Y1024">
        <f t="shared" si="166"/>
        <v>0</v>
      </c>
      <c r="AC1024">
        <v>250</v>
      </c>
      <c r="AF1024">
        <v>250</v>
      </c>
      <c r="AG1024" s="41">
        <v>10</v>
      </c>
      <c r="AH1024">
        <f t="shared" si="168"/>
        <v>250</v>
      </c>
      <c r="AI1024">
        <f t="shared" si="173"/>
        <v>0</v>
      </c>
      <c r="AK1024">
        <f t="shared" si="170"/>
        <v>25</v>
      </c>
      <c r="AL1024">
        <v>14.48</v>
      </c>
      <c r="AM1024" t="s">
        <v>27</v>
      </c>
      <c r="AN1024">
        <v>14.48</v>
      </c>
      <c r="AO1024" t="b">
        <f t="shared" si="171"/>
        <v>1</v>
      </c>
      <c r="AR1024" t="s">
        <v>5061</v>
      </c>
      <c r="AS1024" s="21">
        <v>46284</v>
      </c>
      <c r="AT1024" t="s">
        <v>5062</v>
      </c>
      <c r="AU1024" t="s">
        <v>5315</v>
      </c>
      <c r="AV1024" t="s">
        <v>5062</v>
      </c>
      <c r="AW1024" t="s">
        <v>5311</v>
      </c>
    </row>
    <row r="1025" spans="1:49" x14ac:dyDescent="0.35">
      <c r="A1025" t="s">
        <v>5105</v>
      </c>
      <c r="B1025" t="s">
        <v>872</v>
      </c>
      <c r="C1025" t="s">
        <v>4818</v>
      </c>
      <c r="D1025" t="s">
        <v>18</v>
      </c>
      <c r="E1025" t="s">
        <v>5146</v>
      </c>
      <c r="F1025" t="s">
        <v>5147</v>
      </c>
      <c r="G1025" t="s">
        <v>21</v>
      </c>
      <c r="H1025" t="s">
        <v>5000</v>
      </c>
      <c r="I1025" t="s">
        <v>5312</v>
      </c>
      <c r="J1025" t="s">
        <v>5313</v>
      </c>
      <c r="K1025" t="s">
        <v>4899</v>
      </c>
      <c r="L1025">
        <v>0</v>
      </c>
      <c r="M1025" t="s">
        <v>5035</v>
      </c>
      <c r="N1025" t="s">
        <v>5258</v>
      </c>
      <c r="O1025" t="s">
        <v>5259</v>
      </c>
      <c r="P1025" t="s">
        <v>23</v>
      </c>
      <c r="Q1025" t="s">
        <v>24</v>
      </c>
      <c r="R1025" t="s">
        <v>5216</v>
      </c>
      <c r="S1025" t="s">
        <v>5217</v>
      </c>
      <c r="T1025" s="6">
        <v>46307</v>
      </c>
      <c r="U1025">
        <v>190</v>
      </c>
      <c r="V1025">
        <v>190</v>
      </c>
      <c r="W1025">
        <v>210</v>
      </c>
      <c r="X1025">
        <v>210</v>
      </c>
      <c r="Y1025">
        <f t="shared" si="166"/>
        <v>0</v>
      </c>
      <c r="AC1025">
        <v>190</v>
      </c>
      <c r="AF1025">
        <v>190</v>
      </c>
      <c r="AG1025" s="41">
        <v>10</v>
      </c>
      <c r="AH1025">
        <f t="shared" si="168"/>
        <v>190</v>
      </c>
      <c r="AI1025">
        <f t="shared" si="173"/>
        <v>0</v>
      </c>
      <c r="AK1025">
        <f t="shared" si="170"/>
        <v>19</v>
      </c>
      <c r="AL1025">
        <v>14.48</v>
      </c>
      <c r="AM1025" t="s">
        <v>27</v>
      </c>
      <c r="AN1025">
        <v>14.48</v>
      </c>
      <c r="AO1025" t="b">
        <f t="shared" si="171"/>
        <v>1</v>
      </c>
      <c r="AR1025" t="s">
        <v>5061</v>
      </c>
      <c r="AS1025" s="21">
        <v>46284</v>
      </c>
      <c r="AT1025" t="s">
        <v>5062</v>
      </c>
      <c r="AU1025" t="s">
        <v>5315</v>
      </c>
      <c r="AV1025" t="s">
        <v>5062</v>
      </c>
      <c r="AW1025" t="s">
        <v>5311</v>
      </c>
    </row>
    <row r="1026" spans="1:49" x14ac:dyDescent="0.35">
      <c r="A1026" t="s">
        <v>5105</v>
      </c>
      <c r="B1026" t="s">
        <v>872</v>
      </c>
      <c r="C1026" t="s">
        <v>4818</v>
      </c>
      <c r="D1026" t="s">
        <v>18</v>
      </c>
      <c r="E1026" t="s">
        <v>5148</v>
      </c>
      <c r="F1026" t="s">
        <v>5149</v>
      </c>
      <c r="G1026" t="s">
        <v>21</v>
      </c>
      <c r="H1026" t="s">
        <v>5000</v>
      </c>
      <c r="I1026" t="s">
        <v>5312</v>
      </c>
      <c r="J1026" t="s">
        <v>5313</v>
      </c>
      <c r="K1026" t="s">
        <v>4843</v>
      </c>
      <c r="L1026">
        <v>20</v>
      </c>
      <c r="M1026" t="s">
        <v>5035</v>
      </c>
      <c r="N1026" t="s">
        <v>5260</v>
      </c>
      <c r="O1026" t="s">
        <v>5261</v>
      </c>
      <c r="P1026" t="s">
        <v>23</v>
      </c>
      <c r="Q1026" t="s">
        <v>24</v>
      </c>
      <c r="R1026" t="s">
        <v>5216</v>
      </c>
      <c r="S1026" t="s">
        <v>5217</v>
      </c>
      <c r="T1026" s="6">
        <v>46307</v>
      </c>
      <c r="U1026">
        <v>130</v>
      </c>
      <c r="V1026">
        <v>130</v>
      </c>
      <c r="W1026">
        <v>140</v>
      </c>
      <c r="X1026">
        <v>140</v>
      </c>
      <c r="Y1026">
        <f t="shared" si="166"/>
        <v>0</v>
      </c>
      <c r="AC1026">
        <v>130</v>
      </c>
      <c r="AF1026">
        <v>130</v>
      </c>
      <c r="AG1026" s="41">
        <v>10</v>
      </c>
      <c r="AH1026">
        <f t="shared" si="168"/>
        <v>130</v>
      </c>
      <c r="AI1026">
        <f t="shared" si="173"/>
        <v>0</v>
      </c>
      <c r="AK1026">
        <f t="shared" si="170"/>
        <v>13</v>
      </c>
      <c r="AL1026">
        <v>15.37</v>
      </c>
      <c r="AM1026" t="s">
        <v>27</v>
      </c>
      <c r="AN1026">
        <v>15.37</v>
      </c>
      <c r="AO1026" t="b">
        <f t="shared" si="171"/>
        <v>1</v>
      </c>
      <c r="AR1026" t="s">
        <v>5061</v>
      </c>
      <c r="AS1026" s="21">
        <v>46284</v>
      </c>
      <c r="AT1026" t="s">
        <v>5062</v>
      </c>
      <c r="AU1026" t="s">
        <v>5315</v>
      </c>
      <c r="AV1026" t="s">
        <v>5062</v>
      </c>
      <c r="AW1026" t="s">
        <v>5311</v>
      </c>
    </row>
    <row r="1027" spans="1:49" x14ac:dyDescent="0.35">
      <c r="A1027" t="s">
        <v>5105</v>
      </c>
      <c r="B1027" t="s">
        <v>872</v>
      </c>
      <c r="C1027" t="s">
        <v>4818</v>
      </c>
      <c r="D1027" t="s">
        <v>18</v>
      </c>
      <c r="E1027" t="s">
        <v>5150</v>
      </c>
      <c r="F1027" t="s">
        <v>5151</v>
      </c>
      <c r="G1027" t="s">
        <v>21</v>
      </c>
      <c r="H1027" t="s">
        <v>5000</v>
      </c>
      <c r="I1027" t="s">
        <v>5312</v>
      </c>
      <c r="J1027" t="s">
        <v>5313</v>
      </c>
      <c r="K1027" t="s">
        <v>5314</v>
      </c>
      <c r="L1027">
        <v>10</v>
      </c>
      <c r="M1027" t="s">
        <v>5035</v>
      </c>
      <c r="N1027" t="s">
        <v>5262</v>
      </c>
      <c r="O1027" t="s">
        <v>5263</v>
      </c>
      <c r="P1027" t="s">
        <v>23</v>
      </c>
      <c r="Q1027" t="s">
        <v>24</v>
      </c>
      <c r="R1027" t="s">
        <v>5216</v>
      </c>
      <c r="S1027" t="s">
        <v>5217</v>
      </c>
      <c r="T1027" s="6">
        <v>46307</v>
      </c>
      <c r="U1027">
        <v>180</v>
      </c>
      <c r="V1027">
        <v>180</v>
      </c>
      <c r="W1027">
        <v>200</v>
      </c>
      <c r="X1027">
        <v>200</v>
      </c>
      <c r="Y1027">
        <f t="shared" ref="Y1027:Y1090" si="174">W1027-X1027</f>
        <v>0</v>
      </c>
      <c r="AC1027">
        <v>180</v>
      </c>
      <c r="AF1027">
        <v>180</v>
      </c>
      <c r="AG1027" s="41">
        <v>10</v>
      </c>
      <c r="AH1027">
        <f t="shared" ref="AH1027:AH1090" si="175">ROUNDUP(AF1027/AG1027,0)*AG1027</f>
        <v>180</v>
      </c>
      <c r="AI1027">
        <f t="shared" si="173"/>
        <v>0</v>
      </c>
      <c r="AK1027">
        <f t="shared" ref="AK1027:AK1090" si="176">AH1027/AG1027</f>
        <v>18</v>
      </c>
      <c r="AL1027">
        <v>14.48</v>
      </c>
      <c r="AM1027" t="s">
        <v>27</v>
      </c>
      <c r="AN1027">
        <v>14.48</v>
      </c>
      <c r="AO1027" t="b">
        <f t="shared" ref="AO1027:AO1090" si="177">AL1027=AN1027</f>
        <v>1</v>
      </c>
      <c r="AR1027" t="s">
        <v>5061</v>
      </c>
      <c r="AS1027" s="21">
        <v>46284</v>
      </c>
      <c r="AT1027" t="s">
        <v>5062</v>
      </c>
      <c r="AU1027" t="s">
        <v>5315</v>
      </c>
      <c r="AV1027" t="s">
        <v>5062</v>
      </c>
      <c r="AW1027" t="s">
        <v>5311</v>
      </c>
    </row>
    <row r="1028" spans="1:49" x14ac:dyDescent="0.35">
      <c r="A1028" t="s">
        <v>5105</v>
      </c>
      <c r="B1028" t="s">
        <v>872</v>
      </c>
      <c r="C1028" t="s">
        <v>4818</v>
      </c>
      <c r="D1028" t="s">
        <v>18</v>
      </c>
      <c r="E1028" t="s">
        <v>5152</v>
      </c>
      <c r="F1028" t="s">
        <v>5153</v>
      </c>
      <c r="G1028" t="s">
        <v>21</v>
      </c>
      <c r="H1028" t="s">
        <v>5000</v>
      </c>
      <c r="I1028" t="s">
        <v>5312</v>
      </c>
      <c r="J1028" t="s">
        <v>5313</v>
      </c>
      <c r="K1028" t="s">
        <v>5314</v>
      </c>
      <c r="L1028">
        <v>16</v>
      </c>
      <c r="M1028" t="s">
        <v>5035</v>
      </c>
      <c r="N1028" t="s">
        <v>5264</v>
      </c>
      <c r="O1028" t="s">
        <v>5265</v>
      </c>
      <c r="P1028" t="s">
        <v>23</v>
      </c>
      <c r="Q1028" t="s">
        <v>24</v>
      </c>
      <c r="R1028" t="s">
        <v>5216</v>
      </c>
      <c r="S1028" t="s">
        <v>5217</v>
      </c>
      <c r="T1028" s="6">
        <v>46307</v>
      </c>
      <c r="U1028">
        <v>140</v>
      </c>
      <c r="V1028">
        <v>140</v>
      </c>
      <c r="W1028">
        <v>150</v>
      </c>
      <c r="X1028">
        <v>150</v>
      </c>
      <c r="Y1028">
        <f t="shared" si="174"/>
        <v>0</v>
      </c>
      <c r="AC1028">
        <v>140</v>
      </c>
      <c r="AF1028">
        <v>140</v>
      </c>
      <c r="AG1028" s="41">
        <v>10</v>
      </c>
      <c r="AH1028">
        <f t="shared" si="175"/>
        <v>140</v>
      </c>
      <c r="AI1028">
        <f t="shared" si="173"/>
        <v>0</v>
      </c>
      <c r="AK1028">
        <f t="shared" si="176"/>
        <v>14</v>
      </c>
      <c r="AL1028">
        <v>14.48</v>
      </c>
      <c r="AM1028" t="s">
        <v>27</v>
      </c>
      <c r="AN1028">
        <v>14.48</v>
      </c>
      <c r="AO1028" t="b">
        <f t="shared" si="177"/>
        <v>1</v>
      </c>
      <c r="AR1028" t="s">
        <v>5061</v>
      </c>
      <c r="AS1028" s="21">
        <v>46284</v>
      </c>
      <c r="AT1028" t="s">
        <v>5062</v>
      </c>
      <c r="AU1028" t="s">
        <v>5315</v>
      </c>
      <c r="AV1028" t="s">
        <v>5062</v>
      </c>
      <c r="AW1028" t="s">
        <v>5311</v>
      </c>
    </row>
    <row r="1029" spans="1:49" x14ac:dyDescent="0.35">
      <c r="A1029" t="s">
        <v>5105</v>
      </c>
      <c r="B1029" t="s">
        <v>872</v>
      </c>
      <c r="C1029" t="s">
        <v>4818</v>
      </c>
      <c r="D1029" t="s">
        <v>18</v>
      </c>
      <c r="E1029" t="s">
        <v>5154</v>
      </c>
      <c r="F1029" t="s">
        <v>5155</v>
      </c>
      <c r="G1029" t="s">
        <v>21</v>
      </c>
      <c r="H1029" t="s">
        <v>5000</v>
      </c>
      <c r="I1029" t="s">
        <v>5312</v>
      </c>
      <c r="J1029" t="s">
        <v>5313</v>
      </c>
      <c r="K1029" t="s">
        <v>4899</v>
      </c>
      <c r="L1029">
        <v>10</v>
      </c>
      <c r="M1029" t="s">
        <v>5035</v>
      </c>
      <c r="N1029" t="s">
        <v>5266</v>
      </c>
      <c r="O1029" t="s">
        <v>5267</v>
      </c>
      <c r="P1029" t="s">
        <v>23</v>
      </c>
      <c r="Q1029" t="s">
        <v>24</v>
      </c>
      <c r="R1029" t="s">
        <v>5216</v>
      </c>
      <c r="S1029" t="s">
        <v>5217</v>
      </c>
      <c r="T1029" s="6">
        <v>46307</v>
      </c>
      <c r="U1029">
        <v>190</v>
      </c>
      <c r="V1029">
        <v>190</v>
      </c>
      <c r="W1029">
        <v>210</v>
      </c>
      <c r="X1029">
        <v>210</v>
      </c>
      <c r="Y1029">
        <f t="shared" si="174"/>
        <v>0</v>
      </c>
      <c r="AC1029">
        <v>190</v>
      </c>
      <c r="AF1029">
        <v>190</v>
      </c>
      <c r="AG1029" s="41">
        <v>10</v>
      </c>
      <c r="AH1029">
        <f t="shared" si="175"/>
        <v>190</v>
      </c>
      <c r="AI1029">
        <f t="shared" si="173"/>
        <v>0</v>
      </c>
      <c r="AK1029">
        <f t="shared" si="176"/>
        <v>19</v>
      </c>
      <c r="AL1029">
        <v>14.48</v>
      </c>
      <c r="AM1029" t="s">
        <v>27</v>
      </c>
      <c r="AN1029">
        <v>14.48</v>
      </c>
      <c r="AO1029" t="b">
        <f t="shared" si="177"/>
        <v>1</v>
      </c>
      <c r="AR1029" t="s">
        <v>5061</v>
      </c>
      <c r="AS1029" s="21">
        <v>46284</v>
      </c>
      <c r="AT1029" t="s">
        <v>5062</v>
      </c>
      <c r="AU1029" t="s">
        <v>5315</v>
      </c>
      <c r="AV1029" t="s">
        <v>5062</v>
      </c>
      <c r="AW1029" t="s">
        <v>5311</v>
      </c>
    </row>
    <row r="1030" spans="1:49" x14ac:dyDescent="0.35">
      <c r="A1030" t="s">
        <v>5105</v>
      </c>
      <c r="B1030" t="s">
        <v>872</v>
      </c>
      <c r="C1030" t="s">
        <v>4818</v>
      </c>
      <c r="D1030" t="s">
        <v>18</v>
      </c>
      <c r="E1030" t="s">
        <v>5156</v>
      </c>
      <c r="F1030" t="s">
        <v>5157</v>
      </c>
      <c r="G1030" t="s">
        <v>21</v>
      </c>
      <c r="H1030" t="s">
        <v>5000</v>
      </c>
      <c r="I1030" t="s">
        <v>5312</v>
      </c>
      <c r="J1030" t="s">
        <v>5313</v>
      </c>
      <c r="K1030" t="s">
        <v>4843</v>
      </c>
      <c r="L1030">
        <v>8</v>
      </c>
      <c r="M1030" t="s">
        <v>5035</v>
      </c>
      <c r="N1030" t="s">
        <v>5268</v>
      </c>
      <c r="O1030" t="s">
        <v>5269</v>
      </c>
      <c r="P1030" t="s">
        <v>23</v>
      </c>
      <c r="Q1030" t="s">
        <v>24</v>
      </c>
      <c r="R1030" t="s">
        <v>5216</v>
      </c>
      <c r="S1030" t="s">
        <v>5217</v>
      </c>
      <c r="T1030" s="6">
        <v>46307</v>
      </c>
      <c r="U1030">
        <v>290</v>
      </c>
      <c r="V1030">
        <v>290</v>
      </c>
      <c r="W1030">
        <v>310</v>
      </c>
      <c r="X1030">
        <v>310</v>
      </c>
      <c r="Y1030">
        <f t="shared" si="174"/>
        <v>0</v>
      </c>
      <c r="AC1030">
        <v>290</v>
      </c>
      <c r="AF1030">
        <v>290</v>
      </c>
      <c r="AG1030" s="41">
        <v>10</v>
      </c>
      <c r="AH1030">
        <f t="shared" si="175"/>
        <v>290</v>
      </c>
      <c r="AI1030">
        <f t="shared" si="173"/>
        <v>0</v>
      </c>
      <c r="AK1030">
        <f t="shared" si="176"/>
        <v>29</v>
      </c>
      <c r="AL1030">
        <v>15.37</v>
      </c>
      <c r="AM1030" t="s">
        <v>27</v>
      </c>
      <c r="AN1030">
        <v>15.37</v>
      </c>
      <c r="AO1030" t="b">
        <f t="shared" si="177"/>
        <v>1</v>
      </c>
      <c r="AR1030" t="s">
        <v>5061</v>
      </c>
      <c r="AS1030" s="21">
        <v>46284</v>
      </c>
      <c r="AT1030" t="s">
        <v>5062</v>
      </c>
      <c r="AU1030" t="s">
        <v>5315</v>
      </c>
      <c r="AV1030" t="s">
        <v>5062</v>
      </c>
      <c r="AW1030" t="s">
        <v>5311</v>
      </c>
    </row>
    <row r="1031" spans="1:49" x14ac:dyDescent="0.35">
      <c r="A1031" t="s">
        <v>5105</v>
      </c>
      <c r="B1031" t="s">
        <v>872</v>
      </c>
      <c r="C1031" t="s">
        <v>4818</v>
      </c>
      <c r="D1031" t="s">
        <v>18</v>
      </c>
      <c r="E1031" t="s">
        <v>5158</v>
      </c>
      <c r="F1031" t="s">
        <v>5159</v>
      </c>
      <c r="G1031" t="s">
        <v>21</v>
      </c>
      <c r="H1031" t="s">
        <v>5000</v>
      </c>
      <c r="I1031" t="s">
        <v>5312</v>
      </c>
      <c r="J1031" t="s">
        <v>5313</v>
      </c>
      <c r="K1031" t="s">
        <v>5314</v>
      </c>
      <c r="L1031">
        <v>4</v>
      </c>
      <c r="M1031" t="s">
        <v>5035</v>
      </c>
      <c r="N1031" t="s">
        <v>5270</v>
      </c>
      <c r="O1031" t="s">
        <v>5271</v>
      </c>
      <c r="P1031" t="s">
        <v>23</v>
      </c>
      <c r="Q1031" t="s">
        <v>24</v>
      </c>
      <c r="R1031" t="s">
        <v>5216</v>
      </c>
      <c r="S1031" t="s">
        <v>5217</v>
      </c>
      <c r="T1031" s="6">
        <v>46307</v>
      </c>
      <c r="U1031">
        <v>140</v>
      </c>
      <c r="V1031">
        <v>140</v>
      </c>
      <c r="W1031">
        <v>150</v>
      </c>
      <c r="X1031">
        <v>150</v>
      </c>
      <c r="Y1031">
        <f t="shared" si="174"/>
        <v>0</v>
      </c>
      <c r="AC1031">
        <v>140</v>
      </c>
      <c r="AF1031">
        <v>140</v>
      </c>
      <c r="AG1031" s="41">
        <v>10</v>
      </c>
      <c r="AH1031">
        <f t="shared" si="175"/>
        <v>140</v>
      </c>
      <c r="AI1031">
        <f t="shared" si="173"/>
        <v>0</v>
      </c>
      <c r="AK1031">
        <f t="shared" si="176"/>
        <v>14</v>
      </c>
      <c r="AL1031">
        <v>14.48</v>
      </c>
      <c r="AM1031" t="s">
        <v>27</v>
      </c>
      <c r="AN1031">
        <v>14.48</v>
      </c>
      <c r="AO1031" t="b">
        <f t="shared" si="177"/>
        <v>1</v>
      </c>
      <c r="AR1031" t="s">
        <v>5061</v>
      </c>
      <c r="AS1031" s="21">
        <v>46284</v>
      </c>
      <c r="AT1031" t="s">
        <v>5062</v>
      </c>
      <c r="AU1031" t="s">
        <v>5315</v>
      </c>
      <c r="AV1031" t="s">
        <v>5062</v>
      </c>
      <c r="AW1031" t="s">
        <v>5311</v>
      </c>
    </row>
    <row r="1032" spans="1:49" x14ac:dyDescent="0.35">
      <c r="A1032" t="s">
        <v>5105</v>
      </c>
      <c r="B1032" t="s">
        <v>872</v>
      </c>
      <c r="C1032" t="s">
        <v>4818</v>
      </c>
      <c r="D1032" t="s">
        <v>18</v>
      </c>
      <c r="E1032" t="s">
        <v>5160</v>
      </c>
      <c r="F1032" t="s">
        <v>5161</v>
      </c>
      <c r="G1032" t="s">
        <v>21</v>
      </c>
      <c r="H1032" t="s">
        <v>5000</v>
      </c>
      <c r="I1032" t="s">
        <v>5312</v>
      </c>
      <c r="J1032" t="s">
        <v>5313</v>
      </c>
      <c r="K1032" t="s">
        <v>4899</v>
      </c>
      <c r="L1032">
        <v>2</v>
      </c>
      <c r="M1032" t="s">
        <v>5035</v>
      </c>
      <c r="N1032" t="s">
        <v>5272</v>
      </c>
      <c r="O1032" t="s">
        <v>5273</v>
      </c>
      <c r="P1032" t="s">
        <v>23</v>
      </c>
      <c r="Q1032" t="s">
        <v>24</v>
      </c>
      <c r="R1032" t="s">
        <v>5216</v>
      </c>
      <c r="S1032" t="s">
        <v>5217</v>
      </c>
      <c r="T1032" s="6">
        <v>46307</v>
      </c>
      <c r="U1032">
        <v>310</v>
      </c>
      <c r="V1032">
        <v>310</v>
      </c>
      <c r="W1032">
        <v>330</v>
      </c>
      <c r="X1032">
        <v>330</v>
      </c>
      <c r="Y1032">
        <f t="shared" si="174"/>
        <v>0</v>
      </c>
      <c r="AC1032">
        <v>310</v>
      </c>
      <c r="AF1032">
        <v>310</v>
      </c>
      <c r="AG1032" s="41">
        <v>10</v>
      </c>
      <c r="AH1032">
        <f t="shared" si="175"/>
        <v>310</v>
      </c>
      <c r="AI1032">
        <f t="shared" si="173"/>
        <v>0</v>
      </c>
      <c r="AK1032">
        <f t="shared" si="176"/>
        <v>31</v>
      </c>
      <c r="AL1032">
        <v>14.48</v>
      </c>
      <c r="AM1032" t="s">
        <v>27</v>
      </c>
      <c r="AN1032">
        <v>14.48</v>
      </c>
      <c r="AO1032" t="b">
        <f t="shared" si="177"/>
        <v>1</v>
      </c>
      <c r="AR1032" t="s">
        <v>5061</v>
      </c>
      <c r="AS1032" s="21">
        <v>46284</v>
      </c>
      <c r="AT1032" t="s">
        <v>5062</v>
      </c>
      <c r="AU1032" t="s">
        <v>5315</v>
      </c>
      <c r="AV1032" t="s">
        <v>5062</v>
      </c>
      <c r="AW1032" t="s">
        <v>5311</v>
      </c>
    </row>
    <row r="1033" spans="1:49" x14ac:dyDescent="0.35">
      <c r="A1033" t="s">
        <v>5105</v>
      </c>
      <c r="B1033" t="s">
        <v>872</v>
      </c>
      <c r="C1033" t="s">
        <v>4818</v>
      </c>
      <c r="D1033" t="s">
        <v>18</v>
      </c>
      <c r="E1033" t="s">
        <v>5162</v>
      </c>
      <c r="F1033" t="s">
        <v>5163</v>
      </c>
      <c r="G1033" t="s">
        <v>21</v>
      </c>
      <c r="H1033" t="s">
        <v>5000</v>
      </c>
      <c r="I1033" t="s">
        <v>5312</v>
      </c>
      <c r="J1033" t="s">
        <v>5313</v>
      </c>
      <c r="K1033" t="s">
        <v>4899</v>
      </c>
      <c r="L1033">
        <v>4</v>
      </c>
      <c r="M1033" t="s">
        <v>5035</v>
      </c>
      <c r="N1033" t="s">
        <v>5274</v>
      </c>
      <c r="O1033" t="s">
        <v>5275</v>
      </c>
      <c r="P1033" t="s">
        <v>23</v>
      </c>
      <c r="Q1033" t="s">
        <v>24</v>
      </c>
      <c r="R1033" t="s">
        <v>5216</v>
      </c>
      <c r="S1033" t="s">
        <v>5217</v>
      </c>
      <c r="T1033" s="6">
        <v>46307</v>
      </c>
      <c r="U1033">
        <v>210</v>
      </c>
      <c r="V1033">
        <v>210</v>
      </c>
      <c r="W1033">
        <v>230</v>
      </c>
      <c r="X1033">
        <v>230</v>
      </c>
      <c r="Y1033">
        <f t="shared" si="174"/>
        <v>0</v>
      </c>
      <c r="AC1033">
        <v>210</v>
      </c>
      <c r="AF1033">
        <v>210</v>
      </c>
      <c r="AG1033" s="41">
        <v>10</v>
      </c>
      <c r="AH1033">
        <f t="shared" si="175"/>
        <v>210</v>
      </c>
      <c r="AI1033">
        <f t="shared" si="173"/>
        <v>0</v>
      </c>
      <c r="AK1033">
        <f t="shared" si="176"/>
        <v>21</v>
      </c>
      <c r="AL1033">
        <v>14.48</v>
      </c>
      <c r="AM1033" t="s">
        <v>27</v>
      </c>
      <c r="AN1033">
        <v>14.48</v>
      </c>
      <c r="AO1033" t="b">
        <f t="shared" si="177"/>
        <v>1</v>
      </c>
      <c r="AR1033" t="s">
        <v>5061</v>
      </c>
      <c r="AS1033" s="21">
        <v>46284</v>
      </c>
      <c r="AT1033" t="s">
        <v>5062</v>
      </c>
      <c r="AU1033" t="s">
        <v>5315</v>
      </c>
      <c r="AV1033" t="s">
        <v>5062</v>
      </c>
      <c r="AW1033" t="s">
        <v>5311</v>
      </c>
    </row>
    <row r="1034" spans="1:49" x14ac:dyDescent="0.35">
      <c r="A1034" t="s">
        <v>5105</v>
      </c>
      <c r="B1034" t="s">
        <v>872</v>
      </c>
      <c r="C1034" t="s">
        <v>4818</v>
      </c>
      <c r="D1034" t="s">
        <v>18</v>
      </c>
      <c r="E1034" t="s">
        <v>5164</v>
      </c>
      <c r="F1034" t="s">
        <v>5165</v>
      </c>
      <c r="G1034" t="s">
        <v>21</v>
      </c>
      <c r="H1034" t="s">
        <v>5000</v>
      </c>
      <c r="I1034" t="s">
        <v>5312</v>
      </c>
      <c r="J1034" t="s">
        <v>5313</v>
      </c>
      <c r="K1034" t="s">
        <v>5314</v>
      </c>
      <c r="L1034">
        <v>20</v>
      </c>
      <c r="M1034" t="s">
        <v>5035</v>
      </c>
      <c r="N1034" t="s">
        <v>5276</v>
      </c>
      <c r="O1034" t="s">
        <v>5277</v>
      </c>
      <c r="P1034" t="s">
        <v>23</v>
      </c>
      <c r="Q1034" t="s">
        <v>24</v>
      </c>
      <c r="R1034" t="s">
        <v>5216</v>
      </c>
      <c r="S1034" t="s">
        <v>5217</v>
      </c>
      <c r="T1034" s="6">
        <v>46307</v>
      </c>
      <c r="U1034">
        <v>110</v>
      </c>
      <c r="V1034">
        <v>110</v>
      </c>
      <c r="W1034">
        <v>120</v>
      </c>
      <c r="X1034">
        <v>120</v>
      </c>
      <c r="Y1034">
        <f t="shared" si="174"/>
        <v>0</v>
      </c>
      <c r="AC1034">
        <v>110</v>
      </c>
      <c r="AF1034">
        <v>110</v>
      </c>
      <c r="AG1034" s="41">
        <v>10</v>
      </c>
      <c r="AH1034">
        <f t="shared" si="175"/>
        <v>110</v>
      </c>
      <c r="AI1034">
        <f t="shared" si="173"/>
        <v>0</v>
      </c>
      <c r="AK1034">
        <f t="shared" si="176"/>
        <v>11</v>
      </c>
      <c r="AL1034">
        <v>14.48</v>
      </c>
      <c r="AM1034" t="s">
        <v>27</v>
      </c>
      <c r="AN1034">
        <v>14.48</v>
      </c>
      <c r="AO1034" t="b">
        <f t="shared" si="177"/>
        <v>1</v>
      </c>
      <c r="AR1034" t="s">
        <v>5061</v>
      </c>
      <c r="AS1034" s="21">
        <v>46284</v>
      </c>
      <c r="AT1034" t="s">
        <v>5062</v>
      </c>
      <c r="AU1034" t="s">
        <v>5315</v>
      </c>
      <c r="AV1034" t="s">
        <v>5062</v>
      </c>
      <c r="AW1034" t="s">
        <v>5311</v>
      </c>
    </row>
    <row r="1035" spans="1:49" x14ac:dyDescent="0.35">
      <c r="A1035" t="s">
        <v>5105</v>
      </c>
      <c r="B1035" t="s">
        <v>872</v>
      </c>
      <c r="C1035" t="s">
        <v>4818</v>
      </c>
      <c r="D1035" t="s">
        <v>18</v>
      </c>
      <c r="E1035" t="s">
        <v>5166</v>
      </c>
      <c r="F1035" t="s">
        <v>5167</v>
      </c>
      <c r="G1035" t="s">
        <v>21</v>
      </c>
      <c r="H1035" t="s">
        <v>5000</v>
      </c>
      <c r="I1035" t="s">
        <v>5312</v>
      </c>
      <c r="J1035" t="s">
        <v>5313</v>
      </c>
      <c r="K1035" t="s">
        <v>4899</v>
      </c>
      <c r="L1035">
        <v>6</v>
      </c>
      <c r="M1035" t="s">
        <v>5035</v>
      </c>
      <c r="N1035" t="s">
        <v>5278</v>
      </c>
      <c r="O1035" t="s">
        <v>5279</v>
      </c>
      <c r="P1035" t="s">
        <v>23</v>
      </c>
      <c r="Q1035" t="s">
        <v>24</v>
      </c>
      <c r="R1035" t="s">
        <v>5216</v>
      </c>
      <c r="S1035" t="s">
        <v>5217</v>
      </c>
      <c r="T1035" s="6">
        <v>46307</v>
      </c>
      <c r="U1035">
        <v>240</v>
      </c>
      <c r="V1035">
        <v>240</v>
      </c>
      <c r="W1035">
        <v>260</v>
      </c>
      <c r="X1035">
        <v>260</v>
      </c>
      <c r="Y1035">
        <f t="shared" si="174"/>
        <v>0</v>
      </c>
      <c r="AC1035">
        <v>240</v>
      </c>
      <c r="AF1035">
        <v>240</v>
      </c>
      <c r="AG1035" s="41">
        <v>10</v>
      </c>
      <c r="AH1035">
        <f t="shared" si="175"/>
        <v>240</v>
      </c>
      <c r="AI1035">
        <f t="shared" si="173"/>
        <v>0</v>
      </c>
      <c r="AK1035">
        <f t="shared" si="176"/>
        <v>24</v>
      </c>
      <c r="AL1035">
        <v>14.48</v>
      </c>
      <c r="AM1035" t="s">
        <v>27</v>
      </c>
      <c r="AN1035">
        <v>14.48</v>
      </c>
      <c r="AO1035" t="b">
        <f t="shared" si="177"/>
        <v>1</v>
      </c>
      <c r="AR1035" t="s">
        <v>5061</v>
      </c>
      <c r="AS1035" s="21">
        <v>46284</v>
      </c>
      <c r="AT1035" t="s">
        <v>5062</v>
      </c>
      <c r="AU1035" t="s">
        <v>5315</v>
      </c>
      <c r="AV1035" t="s">
        <v>5062</v>
      </c>
      <c r="AW1035" t="s">
        <v>5311</v>
      </c>
    </row>
    <row r="1036" spans="1:49" x14ac:dyDescent="0.35">
      <c r="A1036" t="s">
        <v>5105</v>
      </c>
      <c r="B1036" t="s">
        <v>872</v>
      </c>
      <c r="C1036" t="s">
        <v>4818</v>
      </c>
      <c r="D1036" t="s">
        <v>18</v>
      </c>
      <c r="E1036" t="s">
        <v>5168</v>
      </c>
      <c r="F1036" t="s">
        <v>5169</v>
      </c>
      <c r="G1036" t="s">
        <v>21</v>
      </c>
      <c r="H1036" t="s">
        <v>5000</v>
      </c>
      <c r="I1036" t="s">
        <v>5312</v>
      </c>
      <c r="J1036" t="s">
        <v>5313</v>
      </c>
      <c r="K1036" t="s">
        <v>5314</v>
      </c>
      <c r="L1036">
        <v>6</v>
      </c>
      <c r="M1036" t="s">
        <v>5035</v>
      </c>
      <c r="N1036" t="s">
        <v>5280</v>
      </c>
      <c r="O1036" t="s">
        <v>5281</v>
      </c>
      <c r="P1036" t="s">
        <v>23</v>
      </c>
      <c r="Q1036" t="s">
        <v>24</v>
      </c>
      <c r="R1036" t="s">
        <v>5216</v>
      </c>
      <c r="S1036" t="s">
        <v>5217</v>
      </c>
      <c r="T1036" s="6">
        <v>46307</v>
      </c>
      <c r="U1036">
        <v>160</v>
      </c>
      <c r="V1036">
        <v>160</v>
      </c>
      <c r="W1036">
        <v>170</v>
      </c>
      <c r="X1036">
        <v>170</v>
      </c>
      <c r="Y1036">
        <f t="shared" si="174"/>
        <v>0</v>
      </c>
      <c r="AC1036">
        <v>160</v>
      </c>
      <c r="AF1036">
        <v>160</v>
      </c>
      <c r="AG1036" s="41">
        <v>10</v>
      </c>
      <c r="AH1036">
        <f t="shared" si="175"/>
        <v>160</v>
      </c>
      <c r="AI1036">
        <f t="shared" si="173"/>
        <v>0</v>
      </c>
      <c r="AK1036">
        <f t="shared" si="176"/>
        <v>16</v>
      </c>
      <c r="AL1036">
        <v>14.48</v>
      </c>
      <c r="AM1036" t="s">
        <v>27</v>
      </c>
      <c r="AN1036">
        <v>14.48</v>
      </c>
      <c r="AO1036" t="b">
        <f t="shared" si="177"/>
        <v>1</v>
      </c>
      <c r="AR1036" t="s">
        <v>5061</v>
      </c>
      <c r="AS1036" s="21">
        <v>46284</v>
      </c>
      <c r="AT1036" t="s">
        <v>5062</v>
      </c>
      <c r="AU1036" t="s">
        <v>5315</v>
      </c>
      <c r="AV1036" t="s">
        <v>5062</v>
      </c>
      <c r="AW1036" t="s">
        <v>5311</v>
      </c>
    </row>
    <row r="1037" spans="1:49" x14ac:dyDescent="0.35">
      <c r="A1037" t="s">
        <v>5105</v>
      </c>
      <c r="B1037" t="s">
        <v>872</v>
      </c>
      <c r="C1037" t="s">
        <v>4818</v>
      </c>
      <c r="D1037" t="s">
        <v>18</v>
      </c>
      <c r="E1037" t="s">
        <v>5170</v>
      </c>
      <c r="F1037" t="s">
        <v>5171</v>
      </c>
      <c r="G1037" t="s">
        <v>21</v>
      </c>
      <c r="H1037" t="s">
        <v>5000</v>
      </c>
      <c r="I1037" t="s">
        <v>5312</v>
      </c>
      <c r="J1037" t="s">
        <v>5313</v>
      </c>
      <c r="K1037" t="s">
        <v>5314</v>
      </c>
      <c r="L1037">
        <v>18</v>
      </c>
      <c r="M1037" t="s">
        <v>5035</v>
      </c>
      <c r="N1037" t="s">
        <v>5282</v>
      </c>
      <c r="O1037" t="s">
        <v>5283</v>
      </c>
      <c r="P1037" t="s">
        <v>23</v>
      </c>
      <c r="Q1037" t="s">
        <v>24</v>
      </c>
      <c r="R1037" t="s">
        <v>5216</v>
      </c>
      <c r="S1037" t="s">
        <v>5217</v>
      </c>
      <c r="T1037" s="6">
        <v>46307</v>
      </c>
      <c r="U1037">
        <v>230</v>
      </c>
      <c r="V1037">
        <v>230</v>
      </c>
      <c r="W1037">
        <v>250</v>
      </c>
      <c r="X1037">
        <v>250</v>
      </c>
      <c r="Y1037">
        <f t="shared" si="174"/>
        <v>0</v>
      </c>
      <c r="AC1037">
        <v>230</v>
      </c>
      <c r="AF1037">
        <v>230</v>
      </c>
      <c r="AG1037" s="41">
        <v>10</v>
      </c>
      <c r="AH1037">
        <f t="shared" si="175"/>
        <v>230</v>
      </c>
      <c r="AI1037">
        <f t="shared" si="173"/>
        <v>0</v>
      </c>
      <c r="AK1037">
        <f t="shared" si="176"/>
        <v>23</v>
      </c>
      <c r="AL1037">
        <v>14.48</v>
      </c>
      <c r="AM1037" t="s">
        <v>27</v>
      </c>
      <c r="AN1037">
        <v>14.48</v>
      </c>
      <c r="AO1037" t="b">
        <f t="shared" si="177"/>
        <v>1</v>
      </c>
      <c r="AR1037" t="s">
        <v>5061</v>
      </c>
      <c r="AS1037" s="21">
        <v>46284</v>
      </c>
      <c r="AT1037" t="s">
        <v>5062</v>
      </c>
      <c r="AU1037" t="s">
        <v>5315</v>
      </c>
      <c r="AV1037" t="s">
        <v>5062</v>
      </c>
      <c r="AW1037" t="s">
        <v>5311</v>
      </c>
    </row>
    <row r="1038" spans="1:49" x14ac:dyDescent="0.35">
      <c r="A1038" t="s">
        <v>5105</v>
      </c>
      <c r="B1038" t="s">
        <v>872</v>
      </c>
      <c r="C1038" t="s">
        <v>4818</v>
      </c>
      <c r="D1038" t="s">
        <v>18</v>
      </c>
      <c r="E1038" t="s">
        <v>2861</v>
      </c>
      <c r="F1038" t="s">
        <v>2862</v>
      </c>
      <c r="G1038" t="s">
        <v>21</v>
      </c>
      <c r="H1038" t="s">
        <v>4888</v>
      </c>
      <c r="I1038" t="s">
        <v>5008</v>
      </c>
      <c r="J1038" t="s">
        <v>5009</v>
      </c>
      <c r="K1038" t="s">
        <v>4904</v>
      </c>
      <c r="L1038">
        <v>36</v>
      </c>
      <c r="M1038" t="s">
        <v>5035</v>
      </c>
      <c r="N1038" t="s">
        <v>2863</v>
      </c>
      <c r="O1038" t="s">
        <v>2864</v>
      </c>
      <c r="P1038" t="s">
        <v>23</v>
      </c>
      <c r="Q1038" t="s">
        <v>24</v>
      </c>
      <c r="R1038" t="s">
        <v>5216</v>
      </c>
      <c r="S1038" t="s">
        <v>5217</v>
      </c>
      <c r="T1038" s="6">
        <v>46307</v>
      </c>
      <c r="U1038">
        <v>24</v>
      </c>
      <c r="V1038">
        <v>24</v>
      </c>
      <c r="W1038">
        <v>24</v>
      </c>
      <c r="X1038">
        <v>24</v>
      </c>
      <c r="Y1038">
        <f t="shared" si="174"/>
        <v>0</v>
      </c>
      <c r="AC1038">
        <v>24</v>
      </c>
      <c r="AF1038">
        <v>24</v>
      </c>
      <c r="AG1038" s="41">
        <v>24</v>
      </c>
      <c r="AH1038">
        <f t="shared" si="175"/>
        <v>24</v>
      </c>
      <c r="AI1038">
        <f t="shared" si="173"/>
        <v>0</v>
      </c>
      <c r="AK1038">
        <f t="shared" si="176"/>
        <v>1</v>
      </c>
      <c r="AL1038">
        <v>10.11</v>
      </c>
      <c r="AM1038" t="s">
        <v>27</v>
      </c>
      <c r="AN1038">
        <v>10.11</v>
      </c>
      <c r="AO1038" t="b">
        <f t="shared" si="177"/>
        <v>1</v>
      </c>
      <c r="AR1038" t="s">
        <v>5061</v>
      </c>
      <c r="AS1038" s="21">
        <v>46284</v>
      </c>
      <c r="AT1038" t="s">
        <v>5062</v>
      </c>
      <c r="AU1038" t="s">
        <v>5080</v>
      </c>
      <c r="AV1038" t="s">
        <v>5062</v>
      </c>
      <c r="AW1038" t="s">
        <v>5311</v>
      </c>
    </row>
    <row r="1039" spans="1:49" x14ac:dyDescent="0.35">
      <c r="A1039" t="s">
        <v>5105</v>
      </c>
      <c r="B1039" t="s">
        <v>872</v>
      </c>
      <c r="C1039" t="s">
        <v>4818</v>
      </c>
      <c r="D1039" t="s">
        <v>18</v>
      </c>
      <c r="E1039" t="s">
        <v>2869</v>
      </c>
      <c r="F1039" t="s">
        <v>2870</v>
      </c>
      <c r="G1039" t="s">
        <v>21</v>
      </c>
      <c r="H1039" t="s">
        <v>4888</v>
      </c>
      <c r="I1039" t="s">
        <v>5005</v>
      </c>
      <c r="J1039" t="s">
        <v>5006</v>
      </c>
      <c r="K1039" t="s">
        <v>4837</v>
      </c>
      <c r="L1039">
        <v>32</v>
      </c>
      <c r="M1039" t="s">
        <v>5035</v>
      </c>
      <c r="N1039" t="s">
        <v>2871</v>
      </c>
      <c r="O1039" t="s">
        <v>2872</v>
      </c>
      <c r="P1039" t="s">
        <v>23</v>
      </c>
      <c r="Q1039" t="s">
        <v>24</v>
      </c>
      <c r="R1039" t="s">
        <v>5216</v>
      </c>
      <c r="S1039" t="s">
        <v>5217</v>
      </c>
      <c r="T1039" s="6">
        <v>46307</v>
      </c>
      <c r="U1039">
        <v>24</v>
      </c>
      <c r="V1039">
        <v>24</v>
      </c>
      <c r="W1039">
        <v>24</v>
      </c>
      <c r="X1039">
        <v>24</v>
      </c>
      <c r="Y1039">
        <f t="shared" si="174"/>
        <v>0</v>
      </c>
      <c r="AC1039">
        <v>24</v>
      </c>
      <c r="AF1039">
        <v>24</v>
      </c>
      <c r="AG1039" s="41">
        <v>24</v>
      </c>
      <c r="AH1039">
        <f t="shared" si="175"/>
        <v>24</v>
      </c>
      <c r="AI1039">
        <f t="shared" si="173"/>
        <v>0</v>
      </c>
      <c r="AK1039">
        <f t="shared" si="176"/>
        <v>1</v>
      </c>
      <c r="AL1039">
        <v>9.58</v>
      </c>
      <c r="AM1039" t="s">
        <v>27</v>
      </c>
      <c r="AN1039">
        <v>9.58</v>
      </c>
      <c r="AO1039" t="b">
        <f t="shared" si="177"/>
        <v>1</v>
      </c>
      <c r="AR1039" t="s">
        <v>5061</v>
      </c>
      <c r="AS1039" s="21">
        <v>46284</v>
      </c>
      <c r="AT1039" t="s">
        <v>5062</v>
      </c>
      <c r="AU1039" t="s">
        <v>5079</v>
      </c>
      <c r="AV1039" t="s">
        <v>5062</v>
      </c>
      <c r="AW1039" t="s">
        <v>5311</v>
      </c>
    </row>
    <row r="1040" spans="1:49" x14ac:dyDescent="0.35">
      <c r="A1040" t="s">
        <v>5105</v>
      </c>
      <c r="B1040" t="s">
        <v>872</v>
      </c>
      <c r="C1040" t="s">
        <v>4818</v>
      </c>
      <c r="D1040" t="s">
        <v>18</v>
      </c>
      <c r="E1040" t="s">
        <v>2873</v>
      </c>
      <c r="F1040" t="s">
        <v>2874</v>
      </c>
      <c r="G1040" t="s">
        <v>21</v>
      </c>
      <c r="H1040" t="s">
        <v>4888</v>
      </c>
      <c r="I1040" t="s">
        <v>5010</v>
      </c>
      <c r="J1040" t="s">
        <v>5011</v>
      </c>
      <c r="K1040" t="s">
        <v>4904</v>
      </c>
      <c r="L1040" t="s">
        <v>4983</v>
      </c>
      <c r="M1040" t="s">
        <v>5035</v>
      </c>
      <c r="N1040" t="s">
        <v>2875</v>
      </c>
      <c r="O1040" t="s">
        <v>2876</v>
      </c>
      <c r="P1040" t="s">
        <v>23</v>
      </c>
      <c r="Q1040" t="s">
        <v>24</v>
      </c>
      <c r="R1040" t="s">
        <v>5216</v>
      </c>
      <c r="S1040" t="s">
        <v>5217</v>
      </c>
      <c r="T1040" s="6">
        <v>46307</v>
      </c>
      <c r="U1040">
        <v>24</v>
      </c>
      <c r="V1040">
        <v>24</v>
      </c>
      <c r="W1040">
        <v>24</v>
      </c>
      <c r="X1040">
        <v>24</v>
      </c>
      <c r="Y1040">
        <f t="shared" si="174"/>
        <v>0</v>
      </c>
      <c r="AC1040">
        <v>24</v>
      </c>
      <c r="AF1040">
        <v>24</v>
      </c>
      <c r="AG1040" s="41">
        <v>24</v>
      </c>
      <c r="AH1040">
        <f t="shared" si="175"/>
        <v>24</v>
      </c>
      <c r="AI1040">
        <f t="shared" si="173"/>
        <v>0</v>
      </c>
      <c r="AK1040">
        <f t="shared" si="176"/>
        <v>1</v>
      </c>
      <c r="AL1040">
        <v>5.03</v>
      </c>
      <c r="AM1040" t="s">
        <v>27</v>
      </c>
      <c r="AN1040">
        <v>5.03</v>
      </c>
      <c r="AO1040" t="b">
        <f t="shared" si="177"/>
        <v>1</v>
      </c>
      <c r="AR1040" t="s">
        <v>5061</v>
      </c>
      <c r="AS1040" s="21">
        <v>46284</v>
      </c>
      <c r="AT1040" t="s">
        <v>5062</v>
      </c>
      <c r="AU1040" t="s">
        <v>5081</v>
      </c>
      <c r="AV1040" t="s">
        <v>5062</v>
      </c>
      <c r="AW1040" t="s">
        <v>5311</v>
      </c>
    </row>
    <row r="1041" spans="1:49" x14ac:dyDescent="0.35">
      <c r="A1041" t="s">
        <v>5105</v>
      </c>
      <c r="B1041" t="s">
        <v>872</v>
      </c>
      <c r="C1041" t="s">
        <v>4818</v>
      </c>
      <c r="D1041" t="s">
        <v>18</v>
      </c>
      <c r="E1041" t="s">
        <v>2881</v>
      </c>
      <c r="F1041" t="s">
        <v>2882</v>
      </c>
      <c r="G1041" t="s">
        <v>21</v>
      </c>
      <c r="H1041" t="s">
        <v>4888</v>
      </c>
      <c r="I1041" t="s">
        <v>5012</v>
      </c>
      <c r="J1041" t="s">
        <v>5013</v>
      </c>
      <c r="K1041" t="s">
        <v>4984</v>
      </c>
      <c r="L1041" t="s">
        <v>4985</v>
      </c>
      <c r="M1041" t="s">
        <v>5035</v>
      </c>
      <c r="N1041" t="s">
        <v>2883</v>
      </c>
      <c r="O1041" t="s">
        <v>2884</v>
      </c>
      <c r="P1041" t="s">
        <v>23</v>
      </c>
      <c r="Q1041" t="s">
        <v>24</v>
      </c>
      <c r="R1041" t="s">
        <v>5216</v>
      </c>
      <c r="S1041" t="s">
        <v>5217</v>
      </c>
      <c r="T1041" s="6">
        <v>46307</v>
      </c>
      <c r="U1041">
        <v>24</v>
      </c>
      <c r="V1041">
        <v>24</v>
      </c>
      <c r="W1041">
        <v>24</v>
      </c>
      <c r="X1041">
        <v>24</v>
      </c>
      <c r="Y1041">
        <f t="shared" si="174"/>
        <v>0</v>
      </c>
      <c r="AC1041">
        <v>24</v>
      </c>
      <c r="AF1041">
        <v>24</v>
      </c>
      <c r="AG1041" s="41">
        <v>24</v>
      </c>
      <c r="AH1041">
        <f t="shared" si="175"/>
        <v>24</v>
      </c>
      <c r="AI1041">
        <f t="shared" si="173"/>
        <v>0</v>
      </c>
      <c r="AK1041">
        <f t="shared" si="176"/>
        <v>1</v>
      </c>
      <c r="AL1041">
        <v>6.05</v>
      </c>
      <c r="AM1041" t="s">
        <v>27</v>
      </c>
      <c r="AN1041">
        <v>6.05</v>
      </c>
      <c r="AO1041" t="b">
        <f t="shared" si="177"/>
        <v>1</v>
      </c>
      <c r="AR1041" t="s">
        <v>5061</v>
      </c>
      <c r="AS1041" s="21">
        <v>46284</v>
      </c>
      <c r="AT1041" t="s">
        <v>5062</v>
      </c>
      <c r="AU1041" t="s">
        <v>5081</v>
      </c>
      <c r="AV1041" t="s">
        <v>5062</v>
      </c>
      <c r="AW1041" t="s">
        <v>5311</v>
      </c>
    </row>
    <row r="1042" spans="1:49" x14ac:dyDescent="0.35">
      <c r="A1042" t="s">
        <v>5105</v>
      </c>
      <c r="B1042" t="s">
        <v>872</v>
      </c>
      <c r="C1042" t="s">
        <v>4818</v>
      </c>
      <c r="D1042" t="s">
        <v>18</v>
      </c>
      <c r="E1042" t="s">
        <v>2889</v>
      </c>
      <c r="F1042" t="s">
        <v>2890</v>
      </c>
      <c r="G1042" t="s">
        <v>21</v>
      </c>
      <c r="H1042" t="s">
        <v>4888</v>
      </c>
      <c r="I1042" t="s">
        <v>5012</v>
      </c>
      <c r="J1042" t="s">
        <v>5013</v>
      </c>
      <c r="K1042" t="s">
        <v>4904</v>
      </c>
      <c r="L1042" t="s">
        <v>5014</v>
      </c>
      <c r="M1042" t="s">
        <v>5035</v>
      </c>
      <c r="N1042" t="s">
        <v>2891</v>
      </c>
      <c r="O1042" t="s">
        <v>2892</v>
      </c>
      <c r="P1042" t="s">
        <v>23</v>
      </c>
      <c r="Q1042" t="s">
        <v>24</v>
      </c>
      <c r="R1042" t="s">
        <v>5216</v>
      </c>
      <c r="S1042" t="s">
        <v>5217</v>
      </c>
      <c r="T1042" s="6">
        <v>46307</v>
      </c>
      <c r="U1042">
        <v>24</v>
      </c>
      <c r="V1042">
        <v>24</v>
      </c>
      <c r="W1042">
        <v>24</v>
      </c>
      <c r="X1042">
        <v>24</v>
      </c>
      <c r="Y1042">
        <f t="shared" si="174"/>
        <v>0</v>
      </c>
      <c r="AC1042">
        <v>24</v>
      </c>
      <c r="AF1042">
        <v>24</v>
      </c>
      <c r="AG1042" s="41">
        <v>24</v>
      </c>
      <c r="AH1042">
        <f t="shared" si="175"/>
        <v>24</v>
      </c>
      <c r="AI1042">
        <f t="shared" si="173"/>
        <v>0</v>
      </c>
      <c r="AK1042">
        <f t="shared" si="176"/>
        <v>1</v>
      </c>
      <c r="AL1042">
        <v>6.15</v>
      </c>
      <c r="AM1042" t="s">
        <v>27</v>
      </c>
      <c r="AN1042">
        <v>6.15</v>
      </c>
      <c r="AO1042" t="b">
        <f t="shared" si="177"/>
        <v>1</v>
      </c>
      <c r="AR1042" t="s">
        <v>5061</v>
      </c>
      <c r="AS1042" s="21">
        <v>46284</v>
      </c>
      <c r="AT1042" t="s">
        <v>5062</v>
      </c>
      <c r="AU1042" t="s">
        <v>5081</v>
      </c>
      <c r="AV1042" t="s">
        <v>5062</v>
      </c>
      <c r="AW1042" t="s">
        <v>5311</v>
      </c>
    </row>
    <row r="1043" spans="1:49" x14ac:dyDescent="0.35">
      <c r="A1043" t="s">
        <v>5105</v>
      </c>
      <c r="B1043" t="s">
        <v>872</v>
      </c>
      <c r="C1043" t="s">
        <v>4818</v>
      </c>
      <c r="D1043" t="s">
        <v>18</v>
      </c>
      <c r="E1043" t="s">
        <v>2965</v>
      </c>
      <c r="F1043" t="s">
        <v>2966</v>
      </c>
      <c r="G1043" t="s">
        <v>21</v>
      </c>
      <c r="H1043" t="s">
        <v>4888</v>
      </c>
      <c r="I1043" t="s">
        <v>5008</v>
      </c>
      <c r="J1043" t="s">
        <v>5009</v>
      </c>
      <c r="K1043" t="s">
        <v>5021</v>
      </c>
      <c r="L1043">
        <v>40</v>
      </c>
      <c r="M1043" t="s">
        <v>5035</v>
      </c>
      <c r="N1043" t="s">
        <v>2967</v>
      </c>
      <c r="O1043" t="s">
        <v>2968</v>
      </c>
      <c r="P1043" t="s">
        <v>23</v>
      </c>
      <c r="Q1043" t="s">
        <v>24</v>
      </c>
      <c r="R1043" t="s">
        <v>5216</v>
      </c>
      <c r="S1043" t="s">
        <v>5217</v>
      </c>
      <c r="T1043" s="6">
        <v>46307</v>
      </c>
      <c r="U1043">
        <v>24</v>
      </c>
      <c r="V1043">
        <v>24</v>
      </c>
      <c r="W1043">
        <v>24</v>
      </c>
      <c r="X1043">
        <v>24</v>
      </c>
      <c r="Y1043">
        <f t="shared" si="174"/>
        <v>0</v>
      </c>
      <c r="AC1043">
        <v>24</v>
      </c>
      <c r="AF1043">
        <v>24</v>
      </c>
      <c r="AG1043" s="41">
        <v>24</v>
      </c>
      <c r="AH1043">
        <f t="shared" si="175"/>
        <v>24</v>
      </c>
      <c r="AI1043">
        <f t="shared" si="173"/>
        <v>0</v>
      </c>
      <c r="AK1043">
        <f t="shared" si="176"/>
        <v>1</v>
      </c>
      <c r="AL1043">
        <v>10.11</v>
      </c>
      <c r="AM1043" t="s">
        <v>27</v>
      </c>
      <c r="AN1043">
        <v>10.11</v>
      </c>
      <c r="AO1043" t="b">
        <f t="shared" si="177"/>
        <v>1</v>
      </c>
      <c r="AR1043" t="s">
        <v>5061</v>
      </c>
      <c r="AS1043" s="21">
        <v>46284</v>
      </c>
      <c r="AT1043" t="s">
        <v>5062</v>
      </c>
      <c r="AU1043" t="s">
        <v>5080</v>
      </c>
      <c r="AV1043" t="s">
        <v>5062</v>
      </c>
      <c r="AW1043" t="s">
        <v>5311</v>
      </c>
    </row>
    <row r="1044" spans="1:49" x14ac:dyDescent="0.35">
      <c r="A1044" t="s">
        <v>5105</v>
      </c>
      <c r="B1044" t="s">
        <v>872</v>
      </c>
      <c r="C1044" t="s">
        <v>4818</v>
      </c>
      <c r="D1044" t="s">
        <v>18</v>
      </c>
      <c r="E1044" t="s">
        <v>2977</v>
      </c>
      <c r="F1044" t="s">
        <v>2978</v>
      </c>
      <c r="G1044" t="s">
        <v>21</v>
      </c>
      <c r="H1044" t="s">
        <v>4888</v>
      </c>
      <c r="I1044" t="s">
        <v>5005</v>
      </c>
      <c r="J1044" t="s">
        <v>5006</v>
      </c>
      <c r="K1044" t="s">
        <v>4899</v>
      </c>
      <c r="L1044">
        <v>34</v>
      </c>
      <c r="M1044" t="s">
        <v>5035</v>
      </c>
      <c r="N1044" t="s">
        <v>2979</v>
      </c>
      <c r="O1044" t="s">
        <v>2980</v>
      </c>
      <c r="P1044" t="s">
        <v>23</v>
      </c>
      <c r="Q1044" t="s">
        <v>24</v>
      </c>
      <c r="R1044" t="s">
        <v>5216</v>
      </c>
      <c r="S1044" t="s">
        <v>5217</v>
      </c>
      <c r="T1044" s="6">
        <v>46307</v>
      </c>
      <c r="U1044">
        <v>24</v>
      </c>
      <c r="V1044">
        <v>24</v>
      </c>
      <c r="W1044">
        <v>24</v>
      </c>
      <c r="X1044">
        <v>24</v>
      </c>
      <c r="Y1044">
        <f t="shared" si="174"/>
        <v>0</v>
      </c>
      <c r="AC1044">
        <v>24</v>
      </c>
      <c r="AF1044">
        <v>24</v>
      </c>
      <c r="AG1044" s="41">
        <v>24</v>
      </c>
      <c r="AH1044">
        <f t="shared" si="175"/>
        <v>24</v>
      </c>
      <c r="AI1044">
        <f t="shared" ref="AI1044:AI1107" si="178">V1044-AH1044</f>
        <v>0</v>
      </c>
      <c r="AK1044">
        <f t="shared" si="176"/>
        <v>1</v>
      </c>
      <c r="AL1044">
        <v>10.14</v>
      </c>
      <c r="AM1044" t="s">
        <v>27</v>
      </c>
      <c r="AN1044">
        <v>10.14</v>
      </c>
      <c r="AO1044" t="b">
        <f t="shared" si="177"/>
        <v>1</v>
      </c>
      <c r="AR1044" t="s">
        <v>5061</v>
      </c>
      <c r="AS1044" s="21">
        <v>46284</v>
      </c>
      <c r="AT1044" t="s">
        <v>5062</v>
      </c>
      <c r="AU1044" t="s">
        <v>5079</v>
      </c>
      <c r="AV1044" t="s">
        <v>5062</v>
      </c>
      <c r="AW1044" t="s">
        <v>5311</v>
      </c>
    </row>
    <row r="1045" spans="1:49" x14ac:dyDescent="0.35">
      <c r="A1045" t="s">
        <v>5105</v>
      </c>
      <c r="B1045" t="s">
        <v>872</v>
      </c>
      <c r="C1045" t="s">
        <v>4818</v>
      </c>
      <c r="D1045" t="s">
        <v>18</v>
      </c>
      <c r="E1045" t="s">
        <v>3057</v>
      </c>
      <c r="F1045" t="s">
        <v>3058</v>
      </c>
      <c r="G1045" t="s">
        <v>21</v>
      </c>
      <c r="H1045" t="s">
        <v>4888</v>
      </c>
      <c r="I1045" t="s">
        <v>5025</v>
      </c>
      <c r="J1045" t="s">
        <v>5026</v>
      </c>
      <c r="K1045" t="s">
        <v>5020</v>
      </c>
      <c r="L1045" t="s">
        <v>5014</v>
      </c>
      <c r="M1045" t="s">
        <v>5035</v>
      </c>
      <c r="N1045" t="s">
        <v>3059</v>
      </c>
      <c r="O1045" t="s">
        <v>5284</v>
      </c>
      <c r="P1045" t="s">
        <v>23</v>
      </c>
      <c r="Q1045" t="s">
        <v>24</v>
      </c>
      <c r="R1045" t="s">
        <v>5216</v>
      </c>
      <c r="S1045" t="s">
        <v>5217</v>
      </c>
      <c r="T1045" s="6">
        <v>46307</v>
      </c>
      <c r="U1045">
        <v>24</v>
      </c>
      <c r="V1045">
        <v>24</v>
      </c>
      <c r="W1045">
        <v>24</v>
      </c>
      <c r="X1045">
        <v>24</v>
      </c>
      <c r="Y1045">
        <f t="shared" si="174"/>
        <v>0</v>
      </c>
      <c r="AC1045">
        <v>24</v>
      </c>
      <c r="AF1045">
        <v>24</v>
      </c>
      <c r="AG1045" s="41">
        <v>24</v>
      </c>
      <c r="AH1045">
        <f t="shared" si="175"/>
        <v>24</v>
      </c>
      <c r="AI1045">
        <f t="shared" si="178"/>
        <v>0</v>
      </c>
      <c r="AK1045">
        <f t="shared" si="176"/>
        <v>1</v>
      </c>
      <c r="AL1045">
        <v>6.2</v>
      </c>
      <c r="AM1045" t="s">
        <v>27</v>
      </c>
      <c r="AN1045">
        <v>6.2</v>
      </c>
      <c r="AO1045" t="b">
        <f t="shared" si="177"/>
        <v>1</v>
      </c>
      <c r="AR1045" t="s">
        <v>5061</v>
      </c>
      <c r="AS1045" s="21">
        <v>46284</v>
      </c>
      <c r="AT1045" t="s">
        <v>5062</v>
      </c>
      <c r="AU1045" t="s">
        <v>5082</v>
      </c>
      <c r="AV1045" t="s">
        <v>5062</v>
      </c>
      <c r="AW1045" t="s">
        <v>5311</v>
      </c>
    </row>
    <row r="1046" spans="1:49" x14ac:dyDescent="0.35">
      <c r="A1046" t="s">
        <v>5105</v>
      </c>
      <c r="B1046" t="s">
        <v>872</v>
      </c>
      <c r="C1046" t="s">
        <v>4818</v>
      </c>
      <c r="D1046" t="s">
        <v>18</v>
      </c>
      <c r="E1046" t="s">
        <v>3065</v>
      </c>
      <c r="F1046" t="s">
        <v>3066</v>
      </c>
      <c r="G1046" t="s">
        <v>21</v>
      </c>
      <c r="H1046" t="s">
        <v>4888</v>
      </c>
      <c r="I1046" t="s">
        <v>5008</v>
      </c>
      <c r="J1046" t="s">
        <v>5009</v>
      </c>
      <c r="K1046" t="s">
        <v>4904</v>
      </c>
      <c r="L1046">
        <v>28</v>
      </c>
      <c r="M1046" t="s">
        <v>5035</v>
      </c>
      <c r="N1046" t="s">
        <v>3067</v>
      </c>
      <c r="O1046" t="s">
        <v>5285</v>
      </c>
      <c r="P1046" t="s">
        <v>23</v>
      </c>
      <c r="Q1046" t="s">
        <v>24</v>
      </c>
      <c r="R1046" t="s">
        <v>5216</v>
      </c>
      <c r="S1046" t="s">
        <v>5217</v>
      </c>
      <c r="T1046" s="6">
        <v>46307</v>
      </c>
      <c r="U1046">
        <v>24</v>
      </c>
      <c r="V1046">
        <v>24</v>
      </c>
      <c r="W1046">
        <v>24</v>
      </c>
      <c r="X1046">
        <v>24</v>
      </c>
      <c r="Y1046">
        <f t="shared" si="174"/>
        <v>0</v>
      </c>
      <c r="AC1046">
        <v>24</v>
      </c>
      <c r="AF1046">
        <v>24</v>
      </c>
      <c r="AG1046" s="41">
        <v>24</v>
      </c>
      <c r="AH1046">
        <f t="shared" si="175"/>
        <v>24</v>
      </c>
      <c r="AI1046">
        <f t="shared" si="178"/>
        <v>0</v>
      </c>
      <c r="AK1046">
        <f t="shared" si="176"/>
        <v>1</v>
      </c>
      <c r="AL1046">
        <v>10.11</v>
      </c>
      <c r="AM1046" t="s">
        <v>27</v>
      </c>
      <c r="AN1046">
        <v>10.11</v>
      </c>
      <c r="AO1046" t="b">
        <f t="shared" si="177"/>
        <v>1</v>
      </c>
      <c r="AR1046" t="s">
        <v>5061</v>
      </c>
      <c r="AS1046" s="21">
        <v>46284</v>
      </c>
      <c r="AT1046" t="s">
        <v>5062</v>
      </c>
      <c r="AU1046" t="s">
        <v>5080</v>
      </c>
      <c r="AV1046" t="s">
        <v>5062</v>
      </c>
      <c r="AW1046" t="s">
        <v>5311</v>
      </c>
    </row>
    <row r="1047" spans="1:49" x14ac:dyDescent="0.35">
      <c r="A1047" t="s">
        <v>5105</v>
      </c>
      <c r="B1047" t="s">
        <v>872</v>
      </c>
      <c r="C1047" t="s">
        <v>4818</v>
      </c>
      <c r="D1047" t="s">
        <v>18</v>
      </c>
      <c r="E1047" t="s">
        <v>3109</v>
      </c>
      <c r="F1047" t="s">
        <v>3110</v>
      </c>
      <c r="G1047" t="s">
        <v>21</v>
      </c>
      <c r="H1047" t="s">
        <v>4888</v>
      </c>
      <c r="I1047" t="s">
        <v>5005</v>
      </c>
      <c r="J1047" t="s">
        <v>5006</v>
      </c>
      <c r="K1047" t="s">
        <v>5007</v>
      </c>
      <c r="L1047">
        <v>30</v>
      </c>
      <c r="M1047" t="s">
        <v>5035</v>
      </c>
      <c r="N1047" t="s">
        <v>3111</v>
      </c>
      <c r="O1047" t="s">
        <v>3112</v>
      </c>
      <c r="P1047" t="s">
        <v>23</v>
      </c>
      <c r="Q1047" t="s">
        <v>24</v>
      </c>
      <c r="R1047" t="s">
        <v>5216</v>
      </c>
      <c r="S1047" t="s">
        <v>5217</v>
      </c>
      <c r="T1047" s="6">
        <v>46307</v>
      </c>
      <c r="U1047">
        <v>24</v>
      </c>
      <c r="V1047">
        <v>24</v>
      </c>
      <c r="W1047">
        <v>24</v>
      </c>
      <c r="X1047">
        <v>24</v>
      </c>
      <c r="Y1047">
        <f t="shared" si="174"/>
        <v>0</v>
      </c>
      <c r="AC1047">
        <v>24</v>
      </c>
      <c r="AF1047">
        <v>24</v>
      </c>
      <c r="AG1047" s="41">
        <v>24</v>
      </c>
      <c r="AH1047">
        <f t="shared" si="175"/>
        <v>24</v>
      </c>
      <c r="AI1047">
        <f t="shared" si="178"/>
        <v>0</v>
      </c>
      <c r="AK1047">
        <f t="shared" si="176"/>
        <v>1</v>
      </c>
      <c r="AL1047">
        <v>10.45</v>
      </c>
      <c r="AM1047" t="s">
        <v>27</v>
      </c>
      <c r="AN1047">
        <v>10.45</v>
      </c>
      <c r="AO1047" t="b">
        <f t="shared" si="177"/>
        <v>1</v>
      </c>
      <c r="AR1047" t="s">
        <v>5061</v>
      </c>
      <c r="AS1047" s="21">
        <v>46284</v>
      </c>
      <c r="AT1047" t="s">
        <v>5062</v>
      </c>
      <c r="AU1047" t="s">
        <v>5079</v>
      </c>
      <c r="AV1047" t="s">
        <v>5062</v>
      </c>
      <c r="AW1047" t="s">
        <v>5311</v>
      </c>
    </row>
    <row r="1048" spans="1:49" x14ac:dyDescent="0.35">
      <c r="A1048" t="s">
        <v>5105</v>
      </c>
      <c r="B1048" t="s">
        <v>872</v>
      </c>
      <c r="C1048" t="s">
        <v>4818</v>
      </c>
      <c r="D1048" t="s">
        <v>18</v>
      </c>
      <c r="E1048" t="s">
        <v>3141</v>
      </c>
      <c r="F1048" t="s">
        <v>3142</v>
      </c>
      <c r="G1048" t="s">
        <v>21</v>
      </c>
      <c r="H1048" t="s">
        <v>4888</v>
      </c>
      <c r="I1048" t="s">
        <v>5022</v>
      </c>
      <c r="J1048" t="s">
        <v>5023</v>
      </c>
      <c r="K1048" t="s">
        <v>5024</v>
      </c>
      <c r="L1048">
        <v>6</v>
      </c>
      <c r="M1048" t="s">
        <v>5035</v>
      </c>
      <c r="N1048" t="s">
        <v>3143</v>
      </c>
      <c r="O1048" t="s">
        <v>3144</v>
      </c>
      <c r="P1048" t="s">
        <v>23</v>
      </c>
      <c r="Q1048" t="s">
        <v>24</v>
      </c>
      <c r="R1048" t="s">
        <v>5216</v>
      </c>
      <c r="S1048" t="s">
        <v>5217</v>
      </c>
      <c r="T1048" s="6">
        <v>46307</v>
      </c>
      <c r="U1048">
        <v>24</v>
      </c>
      <c r="V1048">
        <v>24</v>
      </c>
      <c r="W1048">
        <v>24</v>
      </c>
      <c r="X1048">
        <v>24</v>
      </c>
      <c r="Y1048">
        <f t="shared" si="174"/>
        <v>0</v>
      </c>
      <c r="AC1048">
        <v>24</v>
      </c>
      <c r="AF1048">
        <v>24</v>
      </c>
      <c r="AG1048" s="41">
        <v>24</v>
      </c>
      <c r="AH1048">
        <f t="shared" si="175"/>
        <v>24</v>
      </c>
      <c r="AI1048">
        <f t="shared" si="178"/>
        <v>0</v>
      </c>
      <c r="AK1048">
        <f t="shared" si="176"/>
        <v>1</v>
      </c>
      <c r="AL1048">
        <v>6.99</v>
      </c>
      <c r="AM1048" t="s">
        <v>27</v>
      </c>
      <c r="AN1048">
        <v>8.68</v>
      </c>
      <c r="AO1048" t="b">
        <f t="shared" si="177"/>
        <v>0</v>
      </c>
      <c r="AR1048" t="s">
        <v>5061</v>
      </c>
      <c r="AS1048" s="21">
        <v>46284</v>
      </c>
      <c r="AT1048" t="s">
        <v>5062</v>
      </c>
      <c r="AU1048" t="s">
        <v>5083</v>
      </c>
      <c r="AV1048" t="s">
        <v>5062</v>
      </c>
      <c r="AW1048" t="s">
        <v>5311</v>
      </c>
    </row>
    <row r="1049" spans="1:49" x14ac:dyDescent="0.35">
      <c r="A1049" t="s">
        <v>5105</v>
      </c>
      <c r="B1049" t="s">
        <v>872</v>
      </c>
      <c r="C1049" t="s">
        <v>4818</v>
      </c>
      <c r="D1049" t="s">
        <v>18</v>
      </c>
      <c r="E1049" t="s">
        <v>3145</v>
      </c>
      <c r="F1049" t="s">
        <v>3146</v>
      </c>
      <c r="G1049" t="s">
        <v>21</v>
      </c>
      <c r="H1049" t="s">
        <v>4888</v>
      </c>
      <c r="I1049" t="s">
        <v>5012</v>
      </c>
      <c r="J1049" t="s">
        <v>5013</v>
      </c>
      <c r="K1049" t="s">
        <v>4904</v>
      </c>
      <c r="L1049" t="s">
        <v>4986</v>
      </c>
      <c r="M1049" t="s">
        <v>5035</v>
      </c>
      <c r="N1049" t="s">
        <v>3147</v>
      </c>
      <c r="O1049" t="s">
        <v>3148</v>
      </c>
      <c r="P1049" t="s">
        <v>23</v>
      </c>
      <c r="Q1049" t="s">
        <v>24</v>
      </c>
      <c r="R1049" t="s">
        <v>5216</v>
      </c>
      <c r="S1049" t="s">
        <v>5217</v>
      </c>
      <c r="T1049" s="6">
        <v>46307</v>
      </c>
      <c r="U1049">
        <v>24</v>
      </c>
      <c r="V1049">
        <v>24</v>
      </c>
      <c r="W1049">
        <v>24</v>
      </c>
      <c r="X1049">
        <v>24</v>
      </c>
      <c r="Y1049">
        <f t="shared" si="174"/>
        <v>0</v>
      </c>
      <c r="AC1049">
        <v>24</v>
      </c>
      <c r="AF1049">
        <v>24</v>
      </c>
      <c r="AG1049" s="41">
        <v>24</v>
      </c>
      <c r="AH1049">
        <f t="shared" si="175"/>
        <v>24</v>
      </c>
      <c r="AI1049">
        <f t="shared" si="178"/>
        <v>0</v>
      </c>
      <c r="AK1049">
        <f t="shared" si="176"/>
        <v>1</v>
      </c>
      <c r="AL1049">
        <v>6.15</v>
      </c>
      <c r="AM1049" t="s">
        <v>27</v>
      </c>
      <c r="AN1049">
        <v>6.15</v>
      </c>
      <c r="AO1049" t="b">
        <f t="shared" si="177"/>
        <v>1</v>
      </c>
      <c r="AR1049" t="s">
        <v>5061</v>
      </c>
      <c r="AS1049" s="21">
        <v>46284</v>
      </c>
      <c r="AT1049" t="s">
        <v>5062</v>
      </c>
      <c r="AU1049" t="s">
        <v>5081</v>
      </c>
      <c r="AV1049" t="s">
        <v>5062</v>
      </c>
      <c r="AW1049" t="s">
        <v>5311</v>
      </c>
    </row>
    <row r="1050" spans="1:49" x14ac:dyDescent="0.35">
      <c r="A1050" t="s">
        <v>5105</v>
      </c>
      <c r="B1050" t="s">
        <v>872</v>
      </c>
      <c r="C1050" t="s">
        <v>4818</v>
      </c>
      <c r="D1050" t="s">
        <v>18</v>
      </c>
      <c r="E1050" t="s">
        <v>3173</v>
      </c>
      <c r="F1050" t="s">
        <v>3174</v>
      </c>
      <c r="G1050" t="s">
        <v>21</v>
      </c>
      <c r="H1050" t="s">
        <v>4888</v>
      </c>
      <c r="I1050" t="s">
        <v>5005</v>
      </c>
      <c r="J1050" t="s">
        <v>5006</v>
      </c>
      <c r="K1050" t="s">
        <v>5027</v>
      </c>
      <c r="L1050">
        <v>31</v>
      </c>
      <c r="M1050" t="s">
        <v>5035</v>
      </c>
      <c r="N1050" t="s">
        <v>3175</v>
      </c>
      <c r="O1050" t="s">
        <v>3176</v>
      </c>
      <c r="P1050" t="s">
        <v>23</v>
      </c>
      <c r="Q1050" t="s">
        <v>24</v>
      </c>
      <c r="R1050" t="s">
        <v>5216</v>
      </c>
      <c r="S1050" t="s">
        <v>5217</v>
      </c>
      <c r="T1050" s="6">
        <v>46307</v>
      </c>
      <c r="U1050">
        <v>24</v>
      </c>
      <c r="V1050">
        <v>24</v>
      </c>
      <c r="W1050">
        <v>24</v>
      </c>
      <c r="X1050">
        <v>24</v>
      </c>
      <c r="Y1050">
        <f t="shared" si="174"/>
        <v>0</v>
      </c>
      <c r="AC1050">
        <v>24</v>
      </c>
      <c r="AF1050">
        <v>24</v>
      </c>
      <c r="AG1050" s="41">
        <v>24</v>
      </c>
      <c r="AH1050">
        <f t="shared" si="175"/>
        <v>24</v>
      </c>
      <c r="AI1050">
        <f t="shared" si="178"/>
        <v>0</v>
      </c>
      <c r="AK1050">
        <f t="shared" si="176"/>
        <v>1</v>
      </c>
      <c r="AL1050">
        <v>10.24</v>
      </c>
      <c r="AM1050" t="s">
        <v>27</v>
      </c>
      <c r="AN1050">
        <v>10.24</v>
      </c>
      <c r="AO1050" t="b">
        <f t="shared" si="177"/>
        <v>1</v>
      </c>
      <c r="AR1050" t="s">
        <v>5061</v>
      </c>
      <c r="AS1050" s="21">
        <v>46284</v>
      </c>
      <c r="AT1050" t="s">
        <v>5062</v>
      </c>
      <c r="AU1050" t="s">
        <v>5079</v>
      </c>
      <c r="AV1050" t="s">
        <v>5062</v>
      </c>
      <c r="AW1050" t="s">
        <v>5311</v>
      </c>
    </row>
    <row r="1051" spans="1:49" x14ac:dyDescent="0.35">
      <c r="A1051" t="s">
        <v>5105</v>
      </c>
      <c r="B1051" t="s">
        <v>872</v>
      </c>
      <c r="C1051" t="s">
        <v>4818</v>
      </c>
      <c r="D1051" t="s">
        <v>18</v>
      </c>
      <c r="E1051" t="s">
        <v>3237</v>
      </c>
      <c r="F1051" t="s">
        <v>3238</v>
      </c>
      <c r="G1051" t="s">
        <v>21</v>
      </c>
      <c r="H1051" t="s">
        <v>4888</v>
      </c>
      <c r="I1051" t="s">
        <v>5008</v>
      </c>
      <c r="J1051" t="s">
        <v>5009</v>
      </c>
      <c r="K1051" t="s">
        <v>5021</v>
      </c>
      <c r="L1051">
        <v>42</v>
      </c>
      <c r="M1051" t="s">
        <v>5035</v>
      </c>
      <c r="N1051" t="s">
        <v>3239</v>
      </c>
      <c r="O1051" t="s">
        <v>3240</v>
      </c>
      <c r="P1051" t="s">
        <v>23</v>
      </c>
      <c r="Q1051" t="s">
        <v>24</v>
      </c>
      <c r="R1051" t="s">
        <v>5216</v>
      </c>
      <c r="S1051" t="s">
        <v>5217</v>
      </c>
      <c r="T1051" s="6">
        <v>46307</v>
      </c>
      <c r="U1051">
        <v>24</v>
      </c>
      <c r="V1051">
        <v>24</v>
      </c>
      <c r="W1051">
        <v>24</v>
      </c>
      <c r="X1051">
        <v>24</v>
      </c>
      <c r="Y1051">
        <f t="shared" si="174"/>
        <v>0</v>
      </c>
      <c r="AC1051">
        <v>24</v>
      </c>
      <c r="AF1051">
        <v>24</v>
      </c>
      <c r="AG1051" s="41">
        <v>24</v>
      </c>
      <c r="AH1051">
        <f t="shared" si="175"/>
        <v>24</v>
      </c>
      <c r="AI1051">
        <f t="shared" si="178"/>
        <v>0</v>
      </c>
      <c r="AK1051">
        <f t="shared" si="176"/>
        <v>1</v>
      </c>
      <c r="AL1051">
        <v>10.11</v>
      </c>
      <c r="AM1051" t="s">
        <v>27</v>
      </c>
      <c r="AN1051">
        <v>10.11</v>
      </c>
      <c r="AO1051" t="b">
        <f t="shared" si="177"/>
        <v>1</v>
      </c>
      <c r="AR1051" t="s">
        <v>5061</v>
      </c>
      <c r="AS1051" s="21">
        <v>46284</v>
      </c>
      <c r="AT1051" t="s">
        <v>5062</v>
      </c>
      <c r="AU1051" t="s">
        <v>5080</v>
      </c>
      <c r="AV1051" t="s">
        <v>5062</v>
      </c>
      <c r="AW1051" t="s">
        <v>5311</v>
      </c>
    </row>
    <row r="1052" spans="1:49" x14ac:dyDescent="0.35">
      <c r="A1052" t="s">
        <v>5105</v>
      </c>
      <c r="B1052" t="s">
        <v>872</v>
      </c>
      <c r="C1052" t="s">
        <v>4818</v>
      </c>
      <c r="D1052" t="s">
        <v>18</v>
      </c>
      <c r="E1052" t="s">
        <v>3253</v>
      </c>
      <c r="F1052" t="s">
        <v>3254</v>
      </c>
      <c r="G1052" t="s">
        <v>21</v>
      </c>
      <c r="H1052" t="s">
        <v>4888</v>
      </c>
      <c r="I1052" t="s">
        <v>5018</v>
      </c>
      <c r="J1052" t="s">
        <v>5019</v>
      </c>
      <c r="K1052" t="s">
        <v>5020</v>
      </c>
      <c r="L1052">
        <v>12</v>
      </c>
      <c r="M1052" t="s">
        <v>5035</v>
      </c>
      <c r="N1052" t="s">
        <v>3255</v>
      </c>
      <c r="O1052" t="s">
        <v>5286</v>
      </c>
      <c r="P1052" t="s">
        <v>23</v>
      </c>
      <c r="Q1052" t="s">
        <v>24</v>
      </c>
      <c r="R1052" t="s">
        <v>5216</v>
      </c>
      <c r="S1052" t="s">
        <v>5217</v>
      </c>
      <c r="T1052" s="6">
        <v>46307</v>
      </c>
      <c r="U1052">
        <v>24</v>
      </c>
      <c r="V1052">
        <v>24</v>
      </c>
      <c r="W1052">
        <v>24</v>
      </c>
      <c r="X1052">
        <v>24</v>
      </c>
      <c r="Y1052">
        <f t="shared" si="174"/>
        <v>0</v>
      </c>
      <c r="AC1052">
        <v>24</v>
      </c>
      <c r="AF1052">
        <v>24</v>
      </c>
      <c r="AG1052" s="41">
        <v>24</v>
      </c>
      <c r="AH1052">
        <f t="shared" si="175"/>
        <v>24</v>
      </c>
      <c r="AI1052">
        <f t="shared" si="178"/>
        <v>0</v>
      </c>
      <c r="AK1052">
        <f t="shared" si="176"/>
        <v>1</v>
      </c>
      <c r="AL1052">
        <v>10.79</v>
      </c>
      <c r="AM1052" t="s">
        <v>27</v>
      </c>
      <c r="AN1052">
        <v>10.79</v>
      </c>
      <c r="AO1052" t="b">
        <f t="shared" si="177"/>
        <v>1</v>
      </c>
      <c r="AR1052" t="s">
        <v>5061</v>
      </c>
      <c r="AS1052" s="21">
        <v>46284</v>
      </c>
      <c r="AT1052" t="s">
        <v>5062</v>
      </c>
      <c r="AU1052" t="s">
        <v>5082</v>
      </c>
      <c r="AV1052" t="s">
        <v>5062</v>
      </c>
      <c r="AW1052" t="s">
        <v>5311</v>
      </c>
    </row>
    <row r="1053" spans="1:49" x14ac:dyDescent="0.35">
      <c r="A1053" t="s">
        <v>5105</v>
      </c>
      <c r="B1053" t="s">
        <v>872</v>
      </c>
      <c r="C1053" t="s">
        <v>4818</v>
      </c>
      <c r="D1053" t="s">
        <v>18</v>
      </c>
      <c r="E1053" t="s">
        <v>3289</v>
      </c>
      <c r="F1053" t="s">
        <v>3290</v>
      </c>
      <c r="G1053" t="s">
        <v>21</v>
      </c>
      <c r="H1053" t="s">
        <v>4888</v>
      </c>
      <c r="I1053" t="s">
        <v>5012</v>
      </c>
      <c r="J1053" t="s">
        <v>5013</v>
      </c>
      <c r="K1053" t="s">
        <v>4904</v>
      </c>
      <c r="L1053" t="s">
        <v>4983</v>
      </c>
      <c r="M1053" t="s">
        <v>5035</v>
      </c>
      <c r="N1053" t="s">
        <v>3291</v>
      </c>
      <c r="O1053" t="s">
        <v>3292</v>
      </c>
      <c r="P1053" t="s">
        <v>23</v>
      </c>
      <c r="Q1053" t="s">
        <v>24</v>
      </c>
      <c r="R1053" t="s">
        <v>5216</v>
      </c>
      <c r="S1053" t="s">
        <v>5217</v>
      </c>
      <c r="T1053" s="6">
        <v>46307</v>
      </c>
      <c r="U1053">
        <v>24</v>
      </c>
      <c r="V1053">
        <v>24</v>
      </c>
      <c r="W1053">
        <v>24</v>
      </c>
      <c r="X1053">
        <v>24</v>
      </c>
      <c r="Y1053">
        <f t="shared" si="174"/>
        <v>0</v>
      </c>
      <c r="AC1053">
        <v>24</v>
      </c>
      <c r="AF1053">
        <v>24</v>
      </c>
      <c r="AG1053" s="41">
        <v>24</v>
      </c>
      <c r="AH1053">
        <f t="shared" si="175"/>
        <v>24</v>
      </c>
      <c r="AI1053">
        <f t="shared" si="178"/>
        <v>0</v>
      </c>
      <c r="AK1053">
        <f t="shared" si="176"/>
        <v>1</v>
      </c>
      <c r="AL1053">
        <v>6.15</v>
      </c>
      <c r="AM1053" t="s">
        <v>27</v>
      </c>
      <c r="AN1053">
        <v>6.15</v>
      </c>
      <c r="AO1053" t="b">
        <f t="shared" si="177"/>
        <v>1</v>
      </c>
      <c r="AR1053" t="s">
        <v>5061</v>
      </c>
      <c r="AS1053" s="21">
        <v>46284</v>
      </c>
      <c r="AT1053" t="s">
        <v>5062</v>
      </c>
      <c r="AU1053" t="s">
        <v>5081</v>
      </c>
      <c r="AV1053" t="s">
        <v>5062</v>
      </c>
      <c r="AW1053" t="s">
        <v>5311</v>
      </c>
    </row>
    <row r="1054" spans="1:49" x14ac:dyDescent="0.35">
      <c r="A1054" t="s">
        <v>5105</v>
      </c>
      <c r="B1054" t="s">
        <v>872</v>
      </c>
      <c r="C1054" t="s">
        <v>4818</v>
      </c>
      <c r="D1054" t="s">
        <v>18</v>
      </c>
      <c r="E1054" t="s">
        <v>3309</v>
      </c>
      <c r="F1054" t="s">
        <v>3310</v>
      </c>
      <c r="G1054" t="s">
        <v>21</v>
      </c>
      <c r="H1054" t="s">
        <v>4888</v>
      </c>
      <c r="I1054" t="s">
        <v>5008</v>
      </c>
      <c r="J1054" t="s">
        <v>5009</v>
      </c>
      <c r="K1054" t="s">
        <v>4904</v>
      </c>
      <c r="L1054">
        <v>32</v>
      </c>
      <c r="M1054" t="s">
        <v>5035</v>
      </c>
      <c r="N1054" t="s">
        <v>3311</v>
      </c>
      <c r="O1054" t="s">
        <v>3312</v>
      </c>
      <c r="P1054" t="s">
        <v>23</v>
      </c>
      <c r="Q1054" t="s">
        <v>24</v>
      </c>
      <c r="R1054" t="s">
        <v>5216</v>
      </c>
      <c r="S1054" t="s">
        <v>5217</v>
      </c>
      <c r="T1054" s="6">
        <v>46307</v>
      </c>
      <c r="U1054">
        <v>24</v>
      </c>
      <c r="V1054">
        <v>24</v>
      </c>
      <c r="W1054">
        <v>24</v>
      </c>
      <c r="X1054">
        <v>24</v>
      </c>
      <c r="Y1054">
        <f t="shared" si="174"/>
        <v>0</v>
      </c>
      <c r="AC1054">
        <v>24</v>
      </c>
      <c r="AF1054">
        <v>24</v>
      </c>
      <c r="AG1054" s="41">
        <v>24</v>
      </c>
      <c r="AH1054">
        <f t="shared" si="175"/>
        <v>24</v>
      </c>
      <c r="AI1054">
        <f t="shared" si="178"/>
        <v>0</v>
      </c>
      <c r="AK1054">
        <f t="shared" si="176"/>
        <v>1</v>
      </c>
      <c r="AL1054">
        <v>10.11</v>
      </c>
      <c r="AM1054" t="s">
        <v>27</v>
      </c>
      <c r="AN1054">
        <v>10.11</v>
      </c>
      <c r="AO1054" t="b">
        <f t="shared" si="177"/>
        <v>1</v>
      </c>
      <c r="AR1054" t="s">
        <v>5061</v>
      </c>
      <c r="AS1054" s="21">
        <v>46284</v>
      </c>
      <c r="AT1054" t="s">
        <v>5062</v>
      </c>
      <c r="AU1054" t="s">
        <v>5080</v>
      </c>
      <c r="AV1054" t="s">
        <v>5062</v>
      </c>
      <c r="AW1054" t="s">
        <v>5311</v>
      </c>
    </row>
    <row r="1055" spans="1:49" x14ac:dyDescent="0.35">
      <c r="A1055" t="s">
        <v>5105</v>
      </c>
      <c r="B1055" t="s">
        <v>872</v>
      </c>
      <c r="C1055" t="s">
        <v>4818</v>
      </c>
      <c r="D1055" t="s">
        <v>18</v>
      </c>
      <c r="E1055" t="s">
        <v>3329</v>
      </c>
      <c r="F1055" t="s">
        <v>3330</v>
      </c>
      <c r="G1055" t="s">
        <v>21</v>
      </c>
      <c r="H1055" t="s">
        <v>4888</v>
      </c>
      <c r="I1055" t="s">
        <v>5005</v>
      </c>
      <c r="J1055" t="s">
        <v>5006</v>
      </c>
      <c r="K1055" t="s">
        <v>5027</v>
      </c>
      <c r="L1055">
        <v>38</v>
      </c>
      <c r="M1055" t="s">
        <v>5035</v>
      </c>
      <c r="N1055" t="s">
        <v>3331</v>
      </c>
      <c r="O1055" t="s">
        <v>3332</v>
      </c>
      <c r="P1055" t="s">
        <v>23</v>
      </c>
      <c r="Q1055" t="s">
        <v>24</v>
      </c>
      <c r="R1055" t="s">
        <v>5216</v>
      </c>
      <c r="S1055" t="s">
        <v>5217</v>
      </c>
      <c r="T1055" s="6">
        <v>46307</v>
      </c>
      <c r="U1055">
        <v>48</v>
      </c>
      <c r="V1055">
        <v>48</v>
      </c>
      <c r="W1055">
        <v>48</v>
      </c>
      <c r="X1055">
        <v>48</v>
      </c>
      <c r="Y1055">
        <f t="shared" si="174"/>
        <v>0</v>
      </c>
      <c r="AC1055">
        <v>48</v>
      </c>
      <c r="AF1055">
        <v>48</v>
      </c>
      <c r="AG1055" s="41">
        <v>24</v>
      </c>
      <c r="AH1055">
        <f t="shared" si="175"/>
        <v>48</v>
      </c>
      <c r="AI1055">
        <f t="shared" si="178"/>
        <v>0</v>
      </c>
      <c r="AK1055">
        <f t="shared" si="176"/>
        <v>2</v>
      </c>
      <c r="AL1055">
        <v>10.24</v>
      </c>
      <c r="AM1055" t="s">
        <v>27</v>
      </c>
      <c r="AN1055">
        <v>10.24</v>
      </c>
      <c r="AO1055" t="b">
        <f t="shared" si="177"/>
        <v>1</v>
      </c>
      <c r="AR1055" t="s">
        <v>5061</v>
      </c>
      <c r="AS1055" s="21">
        <v>46284</v>
      </c>
      <c r="AT1055" t="s">
        <v>5062</v>
      </c>
      <c r="AU1055" t="s">
        <v>5079</v>
      </c>
      <c r="AV1055" t="s">
        <v>5062</v>
      </c>
      <c r="AW1055" t="s">
        <v>5311</v>
      </c>
    </row>
    <row r="1056" spans="1:49" x14ac:dyDescent="0.35">
      <c r="A1056" t="s">
        <v>5105</v>
      </c>
      <c r="B1056" t="s">
        <v>872</v>
      </c>
      <c r="C1056" t="s">
        <v>4818</v>
      </c>
      <c r="D1056" t="s">
        <v>18</v>
      </c>
      <c r="E1056" t="s">
        <v>3333</v>
      </c>
      <c r="F1056" t="s">
        <v>3334</v>
      </c>
      <c r="G1056" t="s">
        <v>21</v>
      </c>
      <c r="H1056" t="s">
        <v>4888</v>
      </c>
      <c r="I1056" t="s">
        <v>5012</v>
      </c>
      <c r="J1056" t="s">
        <v>5013</v>
      </c>
      <c r="K1056" t="s">
        <v>4904</v>
      </c>
      <c r="L1056" t="s">
        <v>4985</v>
      </c>
      <c r="M1056" t="s">
        <v>5035</v>
      </c>
      <c r="N1056" t="s">
        <v>3335</v>
      </c>
      <c r="O1056" t="s">
        <v>3336</v>
      </c>
      <c r="P1056" t="s">
        <v>23</v>
      </c>
      <c r="Q1056" t="s">
        <v>24</v>
      </c>
      <c r="R1056" t="s">
        <v>5216</v>
      </c>
      <c r="S1056" t="s">
        <v>5217</v>
      </c>
      <c r="T1056" s="6">
        <v>46307</v>
      </c>
      <c r="U1056">
        <v>24</v>
      </c>
      <c r="V1056">
        <v>24</v>
      </c>
      <c r="W1056">
        <v>24</v>
      </c>
      <c r="X1056">
        <v>24</v>
      </c>
      <c r="Y1056">
        <f t="shared" si="174"/>
        <v>0</v>
      </c>
      <c r="AC1056">
        <v>24</v>
      </c>
      <c r="AF1056">
        <v>24</v>
      </c>
      <c r="AG1056" s="41">
        <v>24</v>
      </c>
      <c r="AH1056">
        <f t="shared" si="175"/>
        <v>24</v>
      </c>
      <c r="AI1056">
        <f t="shared" si="178"/>
        <v>0</v>
      </c>
      <c r="AK1056">
        <f t="shared" si="176"/>
        <v>1</v>
      </c>
      <c r="AL1056">
        <v>6.15</v>
      </c>
      <c r="AM1056" t="s">
        <v>27</v>
      </c>
      <c r="AN1056">
        <v>6.15</v>
      </c>
      <c r="AO1056" t="b">
        <f t="shared" si="177"/>
        <v>1</v>
      </c>
      <c r="AR1056" t="s">
        <v>5061</v>
      </c>
      <c r="AS1056" s="21">
        <v>46284</v>
      </c>
      <c r="AT1056" t="s">
        <v>5062</v>
      </c>
      <c r="AU1056" t="s">
        <v>5081</v>
      </c>
      <c r="AV1056" t="s">
        <v>5062</v>
      </c>
      <c r="AW1056" t="s">
        <v>5311</v>
      </c>
    </row>
    <row r="1057" spans="1:49" x14ac:dyDescent="0.35">
      <c r="A1057" t="s">
        <v>5105</v>
      </c>
      <c r="B1057" t="s">
        <v>872</v>
      </c>
      <c r="C1057" t="s">
        <v>4818</v>
      </c>
      <c r="D1057" t="s">
        <v>18</v>
      </c>
      <c r="E1057" t="s">
        <v>3433</v>
      </c>
      <c r="F1057" t="s">
        <v>3434</v>
      </c>
      <c r="G1057" t="s">
        <v>21</v>
      </c>
      <c r="H1057" t="s">
        <v>4888</v>
      </c>
      <c r="I1057" t="s">
        <v>5022</v>
      </c>
      <c r="J1057" t="s">
        <v>5023</v>
      </c>
      <c r="K1057" t="s">
        <v>5024</v>
      </c>
      <c r="L1057">
        <v>16</v>
      </c>
      <c r="M1057" t="s">
        <v>5035</v>
      </c>
      <c r="N1057" t="s">
        <v>3435</v>
      </c>
      <c r="O1057" t="s">
        <v>3436</v>
      </c>
      <c r="P1057" t="s">
        <v>23</v>
      </c>
      <c r="Q1057" t="s">
        <v>24</v>
      </c>
      <c r="R1057" t="s">
        <v>5216</v>
      </c>
      <c r="S1057" t="s">
        <v>5217</v>
      </c>
      <c r="T1057" s="6">
        <v>46307</v>
      </c>
      <c r="U1057">
        <v>24</v>
      </c>
      <c r="V1057">
        <v>24</v>
      </c>
      <c r="W1057">
        <v>24</v>
      </c>
      <c r="X1057">
        <v>24</v>
      </c>
      <c r="Y1057">
        <f t="shared" si="174"/>
        <v>0</v>
      </c>
      <c r="AC1057">
        <v>24</v>
      </c>
      <c r="AF1057">
        <v>24</v>
      </c>
      <c r="AG1057" s="41">
        <v>24</v>
      </c>
      <c r="AH1057">
        <f t="shared" si="175"/>
        <v>24</v>
      </c>
      <c r="AI1057">
        <f t="shared" si="178"/>
        <v>0</v>
      </c>
      <c r="AK1057">
        <f t="shared" si="176"/>
        <v>1</v>
      </c>
      <c r="AL1057">
        <v>6.99</v>
      </c>
      <c r="AM1057" t="s">
        <v>27</v>
      </c>
      <c r="AN1057">
        <v>8.68</v>
      </c>
      <c r="AO1057" t="b">
        <f t="shared" si="177"/>
        <v>0</v>
      </c>
      <c r="AR1057" t="s">
        <v>5061</v>
      </c>
      <c r="AS1057" s="21">
        <v>46284</v>
      </c>
      <c r="AT1057" t="s">
        <v>5062</v>
      </c>
      <c r="AU1057" t="s">
        <v>5083</v>
      </c>
      <c r="AV1057" t="s">
        <v>5062</v>
      </c>
      <c r="AW1057" t="s">
        <v>5311</v>
      </c>
    </row>
    <row r="1058" spans="1:49" x14ac:dyDescent="0.35">
      <c r="A1058" t="s">
        <v>5105</v>
      </c>
      <c r="B1058" t="s">
        <v>872</v>
      </c>
      <c r="C1058" t="s">
        <v>4818</v>
      </c>
      <c r="D1058" t="s">
        <v>18</v>
      </c>
      <c r="E1058" t="s">
        <v>3493</v>
      </c>
      <c r="F1058" t="s">
        <v>3494</v>
      </c>
      <c r="G1058" t="s">
        <v>21</v>
      </c>
      <c r="H1058" t="s">
        <v>4888</v>
      </c>
      <c r="I1058" t="s">
        <v>5022</v>
      </c>
      <c r="J1058" t="s">
        <v>5023</v>
      </c>
      <c r="K1058" t="s">
        <v>5024</v>
      </c>
      <c r="L1058">
        <v>10</v>
      </c>
      <c r="M1058" t="s">
        <v>5035</v>
      </c>
      <c r="N1058" t="s">
        <v>3495</v>
      </c>
      <c r="O1058" t="s">
        <v>3496</v>
      </c>
      <c r="P1058" t="s">
        <v>23</v>
      </c>
      <c r="Q1058" t="s">
        <v>24</v>
      </c>
      <c r="R1058" t="s">
        <v>5216</v>
      </c>
      <c r="S1058" t="s">
        <v>5217</v>
      </c>
      <c r="T1058" s="6">
        <v>46307</v>
      </c>
      <c r="U1058">
        <v>24</v>
      </c>
      <c r="V1058">
        <v>24</v>
      </c>
      <c r="W1058">
        <v>24</v>
      </c>
      <c r="X1058">
        <v>24</v>
      </c>
      <c r="Y1058">
        <f t="shared" si="174"/>
        <v>0</v>
      </c>
      <c r="AC1058">
        <v>24</v>
      </c>
      <c r="AF1058">
        <v>24</v>
      </c>
      <c r="AG1058" s="41">
        <v>24</v>
      </c>
      <c r="AH1058">
        <f t="shared" si="175"/>
        <v>24</v>
      </c>
      <c r="AI1058">
        <f t="shared" si="178"/>
        <v>0</v>
      </c>
      <c r="AK1058">
        <f t="shared" si="176"/>
        <v>1</v>
      </c>
      <c r="AL1058">
        <v>6.99</v>
      </c>
      <c r="AM1058" t="s">
        <v>27</v>
      </c>
      <c r="AN1058">
        <v>8.68</v>
      </c>
      <c r="AO1058" t="b">
        <f t="shared" si="177"/>
        <v>0</v>
      </c>
      <c r="AR1058" t="s">
        <v>5061</v>
      </c>
      <c r="AS1058" s="21">
        <v>46284</v>
      </c>
      <c r="AT1058" t="s">
        <v>5062</v>
      </c>
      <c r="AU1058" t="s">
        <v>5083</v>
      </c>
      <c r="AV1058" t="s">
        <v>5062</v>
      </c>
      <c r="AW1058" t="s">
        <v>5311</v>
      </c>
    </row>
    <row r="1059" spans="1:49" x14ac:dyDescent="0.35">
      <c r="A1059" t="s">
        <v>5105</v>
      </c>
      <c r="B1059" t="s">
        <v>872</v>
      </c>
      <c r="C1059" t="s">
        <v>4818</v>
      </c>
      <c r="D1059" t="s">
        <v>18</v>
      </c>
      <c r="E1059" t="s">
        <v>3529</v>
      </c>
      <c r="F1059" t="s">
        <v>3530</v>
      </c>
      <c r="G1059" t="s">
        <v>21</v>
      </c>
      <c r="H1059" t="s">
        <v>4888</v>
      </c>
      <c r="I1059" t="s">
        <v>5012</v>
      </c>
      <c r="J1059" t="s">
        <v>5013</v>
      </c>
      <c r="K1059" t="s">
        <v>4984</v>
      </c>
      <c r="L1059" t="s">
        <v>4983</v>
      </c>
      <c r="M1059" t="s">
        <v>5035</v>
      </c>
      <c r="N1059" t="s">
        <v>3531</v>
      </c>
      <c r="O1059" t="s">
        <v>3532</v>
      </c>
      <c r="P1059" t="s">
        <v>23</v>
      </c>
      <c r="Q1059" t="s">
        <v>24</v>
      </c>
      <c r="R1059" t="s">
        <v>5216</v>
      </c>
      <c r="S1059" t="s">
        <v>5217</v>
      </c>
      <c r="T1059" s="6">
        <v>46307</v>
      </c>
      <c r="U1059">
        <v>48</v>
      </c>
      <c r="V1059">
        <v>48</v>
      </c>
      <c r="W1059">
        <v>48</v>
      </c>
      <c r="X1059">
        <v>48</v>
      </c>
      <c r="Y1059">
        <f t="shared" si="174"/>
        <v>0</v>
      </c>
      <c r="AC1059">
        <v>48</v>
      </c>
      <c r="AF1059">
        <v>48</v>
      </c>
      <c r="AG1059" s="41">
        <v>24</v>
      </c>
      <c r="AH1059">
        <f t="shared" si="175"/>
        <v>48</v>
      </c>
      <c r="AI1059">
        <f t="shared" si="178"/>
        <v>0</v>
      </c>
      <c r="AK1059">
        <f t="shared" si="176"/>
        <v>2</v>
      </c>
      <c r="AL1059">
        <v>6.05</v>
      </c>
      <c r="AM1059" t="s">
        <v>27</v>
      </c>
      <c r="AN1059">
        <v>6.05</v>
      </c>
      <c r="AO1059" t="b">
        <f t="shared" si="177"/>
        <v>1</v>
      </c>
      <c r="AR1059" t="s">
        <v>5061</v>
      </c>
      <c r="AS1059" s="21">
        <v>46284</v>
      </c>
      <c r="AT1059" t="s">
        <v>5062</v>
      </c>
      <c r="AU1059" t="s">
        <v>5081</v>
      </c>
      <c r="AV1059" t="s">
        <v>5062</v>
      </c>
      <c r="AW1059" t="s">
        <v>5311</v>
      </c>
    </row>
    <row r="1060" spans="1:49" x14ac:dyDescent="0.35">
      <c r="A1060" t="s">
        <v>5105</v>
      </c>
      <c r="B1060" t="s">
        <v>872</v>
      </c>
      <c r="C1060" t="s">
        <v>4818</v>
      </c>
      <c r="D1060" t="s">
        <v>18</v>
      </c>
      <c r="E1060" t="s">
        <v>3581</v>
      </c>
      <c r="F1060" t="s">
        <v>3582</v>
      </c>
      <c r="G1060" t="s">
        <v>21</v>
      </c>
      <c r="H1060" t="s">
        <v>4888</v>
      </c>
      <c r="I1060" t="s">
        <v>5010</v>
      </c>
      <c r="J1060" t="s">
        <v>5011</v>
      </c>
      <c r="K1060" t="s">
        <v>4984</v>
      </c>
      <c r="L1060" t="s">
        <v>4983</v>
      </c>
      <c r="M1060" t="s">
        <v>5035</v>
      </c>
      <c r="N1060" t="s">
        <v>3583</v>
      </c>
      <c r="O1060" t="s">
        <v>3584</v>
      </c>
      <c r="P1060" t="s">
        <v>23</v>
      </c>
      <c r="Q1060" t="s">
        <v>24</v>
      </c>
      <c r="R1060" t="s">
        <v>5216</v>
      </c>
      <c r="S1060" t="s">
        <v>5217</v>
      </c>
      <c r="T1060" s="6">
        <v>46307</v>
      </c>
      <c r="U1060">
        <v>24</v>
      </c>
      <c r="V1060">
        <v>24</v>
      </c>
      <c r="W1060">
        <v>24</v>
      </c>
      <c r="X1060">
        <v>24</v>
      </c>
      <c r="Y1060">
        <f t="shared" si="174"/>
        <v>0</v>
      </c>
      <c r="AC1060">
        <v>24</v>
      </c>
      <c r="AF1060">
        <v>24</v>
      </c>
      <c r="AG1060" s="41">
        <v>24</v>
      </c>
      <c r="AH1060">
        <f t="shared" si="175"/>
        <v>24</v>
      </c>
      <c r="AI1060">
        <f t="shared" si="178"/>
        <v>0</v>
      </c>
      <c r="AK1060">
        <f t="shared" si="176"/>
        <v>1</v>
      </c>
      <c r="AL1060">
        <v>4.92</v>
      </c>
      <c r="AM1060" t="s">
        <v>27</v>
      </c>
      <c r="AN1060">
        <v>4.92</v>
      </c>
      <c r="AO1060" t="b">
        <f t="shared" si="177"/>
        <v>1</v>
      </c>
      <c r="AR1060" t="s">
        <v>5061</v>
      </c>
      <c r="AS1060" s="21">
        <v>46284</v>
      </c>
      <c r="AT1060" t="s">
        <v>5062</v>
      </c>
      <c r="AU1060" t="s">
        <v>5081</v>
      </c>
      <c r="AV1060" t="s">
        <v>5062</v>
      </c>
      <c r="AW1060" t="s">
        <v>5311</v>
      </c>
    </row>
    <row r="1061" spans="1:49" x14ac:dyDescent="0.35">
      <c r="A1061" t="s">
        <v>5105</v>
      </c>
      <c r="B1061" t="s">
        <v>872</v>
      </c>
      <c r="C1061" t="s">
        <v>4818</v>
      </c>
      <c r="D1061" t="s">
        <v>18</v>
      </c>
      <c r="E1061" t="s">
        <v>3605</v>
      </c>
      <c r="F1061" t="s">
        <v>3606</v>
      </c>
      <c r="G1061" t="s">
        <v>21</v>
      </c>
      <c r="H1061" t="s">
        <v>4888</v>
      </c>
      <c r="I1061" t="s">
        <v>5008</v>
      </c>
      <c r="J1061" t="s">
        <v>5009</v>
      </c>
      <c r="K1061" t="s">
        <v>4904</v>
      </c>
      <c r="L1061">
        <v>40</v>
      </c>
      <c r="M1061" t="s">
        <v>5035</v>
      </c>
      <c r="N1061" t="s">
        <v>3607</v>
      </c>
      <c r="O1061" t="s">
        <v>3608</v>
      </c>
      <c r="P1061" t="s">
        <v>23</v>
      </c>
      <c r="Q1061" t="s">
        <v>24</v>
      </c>
      <c r="R1061" t="s">
        <v>5216</v>
      </c>
      <c r="S1061" t="s">
        <v>5217</v>
      </c>
      <c r="T1061" s="6">
        <v>46307</v>
      </c>
      <c r="U1061">
        <v>24</v>
      </c>
      <c r="V1061">
        <v>24</v>
      </c>
      <c r="W1061">
        <v>24</v>
      </c>
      <c r="X1061">
        <v>24</v>
      </c>
      <c r="Y1061">
        <f t="shared" si="174"/>
        <v>0</v>
      </c>
      <c r="AC1061">
        <v>24</v>
      </c>
      <c r="AF1061">
        <v>24</v>
      </c>
      <c r="AG1061" s="41">
        <v>24</v>
      </c>
      <c r="AH1061">
        <f t="shared" si="175"/>
        <v>24</v>
      </c>
      <c r="AI1061">
        <f t="shared" si="178"/>
        <v>0</v>
      </c>
      <c r="AK1061">
        <f t="shared" si="176"/>
        <v>1</v>
      </c>
      <c r="AL1061">
        <v>10.11</v>
      </c>
      <c r="AM1061" t="s">
        <v>27</v>
      </c>
      <c r="AN1061">
        <v>10.11</v>
      </c>
      <c r="AO1061" t="b">
        <f t="shared" si="177"/>
        <v>1</v>
      </c>
      <c r="AR1061" t="s">
        <v>5061</v>
      </c>
      <c r="AS1061" s="21">
        <v>46284</v>
      </c>
      <c r="AT1061" t="s">
        <v>5062</v>
      </c>
      <c r="AU1061" t="s">
        <v>5080</v>
      </c>
      <c r="AV1061" t="s">
        <v>5062</v>
      </c>
      <c r="AW1061" t="s">
        <v>5311</v>
      </c>
    </row>
    <row r="1062" spans="1:49" x14ac:dyDescent="0.35">
      <c r="A1062" t="s">
        <v>5105</v>
      </c>
      <c r="B1062" t="s">
        <v>872</v>
      </c>
      <c r="C1062" t="s">
        <v>4818</v>
      </c>
      <c r="D1062" t="s">
        <v>18</v>
      </c>
      <c r="E1062" t="s">
        <v>3709</v>
      </c>
      <c r="F1062" t="s">
        <v>3710</v>
      </c>
      <c r="G1062" t="s">
        <v>21</v>
      </c>
      <c r="H1062" t="s">
        <v>4888</v>
      </c>
      <c r="I1062" t="s">
        <v>5005</v>
      </c>
      <c r="J1062" t="s">
        <v>5006</v>
      </c>
      <c r="K1062" t="s">
        <v>4837</v>
      </c>
      <c r="L1062">
        <v>42</v>
      </c>
      <c r="M1062" t="s">
        <v>5035</v>
      </c>
      <c r="N1062" t="s">
        <v>3711</v>
      </c>
      <c r="O1062" t="s">
        <v>3712</v>
      </c>
      <c r="P1062" t="s">
        <v>23</v>
      </c>
      <c r="Q1062" t="s">
        <v>24</v>
      </c>
      <c r="R1062" t="s">
        <v>5216</v>
      </c>
      <c r="S1062" t="s">
        <v>5217</v>
      </c>
      <c r="T1062" s="6">
        <v>46307</v>
      </c>
      <c r="U1062">
        <v>24</v>
      </c>
      <c r="V1062">
        <v>24</v>
      </c>
      <c r="W1062">
        <v>24</v>
      </c>
      <c r="X1062">
        <v>24</v>
      </c>
      <c r="Y1062">
        <f t="shared" si="174"/>
        <v>0</v>
      </c>
      <c r="AC1062">
        <v>24</v>
      </c>
      <c r="AF1062">
        <v>24</v>
      </c>
      <c r="AG1062" s="41">
        <v>24</v>
      </c>
      <c r="AH1062">
        <f t="shared" si="175"/>
        <v>24</v>
      </c>
      <c r="AI1062">
        <f t="shared" si="178"/>
        <v>0</v>
      </c>
      <c r="AK1062">
        <f t="shared" si="176"/>
        <v>1</v>
      </c>
      <c r="AL1062">
        <v>9.58</v>
      </c>
      <c r="AM1062" t="s">
        <v>27</v>
      </c>
      <c r="AN1062">
        <v>9.58</v>
      </c>
      <c r="AO1062" t="b">
        <f t="shared" si="177"/>
        <v>1</v>
      </c>
      <c r="AR1062" t="s">
        <v>5061</v>
      </c>
      <c r="AS1062" s="21">
        <v>46284</v>
      </c>
      <c r="AT1062" t="s">
        <v>5062</v>
      </c>
      <c r="AU1062" t="s">
        <v>5079</v>
      </c>
      <c r="AV1062" t="s">
        <v>5062</v>
      </c>
      <c r="AW1062" t="s">
        <v>5311</v>
      </c>
    </row>
    <row r="1063" spans="1:49" x14ac:dyDescent="0.35">
      <c r="A1063" t="s">
        <v>5105</v>
      </c>
      <c r="B1063" t="s">
        <v>872</v>
      </c>
      <c r="C1063" t="s">
        <v>4818</v>
      </c>
      <c r="D1063" t="s">
        <v>18</v>
      </c>
      <c r="E1063" t="s">
        <v>3721</v>
      </c>
      <c r="F1063" t="s">
        <v>3722</v>
      </c>
      <c r="G1063" t="s">
        <v>21</v>
      </c>
      <c r="H1063" t="s">
        <v>4888</v>
      </c>
      <c r="I1063" t="s">
        <v>5008</v>
      </c>
      <c r="J1063" t="s">
        <v>5009</v>
      </c>
      <c r="K1063" t="s">
        <v>4904</v>
      </c>
      <c r="L1063">
        <v>34</v>
      </c>
      <c r="M1063" t="s">
        <v>5035</v>
      </c>
      <c r="N1063" t="s">
        <v>3723</v>
      </c>
      <c r="O1063" t="s">
        <v>3724</v>
      </c>
      <c r="P1063" t="s">
        <v>23</v>
      </c>
      <c r="Q1063" t="s">
        <v>24</v>
      </c>
      <c r="R1063" t="s">
        <v>5216</v>
      </c>
      <c r="S1063" t="s">
        <v>5217</v>
      </c>
      <c r="T1063" s="6">
        <v>46307</v>
      </c>
      <c r="U1063">
        <v>24</v>
      </c>
      <c r="V1063">
        <v>24</v>
      </c>
      <c r="W1063">
        <v>24</v>
      </c>
      <c r="X1063">
        <v>24</v>
      </c>
      <c r="Y1063">
        <f t="shared" si="174"/>
        <v>0</v>
      </c>
      <c r="AC1063">
        <v>24</v>
      </c>
      <c r="AF1063">
        <v>24</v>
      </c>
      <c r="AG1063" s="41">
        <v>24</v>
      </c>
      <c r="AH1063">
        <f t="shared" si="175"/>
        <v>24</v>
      </c>
      <c r="AI1063">
        <f t="shared" si="178"/>
        <v>0</v>
      </c>
      <c r="AK1063">
        <f t="shared" si="176"/>
        <v>1</v>
      </c>
      <c r="AL1063">
        <v>10.11</v>
      </c>
      <c r="AM1063" t="s">
        <v>27</v>
      </c>
      <c r="AN1063">
        <v>10.11</v>
      </c>
      <c r="AO1063" t="b">
        <f t="shared" si="177"/>
        <v>1</v>
      </c>
      <c r="AR1063" t="s">
        <v>5061</v>
      </c>
      <c r="AS1063" s="21">
        <v>46284</v>
      </c>
      <c r="AT1063" t="s">
        <v>5062</v>
      </c>
      <c r="AU1063" t="s">
        <v>5080</v>
      </c>
      <c r="AV1063" t="s">
        <v>5062</v>
      </c>
      <c r="AW1063" t="s">
        <v>5311</v>
      </c>
    </row>
    <row r="1064" spans="1:49" x14ac:dyDescent="0.35">
      <c r="A1064" t="s">
        <v>5105</v>
      </c>
      <c r="B1064" t="s">
        <v>872</v>
      </c>
      <c r="C1064" t="s">
        <v>4818</v>
      </c>
      <c r="D1064" t="s">
        <v>18</v>
      </c>
      <c r="E1064" t="s">
        <v>3737</v>
      </c>
      <c r="F1064" t="s">
        <v>3738</v>
      </c>
      <c r="G1064" t="s">
        <v>21</v>
      </c>
      <c r="H1064" t="s">
        <v>4888</v>
      </c>
      <c r="I1064" t="s">
        <v>5012</v>
      </c>
      <c r="J1064" t="s">
        <v>5013</v>
      </c>
      <c r="K1064" t="s">
        <v>4984</v>
      </c>
      <c r="L1064" t="s">
        <v>4986</v>
      </c>
      <c r="M1064" t="s">
        <v>5035</v>
      </c>
      <c r="N1064" t="s">
        <v>3739</v>
      </c>
      <c r="O1064" t="s">
        <v>3740</v>
      </c>
      <c r="P1064" t="s">
        <v>23</v>
      </c>
      <c r="Q1064" t="s">
        <v>24</v>
      </c>
      <c r="R1064" t="s">
        <v>5216</v>
      </c>
      <c r="S1064" t="s">
        <v>5217</v>
      </c>
      <c r="T1064" s="6">
        <v>46307</v>
      </c>
      <c r="U1064">
        <v>24</v>
      </c>
      <c r="V1064">
        <v>24</v>
      </c>
      <c r="W1064">
        <v>24</v>
      </c>
      <c r="X1064">
        <v>24</v>
      </c>
      <c r="Y1064">
        <f t="shared" si="174"/>
        <v>0</v>
      </c>
      <c r="AC1064">
        <v>24</v>
      </c>
      <c r="AF1064">
        <v>24</v>
      </c>
      <c r="AG1064" s="41">
        <v>24</v>
      </c>
      <c r="AH1064">
        <f t="shared" si="175"/>
        <v>24</v>
      </c>
      <c r="AI1064">
        <f t="shared" si="178"/>
        <v>0</v>
      </c>
      <c r="AK1064">
        <f t="shared" si="176"/>
        <v>1</v>
      </c>
      <c r="AL1064">
        <v>6.05</v>
      </c>
      <c r="AM1064" t="s">
        <v>27</v>
      </c>
      <c r="AN1064">
        <v>6.05</v>
      </c>
      <c r="AO1064" t="b">
        <f t="shared" si="177"/>
        <v>1</v>
      </c>
      <c r="AR1064" t="s">
        <v>5061</v>
      </c>
      <c r="AS1064" s="21">
        <v>46284</v>
      </c>
      <c r="AT1064" t="s">
        <v>5062</v>
      </c>
      <c r="AU1064" t="s">
        <v>5081</v>
      </c>
      <c r="AV1064" t="s">
        <v>5062</v>
      </c>
      <c r="AW1064" t="s">
        <v>5311</v>
      </c>
    </row>
    <row r="1065" spans="1:49" x14ac:dyDescent="0.35">
      <c r="A1065" t="s">
        <v>5105</v>
      </c>
      <c r="B1065" t="s">
        <v>872</v>
      </c>
      <c r="C1065" t="s">
        <v>4818</v>
      </c>
      <c r="D1065" t="s">
        <v>18</v>
      </c>
      <c r="E1065" t="s">
        <v>3785</v>
      </c>
      <c r="F1065" t="s">
        <v>3786</v>
      </c>
      <c r="G1065" t="s">
        <v>21</v>
      </c>
      <c r="H1065" t="s">
        <v>4888</v>
      </c>
      <c r="I1065" t="s">
        <v>5010</v>
      </c>
      <c r="J1065" t="s">
        <v>5011</v>
      </c>
      <c r="K1065" t="s">
        <v>4904</v>
      </c>
      <c r="L1065" t="s">
        <v>4995</v>
      </c>
      <c r="M1065" t="s">
        <v>5035</v>
      </c>
      <c r="N1065" t="s">
        <v>3787</v>
      </c>
      <c r="O1065" t="s">
        <v>3788</v>
      </c>
      <c r="P1065" t="s">
        <v>23</v>
      </c>
      <c r="Q1065" t="s">
        <v>24</v>
      </c>
      <c r="R1065" t="s">
        <v>5216</v>
      </c>
      <c r="S1065" t="s">
        <v>5217</v>
      </c>
      <c r="T1065" s="6">
        <v>46307</v>
      </c>
      <c r="U1065">
        <v>24</v>
      </c>
      <c r="V1065">
        <v>24</v>
      </c>
      <c r="W1065">
        <v>24</v>
      </c>
      <c r="X1065">
        <v>24</v>
      </c>
      <c r="Y1065">
        <f t="shared" si="174"/>
        <v>0</v>
      </c>
      <c r="AC1065">
        <v>24</v>
      </c>
      <c r="AF1065">
        <v>24</v>
      </c>
      <c r="AG1065" s="41">
        <v>24</v>
      </c>
      <c r="AH1065">
        <f t="shared" si="175"/>
        <v>24</v>
      </c>
      <c r="AI1065">
        <f t="shared" si="178"/>
        <v>0</v>
      </c>
      <c r="AK1065">
        <f t="shared" si="176"/>
        <v>1</v>
      </c>
      <c r="AL1065">
        <v>5.03</v>
      </c>
      <c r="AM1065" t="s">
        <v>27</v>
      </c>
      <c r="AN1065">
        <v>5.03</v>
      </c>
      <c r="AO1065" t="b">
        <f t="shared" si="177"/>
        <v>1</v>
      </c>
      <c r="AR1065" t="s">
        <v>5061</v>
      </c>
      <c r="AS1065" s="21">
        <v>46284</v>
      </c>
      <c r="AT1065" t="s">
        <v>5062</v>
      </c>
      <c r="AU1065" t="s">
        <v>5081</v>
      </c>
      <c r="AV1065" t="s">
        <v>5062</v>
      </c>
      <c r="AW1065" t="s">
        <v>5311</v>
      </c>
    </row>
    <row r="1066" spans="1:49" x14ac:dyDescent="0.35">
      <c r="A1066" t="s">
        <v>5105</v>
      </c>
      <c r="B1066" t="s">
        <v>872</v>
      </c>
      <c r="C1066" t="s">
        <v>4818</v>
      </c>
      <c r="D1066" t="s">
        <v>18</v>
      </c>
      <c r="E1066" t="s">
        <v>3789</v>
      </c>
      <c r="F1066" t="s">
        <v>3790</v>
      </c>
      <c r="G1066" t="s">
        <v>21</v>
      </c>
      <c r="H1066" t="s">
        <v>4888</v>
      </c>
      <c r="I1066" t="s">
        <v>5008</v>
      </c>
      <c r="J1066" t="s">
        <v>5009</v>
      </c>
      <c r="K1066" t="s">
        <v>4904</v>
      </c>
      <c r="L1066">
        <v>42</v>
      </c>
      <c r="M1066" t="s">
        <v>5035</v>
      </c>
      <c r="N1066" t="s">
        <v>3791</v>
      </c>
      <c r="O1066" t="s">
        <v>3792</v>
      </c>
      <c r="P1066" t="s">
        <v>23</v>
      </c>
      <c r="Q1066" t="s">
        <v>24</v>
      </c>
      <c r="R1066" t="s">
        <v>5216</v>
      </c>
      <c r="S1066" t="s">
        <v>5217</v>
      </c>
      <c r="T1066" s="6">
        <v>46307</v>
      </c>
      <c r="U1066">
        <v>24</v>
      </c>
      <c r="V1066">
        <v>24</v>
      </c>
      <c r="W1066">
        <v>24</v>
      </c>
      <c r="X1066">
        <v>24</v>
      </c>
      <c r="Y1066">
        <f t="shared" si="174"/>
        <v>0</v>
      </c>
      <c r="AC1066">
        <v>24</v>
      </c>
      <c r="AF1066">
        <v>24</v>
      </c>
      <c r="AG1066" s="41">
        <v>24</v>
      </c>
      <c r="AH1066">
        <f t="shared" si="175"/>
        <v>24</v>
      </c>
      <c r="AI1066">
        <f t="shared" si="178"/>
        <v>0</v>
      </c>
      <c r="AK1066">
        <f t="shared" si="176"/>
        <v>1</v>
      </c>
      <c r="AL1066">
        <v>10.11</v>
      </c>
      <c r="AM1066" t="s">
        <v>27</v>
      </c>
      <c r="AN1066">
        <v>10.11</v>
      </c>
      <c r="AO1066" t="b">
        <f t="shared" si="177"/>
        <v>1</v>
      </c>
      <c r="AR1066" t="s">
        <v>5061</v>
      </c>
      <c r="AS1066" s="21">
        <v>46284</v>
      </c>
      <c r="AT1066" t="s">
        <v>5062</v>
      </c>
      <c r="AU1066" t="s">
        <v>5080</v>
      </c>
      <c r="AV1066" t="s">
        <v>5062</v>
      </c>
      <c r="AW1066" t="s">
        <v>5311</v>
      </c>
    </row>
    <row r="1067" spans="1:49" x14ac:dyDescent="0.35">
      <c r="A1067" t="s">
        <v>5105</v>
      </c>
      <c r="B1067" t="s">
        <v>872</v>
      </c>
      <c r="C1067" t="s">
        <v>4818</v>
      </c>
      <c r="D1067" t="s">
        <v>18</v>
      </c>
      <c r="E1067" t="s">
        <v>3841</v>
      </c>
      <c r="F1067" t="s">
        <v>3842</v>
      </c>
      <c r="G1067" t="s">
        <v>21</v>
      </c>
      <c r="H1067" t="s">
        <v>4888</v>
      </c>
      <c r="I1067" t="s">
        <v>5010</v>
      </c>
      <c r="J1067" t="s">
        <v>5011</v>
      </c>
      <c r="K1067" t="s">
        <v>4904</v>
      </c>
      <c r="L1067" t="s">
        <v>4998</v>
      </c>
      <c r="M1067" t="s">
        <v>5035</v>
      </c>
      <c r="N1067" t="s">
        <v>3843</v>
      </c>
      <c r="O1067" t="s">
        <v>3844</v>
      </c>
      <c r="P1067" t="s">
        <v>23</v>
      </c>
      <c r="Q1067" t="s">
        <v>24</v>
      </c>
      <c r="R1067" t="s">
        <v>5216</v>
      </c>
      <c r="S1067" t="s">
        <v>5217</v>
      </c>
      <c r="T1067" s="6">
        <v>46307</v>
      </c>
      <c r="U1067">
        <v>24</v>
      </c>
      <c r="V1067">
        <v>24</v>
      </c>
      <c r="W1067">
        <v>24</v>
      </c>
      <c r="X1067">
        <v>24</v>
      </c>
      <c r="Y1067">
        <f t="shared" si="174"/>
        <v>0</v>
      </c>
      <c r="AC1067">
        <v>24</v>
      </c>
      <c r="AF1067">
        <v>24</v>
      </c>
      <c r="AG1067" s="41">
        <v>24</v>
      </c>
      <c r="AH1067">
        <f t="shared" si="175"/>
        <v>24</v>
      </c>
      <c r="AI1067">
        <f t="shared" si="178"/>
        <v>0</v>
      </c>
      <c r="AK1067">
        <f t="shared" si="176"/>
        <v>1</v>
      </c>
      <c r="AL1067">
        <v>5.03</v>
      </c>
      <c r="AM1067" t="s">
        <v>27</v>
      </c>
      <c r="AN1067">
        <v>5.03</v>
      </c>
      <c r="AO1067" t="b">
        <f t="shared" si="177"/>
        <v>1</v>
      </c>
      <c r="AR1067" t="s">
        <v>5061</v>
      </c>
      <c r="AS1067" s="21">
        <v>46284</v>
      </c>
      <c r="AT1067" t="s">
        <v>5062</v>
      </c>
      <c r="AU1067" t="s">
        <v>5081</v>
      </c>
      <c r="AV1067" t="s">
        <v>5062</v>
      </c>
      <c r="AW1067" t="s">
        <v>5311</v>
      </c>
    </row>
    <row r="1068" spans="1:49" x14ac:dyDescent="0.35">
      <c r="A1068" t="s">
        <v>5105</v>
      </c>
      <c r="B1068" t="s">
        <v>872</v>
      </c>
      <c r="C1068" t="s">
        <v>4818</v>
      </c>
      <c r="D1068" t="s">
        <v>18</v>
      </c>
      <c r="E1068" t="s">
        <v>3881</v>
      </c>
      <c r="F1068" t="s">
        <v>3882</v>
      </c>
      <c r="G1068" t="s">
        <v>21</v>
      </c>
      <c r="H1068" t="s">
        <v>4888</v>
      </c>
      <c r="I1068" t="s">
        <v>5008</v>
      </c>
      <c r="J1068" t="s">
        <v>5009</v>
      </c>
      <c r="K1068" t="s">
        <v>4904</v>
      </c>
      <c r="L1068">
        <v>38</v>
      </c>
      <c r="M1068" t="s">
        <v>5035</v>
      </c>
      <c r="N1068" t="s">
        <v>3883</v>
      </c>
      <c r="O1068" t="s">
        <v>3884</v>
      </c>
      <c r="P1068" t="s">
        <v>23</v>
      </c>
      <c r="Q1068" t="s">
        <v>24</v>
      </c>
      <c r="R1068" t="s">
        <v>5216</v>
      </c>
      <c r="S1068" t="s">
        <v>5217</v>
      </c>
      <c r="T1068" s="6">
        <v>46307</v>
      </c>
      <c r="U1068">
        <v>24</v>
      </c>
      <c r="V1068">
        <v>24</v>
      </c>
      <c r="W1068">
        <v>24</v>
      </c>
      <c r="X1068">
        <v>24</v>
      </c>
      <c r="Y1068">
        <f t="shared" si="174"/>
        <v>0</v>
      </c>
      <c r="AC1068">
        <v>24</v>
      </c>
      <c r="AF1068">
        <v>24</v>
      </c>
      <c r="AG1068" s="41">
        <v>24</v>
      </c>
      <c r="AH1068">
        <f t="shared" si="175"/>
        <v>24</v>
      </c>
      <c r="AI1068">
        <f t="shared" si="178"/>
        <v>0</v>
      </c>
      <c r="AK1068">
        <f t="shared" si="176"/>
        <v>1</v>
      </c>
      <c r="AL1068">
        <v>10.11</v>
      </c>
      <c r="AM1068" t="s">
        <v>27</v>
      </c>
      <c r="AN1068">
        <v>10.11</v>
      </c>
      <c r="AO1068" t="b">
        <f t="shared" si="177"/>
        <v>1</v>
      </c>
      <c r="AR1068" t="s">
        <v>5061</v>
      </c>
      <c r="AS1068" s="21">
        <v>46284</v>
      </c>
      <c r="AT1068" t="s">
        <v>5062</v>
      </c>
      <c r="AU1068" t="s">
        <v>5080</v>
      </c>
      <c r="AV1068" t="s">
        <v>5062</v>
      </c>
      <c r="AW1068" t="s">
        <v>5311</v>
      </c>
    </row>
    <row r="1069" spans="1:49" x14ac:dyDescent="0.35">
      <c r="A1069" t="s">
        <v>5105</v>
      </c>
      <c r="B1069" t="s">
        <v>872</v>
      </c>
      <c r="C1069" t="s">
        <v>4818</v>
      </c>
      <c r="D1069" t="s">
        <v>18</v>
      </c>
      <c r="E1069" t="s">
        <v>3981</v>
      </c>
      <c r="F1069" t="s">
        <v>3982</v>
      </c>
      <c r="G1069" t="s">
        <v>21</v>
      </c>
      <c r="H1069" t="s">
        <v>4888</v>
      </c>
      <c r="I1069" t="s">
        <v>5018</v>
      </c>
      <c r="J1069" t="s">
        <v>5019</v>
      </c>
      <c r="K1069" t="s">
        <v>5020</v>
      </c>
      <c r="L1069">
        <v>14</v>
      </c>
      <c r="M1069" t="s">
        <v>5035</v>
      </c>
      <c r="N1069" t="s">
        <v>3983</v>
      </c>
      <c r="O1069" t="s">
        <v>5287</v>
      </c>
      <c r="P1069" t="s">
        <v>23</v>
      </c>
      <c r="Q1069" t="s">
        <v>24</v>
      </c>
      <c r="R1069" t="s">
        <v>5216</v>
      </c>
      <c r="S1069" t="s">
        <v>5217</v>
      </c>
      <c r="T1069" s="6">
        <v>46307</v>
      </c>
      <c r="U1069">
        <v>48</v>
      </c>
      <c r="V1069">
        <v>48</v>
      </c>
      <c r="W1069">
        <v>48</v>
      </c>
      <c r="X1069">
        <v>48</v>
      </c>
      <c r="Y1069">
        <f t="shared" si="174"/>
        <v>0</v>
      </c>
      <c r="AC1069">
        <v>48</v>
      </c>
      <c r="AF1069">
        <v>48</v>
      </c>
      <c r="AG1069" s="41">
        <v>24</v>
      </c>
      <c r="AH1069">
        <f t="shared" si="175"/>
        <v>48</v>
      </c>
      <c r="AI1069">
        <f t="shared" si="178"/>
        <v>0</v>
      </c>
      <c r="AK1069">
        <f t="shared" si="176"/>
        <v>2</v>
      </c>
      <c r="AL1069">
        <v>10.79</v>
      </c>
      <c r="AM1069" t="s">
        <v>27</v>
      </c>
      <c r="AN1069">
        <v>10.79</v>
      </c>
      <c r="AO1069" t="b">
        <f t="shared" si="177"/>
        <v>1</v>
      </c>
      <c r="AR1069" t="s">
        <v>5061</v>
      </c>
      <c r="AS1069" s="21">
        <v>46284</v>
      </c>
      <c r="AT1069" t="s">
        <v>5062</v>
      </c>
      <c r="AU1069" t="s">
        <v>5082</v>
      </c>
      <c r="AV1069" t="s">
        <v>5062</v>
      </c>
      <c r="AW1069" t="s">
        <v>5311</v>
      </c>
    </row>
    <row r="1070" spans="1:49" x14ac:dyDescent="0.35">
      <c r="A1070" t="s">
        <v>5105</v>
      </c>
      <c r="B1070" t="s">
        <v>872</v>
      </c>
      <c r="C1070" t="s">
        <v>4818</v>
      </c>
      <c r="D1070" t="s">
        <v>18</v>
      </c>
      <c r="E1070" t="s">
        <v>4013</v>
      </c>
      <c r="F1070" t="s">
        <v>4014</v>
      </c>
      <c r="G1070" t="s">
        <v>21</v>
      </c>
      <c r="H1070" t="s">
        <v>4888</v>
      </c>
      <c r="I1070" t="s">
        <v>5022</v>
      </c>
      <c r="J1070" t="s">
        <v>5023</v>
      </c>
      <c r="K1070" t="s">
        <v>5024</v>
      </c>
      <c r="L1070">
        <v>4</v>
      </c>
      <c r="M1070" t="s">
        <v>5035</v>
      </c>
      <c r="N1070" t="s">
        <v>4015</v>
      </c>
      <c r="O1070" t="s">
        <v>4016</v>
      </c>
      <c r="P1070" t="s">
        <v>23</v>
      </c>
      <c r="Q1070" t="s">
        <v>24</v>
      </c>
      <c r="R1070" t="s">
        <v>5216</v>
      </c>
      <c r="S1070" t="s">
        <v>5217</v>
      </c>
      <c r="T1070" s="6">
        <v>46307</v>
      </c>
      <c r="U1070">
        <v>48</v>
      </c>
      <c r="V1070">
        <v>48</v>
      </c>
      <c r="W1070">
        <v>48</v>
      </c>
      <c r="X1070">
        <v>48</v>
      </c>
      <c r="Y1070">
        <f t="shared" si="174"/>
        <v>0</v>
      </c>
      <c r="AC1070">
        <v>48</v>
      </c>
      <c r="AF1070">
        <v>48</v>
      </c>
      <c r="AG1070" s="41">
        <v>24</v>
      </c>
      <c r="AH1070">
        <f t="shared" si="175"/>
        <v>48</v>
      </c>
      <c r="AI1070">
        <f t="shared" si="178"/>
        <v>0</v>
      </c>
      <c r="AK1070">
        <f t="shared" si="176"/>
        <v>2</v>
      </c>
      <c r="AL1070">
        <v>6.99</v>
      </c>
      <c r="AM1070" t="s">
        <v>27</v>
      </c>
      <c r="AN1070">
        <v>8.68</v>
      </c>
      <c r="AO1070" t="b">
        <f t="shared" si="177"/>
        <v>0</v>
      </c>
      <c r="AR1070" t="s">
        <v>5061</v>
      </c>
      <c r="AS1070" s="21">
        <v>46284</v>
      </c>
      <c r="AT1070" t="s">
        <v>5062</v>
      </c>
      <c r="AU1070" t="s">
        <v>5083</v>
      </c>
      <c r="AV1070" t="s">
        <v>5062</v>
      </c>
      <c r="AW1070" t="s">
        <v>5311</v>
      </c>
    </row>
    <row r="1071" spans="1:49" x14ac:dyDescent="0.35">
      <c r="A1071" t="s">
        <v>5105</v>
      </c>
      <c r="B1071" t="s">
        <v>872</v>
      </c>
      <c r="C1071" t="s">
        <v>4818</v>
      </c>
      <c r="D1071" t="s">
        <v>18</v>
      </c>
      <c r="E1071" t="s">
        <v>4025</v>
      </c>
      <c r="F1071" t="s">
        <v>4026</v>
      </c>
      <c r="G1071" t="s">
        <v>21</v>
      </c>
      <c r="H1071" t="s">
        <v>4888</v>
      </c>
      <c r="I1071" t="s">
        <v>5018</v>
      </c>
      <c r="J1071" t="s">
        <v>5019</v>
      </c>
      <c r="K1071" t="s">
        <v>5020</v>
      </c>
      <c r="L1071">
        <v>8</v>
      </c>
      <c r="M1071" t="s">
        <v>5035</v>
      </c>
      <c r="N1071" t="s">
        <v>4027</v>
      </c>
      <c r="O1071" t="s">
        <v>5288</v>
      </c>
      <c r="P1071" t="s">
        <v>23</v>
      </c>
      <c r="Q1071" t="s">
        <v>24</v>
      </c>
      <c r="R1071" t="s">
        <v>5216</v>
      </c>
      <c r="S1071" t="s">
        <v>5217</v>
      </c>
      <c r="T1071" s="6">
        <v>46307</v>
      </c>
      <c r="U1071">
        <v>24</v>
      </c>
      <c r="V1071">
        <v>24</v>
      </c>
      <c r="W1071">
        <v>24</v>
      </c>
      <c r="X1071">
        <v>24</v>
      </c>
      <c r="Y1071">
        <f t="shared" si="174"/>
        <v>0</v>
      </c>
      <c r="AC1071">
        <v>24</v>
      </c>
      <c r="AF1071">
        <v>24</v>
      </c>
      <c r="AG1071" s="41">
        <v>24</v>
      </c>
      <c r="AH1071">
        <f t="shared" si="175"/>
        <v>24</v>
      </c>
      <c r="AI1071">
        <f t="shared" si="178"/>
        <v>0</v>
      </c>
      <c r="AK1071">
        <f t="shared" si="176"/>
        <v>1</v>
      </c>
      <c r="AL1071">
        <v>10.79</v>
      </c>
      <c r="AM1071" t="s">
        <v>27</v>
      </c>
      <c r="AN1071">
        <v>10.79</v>
      </c>
      <c r="AO1071" t="b">
        <f t="shared" si="177"/>
        <v>1</v>
      </c>
      <c r="AR1071" t="s">
        <v>5061</v>
      </c>
      <c r="AS1071" s="21">
        <v>46284</v>
      </c>
      <c r="AT1071" t="s">
        <v>5062</v>
      </c>
      <c r="AU1071" t="s">
        <v>5082</v>
      </c>
      <c r="AV1071" t="s">
        <v>5062</v>
      </c>
      <c r="AW1071" t="s">
        <v>5311</v>
      </c>
    </row>
    <row r="1072" spans="1:49" x14ac:dyDescent="0.35">
      <c r="A1072" t="s">
        <v>5105</v>
      </c>
      <c r="B1072" t="s">
        <v>872</v>
      </c>
      <c r="C1072" t="s">
        <v>4818</v>
      </c>
      <c r="D1072" t="s">
        <v>18</v>
      </c>
      <c r="E1072" t="s">
        <v>4081</v>
      </c>
      <c r="F1072" t="s">
        <v>4082</v>
      </c>
      <c r="G1072" t="s">
        <v>21</v>
      </c>
      <c r="H1072" t="s">
        <v>4888</v>
      </c>
      <c r="I1072" t="s">
        <v>5022</v>
      </c>
      <c r="J1072" t="s">
        <v>5023</v>
      </c>
      <c r="K1072" t="s">
        <v>5024</v>
      </c>
      <c r="L1072">
        <v>8</v>
      </c>
      <c r="M1072" t="s">
        <v>5035</v>
      </c>
      <c r="N1072" t="s">
        <v>4083</v>
      </c>
      <c r="O1072" t="s">
        <v>4084</v>
      </c>
      <c r="P1072" t="s">
        <v>23</v>
      </c>
      <c r="Q1072" t="s">
        <v>24</v>
      </c>
      <c r="R1072" t="s">
        <v>5216</v>
      </c>
      <c r="S1072" t="s">
        <v>5217</v>
      </c>
      <c r="T1072" s="6">
        <v>46307</v>
      </c>
      <c r="U1072">
        <v>24</v>
      </c>
      <c r="V1072">
        <v>24</v>
      </c>
      <c r="W1072">
        <v>24</v>
      </c>
      <c r="X1072">
        <v>24</v>
      </c>
      <c r="Y1072">
        <f t="shared" si="174"/>
        <v>0</v>
      </c>
      <c r="AC1072">
        <v>24</v>
      </c>
      <c r="AF1072">
        <v>24</v>
      </c>
      <c r="AG1072" s="41">
        <v>24</v>
      </c>
      <c r="AH1072">
        <f t="shared" si="175"/>
        <v>24</v>
      </c>
      <c r="AI1072">
        <f t="shared" si="178"/>
        <v>0</v>
      </c>
      <c r="AK1072">
        <f t="shared" si="176"/>
        <v>1</v>
      </c>
      <c r="AL1072">
        <v>6.99</v>
      </c>
      <c r="AM1072" t="s">
        <v>27</v>
      </c>
      <c r="AN1072">
        <v>8.68</v>
      </c>
      <c r="AO1072" t="b">
        <f t="shared" si="177"/>
        <v>0</v>
      </c>
      <c r="AR1072" t="s">
        <v>5061</v>
      </c>
      <c r="AS1072" s="21">
        <v>46284</v>
      </c>
      <c r="AT1072" t="s">
        <v>5062</v>
      </c>
      <c r="AU1072" t="s">
        <v>5083</v>
      </c>
      <c r="AV1072" t="s">
        <v>5062</v>
      </c>
      <c r="AW1072" t="s">
        <v>5311</v>
      </c>
    </row>
    <row r="1073" spans="1:49" x14ac:dyDescent="0.35">
      <c r="A1073" t="s">
        <v>5105</v>
      </c>
      <c r="B1073" t="s">
        <v>872</v>
      </c>
      <c r="C1073" t="s">
        <v>4818</v>
      </c>
      <c r="D1073" t="s">
        <v>18</v>
      </c>
      <c r="E1073" t="s">
        <v>4085</v>
      </c>
      <c r="F1073" t="s">
        <v>4086</v>
      </c>
      <c r="G1073" t="s">
        <v>21</v>
      </c>
      <c r="H1073" t="s">
        <v>4888</v>
      </c>
      <c r="I1073" t="s">
        <v>5008</v>
      </c>
      <c r="J1073" t="s">
        <v>5009</v>
      </c>
      <c r="K1073" t="s">
        <v>5021</v>
      </c>
      <c r="L1073">
        <v>32</v>
      </c>
      <c r="M1073" t="s">
        <v>5035</v>
      </c>
      <c r="N1073" t="s">
        <v>4087</v>
      </c>
      <c r="O1073" t="s">
        <v>4088</v>
      </c>
      <c r="P1073" t="s">
        <v>23</v>
      </c>
      <c r="Q1073" t="s">
        <v>24</v>
      </c>
      <c r="R1073" t="s">
        <v>5216</v>
      </c>
      <c r="S1073" t="s">
        <v>5217</v>
      </c>
      <c r="T1073" s="6">
        <v>46307</v>
      </c>
      <c r="U1073">
        <v>24</v>
      </c>
      <c r="V1073">
        <v>24</v>
      </c>
      <c r="W1073">
        <v>24</v>
      </c>
      <c r="X1073">
        <v>24</v>
      </c>
      <c r="Y1073">
        <f t="shared" si="174"/>
        <v>0</v>
      </c>
      <c r="AC1073">
        <v>24</v>
      </c>
      <c r="AF1073">
        <v>24</v>
      </c>
      <c r="AG1073" s="41">
        <v>24</v>
      </c>
      <c r="AH1073">
        <f t="shared" si="175"/>
        <v>24</v>
      </c>
      <c r="AI1073">
        <f t="shared" si="178"/>
        <v>0</v>
      </c>
      <c r="AK1073">
        <f t="shared" si="176"/>
        <v>1</v>
      </c>
      <c r="AL1073">
        <v>10.11</v>
      </c>
      <c r="AM1073" t="s">
        <v>27</v>
      </c>
      <c r="AN1073">
        <v>10.11</v>
      </c>
      <c r="AO1073" t="b">
        <f t="shared" si="177"/>
        <v>1</v>
      </c>
      <c r="AR1073" t="s">
        <v>5061</v>
      </c>
      <c r="AS1073" s="21">
        <v>46284</v>
      </c>
      <c r="AT1073" t="s">
        <v>5062</v>
      </c>
      <c r="AU1073" t="s">
        <v>5080</v>
      </c>
      <c r="AV1073" t="s">
        <v>5062</v>
      </c>
      <c r="AW1073" t="s">
        <v>5311</v>
      </c>
    </row>
    <row r="1074" spans="1:49" x14ac:dyDescent="0.35">
      <c r="A1074" t="s">
        <v>5105</v>
      </c>
      <c r="B1074" t="s">
        <v>872</v>
      </c>
      <c r="C1074" t="s">
        <v>4818</v>
      </c>
      <c r="D1074" t="s">
        <v>18</v>
      </c>
      <c r="E1074" t="s">
        <v>909</v>
      </c>
      <c r="F1074" t="s">
        <v>910</v>
      </c>
      <c r="G1074" t="s">
        <v>21</v>
      </c>
      <c r="H1074" t="s">
        <v>4888</v>
      </c>
      <c r="I1074" t="s">
        <v>4902</v>
      </c>
      <c r="J1074" t="s">
        <v>4903</v>
      </c>
      <c r="K1074" t="s">
        <v>4899</v>
      </c>
      <c r="L1074" t="s">
        <v>4853</v>
      </c>
      <c r="M1074" t="s">
        <v>5035</v>
      </c>
      <c r="N1074" t="s">
        <v>911</v>
      </c>
      <c r="O1074" t="s">
        <v>912</v>
      </c>
      <c r="P1074" t="s">
        <v>23</v>
      </c>
      <c r="Q1074" t="s">
        <v>24</v>
      </c>
      <c r="R1074" t="s">
        <v>5216</v>
      </c>
      <c r="S1074" t="s">
        <v>5217</v>
      </c>
      <c r="T1074" s="6">
        <v>46307</v>
      </c>
      <c r="U1074">
        <v>12</v>
      </c>
      <c r="V1074">
        <v>12</v>
      </c>
      <c r="W1074">
        <v>12</v>
      </c>
      <c r="X1074">
        <v>12</v>
      </c>
      <c r="Y1074">
        <f t="shared" si="174"/>
        <v>0</v>
      </c>
      <c r="AC1074">
        <v>12</v>
      </c>
      <c r="AF1074">
        <v>12</v>
      </c>
      <c r="AG1074" s="41">
        <v>12</v>
      </c>
      <c r="AH1074">
        <f t="shared" si="175"/>
        <v>12</v>
      </c>
      <c r="AI1074">
        <f t="shared" si="178"/>
        <v>0</v>
      </c>
      <c r="AK1074">
        <f t="shared" si="176"/>
        <v>1</v>
      </c>
      <c r="AL1074">
        <v>10.49</v>
      </c>
      <c r="AM1074" t="s">
        <v>27</v>
      </c>
      <c r="AN1074">
        <v>10.49</v>
      </c>
      <c r="AO1074" t="b">
        <f t="shared" si="177"/>
        <v>1</v>
      </c>
      <c r="AR1074" t="s">
        <v>5061</v>
      </c>
      <c r="AS1074" s="21">
        <v>46284</v>
      </c>
      <c r="AT1074" t="s">
        <v>5062</v>
      </c>
      <c r="AU1074" t="s">
        <v>5069</v>
      </c>
      <c r="AV1074" t="s">
        <v>5062</v>
      </c>
      <c r="AW1074" t="s">
        <v>5311</v>
      </c>
    </row>
    <row r="1075" spans="1:49" x14ac:dyDescent="0.35">
      <c r="A1075" t="s">
        <v>5105</v>
      </c>
      <c r="B1075" t="s">
        <v>872</v>
      </c>
      <c r="C1075" t="s">
        <v>4818</v>
      </c>
      <c r="D1075" t="s">
        <v>18</v>
      </c>
      <c r="E1075" t="s">
        <v>933</v>
      </c>
      <c r="F1075" t="s">
        <v>934</v>
      </c>
      <c r="G1075" t="s">
        <v>21</v>
      </c>
      <c r="H1075" t="s">
        <v>4888</v>
      </c>
      <c r="I1075" t="s">
        <v>4906</v>
      </c>
      <c r="J1075" t="s">
        <v>4907</v>
      </c>
      <c r="K1075" t="s">
        <v>4908</v>
      </c>
      <c r="L1075" t="s">
        <v>4910</v>
      </c>
      <c r="M1075" t="s">
        <v>5035</v>
      </c>
      <c r="N1075" t="s">
        <v>935</v>
      </c>
      <c r="O1075" t="s">
        <v>936</v>
      </c>
      <c r="P1075" t="s">
        <v>23</v>
      </c>
      <c r="Q1075" t="s">
        <v>24</v>
      </c>
      <c r="R1075" t="s">
        <v>5216</v>
      </c>
      <c r="S1075" t="s">
        <v>5217</v>
      </c>
      <c r="T1075" s="6">
        <v>46307</v>
      </c>
      <c r="U1075">
        <v>12</v>
      </c>
      <c r="V1075">
        <v>12</v>
      </c>
      <c r="W1075">
        <v>12</v>
      </c>
      <c r="X1075">
        <v>12</v>
      </c>
      <c r="Y1075">
        <f t="shared" si="174"/>
        <v>0</v>
      </c>
      <c r="AC1075">
        <v>12</v>
      </c>
      <c r="AF1075">
        <v>12</v>
      </c>
      <c r="AG1075" s="41">
        <v>12</v>
      </c>
      <c r="AH1075">
        <f t="shared" si="175"/>
        <v>12</v>
      </c>
      <c r="AI1075">
        <f t="shared" si="178"/>
        <v>0</v>
      </c>
      <c r="AK1075">
        <f t="shared" si="176"/>
        <v>1</v>
      </c>
      <c r="AL1075">
        <v>10.19</v>
      </c>
      <c r="AM1075" t="s">
        <v>27</v>
      </c>
      <c r="AN1075">
        <v>10.19</v>
      </c>
      <c r="AO1075" t="b">
        <f t="shared" si="177"/>
        <v>1</v>
      </c>
      <c r="AR1075" t="s">
        <v>5061</v>
      </c>
      <c r="AS1075" s="21">
        <v>46284</v>
      </c>
      <c r="AT1075" t="s">
        <v>5062</v>
      </c>
      <c r="AU1075" t="s">
        <v>5070</v>
      </c>
      <c r="AV1075" t="s">
        <v>5062</v>
      </c>
      <c r="AW1075" t="s">
        <v>5311</v>
      </c>
    </row>
    <row r="1076" spans="1:49" x14ac:dyDescent="0.35">
      <c r="A1076" t="s">
        <v>5105</v>
      </c>
      <c r="B1076" t="s">
        <v>872</v>
      </c>
      <c r="C1076" t="s">
        <v>4818</v>
      </c>
      <c r="D1076" t="s">
        <v>18</v>
      </c>
      <c r="E1076" t="s">
        <v>949</v>
      </c>
      <c r="F1076" t="s">
        <v>950</v>
      </c>
      <c r="G1076" t="s">
        <v>21</v>
      </c>
      <c r="H1076" t="s">
        <v>4888</v>
      </c>
      <c r="I1076" t="s">
        <v>4893</v>
      </c>
      <c r="J1076" t="s">
        <v>4894</v>
      </c>
      <c r="K1076" t="s">
        <v>4837</v>
      </c>
      <c r="L1076" t="s">
        <v>4914</v>
      </c>
      <c r="M1076" t="s">
        <v>5035</v>
      </c>
      <c r="N1076" t="s">
        <v>951</v>
      </c>
      <c r="O1076" t="s">
        <v>952</v>
      </c>
      <c r="P1076" t="s">
        <v>23</v>
      </c>
      <c r="Q1076" t="s">
        <v>24</v>
      </c>
      <c r="R1076" t="s">
        <v>5216</v>
      </c>
      <c r="S1076" t="s">
        <v>5217</v>
      </c>
      <c r="T1076" s="6">
        <v>46307</v>
      </c>
      <c r="U1076">
        <v>12</v>
      </c>
      <c r="V1076">
        <v>12</v>
      </c>
      <c r="W1076">
        <v>12</v>
      </c>
      <c r="X1076">
        <v>12</v>
      </c>
      <c r="Y1076">
        <f t="shared" si="174"/>
        <v>0</v>
      </c>
      <c r="AC1076">
        <v>12</v>
      </c>
      <c r="AF1076">
        <v>12</v>
      </c>
      <c r="AG1076" s="41">
        <v>12</v>
      </c>
      <c r="AH1076">
        <f t="shared" si="175"/>
        <v>12</v>
      </c>
      <c r="AI1076">
        <f t="shared" si="178"/>
        <v>0</v>
      </c>
      <c r="AK1076">
        <f t="shared" si="176"/>
        <v>1</v>
      </c>
      <c r="AL1076">
        <v>10.06</v>
      </c>
      <c r="AM1076" t="s">
        <v>27</v>
      </c>
      <c r="AN1076">
        <v>10.06</v>
      </c>
      <c r="AO1076" t="b">
        <f t="shared" si="177"/>
        <v>1</v>
      </c>
      <c r="AR1076" t="s">
        <v>5061</v>
      </c>
      <c r="AS1076" s="21">
        <v>46284</v>
      </c>
      <c r="AT1076" t="s">
        <v>5062</v>
      </c>
      <c r="AU1076" t="s">
        <v>5068</v>
      </c>
      <c r="AV1076" t="s">
        <v>5062</v>
      </c>
      <c r="AW1076" t="s">
        <v>5311</v>
      </c>
    </row>
    <row r="1077" spans="1:49" x14ac:dyDescent="0.35">
      <c r="A1077" t="s">
        <v>5105</v>
      </c>
      <c r="B1077" t="s">
        <v>872</v>
      </c>
      <c r="C1077" t="s">
        <v>4818</v>
      </c>
      <c r="D1077" t="s">
        <v>18</v>
      </c>
      <c r="E1077" t="s">
        <v>1009</v>
      </c>
      <c r="F1077" t="s">
        <v>1010</v>
      </c>
      <c r="G1077" t="s">
        <v>21</v>
      </c>
      <c r="H1077" t="s">
        <v>4888</v>
      </c>
      <c r="I1077" t="s">
        <v>4902</v>
      </c>
      <c r="J1077" t="s">
        <v>4903</v>
      </c>
      <c r="K1077" t="s">
        <v>4915</v>
      </c>
      <c r="L1077" t="s">
        <v>4885</v>
      </c>
      <c r="M1077" t="s">
        <v>5035</v>
      </c>
      <c r="N1077" t="s">
        <v>1011</v>
      </c>
      <c r="O1077" t="s">
        <v>1012</v>
      </c>
      <c r="P1077" t="s">
        <v>23</v>
      </c>
      <c r="Q1077" t="s">
        <v>24</v>
      </c>
      <c r="R1077" t="s">
        <v>5216</v>
      </c>
      <c r="S1077" t="s">
        <v>5217</v>
      </c>
      <c r="T1077" s="6">
        <v>46307</v>
      </c>
      <c r="U1077">
        <v>12</v>
      </c>
      <c r="V1077">
        <v>12</v>
      </c>
      <c r="W1077">
        <v>12</v>
      </c>
      <c r="X1077">
        <v>12</v>
      </c>
      <c r="Y1077">
        <f t="shared" si="174"/>
        <v>0</v>
      </c>
      <c r="AC1077">
        <v>12</v>
      </c>
      <c r="AF1077">
        <v>12</v>
      </c>
      <c r="AG1077" s="41">
        <v>12</v>
      </c>
      <c r="AH1077">
        <f t="shared" si="175"/>
        <v>12</v>
      </c>
      <c r="AI1077">
        <f t="shared" si="178"/>
        <v>0</v>
      </c>
      <c r="AK1077">
        <f t="shared" si="176"/>
        <v>1</v>
      </c>
      <c r="AL1077">
        <v>10.66</v>
      </c>
      <c r="AM1077" t="s">
        <v>27</v>
      </c>
      <c r="AN1077">
        <v>10.66</v>
      </c>
      <c r="AO1077" t="b">
        <f t="shared" si="177"/>
        <v>1</v>
      </c>
      <c r="AR1077" t="s">
        <v>5061</v>
      </c>
      <c r="AS1077" s="21">
        <v>46284</v>
      </c>
      <c r="AT1077" t="s">
        <v>5062</v>
      </c>
      <c r="AU1077" t="s">
        <v>5069</v>
      </c>
      <c r="AV1077" t="s">
        <v>5062</v>
      </c>
      <c r="AW1077" t="s">
        <v>5311</v>
      </c>
    </row>
    <row r="1078" spans="1:49" x14ac:dyDescent="0.35">
      <c r="A1078" t="s">
        <v>5105</v>
      </c>
      <c r="B1078" t="s">
        <v>872</v>
      </c>
      <c r="C1078" t="s">
        <v>4818</v>
      </c>
      <c r="D1078" t="s">
        <v>18</v>
      </c>
      <c r="E1078" t="s">
        <v>1161</v>
      </c>
      <c r="F1078" t="s">
        <v>1162</v>
      </c>
      <c r="G1078" t="s">
        <v>21</v>
      </c>
      <c r="H1078" t="s">
        <v>4888</v>
      </c>
      <c r="I1078" t="s">
        <v>4902</v>
      </c>
      <c r="J1078" t="s">
        <v>4903</v>
      </c>
      <c r="K1078" t="s">
        <v>4915</v>
      </c>
      <c r="L1078" t="s">
        <v>4929</v>
      </c>
      <c r="M1078" t="s">
        <v>5035</v>
      </c>
      <c r="N1078" t="s">
        <v>1163</v>
      </c>
      <c r="O1078" t="s">
        <v>1164</v>
      </c>
      <c r="P1078" t="s">
        <v>23</v>
      </c>
      <c r="Q1078" t="s">
        <v>24</v>
      </c>
      <c r="R1078" t="s">
        <v>5216</v>
      </c>
      <c r="S1078" t="s">
        <v>5217</v>
      </c>
      <c r="T1078" s="6">
        <v>46307</v>
      </c>
      <c r="U1078">
        <v>12</v>
      </c>
      <c r="V1078">
        <v>12</v>
      </c>
      <c r="W1078">
        <v>12</v>
      </c>
      <c r="X1078">
        <v>12</v>
      </c>
      <c r="Y1078">
        <f t="shared" si="174"/>
        <v>0</v>
      </c>
      <c r="AC1078">
        <v>12</v>
      </c>
      <c r="AF1078">
        <v>12</v>
      </c>
      <c r="AG1078" s="41">
        <v>12</v>
      </c>
      <c r="AH1078">
        <f t="shared" si="175"/>
        <v>12</v>
      </c>
      <c r="AI1078">
        <f t="shared" si="178"/>
        <v>0</v>
      </c>
      <c r="AK1078">
        <f t="shared" si="176"/>
        <v>1</v>
      </c>
      <c r="AL1078">
        <v>10.66</v>
      </c>
      <c r="AM1078" t="s">
        <v>27</v>
      </c>
      <c r="AN1078">
        <v>10.66</v>
      </c>
      <c r="AO1078" t="b">
        <f t="shared" si="177"/>
        <v>1</v>
      </c>
      <c r="AR1078" t="s">
        <v>5061</v>
      </c>
      <c r="AS1078" s="21">
        <v>46284</v>
      </c>
      <c r="AT1078" t="s">
        <v>5062</v>
      </c>
      <c r="AU1078" t="s">
        <v>5069</v>
      </c>
      <c r="AV1078" t="s">
        <v>5062</v>
      </c>
      <c r="AW1078" t="s">
        <v>5311</v>
      </c>
    </row>
    <row r="1079" spans="1:49" x14ac:dyDescent="0.35">
      <c r="A1079" t="s">
        <v>5105</v>
      </c>
      <c r="B1079" t="s">
        <v>872</v>
      </c>
      <c r="C1079" t="s">
        <v>4818</v>
      </c>
      <c r="D1079" t="s">
        <v>18</v>
      </c>
      <c r="E1079" t="s">
        <v>1201</v>
      </c>
      <c r="F1079" t="s">
        <v>1202</v>
      </c>
      <c r="G1079" t="s">
        <v>21</v>
      </c>
      <c r="H1079" t="s">
        <v>4888</v>
      </c>
      <c r="I1079" t="s">
        <v>4902</v>
      </c>
      <c r="J1079" t="s">
        <v>4903</v>
      </c>
      <c r="K1079" t="s">
        <v>4899</v>
      </c>
      <c r="L1079" t="s">
        <v>4925</v>
      </c>
      <c r="M1079" t="s">
        <v>5035</v>
      </c>
      <c r="N1079" t="s">
        <v>1203</v>
      </c>
      <c r="O1079" t="s">
        <v>1204</v>
      </c>
      <c r="P1079" t="s">
        <v>23</v>
      </c>
      <c r="Q1079" t="s">
        <v>24</v>
      </c>
      <c r="R1079" t="s">
        <v>5216</v>
      </c>
      <c r="S1079" t="s">
        <v>5217</v>
      </c>
      <c r="T1079" s="6">
        <v>46307</v>
      </c>
      <c r="U1079">
        <v>12</v>
      </c>
      <c r="V1079">
        <v>12</v>
      </c>
      <c r="W1079">
        <v>12</v>
      </c>
      <c r="X1079">
        <v>12</v>
      </c>
      <c r="Y1079">
        <f t="shared" si="174"/>
        <v>0</v>
      </c>
      <c r="AC1079">
        <v>12</v>
      </c>
      <c r="AF1079">
        <v>12</v>
      </c>
      <c r="AG1079" s="41">
        <v>12</v>
      </c>
      <c r="AH1079">
        <f t="shared" si="175"/>
        <v>12</v>
      </c>
      <c r="AI1079">
        <f t="shared" si="178"/>
        <v>0</v>
      </c>
      <c r="AK1079">
        <f t="shared" si="176"/>
        <v>1</v>
      </c>
      <c r="AL1079">
        <v>10.49</v>
      </c>
      <c r="AM1079" t="s">
        <v>27</v>
      </c>
      <c r="AN1079">
        <v>10.49</v>
      </c>
      <c r="AO1079" t="b">
        <f t="shared" si="177"/>
        <v>1</v>
      </c>
      <c r="AR1079" t="s">
        <v>5061</v>
      </c>
      <c r="AS1079" s="21">
        <v>46284</v>
      </c>
      <c r="AT1079" t="s">
        <v>5062</v>
      </c>
      <c r="AU1079" t="s">
        <v>5069</v>
      </c>
      <c r="AV1079" t="s">
        <v>5062</v>
      </c>
      <c r="AW1079" t="s">
        <v>5311</v>
      </c>
    </row>
    <row r="1080" spans="1:49" x14ac:dyDescent="0.35">
      <c r="A1080" t="s">
        <v>5105</v>
      </c>
      <c r="B1080" t="s">
        <v>872</v>
      </c>
      <c r="C1080" t="s">
        <v>4818</v>
      </c>
      <c r="D1080" t="s">
        <v>18</v>
      </c>
      <c r="E1080" t="s">
        <v>1229</v>
      </c>
      <c r="F1080" t="s">
        <v>1230</v>
      </c>
      <c r="G1080" t="s">
        <v>21</v>
      </c>
      <c r="H1080" t="s">
        <v>4888</v>
      </c>
      <c r="I1080" t="s">
        <v>4889</v>
      </c>
      <c r="J1080" t="s">
        <v>4890</v>
      </c>
      <c r="K1080" t="s">
        <v>4891</v>
      </c>
      <c r="L1080" t="s">
        <v>4886</v>
      </c>
      <c r="M1080" t="s">
        <v>5035</v>
      </c>
      <c r="N1080" t="s">
        <v>1231</v>
      </c>
      <c r="O1080" t="s">
        <v>1232</v>
      </c>
      <c r="P1080" t="s">
        <v>23</v>
      </c>
      <c r="Q1080" t="s">
        <v>24</v>
      </c>
      <c r="R1080" t="s">
        <v>5216</v>
      </c>
      <c r="S1080" t="s">
        <v>5217</v>
      </c>
      <c r="T1080" s="6">
        <v>46307</v>
      </c>
      <c r="U1080">
        <v>12</v>
      </c>
      <c r="V1080">
        <v>12</v>
      </c>
      <c r="W1080">
        <v>12</v>
      </c>
      <c r="X1080">
        <v>12</v>
      </c>
      <c r="Y1080">
        <f t="shared" si="174"/>
        <v>0</v>
      </c>
      <c r="AC1080">
        <v>12</v>
      </c>
      <c r="AF1080">
        <v>12</v>
      </c>
      <c r="AG1080" s="41">
        <v>12</v>
      </c>
      <c r="AH1080">
        <f t="shared" si="175"/>
        <v>12</v>
      </c>
      <c r="AI1080">
        <f t="shared" si="178"/>
        <v>0</v>
      </c>
      <c r="AK1080">
        <f t="shared" si="176"/>
        <v>1</v>
      </c>
      <c r="AL1080">
        <v>11.2</v>
      </c>
      <c r="AM1080" t="s">
        <v>27</v>
      </c>
      <c r="AN1080">
        <v>11.2</v>
      </c>
      <c r="AO1080" t="b">
        <f t="shared" si="177"/>
        <v>1</v>
      </c>
      <c r="AR1080" t="s">
        <v>5061</v>
      </c>
      <c r="AS1080" s="21">
        <v>46284</v>
      </c>
      <c r="AT1080" t="s">
        <v>5062</v>
      </c>
      <c r="AU1080" t="s">
        <v>5067</v>
      </c>
      <c r="AV1080" t="s">
        <v>5062</v>
      </c>
      <c r="AW1080" t="s">
        <v>5311</v>
      </c>
    </row>
    <row r="1081" spans="1:49" x14ac:dyDescent="0.35">
      <c r="A1081" t="s">
        <v>5105</v>
      </c>
      <c r="B1081" t="s">
        <v>872</v>
      </c>
      <c r="C1081" t="s">
        <v>4818</v>
      </c>
      <c r="D1081" t="s">
        <v>18</v>
      </c>
      <c r="E1081" t="s">
        <v>1237</v>
      </c>
      <c r="F1081" t="s">
        <v>1238</v>
      </c>
      <c r="G1081" t="s">
        <v>21</v>
      </c>
      <c r="H1081" t="s">
        <v>4888</v>
      </c>
      <c r="I1081" t="s">
        <v>4889</v>
      </c>
      <c r="J1081" t="s">
        <v>4890</v>
      </c>
      <c r="K1081" t="s">
        <v>4891</v>
      </c>
      <c r="L1081" t="s">
        <v>4898</v>
      </c>
      <c r="M1081" t="s">
        <v>5035</v>
      </c>
      <c r="N1081" t="s">
        <v>1239</v>
      </c>
      <c r="O1081" t="s">
        <v>1240</v>
      </c>
      <c r="P1081" t="s">
        <v>23</v>
      </c>
      <c r="Q1081" t="s">
        <v>24</v>
      </c>
      <c r="R1081" t="s">
        <v>5216</v>
      </c>
      <c r="S1081" t="s">
        <v>5217</v>
      </c>
      <c r="T1081" s="6">
        <v>46307</v>
      </c>
      <c r="U1081">
        <v>12</v>
      </c>
      <c r="V1081">
        <v>12</v>
      </c>
      <c r="W1081">
        <v>12</v>
      </c>
      <c r="X1081">
        <v>12</v>
      </c>
      <c r="Y1081">
        <f t="shared" si="174"/>
        <v>0</v>
      </c>
      <c r="AC1081">
        <v>12</v>
      </c>
      <c r="AF1081">
        <v>12</v>
      </c>
      <c r="AG1081" s="41">
        <v>12</v>
      </c>
      <c r="AH1081">
        <f t="shared" si="175"/>
        <v>12</v>
      </c>
      <c r="AI1081">
        <f t="shared" si="178"/>
        <v>0</v>
      </c>
      <c r="AK1081">
        <f t="shared" si="176"/>
        <v>1</v>
      </c>
      <c r="AL1081">
        <v>11.2</v>
      </c>
      <c r="AM1081" t="s">
        <v>27</v>
      </c>
      <c r="AN1081">
        <v>11.2</v>
      </c>
      <c r="AO1081" t="b">
        <f t="shared" si="177"/>
        <v>1</v>
      </c>
      <c r="AR1081" t="s">
        <v>5061</v>
      </c>
      <c r="AS1081" s="21">
        <v>46284</v>
      </c>
      <c r="AT1081" t="s">
        <v>5062</v>
      </c>
      <c r="AU1081" t="s">
        <v>5067</v>
      </c>
      <c r="AV1081" t="s">
        <v>5062</v>
      </c>
      <c r="AW1081" t="s">
        <v>5311</v>
      </c>
    </row>
    <row r="1082" spans="1:49" x14ac:dyDescent="0.35">
      <c r="A1082" t="s">
        <v>5105</v>
      </c>
      <c r="B1082" t="s">
        <v>872</v>
      </c>
      <c r="C1082" t="s">
        <v>4818</v>
      </c>
      <c r="D1082" t="s">
        <v>18</v>
      </c>
      <c r="E1082" t="s">
        <v>1405</v>
      </c>
      <c r="F1082" t="s">
        <v>1406</v>
      </c>
      <c r="G1082" t="s">
        <v>21</v>
      </c>
      <c r="H1082" t="s">
        <v>4888</v>
      </c>
      <c r="I1082" t="s">
        <v>4906</v>
      </c>
      <c r="J1082" t="s">
        <v>4907</v>
      </c>
      <c r="K1082" t="s">
        <v>4908</v>
      </c>
      <c r="L1082" t="s">
        <v>4873</v>
      </c>
      <c r="M1082" t="s">
        <v>5035</v>
      </c>
      <c r="N1082" t="s">
        <v>1407</v>
      </c>
      <c r="O1082" t="s">
        <v>1408</v>
      </c>
      <c r="P1082" t="s">
        <v>23</v>
      </c>
      <c r="Q1082" t="s">
        <v>24</v>
      </c>
      <c r="R1082" t="s">
        <v>5216</v>
      </c>
      <c r="S1082" t="s">
        <v>5217</v>
      </c>
      <c r="T1082" s="6">
        <v>46307</v>
      </c>
      <c r="U1082">
        <v>12</v>
      </c>
      <c r="V1082">
        <v>12</v>
      </c>
      <c r="W1082">
        <v>12</v>
      </c>
      <c r="X1082">
        <v>12</v>
      </c>
      <c r="Y1082">
        <f t="shared" si="174"/>
        <v>0</v>
      </c>
      <c r="AC1082">
        <v>12</v>
      </c>
      <c r="AF1082">
        <v>12</v>
      </c>
      <c r="AG1082" s="41">
        <v>12</v>
      </c>
      <c r="AH1082">
        <f t="shared" si="175"/>
        <v>12</v>
      </c>
      <c r="AI1082">
        <f t="shared" si="178"/>
        <v>0</v>
      </c>
      <c r="AK1082">
        <f t="shared" si="176"/>
        <v>1</v>
      </c>
      <c r="AL1082">
        <v>10.19</v>
      </c>
      <c r="AM1082" t="s">
        <v>27</v>
      </c>
      <c r="AN1082">
        <v>10.19</v>
      </c>
      <c r="AO1082" t="b">
        <f t="shared" si="177"/>
        <v>1</v>
      </c>
      <c r="AR1082" t="s">
        <v>5061</v>
      </c>
      <c r="AS1082" s="21">
        <v>46284</v>
      </c>
      <c r="AT1082" t="s">
        <v>5062</v>
      </c>
      <c r="AU1082" t="s">
        <v>5070</v>
      </c>
      <c r="AV1082" t="s">
        <v>5062</v>
      </c>
      <c r="AW1082" t="s">
        <v>5311</v>
      </c>
    </row>
    <row r="1083" spans="1:49" x14ac:dyDescent="0.35">
      <c r="A1083" t="s">
        <v>5105</v>
      </c>
      <c r="B1083" t="s">
        <v>872</v>
      </c>
      <c r="C1083" t="s">
        <v>4818</v>
      </c>
      <c r="D1083" t="s">
        <v>18</v>
      </c>
      <c r="E1083" t="s">
        <v>1465</v>
      </c>
      <c r="F1083" t="s">
        <v>1466</v>
      </c>
      <c r="G1083" t="s">
        <v>21</v>
      </c>
      <c r="H1083" t="s">
        <v>4888</v>
      </c>
      <c r="I1083" t="s">
        <v>4906</v>
      </c>
      <c r="J1083" t="s">
        <v>4907</v>
      </c>
      <c r="K1083" t="s">
        <v>4908</v>
      </c>
      <c r="L1083" t="s">
        <v>4879</v>
      </c>
      <c r="M1083" t="s">
        <v>5035</v>
      </c>
      <c r="N1083" t="s">
        <v>1467</v>
      </c>
      <c r="O1083" t="s">
        <v>1468</v>
      </c>
      <c r="P1083" t="s">
        <v>23</v>
      </c>
      <c r="Q1083" t="s">
        <v>24</v>
      </c>
      <c r="R1083" t="s">
        <v>5216</v>
      </c>
      <c r="S1083" t="s">
        <v>5217</v>
      </c>
      <c r="T1083" s="6">
        <v>46307</v>
      </c>
      <c r="U1083">
        <v>12</v>
      </c>
      <c r="V1083">
        <v>12</v>
      </c>
      <c r="W1083">
        <v>12</v>
      </c>
      <c r="X1083">
        <v>12</v>
      </c>
      <c r="Y1083">
        <f t="shared" si="174"/>
        <v>0</v>
      </c>
      <c r="AC1083">
        <v>12</v>
      </c>
      <c r="AF1083">
        <v>12</v>
      </c>
      <c r="AG1083" s="41">
        <v>12</v>
      </c>
      <c r="AH1083">
        <f t="shared" si="175"/>
        <v>12</v>
      </c>
      <c r="AI1083">
        <f t="shared" si="178"/>
        <v>0</v>
      </c>
      <c r="AK1083">
        <f t="shared" si="176"/>
        <v>1</v>
      </c>
      <c r="AL1083">
        <v>10.19</v>
      </c>
      <c r="AM1083" t="s">
        <v>27</v>
      </c>
      <c r="AN1083">
        <v>10.19</v>
      </c>
      <c r="AO1083" t="b">
        <f t="shared" si="177"/>
        <v>1</v>
      </c>
      <c r="AR1083" t="s">
        <v>5061</v>
      </c>
      <c r="AS1083" s="21">
        <v>46284</v>
      </c>
      <c r="AT1083" t="s">
        <v>5062</v>
      </c>
      <c r="AU1083" t="s">
        <v>5070</v>
      </c>
      <c r="AV1083" t="s">
        <v>5062</v>
      </c>
      <c r="AW1083" t="s">
        <v>5311</v>
      </c>
    </row>
    <row r="1084" spans="1:49" x14ac:dyDescent="0.35">
      <c r="A1084" t="s">
        <v>5105</v>
      </c>
      <c r="B1084" t="s">
        <v>872</v>
      </c>
      <c r="C1084" t="s">
        <v>4818</v>
      </c>
      <c r="D1084" t="s">
        <v>18</v>
      </c>
      <c r="E1084" t="s">
        <v>1613</v>
      </c>
      <c r="F1084" t="s">
        <v>1614</v>
      </c>
      <c r="G1084" t="s">
        <v>21</v>
      </c>
      <c r="H1084" t="s">
        <v>4888</v>
      </c>
      <c r="I1084" t="s">
        <v>4889</v>
      </c>
      <c r="J1084" t="s">
        <v>4890</v>
      </c>
      <c r="K1084" t="s">
        <v>4911</v>
      </c>
      <c r="L1084" t="s">
        <v>4855</v>
      </c>
      <c r="M1084" t="s">
        <v>5035</v>
      </c>
      <c r="N1084" t="s">
        <v>1615</v>
      </c>
      <c r="O1084" t="s">
        <v>1616</v>
      </c>
      <c r="P1084" t="s">
        <v>23</v>
      </c>
      <c r="Q1084" t="s">
        <v>24</v>
      </c>
      <c r="R1084" t="s">
        <v>5216</v>
      </c>
      <c r="S1084" t="s">
        <v>5217</v>
      </c>
      <c r="T1084" s="6">
        <v>46307</v>
      </c>
      <c r="U1084">
        <v>12</v>
      </c>
      <c r="V1084">
        <v>12</v>
      </c>
      <c r="W1084">
        <v>12</v>
      </c>
      <c r="X1084">
        <v>12</v>
      </c>
      <c r="Y1084">
        <f t="shared" si="174"/>
        <v>0</v>
      </c>
      <c r="AC1084">
        <v>12</v>
      </c>
      <c r="AF1084">
        <v>12</v>
      </c>
      <c r="AG1084" s="41">
        <v>12</v>
      </c>
      <c r="AH1084">
        <f t="shared" si="175"/>
        <v>12</v>
      </c>
      <c r="AI1084">
        <f t="shared" si="178"/>
        <v>0</v>
      </c>
      <c r="AK1084">
        <f t="shared" si="176"/>
        <v>1</v>
      </c>
      <c r="AL1084">
        <v>11.87</v>
      </c>
      <c r="AM1084" t="s">
        <v>27</v>
      </c>
      <c r="AN1084">
        <v>11.87</v>
      </c>
      <c r="AO1084" t="b">
        <f t="shared" si="177"/>
        <v>1</v>
      </c>
      <c r="AR1084" t="s">
        <v>5061</v>
      </c>
      <c r="AS1084" s="21">
        <v>46284</v>
      </c>
      <c r="AT1084" t="s">
        <v>5062</v>
      </c>
      <c r="AU1084" t="s">
        <v>5067</v>
      </c>
      <c r="AV1084" t="s">
        <v>5062</v>
      </c>
      <c r="AW1084" t="s">
        <v>5311</v>
      </c>
    </row>
    <row r="1085" spans="1:49" x14ac:dyDescent="0.35">
      <c r="A1085" t="s">
        <v>5105</v>
      </c>
      <c r="B1085" t="s">
        <v>872</v>
      </c>
      <c r="C1085" t="s">
        <v>4818</v>
      </c>
      <c r="D1085" t="s">
        <v>18</v>
      </c>
      <c r="E1085" t="s">
        <v>1725</v>
      </c>
      <c r="F1085" t="s">
        <v>1726</v>
      </c>
      <c r="G1085" t="s">
        <v>21</v>
      </c>
      <c r="H1085" t="s">
        <v>4888</v>
      </c>
      <c r="I1085" t="s">
        <v>4906</v>
      </c>
      <c r="J1085" t="s">
        <v>4907</v>
      </c>
      <c r="K1085" t="s">
        <v>4908</v>
      </c>
      <c r="L1085" t="s">
        <v>4871</v>
      </c>
      <c r="M1085" t="s">
        <v>5035</v>
      </c>
      <c r="N1085" t="s">
        <v>1727</v>
      </c>
      <c r="O1085" t="s">
        <v>1728</v>
      </c>
      <c r="P1085" t="s">
        <v>23</v>
      </c>
      <c r="Q1085" t="s">
        <v>24</v>
      </c>
      <c r="R1085" t="s">
        <v>5216</v>
      </c>
      <c r="S1085" t="s">
        <v>5217</v>
      </c>
      <c r="T1085" s="6">
        <v>46307</v>
      </c>
      <c r="U1085">
        <v>12</v>
      </c>
      <c r="V1085">
        <v>12</v>
      </c>
      <c r="W1085">
        <v>12</v>
      </c>
      <c r="X1085">
        <v>12</v>
      </c>
      <c r="Y1085">
        <f t="shared" si="174"/>
        <v>0</v>
      </c>
      <c r="AC1085">
        <v>12</v>
      </c>
      <c r="AF1085">
        <v>12</v>
      </c>
      <c r="AG1085" s="41">
        <v>12</v>
      </c>
      <c r="AH1085">
        <f t="shared" si="175"/>
        <v>12</v>
      </c>
      <c r="AI1085">
        <f t="shared" si="178"/>
        <v>0</v>
      </c>
      <c r="AK1085">
        <f t="shared" si="176"/>
        <v>1</v>
      </c>
      <c r="AL1085">
        <v>10.19</v>
      </c>
      <c r="AM1085" t="s">
        <v>27</v>
      </c>
      <c r="AN1085">
        <v>10.19</v>
      </c>
      <c r="AO1085" t="b">
        <f t="shared" si="177"/>
        <v>1</v>
      </c>
      <c r="AR1085" t="s">
        <v>5061</v>
      </c>
      <c r="AS1085" s="21">
        <v>46284</v>
      </c>
      <c r="AT1085" t="s">
        <v>5062</v>
      </c>
      <c r="AU1085" t="s">
        <v>5070</v>
      </c>
      <c r="AV1085" t="s">
        <v>5062</v>
      </c>
      <c r="AW1085" t="s">
        <v>5311</v>
      </c>
    </row>
    <row r="1086" spans="1:49" x14ac:dyDescent="0.35">
      <c r="A1086" t="s">
        <v>5105</v>
      </c>
      <c r="B1086" t="s">
        <v>872</v>
      </c>
      <c r="C1086" t="s">
        <v>4818</v>
      </c>
      <c r="D1086" t="s">
        <v>18</v>
      </c>
      <c r="E1086" t="s">
        <v>1817</v>
      </c>
      <c r="F1086" t="s">
        <v>1818</v>
      </c>
      <c r="G1086" t="s">
        <v>21</v>
      </c>
      <c r="H1086" t="s">
        <v>4888</v>
      </c>
      <c r="I1086" t="s">
        <v>4889</v>
      </c>
      <c r="J1086" t="s">
        <v>4890</v>
      </c>
      <c r="K1086" t="s">
        <v>4899</v>
      </c>
      <c r="L1086" t="s">
        <v>4914</v>
      </c>
      <c r="M1086" t="s">
        <v>5035</v>
      </c>
      <c r="N1086" t="s">
        <v>1819</v>
      </c>
      <c r="O1086" t="s">
        <v>1820</v>
      </c>
      <c r="P1086" t="s">
        <v>23</v>
      </c>
      <c r="Q1086" t="s">
        <v>24</v>
      </c>
      <c r="R1086" t="s">
        <v>5216</v>
      </c>
      <c r="S1086" t="s">
        <v>5217</v>
      </c>
      <c r="T1086" s="6">
        <v>46307</v>
      </c>
      <c r="U1086">
        <v>12</v>
      </c>
      <c r="V1086">
        <v>12</v>
      </c>
      <c r="W1086">
        <v>12</v>
      </c>
      <c r="X1086">
        <v>12</v>
      </c>
      <c r="Y1086">
        <f t="shared" si="174"/>
        <v>0</v>
      </c>
      <c r="AC1086">
        <v>12</v>
      </c>
      <c r="AF1086">
        <v>12</v>
      </c>
      <c r="AG1086" s="41">
        <v>12</v>
      </c>
      <c r="AH1086">
        <f t="shared" si="175"/>
        <v>12</v>
      </c>
      <c r="AI1086">
        <f t="shared" si="178"/>
        <v>0</v>
      </c>
      <c r="AK1086">
        <f t="shared" si="176"/>
        <v>1</v>
      </c>
      <c r="AL1086">
        <v>10.9</v>
      </c>
      <c r="AM1086" t="s">
        <v>27</v>
      </c>
      <c r="AN1086">
        <v>10.9</v>
      </c>
      <c r="AO1086" t="b">
        <f t="shared" si="177"/>
        <v>1</v>
      </c>
      <c r="AR1086" t="s">
        <v>5061</v>
      </c>
      <c r="AS1086" s="21">
        <v>46284</v>
      </c>
      <c r="AT1086" t="s">
        <v>5062</v>
      </c>
      <c r="AU1086" t="s">
        <v>5067</v>
      </c>
      <c r="AV1086" t="s">
        <v>5062</v>
      </c>
      <c r="AW1086" t="s">
        <v>5311</v>
      </c>
    </row>
    <row r="1087" spans="1:49" x14ac:dyDescent="0.35">
      <c r="A1087" t="s">
        <v>5105</v>
      </c>
      <c r="B1087" t="s">
        <v>872</v>
      </c>
      <c r="C1087" t="s">
        <v>4818</v>
      </c>
      <c r="D1087" t="s">
        <v>18</v>
      </c>
      <c r="E1087" t="s">
        <v>1833</v>
      </c>
      <c r="F1087" t="s">
        <v>1834</v>
      </c>
      <c r="G1087" t="s">
        <v>21</v>
      </c>
      <c r="H1087" t="s">
        <v>4888</v>
      </c>
      <c r="I1087" t="s">
        <v>4893</v>
      </c>
      <c r="J1087" t="s">
        <v>4894</v>
      </c>
      <c r="K1087" t="s">
        <v>4904</v>
      </c>
      <c r="L1087" t="s">
        <v>4870</v>
      </c>
      <c r="M1087" t="s">
        <v>5035</v>
      </c>
      <c r="N1087" t="s">
        <v>1835</v>
      </c>
      <c r="O1087" t="s">
        <v>1836</v>
      </c>
      <c r="P1087" t="s">
        <v>23</v>
      </c>
      <c r="Q1087" t="s">
        <v>24</v>
      </c>
      <c r="R1087" t="s">
        <v>5216</v>
      </c>
      <c r="S1087" t="s">
        <v>5217</v>
      </c>
      <c r="T1087" s="6">
        <v>46307</v>
      </c>
      <c r="U1087">
        <v>12</v>
      </c>
      <c r="V1087">
        <v>12</v>
      </c>
      <c r="W1087">
        <v>12</v>
      </c>
      <c r="X1087">
        <v>12</v>
      </c>
      <c r="Y1087">
        <f t="shared" si="174"/>
        <v>0</v>
      </c>
      <c r="AC1087">
        <v>12</v>
      </c>
      <c r="AF1087">
        <v>12</v>
      </c>
      <c r="AG1087" s="41">
        <v>12</v>
      </c>
      <c r="AH1087">
        <f t="shared" si="175"/>
        <v>12</v>
      </c>
      <c r="AI1087">
        <f t="shared" si="178"/>
        <v>0</v>
      </c>
      <c r="AK1087">
        <f t="shared" si="176"/>
        <v>1</v>
      </c>
      <c r="AL1087">
        <v>10.16</v>
      </c>
      <c r="AM1087" t="s">
        <v>27</v>
      </c>
      <c r="AN1087">
        <v>10.16</v>
      </c>
      <c r="AO1087" t="b">
        <f t="shared" si="177"/>
        <v>1</v>
      </c>
      <c r="AR1087" t="s">
        <v>5061</v>
      </c>
      <c r="AS1087" s="21">
        <v>46284</v>
      </c>
      <c r="AT1087" t="s">
        <v>5062</v>
      </c>
      <c r="AU1087" t="s">
        <v>5068</v>
      </c>
      <c r="AV1087" t="s">
        <v>5062</v>
      </c>
      <c r="AW1087" t="s">
        <v>5311</v>
      </c>
    </row>
    <row r="1088" spans="1:49" x14ac:dyDescent="0.35">
      <c r="A1088" t="s">
        <v>5105</v>
      </c>
      <c r="B1088" t="s">
        <v>872</v>
      </c>
      <c r="C1088" t="s">
        <v>4818</v>
      </c>
      <c r="D1088" t="s">
        <v>18</v>
      </c>
      <c r="E1088" t="s">
        <v>1919</v>
      </c>
      <c r="F1088" t="s">
        <v>1920</v>
      </c>
      <c r="G1088" t="s">
        <v>21</v>
      </c>
      <c r="H1088" t="s">
        <v>4826</v>
      </c>
      <c r="I1088" t="s">
        <v>4935</v>
      </c>
      <c r="J1088" t="s">
        <v>4936</v>
      </c>
      <c r="K1088" t="s">
        <v>4937</v>
      </c>
      <c r="L1088" t="s">
        <v>4951</v>
      </c>
      <c r="M1088" t="s">
        <v>5035</v>
      </c>
      <c r="N1088" t="s">
        <v>15</v>
      </c>
      <c r="O1088" t="s">
        <v>1921</v>
      </c>
      <c r="P1088" t="s">
        <v>23</v>
      </c>
      <c r="Q1088" t="s">
        <v>24</v>
      </c>
      <c r="R1088" t="s">
        <v>5216</v>
      </c>
      <c r="S1088" t="s">
        <v>5217</v>
      </c>
      <c r="T1088" s="6">
        <v>46307</v>
      </c>
      <c r="U1088">
        <v>12</v>
      </c>
      <c r="V1088">
        <v>12</v>
      </c>
      <c r="W1088">
        <v>12</v>
      </c>
      <c r="X1088">
        <v>12</v>
      </c>
      <c r="Y1088">
        <f t="shared" si="174"/>
        <v>0</v>
      </c>
      <c r="AC1088">
        <v>12</v>
      </c>
      <c r="AF1088">
        <v>12</v>
      </c>
      <c r="AG1088" s="41">
        <v>12</v>
      </c>
      <c r="AH1088">
        <f t="shared" si="175"/>
        <v>12</v>
      </c>
      <c r="AI1088">
        <f t="shared" si="178"/>
        <v>0</v>
      </c>
      <c r="AK1088">
        <f t="shared" si="176"/>
        <v>1</v>
      </c>
      <c r="AL1088">
        <v>11.16</v>
      </c>
      <c r="AM1088" t="s">
        <v>27</v>
      </c>
      <c r="AN1088">
        <v>11.16</v>
      </c>
      <c r="AO1088" t="b">
        <f t="shared" si="177"/>
        <v>1</v>
      </c>
      <c r="AR1088" t="s">
        <v>5061</v>
      </c>
      <c r="AS1088" s="21">
        <v>46284</v>
      </c>
      <c r="AT1088" t="s">
        <v>5062</v>
      </c>
      <c r="AU1088" t="s">
        <v>5071</v>
      </c>
      <c r="AV1088" t="s">
        <v>5062</v>
      </c>
      <c r="AW1088" t="s">
        <v>5311</v>
      </c>
    </row>
    <row r="1089" spans="1:49" x14ac:dyDescent="0.35">
      <c r="A1089" t="s">
        <v>5105</v>
      </c>
      <c r="B1089" t="s">
        <v>872</v>
      </c>
      <c r="C1089" t="s">
        <v>4818</v>
      </c>
      <c r="D1089" t="s">
        <v>18</v>
      </c>
      <c r="E1089" t="s">
        <v>1997</v>
      </c>
      <c r="F1089" t="s">
        <v>1998</v>
      </c>
      <c r="G1089" t="s">
        <v>21</v>
      </c>
      <c r="H1089" t="s">
        <v>4826</v>
      </c>
      <c r="I1089" t="s">
        <v>4935</v>
      </c>
      <c r="J1089" t="s">
        <v>4936</v>
      </c>
      <c r="K1089" t="s">
        <v>4837</v>
      </c>
      <c r="L1089" t="s">
        <v>4968</v>
      </c>
      <c r="M1089" t="s">
        <v>5035</v>
      </c>
      <c r="N1089" t="s">
        <v>15</v>
      </c>
      <c r="O1089" t="s">
        <v>1999</v>
      </c>
      <c r="P1089" t="s">
        <v>23</v>
      </c>
      <c r="Q1089" t="s">
        <v>24</v>
      </c>
      <c r="R1089" t="s">
        <v>5216</v>
      </c>
      <c r="S1089" t="s">
        <v>5217</v>
      </c>
      <c r="T1089" s="6">
        <v>46307</v>
      </c>
      <c r="U1089">
        <v>12</v>
      </c>
      <c r="V1089">
        <v>12</v>
      </c>
      <c r="W1089">
        <v>12</v>
      </c>
      <c r="X1089">
        <v>12</v>
      </c>
      <c r="Y1089">
        <f t="shared" si="174"/>
        <v>0</v>
      </c>
      <c r="AC1089">
        <v>12</v>
      </c>
      <c r="AF1089">
        <v>12</v>
      </c>
      <c r="AG1089" s="41">
        <v>12</v>
      </c>
      <c r="AH1089">
        <f t="shared" si="175"/>
        <v>12</v>
      </c>
      <c r="AI1089">
        <f t="shared" si="178"/>
        <v>0</v>
      </c>
      <c r="AK1089">
        <f t="shared" si="176"/>
        <v>1</v>
      </c>
      <c r="AL1089">
        <v>11.16</v>
      </c>
      <c r="AM1089" t="s">
        <v>27</v>
      </c>
      <c r="AN1089">
        <v>11.16</v>
      </c>
      <c r="AO1089" t="b">
        <f t="shared" si="177"/>
        <v>1</v>
      </c>
      <c r="AR1089" t="s">
        <v>5061</v>
      </c>
      <c r="AS1089" s="21">
        <v>46284</v>
      </c>
      <c r="AT1089" t="s">
        <v>5062</v>
      </c>
      <c r="AU1089" t="s">
        <v>5071</v>
      </c>
      <c r="AV1089" t="s">
        <v>5062</v>
      </c>
      <c r="AW1089" t="s">
        <v>5311</v>
      </c>
    </row>
    <row r="1090" spans="1:49" x14ac:dyDescent="0.35">
      <c r="A1090" t="s">
        <v>5105</v>
      </c>
      <c r="B1090" t="s">
        <v>872</v>
      </c>
      <c r="C1090" t="s">
        <v>4818</v>
      </c>
      <c r="D1090" t="s">
        <v>18</v>
      </c>
      <c r="E1090" t="s">
        <v>2090</v>
      </c>
      <c r="F1090" t="s">
        <v>2091</v>
      </c>
      <c r="G1090" t="s">
        <v>21</v>
      </c>
      <c r="H1090" t="s">
        <v>4826</v>
      </c>
      <c r="I1090" t="s">
        <v>4935</v>
      </c>
      <c r="J1090" t="s">
        <v>4936</v>
      </c>
      <c r="K1090" t="s">
        <v>4937</v>
      </c>
      <c r="L1090" t="s">
        <v>4944</v>
      </c>
      <c r="M1090" t="s">
        <v>5035</v>
      </c>
      <c r="N1090" t="s">
        <v>15</v>
      </c>
      <c r="O1090" t="s">
        <v>2092</v>
      </c>
      <c r="P1090" t="s">
        <v>23</v>
      </c>
      <c r="Q1090" t="s">
        <v>24</v>
      </c>
      <c r="R1090" t="s">
        <v>5216</v>
      </c>
      <c r="S1090" t="s">
        <v>5217</v>
      </c>
      <c r="T1090" s="6">
        <v>46307</v>
      </c>
      <c r="U1090">
        <v>12</v>
      </c>
      <c r="V1090">
        <v>12</v>
      </c>
      <c r="W1090">
        <v>12</v>
      </c>
      <c r="X1090">
        <v>12</v>
      </c>
      <c r="Y1090">
        <f t="shared" si="174"/>
        <v>0</v>
      </c>
      <c r="AC1090">
        <v>12</v>
      </c>
      <c r="AF1090">
        <v>12</v>
      </c>
      <c r="AG1090" s="41">
        <v>12</v>
      </c>
      <c r="AH1090">
        <f t="shared" si="175"/>
        <v>12</v>
      </c>
      <c r="AI1090">
        <f t="shared" si="178"/>
        <v>0</v>
      </c>
      <c r="AK1090">
        <f t="shared" si="176"/>
        <v>1</v>
      </c>
      <c r="AL1090">
        <v>11.16</v>
      </c>
      <c r="AM1090" t="s">
        <v>27</v>
      </c>
      <c r="AN1090">
        <v>11.16</v>
      </c>
      <c r="AO1090" t="b">
        <f t="shared" si="177"/>
        <v>1</v>
      </c>
      <c r="AR1090" t="s">
        <v>5061</v>
      </c>
      <c r="AS1090" s="21">
        <v>46284</v>
      </c>
      <c r="AT1090" t="s">
        <v>5062</v>
      </c>
      <c r="AU1090" t="s">
        <v>5071</v>
      </c>
      <c r="AV1090" t="s">
        <v>5062</v>
      </c>
      <c r="AW1090" t="s">
        <v>5311</v>
      </c>
    </row>
    <row r="1091" spans="1:49" x14ac:dyDescent="0.35">
      <c r="A1091" t="s">
        <v>5105</v>
      </c>
      <c r="B1091" t="s">
        <v>872</v>
      </c>
      <c r="C1091" t="s">
        <v>4818</v>
      </c>
      <c r="D1091" t="s">
        <v>18</v>
      </c>
      <c r="E1091" t="s">
        <v>2117</v>
      </c>
      <c r="F1091" t="s">
        <v>2118</v>
      </c>
      <c r="G1091" t="s">
        <v>21</v>
      </c>
      <c r="H1091" t="s">
        <v>4826</v>
      </c>
      <c r="I1091" t="s">
        <v>4935</v>
      </c>
      <c r="J1091" t="s">
        <v>4936</v>
      </c>
      <c r="K1091" t="s">
        <v>4837</v>
      </c>
      <c r="L1091" t="s">
        <v>4972</v>
      </c>
      <c r="M1091" t="s">
        <v>5035</v>
      </c>
      <c r="N1091" t="s">
        <v>15</v>
      </c>
      <c r="O1091" t="s">
        <v>2119</v>
      </c>
      <c r="P1091" t="s">
        <v>23</v>
      </c>
      <c r="Q1091" t="s">
        <v>24</v>
      </c>
      <c r="R1091" t="s">
        <v>5216</v>
      </c>
      <c r="S1091" t="s">
        <v>5217</v>
      </c>
      <c r="T1091" s="6">
        <v>46307</v>
      </c>
      <c r="U1091">
        <v>12</v>
      </c>
      <c r="V1091">
        <v>12</v>
      </c>
      <c r="W1091">
        <v>12</v>
      </c>
      <c r="X1091">
        <v>12</v>
      </c>
      <c r="Y1091">
        <f t="shared" ref="Y1091:Y1129" si="179">W1091-X1091</f>
        <v>0</v>
      </c>
      <c r="AC1091">
        <v>12</v>
      </c>
      <c r="AF1091">
        <v>12</v>
      </c>
      <c r="AG1091" s="41">
        <v>12</v>
      </c>
      <c r="AH1091">
        <f t="shared" ref="AH1091:AH1129" si="180">ROUNDUP(AF1091/AG1091,0)*AG1091</f>
        <v>12</v>
      </c>
      <c r="AI1091">
        <f t="shared" si="178"/>
        <v>0</v>
      </c>
      <c r="AK1091">
        <f t="shared" ref="AK1091:AK1129" si="181">AH1091/AG1091</f>
        <v>1</v>
      </c>
      <c r="AL1091">
        <v>11.16</v>
      </c>
      <c r="AM1091" t="s">
        <v>27</v>
      </c>
      <c r="AN1091">
        <v>11.16</v>
      </c>
      <c r="AO1091" t="b">
        <f t="shared" ref="AO1091:AO1129" si="182">AL1091=AN1091</f>
        <v>1</v>
      </c>
      <c r="AR1091" t="s">
        <v>5061</v>
      </c>
      <c r="AS1091" s="21">
        <v>46284</v>
      </c>
      <c r="AT1091" t="s">
        <v>5062</v>
      </c>
      <c r="AU1091" t="s">
        <v>5071</v>
      </c>
      <c r="AV1091" t="s">
        <v>5062</v>
      </c>
      <c r="AW1091" t="s">
        <v>5311</v>
      </c>
    </row>
    <row r="1092" spans="1:49" x14ac:dyDescent="0.35">
      <c r="A1092" t="s">
        <v>5105</v>
      </c>
      <c r="B1092" t="s">
        <v>872</v>
      </c>
      <c r="C1092" t="s">
        <v>4818</v>
      </c>
      <c r="D1092" t="s">
        <v>18</v>
      </c>
      <c r="E1092" t="s">
        <v>5172</v>
      </c>
      <c r="F1092" t="s">
        <v>5173</v>
      </c>
      <c r="G1092" t="s">
        <v>21</v>
      </c>
      <c r="H1092" t="s">
        <v>4826</v>
      </c>
      <c r="I1092" t="s">
        <v>4976</v>
      </c>
      <c r="J1092" t="s">
        <v>4977</v>
      </c>
      <c r="K1092" t="s">
        <v>4837</v>
      </c>
      <c r="L1092" t="s">
        <v>4948</v>
      </c>
      <c r="M1092" t="s">
        <v>5035</v>
      </c>
      <c r="N1092" t="s">
        <v>15</v>
      </c>
      <c r="O1092" t="s">
        <v>5289</v>
      </c>
      <c r="P1092" t="s">
        <v>23</v>
      </c>
      <c r="Q1092" t="s">
        <v>24</v>
      </c>
      <c r="R1092" t="s">
        <v>5216</v>
      </c>
      <c r="S1092" t="s">
        <v>5217</v>
      </c>
      <c r="T1092" s="6">
        <v>46307</v>
      </c>
      <c r="U1092">
        <v>132</v>
      </c>
      <c r="V1092">
        <v>132</v>
      </c>
      <c r="W1092">
        <v>144</v>
      </c>
      <c r="X1092">
        <v>144</v>
      </c>
      <c r="Y1092">
        <f t="shared" si="179"/>
        <v>0</v>
      </c>
      <c r="AC1092">
        <v>132</v>
      </c>
      <c r="AF1092">
        <v>132</v>
      </c>
      <c r="AG1092" s="41">
        <v>12</v>
      </c>
      <c r="AH1092">
        <f t="shared" si="180"/>
        <v>132</v>
      </c>
      <c r="AI1092">
        <f t="shared" si="178"/>
        <v>0</v>
      </c>
      <c r="AK1092">
        <f t="shared" si="181"/>
        <v>11</v>
      </c>
      <c r="AL1092">
        <v>13.85</v>
      </c>
      <c r="AM1092" t="s">
        <v>27</v>
      </c>
      <c r="AN1092">
        <v>13.85</v>
      </c>
      <c r="AO1092" t="b">
        <f t="shared" si="182"/>
        <v>1</v>
      </c>
      <c r="AR1092" t="s">
        <v>5061</v>
      </c>
      <c r="AS1092" s="21">
        <v>46284</v>
      </c>
      <c r="AT1092" t="s">
        <v>5062</v>
      </c>
      <c r="AU1092" t="s">
        <v>5072</v>
      </c>
      <c r="AV1092" t="s">
        <v>5062</v>
      </c>
      <c r="AW1092" t="s">
        <v>5311</v>
      </c>
    </row>
    <row r="1093" spans="1:49" x14ac:dyDescent="0.35">
      <c r="A1093" t="s">
        <v>5105</v>
      </c>
      <c r="B1093" t="s">
        <v>872</v>
      </c>
      <c r="C1093" t="s">
        <v>4818</v>
      </c>
      <c r="D1093" t="s">
        <v>18</v>
      </c>
      <c r="E1093" t="s">
        <v>2285</v>
      </c>
      <c r="F1093" t="s">
        <v>2286</v>
      </c>
      <c r="G1093" t="s">
        <v>21</v>
      </c>
      <c r="H1093" t="s">
        <v>4826</v>
      </c>
      <c r="I1093" t="s">
        <v>4976</v>
      </c>
      <c r="J1093" t="s">
        <v>4977</v>
      </c>
      <c r="K1093" t="s">
        <v>4832</v>
      </c>
      <c r="L1093" t="s">
        <v>4966</v>
      </c>
      <c r="M1093" t="s">
        <v>5035</v>
      </c>
      <c r="N1093" t="s">
        <v>15</v>
      </c>
      <c r="O1093" t="s">
        <v>2287</v>
      </c>
      <c r="P1093" t="s">
        <v>23</v>
      </c>
      <c r="Q1093" t="s">
        <v>24</v>
      </c>
      <c r="R1093" t="s">
        <v>5216</v>
      </c>
      <c r="S1093" t="s">
        <v>5217</v>
      </c>
      <c r="T1093" s="6">
        <v>46307</v>
      </c>
      <c r="U1093">
        <v>12</v>
      </c>
      <c r="V1093">
        <v>12</v>
      </c>
      <c r="W1093">
        <v>12</v>
      </c>
      <c r="X1093">
        <v>12</v>
      </c>
      <c r="Y1093">
        <f t="shared" si="179"/>
        <v>0</v>
      </c>
      <c r="AC1093">
        <v>12</v>
      </c>
      <c r="AF1093">
        <v>12</v>
      </c>
      <c r="AG1093" s="41">
        <v>12</v>
      </c>
      <c r="AH1093">
        <f t="shared" si="180"/>
        <v>12</v>
      </c>
      <c r="AI1093">
        <f t="shared" si="178"/>
        <v>0</v>
      </c>
      <c r="AK1093">
        <f t="shared" si="181"/>
        <v>1</v>
      </c>
      <c r="AL1093">
        <v>13.85</v>
      </c>
      <c r="AM1093" t="s">
        <v>27</v>
      </c>
      <c r="AN1093">
        <v>13.85</v>
      </c>
      <c r="AO1093" t="b">
        <f t="shared" si="182"/>
        <v>1</v>
      </c>
      <c r="AR1093" t="s">
        <v>5061</v>
      </c>
      <c r="AS1093" s="21">
        <v>46284</v>
      </c>
      <c r="AT1093" t="s">
        <v>5062</v>
      </c>
      <c r="AU1093" t="s">
        <v>5072</v>
      </c>
      <c r="AV1093" t="s">
        <v>5062</v>
      </c>
      <c r="AW1093" t="s">
        <v>5311</v>
      </c>
    </row>
    <row r="1094" spans="1:49" x14ac:dyDescent="0.35">
      <c r="A1094" t="s">
        <v>5105</v>
      </c>
      <c r="B1094" t="s">
        <v>872</v>
      </c>
      <c r="C1094" t="s">
        <v>4818</v>
      </c>
      <c r="D1094" t="s">
        <v>18</v>
      </c>
      <c r="E1094" t="s">
        <v>5174</v>
      </c>
      <c r="F1094" t="s">
        <v>5175</v>
      </c>
      <c r="G1094" t="s">
        <v>21</v>
      </c>
      <c r="H1094" t="s">
        <v>4826</v>
      </c>
      <c r="I1094" t="s">
        <v>4976</v>
      </c>
      <c r="J1094" t="s">
        <v>4977</v>
      </c>
      <c r="K1094" t="s">
        <v>4837</v>
      </c>
      <c r="L1094" t="s">
        <v>4970</v>
      </c>
      <c r="M1094" t="s">
        <v>5035</v>
      </c>
      <c r="N1094" t="s">
        <v>15</v>
      </c>
      <c r="O1094" t="s">
        <v>5290</v>
      </c>
      <c r="P1094" t="s">
        <v>23</v>
      </c>
      <c r="Q1094" t="s">
        <v>24</v>
      </c>
      <c r="R1094" t="s">
        <v>5216</v>
      </c>
      <c r="S1094" t="s">
        <v>5217</v>
      </c>
      <c r="T1094" s="6">
        <v>46307</v>
      </c>
      <c r="U1094">
        <v>96</v>
      </c>
      <c r="V1094">
        <v>96</v>
      </c>
      <c r="W1094">
        <v>108</v>
      </c>
      <c r="X1094">
        <v>108</v>
      </c>
      <c r="Y1094">
        <f t="shared" si="179"/>
        <v>0</v>
      </c>
      <c r="AC1094">
        <v>96</v>
      </c>
      <c r="AF1094">
        <v>96</v>
      </c>
      <c r="AG1094" s="41">
        <v>12</v>
      </c>
      <c r="AH1094">
        <f t="shared" si="180"/>
        <v>96</v>
      </c>
      <c r="AI1094">
        <f t="shared" si="178"/>
        <v>0</v>
      </c>
      <c r="AK1094">
        <f t="shared" si="181"/>
        <v>8</v>
      </c>
      <c r="AL1094">
        <v>13.85</v>
      </c>
      <c r="AM1094" t="s">
        <v>27</v>
      </c>
      <c r="AN1094">
        <v>13.85</v>
      </c>
      <c r="AO1094" t="b">
        <f t="shared" si="182"/>
        <v>1</v>
      </c>
      <c r="AR1094" t="s">
        <v>5061</v>
      </c>
      <c r="AS1094" s="21">
        <v>46284</v>
      </c>
      <c r="AT1094" t="s">
        <v>5062</v>
      </c>
      <c r="AU1094" t="s">
        <v>5072</v>
      </c>
      <c r="AV1094" t="s">
        <v>5062</v>
      </c>
      <c r="AW1094" t="s">
        <v>5311</v>
      </c>
    </row>
    <row r="1095" spans="1:49" x14ac:dyDescent="0.35">
      <c r="A1095" t="s">
        <v>5105</v>
      </c>
      <c r="B1095" t="s">
        <v>872</v>
      </c>
      <c r="C1095" t="s">
        <v>4818</v>
      </c>
      <c r="D1095" t="s">
        <v>18</v>
      </c>
      <c r="E1095" t="s">
        <v>2312</v>
      </c>
      <c r="F1095" t="s">
        <v>2313</v>
      </c>
      <c r="G1095" t="s">
        <v>21</v>
      </c>
      <c r="H1095" t="s">
        <v>4826</v>
      </c>
      <c r="I1095" t="s">
        <v>4976</v>
      </c>
      <c r="J1095" t="s">
        <v>4977</v>
      </c>
      <c r="K1095" t="s">
        <v>4832</v>
      </c>
      <c r="L1095" t="s">
        <v>4938</v>
      </c>
      <c r="M1095" t="s">
        <v>5035</v>
      </c>
      <c r="N1095" t="s">
        <v>15</v>
      </c>
      <c r="O1095" t="s">
        <v>2314</v>
      </c>
      <c r="P1095" t="s">
        <v>23</v>
      </c>
      <c r="Q1095" t="s">
        <v>24</v>
      </c>
      <c r="R1095" t="s">
        <v>5216</v>
      </c>
      <c r="S1095" t="s">
        <v>5217</v>
      </c>
      <c r="T1095" s="6">
        <v>46307</v>
      </c>
      <c r="U1095">
        <v>12</v>
      </c>
      <c r="V1095">
        <v>12</v>
      </c>
      <c r="W1095">
        <v>12</v>
      </c>
      <c r="X1095">
        <v>12</v>
      </c>
      <c r="Y1095">
        <f t="shared" si="179"/>
        <v>0</v>
      </c>
      <c r="AC1095">
        <v>12</v>
      </c>
      <c r="AF1095">
        <v>12</v>
      </c>
      <c r="AG1095" s="41">
        <v>12</v>
      </c>
      <c r="AH1095">
        <f t="shared" si="180"/>
        <v>12</v>
      </c>
      <c r="AI1095">
        <f t="shared" si="178"/>
        <v>0</v>
      </c>
      <c r="AK1095">
        <f t="shared" si="181"/>
        <v>1</v>
      </c>
      <c r="AL1095">
        <v>13.85</v>
      </c>
      <c r="AM1095" t="s">
        <v>27</v>
      </c>
      <c r="AN1095">
        <v>13.85</v>
      </c>
      <c r="AO1095" t="b">
        <f t="shared" si="182"/>
        <v>1</v>
      </c>
      <c r="AR1095" t="s">
        <v>5061</v>
      </c>
      <c r="AS1095" s="21">
        <v>46284</v>
      </c>
      <c r="AT1095" t="s">
        <v>5062</v>
      </c>
      <c r="AU1095" t="s">
        <v>5072</v>
      </c>
      <c r="AV1095" t="s">
        <v>5062</v>
      </c>
      <c r="AW1095" t="s">
        <v>5311</v>
      </c>
    </row>
    <row r="1096" spans="1:49" x14ac:dyDescent="0.35">
      <c r="A1096" t="s">
        <v>5105</v>
      </c>
      <c r="B1096" t="s">
        <v>872</v>
      </c>
      <c r="C1096" t="s">
        <v>4818</v>
      </c>
      <c r="D1096" t="s">
        <v>18</v>
      </c>
      <c r="E1096" t="s">
        <v>5176</v>
      </c>
      <c r="F1096" t="s">
        <v>5177</v>
      </c>
      <c r="G1096" t="s">
        <v>21</v>
      </c>
      <c r="H1096" t="s">
        <v>4826</v>
      </c>
      <c r="I1096" t="s">
        <v>4976</v>
      </c>
      <c r="J1096" t="s">
        <v>4977</v>
      </c>
      <c r="K1096" t="s">
        <v>4831</v>
      </c>
      <c r="L1096" t="s">
        <v>4948</v>
      </c>
      <c r="M1096" t="s">
        <v>5035</v>
      </c>
      <c r="N1096" t="s">
        <v>15</v>
      </c>
      <c r="O1096" t="s">
        <v>5291</v>
      </c>
      <c r="P1096" t="s">
        <v>23</v>
      </c>
      <c r="Q1096" t="s">
        <v>24</v>
      </c>
      <c r="R1096" t="s">
        <v>5216</v>
      </c>
      <c r="S1096" t="s">
        <v>5217</v>
      </c>
      <c r="T1096" s="6">
        <v>46307</v>
      </c>
      <c r="U1096">
        <v>60</v>
      </c>
      <c r="V1096">
        <v>60</v>
      </c>
      <c r="W1096">
        <v>60</v>
      </c>
      <c r="X1096">
        <v>60</v>
      </c>
      <c r="Y1096">
        <f t="shared" si="179"/>
        <v>0</v>
      </c>
      <c r="AC1096">
        <v>60</v>
      </c>
      <c r="AF1096">
        <v>60</v>
      </c>
      <c r="AG1096" s="41">
        <v>12</v>
      </c>
      <c r="AH1096">
        <f t="shared" si="180"/>
        <v>60</v>
      </c>
      <c r="AI1096">
        <f t="shared" si="178"/>
        <v>0</v>
      </c>
      <c r="AK1096">
        <f t="shared" si="181"/>
        <v>5</v>
      </c>
      <c r="AL1096">
        <v>13.85</v>
      </c>
      <c r="AM1096" t="s">
        <v>27</v>
      </c>
      <c r="AN1096">
        <v>13.85</v>
      </c>
      <c r="AO1096" t="b">
        <f t="shared" si="182"/>
        <v>1</v>
      </c>
      <c r="AR1096" t="s">
        <v>5061</v>
      </c>
      <c r="AS1096" s="21">
        <v>46284</v>
      </c>
      <c r="AT1096" t="s">
        <v>5062</v>
      </c>
      <c r="AU1096" t="s">
        <v>5072</v>
      </c>
      <c r="AV1096" t="s">
        <v>5062</v>
      </c>
      <c r="AW1096" t="s">
        <v>5311</v>
      </c>
    </row>
    <row r="1097" spans="1:49" x14ac:dyDescent="0.35">
      <c r="A1097" t="s">
        <v>5105</v>
      </c>
      <c r="B1097" t="s">
        <v>872</v>
      </c>
      <c r="C1097" t="s">
        <v>4818</v>
      </c>
      <c r="D1097" t="s">
        <v>18</v>
      </c>
      <c r="E1097" t="s">
        <v>2357</v>
      </c>
      <c r="F1097" t="s">
        <v>2358</v>
      </c>
      <c r="G1097" t="s">
        <v>21</v>
      </c>
      <c r="H1097" t="s">
        <v>4826</v>
      </c>
      <c r="I1097" t="s">
        <v>4976</v>
      </c>
      <c r="J1097" t="s">
        <v>4977</v>
      </c>
      <c r="K1097" t="s">
        <v>4837</v>
      </c>
      <c r="L1097" t="s">
        <v>4938</v>
      </c>
      <c r="M1097" t="s">
        <v>5035</v>
      </c>
      <c r="N1097" t="s">
        <v>15</v>
      </c>
      <c r="O1097" t="s">
        <v>2359</v>
      </c>
      <c r="P1097" t="s">
        <v>23</v>
      </c>
      <c r="Q1097" t="s">
        <v>24</v>
      </c>
      <c r="R1097" t="s">
        <v>5216</v>
      </c>
      <c r="S1097" t="s">
        <v>5217</v>
      </c>
      <c r="T1097" s="6">
        <v>46307</v>
      </c>
      <c r="U1097">
        <v>12</v>
      </c>
      <c r="V1097">
        <v>12</v>
      </c>
      <c r="W1097">
        <v>12</v>
      </c>
      <c r="X1097">
        <v>12</v>
      </c>
      <c r="Y1097">
        <f t="shared" si="179"/>
        <v>0</v>
      </c>
      <c r="AC1097">
        <v>12</v>
      </c>
      <c r="AF1097">
        <v>12</v>
      </c>
      <c r="AG1097" s="41">
        <v>12</v>
      </c>
      <c r="AH1097">
        <f t="shared" si="180"/>
        <v>12</v>
      </c>
      <c r="AI1097">
        <f t="shared" si="178"/>
        <v>0</v>
      </c>
      <c r="AK1097">
        <f t="shared" si="181"/>
        <v>1</v>
      </c>
      <c r="AL1097">
        <v>13.85</v>
      </c>
      <c r="AM1097" t="s">
        <v>27</v>
      </c>
      <c r="AN1097">
        <v>13.85</v>
      </c>
      <c r="AO1097" t="b">
        <f t="shared" si="182"/>
        <v>1</v>
      </c>
      <c r="AR1097" t="s">
        <v>5061</v>
      </c>
      <c r="AS1097" s="21">
        <v>46284</v>
      </c>
      <c r="AT1097" t="s">
        <v>5062</v>
      </c>
      <c r="AU1097" t="s">
        <v>5072</v>
      </c>
      <c r="AV1097" t="s">
        <v>5062</v>
      </c>
      <c r="AW1097" t="s">
        <v>5311</v>
      </c>
    </row>
    <row r="1098" spans="1:49" x14ac:dyDescent="0.35">
      <c r="A1098" t="s">
        <v>5105</v>
      </c>
      <c r="B1098" t="s">
        <v>872</v>
      </c>
      <c r="C1098" t="s">
        <v>4818</v>
      </c>
      <c r="D1098" t="s">
        <v>18</v>
      </c>
      <c r="E1098" t="s">
        <v>5178</v>
      </c>
      <c r="F1098" t="s">
        <v>5179</v>
      </c>
      <c r="G1098" t="s">
        <v>21</v>
      </c>
      <c r="H1098" t="s">
        <v>4826</v>
      </c>
      <c r="I1098" t="s">
        <v>4976</v>
      </c>
      <c r="J1098" t="s">
        <v>4977</v>
      </c>
      <c r="K1098" t="s">
        <v>4957</v>
      </c>
      <c r="L1098" t="s">
        <v>4949</v>
      </c>
      <c r="M1098" t="s">
        <v>5035</v>
      </c>
      <c r="N1098" t="s">
        <v>15</v>
      </c>
      <c r="O1098" t="s">
        <v>5292</v>
      </c>
      <c r="P1098" t="s">
        <v>23</v>
      </c>
      <c r="Q1098" t="s">
        <v>24</v>
      </c>
      <c r="R1098" t="s">
        <v>5216</v>
      </c>
      <c r="S1098" t="s">
        <v>5217</v>
      </c>
      <c r="T1098" s="6">
        <v>46307</v>
      </c>
      <c r="U1098">
        <v>24</v>
      </c>
      <c r="V1098">
        <v>24</v>
      </c>
      <c r="W1098">
        <v>24</v>
      </c>
      <c r="X1098">
        <v>24</v>
      </c>
      <c r="Y1098">
        <f t="shared" si="179"/>
        <v>0</v>
      </c>
      <c r="AC1098">
        <v>24</v>
      </c>
      <c r="AF1098">
        <v>24</v>
      </c>
      <c r="AG1098" s="41">
        <v>12</v>
      </c>
      <c r="AH1098">
        <f t="shared" si="180"/>
        <v>24</v>
      </c>
      <c r="AI1098">
        <f t="shared" si="178"/>
        <v>0</v>
      </c>
      <c r="AK1098">
        <f t="shared" si="181"/>
        <v>2</v>
      </c>
      <c r="AL1098">
        <v>13.85</v>
      </c>
      <c r="AM1098" t="s">
        <v>27</v>
      </c>
      <c r="AN1098">
        <v>13.85</v>
      </c>
      <c r="AO1098" t="b">
        <f t="shared" si="182"/>
        <v>1</v>
      </c>
      <c r="AR1098" t="s">
        <v>5061</v>
      </c>
      <c r="AS1098" s="21">
        <v>46284</v>
      </c>
      <c r="AT1098" t="s">
        <v>5062</v>
      </c>
      <c r="AU1098" t="s">
        <v>5072</v>
      </c>
      <c r="AV1098" t="s">
        <v>5062</v>
      </c>
      <c r="AW1098" t="s">
        <v>5311</v>
      </c>
    </row>
    <row r="1099" spans="1:49" x14ac:dyDescent="0.35">
      <c r="A1099" t="s">
        <v>5105</v>
      </c>
      <c r="B1099" t="s">
        <v>872</v>
      </c>
      <c r="C1099" t="s">
        <v>4818</v>
      </c>
      <c r="D1099" t="s">
        <v>18</v>
      </c>
      <c r="E1099" t="s">
        <v>5180</v>
      </c>
      <c r="F1099" t="s">
        <v>5181</v>
      </c>
      <c r="G1099" t="s">
        <v>21</v>
      </c>
      <c r="H1099" t="s">
        <v>4826</v>
      </c>
      <c r="I1099" t="s">
        <v>4976</v>
      </c>
      <c r="J1099" t="s">
        <v>4977</v>
      </c>
      <c r="K1099" t="s">
        <v>4978</v>
      </c>
      <c r="L1099" t="s">
        <v>4953</v>
      </c>
      <c r="M1099" t="s">
        <v>5035</v>
      </c>
      <c r="N1099" t="s">
        <v>15</v>
      </c>
      <c r="O1099" t="s">
        <v>5293</v>
      </c>
      <c r="P1099" t="s">
        <v>23</v>
      </c>
      <c r="Q1099" t="s">
        <v>24</v>
      </c>
      <c r="R1099" t="s">
        <v>5216</v>
      </c>
      <c r="S1099" t="s">
        <v>5217</v>
      </c>
      <c r="T1099" s="6">
        <v>46307</v>
      </c>
      <c r="U1099">
        <v>12</v>
      </c>
      <c r="V1099">
        <v>12</v>
      </c>
      <c r="W1099">
        <v>12</v>
      </c>
      <c r="X1099">
        <v>12</v>
      </c>
      <c r="Y1099">
        <f t="shared" si="179"/>
        <v>0</v>
      </c>
      <c r="AC1099">
        <v>12</v>
      </c>
      <c r="AF1099">
        <v>12</v>
      </c>
      <c r="AG1099" s="41">
        <v>12</v>
      </c>
      <c r="AH1099">
        <f t="shared" si="180"/>
        <v>12</v>
      </c>
      <c r="AI1099">
        <f t="shared" si="178"/>
        <v>0</v>
      </c>
      <c r="AK1099">
        <f t="shared" si="181"/>
        <v>1</v>
      </c>
      <c r="AL1099">
        <v>13.85</v>
      </c>
      <c r="AM1099" t="s">
        <v>27</v>
      </c>
      <c r="AN1099">
        <v>13.85</v>
      </c>
      <c r="AO1099" t="b">
        <f t="shared" si="182"/>
        <v>1</v>
      </c>
      <c r="AR1099" t="s">
        <v>5061</v>
      </c>
      <c r="AS1099" s="21">
        <v>46284</v>
      </c>
      <c r="AT1099" t="s">
        <v>5062</v>
      </c>
      <c r="AU1099" t="s">
        <v>5072</v>
      </c>
      <c r="AV1099" t="s">
        <v>5062</v>
      </c>
      <c r="AW1099" t="s">
        <v>5311</v>
      </c>
    </row>
    <row r="1100" spans="1:49" x14ac:dyDescent="0.35">
      <c r="A1100" t="s">
        <v>5105</v>
      </c>
      <c r="B1100" t="s">
        <v>872</v>
      </c>
      <c r="C1100" t="s">
        <v>4818</v>
      </c>
      <c r="D1100" t="s">
        <v>18</v>
      </c>
      <c r="E1100" t="s">
        <v>2390</v>
      </c>
      <c r="F1100" t="s">
        <v>2391</v>
      </c>
      <c r="G1100" t="s">
        <v>21</v>
      </c>
      <c r="H1100" t="s">
        <v>4826</v>
      </c>
      <c r="I1100" t="s">
        <v>4976</v>
      </c>
      <c r="J1100" t="s">
        <v>4977</v>
      </c>
      <c r="K1100" t="s">
        <v>4832</v>
      </c>
      <c r="L1100" t="s">
        <v>4970</v>
      </c>
      <c r="M1100" t="s">
        <v>5035</v>
      </c>
      <c r="N1100" t="s">
        <v>15</v>
      </c>
      <c r="O1100" t="s">
        <v>2392</v>
      </c>
      <c r="P1100" t="s">
        <v>23</v>
      </c>
      <c r="Q1100" t="s">
        <v>24</v>
      </c>
      <c r="R1100" t="s">
        <v>5216</v>
      </c>
      <c r="S1100" t="s">
        <v>5217</v>
      </c>
      <c r="T1100" s="6">
        <v>46307</v>
      </c>
      <c r="U1100">
        <v>12</v>
      </c>
      <c r="V1100">
        <v>12</v>
      </c>
      <c r="W1100">
        <v>12</v>
      </c>
      <c r="X1100">
        <v>12</v>
      </c>
      <c r="Y1100">
        <f t="shared" si="179"/>
        <v>0</v>
      </c>
      <c r="AC1100">
        <v>12</v>
      </c>
      <c r="AF1100">
        <v>12</v>
      </c>
      <c r="AG1100" s="41">
        <v>12</v>
      </c>
      <c r="AH1100">
        <f t="shared" si="180"/>
        <v>12</v>
      </c>
      <c r="AI1100">
        <f t="shared" si="178"/>
        <v>0</v>
      </c>
      <c r="AK1100">
        <f t="shared" si="181"/>
        <v>1</v>
      </c>
      <c r="AL1100">
        <v>13.85</v>
      </c>
      <c r="AM1100" t="s">
        <v>27</v>
      </c>
      <c r="AN1100">
        <v>13.85</v>
      </c>
      <c r="AO1100" t="b">
        <f t="shared" si="182"/>
        <v>1</v>
      </c>
      <c r="AR1100" t="s">
        <v>5061</v>
      </c>
      <c r="AS1100" s="21">
        <v>46284</v>
      </c>
      <c r="AT1100" t="s">
        <v>5062</v>
      </c>
      <c r="AU1100" t="s">
        <v>5072</v>
      </c>
      <c r="AV1100" t="s">
        <v>5062</v>
      </c>
      <c r="AW1100" t="s">
        <v>5311</v>
      </c>
    </row>
    <row r="1101" spans="1:49" x14ac:dyDescent="0.35">
      <c r="A1101" t="s">
        <v>5105</v>
      </c>
      <c r="B1101" t="s">
        <v>872</v>
      </c>
      <c r="C1101" t="s">
        <v>4818</v>
      </c>
      <c r="D1101" t="s">
        <v>18</v>
      </c>
      <c r="E1101" t="s">
        <v>2408</v>
      </c>
      <c r="F1101" t="s">
        <v>2409</v>
      </c>
      <c r="G1101" t="s">
        <v>21</v>
      </c>
      <c r="H1101" t="s">
        <v>4826</v>
      </c>
      <c r="I1101" t="s">
        <v>4976</v>
      </c>
      <c r="J1101" t="s">
        <v>4977</v>
      </c>
      <c r="K1101" t="s">
        <v>4837</v>
      </c>
      <c r="L1101" t="s">
        <v>4960</v>
      </c>
      <c r="M1101" t="s">
        <v>5035</v>
      </c>
      <c r="N1101" t="s">
        <v>15</v>
      </c>
      <c r="O1101" t="s">
        <v>2410</v>
      </c>
      <c r="P1101" t="s">
        <v>23</v>
      </c>
      <c r="Q1101" t="s">
        <v>24</v>
      </c>
      <c r="R1101" t="s">
        <v>5216</v>
      </c>
      <c r="S1101" t="s">
        <v>5217</v>
      </c>
      <c r="T1101" s="6">
        <v>46307</v>
      </c>
      <c r="U1101">
        <v>12</v>
      </c>
      <c r="V1101">
        <v>12</v>
      </c>
      <c r="W1101">
        <v>12</v>
      </c>
      <c r="X1101">
        <v>12</v>
      </c>
      <c r="Y1101">
        <f t="shared" si="179"/>
        <v>0</v>
      </c>
      <c r="AC1101">
        <v>12</v>
      </c>
      <c r="AF1101">
        <v>12</v>
      </c>
      <c r="AG1101" s="41">
        <v>12</v>
      </c>
      <c r="AH1101">
        <f t="shared" si="180"/>
        <v>12</v>
      </c>
      <c r="AI1101">
        <f t="shared" si="178"/>
        <v>0</v>
      </c>
      <c r="AK1101">
        <f t="shared" si="181"/>
        <v>1</v>
      </c>
      <c r="AL1101">
        <v>13.85</v>
      </c>
      <c r="AM1101" t="s">
        <v>27</v>
      </c>
      <c r="AN1101">
        <v>13.85</v>
      </c>
      <c r="AO1101" t="b">
        <f t="shared" si="182"/>
        <v>1</v>
      </c>
      <c r="AR1101" t="s">
        <v>5061</v>
      </c>
      <c r="AS1101" s="21">
        <v>46284</v>
      </c>
      <c r="AT1101" t="s">
        <v>5062</v>
      </c>
      <c r="AU1101" t="s">
        <v>5072</v>
      </c>
      <c r="AV1101" t="s">
        <v>5062</v>
      </c>
      <c r="AW1101" t="s">
        <v>5311</v>
      </c>
    </row>
    <row r="1102" spans="1:49" x14ac:dyDescent="0.35">
      <c r="A1102" t="s">
        <v>5105</v>
      </c>
      <c r="B1102" t="s">
        <v>872</v>
      </c>
      <c r="C1102" t="s">
        <v>4818</v>
      </c>
      <c r="D1102" t="s">
        <v>18</v>
      </c>
      <c r="E1102" t="s">
        <v>2432</v>
      </c>
      <c r="F1102" t="s">
        <v>2433</v>
      </c>
      <c r="G1102" t="s">
        <v>21</v>
      </c>
      <c r="H1102" t="s">
        <v>4826</v>
      </c>
      <c r="I1102" t="s">
        <v>4976</v>
      </c>
      <c r="J1102" t="s">
        <v>4977</v>
      </c>
      <c r="K1102" t="s">
        <v>4978</v>
      </c>
      <c r="L1102" t="s">
        <v>4970</v>
      </c>
      <c r="M1102" t="s">
        <v>5035</v>
      </c>
      <c r="N1102" t="s">
        <v>15</v>
      </c>
      <c r="O1102" t="s">
        <v>2434</v>
      </c>
      <c r="P1102" t="s">
        <v>23</v>
      </c>
      <c r="Q1102" t="s">
        <v>24</v>
      </c>
      <c r="R1102" t="s">
        <v>5216</v>
      </c>
      <c r="S1102" t="s">
        <v>5217</v>
      </c>
      <c r="T1102" s="6">
        <v>46307</v>
      </c>
      <c r="U1102">
        <v>12</v>
      </c>
      <c r="V1102">
        <v>12</v>
      </c>
      <c r="W1102">
        <v>12</v>
      </c>
      <c r="X1102">
        <v>12</v>
      </c>
      <c r="Y1102">
        <f t="shared" si="179"/>
        <v>0</v>
      </c>
      <c r="AC1102">
        <v>12</v>
      </c>
      <c r="AF1102">
        <v>12</v>
      </c>
      <c r="AG1102" s="41">
        <v>12</v>
      </c>
      <c r="AH1102">
        <f t="shared" si="180"/>
        <v>12</v>
      </c>
      <c r="AI1102">
        <f t="shared" si="178"/>
        <v>0</v>
      </c>
      <c r="AK1102">
        <f t="shared" si="181"/>
        <v>1</v>
      </c>
      <c r="AL1102">
        <v>13.85</v>
      </c>
      <c r="AM1102" t="s">
        <v>27</v>
      </c>
      <c r="AN1102">
        <v>13.85</v>
      </c>
      <c r="AO1102" t="b">
        <f t="shared" si="182"/>
        <v>1</v>
      </c>
      <c r="AR1102" t="s">
        <v>5061</v>
      </c>
      <c r="AS1102" s="21">
        <v>46284</v>
      </c>
      <c r="AT1102" t="s">
        <v>5062</v>
      </c>
      <c r="AU1102" t="s">
        <v>5072</v>
      </c>
      <c r="AV1102" t="s">
        <v>5062</v>
      </c>
      <c r="AW1102" t="s">
        <v>5311</v>
      </c>
    </row>
    <row r="1103" spans="1:49" x14ac:dyDescent="0.35">
      <c r="A1103" t="s">
        <v>5105</v>
      </c>
      <c r="B1103" t="s">
        <v>872</v>
      </c>
      <c r="C1103" t="s">
        <v>4818</v>
      </c>
      <c r="D1103" t="s">
        <v>18</v>
      </c>
      <c r="E1103" t="s">
        <v>5182</v>
      </c>
      <c r="F1103" t="s">
        <v>5183</v>
      </c>
      <c r="G1103" t="s">
        <v>21</v>
      </c>
      <c r="H1103" t="s">
        <v>4826</v>
      </c>
      <c r="I1103" t="s">
        <v>4976</v>
      </c>
      <c r="J1103" t="s">
        <v>4977</v>
      </c>
      <c r="K1103" t="s">
        <v>4832</v>
      </c>
      <c r="L1103" t="s">
        <v>4960</v>
      </c>
      <c r="M1103" t="s">
        <v>5035</v>
      </c>
      <c r="N1103" t="s">
        <v>15</v>
      </c>
      <c r="O1103" t="s">
        <v>5294</v>
      </c>
      <c r="P1103" t="s">
        <v>23</v>
      </c>
      <c r="Q1103" t="s">
        <v>24</v>
      </c>
      <c r="R1103" t="s">
        <v>5216</v>
      </c>
      <c r="S1103" t="s">
        <v>5217</v>
      </c>
      <c r="T1103" s="6">
        <v>46307</v>
      </c>
      <c r="U1103">
        <v>48</v>
      </c>
      <c r="V1103">
        <v>48</v>
      </c>
      <c r="W1103">
        <v>48</v>
      </c>
      <c r="X1103">
        <v>48</v>
      </c>
      <c r="Y1103">
        <f t="shared" si="179"/>
        <v>0</v>
      </c>
      <c r="AC1103">
        <v>48</v>
      </c>
      <c r="AF1103">
        <v>48</v>
      </c>
      <c r="AG1103" s="41">
        <v>12</v>
      </c>
      <c r="AH1103">
        <f t="shared" si="180"/>
        <v>48</v>
      </c>
      <c r="AI1103">
        <f t="shared" si="178"/>
        <v>0</v>
      </c>
      <c r="AK1103">
        <f t="shared" si="181"/>
        <v>4</v>
      </c>
      <c r="AL1103">
        <v>13.85</v>
      </c>
      <c r="AM1103" t="s">
        <v>27</v>
      </c>
      <c r="AN1103">
        <v>13.85</v>
      </c>
      <c r="AO1103" t="b">
        <f t="shared" si="182"/>
        <v>1</v>
      </c>
      <c r="AR1103" t="s">
        <v>5061</v>
      </c>
      <c r="AS1103" s="21">
        <v>46284</v>
      </c>
      <c r="AT1103" t="s">
        <v>5062</v>
      </c>
      <c r="AU1103" t="s">
        <v>5072</v>
      </c>
      <c r="AV1103" t="s">
        <v>5062</v>
      </c>
      <c r="AW1103" t="s">
        <v>5311</v>
      </c>
    </row>
    <row r="1104" spans="1:49" x14ac:dyDescent="0.35">
      <c r="A1104" t="s">
        <v>5105</v>
      </c>
      <c r="B1104" t="s">
        <v>872</v>
      </c>
      <c r="C1104" t="s">
        <v>4818</v>
      </c>
      <c r="D1104" t="s">
        <v>18</v>
      </c>
      <c r="E1104" t="s">
        <v>5184</v>
      </c>
      <c r="F1104" t="s">
        <v>5185</v>
      </c>
      <c r="G1104" t="s">
        <v>21</v>
      </c>
      <c r="H1104" t="s">
        <v>4826</v>
      </c>
      <c r="I1104" t="s">
        <v>4976</v>
      </c>
      <c r="J1104" t="s">
        <v>4977</v>
      </c>
      <c r="K1104" t="s">
        <v>4831</v>
      </c>
      <c r="L1104" t="s">
        <v>4954</v>
      </c>
      <c r="M1104" t="s">
        <v>5035</v>
      </c>
      <c r="N1104" t="s">
        <v>15</v>
      </c>
      <c r="O1104" t="s">
        <v>5295</v>
      </c>
      <c r="P1104" t="s">
        <v>23</v>
      </c>
      <c r="Q1104" t="s">
        <v>24</v>
      </c>
      <c r="R1104" t="s">
        <v>5216</v>
      </c>
      <c r="S1104" t="s">
        <v>5217</v>
      </c>
      <c r="T1104" s="6">
        <v>46307</v>
      </c>
      <c r="U1104">
        <v>12</v>
      </c>
      <c r="V1104">
        <v>12</v>
      </c>
      <c r="W1104">
        <v>12</v>
      </c>
      <c r="X1104">
        <v>12</v>
      </c>
      <c r="Y1104">
        <f t="shared" si="179"/>
        <v>0</v>
      </c>
      <c r="AC1104">
        <v>12</v>
      </c>
      <c r="AF1104">
        <v>12</v>
      </c>
      <c r="AG1104" s="41">
        <v>12</v>
      </c>
      <c r="AH1104">
        <f t="shared" si="180"/>
        <v>12</v>
      </c>
      <c r="AI1104">
        <f t="shared" si="178"/>
        <v>0</v>
      </c>
      <c r="AK1104">
        <f t="shared" si="181"/>
        <v>1</v>
      </c>
      <c r="AL1104">
        <v>13.85</v>
      </c>
      <c r="AM1104" t="s">
        <v>27</v>
      </c>
      <c r="AN1104">
        <v>13.85</v>
      </c>
      <c r="AO1104" t="b">
        <f t="shared" si="182"/>
        <v>1</v>
      </c>
      <c r="AR1104" t="s">
        <v>5061</v>
      </c>
      <c r="AS1104" s="21">
        <v>46284</v>
      </c>
      <c r="AT1104" t="s">
        <v>5062</v>
      </c>
      <c r="AU1104" t="s">
        <v>5072</v>
      </c>
      <c r="AV1104" t="s">
        <v>5062</v>
      </c>
      <c r="AW1104" t="s">
        <v>5311</v>
      </c>
    </row>
    <row r="1105" spans="1:49" x14ac:dyDescent="0.35">
      <c r="A1105" t="s">
        <v>5105</v>
      </c>
      <c r="B1105" t="s">
        <v>872</v>
      </c>
      <c r="C1105" t="s">
        <v>4818</v>
      </c>
      <c r="D1105" t="s">
        <v>18</v>
      </c>
      <c r="E1105" t="s">
        <v>5186</v>
      </c>
      <c r="F1105" t="s">
        <v>5187</v>
      </c>
      <c r="G1105" t="s">
        <v>21</v>
      </c>
      <c r="H1105" t="s">
        <v>4826</v>
      </c>
      <c r="I1105" t="s">
        <v>4976</v>
      </c>
      <c r="J1105" t="s">
        <v>4977</v>
      </c>
      <c r="K1105" t="s">
        <v>4957</v>
      </c>
      <c r="L1105" t="s">
        <v>4971</v>
      </c>
      <c r="M1105" t="s">
        <v>5035</v>
      </c>
      <c r="N1105" t="s">
        <v>15</v>
      </c>
      <c r="O1105" t="s">
        <v>5296</v>
      </c>
      <c r="P1105" t="s">
        <v>23</v>
      </c>
      <c r="Q1105" t="s">
        <v>24</v>
      </c>
      <c r="R1105" t="s">
        <v>5216</v>
      </c>
      <c r="S1105" t="s">
        <v>5217</v>
      </c>
      <c r="T1105" s="6">
        <v>46307</v>
      </c>
      <c r="U1105">
        <v>12</v>
      </c>
      <c r="V1105">
        <v>12</v>
      </c>
      <c r="W1105">
        <v>12</v>
      </c>
      <c r="X1105">
        <v>12</v>
      </c>
      <c r="Y1105">
        <f t="shared" si="179"/>
        <v>0</v>
      </c>
      <c r="AC1105">
        <v>12</v>
      </c>
      <c r="AF1105">
        <v>12</v>
      </c>
      <c r="AG1105" s="41">
        <v>12</v>
      </c>
      <c r="AH1105">
        <f t="shared" si="180"/>
        <v>12</v>
      </c>
      <c r="AI1105">
        <f t="shared" si="178"/>
        <v>0</v>
      </c>
      <c r="AK1105">
        <f t="shared" si="181"/>
        <v>1</v>
      </c>
      <c r="AL1105">
        <v>13.85</v>
      </c>
      <c r="AM1105" t="s">
        <v>27</v>
      </c>
      <c r="AN1105">
        <v>13.85</v>
      </c>
      <c r="AO1105" t="b">
        <f t="shared" si="182"/>
        <v>1</v>
      </c>
      <c r="AR1105" t="s">
        <v>5061</v>
      </c>
      <c r="AS1105" s="21">
        <v>46284</v>
      </c>
      <c r="AT1105" t="s">
        <v>5062</v>
      </c>
      <c r="AU1105" t="s">
        <v>5072</v>
      </c>
      <c r="AV1105" t="s">
        <v>5062</v>
      </c>
      <c r="AW1105" t="s">
        <v>5311</v>
      </c>
    </row>
    <row r="1106" spans="1:49" x14ac:dyDescent="0.35">
      <c r="A1106" t="s">
        <v>5105</v>
      </c>
      <c r="B1106" t="s">
        <v>872</v>
      </c>
      <c r="C1106" t="s">
        <v>4818</v>
      </c>
      <c r="D1106" t="s">
        <v>18</v>
      </c>
      <c r="E1106" t="s">
        <v>5188</v>
      </c>
      <c r="F1106" t="s">
        <v>5189</v>
      </c>
      <c r="G1106" t="s">
        <v>21</v>
      </c>
      <c r="H1106" t="s">
        <v>4826</v>
      </c>
      <c r="I1106" t="s">
        <v>4976</v>
      </c>
      <c r="J1106" t="s">
        <v>4977</v>
      </c>
      <c r="K1106" t="s">
        <v>4978</v>
      </c>
      <c r="L1106" t="s">
        <v>4942</v>
      </c>
      <c r="M1106" t="s">
        <v>5035</v>
      </c>
      <c r="N1106" t="s">
        <v>15</v>
      </c>
      <c r="O1106" t="s">
        <v>5297</v>
      </c>
      <c r="P1106" t="s">
        <v>23</v>
      </c>
      <c r="Q1106" t="s">
        <v>24</v>
      </c>
      <c r="R1106" t="s">
        <v>5216</v>
      </c>
      <c r="S1106" t="s">
        <v>5217</v>
      </c>
      <c r="T1106" s="6">
        <v>46307</v>
      </c>
      <c r="U1106">
        <v>24</v>
      </c>
      <c r="V1106">
        <v>24</v>
      </c>
      <c r="W1106">
        <v>24</v>
      </c>
      <c r="X1106">
        <v>24</v>
      </c>
      <c r="Y1106">
        <f t="shared" si="179"/>
        <v>0</v>
      </c>
      <c r="AC1106">
        <v>24</v>
      </c>
      <c r="AF1106">
        <v>24</v>
      </c>
      <c r="AG1106" s="41">
        <v>12</v>
      </c>
      <c r="AH1106">
        <f t="shared" si="180"/>
        <v>24</v>
      </c>
      <c r="AI1106">
        <f t="shared" si="178"/>
        <v>0</v>
      </c>
      <c r="AK1106">
        <f t="shared" si="181"/>
        <v>2</v>
      </c>
      <c r="AL1106">
        <v>13.85</v>
      </c>
      <c r="AM1106" t="s">
        <v>27</v>
      </c>
      <c r="AN1106">
        <v>13.85</v>
      </c>
      <c r="AO1106" t="b">
        <f t="shared" si="182"/>
        <v>1</v>
      </c>
      <c r="AR1106" t="s">
        <v>5061</v>
      </c>
      <c r="AS1106" s="21">
        <v>46284</v>
      </c>
      <c r="AT1106" t="s">
        <v>5062</v>
      </c>
      <c r="AU1106" t="s">
        <v>5072</v>
      </c>
      <c r="AV1106" t="s">
        <v>5062</v>
      </c>
      <c r="AW1106" t="s">
        <v>5311</v>
      </c>
    </row>
    <row r="1107" spans="1:49" x14ac:dyDescent="0.35">
      <c r="A1107" t="s">
        <v>5105</v>
      </c>
      <c r="B1107" t="s">
        <v>872</v>
      </c>
      <c r="C1107" t="s">
        <v>4818</v>
      </c>
      <c r="D1107" t="s">
        <v>18</v>
      </c>
      <c r="E1107" t="s">
        <v>5190</v>
      </c>
      <c r="F1107" t="s">
        <v>5191</v>
      </c>
      <c r="G1107" t="s">
        <v>21</v>
      </c>
      <c r="H1107" t="s">
        <v>4826</v>
      </c>
      <c r="I1107" t="s">
        <v>4976</v>
      </c>
      <c r="J1107" t="s">
        <v>4977</v>
      </c>
      <c r="K1107" t="s">
        <v>4978</v>
      </c>
      <c r="L1107" t="s">
        <v>4960</v>
      </c>
      <c r="M1107" t="s">
        <v>5035</v>
      </c>
      <c r="N1107" t="s">
        <v>15</v>
      </c>
      <c r="O1107" t="s">
        <v>5298</v>
      </c>
      <c r="P1107" t="s">
        <v>23</v>
      </c>
      <c r="Q1107" t="s">
        <v>24</v>
      </c>
      <c r="R1107" t="s">
        <v>5216</v>
      </c>
      <c r="S1107" t="s">
        <v>5217</v>
      </c>
      <c r="T1107" s="6">
        <v>46307</v>
      </c>
      <c r="U1107">
        <v>24</v>
      </c>
      <c r="V1107">
        <v>24</v>
      </c>
      <c r="W1107">
        <v>24</v>
      </c>
      <c r="X1107">
        <v>24</v>
      </c>
      <c r="Y1107">
        <f t="shared" si="179"/>
        <v>0</v>
      </c>
      <c r="AC1107">
        <v>24</v>
      </c>
      <c r="AF1107">
        <v>24</v>
      </c>
      <c r="AG1107" s="41">
        <v>12</v>
      </c>
      <c r="AH1107">
        <f t="shared" si="180"/>
        <v>24</v>
      </c>
      <c r="AI1107">
        <f t="shared" si="178"/>
        <v>0</v>
      </c>
      <c r="AK1107">
        <f t="shared" si="181"/>
        <v>2</v>
      </c>
      <c r="AL1107">
        <v>13.85</v>
      </c>
      <c r="AM1107" t="s">
        <v>27</v>
      </c>
      <c r="AN1107">
        <v>13.85</v>
      </c>
      <c r="AO1107" t="b">
        <f t="shared" si="182"/>
        <v>1</v>
      </c>
      <c r="AR1107" t="s">
        <v>5061</v>
      </c>
      <c r="AS1107" s="21">
        <v>46284</v>
      </c>
      <c r="AT1107" t="s">
        <v>5062</v>
      </c>
      <c r="AU1107" t="s">
        <v>5072</v>
      </c>
      <c r="AV1107" t="s">
        <v>5062</v>
      </c>
      <c r="AW1107" t="s">
        <v>5311</v>
      </c>
    </row>
    <row r="1108" spans="1:49" x14ac:dyDescent="0.35">
      <c r="A1108" t="s">
        <v>5105</v>
      </c>
      <c r="B1108" t="s">
        <v>872</v>
      </c>
      <c r="C1108" t="s">
        <v>4818</v>
      </c>
      <c r="D1108" t="s">
        <v>18</v>
      </c>
      <c r="E1108" t="s">
        <v>5192</v>
      </c>
      <c r="F1108" t="s">
        <v>5193</v>
      </c>
      <c r="G1108" t="s">
        <v>21</v>
      </c>
      <c r="H1108" t="s">
        <v>4826</v>
      </c>
      <c r="I1108" t="s">
        <v>4976</v>
      </c>
      <c r="J1108" t="s">
        <v>4977</v>
      </c>
      <c r="K1108" t="s">
        <v>4957</v>
      </c>
      <c r="L1108" t="s">
        <v>4948</v>
      </c>
      <c r="M1108" t="s">
        <v>5035</v>
      </c>
      <c r="N1108" t="s">
        <v>15</v>
      </c>
      <c r="O1108" t="s">
        <v>5299</v>
      </c>
      <c r="P1108" t="s">
        <v>23</v>
      </c>
      <c r="Q1108" t="s">
        <v>24</v>
      </c>
      <c r="R1108" t="s">
        <v>5216</v>
      </c>
      <c r="S1108" t="s">
        <v>5217</v>
      </c>
      <c r="T1108" s="6">
        <v>46307</v>
      </c>
      <c r="U1108">
        <v>12</v>
      </c>
      <c r="V1108">
        <v>12</v>
      </c>
      <c r="W1108">
        <v>12</v>
      </c>
      <c r="X1108">
        <v>12</v>
      </c>
      <c r="Y1108">
        <f t="shared" si="179"/>
        <v>0</v>
      </c>
      <c r="AC1108">
        <v>12</v>
      </c>
      <c r="AF1108">
        <v>12</v>
      </c>
      <c r="AG1108" s="41">
        <v>12</v>
      </c>
      <c r="AH1108">
        <f t="shared" si="180"/>
        <v>12</v>
      </c>
      <c r="AI1108">
        <f t="shared" ref="AI1108:AI1129" si="183">V1108-AH1108</f>
        <v>0</v>
      </c>
      <c r="AK1108">
        <f t="shared" si="181"/>
        <v>1</v>
      </c>
      <c r="AL1108">
        <v>13.85</v>
      </c>
      <c r="AM1108" t="s">
        <v>27</v>
      </c>
      <c r="AN1108">
        <v>13.85</v>
      </c>
      <c r="AO1108" t="b">
        <f t="shared" si="182"/>
        <v>1</v>
      </c>
      <c r="AR1108" t="s">
        <v>5061</v>
      </c>
      <c r="AS1108" s="21">
        <v>46284</v>
      </c>
      <c r="AT1108" t="s">
        <v>5062</v>
      </c>
      <c r="AU1108" t="s">
        <v>5072</v>
      </c>
      <c r="AV1108" t="s">
        <v>5062</v>
      </c>
      <c r="AW1108" t="s">
        <v>5311</v>
      </c>
    </row>
    <row r="1109" spans="1:49" x14ac:dyDescent="0.35">
      <c r="A1109" t="s">
        <v>5105</v>
      </c>
      <c r="B1109" t="s">
        <v>872</v>
      </c>
      <c r="C1109" t="s">
        <v>4818</v>
      </c>
      <c r="D1109" t="s">
        <v>18</v>
      </c>
      <c r="E1109" t="s">
        <v>2468</v>
      </c>
      <c r="F1109" t="s">
        <v>2469</v>
      </c>
      <c r="G1109" t="s">
        <v>21</v>
      </c>
      <c r="H1109" t="s">
        <v>4826</v>
      </c>
      <c r="I1109" t="s">
        <v>4976</v>
      </c>
      <c r="J1109" t="s">
        <v>4977</v>
      </c>
      <c r="K1109" t="s">
        <v>4978</v>
      </c>
      <c r="L1109" t="s">
        <v>4951</v>
      </c>
      <c r="M1109" t="s">
        <v>5035</v>
      </c>
      <c r="N1109" t="s">
        <v>15</v>
      </c>
      <c r="O1109" t="s">
        <v>2470</v>
      </c>
      <c r="P1109" t="s">
        <v>23</v>
      </c>
      <c r="Q1109" t="s">
        <v>24</v>
      </c>
      <c r="R1109" t="s">
        <v>5216</v>
      </c>
      <c r="S1109" t="s">
        <v>5217</v>
      </c>
      <c r="T1109" s="6">
        <v>46307</v>
      </c>
      <c r="U1109">
        <v>12</v>
      </c>
      <c r="V1109">
        <v>12</v>
      </c>
      <c r="W1109">
        <v>12</v>
      </c>
      <c r="X1109">
        <v>12</v>
      </c>
      <c r="Y1109">
        <f t="shared" si="179"/>
        <v>0</v>
      </c>
      <c r="AC1109">
        <v>12</v>
      </c>
      <c r="AF1109">
        <v>12</v>
      </c>
      <c r="AG1109" s="41">
        <v>12</v>
      </c>
      <c r="AH1109">
        <f t="shared" si="180"/>
        <v>12</v>
      </c>
      <c r="AI1109">
        <f t="shared" si="183"/>
        <v>0</v>
      </c>
      <c r="AK1109">
        <f t="shared" si="181"/>
        <v>1</v>
      </c>
      <c r="AL1109">
        <v>13.85</v>
      </c>
      <c r="AM1109" t="s">
        <v>27</v>
      </c>
      <c r="AN1109">
        <v>13.85</v>
      </c>
      <c r="AO1109" t="b">
        <f t="shared" si="182"/>
        <v>1</v>
      </c>
      <c r="AR1109" t="s">
        <v>5061</v>
      </c>
      <c r="AS1109" s="21">
        <v>46284</v>
      </c>
      <c r="AT1109" t="s">
        <v>5062</v>
      </c>
      <c r="AU1109" t="s">
        <v>5072</v>
      </c>
      <c r="AV1109" t="s">
        <v>5062</v>
      </c>
      <c r="AW1109" t="s">
        <v>5311</v>
      </c>
    </row>
    <row r="1110" spans="1:49" x14ac:dyDescent="0.35">
      <c r="A1110" t="s">
        <v>5105</v>
      </c>
      <c r="B1110" t="s">
        <v>872</v>
      </c>
      <c r="C1110" t="s">
        <v>4818</v>
      </c>
      <c r="D1110" t="s">
        <v>18</v>
      </c>
      <c r="E1110" t="s">
        <v>2471</v>
      </c>
      <c r="F1110" t="s">
        <v>2472</v>
      </c>
      <c r="G1110" t="s">
        <v>21</v>
      </c>
      <c r="H1110" t="s">
        <v>4826</v>
      </c>
      <c r="I1110" t="s">
        <v>4976</v>
      </c>
      <c r="J1110" t="s">
        <v>4977</v>
      </c>
      <c r="K1110" t="s">
        <v>4837</v>
      </c>
      <c r="L1110" t="s">
        <v>4962</v>
      </c>
      <c r="M1110" t="s">
        <v>5035</v>
      </c>
      <c r="N1110" t="s">
        <v>15</v>
      </c>
      <c r="O1110" t="s">
        <v>2473</v>
      </c>
      <c r="P1110" t="s">
        <v>23</v>
      </c>
      <c r="Q1110" t="s">
        <v>24</v>
      </c>
      <c r="R1110" t="s">
        <v>5216</v>
      </c>
      <c r="S1110" t="s">
        <v>5217</v>
      </c>
      <c r="T1110" s="6">
        <v>46307</v>
      </c>
      <c r="U1110">
        <v>12</v>
      </c>
      <c r="V1110">
        <v>12</v>
      </c>
      <c r="W1110">
        <v>12</v>
      </c>
      <c r="X1110">
        <v>12</v>
      </c>
      <c r="Y1110">
        <f t="shared" si="179"/>
        <v>0</v>
      </c>
      <c r="AC1110">
        <v>12</v>
      </c>
      <c r="AF1110">
        <v>12</v>
      </c>
      <c r="AG1110" s="41">
        <v>12</v>
      </c>
      <c r="AH1110">
        <f t="shared" si="180"/>
        <v>12</v>
      </c>
      <c r="AI1110">
        <f t="shared" si="183"/>
        <v>0</v>
      </c>
      <c r="AK1110">
        <f t="shared" si="181"/>
        <v>1</v>
      </c>
      <c r="AL1110">
        <v>13.85</v>
      </c>
      <c r="AM1110" t="s">
        <v>27</v>
      </c>
      <c r="AN1110">
        <v>13.85</v>
      </c>
      <c r="AO1110" t="b">
        <f t="shared" si="182"/>
        <v>1</v>
      </c>
      <c r="AR1110" t="s">
        <v>5061</v>
      </c>
      <c r="AS1110" s="21">
        <v>46284</v>
      </c>
      <c r="AT1110" t="s">
        <v>5062</v>
      </c>
      <c r="AU1110" t="s">
        <v>5072</v>
      </c>
      <c r="AV1110" t="s">
        <v>5062</v>
      </c>
      <c r="AW1110" t="s">
        <v>5311</v>
      </c>
    </row>
    <row r="1111" spans="1:49" x14ac:dyDescent="0.35">
      <c r="A1111" t="s">
        <v>5105</v>
      </c>
      <c r="B1111" t="s">
        <v>872</v>
      </c>
      <c r="C1111" t="s">
        <v>4818</v>
      </c>
      <c r="D1111" t="s">
        <v>18</v>
      </c>
      <c r="E1111" t="s">
        <v>2480</v>
      </c>
      <c r="F1111" t="s">
        <v>2481</v>
      </c>
      <c r="G1111" t="s">
        <v>21</v>
      </c>
      <c r="H1111" t="s">
        <v>4826</v>
      </c>
      <c r="I1111" t="s">
        <v>4976</v>
      </c>
      <c r="J1111" t="s">
        <v>4977</v>
      </c>
      <c r="K1111" t="s">
        <v>4978</v>
      </c>
      <c r="L1111" t="s">
        <v>4946</v>
      </c>
      <c r="M1111" t="s">
        <v>5035</v>
      </c>
      <c r="N1111" t="s">
        <v>15</v>
      </c>
      <c r="O1111" t="s">
        <v>2482</v>
      </c>
      <c r="P1111" t="s">
        <v>23</v>
      </c>
      <c r="Q1111" t="s">
        <v>24</v>
      </c>
      <c r="R1111" t="s">
        <v>5216</v>
      </c>
      <c r="S1111" t="s">
        <v>5217</v>
      </c>
      <c r="T1111" s="6">
        <v>46307</v>
      </c>
      <c r="U1111">
        <v>12</v>
      </c>
      <c r="V1111">
        <v>12</v>
      </c>
      <c r="W1111">
        <v>12</v>
      </c>
      <c r="X1111">
        <v>12</v>
      </c>
      <c r="Y1111">
        <f t="shared" si="179"/>
        <v>0</v>
      </c>
      <c r="AC1111">
        <v>12</v>
      </c>
      <c r="AF1111">
        <v>12</v>
      </c>
      <c r="AG1111" s="41">
        <v>12</v>
      </c>
      <c r="AH1111">
        <f t="shared" si="180"/>
        <v>12</v>
      </c>
      <c r="AI1111">
        <f t="shared" si="183"/>
        <v>0</v>
      </c>
      <c r="AK1111">
        <f t="shared" si="181"/>
        <v>1</v>
      </c>
      <c r="AL1111">
        <v>13.85</v>
      </c>
      <c r="AM1111" t="s">
        <v>27</v>
      </c>
      <c r="AN1111">
        <v>13.85</v>
      </c>
      <c r="AO1111" t="b">
        <f t="shared" si="182"/>
        <v>1</v>
      </c>
      <c r="AR1111" t="s">
        <v>5061</v>
      </c>
      <c r="AS1111" s="21">
        <v>46284</v>
      </c>
      <c r="AT1111" t="s">
        <v>5062</v>
      </c>
      <c r="AU1111" t="s">
        <v>5072</v>
      </c>
      <c r="AV1111" t="s">
        <v>5062</v>
      </c>
      <c r="AW1111" t="s">
        <v>5311</v>
      </c>
    </row>
    <row r="1112" spans="1:49" x14ac:dyDescent="0.35">
      <c r="A1112" t="s">
        <v>5105</v>
      </c>
      <c r="B1112" t="s">
        <v>872</v>
      </c>
      <c r="C1112" t="s">
        <v>4818</v>
      </c>
      <c r="D1112" t="s">
        <v>18</v>
      </c>
      <c r="E1112" t="s">
        <v>5194</v>
      </c>
      <c r="F1112" t="s">
        <v>5195</v>
      </c>
      <c r="G1112" t="s">
        <v>21</v>
      </c>
      <c r="H1112" t="s">
        <v>4826</v>
      </c>
      <c r="I1112" t="s">
        <v>4976</v>
      </c>
      <c r="J1112" t="s">
        <v>4977</v>
      </c>
      <c r="K1112" t="s">
        <v>4957</v>
      </c>
      <c r="L1112" t="s">
        <v>4963</v>
      </c>
      <c r="M1112" t="s">
        <v>5035</v>
      </c>
      <c r="N1112" t="s">
        <v>15</v>
      </c>
      <c r="O1112" t="s">
        <v>5300</v>
      </c>
      <c r="P1112" t="s">
        <v>23</v>
      </c>
      <c r="Q1112" t="s">
        <v>24</v>
      </c>
      <c r="R1112" t="s">
        <v>5216</v>
      </c>
      <c r="S1112" t="s">
        <v>5217</v>
      </c>
      <c r="T1112" s="6">
        <v>46307</v>
      </c>
      <c r="U1112">
        <v>24</v>
      </c>
      <c r="V1112">
        <v>24</v>
      </c>
      <c r="W1112">
        <v>24</v>
      </c>
      <c r="X1112">
        <v>24</v>
      </c>
      <c r="Y1112">
        <f t="shared" si="179"/>
        <v>0</v>
      </c>
      <c r="AC1112">
        <v>24</v>
      </c>
      <c r="AF1112">
        <v>24</v>
      </c>
      <c r="AG1112" s="41">
        <v>12</v>
      </c>
      <c r="AH1112">
        <f t="shared" si="180"/>
        <v>24</v>
      </c>
      <c r="AI1112">
        <f t="shared" si="183"/>
        <v>0</v>
      </c>
      <c r="AK1112">
        <f t="shared" si="181"/>
        <v>2</v>
      </c>
      <c r="AL1112">
        <v>13.85</v>
      </c>
      <c r="AM1112" t="s">
        <v>27</v>
      </c>
      <c r="AN1112">
        <v>13.85</v>
      </c>
      <c r="AO1112" t="b">
        <f t="shared" si="182"/>
        <v>1</v>
      </c>
      <c r="AR1112" t="s">
        <v>5061</v>
      </c>
      <c r="AS1112" s="21">
        <v>46284</v>
      </c>
      <c r="AT1112" t="s">
        <v>5062</v>
      </c>
      <c r="AU1112" t="s">
        <v>5072</v>
      </c>
      <c r="AV1112" t="s">
        <v>5062</v>
      </c>
      <c r="AW1112" t="s">
        <v>5311</v>
      </c>
    </row>
    <row r="1113" spans="1:49" x14ac:dyDescent="0.35">
      <c r="A1113" t="s">
        <v>5105</v>
      </c>
      <c r="B1113" t="s">
        <v>872</v>
      </c>
      <c r="C1113" t="s">
        <v>4818</v>
      </c>
      <c r="D1113" t="s">
        <v>18</v>
      </c>
      <c r="E1113" t="s">
        <v>5196</v>
      </c>
      <c r="F1113" t="s">
        <v>5197</v>
      </c>
      <c r="G1113" t="s">
        <v>21</v>
      </c>
      <c r="H1113" t="s">
        <v>4826</v>
      </c>
      <c r="I1113" t="s">
        <v>4976</v>
      </c>
      <c r="J1113" t="s">
        <v>4977</v>
      </c>
      <c r="K1113" t="s">
        <v>4957</v>
      </c>
      <c r="L1113" t="s">
        <v>4967</v>
      </c>
      <c r="M1113" t="s">
        <v>5035</v>
      </c>
      <c r="N1113" t="s">
        <v>15</v>
      </c>
      <c r="O1113" t="s">
        <v>5301</v>
      </c>
      <c r="P1113" t="s">
        <v>23</v>
      </c>
      <c r="Q1113" t="s">
        <v>24</v>
      </c>
      <c r="R1113" t="s">
        <v>5216</v>
      </c>
      <c r="S1113" t="s">
        <v>5217</v>
      </c>
      <c r="T1113" s="6">
        <v>46307</v>
      </c>
      <c r="U1113">
        <v>24</v>
      </c>
      <c r="V1113">
        <v>24</v>
      </c>
      <c r="W1113">
        <v>24</v>
      </c>
      <c r="X1113">
        <v>24</v>
      </c>
      <c r="Y1113">
        <f t="shared" si="179"/>
        <v>0</v>
      </c>
      <c r="AC1113">
        <v>24</v>
      </c>
      <c r="AF1113">
        <v>24</v>
      </c>
      <c r="AG1113" s="41">
        <v>12</v>
      </c>
      <c r="AH1113">
        <f t="shared" si="180"/>
        <v>24</v>
      </c>
      <c r="AI1113">
        <f t="shared" si="183"/>
        <v>0</v>
      </c>
      <c r="AK1113">
        <f t="shared" si="181"/>
        <v>2</v>
      </c>
      <c r="AL1113">
        <v>13.85</v>
      </c>
      <c r="AM1113" t="s">
        <v>27</v>
      </c>
      <c r="AN1113">
        <v>13.85</v>
      </c>
      <c r="AO1113" t="b">
        <f t="shared" si="182"/>
        <v>1</v>
      </c>
      <c r="AR1113" t="s">
        <v>5061</v>
      </c>
      <c r="AS1113" s="21">
        <v>46284</v>
      </c>
      <c r="AT1113" t="s">
        <v>5062</v>
      </c>
      <c r="AU1113" t="s">
        <v>5072</v>
      </c>
      <c r="AV1113" t="s">
        <v>5062</v>
      </c>
      <c r="AW1113" t="s">
        <v>5311</v>
      </c>
    </row>
    <row r="1114" spans="1:49" x14ac:dyDescent="0.35">
      <c r="A1114" t="s">
        <v>5105</v>
      </c>
      <c r="B1114" t="s">
        <v>872</v>
      </c>
      <c r="C1114" t="s">
        <v>4818</v>
      </c>
      <c r="D1114" t="s">
        <v>18</v>
      </c>
      <c r="E1114" t="s">
        <v>2507</v>
      </c>
      <c r="F1114" t="s">
        <v>2508</v>
      </c>
      <c r="G1114" t="s">
        <v>21</v>
      </c>
      <c r="H1114" t="s">
        <v>4826</v>
      </c>
      <c r="I1114" t="s">
        <v>4976</v>
      </c>
      <c r="J1114" t="s">
        <v>4977</v>
      </c>
      <c r="K1114" t="s">
        <v>4978</v>
      </c>
      <c r="L1114" t="s">
        <v>4944</v>
      </c>
      <c r="M1114" t="s">
        <v>5035</v>
      </c>
      <c r="N1114" t="s">
        <v>15</v>
      </c>
      <c r="O1114" t="s">
        <v>2509</v>
      </c>
      <c r="P1114" t="s">
        <v>23</v>
      </c>
      <c r="Q1114" t="s">
        <v>24</v>
      </c>
      <c r="R1114" t="s">
        <v>5216</v>
      </c>
      <c r="S1114" t="s">
        <v>5217</v>
      </c>
      <c r="T1114" s="6">
        <v>46307</v>
      </c>
      <c r="U1114">
        <v>12</v>
      </c>
      <c r="V1114">
        <v>12</v>
      </c>
      <c r="W1114">
        <v>12</v>
      </c>
      <c r="X1114">
        <v>12</v>
      </c>
      <c r="Y1114">
        <f t="shared" si="179"/>
        <v>0</v>
      </c>
      <c r="AC1114">
        <v>12</v>
      </c>
      <c r="AF1114">
        <v>12</v>
      </c>
      <c r="AG1114" s="41">
        <v>12</v>
      </c>
      <c r="AH1114">
        <f t="shared" si="180"/>
        <v>12</v>
      </c>
      <c r="AI1114">
        <f t="shared" si="183"/>
        <v>0</v>
      </c>
      <c r="AK1114">
        <f t="shared" si="181"/>
        <v>1</v>
      </c>
      <c r="AL1114">
        <v>13.85</v>
      </c>
      <c r="AM1114" t="s">
        <v>27</v>
      </c>
      <c r="AN1114">
        <v>13.85</v>
      </c>
      <c r="AO1114" t="b">
        <f t="shared" si="182"/>
        <v>1</v>
      </c>
      <c r="AR1114" t="s">
        <v>5061</v>
      </c>
      <c r="AS1114" s="21">
        <v>46284</v>
      </c>
      <c r="AT1114" t="s">
        <v>5062</v>
      </c>
      <c r="AU1114" t="s">
        <v>5072</v>
      </c>
      <c r="AV1114" t="s">
        <v>5062</v>
      </c>
      <c r="AW1114" t="s">
        <v>5311</v>
      </c>
    </row>
    <row r="1115" spans="1:49" x14ac:dyDescent="0.35">
      <c r="A1115" t="s">
        <v>5105</v>
      </c>
      <c r="B1115" t="s">
        <v>872</v>
      </c>
      <c r="C1115" t="s">
        <v>4818</v>
      </c>
      <c r="D1115" t="s">
        <v>18</v>
      </c>
      <c r="E1115" t="s">
        <v>5198</v>
      </c>
      <c r="F1115" t="s">
        <v>5199</v>
      </c>
      <c r="G1115" t="s">
        <v>21</v>
      </c>
      <c r="H1115" t="s">
        <v>4826</v>
      </c>
      <c r="I1115" t="s">
        <v>4976</v>
      </c>
      <c r="J1115" t="s">
        <v>4977</v>
      </c>
      <c r="K1115" t="s">
        <v>4957</v>
      </c>
      <c r="L1115" t="s">
        <v>4943</v>
      </c>
      <c r="M1115" t="s">
        <v>5035</v>
      </c>
      <c r="N1115" t="s">
        <v>15</v>
      </c>
      <c r="O1115" t="s">
        <v>5302</v>
      </c>
      <c r="P1115" t="s">
        <v>23</v>
      </c>
      <c r="Q1115" t="s">
        <v>24</v>
      </c>
      <c r="R1115" t="s">
        <v>5216</v>
      </c>
      <c r="S1115" t="s">
        <v>5217</v>
      </c>
      <c r="T1115" s="6">
        <v>46307</v>
      </c>
      <c r="U1115">
        <v>12</v>
      </c>
      <c r="V1115">
        <v>12</v>
      </c>
      <c r="W1115">
        <v>12</v>
      </c>
      <c r="X1115">
        <v>12</v>
      </c>
      <c r="Y1115">
        <f t="shared" si="179"/>
        <v>0</v>
      </c>
      <c r="AC1115">
        <v>12</v>
      </c>
      <c r="AF1115">
        <v>12</v>
      </c>
      <c r="AG1115" s="41">
        <v>12</v>
      </c>
      <c r="AH1115">
        <f t="shared" si="180"/>
        <v>12</v>
      </c>
      <c r="AI1115">
        <f t="shared" si="183"/>
        <v>0</v>
      </c>
      <c r="AK1115">
        <f t="shared" si="181"/>
        <v>1</v>
      </c>
      <c r="AL1115">
        <v>13.85</v>
      </c>
      <c r="AM1115" t="s">
        <v>27</v>
      </c>
      <c r="AN1115">
        <v>13.85</v>
      </c>
      <c r="AO1115" t="b">
        <f t="shared" si="182"/>
        <v>1</v>
      </c>
      <c r="AR1115" t="s">
        <v>5061</v>
      </c>
      <c r="AS1115" s="21">
        <v>46284</v>
      </c>
      <c r="AT1115" t="s">
        <v>5062</v>
      </c>
      <c r="AU1115" t="s">
        <v>5072</v>
      </c>
      <c r="AV1115" t="s">
        <v>5062</v>
      </c>
      <c r="AW1115" t="s">
        <v>5311</v>
      </c>
    </row>
    <row r="1116" spans="1:49" x14ac:dyDescent="0.35">
      <c r="A1116" t="s">
        <v>5105</v>
      </c>
      <c r="B1116" t="s">
        <v>872</v>
      </c>
      <c r="C1116" t="s">
        <v>4818</v>
      </c>
      <c r="D1116" t="s">
        <v>18</v>
      </c>
      <c r="E1116" t="s">
        <v>5200</v>
      </c>
      <c r="F1116" t="s">
        <v>5201</v>
      </c>
      <c r="G1116" t="s">
        <v>21</v>
      </c>
      <c r="H1116" t="s">
        <v>4826</v>
      </c>
      <c r="I1116" t="s">
        <v>4976</v>
      </c>
      <c r="J1116" t="s">
        <v>4977</v>
      </c>
      <c r="K1116" t="s">
        <v>4957</v>
      </c>
      <c r="L1116" t="s">
        <v>4969</v>
      </c>
      <c r="M1116" t="s">
        <v>5035</v>
      </c>
      <c r="N1116" t="s">
        <v>15</v>
      </c>
      <c r="O1116" t="s">
        <v>5303</v>
      </c>
      <c r="P1116" t="s">
        <v>23</v>
      </c>
      <c r="Q1116" t="s">
        <v>24</v>
      </c>
      <c r="R1116" t="s">
        <v>5216</v>
      </c>
      <c r="S1116" t="s">
        <v>5217</v>
      </c>
      <c r="T1116" s="6">
        <v>46307</v>
      </c>
      <c r="U1116">
        <v>12</v>
      </c>
      <c r="V1116">
        <v>12</v>
      </c>
      <c r="W1116">
        <v>12</v>
      </c>
      <c r="X1116">
        <v>12</v>
      </c>
      <c r="Y1116">
        <f t="shared" si="179"/>
        <v>0</v>
      </c>
      <c r="AC1116">
        <v>12</v>
      </c>
      <c r="AF1116">
        <v>12</v>
      </c>
      <c r="AG1116" s="41">
        <v>12</v>
      </c>
      <c r="AH1116">
        <f t="shared" si="180"/>
        <v>12</v>
      </c>
      <c r="AI1116">
        <f t="shared" si="183"/>
        <v>0</v>
      </c>
      <c r="AK1116">
        <f t="shared" si="181"/>
        <v>1</v>
      </c>
      <c r="AL1116">
        <v>13.85</v>
      </c>
      <c r="AM1116" t="s">
        <v>27</v>
      </c>
      <c r="AN1116">
        <v>13.85</v>
      </c>
      <c r="AO1116" t="b">
        <f t="shared" si="182"/>
        <v>1</v>
      </c>
      <c r="AR1116" t="s">
        <v>5061</v>
      </c>
      <c r="AS1116" s="21">
        <v>46284</v>
      </c>
      <c r="AT1116" t="s">
        <v>5062</v>
      </c>
      <c r="AU1116" t="s">
        <v>5072</v>
      </c>
      <c r="AV1116" t="s">
        <v>5062</v>
      </c>
      <c r="AW1116" t="s">
        <v>5311</v>
      </c>
    </row>
    <row r="1117" spans="1:49" x14ac:dyDescent="0.35">
      <c r="A1117" t="s">
        <v>5105</v>
      </c>
      <c r="B1117" t="s">
        <v>872</v>
      </c>
      <c r="C1117" t="s">
        <v>4818</v>
      </c>
      <c r="D1117" t="s">
        <v>18</v>
      </c>
      <c r="E1117" t="s">
        <v>5202</v>
      </c>
      <c r="F1117" t="s">
        <v>5203</v>
      </c>
      <c r="G1117" t="s">
        <v>21</v>
      </c>
      <c r="H1117" t="s">
        <v>4826</v>
      </c>
      <c r="I1117" t="s">
        <v>4976</v>
      </c>
      <c r="J1117" t="s">
        <v>4977</v>
      </c>
      <c r="K1117" t="s">
        <v>4957</v>
      </c>
      <c r="L1117" t="s">
        <v>4961</v>
      </c>
      <c r="M1117" t="s">
        <v>5035</v>
      </c>
      <c r="N1117" t="s">
        <v>15</v>
      </c>
      <c r="O1117" t="s">
        <v>5304</v>
      </c>
      <c r="P1117" t="s">
        <v>23</v>
      </c>
      <c r="Q1117" t="s">
        <v>24</v>
      </c>
      <c r="R1117" t="s">
        <v>5216</v>
      </c>
      <c r="S1117" t="s">
        <v>5217</v>
      </c>
      <c r="T1117" s="6">
        <v>46307</v>
      </c>
      <c r="U1117">
        <v>96</v>
      </c>
      <c r="V1117">
        <v>96</v>
      </c>
      <c r="W1117">
        <v>108</v>
      </c>
      <c r="X1117">
        <v>108</v>
      </c>
      <c r="Y1117">
        <f t="shared" si="179"/>
        <v>0</v>
      </c>
      <c r="AC1117">
        <v>96</v>
      </c>
      <c r="AF1117">
        <v>96</v>
      </c>
      <c r="AG1117" s="41">
        <v>12</v>
      </c>
      <c r="AH1117">
        <f t="shared" si="180"/>
        <v>96</v>
      </c>
      <c r="AI1117">
        <f t="shared" si="183"/>
        <v>0</v>
      </c>
      <c r="AK1117">
        <f t="shared" si="181"/>
        <v>8</v>
      </c>
      <c r="AL1117">
        <v>13.85</v>
      </c>
      <c r="AM1117" t="s">
        <v>27</v>
      </c>
      <c r="AN1117">
        <v>13.85</v>
      </c>
      <c r="AO1117" t="b">
        <f t="shared" si="182"/>
        <v>1</v>
      </c>
      <c r="AR1117" t="s">
        <v>5061</v>
      </c>
      <c r="AS1117" s="21">
        <v>46284</v>
      </c>
      <c r="AT1117" t="s">
        <v>5062</v>
      </c>
      <c r="AU1117" t="s">
        <v>5072</v>
      </c>
      <c r="AV1117" t="s">
        <v>5062</v>
      </c>
      <c r="AW1117" t="s">
        <v>5311</v>
      </c>
    </row>
    <row r="1118" spans="1:49" x14ac:dyDescent="0.35">
      <c r="A1118" t="s">
        <v>5105</v>
      </c>
      <c r="B1118" t="s">
        <v>872</v>
      </c>
      <c r="C1118" t="s">
        <v>4818</v>
      </c>
      <c r="D1118" t="s">
        <v>18</v>
      </c>
      <c r="E1118" t="s">
        <v>5204</v>
      </c>
      <c r="F1118" t="s">
        <v>5205</v>
      </c>
      <c r="G1118" t="s">
        <v>21</v>
      </c>
      <c r="H1118" t="s">
        <v>4826</v>
      </c>
      <c r="I1118" t="s">
        <v>4976</v>
      </c>
      <c r="J1118" t="s">
        <v>4977</v>
      </c>
      <c r="K1118" t="s">
        <v>4837</v>
      </c>
      <c r="L1118" t="s">
        <v>4951</v>
      </c>
      <c r="M1118" t="s">
        <v>5035</v>
      </c>
      <c r="N1118" t="s">
        <v>15</v>
      </c>
      <c r="O1118" t="s">
        <v>5305</v>
      </c>
      <c r="P1118" t="s">
        <v>23</v>
      </c>
      <c r="Q1118" t="s">
        <v>24</v>
      </c>
      <c r="R1118" t="s">
        <v>5216</v>
      </c>
      <c r="S1118" t="s">
        <v>5217</v>
      </c>
      <c r="T1118" s="6">
        <v>46307</v>
      </c>
      <c r="U1118">
        <v>216</v>
      </c>
      <c r="V1118">
        <v>216</v>
      </c>
      <c r="W1118">
        <v>240</v>
      </c>
      <c r="X1118">
        <v>240</v>
      </c>
      <c r="Y1118">
        <f t="shared" si="179"/>
        <v>0</v>
      </c>
      <c r="AC1118">
        <v>216</v>
      </c>
      <c r="AF1118">
        <v>216</v>
      </c>
      <c r="AG1118" s="41">
        <v>12</v>
      </c>
      <c r="AH1118">
        <f t="shared" si="180"/>
        <v>216</v>
      </c>
      <c r="AI1118">
        <f t="shared" si="183"/>
        <v>0</v>
      </c>
      <c r="AK1118">
        <f t="shared" si="181"/>
        <v>18</v>
      </c>
      <c r="AL1118">
        <v>13.85</v>
      </c>
      <c r="AM1118" t="s">
        <v>27</v>
      </c>
      <c r="AN1118">
        <v>13.85</v>
      </c>
      <c r="AO1118" t="b">
        <f t="shared" si="182"/>
        <v>1</v>
      </c>
      <c r="AR1118" t="s">
        <v>5061</v>
      </c>
      <c r="AS1118" s="21">
        <v>46284</v>
      </c>
      <c r="AT1118" t="s">
        <v>5062</v>
      </c>
      <c r="AU1118" t="s">
        <v>5072</v>
      </c>
      <c r="AV1118" t="s">
        <v>5062</v>
      </c>
      <c r="AW1118" t="s">
        <v>5311</v>
      </c>
    </row>
    <row r="1119" spans="1:49" x14ac:dyDescent="0.35">
      <c r="A1119" t="s">
        <v>5105</v>
      </c>
      <c r="B1119" t="s">
        <v>872</v>
      </c>
      <c r="C1119" t="s">
        <v>4818</v>
      </c>
      <c r="D1119" t="s">
        <v>18</v>
      </c>
      <c r="E1119" t="s">
        <v>5206</v>
      </c>
      <c r="F1119" t="s">
        <v>5207</v>
      </c>
      <c r="G1119" t="s">
        <v>21</v>
      </c>
      <c r="H1119" t="s">
        <v>4826</v>
      </c>
      <c r="I1119" t="s">
        <v>4976</v>
      </c>
      <c r="J1119" t="s">
        <v>4977</v>
      </c>
      <c r="K1119" t="s">
        <v>4831</v>
      </c>
      <c r="L1119" t="s">
        <v>4952</v>
      </c>
      <c r="M1119" t="s">
        <v>5035</v>
      </c>
      <c r="N1119" t="s">
        <v>15</v>
      </c>
      <c r="O1119" t="s">
        <v>5306</v>
      </c>
      <c r="P1119" t="s">
        <v>23</v>
      </c>
      <c r="Q1119" t="s">
        <v>24</v>
      </c>
      <c r="R1119" t="s">
        <v>5216</v>
      </c>
      <c r="S1119" t="s">
        <v>5217</v>
      </c>
      <c r="T1119" s="6">
        <v>46307</v>
      </c>
      <c r="U1119">
        <v>24</v>
      </c>
      <c r="V1119">
        <v>24</v>
      </c>
      <c r="W1119">
        <v>24</v>
      </c>
      <c r="X1119">
        <v>24</v>
      </c>
      <c r="Y1119">
        <f t="shared" si="179"/>
        <v>0</v>
      </c>
      <c r="AC1119">
        <v>24</v>
      </c>
      <c r="AF1119">
        <v>24</v>
      </c>
      <c r="AG1119" s="41">
        <v>12</v>
      </c>
      <c r="AH1119">
        <f t="shared" si="180"/>
        <v>24</v>
      </c>
      <c r="AI1119">
        <f t="shared" si="183"/>
        <v>0</v>
      </c>
      <c r="AK1119">
        <f t="shared" si="181"/>
        <v>2</v>
      </c>
      <c r="AL1119">
        <v>13.85</v>
      </c>
      <c r="AM1119" t="s">
        <v>27</v>
      </c>
      <c r="AN1119">
        <v>13.85</v>
      </c>
      <c r="AO1119" t="b">
        <f t="shared" si="182"/>
        <v>1</v>
      </c>
      <c r="AR1119" t="s">
        <v>5061</v>
      </c>
      <c r="AS1119" s="21">
        <v>46284</v>
      </c>
      <c r="AT1119" t="s">
        <v>5062</v>
      </c>
      <c r="AU1119" t="s">
        <v>5072</v>
      </c>
      <c r="AV1119" t="s">
        <v>5062</v>
      </c>
      <c r="AW1119" t="s">
        <v>5311</v>
      </c>
    </row>
    <row r="1120" spans="1:49" x14ac:dyDescent="0.35">
      <c r="A1120" t="s">
        <v>5105</v>
      </c>
      <c r="B1120" t="s">
        <v>872</v>
      </c>
      <c r="C1120" t="s">
        <v>4818</v>
      </c>
      <c r="D1120" t="s">
        <v>18</v>
      </c>
      <c r="E1120" t="s">
        <v>5208</v>
      </c>
      <c r="F1120" t="s">
        <v>5209</v>
      </c>
      <c r="G1120" t="s">
        <v>21</v>
      </c>
      <c r="H1120" t="s">
        <v>4826</v>
      </c>
      <c r="I1120" t="s">
        <v>4976</v>
      </c>
      <c r="J1120" t="s">
        <v>4977</v>
      </c>
      <c r="K1120" t="s">
        <v>4837</v>
      </c>
      <c r="L1120" t="s">
        <v>4958</v>
      </c>
      <c r="M1120" t="s">
        <v>5035</v>
      </c>
      <c r="N1120" t="s">
        <v>15</v>
      </c>
      <c r="O1120" t="s">
        <v>5307</v>
      </c>
      <c r="P1120" t="s">
        <v>23</v>
      </c>
      <c r="Q1120" t="s">
        <v>24</v>
      </c>
      <c r="R1120" t="s">
        <v>5216</v>
      </c>
      <c r="S1120" t="s">
        <v>5217</v>
      </c>
      <c r="T1120" s="6">
        <v>46307</v>
      </c>
      <c r="U1120">
        <v>300</v>
      </c>
      <c r="V1120">
        <v>300</v>
      </c>
      <c r="W1120">
        <v>324</v>
      </c>
      <c r="X1120">
        <v>324</v>
      </c>
      <c r="Y1120">
        <f t="shared" si="179"/>
        <v>0</v>
      </c>
      <c r="AC1120">
        <v>300</v>
      </c>
      <c r="AF1120">
        <v>300</v>
      </c>
      <c r="AG1120" s="41">
        <v>12</v>
      </c>
      <c r="AH1120">
        <f t="shared" si="180"/>
        <v>300</v>
      </c>
      <c r="AI1120">
        <f t="shared" si="183"/>
        <v>0</v>
      </c>
      <c r="AK1120">
        <f t="shared" si="181"/>
        <v>25</v>
      </c>
      <c r="AL1120">
        <v>13.85</v>
      </c>
      <c r="AM1120" t="s">
        <v>27</v>
      </c>
      <c r="AN1120">
        <v>13.85</v>
      </c>
      <c r="AO1120" t="b">
        <f t="shared" si="182"/>
        <v>1</v>
      </c>
      <c r="AR1120" t="s">
        <v>5061</v>
      </c>
      <c r="AS1120" s="21">
        <v>46284</v>
      </c>
      <c r="AT1120" t="s">
        <v>5062</v>
      </c>
      <c r="AU1120" t="s">
        <v>5072</v>
      </c>
      <c r="AV1120" t="s">
        <v>5062</v>
      </c>
      <c r="AW1120" t="s">
        <v>5311</v>
      </c>
    </row>
    <row r="1121" spans="1:49" x14ac:dyDescent="0.35">
      <c r="A1121" t="s">
        <v>5105</v>
      </c>
      <c r="B1121" t="s">
        <v>872</v>
      </c>
      <c r="C1121" t="s">
        <v>4818</v>
      </c>
      <c r="D1121" t="s">
        <v>18</v>
      </c>
      <c r="E1121" t="s">
        <v>2627</v>
      </c>
      <c r="F1121" t="s">
        <v>2628</v>
      </c>
      <c r="G1121" t="s">
        <v>21</v>
      </c>
      <c r="H1121" t="s">
        <v>4826</v>
      </c>
      <c r="I1121" t="s">
        <v>4976</v>
      </c>
      <c r="J1121" t="s">
        <v>4977</v>
      </c>
      <c r="K1121" t="s">
        <v>4837</v>
      </c>
      <c r="L1121" t="s">
        <v>4940</v>
      </c>
      <c r="M1121" t="s">
        <v>5035</v>
      </c>
      <c r="N1121" t="s">
        <v>15</v>
      </c>
      <c r="O1121" t="s">
        <v>2629</v>
      </c>
      <c r="P1121" t="s">
        <v>23</v>
      </c>
      <c r="Q1121" t="s">
        <v>24</v>
      </c>
      <c r="R1121" t="s">
        <v>5216</v>
      </c>
      <c r="S1121" t="s">
        <v>5217</v>
      </c>
      <c r="T1121" s="6">
        <v>46307</v>
      </c>
      <c r="U1121">
        <v>12</v>
      </c>
      <c r="V1121">
        <v>12</v>
      </c>
      <c r="W1121">
        <v>12</v>
      </c>
      <c r="X1121">
        <v>12</v>
      </c>
      <c r="Y1121">
        <f t="shared" si="179"/>
        <v>0</v>
      </c>
      <c r="AC1121">
        <v>12</v>
      </c>
      <c r="AF1121">
        <v>12</v>
      </c>
      <c r="AG1121" s="41">
        <v>12</v>
      </c>
      <c r="AH1121">
        <f t="shared" si="180"/>
        <v>12</v>
      </c>
      <c r="AI1121">
        <f t="shared" si="183"/>
        <v>0</v>
      </c>
      <c r="AK1121">
        <f t="shared" si="181"/>
        <v>1</v>
      </c>
      <c r="AL1121">
        <v>13.85</v>
      </c>
      <c r="AM1121" t="s">
        <v>27</v>
      </c>
      <c r="AN1121">
        <v>13.85</v>
      </c>
      <c r="AO1121" t="b">
        <f t="shared" si="182"/>
        <v>1</v>
      </c>
      <c r="AR1121" t="s">
        <v>5061</v>
      </c>
      <c r="AS1121" s="21">
        <v>46284</v>
      </c>
      <c r="AT1121" t="s">
        <v>5062</v>
      </c>
      <c r="AU1121" t="s">
        <v>5072</v>
      </c>
      <c r="AV1121" t="s">
        <v>5062</v>
      </c>
      <c r="AW1121" t="s">
        <v>5311</v>
      </c>
    </row>
    <row r="1122" spans="1:49" x14ac:dyDescent="0.35">
      <c r="A1122" t="s">
        <v>5105</v>
      </c>
      <c r="B1122" t="s">
        <v>872</v>
      </c>
      <c r="C1122" t="s">
        <v>4818</v>
      </c>
      <c r="D1122" t="s">
        <v>18</v>
      </c>
      <c r="E1122" t="s">
        <v>5210</v>
      </c>
      <c r="F1122" t="s">
        <v>5211</v>
      </c>
      <c r="G1122" t="s">
        <v>21</v>
      </c>
      <c r="H1122" t="s">
        <v>4826</v>
      </c>
      <c r="I1122" t="s">
        <v>4976</v>
      </c>
      <c r="J1122" t="s">
        <v>4977</v>
      </c>
      <c r="K1122" t="s">
        <v>4831</v>
      </c>
      <c r="L1122" t="s">
        <v>4962</v>
      </c>
      <c r="M1122" t="s">
        <v>5035</v>
      </c>
      <c r="N1122" t="s">
        <v>15</v>
      </c>
      <c r="O1122" t="s">
        <v>5308</v>
      </c>
      <c r="P1122" t="s">
        <v>23</v>
      </c>
      <c r="Q1122" t="s">
        <v>24</v>
      </c>
      <c r="R1122" t="s">
        <v>5216</v>
      </c>
      <c r="S1122" t="s">
        <v>5217</v>
      </c>
      <c r="T1122" s="6">
        <v>46307</v>
      </c>
      <c r="U1122">
        <v>12</v>
      </c>
      <c r="V1122">
        <v>12</v>
      </c>
      <c r="W1122">
        <v>12</v>
      </c>
      <c r="X1122">
        <v>12</v>
      </c>
      <c r="Y1122">
        <f t="shared" si="179"/>
        <v>0</v>
      </c>
      <c r="AC1122">
        <v>12</v>
      </c>
      <c r="AF1122">
        <v>12</v>
      </c>
      <c r="AG1122" s="41">
        <v>12</v>
      </c>
      <c r="AH1122">
        <f t="shared" si="180"/>
        <v>12</v>
      </c>
      <c r="AI1122">
        <f t="shared" si="183"/>
        <v>0</v>
      </c>
      <c r="AK1122">
        <f t="shared" si="181"/>
        <v>1</v>
      </c>
      <c r="AL1122">
        <v>13.85</v>
      </c>
      <c r="AM1122" t="s">
        <v>27</v>
      </c>
      <c r="AN1122">
        <v>13.85</v>
      </c>
      <c r="AO1122" t="b">
        <f t="shared" si="182"/>
        <v>1</v>
      </c>
      <c r="AR1122" t="s">
        <v>5061</v>
      </c>
      <c r="AS1122" s="21">
        <v>46284</v>
      </c>
      <c r="AT1122" t="s">
        <v>5062</v>
      </c>
      <c r="AU1122" t="s">
        <v>5072</v>
      </c>
      <c r="AV1122" t="s">
        <v>5062</v>
      </c>
      <c r="AW1122" t="s">
        <v>5311</v>
      </c>
    </row>
    <row r="1123" spans="1:49" x14ac:dyDescent="0.35">
      <c r="A1123" t="s">
        <v>5105</v>
      </c>
      <c r="B1123" t="s">
        <v>872</v>
      </c>
      <c r="C1123" t="s">
        <v>4818</v>
      </c>
      <c r="D1123" t="s">
        <v>18</v>
      </c>
      <c r="E1123" t="s">
        <v>5212</v>
      </c>
      <c r="F1123" t="s">
        <v>5213</v>
      </c>
      <c r="G1123" t="s">
        <v>21</v>
      </c>
      <c r="H1123" t="s">
        <v>4826</v>
      </c>
      <c r="I1123" t="s">
        <v>4976</v>
      </c>
      <c r="J1123" t="s">
        <v>4977</v>
      </c>
      <c r="K1123" t="s">
        <v>4831</v>
      </c>
      <c r="L1123" t="s">
        <v>4964</v>
      </c>
      <c r="M1123" t="s">
        <v>5035</v>
      </c>
      <c r="N1123" t="s">
        <v>15</v>
      </c>
      <c r="O1123" t="s">
        <v>5309</v>
      </c>
      <c r="P1123" t="s">
        <v>23</v>
      </c>
      <c r="Q1123" t="s">
        <v>24</v>
      </c>
      <c r="R1123" t="s">
        <v>5216</v>
      </c>
      <c r="S1123" t="s">
        <v>5217</v>
      </c>
      <c r="T1123" s="6">
        <v>46307</v>
      </c>
      <c r="U1123">
        <v>24</v>
      </c>
      <c r="V1123">
        <v>24</v>
      </c>
      <c r="W1123">
        <v>24</v>
      </c>
      <c r="X1123">
        <v>24</v>
      </c>
      <c r="Y1123">
        <f t="shared" si="179"/>
        <v>0</v>
      </c>
      <c r="AC1123">
        <v>24</v>
      </c>
      <c r="AF1123">
        <v>24</v>
      </c>
      <c r="AG1123" s="41">
        <v>12</v>
      </c>
      <c r="AH1123">
        <f t="shared" si="180"/>
        <v>24</v>
      </c>
      <c r="AI1123">
        <f t="shared" si="183"/>
        <v>0</v>
      </c>
      <c r="AK1123">
        <f t="shared" si="181"/>
        <v>2</v>
      </c>
      <c r="AL1123">
        <v>13.85</v>
      </c>
      <c r="AM1123" t="s">
        <v>27</v>
      </c>
      <c r="AN1123">
        <v>13.85</v>
      </c>
      <c r="AO1123" t="b">
        <f t="shared" si="182"/>
        <v>1</v>
      </c>
      <c r="AR1123" t="s">
        <v>5061</v>
      </c>
      <c r="AS1123" s="21">
        <v>46284</v>
      </c>
      <c r="AT1123" t="s">
        <v>5062</v>
      </c>
      <c r="AU1123" t="s">
        <v>5072</v>
      </c>
      <c r="AV1123" t="s">
        <v>5062</v>
      </c>
      <c r="AW1123" t="s">
        <v>5311</v>
      </c>
    </row>
    <row r="1124" spans="1:49" x14ac:dyDescent="0.35">
      <c r="A1124" t="s">
        <v>5105</v>
      </c>
      <c r="B1124" t="s">
        <v>872</v>
      </c>
      <c r="C1124" t="s">
        <v>4818</v>
      </c>
      <c r="D1124" t="s">
        <v>18</v>
      </c>
      <c r="E1124" t="s">
        <v>5214</v>
      </c>
      <c r="F1124" t="s">
        <v>5215</v>
      </c>
      <c r="G1124" t="s">
        <v>21</v>
      </c>
      <c r="H1124" t="s">
        <v>4826</v>
      </c>
      <c r="I1124" t="s">
        <v>4976</v>
      </c>
      <c r="J1124" t="s">
        <v>4977</v>
      </c>
      <c r="K1124" t="s">
        <v>4831</v>
      </c>
      <c r="L1124" t="s">
        <v>4946</v>
      </c>
      <c r="M1124" t="s">
        <v>5035</v>
      </c>
      <c r="N1124" t="s">
        <v>15</v>
      </c>
      <c r="O1124" t="s">
        <v>5310</v>
      </c>
      <c r="P1124" t="s">
        <v>23</v>
      </c>
      <c r="Q1124" t="s">
        <v>24</v>
      </c>
      <c r="R1124" t="s">
        <v>5216</v>
      </c>
      <c r="S1124" t="s">
        <v>5217</v>
      </c>
      <c r="T1124" s="6">
        <v>46307</v>
      </c>
      <c r="U1124">
        <v>156</v>
      </c>
      <c r="V1124">
        <v>156</v>
      </c>
      <c r="W1124">
        <v>168</v>
      </c>
      <c r="X1124">
        <v>168</v>
      </c>
      <c r="Y1124">
        <f t="shared" si="179"/>
        <v>0</v>
      </c>
      <c r="AC1124">
        <v>156</v>
      </c>
      <c r="AF1124">
        <v>156</v>
      </c>
      <c r="AG1124" s="41">
        <v>12</v>
      </c>
      <c r="AH1124">
        <f t="shared" si="180"/>
        <v>156</v>
      </c>
      <c r="AI1124">
        <f t="shared" si="183"/>
        <v>0</v>
      </c>
      <c r="AK1124">
        <f t="shared" si="181"/>
        <v>13</v>
      </c>
      <c r="AL1124">
        <v>13.85</v>
      </c>
      <c r="AM1124" t="s">
        <v>27</v>
      </c>
      <c r="AN1124">
        <v>13.85</v>
      </c>
      <c r="AO1124" t="b">
        <f t="shared" si="182"/>
        <v>1</v>
      </c>
      <c r="AR1124" t="s">
        <v>5061</v>
      </c>
      <c r="AS1124" s="21">
        <v>46284</v>
      </c>
      <c r="AT1124" t="s">
        <v>5062</v>
      </c>
      <c r="AU1124" t="s">
        <v>5072</v>
      </c>
      <c r="AV1124" t="s">
        <v>5062</v>
      </c>
      <c r="AW1124" t="s">
        <v>5311</v>
      </c>
    </row>
    <row r="1125" spans="1:49" x14ac:dyDescent="0.35">
      <c r="A1125" t="s">
        <v>5105</v>
      </c>
      <c r="B1125" t="s">
        <v>872</v>
      </c>
      <c r="C1125" t="s">
        <v>4818</v>
      </c>
      <c r="D1125" t="s">
        <v>18</v>
      </c>
      <c r="E1125" t="s">
        <v>2639</v>
      </c>
      <c r="F1125" t="s">
        <v>2640</v>
      </c>
      <c r="G1125" t="s">
        <v>21</v>
      </c>
      <c r="H1125" t="s">
        <v>4826</v>
      </c>
      <c r="I1125" t="s">
        <v>4976</v>
      </c>
      <c r="J1125" t="s">
        <v>4977</v>
      </c>
      <c r="K1125" t="s">
        <v>4837</v>
      </c>
      <c r="L1125" t="s">
        <v>4955</v>
      </c>
      <c r="M1125" t="s">
        <v>5035</v>
      </c>
      <c r="N1125" t="s">
        <v>15</v>
      </c>
      <c r="O1125" t="s">
        <v>2641</v>
      </c>
      <c r="P1125" t="s">
        <v>23</v>
      </c>
      <c r="Q1125" t="s">
        <v>24</v>
      </c>
      <c r="R1125" t="s">
        <v>5216</v>
      </c>
      <c r="S1125" t="s">
        <v>5217</v>
      </c>
      <c r="T1125" s="6">
        <v>46307</v>
      </c>
      <c r="U1125">
        <v>12</v>
      </c>
      <c r="V1125">
        <v>12</v>
      </c>
      <c r="W1125">
        <v>12</v>
      </c>
      <c r="X1125">
        <v>12</v>
      </c>
      <c r="Y1125">
        <f t="shared" si="179"/>
        <v>0</v>
      </c>
      <c r="AC1125">
        <v>12</v>
      </c>
      <c r="AF1125">
        <v>12</v>
      </c>
      <c r="AG1125" s="41">
        <v>12</v>
      </c>
      <c r="AH1125">
        <f t="shared" si="180"/>
        <v>12</v>
      </c>
      <c r="AI1125">
        <f t="shared" si="183"/>
        <v>0</v>
      </c>
      <c r="AK1125">
        <f t="shared" si="181"/>
        <v>1</v>
      </c>
      <c r="AL1125">
        <v>13.85</v>
      </c>
      <c r="AM1125" t="s">
        <v>27</v>
      </c>
      <c r="AN1125">
        <v>13.85</v>
      </c>
      <c r="AO1125" t="b">
        <f t="shared" si="182"/>
        <v>1</v>
      </c>
      <c r="AR1125" t="s">
        <v>5061</v>
      </c>
      <c r="AS1125" s="21">
        <v>46284</v>
      </c>
      <c r="AT1125" t="s">
        <v>5062</v>
      </c>
      <c r="AU1125" t="s">
        <v>5072</v>
      </c>
      <c r="AV1125" t="s">
        <v>5062</v>
      </c>
      <c r="AW1125" t="s">
        <v>5311</v>
      </c>
    </row>
    <row r="1126" spans="1:49" x14ac:dyDescent="0.35">
      <c r="A1126" t="s">
        <v>5105</v>
      </c>
      <c r="B1126" t="s">
        <v>872</v>
      </c>
      <c r="C1126" t="s">
        <v>4818</v>
      </c>
      <c r="D1126" t="s">
        <v>18</v>
      </c>
      <c r="E1126" t="s">
        <v>2645</v>
      </c>
      <c r="F1126" t="s">
        <v>2646</v>
      </c>
      <c r="G1126" t="s">
        <v>21</v>
      </c>
      <c r="H1126" t="s">
        <v>4826</v>
      </c>
      <c r="I1126" t="s">
        <v>4979</v>
      </c>
      <c r="J1126" t="s">
        <v>4980</v>
      </c>
      <c r="K1126" t="s">
        <v>4832</v>
      </c>
      <c r="L1126">
        <v>38</v>
      </c>
      <c r="M1126" t="s">
        <v>5035</v>
      </c>
      <c r="N1126" t="s">
        <v>15</v>
      </c>
      <c r="O1126" t="s">
        <v>2647</v>
      </c>
      <c r="P1126" t="s">
        <v>23</v>
      </c>
      <c r="Q1126" t="s">
        <v>24</v>
      </c>
      <c r="R1126" t="s">
        <v>5216</v>
      </c>
      <c r="S1126" t="s">
        <v>5217</v>
      </c>
      <c r="T1126" s="6">
        <v>46307</v>
      </c>
      <c r="U1126">
        <v>12</v>
      </c>
      <c r="V1126">
        <v>12</v>
      </c>
      <c r="W1126">
        <v>12</v>
      </c>
      <c r="X1126">
        <v>12</v>
      </c>
      <c r="Y1126">
        <f t="shared" si="179"/>
        <v>0</v>
      </c>
      <c r="AC1126">
        <v>12</v>
      </c>
      <c r="AF1126">
        <v>12</v>
      </c>
      <c r="AG1126" s="41">
        <v>12</v>
      </c>
      <c r="AH1126">
        <f t="shared" si="180"/>
        <v>12</v>
      </c>
      <c r="AI1126">
        <f t="shared" si="183"/>
        <v>0</v>
      </c>
      <c r="AK1126">
        <f t="shared" si="181"/>
        <v>1</v>
      </c>
      <c r="AL1126">
        <v>7.12</v>
      </c>
      <c r="AM1126" t="s">
        <v>27</v>
      </c>
      <c r="AN1126">
        <v>7.12</v>
      </c>
      <c r="AO1126" t="b">
        <f t="shared" si="182"/>
        <v>1</v>
      </c>
      <c r="AR1126" t="s">
        <v>5061</v>
      </c>
      <c r="AS1126" s="21">
        <v>46284</v>
      </c>
      <c r="AT1126" t="s">
        <v>5062</v>
      </c>
      <c r="AU1126" t="s">
        <v>5073</v>
      </c>
      <c r="AV1126" t="s">
        <v>5062</v>
      </c>
      <c r="AW1126" t="s">
        <v>5311</v>
      </c>
    </row>
    <row r="1127" spans="1:49" x14ac:dyDescent="0.35">
      <c r="A1127" t="s">
        <v>5105</v>
      </c>
      <c r="B1127" t="s">
        <v>872</v>
      </c>
      <c r="C1127" t="s">
        <v>4818</v>
      </c>
      <c r="D1127" t="s">
        <v>18</v>
      </c>
      <c r="E1127" t="s">
        <v>2700</v>
      </c>
      <c r="F1127" t="s">
        <v>2701</v>
      </c>
      <c r="G1127" t="s">
        <v>2680</v>
      </c>
      <c r="H1127" t="s">
        <v>4826</v>
      </c>
      <c r="I1127" t="s">
        <v>4979</v>
      </c>
      <c r="J1127" t="s">
        <v>4980</v>
      </c>
      <c r="K1127" t="s">
        <v>4837</v>
      </c>
      <c r="L1127">
        <v>34</v>
      </c>
      <c r="M1127" t="s">
        <v>5035</v>
      </c>
      <c r="N1127" t="s">
        <v>15</v>
      </c>
      <c r="O1127" t="s">
        <v>2702</v>
      </c>
      <c r="P1127" t="s">
        <v>23</v>
      </c>
      <c r="Q1127" t="s">
        <v>24</v>
      </c>
      <c r="R1127" t="s">
        <v>5216</v>
      </c>
      <c r="S1127" t="s">
        <v>5217</v>
      </c>
      <c r="T1127" s="6">
        <v>46307</v>
      </c>
      <c r="U1127">
        <v>36</v>
      </c>
      <c r="V1127">
        <v>36</v>
      </c>
      <c r="W1127">
        <v>36</v>
      </c>
      <c r="X1127">
        <v>36</v>
      </c>
      <c r="Y1127">
        <f t="shared" si="179"/>
        <v>0</v>
      </c>
      <c r="AC1127">
        <v>36</v>
      </c>
      <c r="AF1127">
        <v>36</v>
      </c>
      <c r="AG1127" s="41">
        <v>12</v>
      </c>
      <c r="AH1127">
        <f t="shared" si="180"/>
        <v>36</v>
      </c>
      <c r="AI1127">
        <f t="shared" si="183"/>
        <v>0</v>
      </c>
      <c r="AK1127">
        <f t="shared" si="181"/>
        <v>3</v>
      </c>
      <c r="AL1127">
        <v>7.12</v>
      </c>
      <c r="AM1127" t="s">
        <v>27</v>
      </c>
      <c r="AN1127">
        <v>7.12</v>
      </c>
      <c r="AO1127" t="b">
        <f t="shared" si="182"/>
        <v>1</v>
      </c>
      <c r="AR1127" t="s">
        <v>5061</v>
      </c>
      <c r="AS1127" s="21">
        <v>46284</v>
      </c>
      <c r="AT1127" t="s">
        <v>5062</v>
      </c>
      <c r="AU1127" t="s">
        <v>5073</v>
      </c>
      <c r="AV1127" t="s">
        <v>5062</v>
      </c>
      <c r="AW1127" t="s">
        <v>5311</v>
      </c>
    </row>
    <row r="1128" spans="1:49" x14ac:dyDescent="0.35">
      <c r="A1128" t="s">
        <v>5105</v>
      </c>
      <c r="B1128" t="s">
        <v>872</v>
      </c>
      <c r="C1128" t="s">
        <v>4818</v>
      </c>
      <c r="D1128" t="s">
        <v>18</v>
      </c>
      <c r="E1128" t="s">
        <v>2709</v>
      </c>
      <c r="F1128" t="s">
        <v>2710</v>
      </c>
      <c r="G1128" t="s">
        <v>2680</v>
      </c>
      <c r="H1128" t="s">
        <v>4826</v>
      </c>
      <c r="I1128" t="s">
        <v>4979</v>
      </c>
      <c r="J1128" t="s">
        <v>4980</v>
      </c>
      <c r="K1128" t="s">
        <v>4837</v>
      </c>
      <c r="L1128">
        <v>42</v>
      </c>
      <c r="M1128" t="s">
        <v>5035</v>
      </c>
      <c r="N1128" t="s">
        <v>15</v>
      </c>
      <c r="O1128" t="s">
        <v>2711</v>
      </c>
      <c r="P1128" t="s">
        <v>23</v>
      </c>
      <c r="Q1128" t="s">
        <v>24</v>
      </c>
      <c r="R1128" t="s">
        <v>5216</v>
      </c>
      <c r="S1128" t="s">
        <v>5217</v>
      </c>
      <c r="T1128" s="6">
        <v>46307</v>
      </c>
      <c r="U1128">
        <v>12</v>
      </c>
      <c r="V1128">
        <v>12</v>
      </c>
      <c r="W1128">
        <v>12</v>
      </c>
      <c r="X1128">
        <v>12</v>
      </c>
      <c r="Y1128">
        <f t="shared" si="179"/>
        <v>0</v>
      </c>
      <c r="AC1128">
        <v>12</v>
      </c>
      <c r="AF1128">
        <v>12</v>
      </c>
      <c r="AG1128" s="41">
        <v>12</v>
      </c>
      <c r="AH1128">
        <f t="shared" si="180"/>
        <v>12</v>
      </c>
      <c r="AI1128">
        <f t="shared" si="183"/>
        <v>0</v>
      </c>
      <c r="AK1128">
        <f t="shared" si="181"/>
        <v>1</v>
      </c>
      <c r="AL1128">
        <v>7.12</v>
      </c>
      <c r="AM1128" t="s">
        <v>27</v>
      </c>
      <c r="AN1128">
        <v>7.12</v>
      </c>
      <c r="AO1128" t="b">
        <f t="shared" si="182"/>
        <v>1</v>
      </c>
      <c r="AR1128" t="s">
        <v>5061</v>
      </c>
      <c r="AS1128" s="21">
        <v>46284</v>
      </c>
      <c r="AT1128" t="s">
        <v>5062</v>
      </c>
      <c r="AU1128" t="s">
        <v>5073</v>
      </c>
      <c r="AV1128" t="s">
        <v>5062</v>
      </c>
      <c r="AW1128" t="s">
        <v>5311</v>
      </c>
    </row>
    <row r="1129" spans="1:49" x14ac:dyDescent="0.35">
      <c r="A1129" t="s">
        <v>5105</v>
      </c>
      <c r="B1129" t="s">
        <v>872</v>
      </c>
      <c r="C1129" t="s">
        <v>4818</v>
      </c>
      <c r="D1129" t="s">
        <v>18</v>
      </c>
      <c r="E1129" t="s">
        <v>2712</v>
      </c>
      <c r="F1129" t="s">
        <v>2713</v>
      </c>
      <c r="G1129" t="s">
        <v>2680</v>
      </c>
      <c r="H1129" t="s">
        <v>4826</v>
      </c>
      <c r="I1129" t="s">
        <v>4979</v>
      </c>
      <c r="J1129" t="s">
        <v>4980</v>
      </c>
      <c r="K1129" t="s">
        <v>4837</v>
      </c>
      <c r="L1129">
        <v>36</v>
      </c>
      <c r="M1129" t="s">
        <v>5035</v>
      </c>
      <c r="N1129" t="s">
        <v>15</v>
      </c>
      <c r="O1129" t="s">
        <v>2714</v>
      </c>
      <c r="P1129" t="s">
        <v>23</v>
      </c>
      <c r="Q1129" t="s">
        <v>24</v>
      </c>
      <c r="R1129" t="s">
        <v>5216</v>
      </c>
      <c r="S1129" t="s">
        <v>5217</v>
      </c>
      <c r="T1129" s="6">
        <v>46307</v>
      </c>
      <c r="U1129">
        <v>48</v>
      </c>
      <c r="V1129">
        <v>48</v>
      </c>
      <c r="W1129">
        <v>48</v>
      </c>
      <c r="X1129">
        <v>48</v>
      </c>
      <c r="Y1129">
        <f t="shared" si="179"/>
        <v>0</v>
      </c>
      <c r="AC1129">
        <v>48</v>
      </c>
      <c r="AF1129">
        <v>48</v>
      </c>
      <c r="AG1129" s="41">
        <v>12</v>
      </c>
      <c r="AH1129">
        <f t="shared" si="180"/>
        <v>48</v>
      </c>
      <c r="AI1129">
        <f t="shared" si="183"/>
        <v>0</v>
      </c>
      <c r="AK1129">
        <f t="shared" si="181"/>
        <v>4</v>
      </c>
      <c r="AL1129">
        <v>7.12</v>
      </c>
      <c r="AM1129" t="s">
        <v>27</v>
      </c>
      <c r="AN1129">
        <v>7.12</v>
      </c>
      <c r="AO1129" t="b">
        <f t="shared" si="182"/>
        <v>1</v>
      </c>
      <c r="AR1129" t="s">
        <v>5061</v>
      </c>
      <c r="AS1129" s="21">
        <v>46284</v>
      </c>
      <c r="AT1129" t="s">
        <v>5062</v>
      </c>
      <c r="AU1129" t="s">
        <v>5073</v>
      </c>
      <c r="AV1129" t="s">
        <v>5062</v>
      </c>
      <c r="AW1129" t="s">
        <v>5311</v>
      </c>
    </row>
  </sheetData>
  <autoFilter ref="A2:AW1129" xr:uid="{BA9673C6-A9AB-405A-8377-E42B396600A4}">
    <filterColumn colId="44">
      <filters>
        <dateGroupItem year="2026" month="9" day="19" dateTimeGrouping="day"/>
        <dateGroupItem year="2026" month="9" day="20" dateTimeGrouping="day"/>
      </filters>
    </filterColumn>
  </autoFilter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BK</vt:lpstr>
      <vt:lpstr>all PO</vt:lpstr>
      <vt:lpstr>PO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Anjuman Akhi</cp:lastModifiedBy>
  <dcterms:modified xsi:type="dcterms:W3CDTF">2026-09-21T06:35:12Z</dcterms:modified>
</cp:coreProperties>
</file>